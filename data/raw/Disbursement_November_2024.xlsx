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a675887cdfd6f3d/Dokumente/DATA/Desktop/Q4 2023 GDP/FAAC Disbursement/"/>
    </mc:Choice>
  </mc:AlternateContent>
  <xr:revisionPtr revIDLastSave="1" documentId="11_9C3859C428B06412B137EBF7ABCAE17934CE31D2" xr6:coauthVersionLast="47" xr6:coauthVersionMax="47" xr10:uidLastSave="{16201032-A553-4E0D-9961-8CF6B2F07FA1}"/>
  <bookViews>
    <workbookView xWindow="-98" yWindow="-98" windowWidth="21795" windowHeight="12975" firstSheet="1" activeTab="1" xr2:uid="{00000000-000D-0000-FFFF-FFFF00000000}"/>
  </bookViews>
  <sheets>
    <sheet name="MONTHENTRY" sheetId="8" state="hidden" r:id="rId1"/>
    <sheet name="Sum &amp; FG" sheetId="4" r:id="rId2"/>
    <sheet name="State Details" sheetId="12" r:id="rId3"/>
    <sheet name="LGCs Details" sheetId="26" r:id="rId4"/>
    <sheet name="Sum" sheetId="14" r:id="rId5"/>
    <sheet name="Ecology to States" sheetId="13" r:id="rId6"/>
    <sheet name="ECOLOGY TO INDIVIDUAL LGCS" sheetId="19" r:id="rId7"/>
    <sheet name="Ecology to LGCs" sheetId="21" r:id="rId8"/>
  </sheets>
  <definedNames>
    <definedName name="ACCTDATE">#REF!</definedName>
    <definedName name="acctmonth">MONTHENTRY!$F$6</definedName>
    <definedName name="previuosmonth">MONTHENTRY!$B$6</definedName>
    <definedName name="_xlnm.Print_Area" localSheetId="3">'LGCs Details'!$A$1:$AC$414</definedName>
    <definedName name="_xlnm.Print_Area" localSheetId="2">'State Details'!$A$1:$V$47</definedName>
    <definedName name="_xlnm.Print_Area" localSheetId="4">Sum!$A$1:$K$43</definedName>
    <definedName name="_xlnm.Print_Area" localSheetId="1">'Sum &amp; FG'!$A$1:$K$47</definedName>
  </definedNames>
  <calcPr calcId="181029"/>
</workbook>
</file>

<file path=xl/calcChain.xml><?xml version="1.0" encoding="utf-8"?>
<calcChain xmlns="http://schemas.openxmlformats.org/spreadsheetml/2006/main">
  <c r="E43" i="21" l="1"/>
  <c r="D43" i="21"/>
  <c r="C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780" i="19"/>
  <c r="E780" i="19"/>
  <c r="D780" i="19"/>
  <c r="G779" i="19"/>
  <c r="G778" i="19"/>
  <c r="G777" i="19"/>
  <c r="G776" i="19"/>
  <c r="G775" i="19"/>
  <c r="G774" i="19"/>
  <c r="G773" i="19"/>
  <c r="G772" i="19"/>
  <c r="G771" i="19"/>
  <c r="G770" i="19"/>
  <c r="G769" i="19"/>
  <c r="G768" i="19"/>
  <c r="G767" i="19"/>
  <c r="G766" i="19"/>
  <c r="G765" i="19"/>
  <c r="G764" i="19"/>
  <c r="G763" i="19"/>
  <c r="G762" i="19"/>
  <c r="G761" i="19"/>
  <c r="G760" i="19"/>
  <c r="G759" i="19"/>
  <c r="G758" i="19"/>
  <c r="G757" i="19"/>
  <c r="G756" i="19"/>
  <c r="G755" i="19"/>
  <c r="G754" i="19"/>
  <c r="G753" i="19"/>
  <c r="G752" i="19"/>
  <c r="G751" i="19"/>
  <c r="G750" i="19"/>
  <c r="G749" i="19"/>
  <c r="G748" i="19"/>
  <c r="G747" i="19"/>
  <c r="G746" i="19"/>
  <c r="G745" i="19"/>
  <c r="G744" i="19"/>
  <c r="G743" i="19"/>
  <c r="G742" i="19"/>
  <c r="G741" i="19"/>
  <c r="G740" i="19"/>
  <c r="G739" i="19"/>
  <c r="G738" i="19"/>
  <c r="G737" i="19"/>
  <c r="G736" i="19"/>
  <c r="G735" i="19"/>
  <c r="G734" i="19"/>
  <c r="G733" i="19"/>
  <c r="G732" i="19"/>
  <c r="G731" i="19"/>
  <c r="G730" i="19"/>
  <c r="G729" i="19"/>
  <c r="G728" i="19"/>
  <c r="G727" i="19"/>
  <c r="G726" i="19"/>
  <c r="G725" i="19"/>
  <c r="G724" i="19"/>
  <c r="G723" i="19"/>
  <c r="G722" i="19"/>
  <c r="G721" i="19"/>
  <c r="G720" i="19"/>
  <c r="G719" i="19"/>
  <c r="G718" i="19"/>
  <c r="G717" i="19"/>
  <c r="G716" i="19"/>
  <c r="G715" i="19"/>
  <c r="G714" i="19"/>
  <c r="G713" i="19"/>
  <c r="G712" i="19"/>
  <c r="G711" i="19"/>
  <c r="G710" i="19"/>
  <c r="G709" i="19"/>
  <c r="G708" i="19"/>
  <c r="G707" i="19"/>
  <c r="G706" i="19"/>
  <c r="G705" i="19"/>
  <c r="G704" i="19"/>
  <c r="G703" i="19"/>
  <c r="G702" i="19"/>
  <c r="G701" i="19"/>
  <c r="G700" i="19"/>
  <c r="G699" i="19"/>
  <c r="G698" i="19"/>
  <c r="G697" i="19"/>
  <c r="G696" i="19"/>
  <c r="G695" i="19"/>
  <c r="G694" i="19"/>
  <c r="G693" i="19"/>
  <c r="G692" i="19"/>
  <c r="G691" i="19"/>
  <c r="G690" i="19"/>
  <c r="G689" i="19"/>
  <c r="G688" i="19"/>
  <c r="G687" i="19"/>
  <c r="G686" i="19"/>
  <c r="G685" i="19"/>
  <c r="G684" i="19"/>
  <c r="G683" i="19"/>
  <c r="G682" i="19"/>
  <c r="G681" i="19"/>
  <c r="G680" i="19"/>
  <c r="G679" i="19"/>
  <c r="G678" i="19"/>
  <c r="G677" i="19"/>
  <c r="G676" i="19"/>
  <c r="G675" i="19"/>
  <c r="G674" i="19"/>
  <c r="G673" i="19"/>
  <c r="G672" i="19"/>
  <c r="G671" i="19"/>
  <c r="G670" i="19"/>
  <c r="G669" i="19"/>
  <c r="G668" i="19"/>
  <c r="G667" i="19"/>
  <c r="G666" i="19"/>
  <c r="G665" i="19"/>
  <c r="G664" i="19"/>
  <c r="G663" i="19"/>
  <c r="G662" i="19"/>
  <c r="G661" i="19"/>
  <c r="G660" i="19"/>
  <c r="G659" i="19"/>
  <c r="G658" i="19"/>
  <c r="G657" i="19"/>
  <c r="G656" i="19"/>
  <c r="G655" i="19"/>
  <c r="G654" i="19"/>
  <c r="G653" i="19"/>
  <c r="G652" i="19"/>
  <c r="G651" i="19"/>
  <c r="G650" i="19"/>
  <c r="G649" i="19"/>
  <c r="G648" i="19"/>
  <c r="G647" i="19"/>
  <c r="G646" i="19"/>
  <c r="G645" i="19"/>
  <c r="G644" i="19"/>
  <c r="G643" i="19"/>
  <c r="G642" i="19"/>
  <c r="G641" i="19"/>
  <c r="G640" i="19"/>
  <c r="G639" i="19"/>
  <c r="G638" i="19"/>
  <c r="G637" i="19"/>
  <c r="G636" i="19"/>
  <c r="G635" i="19"/>
  <c r="G634" i="19"/>
  <c r="G633" i="19"/>
  <c r="G632" i="19"/>
  <c r="G631" i="19"/>
  <c r="G630" i="19"/>
  <c r="G629" i="19"/>
  <c r="G628" i="19"/>
  <c r="G627" i="19"/>
  <c r="G626" i="19"/>
  <c r="G625" i="19"/>
  <c r="G624" i="19"/>
  <c r="G623" i="19"/>
  <c r="G622" i="19"/>
  <c r="G621" i="19"/>
  <c r="G620" i="19"/>
  <c r="G619" i="19"/>
  <c r="G618" i="19"/>
  <c r="G617" i="19"/>
  <c r="G616" i="19"/>
  <c r="G615" i="19"/>
  <c r="G614" i="19"/>
  <c r="G613" i="19"/>
  <c r="G612" i="19"/>
  <c r="G611" i="19"/>
  <c r="G610" i="19"/>
  <c r="G609" i="19"/>
  <c r="G608" i="19"/>
  <c r="G607" i="19"/>
  <c r="G606" i="19"/>
  <c r="G605" i="19"/>
  <c r="G604" i="19"/>
  <c r="G603" i="19"/>
  <c r="G602" i="19"/>
  <c r="G601" i="19"/>
  <c r="G600" i="19"/>
  <c r="G599" i="19"/>
  <c r="G598" i="19"/>
  <c r="G597" i="19"/>
  <c r="G596" i="19"/>
  <c r="G595" i="19"/>
  <c r="G594" i="19"/>
  <c r="G593" i="19"/>
  <c r="G592" i="19"/>
  <c r="G591" i="19"/>
  <c r="G590" i="19"/>
  <c r="G589" i="19"/>
  <c r="G588" i="19"/>
  <c r="G587" i="19"/>
  <c r="G586" i="19"/>
  <c r="G585" i="19"/>
  <c r="G584" i="19"/>
  <c r="G583" i="19"/>
  <c r="G582" i="19"/>
  <c r="G581" i="19"/>
  <c r="G580" i="19"/>
  <c r="G579" i="19"/>
  <c r="G578" i="19"/>
  <c r="G577" i="19"/>
  <c r="G576" i="19"/>
  <c r="G575" i="19"/>
  <c r="G574" i="19"/>
  <c r="G573" i="19"/>
  <c r="G572" i="19"/>
  <c r="G571" i="19"/>
  <c r="G570" i="19"/>
  <c r="G569" i="19"/>
  <c r="G568" i="19"/>
  <c r="G567" i="19"/>
  <c r="G566" i="19"/>
  <c r="G565" i="19"/>
  <c r="G564" i="19"/>
  <c r="G563" i="19"/>
  <c r="G562" i="19"/>
  <c r="G561" i="19"/>
  <c r="G560" i="19"/>
  <c r="G559" i="19"/>
  <c r="G558" i="19"/>
  <c r="G557" i="19"/>
  <c r="G556" i="19"/>
  <c r="G555" i="19"/>
  <c r="G554" i="19"/>
  <c r="G553" i="19"/>
  <c r="G552" i="19"/>
  <c r="G551" i="19"/>
  <c r="G550" i="19"/>
  <c r="G549" i="19"/>
  <c r="G548" i="19"/>
  <c r="G547" i="19"/>
  <c r="G546" i="19"/>
  <c r="G545" i="19"/>
  <c r="G544" i="19"/>
  <c r="G543" i="19"/>
  <c r="G542" i="19"/>
  <c r="G541" i="19"/>
  <c r="G540" i="19"/>
  <c r="G539" i="19"/>
  <c r="G538" i="19"/>
  <c r="G537" i="19"/>
  <c r="G536" i="19"/>
  <c r="G535" i="19"/>
  <c r="G534" i="19"/>
  <c r="G533" i="19"/>
  <c r="G532" i="19"/>
  <c r="G531" i="19"/>
  <c r="G530" i="19"/>
  <c r="G529" i="19"/>
  <c r="G528" i="19"/>
  <c r="G527" i="19"/>
  <c r="G526" i="19"/>
  <c r="G525" i="19"/>
  <c r="G524" i="19"/>
  <c r="G523" i="19"/>
  <c r="G522" i="19"/>
  <c r="G521" i="19"/>
  <c r="G520" i="19"/>
  <c r="G519" i="19"/>
  <c r="G518" i="19"/>
  <c r="G517" i="19"/>
  <c r="G516" i="19"/>
  <c r="G515" i="19"/>
  <c r="G514" i="19"/>
  <c r="G513" i="19"/>
  <c r="G512" i="19"/>
  <c r="G511" i="19"/>
  <c r="G510" i="19"/>
  <c r="G509" i="19"/>
  <c r="G508" i="19"/>
  <c r="G507" i="19"/>
  <c r="G506" i="19"/>
  <c r="G505" i="19"/>
  <c r="G504" i="19"/>
  <c r="G503" i="19"/>
  <c r="G502" i="19"/>
  <c r="G501" i="19"/>
  <c r="G500" i="19"/>
  <c r="G499" i="19"/>
  <c r="G498" i="19"/>
  <c r="G497" i="19"/>
  <c r="G496" i="19"/>
  <c r="G495" i="19"/>
  <c r="G494" i="19"/>
  <c r="G493" i="19"/>
  <c r="G492" i="19"/>
  <c r="G491" i="19"/>
  <c r="G490" i="19"/>
  <c r="G489" i="19"/>
  <c r="G488" i="19"/>
  <c r="G487" i="19"/>
  <c r="G486" i="19"/>
  <c r="G485" i="19"/>
  <c r="G484" i="19"/>
  <c r="G483" i="19"/>
  <c r="G482" i="19"/>
  <c r="G481" i="19"/>
  <c r="G480" i="19"/>
  <c r="G479" i="19"/>
  <c r="G478" i="19"/>
  <c r="G477" i="19"/>
  <c r="G476" i="19"/>
  <c r="G475" i="19"/>
  <c r="G474" i="19"/>
  <c r="G473" i="19"/>
  <c r="G472" i="19"/>
  <c r="G471" i="19"/>
  <c r="G470" i="19"/>
  <c r="G469" i="19"/>
  <c r="G468" i="19"/>
  <c r="G467" i="19"/>
  <c r="G466" i="19"/>
  <c r="G465" i="19"/>
  <c r="G464" i="19"/>
  <c r="G463" i="19"/>
  <c r="G462" i="19"/>
  <c r="G461" i="19"/>
  <c r="G460" i="19"/>
  <c r="G459" i="19"/>
  <c r="G458" i="19"/>
  <c r="G457" i="19"/>
  <c r="G456" i="19"/>
  <c r="G455" i="19"/>
  <c r="G454" i="19"/>
  <c r="G453" i="19"/>
  <c r="G452" i="19"/>
  <c r="G451" i="19"/>
  <c r="G450" i="19"/>
  <c r="G449" i="19"/>
  <c r="G448" i="19"/>
  <c r="G447" i="19"/>
  <c r="G446" i="19"/>
  <c r="G445" i="19"/>
  <c r="G444" i="19"/>
  <c r="G443" i="19"/>
  <c r="G442" i="19"/>
  <c r="G441" i="19"/>
  <c r="G440" i="19"/>
  <c r="G439" i="19"/>
  <c r="G438" i="19"/>
  <c r="G437" i="19"/>
  <c r="G436" i="19"/>
  <c r="G435" i="19"/>
  <c r="G434" i="19"/>
  <c r="G433" i="19"/>
  <c r="G432" i="19"/>
  <c r="G431" i="19"/>
  <c r="G430" i="19"/>
  <c r="G429" i="19"/>
  <c r="G428" i="19"/>
  <c r="G427" i="19"/>
  <c r="G426" i="19"/>
  <c r="G425" i="19"/>
  <c r="G424" i="19"/>
  <c r="G423" i="19"/>
  <c r="G422" i="19"/>
  <c r="G421" i="19"/>
  <c r="G420" i="19"/>
  <c r="G419" i="19"/>
  <c r="G418" i="19"/>
  <c r="G417" i="19"/>
  <c r="G416" i="19"/>
  <c r="G415" i="19"/>
  <c r="G414" i="19"/>
  <c r="G413" i="19"/>
  <c r="G412" i="19"/>
  <c r="G411" i="19"/>
  <c r="G410" i="19"/>
  <c r="G409" i="19"/>
  <c r="G408" i="19"/>
  <c r="G407" i="19"/>
  <c r="G406" i="19"/>
  <c r="G405" i="19"/>
  <c r="G404" i="19"/>
  <c r="G403" i="19"/>
  <c r="G402" i="19"/>
  <c r="G401" i="19"/>
  <c r="G400" i="19"/>
  <c r="G399" i="19"/>
  <c r="G398" i="19"/>
  <c r="G397" i="19"/>
  <c r="G396" i="19"/>
  <c r="G395" i="19"/>
  <c r="G394" i="19"/>
  <c r="G393" i="19"/>
  <c r="G392" i="19"/>
  <c r="G391" i="19"/>
  <c r="G390" i="19"/>
  <c r="G389" i="19"/>
  <c r="G388" i="19"/>
  <c r="G387" i="19"/>
  <c r="G386" i="19"/>
  <c r="G385" i="19"/>
  <c r="G384" i="19"/>
  <c r="G383" i="19"/>
  <c r="G382" i="19"/>
  <c r="G381" i="19"/>
  <c r="G380" i="19"/>
  <c r="G379" i="19"/>
  <c r="G378" i="19"/>
  <c r="G377" i="19"/>
  <c r="G376" i="19"/>
  <c r="G375" i="19"/>
  <c r="G374" i="19"/>
  <c r="G373" i="19"/>
  <c r="G372" i="19"/>
  <c r="G371" i="19"/>
  <c r="G370" i="19"/>
  <c r="G369" i="19"/>
  <c r="G368" i="19"/>
  <c r="G367" i="19"/>
  <c r="G366" i="19"/>
  <c r="G365" i="19"/>
  <c r="G364" i="19"/>
  <c r="G363" i="19"/>
  <c r="G362" i="19"/>
  <c r="G361" i="19"/>
  <c r="G360" i="19"/>
  <c r="G359" i="19"/>
  <c r="G358" i="19"/>
  <c r="G357" i="19"/>
  <c r="G356" i="19"/>
  <c r="G355" i="19"/>
  <c r="G354" i="19"/>
  <c r="G353" i="19"/>
  <c r="G352" i="19"/>
  <c r="G351" i="19"/>
  <c r="G350" i="19"/>
  <c r="G349" i="19"/>
  <c r="G348" i="19"/>
  <c r="G347" i="19"/>
  <c r="G346" i="19"/>
  <c r="G345" i="19"/>
  <c r="G344" i="19"/>
  <c r="G343" i="19"/>
  <c r="G342" i="19"/>
  <c r="G341" i="19"/>
  <c r="G340" i="19"/>
  <c r="G339" i="19"/>
  <c r="G338" i="19"/>
  <c r="G337" i="19"/>
  <c r="G336" i="19"/>
  <c r="G335" i="19"/>
  <c r="G334" i="19"/>
  <c r="G333" i="19"/>
  <c r="G332" i="19"/>
  <c r="G331" i="19"/>
  <c r="G330" i="19"/>
  <c r="G329" i="19"/>
  <c r="G328" i="19"/>
  <c r="G327" i="19"/>
  <c r="G326" i="19"/>
  <c r="G325" i="19"/>
  <c r="G324" i="19"/>
  <c r="G323" i="19"/>
  <c r="G322" i="19"/>
  <c r="G321" i="19"/>
  <c r="G320" i="19"/>
  <c r="G319" i="19"/>
  <c r="G318" i="19"/>
  <c r="G317" i="19"/>
  <c r="G316" i="19"/>
  <c r="G315" i="19"/>
  <c r="G314" i="19"/>
  <c r="G313" i="19"/>
  <c r="G312" i="19"/>
  <c r="G311" i="19"/>
  <c r="G310" i="19"/>
  <c r="G309" i="19"/>
  <c r="G308" i="19"/>
  <c r="G307" i="19"/>
  <c r="G306" i="19"/>
  <c r="G305" i="19"/>
  <c r="G304" i="19"/>
  <c r="G303" i="19"/>
  <c r="G302" i="19"/>
  <c r="G301" i="19"/>
  <c r="G300" i="19"/>
  <c r="G299" i="19"/>
  <c r="G298" i="19"/>
  <c r="G297" i="19"/>
  <c r="G296" i="19"/>
  <c r="G295" i="19"/>
  <c r="G294" i="19"/>
  <c r="G293" i="19"/>
  <c r="G292" i="19"/>
  <c r="G291" i="19"/>
  <c r="G290" i="19"/>
  <c r="G289" i="19"/>
  <c r="G288" i="19"/>
  <c r="G287" i="19"/>
  <c r="G286" i="19"/>
  <c r="G285" i="19"/>
  <c r="G284" i="19"/>
  <c r="G283" i="19"/>
  <c r="G282" i="19"/>
  <c r="G281" i="19"/>
  <c r="G280" i="19"/>
  <c r="G279" i="19"/>
  <c r="G278" i="19"/>
  <c r="G277" i="19"/>
  <c r="G276" i="19"/>
  <c r="G275" i="19"/>
  <c r="G274" i="19"/>
  <c r="G273" i="19"/>
  <c r="G272" i="19"/>
  <c r="G271" i="19"/>
  <c r="G270" i="19"/>
  <c r="G269" i="19"/>
  <c r="G268" i="19"/>
  <c r="G267" i="19"/>
  <c r="G266" i="19"/>
  <c r="G265" i="19"/>
  <c r="G264" i="19"/>
  <c r="G263" i="19"/>
  <c r="G262" i="19"/>
  <c r="G261" i="19"/>
  <c r="G260" i="19"/>
  <c r="G259" i="19"/>
  <c r="G258" i="19"/>
  <c r="G257" i="19"/>
  <c r="G256" i="19"/>
  <c r="G255" i="19"/>
  <c r="G254" i="19"/>
  <c r="G253" i="19"/>
  <c r="G252" i="19"/>
  <c r="G251" i="19"/>
  <c r="G250" i="19"/>
  <c r="G249" i="19"/>
  <c r="G248" i="19"/>
  <c r="G247" i="19"/>
  <c r="G246" i="19"/>
  <c r="G245" i="19"/>
  <c r="G244" i="19"/>
  <c r="G243" i="19"/>
  <c r="G242" i="19"/>
  <c r="G241" i="19"/>
  <c r="G240" i="19"/>
  <c r="G239" i="19"/>
  <c r="G238" i="19"/>
  <c r="G237" i="19"/>
  <c r="G236" i="19"/>
  <c r="G235" i="19"/>
  <c r="G234" i="19"/>
  <c r="G233" i="19"/>
  <c r="G232" i="19"/>
  <c r="G231" i="19"/>
  <c r="G230" i="19"/>
  <c r="G229" i="19"/>
  <c r="G228" i="19"/>
  <c r="G227" i="19"/>
  <c r="G226" i="19"/>
  <c r="G225" i="19"/>
  <c r="G224" i="19"/>
  <c r="G223" i="19"/>
  <c r="G222" i="19"/>
  <c r="G221" i="19"/>
  <c r="G220" i="19"/>
  <c r="G219" i="19"/>
  <c r="G218" i="19"/>
  <c r="G217" i="19"/>
  <c r="G216" i="19"/>
  <c r="G215" i="19"/>
  <c r="G214" i="19"/>
  <c r="G213" i="19"/>
  <c r="G212" i="19"/>
  <c r="G211" i="19"/>
  <c r="G210" i="19"/>
  <c r="G209" i="19"/>
  <c r="G208" i="19"/>
  <c r="G207" i="19"/>
  <c r="G206" i="19"/>
  <c r="G205" i="19"/>
  <c r="G204" i="19"/>
  <c r="G203" i="19"/>
  <c r="G202" i="19"/>
  <c r="G201" i="19"/>
  <c r="G200" i="19"/>
  <c r="G199" i="19"/>
  <c r="G198" i="19"/>
  <c r="G197" i="19"/>
  <c r="G196" i="19"/>
  <c r="G195" i="19"/>
  <c r="G194" i="19"/>
  <c r="G193" i="19"/>
  <c r="G192" i="19"/>
  <c r="G191" i="19"/>
  <c r="G190" i="19"/>
  <c r="G189" i="19"/>
  <c r="G188" i="19"/>
  <c r="G187" i="19"/>
  <c r="G186" i="19"/>
  <c r="G185" i="19"/>
  <c r="G184" i="19"/>
  <c r="G183" i="19"/>
  <c r="G182" i="19"/>
  <c r="G181" i="19"/>
  <c r="G180" i="19"/>
  <c r="G179" i="19"/>
  <c r="G178" i="19"/>
  <c r="G177" i="19"/>
  <c r="G176" i="19"/>
  <c r="G175" i="19"/>
  <c r="G174" i="19"/>
  <c r="G173" i="19"/>
  <c r="G172" i="19"/>
  <c r="G171" i="19"/>
  <c r="G170" i="19"/>
  <c r="G169" i="19"/>
  <c r="G168" i="19"/>
  <c r="G167" i="19"/>
  <c r="G166" i="19"/>
  <c r="G165" i="19"/>
  <c r="G164" i="19"/>
  <c r="G163" i="19"/>
  <c r="G162" i="19"/>
  <c r="G161" i="19"/>
  <c r="G160" i="19"/>
  <c r="G159" i="19"/>
  <c r="G158" i="19"/>
  <c r="G157" i="19"/>
  <c r="G156" i="19"/>
  <c r="G155" i="19"/>
  <c r="G154" i="19"/>
  <c r="G153" i="19"/>
  <c r="G152" i="19"/>
  <c r="G151" i="19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7" i="19"/>
  <c r="G136" i="19"/>
  <c r="G135" i="19"/>
  <c r="G134" i="19"/>
  <c r="G133" i="19"/>
  <c r="G132" i="19"/>
  <c r="G131" i="19"/>
  <c r="G130" i="19"/>
  <c r="G129" i="19"/>
  <c r="G128" i="19"/>
  <c r="G127" i="19"/>
  <c r="G126" i="19"/>
  <c r="G125" i="19"/>
  <c r="G124" i="19"/>
  <c r="G123" i="19"/>
  <c r="G122" i="19"/>
  <c r="G121" i="19"/>
  <c r="G120" i="19"/>
  <c r="G119" i="19"/>
  <c r="G118" i="19"/>
  <c r="G117" i="19"/>
  <c r="G116" i="19"/>
  <c r="G115" i="19"/>
  <c r="G114" i="19"/>
  <c r="G113" i="19"/>
  <c r="G112" i="19"/>
  <c r="G111" i="19"/>
  <c r="G110" i="19"/>
  <c r="G109" i="19"/>
  <c r="G108" i="19"/>
  <c r="G107" i="19"/>
  <c r="G106" i="19"/>
  <c r="G105" i="19"/>
  <c r="G104" i="19"/>
  <c r="G103" i="19"/>
  <c r="G102" i="19"/>
  <c r="G101" i="19"/>
  <c r="G100" i="19"/>
  <c r="G99" i="19"/>
  <c r="G98" i="19"/>
  <c r="G97" i="19"/>
  <c r="G96" i="19"/>
  <c r="G95" i="19"/>
  <c r="G94" i="19"/>
  <c r="G93" i="19"/>
  <c r="G92" i="19"/>
  <c r="G91" i="19"/>
  <c r="G90" i="19"/>
  <c r="G89" i="19"/>
  <c r="G88" i="19"/>
  <c r="G87" i="19"/>
  <c r="G86" i="19"/>
  <c r="G85" i="19"/>
  <c r="G84" i="19"/>
  <c r="G83" i="19"/>
  <c r="G82" i="19"/>
  <c r="G81" i="19"/>
  <c r="G80" i="19"/>
  <c r="G79" i="19"/>
  <c r="G78" i="19"/>
  <c r="G77" i="19"/>
  <c r="G76" i="19"/>
  <c r="G75" i="19"/>
  <c r="G74" i="19"/>
  <c r="G73" i="19"/>
  <c r="G72" i="19"/>
  <c r="G71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780" i="19" s="1"/>
  <c r="G10" i="19"/>
  <c r="G9" i="19"/>
  <c r="G8" i="19"/>
  <c r="G7" i="19"/>
  <c r="G6" i="19"/>
  <c r="E42" i="13"/>
  <c r="D42" i="13"/>
  <c r="C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42" i="13" s="1"/>
  <c r="F6" i="13"/>
  <c r="J43" i="14"/>
  <c r="G43" i="14"/>
  <c r="F43" i="14"/>
  <c r="E43" i="14"/>
  <c r="D43" i="14"/>
  <c r="C43" i="14"/>
  <c r="I42" i="14"/>
  <c r="K42" i="14" s="1"/>
  <c r="I41" i="14"/>
  <c r="K41" i="14" s="1"/>
  <c r="I40" i="14"/>
  <c r="K40" i="14" s="1"/>
  <c r="H39" i="14"/>
  <c r="I39" i="14" s="1"/>
  <c r="K39" i="14" s="1"/>
  <c r="I38" i="14"/>
  <c r="K38" i="14" s="1"/>
  <c r="K37" i="14"/>
  <c r="H37" i="14"/>
  <c r="I37" i="14" s="1"/>
  <c r="H36" i="14"/>
  <c r="I36" i="14" s="1"/>
  <c r="K36" i="14" s="1"/>
  <c r="I35" i="14"/>
  <c r="K35" i="14" s="1"/>
  <c r="I34" i="14"/>
  <c r="K34" i="14" s="1"/>
  <c r="H33" i="14"/>
  <c r="I33" i="14" s="1"/>
  <c r="K33" i="14" s="1"/>
  <c r="I32" i="14"/>
  <c r="K32" i="14" s="1"/>
  <c r="H31" i="14"/>
  <c r="I31" i="14" s="1"/>
  <c r="K31" i="14" s="1"/>
  <c r="H30" i="14"/>
  <c r="I30" i="14" s="1"/>
  <c r="K30" i="14" s="1"/>
  <c r="I29" i="14"/>
  <c r="K29" i="14" s="1"/>
  <c r="H28" i="14"/>
  <c r="I28" i="14" s="1"/>
  <c r="K28" i="14" s="1"/>
  <c r="H27" i="14"/>
  <c r="I27" i="14" s="1"/>
  <c r="K27" i="14" s="1"/>
  <c r="H26" i="14"/>
  <c r="I26" i="14" s="1"/>
  <c r="K26" i="14" s="1"/>
  <c r="K25" i="14"/>
  <c r="I25" i="14"/>
  <c r="I24" i="14"/>
  <c r="K24" i="14" s="1"/>
  <c r="K23" i="14"/>
  <c r="I23" i="14"/>
  <c r="H23" i="14"/>
  <c r="I22" i="14"/>
  <c r="K22" i="14" s="1"/>
  <c r="H21" i="14"/>
  <c r="I21" i="14" s="1"/>
  <c r="K21" i="14" s="1"/>
  <c r="H20" i="14"/>
  <c r="I20" i="14" s="1"/>
  <c r="K20" i="14" s="1"/>
  <c r="K19" i="14"/>
  <c r="I19" i="14"/>
  <c r="I18" i="14"/>
  <c r="K18" i="14" s="1"/>
  <c r="H17" i="14"/>
  <c r="I17" i="14" s="1"/>
  <c r="K17" i="14" s="1"/>
  <c r="I16" i="14"/>
  <c r="K16" i="14" s="1"/>
  <c r="H15" i="14"/>
  <c r="I15" i="14" s="1"/>
  <c r="K15" i="14" s="1"/>
  <c r="H14" i="14"/>
  <c r="I14" i="14" s="1"/>
  <c r="K14" i="14" s="1"/>
  <c r="I13" i="14"/>
  <c r="K13" i="14" s="1"/>
  <c r="H12" i="14"/>
  <c r="I12" i="14" s="1"/>
  <c r="K12" i="14" s="1"/>
  <c r="H11" i="14"/>
  <c r="I11" i="14" s="1"/>
  <c r="K11" i="14" s="1"/>
  <c r="I10" i="14"/>
  <c r="K10" i="14" s="1"/>
  <c r="I9" i="14"/>
  <c r="K9" i="14" s="1"/>
  <c r="H8" i="14"/>
  <c r="I7" i="14"/>
  <c r="K7" i="14" s="1"/>
  <c r="I6" i="14"/>
  <c r="H6" i="14"/>
  <c r="M413" i="26"/>
  <c r="K413" i="26"/>
  <c r="J413" i="26"/>
  <c r="I413" i="26"/>
  <c r="H413" i="26"/>
  <c r="G413" i="26"/>
  <c r="F413" i="26"/>
  <c r="E413" i="26"/>
  <c r="AA412" i="26"/>
  <c r="AC412" i="26" s="1"/>
  <c r="U412" i="26"/>
  <c r="N412" i="26"/>
  <c r="L412" i="26"/>
  <c r="AB411" i="26"/>
  <c r="Z411" i="26"/>
  <c r="Y411" i="26"/>
  <c r="AA411" i="26" s="1"/>
  <c r="X411" i="26"/>
  <c r="W411" i="26"/>
  <c r="V411" i="26"/>
  <c r="U411" i="26"/>
  <c r="T411" i="26"/>
  <c r="L411" i="26"/>
  <c r="N411" i="26" s="1"/>
  <c r="AA410" i="26"/>
  <c r="AC410" i="26" s="1"/>
  <c r="L410" i="26"/>
  <c r="N410" i="26" s="1"/>
  <c r="AC409" i="26"/>
  <c r="AA409" i="26"/>
  <c r="L409" i="26"/>
  <c r="N409" i="26" s="1"/>
  <c r="AC408" i="26"/>
  <c r="AA408" i="26"/>
  <c r="N408" i="26"/>
  <c r="L408" i="26"/>
  <c r="AA407" i="26"/>
  <c r="AC407" i="26" s="1"/>
  <c r="L407" i="26"/>
  <c r="N407" i="26" s="1"/>
  <c r="AA406" i="26"/>
  <c r="AC406" i="26" s="1"/>
  <c r="L406" i="26"/>
  <c r="N406" i="26" s="1"/>
  <c r="AA405" i="26"/>
  <c r="AC405" i="26" s="1"/>
  <c r="L405" i="26"/>
  <c r="N405" i="26" s="1"/>
  <c r="AB404" i="26"/>
  <c r="AA404" i="26"/>
  <c r="Z404" i="26"/>
  <c r="Y404" i="26"/>
  <c r="X404" i="26"/>
  <c r="W404" i="26"/>
  <c r="V404" i="26"/>
  <c r="U404" i="26"/>
  <c r="T404" i="26"/>
  <c r="N404" i="26"/>
  <c r="L404" i="26"/>
  <c r="AA403" i="26"/>
  <c r="AC403" i="26" s="1"/>
  <c r="L403" i="26"/>
  <c r="N403" i="26" s="1"/>
  <c r="AC402" i="26"/>
  <c r="AA402" i="26"/>
  <c r="L402" i="26"/>
  <c r="N402" i="26" s="1"/>
  <c r="AA401" i="26"/>
  <c r="AC401" i="26" s="1"/>
  <c r="L401" i="26"/>
  <c r="N401" i="26" s="1"/>
  <c r="AC400" i="26"/>
  <c r="AA400" i="26"/>
  <c r="N400" i="26"/>
  <c r="L400" i="26"/>
  <c r="AA399" i="26"/>
  <c r="AC399" i="26" s="1"/>
  <c r="L399" i="26"/>
  <c r="N399" i="26" s="1"/>
  <c r="AA398" i="26"/>
  <c r="AC398" i="26" s="1"/>
  <c r="N398" i="26"/>
  <c r="L398" i="26"/>
  <c r="AC397" i="26"/>
  <c r="AA397" i="26"/>
  <c r="L397" i="26"/>
  <c r="N397" i="26" s="1"/>
  <c r="AA396" i="26"/>
  <c r="AC396" i="26" s="1"/>
  <c r="L396" i="26"/>
  <c r="N396" i="26" s="1"/>
  <c r="AA395" i="26"/>
  <c r="AC395" i="26" s="1"/>
  <c r="N395" i="26"/>
  <c r="L395" i="26"/>
  <c r="AA394" i="26"/>
  <c r="AC394" i="26" s="1"/>
  <c r="N394" i="26"/>
  <c r="L394" i="26"/>
  <c r="AA393" i="26"/>
  <c r="AC393" i="26" s="1"/>
  <c r="L393" i="26"/>
  <c r="N393" i="26" s="1"/>
  <c r="AC392" i="26"/>
  <c r="AA392" i="26"/>
  <c r="L392" i="26"/>
  <c r="N392" i="26" s="1"/>
  <c r="AC391" i="26"/>
  <c r="AA391" i="26"/>
  <c r="N391" i="26"/>
  <c r="L391" i="26"/>
  <c r="AA390" i="26"/>
  <c r="AC390" i="26" s="1"/>
  <c r="L390" i="26"/>
  <c r="N390" i="26" s="1"/>
  <c r="AB389" i="26"/>
  <c r="Z389" i="26"/>
  <c r="Y389" i="26"/>
  <c r="AA389" i="26" s="1"/>
  <c r="X389" i="26"/>
  <c r="W389" i="26"/>
  <c r="V389" i="26"/>
  <c r="U389" i="26"/>
  <c r="T389" i="26"/>
  <c r="L389" i="26"/>
  <c r="N389" i="26" s="1"/>
  <c r="AA388" i="26"/>
  <c r="AC388" i="26" s="1"/>
  <c r="L388" i="26"/>
  <c r="L413" i="26" s="1"/>
  <c r="AA387" i="26"/>
  <c r="AC387" i="26" s="1"/>
  <c r="M387" i="26"/>
  <c r="K387" i="26"/>
  <c r="J387" i="26"/>
  <c r="I387" i="26"/>
  <c r="H387" i="26"/>
  <c r="G387" i="26"/>
  <c r="F387" i="26"/>
  <c r="E387" i="26"/>
  <c r="AA386" i="26"/>
  <c r="AC386" i="26" s="1"/>
  <c r="N386" i="26"/>
  <c r="L386" i="26"/>
  <c r="AA385" i="26"/>
  <c r="AC385" i="26" s="1"/>
  <c r="L385" i="26"/>
  <c r="N385" i="26" s="1"/>
  <c r="AA384" i="26"/>
  <c r="AC384" i="26" s="1"/>
  <c r="L384" i="26"/>
  <c r="N384" i="26" s="1"/>
  <c r="AC383" i="26"/>
  <c r="AA383" i="26"/>
  <c r="L383" i="26"/>
  <c r="N383" i="26" s="1"/>
  <c r="AC382" i="26"/>
  <c r="AA382" i="26"/>
  <c r="N382" i="26"/>
  <c r="L382" i="26"/>
  <c r="AA381" i="26"/>
  <c r="AC381" i="26" s="1"/>
  <c r="L381" i="26"/>
  <c r="N381" i="26" s="1"/>
  <c r="AA380" i="26"/>
  <c r="AC380" i="26" s="1"/>
  <c r="L380" i="26"/>
  <c r="N380" i="26" s="1"/>
  <c r="AA379" i="26"/>
  <c r="AC379" i="26" s="1"/>
  <c r="L379" i="26"/>
  <c r="N379" i="26" s="1"/>
  <c r="AA378" i="26"/>
  <c r="AC378" i="26" s="1"/>
  <c r="N378" i="26"/>
  <c r="L378" i="26"/>
  <c r="AA377" i="26"/>
  <c r="AC377" i="26" s="1"/>
  <c r="N377" i="26"/>
  <c r="L377" i="26"/>
  <c r="AA376" i="26"/>
  <c r="AC376" i="26" s="1"/>
  <c r="N376" i="26"/>
  <c r="L376" i="26"/>
  <c r="AA375" i="26"/>
  <c r="AC375" i="26" s="1"/>
  <c r="L375" i="26"/>
  <c r="N375" i="26" s="1"/>
  <c r="AC374" i="26"/>
  <c r="AA374" i="26"/>
  <c r="L374" i="26"/>
  <c r="N374" i="26" s="1"/>
  <c r="AA373" i="26"/>
  <c r="AC373" i="26" s="1"/>
  <c r="L373" i="26"/>
  <c r="N373" i="26" s="1"/>
  <c r="AA372" i="26"/>
  <c r="AC372" i="26" s="1"/>
  <c r="L372" i="26"/>
  <c r="N372" i="26" s="1"/>
  <c r="AB371" i="26"/>
  <c r="Z371" i="26"/>
  <c r="Y371" i="26"/>
  <c r="AA371" i="26" s="1"/>
  <c r="X371" i="26"/>
  <c r="W371" i="26"/>
  <c r="V371" i="26"/>
  <c r="U371" i="26"/>
  <c r="T371" i="26"/>
  <c r="L371" i="26"/>
  <c r="N371" i="26" s="1"/>
  <c r="AC370" i="26"/>
  <c r="AA370" i="26"/>
  <c r="L370" i="26"/>
  <c r="N370" i="26" s="1"/>
  <c r="AA369" i="26"/>
  <c r="AC369" i="26" s="1"/>
  <c r="L369" i="26"/>
  <c r="N369" i="26" s="1"/>
  <c r="AA368" i="26"/>
  <c r="AC368" i="26" s="1"/>
  <c r="N368" i="26"/>
  <c r="L368" i="26"/>
  <c r="AA367" i="26"/>
  <c r="AC367" i="26" s="1"/>
  <c r="L367" i="26"/>
  <c r="N367" i="26" s="1"/>
  <c r="AA366" i="26"/>
  <c r="AC366" i="26" s="1"/>
  <c r="L366" i="26"/>
  <c r="N366" i="26" s="1"/>
  <c r="AA365" i="26"/>
  <c r="AC365" i="26" s="1"/>
  <c r="N365" i="26"/>
  <c r="L365" i="26"/>
  <c r="AC364" i="26"/>
  <c r="AA364" i="26"/>
  <c r="L364" i="26"/>
  <c r="AA363" i="26"/>
  <c r="AC363" i="26" s="1"/>
  <c r="M363" i="26"/>
  <c r="K363" i="26"/>
  <c r="J363" i="26"/>
  <c r="I363" i="26"/>
  <c r="H363" i="26"/>
  <c r="G363" i="26"/>
  <c r="F363" i="26"/>
  <c r="E363" i="26"/>
  <c r="AA362" i="26"/>
  <c r="AC362" i="26" s="1"/>
  <c r="L362" i="26"/>
  <c r="N362" i="26" s="1"/>
  <c r="AA361" i="26"/>
  <c r="AC361" i="26" s="1"/>
  <c r="N361" i="26"/>
  <c r="L361" i="26"/>
  <c r="AA360" i="26"/>
  <c r="AC360" i="26" s="1"/>
  <c r="L360" i="26"/>
  <c r="N360" i="26" s="1"/>
  <c r="AA359" i="26"/>
  <c r="AC359" i="26" s="1"/>
  <c r="N359" i="26"/>
  <c r="L359" i="26"/>
  <c r="AC358" i="26"/>
  <c r="AA358" i="26"/>
  <c r="L358" i="26"/>
  <c r="N358" i="26" s="1"/>
  <c r="AA357" i="26"/>
  <c r="AC357" i="26" s="1"/>
  <c r="L357" i="26"/>
  <c r="N357" i="26" s="1"/>
  <c r="AA356" i="26"/>
  <c r="AC356" i="26" s="1"/>
  <c r="N356" i="26"/>
  <c r="L356" i="26"/>
  <c r="AA355" i="26"/>
  <c r="AC355" i="26" s="1"/>
  <c r="L355" i="26"/>
  <c r="N355" i="26" s="1"/>
  <c r="AB354" i="26"/>
  <c r="Z354" i="26"/>
  <c r="Y354" i="26"/>
  <c r="AA354" i="26" s="1"/>
  <c r="X354" i="26"/>
  <c r="W354" i="26"/>
  <c r="V354" i="26"/>
  <c r="U354" i="26"/>
  <c r="T354" i="26"/>
  <c r="L354" i="26"/>
  <c r="N354" i="26" s="1"/>
  <c r="AA353" i="26"/>
  <c r="AC353" i="26" s="1"/>
  <c r="L353" i="26"/>
  <c r="N353" i="26" s="1"/>
  <c r="AA352" i="26"/>
  <c r="AC352" i="26" s="1"/>
  <c r="L352" i="26"/>
  <c r="N352" i="26" s="1"/>
  <c r="AA351" i="26"/>
  <c r="AC351" i="26" s="1"/>
  <c r="N351" i="26"/>
  <c r="L351" i="26"/>
  <c r="AA350" i="26"/>
  <c r="AC350" i="26" s="1"/>
  <c r="N350" i="26"/>
  <c r="L350" i="26"/>
  <c r="AA349" i="26"/>
  <c r="AC349" i="26" s="1"/>
  <c r="N349" i="26"/>
  <c r="L349" i="26"/>
  <c r="AA348" i="26"/>
  <c r="AC348" i="26" s="1"/>
  <c r="L348" i="26"/>
  <c r="N348" i="26" s="1"/>
  <c r="AA347" i="26"/>
  <c r="AC347" i="26" s="1"/>
  <c r="L347" i="26"/>
  <c r="N347" i="26" s="1"/>
  <c r="AA346" i="26"/>
  <c r="AC346" i="26" s="1"/>
  <c r="L346" i="26"/>
  <c r="N346" i="26" s="1"/>
  <c r="AA345" i="26"/>
  <c r="AC345" i="26" s="1"/>
  <c r="L345" i="26"/>
  <c r="N345" i="26" s="1"/>
  <c r="AC344" i="26"/>
  <c r="AA344" i="26"/>
  <c r="L344" i="26"/>
  <c r="N344" i="26" s="1"/>
  <c r="AC343" i="26"/>
  <c r="AA343" i="26"/>
  <c r="L343" i="26"/>
  <c r="N343" i="26" s="1"/>
  <c r="AA342" i="26"/>
  <c r="AC342" i="26" s="1"/>
  <c r="L342" i="26"/>
  <c r="N342" i="26" s="1"/>
  <c r="AA341" i="26"/>
  <c r="AC341" i="26" s="1"/>
  <c r="L341" i="26"/>
  <c r="N341" i="26" s="1"/>
  <c r="AA340" i="26"/>
  <c r="AC340" i="26" s="1"/>
  <c r="L340" i="26"/>
  <c r="AA339" i="26"/>
  <c r="AC339" i="26" s="1"/>
  <c r="N339" i="26"/>
  <c r="L339" i="26"/>
  <c r="AA338" i="26"/>
  <c r="AC338" i="26" s="1"/>
  <c r="L338" i="26"/>
  <c r="N338" i="26" s="1"/>
  <c r="AC337" i="26"/>
  <c r="AA337" i="26"/>
  <c r="L337" i="26"/>
  <c r="N337" i="26" s="1"/>
  <c r="AA336" i="26"/>
  <c r="AC336" i="26" s="1"/>
  <c r="L336" i="26"/>
  <c r="N336" i="26" s="1"/>
  <c r="AA335" i="26"/>
  <c r="AC335" i="26" s="1"/>
  <c r="O335" i="26"/>
  <c r="M335" i="26"/>
  <c r="J335" i="26"/>
  <c r="I335" i="26"/>
  <c r="H335" i="26"/>
  <c r="G335" i="26"/>
  <c r="F335" i="26"/>
  <c r="E335" i="26"/>
  <c r="AA334" i="26"/>
  <c r="AC334" i="26" s="1"/>
  <c r="K334" i="26"/>
  <c r="L334" i="26" s="1"/>
  <c r="N334" i="26" s="1"/>
  <c r="AA333" i="26"/>
  <c r="AC333" i="26" s="1"/>
  <c r="N333" i="26"/>
  <c r="L333" i="26"/>
  <c r="K333" i="26"/>
  <c r="AA332" i="26"/>
  <c r="AC332" i="26" s="1"/>
  <c r="K332" i="26"/>
  <c r="L332" i="26" s="1"/>
  <c r="N332" i="26" s="1"/>
  <c r="AA331" i="26"/>
  <c r="AC331" i="26" s="1"/>
  <c r="K331" i="26"/>
  <c r="L331" i="26" s="1"/>
  <c r="N331" i="26" s="1"/>
  <c r="AB330" i="26"/>
  <c r="Y330" i="26"/>
  <c r="X330" i="26"/>
  <c r="W330" i="26"/>
  <c r="V330" i="26"/>
  <c r="U330" i="26"/>
  <c r="T330" i="26"/>
  <c r="N330" i="26"/>
  <c r="L330" i="26"/>
  <c r="K330" i="26"/>
  <c r="Z329" i="26"/>
  <c r="AA329" i="26" s="1"/>
  <c r="AC329" i="26" s="1"/>
  <c r="K329" i="26"/>
  <c r="L329" i="26" s="1"/>
  <c r="N329" i="26" s="1"/>
  <c r="Z328" i="26"/>
  <c r="AA328" i="26" s="1"/>
  <c r="AC328" i="26" s="1"/>
  <c r="K328" i="26"/>
  <c r="L328" i="26" s="1"/>
  <c r="N328" i="26" s="1"/>
  <c r="Z327" i="26"/>
  <c r="AA327" i="26" s="1"/>
  <c r="AC327" i="26" s="1"/>
  <c r="K327" i="26"/>
  <c r="L327" i="26" s="1"/>
  <c r="N327" i="26" s="1"/>
  <c r="Z326" i="26"/>
  <c r="AA326" i="26" s="1"/>
  <c r="AC326" i="26" s="1"/>
  <c r="K326" i="26"/>
  <c r="L326" i="26" s="1"/>
  <c r="N326" i="26" s="1"/>
  <c r="AC325" i="26"/>
  <c r="AA325" i="26"/>
  <c r="Z325" i="26"/>
  <c r="L325" i="26"/>
  <c r="N325" i="26" s="1"/>
  <c r="K325" i="26"/>
  <c r="Z324" i="26"/>
  <c r="AA324" i="26" s="1"/>
  <c r="AC324" i="26" s="1"/>
  <c r="K324" i="26"/>
  <c r="L324" i="26" s="1"/>
  <c r="N324" i="26" s="1"/>
  <c r="Z323" i="26"/>
  <c r="AA323" i="26" s="1"/>
  <c r="AC323" i="26" s="1"/>
  <c r="N323" i="26"/>
  <c r="L323" i="26"/>
  <c r="K323" i="26"/>
  <c r="Z322" i="26"/>
  <c r="AA322" i="26" s="1"/>
  <c r="AC322" i="26" s="1"/>
  <c r="K322" i="26"/>
  <c r="L322" i="26" s="1"/>
  <c r="N322" i="26" s="1"/>
  <c r="Z321" i="26"/>
  <c r="AA321" i="26" s="1"/>
  <c r="AC321" i="26" s="1"/>
  <c r="K321" i="26"/>
  <c r="L321" i="26" s="1"/>
  <c r="N321" i="26" s="1"/>
  <c r="AC320" i="26"/>
  <c r="AA320" i="26"/>
  <c r="Z320" i="26"/>
  <c r="K320" i="26"/>
  <c r="L320" i="26" s="1"/>
  <c r="N320" i="26" s="1"/>
  <c r="Z319" i="26"/>
  <c r="AA319" i="26" s="1"/>
  <c r="AC319" i="26" s="1"/>
  <c r="K319" i="26"/>
  <c r="L319" i="26" s="1"/>
  <c r="N319" i="26" s="1"/>
  <c r="Z318" i="26"/>
  <c r="AA318" i="26" s="1"/>
  <c r="AC318" i="26" s="1"/>
  <c r="K318" i="26"/>
  <c r="L318" i="26" s="1"/>
  <c r="N318" i="26" s="1"/>
  <c r="Z317" i="26"/>
  <c r="AA317" i="26" s="1"/>
  <c r="AC317" i="26" s="1"/>
  <c r="K317" i="26"/>
  <c r="L317" i="26" s="1"/>
  <c r="N317" i="26" s="1"/>
  <c r="Z316" i="26"/>
  <c r="AA316" i="26" s="1"/>
  <c r="AC316" i="26" s="1"/>
  <c r="N316" i="26"/>
  <c r="L316" i="26"/>
  <c r="K316" i="26"/>
  <c r="Z315" i="26"/>
  <c r="AA315" i="26" s="1"/>
  <c r="AC315" i="26" s="1"/>
  <c r="K315" i="26"/>
  <c r="L315" i="26" s="1"/>
  <c r="N315" i="26" s="1"/>
  <c r="AA314" i="26"/>
  <c r="AC314" i="26" s="1"/>
  <c r="Z314" i="26"/>
  <c r="L314" i="26"/>
  <c r="N314" i="26" s="1"/>
  <c r="K314" i="26"/>
  <c r="Z313" i="26"/>
  <c r="AA313" i="26" s="1"/>
  <c r="AC313" i="26" s="1"/>
  <c r="K313" i="26"/>
  <c r="L313" i="26" s="1"/>
  <c r="N313" i="26" s="1"/>
  <c r="Z312" i="26"/>
  <c r="AA312" i="26" s="1"/>
  <c r="AC312" i="26" s="1"/>
  <c r="K312" i="26"/>
  <c r="L312" i="26" s="1"/>
  <c r="N312" i="26" s="1"/>
  <c r="AC311" i="26"/>
  <c r="AA311" i="26"/>
  <c r="Z311" i="26"/>
  <c r="L311" i="26"/>
  <c r="N311" i="26" s="1"/>
  <c r="K311" i="26"/>
  <c r="Z310" i="26"/>
  <c r="AA310" i="26" s="1"/>
  <c r="AC310" i="26" s="1"/>
  <c r="L310" i="26"/>
  <c r="N310" i="26" s="1"/>
  <c r="K310" i="26"/>
  <c r="Z309" i="26"/>
  <c r="AA309" i="26" s="1"/>
  <c r="AC309" i="26" s="1"/>
  <c r="K309" i="26"/>
  <c r="L309" i="26" s="1"/>
  <c r="N309" i="26" s="1"/>
  <c r="Z308" i="26"/>
  <c r="AA308" i="26" s="1"/>
  <c r="AC308" i="26" s="1"/>
  <c r="K308" i="26"/>
  <c r="L308" i="26" s="1"/>
  <c r="Z307" i="26"/>
  <c r="Z330" i="26" s="1"/>
  <c r="AA330" i="26" s="1"/>
  <c r="M307" i="26"/>
  <c r="K307" i="26"/>
  <c r="J307" i="26"/>
  <c r="I307" i="26"/>
  <c r="H307" i="26"/>
  <c r="G307" i="26"/>
  <c r="F307" i="26"/>
  <c r="E307" i="26"/>
  <c r="AB306" i="26"/>
  <c r="Y306" i="26"/>
  <c r="X306" i="26"/>
  <c r="W306" i="26"/>
  <c r="V306" i="26"/>
  <c r="U306" i="26"/>
  <c r="T306" i="26"/>
  <c r="L306" i="26"/>
  <c r="N306" i="26" s="1"/>
  <c r="Z305" i="26"/>
  <c r="AA305" i="26" s="1"/>
  <c r="AC305" i="26" s="1"/>
  <c r="N305" i="26"/>
  <c r="L305" i="26"/>
  <c r="Z304" i="26"/>
  <c r="AA304" i="26" s="1"/>
  <c r="AC304" i="26" s="1"/>
  <c r="L304" i="26"/>
  <c r="N304" i="26" s="1"/>
  <c r="Z303" i="26"/>
  <c r="AA303" i="26" s="1"/>
  <c r="AC303" i="26" s="1"/>
  <c r="L303" i="26"/>
  <c r="N303" i="26" s="1"/>
  <c r="Z302" i="26"/>
  <c r="AA302" i="26" s="1"/>
  <c r="AC302" i="26" s="1"/>
  <c r="L302" i="26"/>
  <c r="N302" i="26" s="1"/>
  <c r="Z301" i="26"/>
  <c r="AA301" i="26" s="1"/>
  <c r="AC301" i="26" s="1"/>
  <c r="L301" i="26"/>
  <c r="N301" i="26" s="1"/>
  <c r="AC300" i="26"/>
  <c r="Z300" i="26"/>
  <c r="AA300" i="26" s="1"/>
  <c r="N300" i="26"/>
  <c r="L300" i="26"/>
  <c r="Z299" i="26"/>
  <c r="AA299" i="26" s="1"/>
  <c r="AC299" i="26" s="1"/>
  <c r="N299" i="26"/>
  <c r="L299" i="26"/>
  <c r="Z298" i="26"/>
  <c r="AA298" i="26" s="1"/>
  <c r="AC298" i="26" s="1"/>
  <c r="L298" i="26"/>
  <c r="N298" i="26" s="1"/>
  <c r="Z297" i="26"/>
  <c r="AA297" i="26" s="1"/>
  <c r="AC297" i="26" s="1"/>
  <c r="L297" i="26"/>
  <c r="N297" i="26" s="1"/>
  <c r="Z296" i="26"/>
  <c r="AA296" i="26" s="1"/>
  <c r="AC296" i="26" s="1"/>
  <c r="L296" i="26"/>
  <c r="Z295" i="26"/>
  <c r="AA295" i="26" s="1"/>
  <c r="AC295" i="26" s="1"/>
  <c r="M295" i="26"/>
  <c r="K295" i="26"/>
  <c r="J295" i="26"/>
  <c r="I295" i="26"/>
  <c r="H295" i="26"/>
  <c r="G295" i="26"/>
  <c r="F295" i="26"/>
  <c r="E295" i="26"/>
  <c r="Z294" i="26"/>
  <c r="AA294" i="26" s="1"/>
  <c r="AC294" i="26" s="1"/>
  <c r="N294" i="26"/>
  <c r="L294" i="26"/>
  <c r="AA293" i="26"/>
  <c r="AC293" i="26" s="1"/>
  <c r="Z293" i="26"/>
  <c r="L293" i="26"/>
  <c r="N293" i="26" s="1"/>
  <c r="Z292" i="26"/>
  <c r="AA292" i="26" s="1"/>
  <c r="AC292" i="26" s="1"/>
  <c r="N292" i="26"/>
  <c r="L292" i="26"/>
  <c r="Z291" i="26"/>
  <c r="AA291" i="26" s="1"/>
  <c r="AC291" i="26" s="1"/>
  <c r="N291" i="26"/>
  <c r="L291" i="26"/>
  <c r="AA290" i="26"/>
  <c r="AC290" i="26" s="1"/>
  <c r="Z290" i="26"/>
  <c r="L290" i="26"/>
  <c r="N290" i="26" s="1"/>
  <c r="Z289" i="26"/>
  <c r="AA289" i="26" s="1"/>
  <c r="AC289" i="26" s="1"/>
  <c r="N289" i="26"/>
  <c r="L289" i="26"/>
  <c r="AB288" i="26"/>
  <c r="Z288" i="26"/>
  <c r="Y288" i="26"/>
  <c r="AA288" i="26" s="1"/>
  <c r="X288" i="26"/>
  <c r="W288" i="26"/>
  <c r="V288" i="26"/>
  <c r="U288" i="26"/>
  <c r="T288" i="26"/>
  <c r="L288" i="26"/>
  <c r="N288" i="26" s="1"/>
  <c r="AA287" i="26"/>
  <c r="AC287" i="26" s="1"/>
  <c r="N287" i="26"/>
  <c r="L287" i="26"/>
  <c r="AA286" i="26"/>
  <c r="AC286" i="26" s="1"/>
  <c r="L286" i="26"/>
  <c r="N286" i="26" s="1"/>
  <c r="AC285" i="26"/>
  <c r="AA285" i="26"/>
  <c r="N285" i="26"/>
  <c r="L285" i="26"/>
  <c r="AA284" i="26"/>
  <c r="AC284" i="26" s="1"/>
  <c r="L284" i="26"/>
  <c r="N284" i="26" s="1"/>
  <c r="AA283" i="26"/>
  <c r="AC283" i="26" s="1"/>
  <c r="L283" i="26"/>
  <c r="N283" i="26" s="1"/>
  <c r="AA282" i="26"/>
  <c r="AC282" i="26" s="1"/>
  <c r="L282" i="26"/>
  <c r="N282" i="26" s="1"/>
  <c r="AA281" i="26"/>
  <c r="AC281" i="26" s="1"/>
  <c r="N281" i="26"/>
  <c r="L281" i="26"/>
  <c r="AA280" i="26"/>
  <c r="AC280" i="26" s="1"/>
  <c r="N280" i="26"/>
  <c r="L280" i="26"/>
  <c r="AA279" i="26"/>
  <c r="AC279" i="26" s="1"/>
  <c r="N279" i="26"/>
  <c r="L279" i="26"/>
  <c r="AA278" i="26"/>
  <c r="AC278" i="26" s="1"/>
  <c r="L278" i="26"/>
  <c r="AC277" i="26"/>
  <c r="AA277" i="26"/>
  <c r="M277" i="26"/>
  <c r="K277" i="26"/>
  <c r="J277" i="26"/>
  <c r="I277" i="26"/>
  <c r="H277" i="26"/>
  <c r="G277" i="26"/>
  <c r="F277" i="26"/>
  <c r="E277" i="26"/>
  <c r="AC276" i="26"/>
  <c r="AA276" i="26"/>
  <c r="L276" i="26"/>
  <c r="N276" i="26" s="1"/>
  <c r="AA275" i="26"/>
  <c r="AC275" i="26" s="1"/>
  <c r="N275" i="26"/>
  <c r="L275" i="26"/>
  <c r="AA274" i="26"/>
  <c r="AC274" i="26" s="1"/>
  <c r="N274" i="26"/>
  <c r="L274" i="26"/>
  <c r="AA273" i="26"/>
  <c r="AC273" i="26" s="1"/>
  <c r="L273" i="26"/>
  <c r="N273" i="26" s="1"/>
  <c r="AA272" i="26"/>
  <c r="AC272" i="26" s="1"/>
  <c r="L272" i="26"/>
  <c r="N272" i="26" s="1"/>
  <c r="AA271" i="26"/>
  <c r="AC271" i="26" s="1"/>
  <c r="N271" i="26"/>
  <c r="L271" i="26"/>
  <c r="AA270" i="26"/>
  <c r="AC270" i="26" s="1"/>
  <c r="L270" i="26"/>
  <c r="N270" i="26" s="1"/>
  <c r="AA269" i="26"/>
  <c r="AC269" i="26" s="1"/>
  <c r="L269" i="26"/>
  <c r="N269" i="26" s="1"/>
  <c r="AC268" i="26"/>
  <c r="AA268" i="26"/>
  <c r="L268" i="26"/>
  <c r="N268" i="26" s="1"/>
  <c r="AA267" i="26"/>
  <c r="AC267" i="26" s="1"/>
  <c r="L267" i="26"/>
  <c r="N267" i="26" s="1"/>
  <c r="AA266" i="26"/>
  <c r="AC266" i="26" s="1"/>
  <c r="L266" i="26"/>
  <c r="N266" i="26" s="1"/>
  <c r="AC265" i="26"/>
  <c r="AA265" i="26"/>
  <c r="N265" i="26"/>
  <c r="L265" i="26"/>
  <c r="AA264" i="26"/>
  <c r="AC264" i="26" s="1"/>
  <c r="L264" i="26"/>
  <c r="N264" i="26" s="1"/>
  <c r="AC263" i="26"/>
  <c r="AA263" i="26"/>
  <c r="L263" i="26"/>
  <c r="N263" i="26" s="1"/>
  <c r="AC262" i="26"/>
  <c r="AA262" i="26"/>
  <c r="L262" i="26"/>
  <c r="N262" i="26" s="1"/>
  <c r="AC261" i="26"/>
  <c r="AA261" i="26"/>
  <c r="L261" i="26"/>
  <c r="N261" i="26" s="1"/>
  <c r="AA260" i="26"/>
  <c r="AC260" i="26" s="1"/>
  <c r="M260" i="26"/>
  <c r="J260" i="26"/>
  <c r="I260" i="26"/>
  <c r="H260" i="26"/>
  <c r="G260" i="26"/>
  <c r="F260" i="26"/>
  <c r="E260" i="26"/>
  <c r="AA259" i="26"/>
  <c r="AC259" i="26" s="1"/>
  <c r="L259" i="26"/>
  <c r="N259" i="26" s="1"/>
  <c r="K259" i="26"/>
  <c r="AA258" i="26"/>
  <c r="AC258" i="26" s="1"/>
  <c r="N258" i="26"/>
  <c r="L258" i="26"/>
  <c r="K258" i="26"/>
  <c r="AA257" i="26"/>
  <c r="AC257" i="26" s="1"/>
  <c r="K257" i="26"/>
  <c r="L257" i="26" s="1"/>
  <c r="N257" i="26" s="1"/>
  <c r="AA256" i="26"/>
  <c r="AC256" i="26" s="1"/>
  <c r="K256" i="26"/>
  <c r="L256" i="26" s="1"/>
  <c r="N256" i="26" s="1"/>
  <c r="AA255" i="26"/>
  <c r="AC255" i="26" s="1"/>
  <c r="K255" i="26"/>
  <c r="L255" i="26" s="1"/>
  <c r="N255" i="26" s="1"/>
  <c r="AB254" i="26"/>
  <c r="Z254" i="26"/>
  <c r="Y254" i="26"/>
  <c r="X254" i="26"/>
  <c r="W254" i="26"/>
  <c r="V254" i="26"/>
  <c r="U254" i="26"/>
  <c r="T254" i="26"/>
  <c r="L254" i="26"/>
  <c r="N254" i="26" s="1"/>
  <c r="K254" i="26"/>
  <c r="AA253" i="26"/>
  <c r="AC253" i="26" s="1"/>
  <c r="K253" i="26"/>
  <c r="L253" i="26" s="1"/>
  <c r="N253" i="26" s="1"/>
  <c r="AA252" i="26"/>
  <c r="AC252" i="26" s="1"/>
  <c r="K252" i="26"/>
  <c r="L252" i="26" s="1"/>
  <c r="N252" i="26" s="1"/>
  <c r="AA251" i="26"/>
  <c r="AC251" i="26" s="1"/>
  <c r="K251" i="26"/>
  <c r="L251" i="26" s="1"/>
  <c r="N251" i="26" s="1"/>
  <c r="AC250" i="26"/>
  <c r="AA250" i="26"/>
  <c r="L250" i="26"/>
  <c r="N250" i="26" s="1"/>
  <c r="K250" i="26"/>
  <c r="AA249" i="26"/>
  <c r="AC249" i="26" s="1"/>
  <c r="L249" i="26"/>
  <c r="N249" i="26" s="1"/>
  <c r="K249" i="26"/>
  <c r="AC248" i="26"/>
  <c r="AA248" i="26"/>
  <c r="L248" i="26"/>
  <c r="N248" i="26" s="1"/>
  <c r="K248" i="26"/>
  <c r="AA247" i="26"/>
  <c r="AC247" i="26" s="1"/>
  <c r="K247" i="26"/>
  <c r="L247" i="26" s="1"/>
  <c r="N247" i="26" s="1"/>
  <c r="AC246" i="26"/>
  <c r="AA246" i="26"/>
  <c r="K246" i="26"/>
  <c r="L246" i="26" s="1"/>
  <c r="N246" i="26" s="1"/>
  <c r="AC245" i="26"/>
  <c r="AA245" i="26"/>
  <c r="K245" i="26"/>
  <c r="L245" i="26" s="1"/>
  <c r="N245" i="26" s="1"/>
  <c r="AA244" i="26"/>
  <c r="AC244" i="26" s="1"/>
  <c r="K244" i="26"/>
  <c r="AC243" i="26"/>
  <c r="AA243" i="26"/>
  <c r="K243" i="26"/>
  <c r="L243" i="26" s="1"/>
  <c r="N243" i="26" s="1"/>
  <c r="AA242" i="26"/>
  <c r="AC242" i="26" s="1"/>
  <c r="L242" i="26"/>
  <c r="N242" i="26" s="1"/>
  <c r="K242" i="26"/>
  <c r="AA241" i="26"/>
  <c r="AC241" i="26" s="1"/>
  <c r="M241" i="26"/>
  <c r="K241" i="26"/>
  <c r="J241" i="26"/>
  <c r="I241" i="26"/>
  <c r="H241" i="26"/>
  <c r="G241" i="26"/>
  <c r="F241" i="26"/>
  <c r="E241" i="26"/>
  <c r="AA240" i="26"/>
  <c r="AC240" i="26" s="1"/>
  <c r="N240" i="26"/>
  <c r="L240" i="26"/>
  <c r="AA239" i="26"/>
  <c r="AC239" i="26" s="1"/>
  <c r="L239" i="26"/>
  <c r="N239" i="26" s="1"/>
  <c r="AA238" i="26"/>
  <c r="AC238" i="26" s="1"/>
  <c r="L238" i="26"/>
  <c r="N238" i="26" s="1"/>
  <c r="AC237" i="26"/>
  <c r="AA237" i="26"/>
  <c r="L237" i="26"/>
  <c r="N237" i="26" s="1"/>
  <c r="AA236" i="26"/>
  <c r="AC236" i="26" s="1"/>
  <c r="L236" i="26"/>
  <c r="N236" i="26" s="1"/>
  <c r="AA235" i="26"/>
  <c r="AC235" i="26" s="1"/>
  <c r="L235" i="26"/>
  <c r="N235" i="26" s="1"/>
  <c r="AA234" i="26"/>
  <c r="AC234" i="26" s="1"/>
  <c r="N234" i="26"/>
  <c r="L234" i="26"/>
  <c r="AA233" i="26"/>
  <c r="AC233" i="26" s="1"/>
  <c r="L233" i="26"/>
  <c r="N233" i="26" s="1"/>
  <c r="AA232" i="26"/>
  <c r="AC232" i="26" s="1"/>
  <c r="N232" i="26"/>
  <c r="L232" i="26"/>
  <c r="AA231" i="26"/>
  <c r="AC231" i="26" s="1"/>
  <c r="L231" i="26"/>
  <c r="N231" i="26" s="1"/>
  <c r="AA230" i="26"/>
  <c r="AC230" i="26" s="1"/>
  <c r="L230" i="26"/>
  <c r="N230" i="26" s="1"/>
  <c r="AA229" i="26"/>
  <c r="AC229" i="26" s="1"/>
  <c r="L229" i="26"/>
  <c r="AA228" i="26"/>
  <c r="AA254" i="26" s="1"/>
  <c r="L228" i="26"/>
  <c r="N228" i="26" s="1"/>
  <c r="AA227" i="26"/>
  <c r="AC227" i="26" s="1"/>
  <c r="M227" i="26"/>
  <c r="J227" i="26"/>
  <c r="I227" i="26"/>
  <c r="H227" i="26"/>
  <c r="G227" i="26"/>
  <c r="F227" i="26"/>
  <c r="E227" i="26"/>
  <c r="AA226" i="26"/>
  <c r="AC226" i="26" s="1"/>
  <c r="K226" i="26"/>
  <c r="L226" i="26" s="1"/>
  <c r="N226" i="26" s="1"/>
  <c r="AA225" i="26"/>
  <c r="AC225" i="26" s="1"/>
  <c r="K225" i="26"/>
  <c r="L225" i="26" s="1"/>
  <c r="N225" i="26" s="1"/>
  <c r="AA224" i="26"/>
  <c r="AC224" i="26" s="1"/>
  <c r="K224" i="26"/>
  <c r="L224" i="26" s="1"/>
  <c r="N224" i="26" s="1"/>
  <c r="AB223" i="26"/>
  <c r="Y223" i="26"/>
  <c r="X223" i="26"/>
  <c r="W223" i="26"/>
  <c r="V223" i="26"/>
  <c r="U223" i="26"/>
  <c r="T223" i="26"/>
  <c r="K223" i="26"/>
  <c r="L223" i="26" s="1"/>
  <c r="N223" i="26" s="1"/>
  <c r="Z222" i="26"/>
  <c r="AA222" i="26" s="1"/>
  <c r="AC222" i="26" s="1"/>
  <c r="K222" i="26"/>
  <c r="L222" i="26" s="1"/>
  <c r="N222" i="26" s="1"/>
  <c r="Z221" i="26"/>
  <c r="AA221" i="26" s="1"/>
  <c r="AC221" i="26" s="1"/>
  <c r="K221" i="26"/>
  <c r="L221" i="26" s="1"/>
  <c r="N221" i="26" s="1"/>
  <c r="Z220" i="26"/>
  <c r="AA220" i="26" s="1"/>
  <c r="AC220" i="26" s="1"/>
  <c r="K220" i="26"/>
  <c r="L220" i="26" s="1"/>
  <c r="N220" i="26" s="1"/>
  <c r="AA219" i="26"/>
  <c r="AC219" i="26" s="1"/>
  <c r="Z219" i="26"/>
  <c r="K219" i="26"/>
  <c r="L219" i="26" s="1"/>
  <c r="N219" i="26" s="1"/>
  <c r="Z218" i="26"/>
  <c r="AA218" i="26" s="1"/>
  <c r="AC218" i="26" s="1"/>
  <c r="K218" i="26"/>
  <c r="L218" i="26" s="1"/>
  <c r="N218" i="26" s="1"/>
  <c r="Z217" i="26"/>
  <c r="AA217" i="26" s="1"/>
  <c r="AC217" i="26" s="1"/>
  <c r="L217" i="26"/>
  <c r="N217" i="26" s="1"/>
  <c r="K217" i="26"/>
  <c r="Z216" i="26"/>
  <c r="AA216" i="26" s="1"/>
  <c r="AC216" i="26" s="1"/>
  <c r="K216" i="26"/>
  <c r="L216" i="26" s="1"/>
  <c r="N216" i="26" s="1"/>
  <c r="AA215" i="26"/>
  <c r="AC215" i="26" s="1"/>
  <c r="Z215" i="26"/>
  <c r="L215" i="26"/>
  <c r="N215" i="26" s="1"/>
  <c r="K215" i="26"/>
  <c r="AC214" i="26"/>
  <c r="AA214" i="26"/>
  <c r="Z214" i="26"/>
  <c r="L214" i="26"/>
  <c r="N214" i="26" s="1"/>
  <c r="K214" i="26"/>
  <c r="Z213" i="26"/>
  <c r="AA213" i="26" s="1"/>
  <c r="AC213" i="26" s="1"/>
  <c r="L213" i="26"/>
  <c r="N213" i="26" s="1"/>
  <c r="K213" i="26"/>
  <c r="Z212" i="26"/>
  <c r="AA212" i="26" s="1"/>
  <c r="AC212" i="26" s="1"/>
  <c r="K212" i="26"/>
  <c r="L212" i="26" s="1"/>
  <c r="N212" i="26" s="1"/>
  <c r="Z211" i="26"/>
  <c r="AA211" i="26" s="1"/>
  <c r="AC211" i="26" s="1"/>
  <c r="K211" i="26"/>
  <c r="L211" i="26" s="1"/>
  <c r="N211" i="26" s="1"/>
  <c r="Z210" i="26"/>
  <c r="AA210" i="26" s="1"/>
  <c r="AC210" i="26" s="1"/>
  <c r="L210" i="26"/>
  <c r="N210" i="26" s="1"/>
  <c r="K210" i="26"/>
  <c r="Z209" i="26"/>
  <c r="AA209" i="26" s="1"/>
  <c r="AC209" i="26" s="1"/>
  <c r="K209" i="26"/>
  <c r="L209" i="26" s="1"/>
  <c r="N209" i="26" s="1"/>
  <c r="AA208" i="26"/>
  <c r="AC208" i="26" s="1"/>
  <c r="Z208" i="26"/>
  <c r="K208" i="26"/>
  <c r="L208" i="26" s="1"/>
  <c r="N208" i="26" s="1"/>
  <c r="Z207" i="26"/>
  <c r="AA207" i="26" s="1"/>
  <c r="AC207" i="26" s="1"/>
  <c r="K207" i="26"/>
  <c r="L207" i="26" s="1"/>
  <c r="N207" i="26" s="1"/>
  <c r="Z206" i="26"/>
  <c r="AA206" i="26" s="1"/>
  <c r="AC206" i="26" s="1"/>
  <c r="K206" i="26"/>
  <c r="L206" i="26" s="1"/>
  <c r="N206" i="26" s="1"/>
  <c r="AA205" i="26"/>
  <c r="AC205" i="26" s="1"/>
  <c r="Z205" i="26"/>
  <c r="K205" i="26"/>
  <c r="L205" i="26" s="1"/>
  <c r="N205" i="26" s="1"/>
  <c r="AB204" i="26"/>
  <c r="AA204" i="26"/>
  <c r="Z204" i="26"/>
  <c r="Y204" i="26"/>
  <c r="X204" i="26"/>
  <c r="W204" i="26"/>
  <c r="V204" i="26"/>
  <c r="U204" i="26"/>
  <c r="T204" i="26"/>
  <c r="K204" i="26"/>
  <c r="L204" i="26" s="1"/>
  <c r="N204" i="26" s="1"/>
  <c r="AA203" i="26"/>
  <c r="AC203" i="26" s="1"/>
  <c r="K203" i="26"/>
  <c r="L203" i="26" s="1"/>
  <c r="N203" i="26" s="1"/>
  <c r="AC202" i="26"/>
  <c r="AA202" i="26"/>
  <c r="K202" i="26"/>
  <c r="AA201" i="26"/>
  <c r="AC201" i="26" s="1"/>
  <c r="M201" i="26"/>
  <c r="J201" i="26"/>
  <c r="I201" i="26"/>
  <c r="H201" i="26"/>
  <c r="G201" i="26"/>
  <c r="F201" i="26"/>
  <c r="E201" i="26"/>
  <c r="AA200" i="26"/>
  <c r="AC200" i="26" s="1"/>
  <c r="K200" i="26"/>
  <c r="L200" i="26" s="1"/>
  <c r="N200" i="26" s="1"/>
  <c r="AA199" i="26"/>
  <c r="AC199" i="26" s="1"/>
  <c r="N199" i="26"/>
  <c r="L199" i="26"/>
  <c r="K199" i="26"/>
  <c r="AA198" i="26"/>
  <c r="AC198" i="26" s="1"/>
  <c r="L198" i="26"/>
  <c r="N198" i="26" s="1"/>
  <c r="K198" i="26"/>
  <c r="AA197" i="26"/>
  <c r="AC197" i="26" s="1"/>
  <c r="K197" i="26"/>
  <c r="L197" i="26" s="1"/>
  <c r="N197" i="26" s="1"/>
  <c r="AA196" i="26"/>
  <c r="AC196" i="26" s="1"/>
  <c r="K196" i="26"/>
  <c r="L196" i="26" s="1"/>
  <c r="N196" i="26" s="1"/>
  <c r="AA195" i="26"/>
  <c r="AC195" i="26" s="1"/>
  <c r="K195" i="26"/>
  <c r="L195" i="26" s="1"/>
  <c r="N195" i="26" s="1"/>
  <c r="AC194" i="26"/>
  <c r="AA194" i="26"/>
  <c r="L194" i="26"/>
  <c r="N194" i="26" s="1"/>
  <c r="K194" i="26"/>
  <c r="AC193" i="26"/>
  <c r="AA193" i="26"/>
  <c r="L193" i="26"/>
  <c r="N193" i="26" s="1"/>
  <c r="K193" i="26"/>
  <c r="AA192" i="26"/>
  <c r="AC192" i="26" s="1"/>
  <c r="K192" i="26"/>
  <c r="L192" i="26" s="1"/>
  <c r="N192" i="26" s="1"/>
  <c r="AA191" i="26"/>
  <c r="AC191" i="26" s="1"/>
  <c r="K191" i="26"/>
  <c r="L191" i="26" s="1"/>
  <c r="N191" i="26" s="1"/>
  <c r="AA190" i="26"/>
  <c r="AC190" i="26" s="1"/>
  <c r="K190" i="26"/>
  <c r="L190" i="26" s="1"/>
  <c r="N190" i="26" s="1"/>
  <c r="AA189" i="26"/>
  <c r="AC189" i="26" s="1"/>
  <c r="K189" i="26"/>
  <c r="L189" i="26" s="1"/>
  <c r="N189" i="26" s="1"/>
  <c r="AC188" i="26"/>
  <c r="AA188" i="26"/>
  <c r="L188" i="26"/>
  <c r="N188" i="26" s="1"/>
  <c r="K188" i="26"/>
  <c r="AA187" i="26"/>
  <c r="AC187" i="26" s="1"/>
  <c r="K187" i="26"/>
  <c r="L187" i="26" s="1"/>
  <c r="N187" i="26" s="1"/>
  <c r="AA186" i="26"/>
  <c r="AC186" i="26" s="1"/>
  <c r="K186" i="26"/>
  <c r="L186" i="26" s="1"/>
  <c r="N186" i="26" s="1"/>
  <c r="AA185" i="26"/>
  <c r="AC185" i="26" s="1"/>
  <c r="K185" i="26"/>
  <c r="L185" i="26" s="1"/>
  <c r="N185" i="26" s="1"/>
  <c r="AA184" i="26"/>
  <c r="AC184" i="26" s="1"/>
  <c r="N184" i="26"/>
  <c r="K184" i="26"/>
  <c r="L184" i="26" s="1"/>
  <c r="AB183" i="26"/>
  <c r="Y183" i="26"/>
  <c r="X183" i="26"/>
  <c r="W183" i="26"/>
  <c r="V183" i="26"/>
  <c r="T183" i="26"/>
  <c r="K183" i="26"/>
  <c r="Z182" i="26"/>
  <c r="AA182" i="26" s="1"/>
  <c r="AC182" i="26" s="1"/>
  <c r="M182" i="26"/>
  <c r="K182" i="26"/>
  <c r="J182" i="26"/>
  <c r="I182" i="26"/>
  <c r="H182" i="26"/>
  <c r="G182" i="26"/>
  <c r="F182" i="26"/>
  <c r="E182" i="26"/>
  <c r="Z181" i="26"/>
  <c r="AA181" i="26" s="1"/>
  <c r="AC181" i="26" s="1"/>
  <c r="L181" i="26"/>
  <c r="N181" i="26" s="1"/>
  <c r="Z180" i="26"/>
  <c r="AA180" i="26" s="1"/>
  <c r="AC180" i="26" s="1"/>
  <c r="L180" i="26"/>
  <c r="N180" i="26" s="1"/>
  <c r="Z179" i="26"/>
  <c r="AA179" i="26" s="1"/>
  <c r="AC179" i="26" s="1"/>
  <c r="L179" i="26"/>
  <c r="N179" i="26" s="1"/>
  <c r="AA178" i="26"/>
  <c r="AC178" i="26" s="1"/>
  <c r="Z178" i="26"/>
  <c r="L178" i="26"/>
  <c r="N178" i="26" s="1"/>
  <c r="Z177" i="26"/>
  <c r="AA177" i="26" s="1"/>
  <c r="AC177" i="26" s="1"/>
  <c r="L177" i="26"/>
  <c r="N177" i="26" s="1"/>
  <c r="Z176" i="26"/>
  <c r="AA176" i="26" s="1"/>
  <c r="AC176" i="26" s="1"/>
  <c r="L176" i="26"/>
  <c r="N176" i="26" s="1"/>
  <c r="Z175" i="26"/>
  <c r="AA175" i="26" s="1"/>
  <c r="AC175" i="26" s="1"/>
  <c r="L175" i="26"/>
  <c r="N175" i="26" s="1"/>
  <c r="AA174" i="26"/>
  <c r="AC174" i="26" s="1"/>
  <c r="Z174" i="26"/>
  <c r="N174" i="26"/>
  <c r="L174" i="26"/>
  <c r="AA173" i="26"/>
  <c r="AC173" i="26" s="1"/>
  <c r="Z173" i="26"/>
  <c r="L173" i="26"/>
  <c r="N173" i="26" s="1"/>
  <c r="Z172" i="26"/>
  <c r="AA172" i="26" s="1"/>
  <c r="AC172" i="26" s="1"/>
  <c r="L172" i="26"/>
  <c r="N172" i="26" s="1"/>
  <c r="Z171" i="26"/>
  <c r="AA171" i="26" s="1"/>
  <c r="AC171" i="26" s="1"/>
  <c r="N171" i="26"/>
  <c r="L171" i="26"/>
  <c r="Z170" i="26"/>
  <c r="AA170" i="26" s="1"/>
  <c r="AC170" i="26" s="1"/>
  <c r="L170" i="26"/>
  <c r="N170" i="26" s="1"/>
  <c r="Z169" i="26"/>
  <c r="AA169" i="26" s="1"/>
  <c r="AC169" i="26" s="1"/>
  <c r="N169" i="26"/>
  <c r="L169" i="26"/>
  <c r="Z168" i="26"/>
  <c r="AA168" i="26" s="1"/>
  <c r="AC168" i="26" s="1"/>
  <c r="N168" i="26"/>
  <c r="L168" i="26"/>
  <c r="Z167" i="26"/>
  <c r="AA167" i="26" s="1"/>
  <c r="AC167" i="26" s="1"/>
  <c r="L167" i="26"/>
  <c r="N167" i="26" s="1"/>
  <c r="Z166" i="26"/>
  <c r="AA166" i="26" s="1"/>
  <c r="AC166" i="26" s="1"/>
  <c r="L166" i="26"/>
  <c r="N166" i="26" s="1"/>
  <c r="Z165" i="26"/>
  <c r="AA165" i="26" s="1"/>
  <c r="AC165" i="26" s="1"/>
  <c r="L165" i="26"/>
  <c r="N165" i="26" s="1"/>
  <c r="Z164" i="26"/>
  <c r="AA164" i="26" s="1"/>
  <c r="AC164" i="26" s="1"/>
  <c r="L164" i="26"/>
  <c r="N164" i="26" s="1"/>
  <c r="AA163" i="26"/>
  <c r="AC163" i="26" s="1"/>
  <c r="Z163" i="26"/>
  <c r="L163" i="26"/>
  <c r="N163" i="26" s="1"/>
  <c r="Z162" i="26"/>
  <c r="AA162" i="26" s="1"/>
  <c r="AC162" i="26" s="1"/>
  <c r="L162" i="26"/>
  <c r="N162" i="26" s="1"/>
  <c r="Z161" i="26"/>
  <c r="AA161" i="26" s="1"/>
  <c r="AC161" i="26" s="1"/>
  <c r="L161" i="26"/>
  <c r="N161" i="26" s="1"/>
  <c r="Z160" i="26"/>
  <c r="AA160" i="26" s="1"/>
  <c r="AC160" i="26" s="1"/>
  <c r="L160" i="26"/>
  <c r="N160" i="26" s="1"/>
  <c r="Z159" i="26"/>
  <c r="AA159" i="26" s="1"/>
  <c r="AC159" i="26" s="1"/>
  <c r="L159" i="26"/>
  <c r="N159" i="26" s="1"/>
  <c r="Z158" i="26"/>
  <c r="Z183" i="26" s="1"/>
  <c r="L158" i="26"/>
  <c r="N158" i="26" s="1"/>
  <c r="AB157" i="26"/>
  <c r="Z157" i="26"/>
  <c r="Y157" i="26"/>
  <c r="AA157" i="26" s="1"/>
  <c r="X157" i="26"/>
  <c r="W157" i="26"/>
  <c r="V157" i="26"/>
  <c r="T157" i="26"/>
  <c r="L157" i="26"/>
  <c r="N157" i="26" s="1"/>
  <c r="AA156" i="26"/>
  <c r="AC156" i="26" s="1"/>
  <c r="L156" i="26"/>
  <c r="N156" i="26" s="1"/>
  <c r="AA155" i="26"/>
  <c r="AC155" i="26" s="1"/>
  <c r="L155" i="26"/>
  <c r="AC154" i="26"/>
  <c r="AA154" i="26"/>
  <c r="M154" i="26"/>
  <c r="J154" i="26"/>
  <c r="I154" i="26"/>
  <c r="H154" i="26"/>
  <c r="G154" i="26"/>
  <c r="F154" i="26"/>
  <c r="E154" i="26"/>
  <c r="AA153" i="26"/>
  <c r="AC153" i="26" s="1"/>
  <c r="K153" i="26"/>
  <c r="L153" i="26" s="1"/>
  <c r="N153" i="26" s="1"/>
  <c r="AA152" i="26"/>
  <c r="AC152" i="26" s="1"/>
  <c r="K152" i="26"/>
  <c r="L152" i="26" s="1"/>
  <c r="N152" i="26" s="1"/>
  <c r="AA151" i="26"/>
  <c r="AC151" i="26" s="1"/>
  <c r="K151" i="26"/>
  <c r="L151" i="26" s="1"/>
  <c r="N151" i="26" s="1"/>
  <c r="AA150" i="26"/>
  <c r="AC150" i="26" s="1"/>
  <c r="L150" i="26"/>
  <c r="N150" i="26" s="1"/>
  <c r="K150" i="26"/>
  <c r="AA149" i="26"/>
  <c r="AC149" i="26" s="1"/>
  <c r="L149" i="26"/>
  <c r="N149" i="26" s="1"/>
  <c r="K149" i="26"/>
  <c r="AA148" i="26"/>
  <c r="AC148" i="26" s="1"/>
  <c r="K148" i="26"/>
  <c r="L148" i="26" s="1"/>
  <c r="N148" i="26" s="1"/>
  <c r="AA147" i="26"/>
  <c r="AC147" i="26" s="1"/>
  <c r="K147" i="26"/>
  <c r="L147" i="26" s="1"/>
  <c r="N147" i="26" s="1"/>
  <c r="AA146" i="26"/>
  <c r="AC146" i="26" s="1"/>
  <c r="K146" i="26"/>
  <c r="L146" i="26" s="1"/>
  <c r="N146" i="26" s="1"/>
  <c r="AC145" i="26"/>
  <c r="AA145" i="26"/>
  <c r="L145" i="26"/>
  <c r="N145" i="26" s="1"/>
  <c r="K145" i="26"/>
  <c r="AA144" i="26"/>
  <c r="AC144" i="26" s="1"/>
  <c r="K144" i="26"/>
  <c r="L144" i="26" s="1"/>
  <c r="N144" i="26" s="1"/>
  <c r="AB143" i="26"/>
  <c r="Z143" i="26"/>
  <c r="Y143" i="26"/>
  <c r="X143" i="26"/>
  <c r="W143" i="26"/>
  <c r="V143" i="26"/>
  <c r="U143" i="26"/>
  <c r="U157" i="26" s="1"/>
  <c r="T143" i="26"/>
  <c r="K143" i="26"/>
  <c r="L143" i="26" s="1"/>
  <c r="N143" i="26" s="1"/>
  <c r="AA142" i="26"/>
  <c r="AC142" i="26" s="1"/>
  <c r="K142" i="26"/>
  <c r="L142" i="26" s="1"/>
  <c r="N142" i="26" s="1"/>
  <c r="AC141" i="26"/>
  <c r="AA141" i="26"/>
  <c r="K141" i="26"/>
  <c r="L141" i="26" s="1"/>
  <c r="N141" i="26" s="1"/>
  <c r="AA140" i="26"/>
  <c r="AC140" i="26" s="1"/>
  <c r="N140" i="26"/>
  <c r="L140" i="26"/>
  <c r="K140" i="26"/>
  <c r="AC139" i="26"/>
  <c r="AA139" i="26"/>
  <c r="K139" i="26"/>
  <c r="L139" i="26" s="1"/>
  <c r="N139" i="26" s="1"/>
  <c r="AC138" i="26"/>
  <c r="AA138" i="26"/>
  <c r="K138" i="26"/>
  <c r="L138" i="26" s="1"/>
  <c r="N138" i="26" s="1"/>
  <c r="AA137" i="26"/>
  <c r="AC137" i="26" s="1"/>
  <c r="K137" i="26"/>
  <c r="L137" i="26" s="1"/>
  <c r="N137" i="26" s="1"/>
  <c r="AA136" i="26"/>
  <c r="AC136" i="26" s="1"/>
  <c r="K136" i="26"/>
  <c r="K154" i="26" s="1"/>
  <c r="AC135" i="26"/>
  <c r="AA135" i="26"/>
  <c r="K135" i="26"/>
  <c r="L135" i="26" s="1"/>
  <c r="AC134" i="26"/>
  <c r="AA134" i="26"/>
  <c r="L134" i="26"/>
  <c r="N134" i="26" s="1"/>
  <c r="K134" i="26"/>
  <c r="AA133" i="26"/>
  <c r="AC133" i="26" s="1"/>
  <c r="K133" i="26"/>
  <c r="L133" i="26" s="1"/>
  <c r="N133" i="26" s="1"/>
  <c r="AA132" i="26"/>
  <c r="AC132" i="26" s="1"/>
  <c r="K132" i="26"/>
  <c r="L132" i="26" s="1"/>
  <c r="N132" i="26" s="1"/>
  <c r="AA131" i="26"/>
  <c r="AC131" i="26" s="1"/>
  <c r="L131" i="26"/>
  <c r="N131" i="26" s="1"/>
  <c r="K131" i="26"/>
  <c r="AA130" i="26"/>
  <c r="AC130" i="26" s="1"/>
  <c r="M130" i="26"/>
  <c r="K130" i="26"/>
  <c r="J130" i="26"/>
  <c r="I130" i="26"/>
  <c r="H130" i="26"/>
  <c r="G130" i="26"/>
  <c r="F130" i="26"/>
  <c r="E130" i="26"/>
  <c r="AA129" i="26"/>
  <c r="AC129" i="26" s="1"/>
  <c r="K129" i="26"/>
  <c r="L129" i="26" s="1"/>
  <c r="N129" i="26" s="1"/>
  <c r="AA128" i="26"/>
  <c r="AC128" i="26" s="1"/>
  <c r="K128" i="26"/>
  <c r="L128" i="26" s="1"/>
  <c r="N128" i="26" s="1"/>
  <c r="AC127" i="26"/>
  <c r="AA127" i="26"/>
  <c r="L127" i="26"/>
  <c r="N127" i="26" s="1"/>
  <c r="K127" i="26"/>
  <c r="AC126" i="26"/>
  <c r="AA126" i="26"/>
  <c r="L126" i="26"/>
  <c r="N126" i="26" s="1"/>
  <c r="K126" i="26"/>
  <c r="AC125" i="26"/>
  <c r="AA125" i="26"/>
  <c r="K125" i="26"/>
  <c r="L125" i="26" s="1"/>
  <c r="N125" i="26" s="1"/>
  <c r="AA124" i="26"/>
  <c r="AC124" i="26" s="1"/>
  <c r="K124" i="26"/>
  <c r="L124" i="26" s="1"/>
  <c r="N124" i="26" s="1"/>
  <c r="AA123" i="26"/>
  <c r="K123" i="26"/>
  <c r="L123" i="26" s="1"/>
  <c r="AB122" i="26"/>
  <c r="Y122" i="26"/>
  <c r="X122" i="26"/>
  <c r="W122" i="26"/>
  <c r="V122" i="26"/>
  <c r="U122" i="26"/>
  <c r="T122" i="26"/>
  <c r="K122" i="26"/>
  <c r="L122" i="26" s="1"/>
  <c r="N122" i="26" s="1"/>
  <c r="Z121" i="26"/>
  <c r="AA121" i="26" s="1"/>
  <c r="AC121" i="26" s="1"/>
  <c r="M121" i="26"/>
  <c r="K121" i="26"/>
  <c r="J121" i="26"/>
  <c r="I121" i="26"/>
  <c r="H121" i="26"/>
  <c r="G121" i="26"/>
  <c r="F121" i="26"/>
  <c r="E121" i="26"/>
  <c r="AA120" i="26"/>
  <c r="AC120" i="26" s="1"/>
  <c r="Z120" i="26"/>
  <c r="N120" i="26"/>
  <c r="L120" i="26"/>
  <c r="Z119" i="26"/>
  <c r="AA119" i="26" s="1"/>
  <c r="AC119" i="26" s="1"/>
  <c r="L119" i="26"/>
  <c r="N119" i="26" s="1"/>
  <c r="Z118" i="26"/>
  <c r="AA118" i="26" s="1"/>
  <c r="AC118" i="26" s="1"/>
  <c r="L118" i="26"/>
  <c r="N118" i="26" s="1"/>
  <c r="Z117" i="26"/>
  <c r="AA117" i="26" s="1"/>
  <c r="AC117" i="26" s="1"/>
  <c r="L117" i="26"/>
  <c r="N117" i="26" s="1"/>
  <c r="Z116" i="26"/>
  <c r="AA116" i="26" s="1"/>
  <c r="AC116" i="26" s="1"/>
  <c r="N116" i="26"/>
  <c r="L116" i="26"/>
  <c r="Z115" i="26"/>
  <c r="AA115" i="26" s="1"/>
  <c r="AC115" i="26" s="1"/>
  <c r="N115" i="26"/>
  <c r="L115" i="26"/>
  <c r="Z114" i="26"/>
  <c r="AA114" i="26" s="1"/>
  <c r="AC114" i="26" s="1"/>
  <c r="N114" i="26"/>
  <c r="L114" i="26"/>
  <c r="Z113" i="26"/>
  <c r="AA113" i="26" s="1"/>
  <c r="AC113" i="26" s="1"/>
  <c r="L113" i="26"/>
  <c r="N113" i="26" s="1"/>
  <c r="Z112" i="26"/>
  <c r="AA112" i="26" s="1"/>
  <c r="AC112" i="26" s="1"/>
  <c r="L112" i="26"/>
  <c r="N112" i="26" s="1"/>
  <c r="Z111" i="26"/>
  <c r="AA111" i="26" s="1"/>
  <c r="AC111" i="26" s="1"/>
  <c r="L111" i="26"/>
  <c r="N111" i="26" s="1"/>
  <c r="AA110" i="26"/>
  <c r="AC110" i="26" s="1"/>
  <c r="Z110" i="26"/>
  <c r="L110" i="26"/>
  <c r="N110" i="26" s="1"/>
  <c r="Z109" i="26"/>
  <c r="AA109" i="26" s="1"/>
  <c r="AC109" i="26" s="1"/>
  <c r="N109" i="26"/>
  <c r="L109" i="26"/>
  <c r="Z108" i="26"/>
  <c r="AA108" i="26" s="1"/>
  <c r="AC108" i="26" s="1"/>
  <c r="L108" i="26"/>
  <c r="N108" i="26" s="1"/>
  <c r="Z107" i="26"/>
  <c r="AA107" i="26" s="1"/>
  <c r="AC107" i="26" s="1"/>
  <c r="L107" i="26"/>
  <c r="N107" i="26" s="1"/>
  <c r="Z106" i="26"/>
  <c r="L106" i="26"/>
  <c r="N106" i="26" s="1"/>
  <c r="AB105" i="26"/>
  <c r="Y105" i="26"/>
  <c r="X105" i="26"/>
  <c r="W105" i="26"/>
  <c r="V105" i="26"/>
  <c r="U105" i="26"/>
  <c r="T105" i="26"/>
  <c r="N105" i="26"/>
  <c r="L105" i="26"/>
  <c r="Z104" i="26"/>
  <c r="AA104" i="26" s="1"/>
  <c r="AC104" i="26" s="1"/>
  <c r="L104" i="26"/>
  <c r="N104" i="26" s="1"/>
  <c r="Z103" i="26"/>
  <c r="AA103" i="26" s="1"/>
  <c r="AC103" i="26" s="1"/>
  <c r="L103" i="26"/>
  <c r="N103" i="26" s="1"/>
  <c r="Z102" i="26"/>
  <c r="AA102" i="26" s="1"/>
  <c r="AC102" i="26" s="1"/>
  <c r="L102" i="26"/>
  <c r="L121" i="26" s="1"/>
  <c r="Z101" i="26"/>
  <c r="AA101" i="26" s="1"/>
  <c r="AC101" i="26" s="1"/>
  <c r="N101" i="26"/>
  <c r="L101" i="26"/>
  <c r="AA100" i="26"/>
  <c r="AC100" i="26" s="1"/>
  <c r="Z100" i="26"/>
  <c r="M100" i="26"/>
  <c r="K100" i="26"/>
  <c r="J100" i="26"/>
  <c r="I100" i="26"/>
  <c r="H100" i="26"/>
  <c r="G100" i="26"/>
  <c r="F100" i="26"/>
  <c r="E100" i="26"/>
  <c r="Z99" i="26"/>
  <c r="AA99" i="26" s="1"/>
  <c r="AC99" i="26" s="1"/>
  <c r="L99" i="26"/>
  <c r="N99" i="26" s="1"/>
  <c r="AA98" i="26"/>
  <c r="AC98" i="26" s="1"/>
  <c r="Z98" i="26"/>
  <c r="L98" i="26"/>
  <c r="N98" i="26" s="1"/>
  <c r="AC97" i="26"/>
  <c r="Z97" i="26"/>
  <c r="AA97" i="26" s="1"/>
  <c r="N97" i="26"/>
  <c r="L97" i="26"/>
  <c r="Z96" i="26"/>
  <c r="AA96" i="26" s="1"/>
  <c r="AC96" i="26" s="1"/>
  <c r="N96" i="26"/>
  <c r="L96" i="26"/>
  <c r="Z95" i="26"/>
  <c r="AA95" i="26" s="1"/>
  <c r="AC95" i="26" s="1"/>
  <c r="L95" i="26"/>
  <c r="N95" i="26" s="1"/>
  <c r="Z94" i="26"/>
  <c r="AA94" i="26" s="1"/>
  <c r="AC94" i="26" s="1"/>
  <c r="L94" i="26"/>
  <c r="N94" i="26" s="1"/>
  <c r="Z93" i="26"/>
  <c r="AA93" i="26" s="1"/>
  <c r="AC93" i="26" s="1"/>
  <c r="L93" i="26"/>
  <c r="N93" i="26" s="1"/>
  <c r="Z92" i="26"/>
  <c r="AA92" i="26" s="1"/>
  <c r="AC92" i="26" s="1"/>
  <c r="L92" i="26"/>
  <c r="N92" i="26" s="1"/>
  <c r="Z91" i="26"/>
  <c r="AA91" i="26" s="1"/>
  <c r="AC91" i="26" s="1"/>
  <c r="L91" i="26"/>
  <c r="N91" i="26" s="1"/>
  <c r="AA90" i="26"/>
  <c r="AC90" i="26" s="1"/>
  <c r="Z90" i="26"/>
  <c r="N90" i="26"/>
  <c r="L90" i="26"/>
  <c r="Z89" i="26"/>
  <c r="AA89" i="26" s="1"/>
  <c r="AC89" i="26" s="1"/>
  <c r="N89" i="26"/>
  <c r="L89" i="26"/>
  <c r="Z88" i="26"/>
  <c r="AA88" i="26" s="1"/>
  <c r="AC88" i="26" s="1"/>
  <c r="L88" i="26"/>
  <c r="N88" i="26" s="1"/>
  <c r="Z87" i="26"/>
  <c r="AA87" i="26" s="1"/>
  <c r="AC87" i="26" s="1"/>
  <c r="L87" i="26"/>
  <c r="N87" i="26" s="1"/>
  <c r="Z86" i="26"/>
  <c r="AA86" i="26" s="1"/>
  <c r="AC86" i="26" s="1"/>
  <c r="L86" i="26"/>
  <c r="N86" i="26" s="1"/>
  <c r="Z85" i="26"/>
  <c r="N85" i="26"/>
  <c r="L85" i="26"/>
  <c r="AC84" i="26"/>
  <c r="AA84" i="26"/>
  <c r="Z84" i="26"/>
  <c r="L84" i="26"/>
  <c r="N84" i="26" s="1"/>
  <c r="AB83" i="26"/>
  <c r="Y83" i="26"/>
  <c r="X83" i="26"/>
  <c r="W83" i="26"/>
  <c r="V83" i="26"/>
  <c r="T83" i="26"/>
  <c r="L83" i="26"/>
  <c r="N83" i="26" s="1"/>
  <c r="AA82" i="26"/>
  <c r="AC82" i="26" s="1"/>
  <c r="Z82" i="26"/>
  <c r="L82" i="26"/>
  <c r="N82" i="26" s="1"/>
  <c r="Z81" i="26"/>
  <c r="AA81" i="26" s="1"/>
  <c r="AC81" i="26" s="1"/>
  <c r="L81" i="26"/>
  <c r="N81" i="26" s="1"/>
  <c r="AC80" i="26"/>
  <c r="Z80" i="26"/>
  <c r="AA80" i="26" s="1"/>
  <c r="N80" i="26"/>
  <c r="L80" i="26"/>
  <c r="Z79" i="26"/>
  <c r="AA79" i="26" s="1"/>
  <c r="AC79" i="26" s="1"/>
  <c r="L79" i="26"/>
  <c r="Z78" i="26"/>
  <c r="AA78" i="26" s="1"/>
  <c r="AC78" i="26" s="1"/>
  <c r="M78" i="26"/>
  <c r="J78" i="26"/>
  <c r="I78" i="26"/>
  <c r="H78" i="26"/>
  <c r="G78" i="26"/>
  <c r="F78" i="26"/>
  <c r="E78" i="26"/>
  <c r="AA77" i="26"/>
  <c r="AC77" i="26" s="1"/>
  <c r="Z77" i="26"/>
  <c r="N77" i="26"/>
  <c r="K77" i="26"/>
  <c r="L77" i="26" s="1"/>
  <c r="Z76" i="26"/>
  <c r="AA76" i="26" s="1"/>
  <c r="AC76" i="26" s="1"/>
  <c r="K76" i="26"/>
  <c r="L76" i="26" s="1"/>
  <c r="N76" i="26" s="1"/>
  <c r="Z75" i="26"/>
  <c r="AA75" i="26" s="1"/>
  <c r="AC75" i="26" s="1"/>
  <c r="K75" i="26"/>
  <c r="L75" i="26" s="1"/>
  <c r="N75" i="26" s="1"/>
  <c r="Z74" i="26"/>
  <c r="AA74" i="26" s="1"/>
  <c r="AC74" i="26" s="1"/>
  <c r="K74" i="26"/>
  <c r="L74" i="26" s="1"/>
  <c r="N74" i="26" s="1"/>
  <c r="Z73" i="26"/>
  <c r="AA73" i="26" s="1"/>
  <c r="AC73" i="26" s="1"/>
  <c r="N73" i="26"/>
  <c r="K73" i="26"/>
  <c r="L73" i="26" s="1"/>
  <c r="AC72" i="26"/>
  <c r="AA72" i="26"/>
  <c r="Z72" i="26"/>
  <c r="K72" i="26"/>
  <c r="L72" i="26" s="1"/>
  <c r="N72" i="26" s="1"/>
  <c r="Z71" i="26"/>
  <c r="AA71" i="26" s="1"/>
  <c r="AC71" i="26" s="1"/>
  <c r="L71" i="26"/>
  <c r="N71" i="26" s="1"/>
  <c r="K71" i="26"/>
  <c r="AA70" i="26"/>
  <c r="AC70" i="26" s="1"/>
  <c r="Z70" i="26"/>
  <c r="K70" i="26"/>
  <c r="L70" i="26" s="1"/>
  <c r="N70" i="26" s="1"/>
  <c r="Z69" i="26"/>
  <c r="AA69" i="26" s="1"/>
  <c r="AC69" i="26" s="1"/>
  <c r="K69" i="26"/>
  <c r="L69" i="26" s="1"/>
  <c r="N69" i="26" s="1"/>
  <c r="Z68" i="26"/>
  <c r="AA68" i="26" s="1"/>
  <c r="AC68" i="26" s="1"/>
  <c r="N68" i="26"/>
  <c r="L68" i="26"/>
  <c r="K68" i="26"/>
  <c r="Z67" i="26"/>
  <c r="AA67" i="26" s="1"/>
  <c r="AC67" i="26" s="1"/>
  <c r="K67" i="26"/>
  <c r="L67" i="26" s="1"/>
  <c r="N67" i="26" s="1"/>
  <c r="Z66" i="26"/>
  <c r="AA66" i="26" s="1"/>
  <c r="AC66" i="26" s="1"/>
  <c r="K66" i="26"/>
  <c r="L66" i="26" s="1"/>
  <c r="N66" i="26" s="1"/>
  <c r="Z65" i="26"/>
  <c r="AA65" i="26" s="1"/>
  <c r="AC65" i="26" s="1"/>
  <c r="K65" i="26"/>
  <c r="L65" i="26" s="1"/>
  <c r="N65" i="26" s="1"/>
  <c r="Z64" i="26"/>
  <c r="K64" i="26"/>
  <c r="L64" i="26" s="1"/>
  <c r="N64" i="26" s="1"/>
  <c r="AC63" i="26"/>
  <c r="Z63" i="26"/>
  <c r="AA63" i="26" s="1"/>
  <c r="N63" i="26"/>
  <c r="K63" i="26"/>
  <c r="L63" i="26" s="1"/>
  <c r="Z62" i="26"/>
  <c r="AA62" i="26" s="1"/>
  <c r="K62" i="26"/>
  <c r="L62" i="26" s="1"/>
  <c r="N62" i="26" s="1"/>
  <c r="AB61" i="26"/>
  <c r="Z61" i="26"/>
  <c r="Y61" i="26"/>
  <c r="X61" i="26"/>
  <c r="W61" i="26"/>
  <c r="V61" i="26"/>
  <c r="U61" i="26"/>
  <c r="T61" i="26"/>
  <c r="K61" i="26"/>
  <c r="L61" i="26" s="1"/>
  <c r="N61" i="26" s="1"/>
  <c r="AC60" i="26"/>
  <c r="AA60" i="26"/>
  <c r="N60" i="26"/>
  <c r="K60" i="26"/>
  <c r="L60" i="26" s="1"/>
  <c r="AA59" i="26"/>
  <c r="AC59" i="26" s="1"/>
  <c r="K59" i="26"/>
  <c r="L59" i="26" s="1"/>
  <c r="N59" i="26" s="1"/>
  <c r="AA58" i="26"/>
  <c r="AC58" i="26" s="1"/>
  <c r="L58" i="26"/>
  <c r="N58" i="26" s="1"/>
  <c r="K58" i="26"/>
  <c r="AA57" i="26"/>
  <c r="AC57" i="26" s="1"/>
  <c r="K57" i="26"/>
  <c r="L57" i="26" s="1"/>
  <c r="N57" i="26" s="1"/>
  <c r="AA56" i="26"/>
  <c r="AC56" i="26" s="1"/>
  <c r="K56" i="26"/>
  <c r="L56" i="26" s="1"/>
  <c r="N56" i="26" s="1"/>
  <c r="AA55" i="26"/>
  <c r="AC55" i="26" s="1"/>
  <c r="K55" i="26"/>
  <c r="L55" i="26" s="1"/>
  <c r="N55" i="26" s="1"/>
  <c r="AC54" i="26"/>
  <c r="AA54" i="26"/>
  <c r="K54" i="26"/>
  <c r="L54" i="26" s="1"/>
  <c r="N54" i="26" s="1"/>
  <c r="AA53" i="26"/>
  <c r="AC53" i="26" s="1"/>
  <c r="K53" i="26"/>
  <c r="L53" i="26" s="1"/>
  <c r="N53" i="26" s="1"/>
  <c r="AA52" i="26"/>
  <c r="AC52" i="26" s="1"/>
  <c r="K52" i="26"/>
  <c r="L52" i="26" s="1"/>
  <c r="N52" i="26" s="1"/>
  <c r="AA51" i="26"/>
  <c r="AC51" i="26" s="1"/>
  <c r="K51" i="26"/>
  <c r="L51" i="26" s="1"/>
  <c r="N51" i="26" s="1"/>
  <c r="AA50" i="26"/>
  <c r="AC50" i="26" s="1"/>
  <c r="K50" i="26"/>
  <c r="L50" i="26" s="1"/>
  <c r="N50" i="26" s="1"/>
  <c r="AA49" i="26"/>
  <c r="AC49" i="26" s="1"/>
  <c r="N49" i="26"/>
  <c r="L49" i="26"/>
  <c r="K49" i="26"/>
  <c r="AA48" i="26"/>
  <c r="AC48" i="26" s="1"/>
  <c r="N48" i="26"/>
  <c r="L48" i="26"/>
  <c r="K48" i="26"/>
  <c r="AA47" i="26"/>
  <c r="AC47" i="26" s="1"/>
  <c r="K47" i="26"/>
  <c r="L47" i="26" s="1"/>
  <c r="AA46" i="26"/>
  <c r="AC46" i="26" s="1"/>
  <c r="M46" i="26"/>
  <c r="L46" i="26"/>
  <c r="K46" i="26"/>
  <c r="J46" i="26"/>
  <c r="I46" i="26"/>
  <c r="H46" i="26"/>
  <c r="G46" i="26"/>
  <c r="F46" i="26"/>
  <c r="E46" i="26"/>
  <c r="AC45" i="26"/>
  <c r="AA45" i="26"/>
  <c r="L45" i="26"/>
  <c r="N45" i="26" s="1"/>
  <c r="AA44" i="26"/>
  <c r="AC44" i="26" s="1"/>
  <c r="N44" i="26"/>
  <c r="L44" i="26"/>
  <c r="AA43" i="26"/>
  <c r="AC43" i="26" s="1"/>
  <c r="L43" i="26"/>
  <c r="N43" i="26" s="1"/>
  <c r="AA42" i="26"/>
  <c r="AC42" i="26" s="1"/>
  <c r="L42" i="26"/>
  <c r="N42" i="26" s="1"/>
  <c r="AA41" i="26"/>
  <c r="AC41" i="26" s="1"/>
  <c r="L41" i="26"/>
  <c r="N41" i="26" s="1"/>
  <c r="AA40" i="26"/>
  <c r="AC40" i="26" s="1"/>
  <c r="N40" i="26"/>
  <c r="L40" i="26"/>
  <c r="AC39" i="26"/>
  <c r="AA39" i="26"/>
  <c r="L39" i="26"/>
  <c r="N39" i="26" s="1"/>
  <c r="AC38" i="26"/>
  <c r="AA38" i="26"/>
  <c r="L38" i="26"/>
  <c r="N38" i="26" s="1"/>
  <c r="AA37" i="26"/>
  <c r="AC37" i="26" s="1"/>
  <c r="L37" i="26"/>
  <c r="N37" i="26" s="1"/>
  <c r="AA36" i="26"/>
  <c r="AC36" i="26" s="1"/>
  <c r="L36" i="26"/>
  <c r="N36" i="26" s="1"/>
  <c r="AC35" i="26"/>
  <c r="AA35" i="26"/>
  <c r="L35" i="26"/>
  <c r="N35" i="26" s="1"/>
  <c r="AA34" i="26"/>
  <c r="AC34" i="26" s="1"/>
  <c r="L34" i="26"/>
  <c r="N34" i="26" s="1"/>
  <c r="AA33" i="26"/>
  <c r="AC33" i="26" s="1"/>
  <c r="N33" i="26"/>
  <c r="L33" i="26"/>
  <c r="AA32" i="26"/>
  <c r="AC32" i="26" s="1"/>
  <c r="L32" i="26"/>
  <c r="N32" i="26" s="1"/>
  <c r="AA31" i="26"/>
  <c r="AC31" i="26" s="1"/>
  <c r="L31" i="26"/>
  <c r="N31" i="26" s="1"/>
  <c r="AA30" i="26"/>
  <c r="AC30" i="26" s="1"/>
  <c r="L30" i="26"/>
  <c r="N30" i="26" s="1"/>
  <c r="AC29" i="26"/>
  <c r="AA29" i="26"/>
  <c r="L29" i="26"/>
  <c r="N29" i="26" s="1"/>
  <c r="AA28" i="26"/>
  <c r="AC28" i="26" s="1"/>
  <c r="L28" i="26"/>
  <c r="N28" i="26" s="1"/>
  <c r="AC27" i="26"/>
  <c r="AA27" i="26"/>
  <c r="N27" i="26"/>
  <c r="L27" i="26"/>
  <c r="AC26" i="26"/>
  <c r="AB26" i="26"/>
  <c r="Y26" i="26"/>
  <c r="AA26" i="26" s="1"/>
  <c r="X26" i="26"/>
  <c r="W26" i="26"/>
  <c r="V26" i="26"/>
  <c r="T26" i="26"/>
  <c r="L26" i="26"/>
  <c r="N26" i="26" s="1"/>
  <c r="AA25" i="26"/>
  <c r="AC25" i="26" s="1"/>
  <c r="L25" i="26"/>
  <c r="N25" i="26" s="1"/>
  <c r="AA24" i="26"/>
  <c r="AC24" i="26" s="1"/>
  <c r="M24" i="26"/>
  <c r="J24" i="26"/>
  <c r="I24" i="26"/>
  <c r="H24" i="26"/>
  <c r="G24" i="26"/>
  <c r="F24" i="26"/>
  <c r="E24" i="26"/>
  <c r="AC23" i="26"/>
  <c r="AA23" i="26"/>
  <c r="K23" i="26"/>
  <c r="L23" i="26" s="1"/>
  <c r="N23" i="26" s="1"/>
  <c r="AA22" i="26"/>
  <c r="AC22" i="26" s="1"/>
  <c r="K22" i="26"/>
  <c r="L22" i="26" s="1"/>
  <c r="N22" i="26" s="1"/>
  <c r="AA21" i="26"/>
  <c r="AC21" i="26" s="1"/>
  <c r="K21" i="26"/>
  <c r="L21" i="26" s="1"/>
  <c r="N21" i="26" s="1"/>
  <c r="AA20" i="26"/>
  <c r="AC20" i="26" s="1"/>
  <c r="L20" i="26"/>
  <c r="N20" i="26" s="1"/>
  <c r="K20" i="26"/>
  <c r="AA19" i="26"/>
  <c r="AC19" i="26" s="1"/>
  <c r="K19" i="26"/>
  <c r="L19" i="26" s="1"/>
  <c r="N19" i="26" s="1"/>
  <c r="AC18" i="26"/>
  <c r="AA18" i="26"/>
  <c r="K18" i="26"/>
  <c r="L18" i="26" s="1"/>
  <c r="N18" i="26" s="1"/>
  <c r="AA17" i="26"/>
  <c r="AC17" i="26" s="1"/>
  <c r="L17" i="26"/>
  <c r="N17" i="26" s="1"/>
  <c r="K17" i="26"/>
  <c r="AA16" i="26"/>
  <c r="AC16" i="26" s="1"/>
  <c r="K16" i="26"/>
  <c r="L16" i="26" s="1"/>
  <c r="N16" i="26" s="1"/>
  <c r="AA15" i="26"/>
  <c r="AC15" i="26" s="1"/>
  <c r="K15" i="26"/>
  <c r="L15" i="26" s="1"/>
  <c r="N15" i="26" s="1"/>
  <c r="AC14" i="26"/>
  <c r="AA14" i="26"/>
  <c r="K14" i="26"/>
  <c r="L14" i="26" s="1"/>
  <c r="N14" i="26" s="1"/>
  <c r="AA13" i="26"/>
  <c r="AC13" i="26" s="1"/>
  <c r="N13" i="26"/>
  <c r="L13" i="26"/>
  <c r="K13" i="26"/>
  <c r="AC12" i="26"/>
  <c r="AA12" i="26"/>
  <c r="L12" i="26"/>
  <c r="N12" i="26" s="1"/>
  <c r="K12" i="26"/>
  <c r="AC11" i="26"/>
  <c r="AA11" i="26"/>
  <c r="K11" i="26"/>
  <c r="L11" i="26" s="1"/>
  <c r="N11" i="26" s="1"/>
  <c r="AA10" i="26"/>
  <c r="AC10" i="26" s="1"/>
  <c r="L10" i="26"/>
  <c r="N10" i="26" s="1"/>
  <c r="K10" i="26"/>
  <c r="AC9" i="26"/>
  <c r="AA9" i="26"/>
  <c r="K9" i="26"/>
  <c r="L9" i="26" s="1"/>
  <c r="AA8" i="26"/>
  <c r="AC8" i="26" s="1"/>
  <c r="N8" i="26"/>
  <c r="K8" i="26"/>
  <c r="L8" i="26" s="1"/>
  <c r="AC7" i="26"/>
  <c r="AA7" i="26"/>
  <c r="L7" i="26"/>
  <c r="N7" i="26" s="1"/>
  <c r="K7" i="26"/>
  <c r="R46" i="12"/>
  <c r="Q46" i="12"/>
  <c r="N46" i="12"/>
  <c r="M46" i="12"/>
  <c r="L46" i="12"/>
  <c r="K46" i="12"/>
  <c r="H46" i="12"/>
  <c r="G46" i="12"/>
  <c r="E46" i="12"/>
  <c r="D46" i="12"/>
  <c r="T45" i="12"/>
  <c r="S45" i="12"/>
  <c r="P45" i="12"/>
  <c r="J45" i="12"/>
  <c r="I45" i="12"/>
  <c r="F45" i="12"/>
  <c r="T44" i="12"/>
  <c r="S44" i="12"/>
  <c r="P44" i="12"/>
  <c r="I44" i="12"/>
  <c r="J44" i="12" s="1"/>
  <c r="U44" i="12" s="1"/>
  <c r="F44" i="12"/>
  <c r="T43" i="12"/>
  <c r="S43" i="12"/>
  <c r="P43" i="12"/>
  <c r="J43" i="12"/>
  <c r="U43" i="12" s="1"/>
  <c r="I43" i="12"/>
  <c r="F43" i="12"/>
  <c r="S42" i="12"/>
  <c r="P42" i="12"/>
  <c r="U42" i="12" s="1"/>
  <c r="J42" i="12"/>
  <c r="I42" i="12"/>
  <c r="F42" i="12"/>
  <c r="T42" i="12" s="1"/>
  <c r="S41" i="12"/>
  <c r="O41" i="12"/>
  <c r="P41" i="12" s="1"/>
  <c r="I41" i="12"/>
  <c r="F41" i="12"/>
  <c r="T41" i="12" s="1"/>
  <c r="S40" i="12"/>
  <c r="O40" i="12"/>
  <c r="P40" i="12" s="1"/>
  <c r="I40" i="12"/>
  <c r="F40" i="12"/>
  <c r="S39" i="12"/>
  <c r="P39" i="12"/>
  <c r="I39" i="12"/>
  <c r="F39" i="12"/>
  <c r="T39" i="12" s="1"/>
  <c r="U38" i="12"/>
  <c r="T38" i="12"/>
  <c r="S38" i="12"/>
  <c r="P38" i="12"/>
  <c r="I38" i="12"/>
  <c r="F38" i="12"/>
  <c r="J38" i="12" s="1"/>
  <c r="S37" i="12"/>
  <c r="O37" i="12"/>
  <c r="P37" i="12" s="1"/>
  <c r="I37" i="12"/>
  <c r="F37" i="12"/>
  <c r="J37" i="12" s="1"/>
  <c r="U37" i="12" s="1"/>
  <c r="S36" i="12"/>
  <c r="P36" i="12"/>
  <c r="J36" i="12"/>
  <c r="U36" i="12" s="1"/>
  <c r="I36" i="12"/>
  <c r="F36" i="12"/>
  <c r="T36" i="12" s="1"/>
  <c r="T35" i="12"/>
  <c r="S35" i="12"/>
  <c r="P35" i="12"/>
  <c r="U35" i="12" s="1"/>
  <c r="O35" i="12"/>
  <c r="I35" i="12"/>
  <c r="F35" i="12"/>
  <c r="J35" i="12" s="1"/>
  <c r="S34" i="12"/>
  <c r="P34" i="12"/>
  <c r="I34" i="12"/>
  <c r="F34" i="12"/>
  <c r="J34" i="12" s="1"/>
  <c r="U34" i="12" s="1"/>
  <c r="S33" i="12"/>
  <c r="P33" i="12"/>
  <c r="I33" i="12"/>
  <c r="F33" i="12"/>
  <c r="T32" i="12"/>
  <c r="S32" i="12"/>
  <c r="O32" i="12"/>
  <c r="P32" i="12" s="1"/>
  <c r="U32" i="12" s="1"/>
  <c r="J32" i="12"/>
  <c r="I32" i="12"/>
  <c r="F32" i="12"/>
  <c r="T31" i="12"/>
  <c r="S31" i="12"/>
  <c r="P31" i="12"/>
  <c r="U31" i="12" s="1"/>
  <c r="O31" i="12"/>
  <c r="I31" i="12"/>
  <c r="J31" i="12" s="1"/>
  <c r="F31" i="12"/>
  <c r="S30" i="12"/>
  <c r="O30" i="12"/>
  <c r="P30" i="12" s="1"/>
  <c r="I30" i="12"/>
  <c r="F30" i="12"/>
  <c r="T29" i="12"/>
  <c r="S29" i="12"/>
  <c r="P29" i="12"/>
  <c r="J29" i="12"/>
  <c r="U29" i="12" s="1"/>
  <c r="I29" i="12"/>
  <c r="F29" i="12"/>
  <c r="T28" i="12"/>
  <c r="S28" i="12"/>
  <c r="P28" i="12"/>
  <c r="I28" i="12"/>
  <c r="J28" i="12" s="1"/>
  <c r="F28" i="12"/>
  <c r="S27" i="12"/>
  <c r="P27" i="12"/>
  <c r="I27" i="12"/>
  <c r="F27" i="12"/>
  <c r="T27" i="12" s="1"/>
  <c r="S26" i="12"/>
  <c r="P26" i="12"/>
  <c r="I26" i="12"/>
  <c r="J26" i="12" s="1"/>
  <c r="U26" i="12" s="1"/>
  <c r="F26" i="12"/>
  <c r="T26" i="12" s="1"/>
  <c r="T25" i="12"/>
  <c r="S25" i="12"/>
  <c r="P25" i="12"/>
  <c r="O25" i="12"/>
  <c r="I25" i="12"/>
  <c r="J25" i="12" s="1"/>
  <c r="F25" i="12"/>
  <c r="S24" i="12"/>
  <c r="P24" i="12"/>
  <c r="I24" i="12"/>
  <c r="F24" i="12"/>
  <c r="T24" i="12" s="1"/>
  <c r="S23" i="12"/>
  <c r="P23" i="12"/>
  <c r="I23" i="12"/>
  <c r="F23" i="12"/>
  <c r="S22" i="12"/>
  <c r="P22" i="12"/>
  <c r="I22" i="12"/>
  <c r="F22" i="12"/>
  <c r="J22" i="12" s="1"/>
  <c r="U22" i="12" s="1"/>
  <c r="T21" i="12"/>
  <c r="S21" i="12"/>
  <c r="O21" i="12"/>
  <c r="P21" i="12" s="1"/>
  <c r="I21" i="12"/>
  <c r="F21" i="12"/>
  <c r="J21" i="12" s="1"/>
  <c r="U21" i="12" s="1"/>
  <c r="S20" i="12"/>
  <c r="P20" i="12"/>
  <c r="I20" i="12"/>
  <c r="F20" i="12"/>
  <c r="T20" i="12" s="1"/>
  <c r="T19" i="12"/>
  <c r="S19" i="12"/>
  <c r="P19" i="12"/>
  <c r="U19" i="12" s="1"/>
  <c r="O19" i="12"/>
  <c r="I19" i="12"/>
  <c r="J19" i="12" s="1"/>
  <c r="F19" i="12"/>
  <c r="T18" i="12"/>
  <c r="S18" i="12"/>
  <c r="O18" i="12"/>
  <c r="P18" i="12" s="1"/>
  <c r="J18" i="12"/>
  <c r="I18" i="12"/>
  <c r="F18" i="12"/>
  <c r="S17" i="12"/>
  <c r="P17" i="12"/>
  <c r="I17" i="12"/>
  <c r="F17" i="12"/>
  <c r="T17" i="12" s="1"/>
  <c r="T16" i="12"/>
  <c r="S16" i="12"/>
  <c r="O16" i="12"/>
  <c r="P16" i="12" s="1"/>
  <c r="J16" i="12"/>
  <c r="U16" i="12" s="1"/>
  <c r="I16" i="12"/>
  <c r="F16" i="12"/>
  <c r="S15" i="12"/>
  <c r="O15" i="12"/>
  <c r="P15" i="12" s="1"/>
  <c r="J15" i="12"/>
  <c r="U15" i="12" s="1"/>
  <c r="I15" i="12"/>
  <c r="F15" i="12"/>
  <c r="T15" i="12" s="1"/>
  <c r="S14" i="12"/>
  <c r="P14" i="12"/>
  <c r="I14" i="12"/>
  <c r="F14" i="12"/>
  <c r="T14" i="12" s="1"/>
  <c r="S13" i="12"/>
  <c r="P13" i="12"/>
  <c r="I13" i="12"/>
  <c r="F13" i="12"/>
  <c r="S12" i="12"/>
  <c r="O12" i="12"/>
  <c r="I12" i="12"/>
  <c r="J12" i="12" s="1"/>
  <c r="F12" i="12"/>
  <c r="T12" i="12" s="1"/>
  <c r="T11" i="12"/>
  <c r="S11" i="12"/>
  <c r="P11" i="12"/>
  <c r="I11" i="12"/>
  <c r="F11" i="12"/>
  <c r="J11" i="12" s="1"/>
  <c r="U11" i="12" s="1"/>
  <c r="S10" i="12"/>
  <c r="O10" i="12"/>
  <c r="P10" i="12" s="1"/>
  <c r="I10" i="12"/>
  <c r="F10" i="12"/>
  <c r="I34" i="4"/>
  <c r="H34" i="4"/>
  <c r="G34" i="4"/>
  <c r="F34" i="4"/>
  <c r="D34" i="4"/>
  <c r="C34" i="4"/>
  <c r="J33" i="4"/>
  <c r="E33" i="4"/>
  <c r="E34" i="4" s="1"/>
  <c r="J32" i="4"/>
  <c r="E32" i="4"/>
  <c r="E31" i="4"/>
  <c r="J31" i="4" s="1"/>
  <c r="J30" i="4"/>
  <c r="E30" i="4"/>
  <c r="E29" i="4"/>
  <c r="J29" i="4" s="1"/>
  <c r="G22" i="4"/>
  <c r="F22" i="4"/>
  <c r="E22" i="4"/>
  <c r="D22" i="4"/>
  <c r="C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F19" i="8"/>
  <c r="F18" i="8"/>
  <c r="B18" i="8"/>
  <c r="F17" i="8"/>
  <c r="B17" i="8"/>
  <c r="F16" i="8"/>
  <c r="B16" i="8"/>
  <c r="F15" i="8"/>
  <c r="B13" i="8"/>
  <c r="F12" i="8"/>
  <c r="B12" i="8"/>
  <c r="F11" i="8"/>
  <c r="B11" i="8"/>
  <c r="F10" i="8"/>
  <c r="B10" i="8"/>
  <c r="B9" i="8"/>
  <c r="F8" i="8"/>
  <c r="F6" i="8"/>
  <c r="B6" i="8"/>
  <c r="G5" i="8"/>
  <c r="F5" i="8"/>
  <c r="C5" i="8"/>
  <c r="B5" i="8"/>
  <c r="C1" i="8"/>
  <c r="B1" i="8"/>
  <c r="AC157" i="26" l="1"/>
  <c r="L335" i="26"/>
  <c r="N308" i="26"/>
  <c r="N335" i="26" s="1"/>
  <c r="N123" i="26"/>
  <c r="N130" i="26" s="1"/>
  <c r="L130" i="26"/>
  <c r="AC204" i="26"/>
  <c r="AC223" i="26"/>
  <c r="N135" i="26"/>
  <c r="N154" i="26" s="1"/>
  <c r="L24" i="26"/>
  <c r="N9" i="26"/>
  <c r="AC371" i="26"/>
  <c r="AC306" i="26"/>
  <c r="J34" i="4"/>
  <c r="AA158" i="26"/>
  <c r="AC158" i="26" s="1"/>
  <c r="AC183" i="26" s="1"/>
  <c r="L277" i="26"/>
  <c r="L182" i="26"/>
  <c r="AA307" i="26"/>
  <c r="AC307" i="26" s="1"/>
  <c r="AC330" i="26" s="1"/>
  <c r="P12" i="12"/>
  <c r="P46" i="12" s="1"/>
  <c r="O46" i="12"/>
  <c r="I46" i="12"/>
  <c r="AC61" i="26"/>
  <c r="N155" i="26"/>
  <c r="N182" i="26" s="1"/>
  <c r="T33" i="12"/>
  <c r="J33" i="12"/>
  <c r="U33" i="12" s="1"/>
  <c r="N388" i="26"/>
  <c r="N413" i="26" s="1"/>
  <c r="S46" i="12"/>
  <c r="AA61" i="26"/>
  <c r="J30" i="12"/>
  <c r="U30" i="12" s="1"/>
  <c r="T30" i="12"/>
  <c r="K335" i="26"/>
  <c r="J13" i="12"/>
  <c r="U13" i="12" s="1"/>
  <c r="T13" i="12"/>
  <c r="L136" i="26"/>
  <c r="N136" i="26" s="1"/>
  <c r="Z105" i="26"/>
  <c r="J39" i="12"/>
  <c r="U39" i="12" s="1"/>
  <c r="AA85" i="26"/>
  <c r="T22" i="12"/>
  <c r="AC228" i="26"/>
  <c r="AC254" i="26" s="1"/>
  <c r="H43" i="14"/>
  <c r="L241" i="26"/>
  <c r="AA183" i="26"/>
  <c r="J40" i="12"/>
  <c r="U40" i="12" s="1"/>
  <c r="T40" i="12"/>
  <c r="N46" i="26"/>
  <c r="Z83" i="26"/>
  <c r="K260" i="26"/>
  <c r="N47" i="26"/>
  <c r="N78" i="26" s="1"/>
  <c r="L78" i="26"/>
  <c r="F43" i="21"/>
  <c r="N340" i="26"/>
  <c r="N363" i="26" s="1"/>
  <c r="L363" i="26"/>
  <c r="K78" i="26"/>
  <c r="Z223" i="26"/>
  <c r="AA223" i="26" s="1"/>
  <c r="AC389" i="26"/>
  <c r="T23" i="12"/>
  <c r="J23" i="12"/>
  <c r="U23" i="12" s="1"/>
  <c r="N229" i="26"/>
  <c r="N241" i="26" s="1"/>
  <c r="N24" i="26"/>
  <c r="AA143" i="26"/>
  <c r="AA64" i="26"/>
  <c r="AC64" i="26" s="1"/>
  <c r="L244" i="26"/>
  <c r="AC288" i="26"/>
  <c r="N277" i="26"/>
  <c r="AC411" i="26"/>
  <c r="AC123" i="26"/>
  <c r="AC143" i="26" s="1"/>
  <c r="Z122" i="26"/>
  <c r="J27" i="12"/>
  <c r="U27" i="12" s="1"/>
  <c r="AC354" i="26"/>
  <c r="Z306" i="26"/>
  <c r="AA306" i="26" s="1"/>
  <c r="AA106" i="26"/>
  <c r="J41" i="12"/>
  <c r="U41" i="12" s="1"/>
  <c r="B19" i="8"/>
  <c r="B8" i="8"/>
  <c r="B14" i="8"/>
  <c r="B15" i="8"/>
  <c r="N102" i="26"/>
  <c r="N121" i="26" s="1"/>
  <c r="F46" i="12"/>
  <c r="J10" i="12"/>
  <c r="J20" i="12"/>
  <c r="U20" i="12" s="1"/>
  <c r="L307" i="26"/>
  <c r="N307" i="26" s="1"/>
  <c r="N296" i="26"/>
  <c r="I43" i="14"/>
  <c r="K6" i="14"/>
  <c r="J17" i="12"/>
  <c r="U17" i="12" s="1"/>
  <c r="L100" i="26"/>
  <c r="N79" i="26"/>
  <c r="N100" i="26" s="1"/>
  <c r="T10" i="12"/>
  <c r="J24" i="12"/>
  <c r="U24" i="12" s="1"/>
  <c r="T37" i="12"/>
  <c r="J14" i="12"/>
  <c r="U14" i="12" s="1"/>
  <c r="L295" i="26"/>
  <c r="I8" i="14"/>
  <c r="K8" i="14" s="1"/>
  <c r="H22" i="4"/>
  <c r="T34" i="12"/>
  <c r="AC62" i="26"/>
  <c r="AC83" i="26" s="1"/>
  <c r="N278" i="26"/>
  <c r="N295" i="26" s="1"/>
  <c r="F9" i="8"/>
  <c r="F14" i="8"/>
  <c r="F13" i="8"/>
  <c r="U28" i="12"/>
  <c r="U45" i="12"/>
  <c r="K201" i="26"/>
  <c r="L183" i="26"/>
  <c r="K227" i="26"/>
  <c r="AC404" i="26"/>
  <c r="L202" i="26"/>
  <c r="U18" i="12"/>
  <c r="U25" i="12"/>
  <c r="L387" i="26"/>
  <c r="N364" i="26"/>
  <c r="N387" i="26" s="1"/>
  <c r="K24" i="26"/>
  <c r="U10" i="12" l="1"/>
  <c r="U46" i="12" s="1"/>
  <c r="J46" i="12"/>
  <c r="AC85" i="26"/>
  <c r="AC105" i="26" s="1"/>
  <c r="AA105" i="26"/>
  <c r="AA83" i="26"/>
  <c r="AC106" i="26"/>
  <c r="AC122" i="26" s="1"/>
  <c r="AA122" i="26"/>
  <c r="L154" i="26"/>
  <c r="T46" i="12"/>
  <c r="U12" i="12"/>
  <c r="L227" i="26"/>
  <c r="N202" i="26"/>
  <c r="N227" i="26" s="1"/>
  <c r="K43" i="14"/>
  <c r="L260" i="26"/>
  <c r="N244" i="26"/>
  <c r="N260" i="26" s="1"/>
  <c r="L201" i="26"/>
  <c r="N183" i="26"/>
  <c r="N201" i="26" s="1"/>
</calcChain>
</file>

<file path=xl/sharedStrings.xml><?xml version="1.0" encoding="utf-8"?>
<sst xmlns="http://schemas.openxmlformats.org/spreadsheetml/2006/main" count="2798" uniqueCount="998">
  <si>
    <t>PREVIOUS MONTH</t>
  </si>
  <si>
    <t>CURRENTMONTH</t>
  </si>
  <si>
    <t>YEAR</t>
  </si>
  <si>
    <t>MONTH</t>
  </si>
  <si>
    <t>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</si>
  <si>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</si>
  <si>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</si>
  <si>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</si>
  <si>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</si>
  <si>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</si>
  <si>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</si>
  <si>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</si>
  <si>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</si>
  <si>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</si>
  <si>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</si>
  <si>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</si>
  <si>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</si>
  <si>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Office of the Accountant General of the Federation</t>
  </si>
  <si>
    <t xml:space="preserve">  Federation Account Department</t>
  </si>
  <si>
    <t>Table I</t>
  </si>
  <si>
    <t>Summary of Gross Revenue Allocation by Federation Account Allocation Committee for the Month of October, 2024 Shared in November, 2024</t>
  </si>
  <si>
    <t>S/n</t>
  </si>
  <si>
    <t>Beneficiaries</t>
  </si>
  <si>
    <t>Statutory</t>
  </si>
  <si>
    <t>Exchange Gain</t>
  </si>
  <si>
    <t>Electronic Money Transfer Levy (EMTL)</t>
  </si>
  <si>
    <t>Distribution of ₦100Billion from Non-Oil Revenue for the Month</t>
  </si>
  <si>
    <t>Value Added Tax</t>
  </si>
  <si>
    <t>Total</t>
  </si>
  <si>
    <t>₦</t>
  </si>
  <si>
    <t>FGN (see Table II)</t>
  </si>
  <si>
    <t>State (see Table III)</t>
  </si>
  <si>
    <t>LGCs (see Table IV)</t>
  </si>
  <si>
    <t>13% Derivation Fund</t>
  </si>
  <si>
    <t>Cost of Collection - NCS</t>
  </si>
  <si>
    <t xml:space="preserve"> Cost of Collections - FIRS</t>
  </si>
  <si>
    <t xml:space="preserve"> Cost of Collections - NUPRC</t>
  </si>
  <si>
    <t>Transfer to NMDPRA</t>
  </si>
  <si>
    <t>13% Derivation Refund on withdrawals from JVC/ECA</t>
  </si>
  <si>
    <t xml:space="preserve">13% Refunds on Subsidy, Priority Projects </t>
  </si>
  <si>
    <t>North East Development Commission</t>
  </si>
  <si>
    <t>13% Derivation in respect of NNPCL Management Fee and Frontier Exploration Fund for April, 2024</t>
  </si>
  <si>
    <t>Transfer to Non-oil Excess Account</t>
  </si>
  <si>
    <t>Sixth Tranche of Funding for the Preridential Metering Initative</t>
  </si>
  <si>
    <t>TOTAL</t>
  </si>
  <si>
    <t>Table II</t>
  </si>
  <si>
    <t>Distribution of Revenue Allocation to FGN by Federation Account Allocation Committee for the Month of October, 2024 Shared in November, 2024</t>
  </si>
  <si>
    <t>4=2-3</t>
  </si>
  <si>
    <t>Gross Statutory Allocation</t>
  </si>
  <si>
    <t>Total Deduction</t>
  </si>
  <si>
    <t>Net Statutory Allocation</t>
  </si>
  <si>
    <t>FGN (CRF Account)</t>
  </si>
  <si>
    <t>Share of Derivation &amp; Ecology</t>
  </si>
  <si>
    <t>Stabilization</t>
  </si>
  <si>
    <t>Development of Natural Resources</t>
  </si>
  <si>
    <t>FCT-Abuja</t>
  </si>
  <si>
    <r>
      <rPr>
        <sz val="16"/>
        <rFont val="Times New Roman"/>
        <charset val="134"/>
      </rPr>
      <t xml:space="preserve">Source: </t>
    </r>
    <r>
      <rPr>
        <b/>
        <sz val="16"/>
        <rFont val="Times New Roman"/>
        <charset val="134"/>
      </rPr>
      <t>Office of the Accountant-General of the Federation</t>
    </r>
  </si>
  <si>
    <t>……………………………………………………………</t>
  </si>
  <si>
    <t>Mr. Wale Edun</t>
  </si>
  <si>
    <t>Hon. Minister of Finance and Coordinating Minister of the Economy</t>
  </si>
  <si>
    <t>Abuja. Nigeria.</t>
  </si>
  <si>
    <t>Office  of the Accountant General of the Federation</t>
  </si>
  <si>
    <t>Federation Account Department</t>
  </si>
  <si>
    <t>Table III</t>
  </si>
  <si>
    <t>Distribution of Revenue Allocation to State Governments by Federation Account Allocation Committee for the month of October, 2024 shared in November, 2024</t>
  </si>
  <si>
    <t>6=4+5</t>
  </si>
  <si>
    <t>10=6-(7+8+9)</t>
  </si>
  <si>
    <t>20=6+11+12+13+16+17</t>
  </si>
  <si>
    <t>21=10+11+12+15+19</t>
  </si>
  <si>
    <t>No. of LGCs</t>
  </si>
  <si>
    <t>Statutory Allocation</t>
  </si>
  <si>
    <t>13% Share of Derivation (Net)</t>
  </si>
  <si>
    <t>Gross Total</t>
  </si>
  <si>
    <t>Deductions</t>
  </si>
  <si>
    <t>Exchange Gain Allocation</t>
  </si>
  <si>
    <t>TOTAL Share of Ecology</t>
  </si>
  <si>
    <t>Transfer of 50% Share of Ecology to NDDC/HYPPADEC</t>
  </si>
  <si>
    <t>Net Share of Ecology</t>
  </si>
  <si>
    <t>Gross VAT Allocation</t>
  </si>
  <si>
    <t>VAT Deduction</t>
  </si>
  <si>
    <t>Net VAT Allocation</t>
  </si>
  <si>
    <t>Total Gross Amount</t>
  </si>
  <si>
    <t>Total Net Amount</t>
  </si>
  <si>
    <t>External Debt</t>
  </si>
  <si>
    <t>Contractual Obligation (ISPO)</t>
  </si>
  <si>
    <t xml:space="preserve">Other Deductions   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</si>
  <si>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</si>
  <si>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</si>
  <si>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</si>
  <si>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</si>
  <si>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</si>
  <si>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</si>
  <si>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</si>
  <si>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</si>
  <si>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</si>
  <si>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</si>
  <si>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</si>
  <si>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</si>
  <si>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</si>
  <si>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</si>
  <si>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</si>
  <si>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</si>
  <si>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</si>
  <si>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</si>
  <si>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</si>
  <si>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</si>
  <si>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</si>
  <si>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</si>
  <si>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</si>
  <si>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</si>
  <si>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</si>
  <si>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</si>
  <si>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</si>
  <si>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</si>
  <si>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</si>
  <si>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</si>
  <si>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</si>
  <si>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</si>
  <si>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</si>
  <si>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</si>
  <si>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</si>
  <si>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</si>
  <si>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Office of the Accountant-General of the Federation</t>
  </si>
  <si>
    <t xml:space="preserve"> Distribution  of Revenue Allocation to Local Government Councils by Federation Account Allocation Committee for the Month of September,  2024 shared in August, 2024</t>
  </si>
  <si>
    <t>States</t>
  </si>
  <si>
    <t>Local Government Councils</t>
  </si>
  <si>
    <t>Deduction</t>
  </si>
  <si>
    <t>Total Net Allocation</t>
  </si>
  <si>
    <t>State</t>
  </si>
  <si>
    <t>Total Allocation</t>
  </si>
  <si>
    <t>ABA NORTH</t>
  </si>
  <si>
    <t>KUNCHI</t>
  </si>
  <si>
    <t>ABA SOUTH</t>
  </si>
  <si>
    <t>KURA</t>
  </si>
  <si>
    <t>AROCHUKWU</t>
  </si>
  <si>
    <t>MADOBI</t>
  </si>
  <si>
    <t>BENDE</t>
  </si>
  <si>
    <t>MAKODA</t>
  </si>
  <si>
    <t>IKWUANO</t>
  </si>
  <si>
    <t>MINJIBIR</t>
  </si>
  <si>
    <t>ISIALA NGWA NORTH</t>
  </si>
  <si>
    <t>ISIALA NGWA SOUTH</t>
  </si>
  <si>
    <t>RANO</t>
  </si>
  <si>
    <t>ISUIKWUATO</t>
  </si>
  <si>
    <t>RIMIN GADO</t>
  </si>
  <si>
    <t>NNEOCHI</t>
  </si>
  <si>
    <t>ROGO</t>
  </si>
  <si>
    <t>OBIOMA NGWA</t>
  </si>
  <si>
    <t>SHANONO</t>
  </si>
  <si>
    <t>OHAFIA</t>
  </si>
  <si>
    <t>SUMAILA</t>
  </si>
  <si>
    <t>OSISIOMA</t>
  </si>
  <si>
    <t>TAKAI</t>
  </si>
  <si>
    <t>UGWUNAGBO</t>
  </si>
  <si>
    <t>TARAUNI</t>
  </si>
  <si>
    <t>UKWA EAST</t>
  </si>
  <si>
    <t>TOFA</t>
  </si>
  <si>
    <t>UKWA WEST</t>
  </si>
  <si>
    <t>TSANYAWA</t>
  </si>
  <si>
    <t>UMUAHIA NORTH</t>
  </si>
  <si>
    <t>TUDUN WADA</t>
  </si>
  <si>
    <t>UMUAHIA SOUTH</t>
  </si>
  <si>
    <t>UNGOGO</t>
  </si>
  <si>
    <t>ABIA TOTAL</t>
  </si>
  <si>
    <t>WARAWA</t>
  </si>
  <si>
    <t xml:space="preserve">ADAMAWA </t>
  </si>
  <si>
    <t>DEMSA</t>
  </si>
  <si>
    <t>WUDIL</t>
  </si>
  <si>
    <t>FUFORE</t>
  </si>
  <si>
    <t>KANO TOTAL</t>
  </si>
  <si>
    <t>GANYE</t>
  </si>
  <si>
    <t>BAKORI</t>
  </si>
  <si>
    <t>GIREI</t>
  </si>
  <si>
    <t>BATAGARAWA</t>
  </si>
  <si>
    <t>GOMBI</t>
  </si>
  <si>
    <t>BATSARI</t>
  </si>
  <si>
    <t>GUYUK</t>
  </si>
  <si>
    <t>BAURE</t>
  </si>
  <si>
    <t>HONG</t>
  </si>
  <si>
    <t>BINDAWA</t>
  </si>
  <si>
    <t>JADA</t>
  </si>
  <si>
    <t>CHARANCHI</t>
  </si>
  <si>
    <t>YOLA-NORTH</t>
  </si>
  <si>
    <t>DAN-MUSA</t>
  </si>
  <si>
    <t>LAMURDE</t>
  </si>
  <si>
    <t>DANDUME</t>
  </si>
  <si>
    <t>MADAGALI</t>
  </si>
  <si>
    <t>DANJA</t>
  </si>
  <si>
    <t>MAIHA</t>
  </si>
  <si>
    <t>DAURA</t>
  </si>
  <si>
    <t>MAYO-BELWA</t>
  </si>
  <si>
    <t>DUTSI</t>
  </si>
  <si>
    <t>MICHIKA</t>
  </si>
  <si>
    <t>DUTSINMA</t>
  </si>
  <si>
    <t>MUBI NORTH</t>
  </si>
  <si>
    <t>FASKARI</t>
  </si>
  <si>
    <t>MUBI SOUTH</t>
  </si>
  <si>
    <t>FUNTUA</t>
  </si>
  <si>
    <t>NUMAN</t>
  </si>
  <si>
    <t>INGAWA</t>
  </si>
  <si>
    <t>SHELLENG</t>
  </si>
  <si>
    <t>JIBIA</t>
  </si>
  <si>
    <t>SONG</t>
  </si>
  <si>
    <t>KAFUR</t>
  </si>
  <si>
    <t>TOUNGO</t>
  </si>
  <si>
    <t>KAITA</t>
  </si>
  <si>
    <t>YOLA-SOUTH</t>
  </si>
  <si>
    <t>KANKARA</t>
  </si>
  <si>
    <t>ADAMAWA TOTAL</t>
  </si>
  <si>
    <t>KANKIA</t>
  </si>
  <si>
    <t xml:space="preserve">AKWA IBOM </t>
  </si>
  <si>
    <t>ABAK</t>
  </si>
  <si>
    <t>EASTERN OBOLO</t>
  </si>
  <si>
    <t>KURFI</t>
  </si>
  <si>
    <t>EKET</t>
  </si>
  <si>
    <t>KUSADA</t>
  </si>
  <si>
    <t>EKPE ATAI</t>
  </si>
  <si>
    <t>MAIADUA</t>
  </si>
  <si>
    <t>ESSIEN UDIM</t>
  </si>
  <si>
    <t>MALUMFASHI</t>
  </si>
  <si>
    <t>ETIM EKPO</t>
  </si>
  <si>
    <t>MANI</t>
  </si>
  <si>
    <t>ETINAN</t>
  </si>
  <si>
    <t>MASHI</t>
  </si>
  <si>
    <t>IBENO</t>
  </si>
  <si>
    <t>MATAZU</t>
  </si>
  <si>
    <t>IBESIKPO ASUTAN</t>
  </si>
  <si>
    <t>MUSAWA</t>
  </si>
  <si>
    <t>IBIONO IBOM</t>
  </si>
  <si>
    <t>RIMI</t>
  </si>
  <si>
    <t>IKA</t>
  </si>
  <si>
    <t>SABUWA</t>
  </si>
  <si>
    <t>IKONO</t>
  </si>
  <si>
    <t>SAFANA</t>
  </si>
  <si>
    <t>IKOT ABASI</t>
  </si>
  <si>
    <t>SANDAMU</t>
  </si>
  <si>
    <t>IKOT EKPENE</t>
  </si>
  <si>
    <t>ZANGO</t>
  </si>
  <si>
    <t>INI</t>
  </si>
  <si>
    <t>KATSINA TOTAL</t>
  </si>
  <si>
    <t>ITU</t>
  </si>
  <si>
    <t>ALIERU</t>
  </si>
  <si>
    <t>MBO</t>
  </si>
  <si>
    <t>AREWA</t>
  </si>
  <si>
    <t>MKPAT ENIN</t>
  </si>
  <si>
    <t>ARGUNGU</t>
  </si>
  <si>
    <t>NSIT IBOM</t>
  </si>
  <si>
    <t>AUGIE</t>
  </si>
  <si>
    <t>NSIT UBIUM</t>
  </si>
  <si>
    <t>BAGUDO</t>
  </si>
  <si>
    <t>OBAT AKARA</t>
  </si>
  <si>
    <t>BIRNIN -KEBBI</t>
  </si>
  <si>
    <t>OKOBO</t>
  </si>
  <si>
    <t>BUNZA</t>
  </si>
  <si>
    <t>ONNA</t>
  </si>
  <si>
    <t>DANDI KAMBA</t>
  </si>
  <si>
    <t>ORON</t>
  </si>
  <si>
    <t>DANKO /WASAGU</t>
  </si>
  <si>
    <t>ORUK ANAM</t>
  </si>
  <si>
    <t>FAKAI</t>
  </si>
  <si>
    <t>UDUNG UKO</t>
  </si>
  <si>
    <t>GWANDU</t>
  </si>
  <si>
    <t>UKANAFUN</t>
  </si>
  <si>
    <t>JEGA</t>
  </si>
  <si>
    <t>UQUO</t>
  </si>
  <si>
    <t>KALGO</t>
  </si>
  <si>
    <t>URUAN</t>
  </si>
  <si>
    <t>KOKO/BESSE</t>
  </si>
  <si>
    <t>URUE OFFONG/ORUK</t>
  </si>
  <si>
    <t>MAIYAMA</t>
  </si>
  <si>
    <t>UYO</t>
  </si>
  <si>
    <t>NGASKI</t>
  </si>
  <si>
    <t>AKWA IBOM TOTAL</t>
  </si>
  <si>
    <t>SAKABA</t>
  </si>
  <si>
    <t xml:space="preserve">ANAMBRA </t>
  </si>
  <si>
    <t>AGUATA</t>
  </si>
  <si>
    <t>SHANGA</t>
  </si>
  <si>
    <t>ANAMBRA EAST</t>
  </si>
  <si>
    <t>SURU</t>
  </si>
  <si>
    <t>ANAMBRA WEST</t>
  </si>
  <si>
    <t>YAURI</t>
  </si>
  <si>
    <t>ANIOCHA</t>
  </si>
  <si>
    <t>ZURU</t>
  </si>
  <si>
    <t>AWKA NORTH</t>
  </si>
  <si>
    <t>KEBBI TOTAL</t>
  </si>
  <si>
    <t>AWKA SOUTH</t>
  </si>
  <si>
    <t>ADAVI</t>
  </si>
  <si>
    <t>AYAMELUM</t>
  </si>
  <si>
    <t>AJAOKUTA</t>
  </si>
  <si>
    <t>DUNUKOFIA</t>
  </si>
  <si>
    <t>ANKPA</t>
  </si>
  <si>
    <t>EKWUSIGWO</t>
  </si>
  <si>
    <t>BASSA</t>
  </si>
  <si>
    <t>IDEMILI NORTH</t>
  </si>
  <si>
    <t>DEKINA</t>
  </si>
  <si>
    <t>IDEMILI SOUTH</t>
  </si>
  <si>
    <t>IBAJI</t>
  </si>
  <si>
    <t>IHIALA</t>
  </si>
  <si>
    <t>IDAH</t>
  </si>
  <si>
    <t>NJIKOKA</t>
  </si>
  <si>
    <t>IGALAMELA</t>
  </si>
  <si>
    <t>NNEWI NORTH</t>
  </si>
  <si>
    <t>IJUMU</t>
  </si>
  <si>
    <t>NNEWI SOUTH</t>
  </si>
  <si>
    <t>KABBA/BUNU</t>
  </si>
  <si>
    <t>OGBARU</t>
  </si>
  <si>
    <t>ONISHA NORTH</t>
  </si>
  <si>
    <t>KOTON KARFE</t>
  </si>
  <si>
    <t>ONISHA SOUTH</t>
  </si>
  <si>
    <t>MOPA-MURO</t>
  </si>
  <si>
    <t>ORUMBA NORTH</t>
  </si>
  <si>
    <t>OFU</t>
  </si>
  <si>
    <t>ORUMBA SOUTH</t>
  </si>
  <si>
    <t>OGORI/MAGONGO</t>
  </si>
  <si>
    <t>OYI</t>
  </si>
  <si>
    <t>OKEHI</t>
  </si>
  <si>
    <t>ANAMBRA TOTAL</t>
  </si>
  <si>
    <t>OKENE</t>
  </si>
  <si>
    <t xml:space="preserve">BAUCHI </t>
  </si>
  <si>
    <t>ALKALERI</t>
  </si>
  <si>
    <t>OLAMABORO</t>
  </si>
  <si>
    <t>OMALA</t>
  </si>
  <si>
    <t>BOGORO</t>
  </si>
  <si>
    <t>YAGBA EAST</t>
  </si>
  <si>
    <t>DAMBAN</t>
  </si>
  <si>
    <t>YAGBA WEST</t>
  </si>
  <si>
    <t>DARAZO</t>
  </si>
  <si>
    <t>KOGI TOTAL</t>
  </si>
  <si>
    <t>DASS</t>
  </si>
  <si>
    <t>ASA</t>
  </si>
  <si>
    <t>GAMAWA</t>
  </si>
  <si>
    <t>BARUTEN</t>
  </si>
  <si>
    <t>GANJUWA</t>
  </si>
  <si>
    <t>EDU</t>
  </si>
  <si>
    <t>GIADE</t>
  </si>
  <si>
    <t>I/GADAU</t>
  </si>
  <si>
    <t>IFELODUN</t>
  </si>
  <si>
    <t>JAMA'ARE</t>
  </si>
  <si>
    <t>ILORIN EAST</t>
  </si>
  <si>
    <t>KATAGUM</t>
  </si>
  <si>
    <t>ILORIN SOUTH</t>
  </si>
  <si>
    <t>KIRFI</t>
  </si>
  <si>
    <t>ILORIN WEST</t>
  </si>
  <si>
    <t>MISAU</t>
  </si>
  <si>
    <t>IREPODUN</t>
  </si>
  <si>
    <t>NINGI</t>
  </si>
  <si>
    <t>KAI AMA</t>
  </si>
  <si>
    <t>SHIRA</t>
  </si>
  <si>
    <t>MORO</t>
  </si>
  <si>
    <t>TAFAWA BALEWA</t>
  </si>
  <si>
    <t>OFFA</t>
  </si>
  <si>
    <t>TORO</t>
  </si>
  <si>
    <t>OKE-ERO</t>
  </si>
  <si>
    <t>WARJI</t>
  </si>
  <si>
    <t>OSIN</t>
  </si>
  <si>
    <t>ZAKI</t>
  </si>
  <si>
    <t>OYUN</t>
  </si>
  <si>
    <t>BAUCHI TOTAL</t>
  </si>
  <si>
    <t>PATEGI</t>
  </si>
  <si>
    <t xml:space="preserve">BAYELSA </t>
  </si>
  <si>
    <t>BRASS</t>
  </si>
  <si>
    <t>KWARA TOTAL</t>
  </si>
  <si>
    <t>EKERMOR</t>
  </si>
  <si>
    <t>AGEGE</t>
  </si>
  <si>
    <t>KOLOKUMA/OPOKUMA</t>
  </si>
  <si>
    <t>AJEROMI/IFELODUN</t>
  </si>
  <si>
    <t>NEMBE</t>
  </si>
  <si>
    <t>ALIMOSHO</t>
  </si>
  <si>
    <t>OGBIA</t>
  </si>
  <si>
    <t>AMOWO-ODOFIN</t>
  </si>
  <si>
    <t>SAGBAMA</t>
  </si>
  <si>
    <t>APAPA</t>
  </si>
  <si>
    <t>SOUTHERN IJAW</t>
  </si>
  <si>
    <t>BADAGRY</t>
  </si>
  <si>
    <t>YENAGOA</t>
  </si>
  <si>
    <t>EPE</t>
  </si>
  <si>
    <t>BAYELSA TOTAL</t>
  </si>
  <si>
    <t>ETI-OSA</t>
  </si>
  <si>
    <t xml:space="preserve">BENUE </t>
  </si>
  <si>
    <t>ADO</t>
  </si>
  <si>
    <t>IBEJU-LEKKI</t>
  </si>
  <si>
    <t>AGATU</t>
  </si>
  <si>
    <t>IFAKO/IJAYE</t>
  </si>
  <si>
    <t>APA</t>
  </si>
  <si>
    <t>IKEJA</t>
  </si>
  <si>
    <t>BURUKU</t>
  </si>
  <si>
    <t>IKORODU</t>
  </si>
  <si>
    <t>GBOKO</t>
  </si>
  <si>
    <t>KOSOFE</t>
  </si>
  <si>
    <t>GUMA</t>
  </si>
  <si>
    <t>LAGOS ISLAND</t>
  </si>
  <si>
    <t>GWER EAST</t>
  </si>
  <si>
    <t>LAGOS MAINLAND</t>
  </si>
  <si>
    <t>GWER WEST</t>
  </si>
  <si>
    <t>MUSHIN</t>
  </si>
  <si>
    <t>KATSINA ALA</t>
  </si>
  <si>
    <t>OJO</t>
  </si>
  <si>
    <t>KONSHISHA</t>
  </si>
  <si>
    <t>OSHODI/ISOLO</t>
  </si>
  <si>
    <t>KWANDE</t>
  </si>
  <si>
    <t>SOMOLU</t>
  </si>
  <si>
    <t>LOGO</t>
  </si>
  <si>
    <t>SURULERE</t>
  </si>
  <si>
    <t>MAKURDI</t>
  </si>
  <si>
    <t>LAGOS TOTAL</t>
  </si>
  <si>
    <t>OBI</t>
  </si>
  <si>
    <t>AKWANGA</t>
  </si>
  <si>
    <t>OGBADIBO</t>
  </si>
  <si>
    <t>AWE</t>
  </si>
  <si>
    <t>OHIMINI</t>
  </si>
  <si>
    <t>DOMA</t>
  </si>
  <si>
    <t>OJU</t>
  </si>
  <si>
    <t>KARU</t>
  </si>
  <si>
    <t>OKPOKWU</t>
  </si>
  <si>
    <t>KEANA</t>
  </si>
  <si>
    <t>OTUKPO</t>
  </si>
  <si>
    <t>KEFFI</t>
  </si>
  <si>
    <t>TARKA</t>
  </si>
  <si>
    <t>KOKONA</t>
  </si>
  <si>
    <t>UKUM</t>
  </si>
  <si>
    <t>LAFIA</t>
  </si>
  <si>
    <t>USHONGO</t>
  </si>
  <si>
    <t>NASARAWA</t>
  </si>
  <si>
    <t>VANDEIKYA</t>
  </si>
  <si>
    <t>NASARAWA EGGON</t>
  </si>
  <si>
    <t>BENUE TOTAL</t>
  </si>
  <si>
    <t xml:space="preserve">BORNO </t>
  </si>
  <si>
    <t>ABADAN</t>
  </si>
  <si>
    <t>TOTO</t>
  </si>
  <si>
    <t>ASKIRA UBA</t>
  </si>
  <si>
    <t>WAMBA</t>
  </si>
  <si>
    <t>BAMA</t>
  </si>
  <si>
    <t>NASSARAWA TOTAL</t>
  </si>
  <si>
    <t>BAYO</t>
  </si>
  <si>
    <t>AGAIE</t>
  </si>
  <si>
    <t>BIU</t>
  </si>
  <si>
    <t>AGWARA</t>
  </si>
  <si>
    <t>CHIBOK</t>
  </si>
  <si>
    <t>BIDA</t>
  </si>
  <si>
    <t>DAMBOA</t>
  </si>
  <si>
    <t>BORGU</t>
  </si>
  <si>
    <t>DIKWA</t>
  </si>
  <si>
    <t>BOSSO</t>
  </si>
  <si>
    <t>GUBIO</t>
  </si>
  <si>
    <t>EDATI</t>
  </si>
  <si>
    <t>GUZAMALA</t>
  </si>
  <si>
    <t>GBAKO</t>
  </si>
  <si>
    <t>GWOZA</t>
  </si>
  <si>
    <t>GURARA</t>
  </si>
  <si>
    <t>HAWUL</t>
  </si>
  <si>
    <t>KATCHA</t>
  </si>
  <si>
    <t>JERE</t>
  </si>
  <si>
    <t>KONTAGORA</t>
  </si>
  <si>
    <t>KAGA</t>
  </si>
  <si>
    <t>LAPAI</t>
  </si>
  <si>
    <t>KALA BALGE</t>
  </si>
  <si>
    <t>LAVUN</t>
  </si>
  <si>
    <t>KONDUGA</t>
  </si>
  <si>
    <t>MAGAMA</t>
  </si>
  <si>
    <t>KUKAWA</t>
  </si>
  <si>
    <t>MARIGA</t>
  </si>
  <si>
    <t>KWAYA KUSAR</t>
  </si>
  <si>
    <t>MASHEGU</t>
  </si>
  <si>
    <t>MAFA</t>
  </si>
  <si>
    <t>MINNA</t>
  </si>
  <si>
    <t>MAGUMERI</t>
  </si>
  <si>
    <t>MOKWA</t>
  </si>
  <si>
    <t>MAIDUGURI METRO</t>
  </si>
  <si>
    <t>MUYA</t>
  </si>
  <si>
    <t>MARTE</t>
  </si>
  <si>
    <t>PAIKORO</t>
  </si>
  <si>
    <t>MOBBAR</t>
  </si>
  <si>
    <t>RAFI</t>
  </si>
  <si>
    <t>MONGUNO</t>
  </si>
  <si>
    <t>RIJAU</t>
  </si>
  <si>
    <t>NGALA</t>
  </si>
  <si>
    <t>SHIRORO</t>
  </si>
  <si>
    <t>NGANZAI</t>
  </si>
  <si>
    <t>SULEJA</t>
  </si>
  <si>
    <t>SHANI</t>
  </si>
  <si>
    <t>TAFA</t>
  </si>
  <si>
    <t>BORNO TOTAL</t>
  </si>
  <si>
    <t>WUSHISHI</t>
  </si>
  <si>
    <t xml:space="preserve">CROSS RIVER </t>
  </si>
  <si>
    <t>ABI</t>
  </si>
  <si>
    <t>NIGER TOTAL</t>
  </si>
  <si>
    <t>AKAMKPA</t>
  </si>
  <si>
    <t>ABEOKUTA NORTH</t>
  </si>
  <si>
    <t>AKPABUYO</t>
  </si>
  <si>
    <t>ABEOKUTA SOUTH</t>
  </si>
  <si>
    <t>BAKASSI</t>
  </si>
  <si>
    <t>ADO-ODO/OTA</t>
  </si>
  <si>
    <t>BEKWARA</t>
  </si>
  <si>
    <t>EGBADO NORTH</t>
  </si>
  <si>
    <t>BIASE</t>
  </si>
  <si>
    <t>EGBADO SOUTH</t>
  </si>
  <si>
    <t>BOKI</t>
  </si>
  <si>
    <t>EWEKORO</t>
  </si>
  <si>
    <t>CALABAR MUNICIPAL</t>
  </si>
  <si>
    <t>REMO NORTH</t>
  </si>
  <si>
    <t>CALABAR SOUTH</t>
  </si>
  <si>
    <t>IFO</t>
  </si>
  <si>
    <t>ETUNG</t>
  </si>
  <si>
    <t>IJEBU EAST</t>
  </si>
  <si>
    <t>IKOM</t>
  </si>
  <si>
    <t>IJEBU NORTH</t>
  </si>
  <si>
    <t>OBANLIKU</t>
  </si>
  <si>
    <t>IJEBU ODE</t>
  </si>
  <si>
    <t>OBUBRA</t>
  </si>
  <si>
    <t>IKENNE</t>
  </si>
  <si>
    <t>OBUDU</t>
  </si>
  <si>
    <t>IJEBU NORTH EAST</t>
  </si>
  <si>
    <t>ODUKPANI</t>
  </si>
  <si>
    <t>IMEKO-AFON</t>
  </si>
  <si>
    <t>OGAJA</t>
  </si>
  <si>
    <t>IPOKIA</t>
  </si>
  <si>
    <t>YAKURR</t>
  </si>
  <si>
    <t>OBAFEMI/OWODE</t>
  </si>
  <si>
    <t>YALA</t>
  </si>
  <si>
    <t>ODEDAH</t>
  </si>
  <si>
    <t>CROSS RIVER TOTAL</t>
  </si>
  <si>
    <t>ODOGBOLU</t>
  </si>
  <si>
    <t xml:space="preserve">DELTA </t>
  </si>
  <si>
    <t>ANIOCHA NORTH</t>
  </si>
  <si>
    <t>OGUN WATERSIDE</t>
  </si>
  <si>
    <t>ANIOCHA SOUTH</t>
  </si>
  <si>
    <t>SHAGAMU</t>
  </si>
  <si>
    <t>BOMADI</t>
  </si>
  <si>
    <t>OGUN TOTAL</t>
  </si>
  <si>
    <t>BURUTU</t>
  </si>
  <si>
    <t>AKOKO NORTH EAST</t>
  </si>
  <si>
    <t>ETHIOPE EAST</t>
  </si>
  <si>
    <t>AKOKO NORTH WEST</t>
  </si>
  <si>
    <t>ETHIOPE WEST</t>
  </si>
  <si>
    <t>AKOKO SOUTH WEST</t>
  </si>
  <si>
    <t>IKA NORTH EAST</t>
  </si>
  <si>
    <t>AKOKO SOUTH EAST</t>
  </si>
  <si>
    <t>IKA SOUTH</t>
  </si>
  <si>
    <t>AKURE NORTH</t>
  </si>
  <si>
    <t>ISOKO NORTH</t>
  </si>
  <si>
    <t>AKURE SOUTH</t>
  </si>
  <si>
    <t>ISOKO SOUTH</t>
  </si>
  <si>
    <t>IDANRE</t>
  </si>
  <si>
    <t>NDOKWA EAST</t>
  </si>
  <si>
    <t>IFEDORE</t>
  </si>
  <si>
    <t>NDOKWA WEST</t>
  </si>
  <si>
    <t>OKITIPUPA</t>
  </si>
  <si>
    <t>OKPE</t>
  </si>
  <si>
    <t>ILAJE</t>
  </si>
  <si>
    <t>OSHIMILI NORTH</t>
  </si>
  <si>
    <t>ESE-EDO</t>
  </si>
  <si>
    <t>OSHIMILI SOUTH</t>
  </si>
  <si>
    <t>ILE-OLUJI-OKEIGBO</t>
  </si>
  <si>
    <t>PATANI</t>
  </si>
  <si>
    <t>IRELE</t>
  </si>
  <si>
    <t>SAPELE</t>
  </si>
  <si>
    <t>ODIGBO</t>
  </si>
  <si>
    <t>UDU</t>
  </si>
  <si>
    <t>ONDO EAST</t>
  </si>
  <si>
    <t>UGHELLI NORTH</t>
  </si>
  <si>
    <t>ONDO WEST</t>
  </si>
  <si>
    <t>UGHELLI SOUTH</t>
  </si>
  <si>
    <t>OSE</t>
  </si>
  <si>
    <t>UKWUANI</t>
  </si>
  <si>
    <t>OWO</t>
  </si>
  <si>
    <t>UVWIE</t>
  </si>
  <si>
    <t>ONDO TOTAL</t>
  </si>
  <si>
    <t>WARRI SOUTH</t>
  </si>
  <si>
    <t>ATAKUMOSA EAST</t>
  </si>
  <si>
    <t>WARRI NORTH</t>
  </si>
  <si>
    <t>ATAKUMOSA WEST</t>
  </si>
  <si>
    <t>WARRI SOUTH-WEST</t>
  </si>
  <si>
    <t>AIYEDADE</t>
  </si>
  <si>
    <t>DELTA TOTAL</t>
  </si>
  <si>
    <t>AIYEDIRE</t>
  </si>
  <si>
    <t xml:space="preserve">EBONYI </t>
  </si>
  <si>
    <t>ABAKALIKI</t>
  </si>
  <si>
    <t>BOLUWADURO</t>
  </si>
  <si>
    <t>AFIKPO NORTH</t>
  </si>
  <si>
    <t>BORIPE</t>
  </si>
  <si>
    <t xml:space="preserve">AFIKPO SOUTH </t>
  </si>
  <si>
    <t>EDE NORTH</t>
  </si>
  <si>
    <t>EDE SOUTH</t>
  </si>
  <si>
    <t>EZZA NORTH</t>
  </si>
  <si>
    <t>EGBEDORE</t>
  </si>
  <si>
    <t>EZZA SOUTH</t>
  </si>
  <si>
    <t>EJIGBO</t>
  </si>
  <si>
    <t>IKWO</t>
  </si>
  <si>
    <t>IFE CENTRAL</t>
  </si>
  <si>
    <t>ISHIELU</t>
  </si>
  <si>
    <t>IFE EAST</t>
  </si>
  <si>
    <t>IVO</t>
  </si>
  <si>
    <t>IFE NORTH</t>
  </si>
  <si>
    <t>IZZI</t>
  </si>
  <si>
    <t>IFE SOUTH</t>
  </si>
  <si>
    <t>OHAOZARA</t>
  </si>
  <si>
    <t>IFEDAYO</t>
  </si>
  <si>
    <t>OHAUKWU</t>
  </si>
  <si>
    <t>ONICHA</t>
  </si>
  <si>
    <t>ILA</t>
  </si>
  <si>
    <t>EBONYI TOTAL</t>
  </si>
  <si>
    <t>ILESHA EAST</t>
  </si>
  <si>
    <t>EDO TOTAL</t>
  </si>
  <si>
    <t>AKOKO EDO</t>
  </si>
  <si>
    <t>ILESHA WEST</t>
  </si>
  <si>
    <t>EGOR</t>
  </si>
  <si>
    <t>ESAN CENTRAL</t>
  </si>
  <si>
    <t>IREWOLE</t>
  </si>
  <si>
    <t>ESAN NORTH EAST</t>
  </si>
  <si>
    <t>ISOKAN</t>
  </si>
  <si>
    <t>ESAN SOUTH EAST</t>
  </si>
  <si>
    <t>IWO</t>
  </si>
  <si>
    <t>ESAN WEST</t>
  </si>
  <si>
    <t>OBOKUN</t>
  </si>
  <si>
    <t>ETSAKO CENTRAL</t>
  </si>
  <si>
    <t>ODO-OTIN</t>
  </si>
  <si>
    <t>ETSAKO EAST</t>
  </si>
  <si>
    <t>OLA-OLUWA</t>
  </si>
  <si>
    <t>ETSAKO WEST</t>
  </si>
  <si>
    <t>OLORUNDA</t>
  </si>
  <si>
    <t>IGUEBEN</t>
  </si>
  <si>
    <t>ORIADE</t>
  </si>
  <si>
    <t>IKPOBA OKHA</t>
  </si>
  <si>
    <t>OROLU</t>
  </si>
  <si>
    <t>OREDO</t>
  </si>
  <si>
    <t>OSOGBO</t>
  </si>
  <si>
    <t>ORHIONWON</t>
  </si>
  <si>
    <t>OSUN TOTAL</t>
  </si>
  <si>
    <t>OVIA NORTH EAST</t>
  </si>
  <si>
    <t>AFIJIO</t>
  </si>
  <si>
    <t>OVIA SOUTH WEST</t>
  </si>
  <si>
    <t>AKINYELE</t>
  </si>
  <si>
    <t>OWAN EAST</t>
  </si>
  <si>
    <t>ATIBA</t>
  </si>
  <si>
    <t>OWAN WEST</t>
  </si>
  <si>
    <t>ATISBO</t>
  </si>
  <si>
    <t>UHUNMWODE</t>
  </si>
  <si>
    <t>EGBEDA</t>
  </si>
  <si>
    <t>IBADAN NORTH</t>
  </si>
  <si>
    <t xml:space="preserve">EKITI </t>
  </si>
  <si>
    <t>ADO EKITI</t>
  </si>
  <si>
    <t>IBADAN NORTH EAST</t>
  </si>
  <si>
    <t>AIYEKIRE</t>
  </si>
  <si>
    <t>IBADAN NORTH WEST</t>
  </si>
  <si>
    <t>EFON</t>
  </si>
  <si>
    <t>IBADAN SOUTH EAST</t>
  </si>
  <si>
    <t>EKITI EAST</t>
  </si>
  <si>
    <t>IBADAN SOUTH WEST</t>
  </si>
  <si>
    <t>EKITI SOUTH WEST</t>
  </si>
  <si>
    <t>IBARAPA CENTRAL</t>
  </si>
  <si>
    <t>EKITI WEST</t>
  </si>
  <si>
    <t>IBARAPA NORTH</t>
  </si>
  <si>
    <t>EMURE</t>
  </si>
  <si>
    <t>IDO</t>
  </si>
  <si>
    <t>IDO-OSI</t>
  </si>
  <si>
    <t>SAKI WEST</t>
  </si>
  <si>
    <t>IJERO</t>
  </si>
  <si>
    <t>IFELOJU</t>
  </si>
  <si>
    <t>IKERE</t>
  </si>
  <si>
    <t>IREPO</t>
  </si>
  <si>
    <t>IKOLE</t>
  </si>
  <si>
    <t>ISEYIN</t>
  </si>
  <si>
    <t>ILEJEMEJI</t>
  </si>
  <si>
    <t>ITESIWAJU</t>
  </si>
  <si>
    <t>IREPODUN/IFELODUN</t>
  </si>
  <si>
    <t>IWAJOWA</t>
  </si>
  <si>
    <t>ISE/ORUN</t>
  </si>
  <si>
    <t>OLORUNSOGO</t>
  </si>
  <si>
    <t>MOBA</t>
  </si>
  <si>
    <t>KAJOLA</t>
  </si>
  <si>
    <t>OYE</t>
  </si>
  <si>
    <t>LAGELU</t>
  </si>
  <si>
    <t>EKITI TOTAL</t>
  </si>
  <si>
    <t>OGBOMOSHO NORTH</t>
  </si>
  <si>
    <t>AGWU</t>
  </si>
  <si>
    <t>OGBOMOSHO SOUTH</t>
  </si>
  <si>
    <t>ANINRI</t>
  </si>
  <si>
    <t>OGO-OLUWA</t>
  </si>
  <si>
    <t>ENUGU EAST</t>
  </si>
  <si>
    <t>OLUYOLE</t>
  </si>
  <si>
    <t>ENUGU NORTH</t>
  </si>
  <si>
    <t>ONA-ARA</t>
  </si>
  <si>
    <t>ENUGU SOUTH</t>
  </si>
  <si>
    <t>ORELOPE</t>
  </si>
  <si>
    <t>EZEAGU</t>
  </si>
  <si>
    <t>ORI IRE</t>
  </si>
  <si>
    <t>IGBO ETITI</t>
  </si>
  <si>
    <t>OYO EAST</t>
  </si>
  <si>
    <t>IGBO EZE NORTH</t>
  </si>
  <si>
    <t>OYO WEST</t>
  </si>
  <si>
    <t>IGBO EZE SOUTH</t>
  </si>
  <si>
    <t>SAKI EAST</t>
  </si>
  <si>
    <t>ISI UZO</t>
  </si>
  <si>
    <t>IFEDAPO</t>
  </si>
  <si>
    <t>NKANU EAST</t>
  </si>
  <si>
    <t>OYO TOTAL</t>
  </si>
  <si>
    <t>NKANU WEST</t>
  </si>
  <si>
    <t>BARKIN LADI</t>
  </si>
  <si>
    <t>NSUKKA</t>
  </si>
  <si>
    <t>OJI RIVER</t>
  </si>
  <si>
    <t>BOKKOS</t>
  </si>
  <si>
    <t>UDENU</t>
  </si>
  <si>
    <t>JOS EAST</t>
  </si>
  <si>
    <t>UDI</t>
  </si>
  <si>
    <t>JOS NORTH</t>
  </si>
  <si>
    <t>UZO UWANI</t>
  </si>
  <si>
    <t>JOS SOUTH</t>
  </si>
  <si>
    <t>ENUGU TOTAL</t>
  </si>
  <si>
    <t>KANAM</t>
  </si>
  <si>
    <t xml:space="preserve">GOMBE </t>
  </si>
  <si>
    <t>AKKO</t>
  </si>
  <si>
    <t>KANKE</t>
  </si>
  <si>
    <t>BALANGA</t>
  </si>
  <si>
    <t>LANGTANG NORTH</t>
  </si>
  <si>
    <t>BILLIRI</t>
  </si>
  <si>
    <t>LANGTANG SOUTH</t>
  </si>
  <si>
    <t>DUKKU</t>
  </si>
  <si>
    <t>MANGU</t>
  </si>
  <si>
    <t>FUNAKAYE</t>
  </si>
  <si>
    <t>MIKANG</t>
  </si>
  <si>
    <t>PANKSHIN</t>
  </si>
  <si>
    <t>KALTUNGO</t>
  </si>
  <si>
    <t>QUAN-PAN</t>
  </si>
  <si>
    <t>KWAMI</t>
  </si>
  <si>
    <t>RIYOM</t>
  </si>
  <si>
    <t>NAFADA</t>
  </si>
  <si>
    <t>SHENDAM</t>
  </si>
  <si>
    <t>SHOMGOM</t>
  </si>
  <si>
    <t>WASE</t>
  </si>
  <si>
    <t>YAMALTU/DEBA</t>
  </si>
  <si>
    <t>PLATEAU TOTAL</t>
  </si>
  <si>
    <t>GOMBE TOTAL</t>
  </si>
  <si>
    <t>AHOADA</t>
  </si>
  <si>
    <t xml:space="preserve">IMO </t>
  </si>
  <si>
    <t>ABOH MBAISE</t>
  </si>
  <si>
    <t>AHOADA WEST</t>
  </si>
  <si>
    <t>AHIAZU MBAISE</t>
  </si>
  <si>
    <t>AKUKUTORU</t>
  </si>
  <si>
    <t>EHIME MBANO</t>
  </si>
  <si>
    <t>ANDONI</t>
  </si>
  <si>
    <t>EZINIHITTE MBAISE</t>
  </si>
  <si>
    <t>ASARITORU</t>
  </si>
  <si>
    <t>IDEATO NORTH</t>
  </si>
  <si>
    <t>BONNY</t>
  </si>
  <si>
    <t>IDEATO SOUTH</t>
  </si>
  <si>
    <t>DEGEMA</t>
  </si>
  <si>
    <t>IHITTE UBOMA</t>
  </si>
  <si>
    <t>ELEME</t>
  </si>
  <si>
    <t>IKEDURU</t>
  </si>
  <si>
    <t>EMOHUA</t>
  </si>
  <si>
    <t>ISIALA MBANO</t>
  </si>
  <si>
    <t>ETCHE</t>
  </si>
  <si>
    <t>ISU</t>
  </si>
  <si>
    <t>GONAKA</t>
  </si>
  <si>
    <t>MBAITOLI</t>
  </si>
  <si>
    <t>IKWERRE</t>
  </si>
  <si>
    <t>NGOR/OKPALA</t>
  </si>
  <si>
    <t>KHANA</t>
  </si>
  <si>
    <t>NJABA</t>
  </si>
  <si>
    <t>OBIO/AKPOR</t>
  </si>
  <si>
    <t>NKWANGELE</t>
  </si>
  <si>
    <t>OBUA/ODUAL</t>
  </si>
  <si>
    <t>NKWERRE</t>
  </si>
  <si>
    <t>OGBA/EGBEMA/NDONI</t>
  </si>
  <si>
    <t>OBOWO</t>
  </si>
  <si>
    <t>OGU/BOLO</t>
  </si>
  <si>
    <t>OGUTA</t>
  </si>
  <si>
    <t>OKRIKA</t>
  </si>
  <si>
    <t>OHAJI/EGBEMA</t>
  </si>
  <si>
    <t>OMUMMA</t>
  </si>
  <si>
    <t>OKIGWE</t>
  </si>
  <si>
    <t>OPOBO/NKORO</t>
  </si>
  <si>
    <t>ONUIMO</t>
  </si>
  <si>
    <t>OYIGBO</t>
  </si>
  <si>
    <t>ORLU</t>
  </si>
  <si>
    <t>PORT HARCOURT</t>
  </si>
  <si>
    <t>ORSU</t>
  </si>
  <si>
    <t>TAI</t>
  </si>
  <si>
    <t>ORU</t>
  </si>
  <si>
    <t>RIVERS TOTAL</t>
  </si>
  <si>
    <t>ORU WEST</t>
  </si>
  <si>
    <t>BINJI</t>
  </si>
  <si>
    <t>OWERRI MUNICIPAL</t>
  </si>
  <si>
    <t>BODINGA</t>
  </si>
  <si>
    <t>OWERRI NORTH</t>
  </si>
  <si>
    <t>DANGE-SHUNI</t>
  </si>
  <si>
    <t>OWERRI WEST</t>
  </si>
  <si>
    <t>GADA</t>
  </si>
  <si>
    <t>IMO TOTAL</t>
  </si>
  <si>
    <t>GORONYO</t>
  </si>
  <si>
    <t xml:space="preserve">JIGAWA </t>
  </si>
  <si>
    <t>AUYO</t>
  </si>
  <si>
    <t>GUDU</t>
  </si>
  <si>
    <t>BABURA</t>
  </si>
  <si>
    <t>GWADABAWA</t>
  </si>
  <si>
    <t>BIRNIN KUDU</t>
  </si>
  <si>
    <t>ILLELA</t>
  </si>
  <si>
    <t>BIRNIWA</t>
  </si>
  <si>
    <t>ISA</t>
  </si>
  <si>
    <t>GAGARAWA</t>
  </si>
  <si>
    <t>KEBBE</t>
  </si>
  <si>
    <t>BUJI</t>
  </si>
  <si>
    <t>KWARE</t>
  </si>
  <si>
    <t>DUTSE</t>
  </si>
  <si>
    <t>RABAH</t>
  </si>
  <si>
    <t>GARKI</t>
  </si>
  <si>
    <t>SABON BIRNI</t>
  </si>
  <si>
    <t>GUMEL</t>
  </si>
  <si>
    <t>SHAGARI</t>
  </si>
  <si>
    <t>GURI</t>
  </si>
  <si>
    <t>SILAME</t>
  </si>
  <si>
    <t>GWARAM</t>
  </si>
  <si>
    <t>SOKOTO NORTH</t>
  </si>
  <si>
    <t>GWIWA</t>
  </si>
  <si>
    <t>SOKOTO SOUTH</t>
  </si>
  <si>
    <t>HADEJIA</t>
  </si>
  <si>
    <t>TAMBUWAL</t>
  </si>
  <si>
    <t>JAHUN</t>
  </si>
  <si>
    <t>TANGAZA</t>
  </si>
  <si>
    <t>KAFIN HAUSA</t>
  </si>
  <si>
    <t>TURETA</t>
  </si>
  <si>
    <t>KAUGAMA</t>
  </si>
  <si>
    <t>WAMAKKO</t>
  </si>
  <si>
    <t>KAZAURE</t>
  </si>
  <si>
    <t>WURNO</t>
  </si>
  <si>
    <t>KIRI-KASAMMA</t>
  </si>
  <si>
    <t>YABO</t>
  </si>
  <si>
    <t>KIYAWA</t>
  </si>
  <si>
    <t>SOKOTO TOTAL</t>
  </si>
  <si>
    <t>MAIGATARI</t>
  </si>
  <si>
    <t>ARDO KOLA</t>
  </si>
  <si>
    <t>MALAM MADORI</t>
  </si>
  <si>
    <t>BALI</t>
  </si>
  <si>
    <t>MIGA</t>
  </si>
  <si>
    <t>DONGA</t>
  </si>
  <si>
    <t>RINGIM</t>
  </si>
  <si>
    <t>GASHAKA</t>
  </si>
  <si>
    <t>RONI</t>
  </si>
  <si>
    <t>GASSOL</t>
  </si>
  <si>
    <t>SULE TAKARKAR</t>
  </si>
  <si>
    <t>IBI</t>
  </si>
  <si>
    <t>TAURA</t>
  </si>
  <si>
    <t>JALINGO</t>
  </si>
  <si>
    <t>YANKWASHI</t>
  </si>
  <si>
    <t>KARIM LAMIDU</t>
  </si>
  <si>
    <t>JIGAWA TOTAL</t>
  </si>
  <si>
    <t>KURMI</t>
  </si>
  <si>
    <t xml:space="preserve">KADUNA </t>
  </si>
  <si>
    <t>BIRNIN GWARI</t>
  </si>
  <si>
    <t>LAU</t>
  </si>
  <si>
    <t>CHIKUN</t>
  </si>
  <si>
    <t>SARDAUNA</t>
  </si>
  <si>
    <t>GIWA</t>
  </si>
  <si>
    <t>TAKUM</t>
  </si>
  <si>
    <t>KAJURU</t>
  </si>
  <si>
    <t>USSA</t>
  </si>
  <si>
    <t>IGABI</t>
  </si>
  <si>
    <t>WUKARI</t>
  </si>
  <si>
    <t>IKARA</t>
  </si>
  <si>
    <t>YORRO</t>
  </si>
  <si>
    <t>JABA</t>
  </si>
  <si>
    <t>ZING</t>
  </si>
  <si>
    <t>JEMA'A</t>
  </si>
  <si>
    <t>TARABA TOTAL</t>
  </si>
  <si>
    <t>KACHIA</t>
  </si>
  <si>
    <t>BADE</t>
  </si>
  <si>
    <t>KADUNA NORTH</t>
  </si>
  <si>
    <t>BURSARI</t>
  </si>
  <si>
    <t>KADUNA SOUTH</t>
  </si>
  <si>
    <t>DAMATURU</t>
  </si>
  <si>
    <t>KAGARKO</t>
  </si>
  <si>
    <t>FIKA</t>
  </si>
  <si>
    <t>KAURA</t>
  </si>
  <si>
    <t>FUNE</t>
  </si>
  <si>
    <t>KAURU</t>
  </si>
  <si>
    <t>GEIDAM</t>
  </si>
  <si>
    <t>KUBAU</t>
  </si>
  <si>
    <t>GUJBA</t>
  </si>
  <si>
    <t>KUDAN</t>
  </si>
  <si>
    <t>GULAMI</t>
  </si>
  <si>
    <t>LERE</t>
  </si>
  <si>
    <t>JAKUSKO</t>
  </si>
  <si>
    <t>MAKARFI</t>
  </si>
  <si>
    <t>KARASUWA</t>
  </si>
  <si>
    <t>SABON GARI</t>
  </si>
  <si>
    <t>MACHINA</t>
  </si>
  <si>
    <t>SANGA</t>
  </si>
  <si>
    <t>NANGERE</t>
  </si>
  <si>
    <t>SOBA</t>
  </si>
  <si>
    <t>NGURU</t>
  </si>
  <si>
    <t>ZANGON KATAF</t>
  </si>
  <si>
    <t>POTISKUM</t>
  </si>
  <si>
    <t>ZARIA</t>
  </si>
  <si>
    <t>TARMUA</t>
  </si>
  <si>
    <t>KADUNA TOTAL</t>
  </si>
  <si>
    <t>YUNUSARI</t>
  </si>
  <si>
    <t>AJINGI</t>
  </si>
  <si>
    <t>YUSUFARI</t>
  </si>
  <si>
    <t>ALBASU</t>
  </si>
  <si>
    <t>YOBE TOTAL</t>
  </si>
  <si>
    <t>BAGWAI</t>
  </si>
  <si>
    <t>ANKA</t>
  </si>
  <si>
    <t>BEBEJI</t>
  </si>
  <si>
    <t>BAKURA</t>
  </si>
  <si>
    <t>BICHI</t>
  </si>
  <si>
    <t>BUKKUYUM</t>
  </si>
  <si>
    <t>BUNKURE</t>
  </si>
  <si>
    <t>BUNGUDU</t>
  </si>
  <si>
    <t>DALA</t>
  </si>
  <si>
    <t>GUMMI</t>
  </si>
  <si>
    <t>DANBATTA</t>
  </si>
  <si>
    <t>GUSAU</t>
  </si>
  <si>
    <t>DAWAKIN KUDU</t>
  </si>
  <si>
    <t>KAURA NAMODA</t>
  </si>
  <si>
    <t>DAWAKIN TOFA</t>
  </si>
  <si>
    <t>DOGUWA</t>
  </si>
  <si>
    <t>MARADUN</t>
  </si>
  <si>
    <t>FAGGE</t>
  </si>
  <si>
    <t>MARU</t>
  </si>
  <si>
    <t>GABASAWA</t>
  </si>
  <si>
    <t>SHINKAFI</t>
  </si>
  <si>
    <t>GARKO</t>
  </si>
  <si>
    <t>TALATA MAFARA</t>
  </si>
  <si>
    <t>GARUN MALLAM</t>
  </si>
  <si>
    <t>TSAFE</t>
  </si>
  <si>
    <t>GAYA</t>
  </si>
  <si>
    <t>ZURMI</t>
  </si>
  <si>
    <t>GEZAWA</t>
  </si>
  <si>
    <t>ZAMFARA TOTAL</t>
  </si>
  <si>
    <t>GWALE</t>
  </si>
  <si>
    <t>FCT-ABUJA</t>
  </si>
  <si>
    <t>ABAJI</t>
  </si>
  <si>
    <t>GWARZO</t>
  </si>
  <si>
    <t>ABUJA MUNICIPAL</t>
  </si>
  <si>
    <t>KABO</t>
  </si>
  <si>
    <t>BWARI</t>
  </si>
  <si>
    <t>KANO MUNICIPAL</t>
  </si>
  <si>
    <t>GWAGWALADA</t>
  </si>
  <si>
    <t>KARAYE</t>
  </si>
  <si>
    <t>KUJE</t>
  </si>
  <si>
    <t>KIBIYA</t>
  </si>
  <si>
    <t>KWALI</t>
  </si>
  <si>
    <t>KIRU</t>
  </si>
  <si>
    <t>FCT-ABUJA TOTAL</t>
  </si>
  <si>
    <t>KUMBOTSO</t>
  </si>
  <si>
    <t>Grand Total</t>
  </si>
  <si>
    <t>Summary of Distribution of Revenue Allocation to Local Government Councils by Federation Account Allocation Committee for the month of  October, 2024 Shared in November, 2024</t>
  </si>
  <si>
    <t>`</t>
  </si>
  <si>
    <t>Total Ecology Fund</t>
  </si>
  <si>
    <t>VAT</t>
  </si>
  <si>
    <t>Details of Distribution of Ecology Revenue Allocation to States by Federation Account Allocation Committee for the month of  October, 2024 Shared in November, 2024</t>
  </si>
  <si>
    <t>S/N</t>
  </si>
  <si>
    <t>Gross Statutory Allocation (Ecology)</t>
  </si>
  <si>
    <t>Exchange Gain (Ecology)</t>
  </si>
  <si>
    <t>100Billion (Ecology)</t>
  </si>
  <si>
    <t xml:space="preserve"> Distribution of Ecology to Local Government Councils by Federation Account Allocation Committee for the month of October, 2024 Shared in November, 2024</t>
  </si>
  <si>
    <t>S/NO</t>
  </si>
  <si>
    <t>STATE</t>
  </si>
  <si>
    <t>LOCAL GOVERNMENT COUNCILS</t>
  </si>
  <si>
    <t>Non-oil Revenue (Ecology)</t>
  </si>
  <si>
    <t>Total (Ecology)</t>
  </si>
  <si>
    <t>ABIA  LGCS</t>
  </si>
  <si>
    <t>ADAMAWA  LGCS</t>
  </si>
  <si>
    <t>AKWA IBOM  LGCS</t>
  </si>
  <si>
    <t>ANAMBRA  LGCS</t>
  </si>
  <si>
    <t>BAUCHI  LGCS</t>
  </si>
  <si>
    <t>BAYELSA  LGCS</t>
  </si>
  <si>
    <t>BENUE  LGCS</t>
  </si>
  <si>
    <t>BORNO  LGCS</t>
  </si>
  <si>
    <t>CROSS RIVER  LGCS</t>
  </si>
  <si>
    <t>DELTA  LGCS</t>
  </si>
  <si>
    <t>EBONYI  LGCS</t>
  </si>
  <si>
    <t>EDO  LGCS</t>
  </si>
  <si>
    <t>EKITI  LGCS</t>
  </si>
  <si>
    <t>ENUGU  LGCS</t>
  </si>
  <si>
    <t>GOMBE  LGCS</t>
  </si>
  <si>
    <t>IMO  LGCS</t>
  </si>
  <si>
    <t>JIGAWA  LGCS</t>
  </si>
  <si>
    <t>KADUNA  LGCS</t>
  </si>
  <si>
    <t>KANO  LGCS</t>
  </si>
  <si>
    <t>KATSINA  LGCS</t>
  </si>
  <si>
    <t>KEBBI  LGCS</t>
  </si>
  <si>
    <t>KOGI  LGCS</t>
  </si>
  <si>
    <t>KWARA  LGCS</t>
  </si>
  <si>
    <t>LAGOS  LGCS</t>
  </si>
  <si>
    <t>NASSARAWA  LGCS</t>
  </si>
  <si>
    <t>NIGER  LGCS</t>
  </si>
  <si>
    <t>OGUN  LGCS</t>
  </si>
  <si>
    <t>ONDO  LGCS</t>
  </si>
  <si>
    <t>OSUN  LGCS</t>
  </si>
  <si>
    <t>OYO  LGCS</t>
  </si>
  <si>
    <t>PLATEAU  LGCS</t>
  </si>
  <si>
    <t>RIVERS  LGCS</t>
  </si>
  <si>
    <t>SOKOTO  LGCS</t>
  </si>
  <si>
    <t>TARABA  LGCS</t>
  </si>
  <si>
    <t>YOBE  LGCS</t>
  </si>
  <si>
    <t>ZAMFARA  LGCS</t>
  </si>
  <si>
    <t>FCT-ABUJA  LGCS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</si>
</sst>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 &quot;#,##0.00;\-&quot; &quot;#,##0.00"/>
    <numFmt numFmtId="165" formatCode="_(* #,##0.00_);_(* \(#,##0.00\);_(* &quot;-&quot;??_);_(@_)"/>
    <numFmt numFmtId="166" formatCode="#,##0.00_ ;\-#,##0.00&quot; &quot;"/>
    <numFmt numFmtId="167" formatCode="#,##0.0000000_ ;\-#,##0.0000000&quot; &quot;"/>
  </numFmts>
  <fonts count="28">
    <font>
      <sz val="10"/>
      <name val="Arial"/>
      <charset val="134"/>
    </font>
    <font>
      <b/>
      <sz val="16"/>
      <name val="Times New Roman"/>
      <charset val="134"/>
    </font>
    <font>
      <b/>
      <sz val="13"/>
      <name val="Times New Roman"/>
      <charset val="134"/>
    </font>
    <font>
      <b/>
      <sz val="11"/>
      <color theme="1"/>
      <name val="Times New Roman"/>
      <charset val="134"/>
    </font>
    <font>
      <b/>
      <sz val="14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sz val="14"/>
      <color indexed="8"/>
      <name val="Times New Roman"/>
      <charset val="134"/>
    </font>
    <font>
      <sz val="14"/>
      <name val="Times New Roman"/>
      <charset val="134"/>
    </font>
    <font>
      <sz val="10"/>
      <name val="Times New Roman"/>
      <charset val="134"/>
    </font>
    <font>
      <b/>
      <sz val="14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24"/>
      <name val="Times New Roman"/>
      <charset val="134"/>
    </font>
    <font>
      <b/>
      <sz val="18"/>
      <name val="Times New Roman"/>
      <charset val="134"/>
    </font>
    <font>
      <b/>
      <sz val="12"/>
      <color indexed="8"/>
      <name val="Times New Roman"/>
      <charset val="134"/>
    </font>
    <font>
      <b/>
      <sz val="10"/>
      <name val="Times New Roman"/>
      <charset val="134"/>
    </font>
    <font>
      <b/>
      <sz val="20"/>
      <name val="Times New Roman"/>
      <charset val="134"/>
    </font>
    <font>
      <b/>
      <u/>
      <sz val="16"/>
      <name val="Times New Roman"/>
      <charset val="134"/>
    </font>
    <font>
      <sz val="11"/>
      <color indexed="8"/>
      <name val="Times New Roman"/>
      <charset val="134"/>
    </font>
    <font>
      <b/>
      <u val="singleAccounting"/>
      <sz val="10"/>
      <name val="Times New Roman"/>
      <charset val="134"/>
    </font>
    <font>
      <sz val="18"/>
      <name val="Times New Roman"/>
      <charset val="134"/>
    </font>
    <font>
      <b/>
      <u/>
      <sz val="14"/>
      <name val="Times New Roman"/>
      <charset val="134"/>
    </font>
    <font>
      <sz val="12"/>
      <name val="Times New Roman"/>
      <charset val="134"/>
    </font>
    <font>
      <sz val="16"/>
      <name val="Times New Roman"/>
      <charset val="134"/>
    </font>
    <font>
      <b/>
      <sz val="22"/>
      <name val="Times New Roman"/>
      <charset val="134"/>
    </font>
    <font>
      <b/>
      <sz val="18"/>
      <name val="Arial"/>
      <charset val="134"/>
    </font>
    <font>
      <sz val="10"/>
      <color indexed="8"/>
      <name val="Arial"/>
      <charset val="134"/>
    </font>
    <font>
      <sz val="1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8">
    <xf numFmtId="0" fontId="0" fillId="0" borderId="0"/>
    <xf numFmtId="165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</cellStyleXfs>
  <cellXfs count="218">
    <xf numFmtId="0" fontId="0" fillId="0" borderId="0" xfId="0"/>
    <xf numFmtId="0" fontId="1" fillId="0" borderId="1" xfId="0" applyFont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165" fontId="4" fillId="0" borderId="1" xfId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2" borderId="1" xfId="4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164" fontId="7" fillId="0" borderId="1" xfId="4" applyNumberFormat="1" applyFont="1" applyBorder="1" applyAlignment="1">
      <alignment horizontal="right" wrapText="1"/>
    </xf>
    <xf numFmtId="39" fontId="8" fillId="0" borderId="1" xfId="0" applyNumberFormat="1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9" fillId="0" borderId="0" xfId="0" applyFont="1" applyFill="1" applyAlignment="1"/>
    <xf numFmtId="0" fontId="10" fillId="2" borderId="3" xfId="2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 wrapText="1"/>
    </xf>
    <xf numFmtId="165" fontId="4" fillId="0" borderId="4" xfId="1" applyNumberFormat="1" applyFont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4" fillId="0" borderId="4" xfId="0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 wrapText="1"/>
    </xf>
    <xf numFmtId="0" fontId="7" fillId="0" borderId="1" xfId="2" applyFont="1" applyBorder="1" applyAlignment="1">
      <alignment horizontal="right" wrapText="1"/>
    </xf>
    <xf numFmtId="0" fontId="7" fillId="0" borderId="1" xfId="2" applyFont="1" applyBorder="1" applyAlignment="1">
      <alignment wrapText="1"/>
    </xf>
    <xf numFmtId="164" fontId="7" fillId="0" borderId="1" xfId="2" applyNumberFormat="1" applyFont="1" applyBorder="1" applyAlignment="1">
      <alignment horizontal="right" wrapText="1"/>
    </xf>
    <xf numFmtId="164" fontId="8" fillId="0" borderId="1" xfId="0" applyNumberFormat="1" applyFont="1" applyFill="1" applyBorder="1" applyAlignment="1"/>
    <xf numFmtId="164" fontId="9" fillId="0" borderId="0" xfId="0" applyNumberFormat="1" applyFont="1" applyFill="1" applyAlignment="1"/>
    <xf numFmtId="165" fontId="9" fillId="0" borderId="0" xfId="1" applyNumberFormat="1" applyFont="1"/>
    <xf numFmtId="0" fontId="9" fillId="0" borderId="0" xfId="0" applyFont="1" applyFill="1" applyAlignment="1">
      <alignment wrapText="1"/>
    </xf>
    <xf numFmtId="0" fontId="8" fillId="0" borderId="1" xfId="0" applyFont="1" applyFill="1" applyBorder="1" applyAlignment="1"/>
    <xf numFmtId="164" fontId="4" fillId="0" borderId="1" xfId="0" applyNumberFormat="1" applyFont="1" applyFill="1" applyBorder="1" applyAlignment="1"/>
    <xf numFmtId="0" fontId="8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/>
    <xf numFmtId="0" fontId="4" fillId="0" borderId="0" xfId="0" applyFont="1" applyAlignment="1">
      <alignment horizontal="center"/>
    </xf>
    <xf numFmtId="165" fontId="4" fillId="0" borderId="0" xfId="1" applyFont="1" applyBorder="1" applyAlignment="1">
      <alignment wrapText="1"/>
    </xf>
    <xf numFmtId="0" fontId="7" fillId="2" borderId="1" xfId="6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6" applyFont="1" applyBorder="1" applyAlignment="1">
      <alignment horizontal="right" wrapText="1"/>
    </xf>
    <xf numFmtId="0" fontId="7" fillId="0" borderId="1" xfId="6" applyFont="1" applyBorder="1" applyAlignment="1">
      <alignment wrapText="1"/>
    </xf>
    <xf numFmtId="165" fontId="8" fillId="0" borderId="1" xfId="1" applyFont="1" applyBorder="1"/>
    <xf numFmtId="43" fontId="8" fillId="0" borderId="1" xfId="0" applyNumberFormat="1" applyFont="1" applyBorder="1"/>
    <xf numFmtId="43" fontId="8" fillId="0" borderId="0" xfId="0" applyNumberFormat="1" applyFont="1"/>
    <xf numFmtId="165" fontId="8" fillId="0" borderId="0" xfId="0" applyNumberFormat="1" applyFont="1"/>
    <xf numFmtId="165" fontId="4" fillId="0" borderId="1" xfId="0" applyNumberFormat="1" applyFont="1" applyBorder="1"/>
    <xf numFmtId="165" fontId="4" fillId="0" borderId="0" xfId="0" applyNumberFormat="1" applyFont="1"/>
    <xf numFmtId="0" fontId="4" fillId="0" borderId="0" xfId="0" applyFont="1" applyAlignment="1">
      <alignment wrapText="1"/>
    </xf>
    <xf numFmtId="0" fontId="4" fillId="2" borderId="1" xfId="3" applyFont="1" applyFill="1" applyBorder="1" applyAlignment="1">
      <alignment horizontal="center"/>
    </xf>
    <xf numFmtId="165" fontId="6" fillId="0" borderId="1" xfId="1" applyFont="1" applyBorder="1" applyAlignment="1">
      <alignment horizontal="center" wrapText="1"/>
    </xf>
    <xf numFmtId="165" fontId="6" fillId="0" borderId="2" xfId="1" applyFont="1" applyBorder="1" applyAlignment="1">
      <alignment wrapText="1"/>
    </xf>
    <xf numFmtId="0" fontId="14" fillId="2" borderId="1" xfId="7" applyFont="1" applyFill="1" applyBorder="1" applyAlignment="1">
      <alignment horizontal="center" wrapText="1"/>
    </xf>
    <xf numFmtId="0" fontId="7" fillId="0" borderId="1" xfId="3" applyFont="1" applyBorder="1" applyAlignment="1">
      <alignment horizontal="right" wrapText="1"/>
    </xf>
    <xf numFmtId="0" fontId="7" fillId="0" borderId="1" xfId="3" applyFont="1" applyBorder="1" applyAlignment="1">
      <alignment wrapText="1"/>
    </xf>
    <xf numFmtId="165" fontId="7" fillId="0" borderId="1" xfId="1" applyFont="1" applyBorder="1" applyAlignment="1">
      <alignment wrapText="1"/>
    </xf>
    <xf numFmtId="164" fontId="7" fillId="0" borderId="1" xfId="3" applyNumberFormat="1" applyFont="1" applyBorder="1" applyAlignment="1">
      <alignment horizontal="right" wrapText="1"/>
    </xf>
    <xf numFmtId="0" fontId="8" fillId="0" borderId="1" xfId="0" applyFont="1" applyBorder="1"/>
    <xf numFmtId="165" fontId="8" fillId="0" borderId="0" xfId="1" applyFont="1"/>
    <xf numFmtId="0" fontId="15" fillId="0" borderId="1" xfId="0" applyFont="1" applyBorder="1" applyAlignment="1">
      <alignment horizontal="center" wrapText="1"/>
    </xf>
    <xf numFmtId="0" fontId="14" fillId="2" borderId="6" xfId="7" applyFont="1" applyFill="1" applyBorder="1" applyAlignment="1">
      <alignment horizontal="center" wrapText="1"/>
    </xf>
    <xf numFmtId="166" fontId="8" fillId="0" borderId="1" xfId="0" applyNumberFormat="1" applyFont="1" applyBorder="1"/>
    <xf numFmtId="167" fontId="8" fillId="0" borderId="0" xfId="0" applyNumberFormat="1" applyFont="1"/>
    <xf numFmtId="0" fontId="9" fillId="0" borderId="0" xfId="0" applyFont="1"/>
    <xf numFmtId="0" fontId="9" fillId="0" borderId="0" xfId="0" applyFont="1" applyAlignment="1">
      <alignment vertical="center"/>
    </xf>
    <xf numFmtId="0" fontId="15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65" fontId="9" fillId="0" borderId="1" xfId="1" applyFont="1" applyBorder="1"/>
    <xf numFmtId="165" fontId="15" fillId="0" borderId="1" xfId="1" applyFont="1" applyBorder="1"/>
    <xf numFmtId="0" fontId="9" fillId="0" borderId="2" xfId="0" applyFont="1" applyBorder="1"/>
    <xf numFmtId="0" fontId="9" fillId="0" borderId="4" xfId="0" applyFont="1" applyBorder="1"/>
    <xf numFmtId="0" fontId="9" fillId="3" borderId="0" xfId="0" applyFont="1" applyFill="1"/>
    <xf numFmtId="165" fontId="15" fillId="0" borderId="1" xfId="0" applyNumberFormat="1" applyFont="1" applyBorder="1"/>
    <xf numFmtId="0" fontId="15" fillId="0" borderId="4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/>
    <xf numFmtId="165" fontId="9" fillId="0" borderId="1" xfId="1" applyFont="1" applyBorder="1" applyAlignment="1">
      <alignment wrapText="1"/>
    </xf>
    <xf numFmtId="1" fontId="9" fillId="0" borderId="6" xfId="0" applyNumberFormat="1" applyFont="1" applyBorder="1"/>
    <xf numFmtId="165" fontId="9" fillId="0" borderId="7" xfId="1" applyFont="1" applyBorder="1"/>
    <xf numFmtId="165" fontId="18" fillId="0" borderId="1" xfId="5" applyNumberFormat="1" applyFont="1" applyBorder="1" applyAlignment="1">
      <alignment horizontal="right" wrapText="1"/>
    </xf>
    <xf numFmtId="165" fontId="9" fillId="0" borderId="1" xfId="1" applyFont="1" applyBorder="1" applyAlignment="1">
      <alignment horizontal="left" wrapText="1"/>
    </xf>
    <xf numFmtId="165" fontId="9" fillId="0" borderId="0" xfId="0" applyNumberFormat="1" applyFont="1"/>
    <xf numFmtId="164" fontId="18" fillId="0" borderId="1" xfId="5" applyNumberFormat="1" applyFont="1" applyBorder="1" applyAlignment="1">
      <alignment horizontal="right" wrapText="1"/>
    </xf>
    <xf numFmtId="0" fontId="9" fillId="4" borderId="1" xfId="0" applyFont="1" applyFill="1" applyBorder="1"/>
    <xf numFmtId="165" fontId="9" fillId="4" borderId="1" xfId="0" applyNumberFormat="1" applyFont="1" applyFill="1" applyBorder="1"/>
    <xf numFmtId="165" fontId="15" fillId="4" borderId="1" xfId="0" applyNumberFormat="1" applyFont="1" applyFill="1" applyBorder="1"/>
    <xf numFmtId="165" fontId="9" fillId="0" borderId="5" xfId="1" applyFont="1" applyFill="1" applyBorder="1"/>
    <xf numFmtId="43" fontId="19" fillId="0" borderId="0" xfId="0" applyNumberFormat="1" applyFont="1"/>
    <xf numFmtId="0" fontId="9" fillId="4" borderId="0" xfId="0" applyFont="1" applyFill="1"/>
    <xf numFmtId="165" fontId="9" fillId="4" borderId="0" xfId="0" applyNumberFormat="1" applyFont="1" applyFill="1"/>
    <xf numFmtId="0" fontId="15" fillId="3" borderId="0" xfId="0" applyFont="1" applyFill="1"/>
    <xf numFmtId="0" fontId="9" fillId="0" borderId="11" xfId="0" applyFont="1" applyBorder="1"/>
    <xf numFmtId="165" fontId="15" fillId="0" borderId="2" xfId="1" applyFont="1" applyBorder="1"/>
    <xf numFmtId="165" fontId="15" fillId="0" borderId="12" xfId="1" applyFont="1" applyBorder="1"/>
    <xf numFmtId="165" fontId="15" fillId="0" borderId="13" xfId="1" applyFont="1" applyBorder="1"/>
    <xf numFmtId="165" fontId="9" fillId="0" borderId="0" xfId="1" applyFont="1"/>
    <xf numFmtId="165" fontId="15" fillId="0" borderId="0" xfId="0" applyNumberFormat="1" applyFont="1"/>
    <xf numFmtId="43" fontId="9" fillId="0" borderId="0" xfId="0" applyNumberFormat="1" applyFont="1"/>
    <xf numFmtId="165" fontId="15" fillId="0" borderId="15" xfId="1" applyFont="1" applyBorder="1"/>
    <xf numFmtId="0" fontId="6" fillId="0" borderId="1" xfId="0" applyFont="1" applyBorder="1" applyAlignment="1">
      <alignment horizontal="center" wrapText="1"/>
    </xf>
    <xf numFmtId="0" fontId="22" fillId="0" borderId="1" xfId="0" applyFont="1" applyBorder="1"/>
    <xf numFmtId="39" fontId="22" fillId="0" borderId="1" xfId="0" applyNumberFormat="1" applyFont="1" applyBorder="1"/>
    <xf numFmtId="37" fontId="22" fillId="0" borderId="1" xfId="0" applyNumberFormat="1" applyFont="1" applyBorder="1" applyAlignment="1">
      <alignment horizontal="center"/>
    </xf>
    <xf numFmtId="165" fontId="22" fillId="0" borderId="1" xfId="1" applyFont="1" applyBorder="1"/>
    <xf numFmtId="165" fontId="22" fillId="0" borderId="1" xfId="0" applyNumberFormat="1" applyFont="1" applyBorder="1"/>
    <xf numFmtId="0" fontId="22" fillId="0" borderId="1" xfId="0" applyFont="1" applyBorder="1" applyAlignment="1">
      <alignment horizontal="center"/>
    </xf>
    <xf numFmtId="165" fontId="6" fillId="0" borderId="1" xfId="1" applyFont="1" applyBorder="1"/>
    <xf numFmtId="0" fontId="9" fillId="4" borderId="0" xfId="0" applyFont="1" applyFill="1" applyAlignment="1">
      <alignment horizontal="right"/>
    </xf>
    <xf numFmtId="43" fontId="9" fillId="4" borderId="0" xfId="0" applyNumberFormat="1" applyFont="1" applyFill="1"/>
    <xf numFmtId="0" fontId="15" fillId="0" borderId="0" xfId="0" applyFont="1"/>
    <xf numFmtId="0" fontId="23" fillId="0" borderId="0" xfId="0" applyFont="1"/>
    <xf numFmtId="165" fontId="15" fillId="4" borderId="5" xfId="1" applyFont="1" applyFill="1" applyBorder="1"/>
    <xf numFmtId="165" fontId="15" fillId="4" borderId="0" xfId="1" applyFont="1" applyFill="1" applyBorder="1"/>
    <xf numFmtId="165" fontId="9" fillId="4" borderId="0" xfId="0" applyNumberFormat="1" applyFont="1" applyFill="1" applyAlignment="1">
      <alignment horizontal="right"/>
    </xf>
    <xf numFmtId="165" fontId="6" fillId="0" borderId="7" xfId="0" applyNumberFormat="1" applyFont="1" applyBorder="1"/>
    <xf numFmtId="165" fontId="22" fillId="0" borderId="7" xfId="1" applyFont="1" applyBorder="1"/>
    <xf numFmtId="0" fontId="13" fillId="0" borderId="1" xfId="0" applyFont="1" applyBorder="1" applyAlignment="1">
      <alignment horizontal="center" wrapText="1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 wrapText="1"/>
    </xf>
    <xf numFmtId="0" fontId="23" fillId="0" borderId="1" xfId="0" applyFont="1" applyBorder="1"/>
    <xf numFmtId="165" fontId="1" fillId="0" borderId="1" xfId="1" applyFont="1" applyBorder="1" applyAlignment="1"/>
    <xf numFmtId="165" fontId="1" fillId="0" borderId="1" xfId="1" applyFont="1" applyBorder="1"/>
    <xf numFmtId="165" fontId="1" fillId="0" borderId="1" xfId="1" applyFont="1" applyBorder="1" applyAlignment="1">
      <alignment horizontal="center"/>
    </xf>
    <xf numFmtId="0" fontId="2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43" fontId="1" fillId="0" borderId="0" xfId="0" applyNumberFormat="1" applyFont="1" applyAlignment="1">
      <alignment horizontal="center" wrapText="1"/>
    </xf>
    <xf numFmtId="165" fontId="1" fillId="0" borderId="0" xfId="1" applyFont="1" applyBorder="1" applyAlignment="1">
      <alignment horizontal="center"/>
    </xf>
    <xf numFmtId="43" fontId="23" fillId="0" borderId="0" xfId="0" applyNumberFormat="1" applyFont="1"/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5" fontId="23" fillId="0" borderId="4" xfId="1" applyFont="1" applyBorder="1"/>
    <xf numFmtId="165" fontId="23" fillId="0" borderId="1" xfId="1" applyFont="1" applyBorder="1"/>
    <xf numFmtId="165" fontId="23" fillId="0" borderId="7" xfId="1" applyFont="1" applyBorder="1"/>
    <xf numFmtId="165" fontId="1" fillId="0" borderId="18" xfId="1" applyFont="1" applyBorder="1"/>
    <xf numFmtId="0" fontId="1" fillId="0" borderId="0" xfId="0" applyFont="1"/>
    <xf numFmtId="165" fontId="1" fillId="0" borderId="0" xfId="1" applyFont="1"/>
    <xf numFmtId="0" fontId="13" fillId="0" borderId="0" xfId="0" applyFont="1" applyAlignment="1">
      <alignment horizontal="center"/>
    </xf>
    <xf numFmtId="165" fontId="23" fillId="0" borderId="0" xfId="1" applyFont="1"/>
    <xf numFmtId="165" fontId="23" fillId="0" borderId="0" xfId="0" applyNumberFormat="1" applyFont="1"/>
    <xf numFmtId="164" fontId="23" fillId="0" borderId="0" xfId="0" applyNumberFormat="1" applyFont="1"/>
    <xf numFmtId="0" fontId="13" fillId="0" borderId="0" xfId="0" applyFont="1" applyAlignment="1">
      <alignment horizontal="center" wrapText="1"/>
    </xf>
    <xf numFmtId="165" fontId="23" fillId="0" borderId="0" xfId="1" applyFont="1" applyBorder="1"/>
    <xf numFmtId="165" fontId="1" fillId="0" borderId="0" xfId="1" applyFont="1" applyBorder="1"/>
    <xf numFmtId="0" fontId="0" fillId="5" borderId="0" xfId="0" applyFill="1" applyProtection="1">
      <protection locked="0"/>
    </xf>
    <xf numFmtId="17" fontId="25" fillId="5" borderId="0" xfId="0" applyNumberFormat="1" applyFont="1" applyFill="1"/>
    <xf numFmtId="2" fontId="0" fillId="0" borderId="0" xfId="0" applyNumberFormat="1"/>
    <xf numFmtId="17" fontId="0" fillId="0" borderId="0" xfId="0" applyNumberFormat="1"/>
    <xf numFmtId="0" fontId="13" fillId="0" borderId="1" xfId="0" quotePrefix="1" applyFont="1" applyBorder="1" applyAlignment="1">
      <alignment horizontal="center"/>
    </xf>
    <xf numFmtId="0" fontId="13" fillId="0" borderId="7" xfId="0" quotePrefix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1" xfId="0" quotePrefix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4" fillId="0" borderId="16" xfId="0" applyFont="1" applyBorder="1" applyAlignment="1">
      <alignment horizontal="center" wrapText="1"/>
    </xf>
    <xf numFmtId="0" fontId="24" fillId="0" borderId="17" xfId="0" applyFont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5" fontId="6" fillId="0" borderId="2" xfId="1" applyFont="1" applyBorder="1" applyAlignment="1">
      <alignment horizontal="center" wrapText="1"/>
    </xf>
    <xf numFmtId="165" fontId="6" fillId="0" borderId="4" xfId="1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</cellXfs>
  <cellStyles count="8">
    <cellStyle name="Comma" xfId="1" builtinId="3"/>
    <cellStyle name="Normal" xfId="0" builtinId="0"/>
    <cellStyle name="Normal_ECO INDIVIDUALS LGCS NOV 22" xfId="2" xr:uid="{00000000-0005-0000-0000-000002000000}"/>
    <cellStyle name="Normal_lgc eco dec 21" xfId="3" xr:uid="{00000000-0005-0000-0000-000003000000}"/>
    <cellStyle name="Normal_LGCs Ceo oct 23" xfId="4" xr:uid="{00000000-0005-0000-0000-000004000000}"/>
    <cellStyle name="Normal_lgcs data" xfId="5" xr:uid="{00000000-0005-0000-0000-000005000000}"/>
    <cellStyle name="Normal_states eco dec 21" xfId="6" xr:uid="{00000000-0005-0000-0000-000006000000}"/>
    <cellStyle name="Normal_TOTALDATA_1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A20" sqref="A20"/>
    </sheetView>
  </sheetViews>
  <sheetFormatPr defaultColWidth="9" defaultRowHeight="12.75"/>
  <cols>
    <col min="2" max="2" width="23" customWidth="1"/>
    <col min="6" max="6" width="24.53125" customWidth="1"/>
  </cols>
  <sheetData>
    <row r="1" spans="1:8" ht="23.1" customHeight="1">
      <c r="B1">
        <f ca="1">MONTH(NOW())</f>
        <v>5</v>
      </c>
      <c r="C1">
        <f ca="1">YEAR(NOW())</f>
        <v>2025</v>
      </c>
    </row>
    <row r="2" spans="1:8" ht="23.1" customHeight="1"/>
    <row r="3" spans="1:8" ht="23.1" customHeight="1">
      <c r="B3" t="s">
        <v>0</v>
      </c>
      <c r="F3" t="s">
        <v>1</v>
      </c>
    </row>
    <row r="4" spans="1:8" ht="23.1" customHeight="1">
      <c r="B4" t="s">
        <v>2</v>
      </c>
      <c r="C4" t="s">
        <v>3</v>
      </c>
      <c r="D4" t="s">
        <v>4</v>
      </c>
      <c r="F4" t="s">
        <v>2</v>
      </c>
      <c r="G4" t="s">
        <v>3</v>
      </c>
      <c r="H4" t="s">
        <v>4</v>
      </c>
    </row>
    <row r="5" spans="1:8" ht="23.1" customHeight="1">
      <c r="B5" s="147" t="e">
        <f>IF(G5=1,F5-1,F5)</f>
        <v>#REF!</v>
      </c>
      <c r="C5" s="147" t="e">
        <f>IF(G5=1,12,G5-1)</f>
        <v>#REF!</v>
      </c>
      <c r="F5" t="e">
        <f>YEAR(ACCTDATE)</f>
        <v>#REF!</v>
      </c>
      <c r="G5" t="e">
        <f>MONTH(ACCTDATE)</f>
        <v>#REF!</v>
      </c>
    </row>
    <row r="6" spans="1:8" ht="23.1" customHeight="1">
      <c r="B6" s="148" t="e">
        <f>LOOKUP(C5,A8:B19)</f>
        <v>#REF!</v>
      </c>
      <c r="F6" s="148" t="e">
        <f>IF(G5=1,LOOKUP(G5,E8:F19),LOOKUP(G5,A8:B19))</f>
        <v>#REF!</v>
      </c>
    </row>
    <row r="8" spans="1:8">
      <c r="A8">
        <v>1</v>
      </c>
      <c r="B8" s="149" t="e">
        <f>D8&amp;"-"&amp;RIGHT(B$5,2)</f>
        <v>#REF!</v>
      </c>
      <c r="D8" s="150" t="s">
        <v>5</v>
      </c>
      <c r="E8">
        <v>1</v>
      </c>
      <c r="F8" s="149" t="e">
        <f>D8&amp;"-"&amp;RIGHT(F$5,2)</f>
        <v>#REF!</v>
      </c>
    </row>
    <row r="9" spans="1:8">
      <c r="A9">
        <v>2</v>
      </c>
      <c r="B9" s="149" t="e">
        <f t="shared" ref="B9:B19" si="0">D9&amp;"-"&amp;RIGHT(B$5,2)</f>
        <v>#REF!</v>
      </c>
      <c r="D9" s="150" t="s">
        <v>6</v>
      </c>
      <c r="E9">
        <v>2</v>
      </c>
      <c r="F9" s="149" t="e">
        <f t="shared" ref="F9:F19" si="1">D9&amp;"-"&amp;RIGHT(F$5,2)</f>
        <v>#REF!</v>
      </c>
    </row>
    <row r="10" spans="1:8">
      <c r="A10">
        <v>3</v>
      </c>
      <c r="B10" s="149" t="e">
        <f t="shared" si="0"/>
        <v>#REF!</v>
      </c>
      <c r="D10" s="150" t="s">
        <v>7</v>
      </c>
      <c r="E10">
        <v>3</v>
      </c>
      <c r="F10" s="149" t="e">
        <f t="shared" si="1"/>
        <v>#REF!</v>
      </c>
    </row>
    <row r="11" spans="1:8">
      <c r="A11">
        <v>4</v>
      </c>
      <c r="B11" s="149" t="e">
        <f t="shared" si="0"/>
        <v>#REF!</v>
      </c>
      <c r="D11" s="150" t="s">
        <v>8</v>
      </c>
      <c r="E11">
        <v>4</v>
      </c>
      <c r="F11" s="149" t="e">
        <f t="shared" si="1"/>
        <v>#REF!</v>
      </c>
    </row>
    <row r="12" spans="1:8">
      <c r="A12">
        <v>5</v>
      </c>
      <c r="B12" s="149" t="e">
        <f t="shared" si="0"/>
        <v>#REF!</v>
      </c>
      <c r="D12" s="150" t="s">
        <v>9</v>
      </c>
      <c r="E12">
        <v>5</v>
      </c>
      <c r="F12" s="149" t="e">
        <f t="shared" si="1"/>
        <v>#REF!</v>
      </c>
    </row>
    <row r="13" spans="1:8">
      <c r="A13">
        <v>6</v>
      </c>
      <c r="B13" s="149" t="e">
        <f t="shared" si="0"/>
        <v>#REF!</v>
      </c>
      <c r="D13" s="150" t="s">
        <v>10</v>
      </c>
      <c r="E13">
        <v>6</v>
      </c>
      <c r="F13" s="149" t="e">
        <f t="shared" si="1"/>
        <v>#REF!</v>
      </c>
    </row>
    <row r="14" spans="1:8">
      <c r="A14">
        <v>7</v>
      </c>
      <c r="B14" s="149" t="e">
        <f t="shared" si="0"/>
        <v>#REF!</v>
      </c>
      <c r="D14" s="150" t="s">
        <v>11</v>
      </c>
      <c r="E14">
        <v>7</v>
      </c>
      <c r="F14" s="149" t="e">
        <f t="shared" si="1"/>
        <v>#REF!</v>
      </c>
    </row>
    <row r="15" spans="1:8">
      <c r="A15">
        <v>8</v>
      </c>
      <c r="B15" s="149" t="e">
        <f t="shared" si="0"/>
        <v>#REF!</v>
      </c>
      <c r="D15" s="150" t="s">
        <v>12</v>
      </c>
      <c r="E15">
        <v>8</v>
      </c>
      <c r="F15" s="149" t="e">
        <f t="shared" si="1"/>
        <v>#REF!</v>
      </c>
    </row>
    <row r="16" spans="1:8">
      <c r="A16">
        <v>9</v>
      </c>
      <c r="B16" s="149" t="e">
        <f t="shared" si="0"/>
        <v>#REF!</v>
      </c>
      <c r="D16" s="150" t="s">
        <v>13</v>
      </c>
      <c r="E16">
        <v>9</v>
      </c>
      <c r="F16" s="149" t="e">
        <f t="shared" si="1"/>
        <v>#REF!</v>
      </c>
    </row>
    <row r="17" spans="1:6">
      <c r="A17">
        <v>10</v>
      </c>
      <c r="B17" s="149" t="e">
        <f t="shared" si="0"/>
        <v>#REF!</v>
      </c>
      <c r="D17" s="150" t="s">
        <v>14</v>
      </c>
      <c r="E17">
        <v>10</v>
      </c>
      <c r="F17" s="149" t="e">
        <f t="shared" si="1"/>
        <v>#REF!</v>
      </c>
    </row>
    <row r="18" spans="1:6">
      <c r="A18">
        <v>11</v>
      </c>
      <c r="B18" s="149" t="e">
        <f t="shared" si="0"/>
        <v>#REF!</v>
      </c>
      <c r="D18" s="150" t="s">
        <v>15</v>
      </c>
      <c r="E18">
        <v>11</v>
      </c>
      <c r="F18" s="149" t="e">
        <f t="shared" si="1"/>
        <v>#REF!</v>
      </c>
    </row>
    <row r="19" spans="1:6">
      <c r="A19">
        <v>12</v>
      </c>
      <c r="B19" s="149" t="e">
        <f t="shared" si="0"/>
        <v>#REF!</v>
      </c>
      <c r="D19" s="150" t="s">
        <v>16</v>
      </c>
      <c r="E19">
        <v>12</v>
      </c>
      <c r="F19" s="149" t="e">
        <f t="shared" si="1"/>
        <v>#REF!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M44"/>
  <sheetViews>
    <sheetView tabSelected="1" topLeftCell="C25" zoomScale="70" zoomScaleNormal="70" workbookViewId="0">
      <selection activeCell="A41" sqref="A41:K41"/>
    </sheetView>
  </sheetViews>
  <sheetFormatPr defaultColWidth="9.1328125" defaultRowHeight="20.25"/>
  <cols>
    <col min="1" max="1" width="6.33203125" style="113" customWidth="1"/>
    <col min="2" max="2" width="40.86328125" style="113" customWidth="1"/>
    <col min="3" max="3" width="35.1328125" style="113" customWidth="1"/>
    <col min="4" max="4" width="34.1328125" style="113" customWidth="1"/>
    <col min="5" max="7" width="30.86328125" style="113" customWidth="1"/>
    <col min="8" max="8" width="32" style="113" customWidth="1"/>
    <col min="9" max="9" width="38.6640625" style="113" customWidth="1"/>
    <col min="10" max="10" width="32.46484375" style="113" customWidth="1"/>
    <col min="11" max="11" width="26.46484375" style="113" customWidth="1"/>
    <col min="12" max="12" width="24.33203125" style="113"/>
    <col min="13" max="13" width="14.6640625" style="113"/>
    <col min="14" max="16384" width="9.1328125" style="113"/>
  </cols>
  <sheetData>
    <row r="1" spans="1:13" ht="30" customHeight="1">
      <c r="A1" s="160" t="s">
        <v>17</v>
      </c>
      <c r="B1" s="160"/>
      <c r="C1" s="160"/>
      <c r="D1" s="160"/>
      <c r="E1" s="160"/>
      <c r="F1" s="160"/>
      <c r="G1" s="160"/>
      <c r="H1" s="160"/>
    </row>
    <row r="2" spans="1:13" ht="30" customHeight="1">
      <c r="A2" s="160" t="s">
        <v>18</v>
      </c>
      <c r="B2" s="160"/>
      <c r="C2" s="160"/>
      <c r="D2" s="160"/>
      <c r="E2" s="160"/>
      <c r="F2" s="160"/>
      <c r="G2" s="160"/>
      <c r="H2" s="160"/>
    </row>
    <row r="3" spans="1:13" ht="30" customHeight="1">
      <c r="A3" s="160" t="s">
        <v>19</v>
      </c>
      <c r="B3" s="160"/>
      <c r="C3" s="160"/>
      <c r="D3" s="160"/>
      <c r="E3" s="160"/>
      <c r="F3" s="160"/>
      <c r="G3" s="160"/>
      <c r="H3" s="160"/>
    </row>
    <row r="4" spans="1:13" ht="40.5" customHeight="1">
      <c r="A4" s="161" t="s">
        <v>20</v>
      </c>
      <c r="B4" s="161"/>
      <c r="C4" s="161"/>
      <c r="D4" s="161"/>
      <c r="E4" s="161"/>
      <c r="F4" s="161"/>
      <c r="G4" s="161"/>
      <c r="H4" s="161"/>
    </row>
    <row r="5" spans="1:13" ht="90" customHeight="1">
      <c r="A5" s="120" t="s">
        <v>21</v>
      </c>
      <c r="B5" s="121" t="s">
        <v>22</v>
      </c>
      <c r="C5" s="121" t="s">
        <v>23</v>
      </c>
      <c r="D5" s="122" t="s">
        <v>24</v>
      </c>
      <c r="E5" s="119" t="s">
        <v>25</v>
      </c>
      <c r="F5" s="122" t="s">
        <v>26</v>
      </c>
      <c r="G5" s="121" t="s">
        <v>27</v>
      </c>
      <c r="H5" s="121" t="s">
        <v>28</v>
      </c>
    </row>
    <row r="6" spans="1:13" ht="30" customHeight="1">
      <c r="A6" s="1"/>
      <c r="B6" s="1"/>
      <c r="C6" s="151" t="s">
        <v>29</v>
      </c>
      <c r="D6" s="151" t="s">
        <v>29</v>
      </c>
      <c r="E6" s="151" t="s">
        <v>29</v>
      </c>
      <c r="F6" s="151" t="s">
        <v>29</v>
      </c>
      <c r="G6" s="151" t="s">
        <v>29</v>
      </c>
      <c r="H6" s="151" t="s">
        <v>29</v>
      </c>
      <c r="I6" s="141"/>
    </row>
    <row r="7" spans="1:13" ht="30" customHeight="1">
      <c r="A7" s="123">
        <v>1</v>
      </c>
      <c r="B7" s="123" t="s">
        <v>30</v>
      </c>
      <c r="C7" s="124">
        <v>24882179336.3452</v>
      </c>
      <c r="D7" s="124">
        <v>259545191970.07501</v>
      </c>
      <c r="E7" s="124">
        <v>2566618492.7519999</v>
      </c>
      <c r="F7" s="124">
        <v>52680000000</v>
      </c>
      <c r="G7" s="125">
        <v>93346882558.888504</v>
      </c>
      <c r="H7" s="124">
        <f>C7+D7+E7+F7+G7</f>
        <v>433020872358.06073</v>
      </c>
      <c r="I7" s="142"/>
      <c r="J7" s="141"/>
    </row>
    <row r="8" spans="1:13" ht="30" customHeight="1">
      <c r="A8" s="123">
        <v>2</v>
      </c>
      <c r="B8" s="123" t="s">
        <v>31</v>
      </c>
      <c r="C8" s="124">
        <v>12620573877.508499</v>
      </c>
      <c r="D8" s="126">
        <v>131644789852.703</v>
      </c>
      <c r="E8" s="126">
        <v>8555394975.8400002</v>
      </c>
      <c r="F8" s="126">
        <v>26720000000</v>
      </c>
      <c r="G8" s="126">
        <v>311156275196.29498</v>
      </c>
      <c r="H8" s="124">
        <f t="shared" ref="H8:H21" si="0">C8+D8+E8+F8+G8</f>
        <v>490697033902.34644</v>
      </c>
      <c r="I8" s="142"/>
      <c r="J8" s="142"/>
    </row>
    <row r="9" spans="1:13" ht="30" customHeight="1">
      <c r="A9" s="123">
        <v>3</v>
      </c>
      <c r="B9" s="123" t="s">
        <v>32</v>
      </c>
      <c r="C9" s="126">
        <v>9729933453.4699993</v>
      </c>
      <c r="D9" s="126">
        <v>101492614931.351</v>
      </c>
      <c r="E9" s="126">
        <v>5988776483.0880003</v>
      </c>
      <c r="F9" s="126">
        <v>20600000000</v>
      </c>
      <c r="G9" s="126">
        <v>217809392637.40601</v>
      </c>
      <c r="H9" s="124">
        <f t="shared" si="0"/>
        <v>355620717505.315</v>
      </c>
      <c r="I9" s="141"/>
      <c r="J9" s="141"/>
    </row>
    <row r="10" spans="1:13" ht="30" customHeight="1">
      <c r="A10" s="123">
        <v>4</v>
      </c>
      <c r="B10" s="123" t="s">
        <v>33</v>
      </c>
      <c r="C10" s="124">
        <v>59085879410.428001</v>
      </c>
      <c r="D10" s="126">
        <v>73317584088.221207</v>
      </c>
      <c r="E10" s="126">
        <v>0</v>
      </c>
      <c r="F10" s="126">
        <v>0</v>
      </c>
      <c r="G10" s="126">
        <v>0</v>
      </c>
      <c r="H10" s="124">
        <f t="shared" si="0"/>
        <v>132403463498.6492</v>
      </c>
      <c r="I10" s="142"/>
    </row>
    <row r="11" spans="1:13" ht="30" customHeight="1">
      <c r="A11" s="123">
        <v>5</v>
      </c>
      <c r="B11" s="123" t="s">
        <v>34</v>
      </c>
      <c r="C11" s="124">
        <v>23394409284.810001</v>
      </c>
      <c r="D11" s="126">
        <v>0</v>
      </c>
      <c r="E11" s="126">
        <v>0</v>
      </c>
      <c r="F11" s="126">
        <v>0</v>
      </c>
      <c r="G11" s="126">
        <v>3579569647.0999999</v>
      </c>
      <c r="H11" s="124">
        <f t="shared" si="0"/>
        <v>26973978931.91</v>
      </c>
      <c r="I11" s="143"/>
    </row>
    <row r="12" spans="1:13" ht="30" customHeight="1">
      <c r="A12" s="123">
        <v>6</v>
      </c>
      <c r="B12" s="127" t="s">
        <v>35</v>
      </c>
      <c r="C12" s="124">
        <v>22498780394.290001</v>
      </c>
      <c r="D12" s="126">
        <v>0</v>
      </c>
      <c r="E12" s="126">
        <v>712949581.32000005</v>
      </c>
      <c r="F12" s="126">
        <v>0</v>
      </c>
      <c r="G12" s="126">
        <v>23152069115.470001</v>
      </c>
      <c r="H12" s="124">
        <f t="shared" si="0"/>
        <v>46363799091.080002</v>
      </c>
    </row>
    <row r="13" spans="1:13" ht="30" customHeight="1">
      <c r="A13" s="123">
        <v>7</v>
      </c>
      <c r="B13" s="127" t="s">
        <v>36</v>
      </c>
      <c r="C13" s="124">
        <v>24178898108.75</v>
      </c>
      <c r="D13" s="126">
        <v>0</v>
      </c>
      <c r="E13" s="126">
        <v>0</v>
      </c>
      <c r="F13" s="126">
        <v>0</v>
      </c>
      <c r="G13" s="126">
        <v>0</v>
      </c>
      <c r="H13" s="124">
        <f t="shared" si="0"/>
        <v>24178898108.75</v>
      </c>
      <c r="I13" s="141"/>
      <c r="J13" s="141"/>
      <c r="K13" s="141"/>
      <c r="L13" s="141"/>
      <c r="M13" s="142"/>
    </row>
    <row r="14" spans="1:13" ht="30" customHeight="1">
      <c r="A14" s="123">
        <v>8</v>
      </c>
      <c r="B14" s="127" t="s">
        <v>37</v>
      </c>
      <c r="C14" s="124">
        <v>34252237073.650002</v>
      </c>
      <c r="D14" s="124">
        <v>0</v>
      </c>
      <c r="E14" s="126">
        <v>0</v>
      </c>
      <c r="F14" s="126">
        <v>0</v>
      </c>
      <c r="G14" s="126">
        <v>0</v>
      </c>
      <c r="H14" s="124">
        <f t="shared" si="0"/>
        <v>34252237073.650002</v>
      </c>
      <c r="J14" s="141"/>
      <c r="K14" s="141"/>
    </row>
    <row r="15" spans="1:13" ht="40.5">
      <c r="A15" s="123">
        <v>9</v>
      </c>
      <c r="B15" s="127" t="s">
        <v>38</v>
      </c>
      <c r="C15" s="126">
        <v>100000000000</v>
      </c>
      <c r="D15" s="126">
        <v>0</v>
      </c>
      <c r="E15" s="126">
        <v>0</v>
      </c>
      <c r="F15" s="126">
        <v>0</v>
      </c>
      <c r="G15" s="126">
        <v>0</v>
      </c>
      <c r="H15" s="124">
        <f t="shared" si="0"/>
        <v>100000000000</v>
      </c>
      <c r="J15" s="141"/>
      <c r="K15" s="141"/>
    </row>
    <row r="16" spans="1:13" ht="40.5">
      <c r="A16" s="123">
        <v>10</v>
      </c>
      <c r="B16" s="127" t="s">
        <v>39</v>
      </c>
      <c r="C16" s="126">
        <v>18163078852.380001</v>
      </c>
      <c r="D16" s="126">
        <v>0</v>
      </c>
      <c r="E16" s="126">
        <v>0</v>
      </c>
      <c r="F16" s="126">
        <v>0</v>
      </c>
      <c r="G16" s="126">
        <v>0</v>
      </c>
      <c r="H16" s="124">
        <f t="shared" si="0"/>
        <v>18163078852.380001</v>
      </c>
      <c r="J16" s="141"/>
      <c r="K16" s="141"/>
    </row>
    <row r="17" spans="1:11" ht="42.75" customHeight="1">
      <c r="A17" s="123">
        <v>11</v>
      </c>
      <c r="B17" s="127" t="s">
        <v>40</v>
      </c>
      <c r="C17" s="126">
        <v>0</v>
      </c>
      <c r="D17" s="126">
        <v>0</v>
      </c>
      <c r="E17" s="126">
        <v>0</v>
      </c>
      <c r="F17" s="126">
        <v>0</v>
      </c>
      <c r="G17" s="126">
        <v>19246779909.049999</v>
      </c>
      <c r="H17" s="124">
        <f t="shared" si="0"/>
        <v>19246779909.049999</v>
      </c>
      <c r="J17" s="141"/>
      <c r="K17" s="141"/>
    </row>
    <row r="18" spans="1:11" ht="82.25" customHeight="1">
      <c r="A18" s="123">
        <v>12</v>
      </c>
      <c r="B18" s="127" t="s">
        <v>41</v>
      </c>
      <c r="C18" s="126">
        <v>9144860369.2000008</v>
      </c>
      <c r="D18" s="126">
        <v>0</v>
      </c>
      <c r="E18" s="126">
        <v>0</v>
      </c>
      <c r="F18" s="126">
        <v>0</v>
      </c>
      <c r="G18" s="124">
        <v>0</v>
      </c>
      <c r="H18" s="124">
        <f t="shared" si="0"/>
        <v>9144860369.2000008</v>
      </c>
      <c r="J18" s="141"/>
      <c r="K18" s="141"/>
    </row>
    <row r="19" spans="1:11" ht="42.75" customHeight="1">
      <c r="A19" s="123">
        <v>13</v>
      </c>
      <c r="B19" s="127" t="s">
        <v>42</v>
      </c>
      <c r="C19" s="126">
        <v>648788522090.23999</v>
      </c>
      <c r="D19" s="126">
        <v>80000000000</v>
      </c>
      <c r="E19" s="126">
        <v>0</v>
      </c>
      <c r="F19" s="126">
        <v>0</v>
      </c>
      <c r="G19" s="126">
        <v>0</v>
      </c>
      <c r="H19" s="124">
        <f t="shared" si="0"/>
        <v>728788522090.23999</v>
      </c>
      <c r="I19" s="131"/>
    </row>
    <row r="20" spans="1:11" ht="62" customHeight="1">
      <c r="A20" s="123">
        <v>14</v>
      </c>
      <c r="B20" s="127" t="s">
        <v>43</v>
      </c>
      <c r="C20" s="126">
        <v>80000000000</v>
      </c>
      <c r="D20" s="126">
        <v>0</v>
      </c>
      <c r="E20" s="126">
        <v>0</v>
      </c>
      <c r="F20" s="126">
        <v>0</v>
      </c>
      <c r="G20" s="126">
        <v>0</v>
      </c>
      <c r="H20" s="124">
        <f t="shared" si="0"/>
        <v>80000000000</v>
      </c>
      <c r="I20" s="131"/>
    </row>
    <row r="21" spans="1:11" ht="44" customHeight="1">
      <c r="A21" s="123">
        <v>15</v>
      </c>
      <c r="B21" s="127" t="s">
        <v>42</v>
      </c>
      <c r="C21" s="126">
        <v>170000000000</v>
      </c>
      <c r="D21" s="126">
        <v>0</v>
      </c>
      <c r="E21" s="126">
        <v>0</v>
      </c>
      <c r="F21" s="126">
        <v>0</v>
      </c>
      <c r="G21" s="126">
        <v>0</v>
      </c>
      <c r="H21" s="124">
        <f t="shared" si="0"/>
        <v>170000000000</v>
      </c>
      <c r="I21" s="131"/>
    </row>
    <row r="22" spans="1:11" ht="30" customHeight="1">
      <c r="A22" s="123"/>
      <c r="B22" s="128" t="s">
        <v>44</v>
      </c>
      <c r="C22" s="126">
        <f>SUM(C7:C21)</f>
        <v>1236739352251.0718</v>
      </c>
      <c r="D22" s="126">
        <f t="shared" ref="D22:H22" si="1">SUM(D7:D21)</f>
        <v>646000180842.35022</v>
      </c>
      <c r="E22" s="126">
        <f t="shared" si="1"/>
        <v>17823739533</v>
      </c>
      <c r="F22" s="126">
        <f t="shared" si="1"/>
        <v>100000000000</v>
      </c>
      <c r="G22" s="126">
        <f t="shared" si="1"/>
        <v>668290969064.20947</v>
      </c>
      <c r="H22" s="126">
        <f t="shared" si="1"/>
        <v>2668854241690.6309</v>
      </c>
    </row>
    <row r="23" spans="1:11" ht="50.25" customHeight="1">
      <c r="B23" s="129"/>
      <c r="C23" s="130"/>
      <c r="D23" s="130"/>
      <c r="E23" s="130"/>
      <c r="F23" s="130"/>
      <c r="G23" s="130"/>
      <c r="H23" s="131"/>
      <c r="I23" s="142"/>
    </row>
    <row r="24" spans="1:11" ht="35.1" customHeight="1">
      <c r="A24" s="162" t="s">
        <v>45</v>
      </c>
      <c r="B24" s="162"/>
      <c r="C24" s="162"/>
      <c r="D24" s="162"/>
      <c r="E24" s="162"/>
      <c r="F24" s="162"/>
      <c r="G24" s="162"/>
      <c r="H24" s="162"/>
      <c r="I24" s="162"/>
    </row>
    <row r="25" spans="1:11" ht="48" customHeight="1">
      <c r="A25" s="156" t="s">
        <v>46</v>
      </c>
      <c r="B25" s="157"/>
      <c r="C25" s="157"/>
      <c r="D25" s="157"/>
      <c r="E25" s="157"/>
      <c r="F25" s="157"/>
      <c r="G25" s="157"/>
      <c r="H25" s="157"/>
      <c r="I25" s="157"/>
    </row>
    <row r="26" spans="1:11" ht="30" customHeight="1">
      <c r="A26" s="1">
        <v>0</v>
      </c>
      <c r="B26" s="1">
        <v>1</v>
      </c>
      <c r="C26" s="1">
        <v>2</v>
      </c>
      <c r="D26" s="1">
        <v>3</v>
      </c>
      <c r="E26" s="1" t="s">
        <v>47</v>
      </c>
      <c r="F26" s="1">
        <v>5</v>
      </c>
      <c r="G26" s="1">
        <v>6</v>
      </c>
      <c r="H26" s="1">
        <v>7</v>
      </c>
      <c r="I26" s="1">
        <v>8</v>
      </c>
      <c r="J26" s="1">
        <v>9</v>
      </c>
      <c r="K26" s="33"/>
    </row>
    <row r="27" spans="1:11" ht="108" customHeight="1">
      <c r="A27" s="128" t="s">
        <v>21</v>
      </c>
      <c r="B27" s="128" t="s">
        <v>22</v>
      </c>
      <c r="C27" s="132" t="s">
        <v>48</v>
      </c>
      <c r="D27" s="128" t="s">
        <v>49</v>
      </c>
      <c r="E27" s="128" t="s">
        <v>50</v>
      </c>
      <c r="F27" s="133" t="s">
        <v>26</v>
      </c>
      <c r="G27" s="122" t="s">
        <v>24</v>
      </c>
      <c r="H27" s="119" t="s">
        <v>25</v>
      </c>
      <c r="I27" s="119" t="s">
        <v>27</v>
      </c>
      <c r="J27" s="119" t="s">
        <v>28</v>
      </c>
      <c r="K27" s="144"/>
    </row>
    <row r="28" spans="1:11" ht="22.5">
      <c r="A28" s="123"/>
      <c r="B28" s="123"/>
      <c r="C28" s="151" t="s">
        <v>29</v>
      </c>
      <c r="D28" s="151" t="s">
        <v>29</v>
      </c>
      <c r="E28" s="151" t="s">
        <v>29</v>
      </c>
      <c r="F28" s="151" t="s">
        <v>29</v>
      </c>
      <c r="G28" s="152" t="s">
        <v>29</v>
      </c>
      <c r="H28" s="151" t="s">
        <v>29</v>
      </c>
      <c r="I28" s="151" t="s">
        <v>29</v>
      </c>
      <c r="J28" s="151" t="s">
        <v>29</v>
      </c>
      <c r="K28" s="140"/>
    </row>
    <row r="29" spans="1:11" ht="20.25" customHeight="1">
      <c r="A29" s="123">
        <v>1</v>
      </c>
      <c r="B29" s="123" t="s">
        <v>51</v>
      </c>
      <c r="C29" s="134">
        <v>22907853033.651199</v>
      </c>
      <c r="D29" s="134">
        <v>-104798459781.07001</v>
      </c>
      <c r="E29" s="135">
        <f>C29+D29</f>
        <v>-81890606747.418808</v>
      </c>
      <c r="F29" s="136">
        <v>48500000000</v>
      </c>
      <c r="G29" s="136">
        <v>238951059425.75299</v>
      </c>
      <c r="H29" s="135">
        <v>2395510593.2351999</v>
      </c>
      <c r="I29" s="135">
        <v>87123757054.960007</v>
      </c>
      <c r="J29" s="135">
        <f>E29+F29+G29+H29+I29</f>
        <v>295079720326.52936</v>
      </c>
    </row>
    <row r="30" spans="1:11" ht="20.25" customHeight="1">
      <c r="A30" s="123">
        <v>2</v>
      </c>
      <c r="B30" s="123" t="s">
        <v>52</v>
      </c>
      <c r="C30" s="134">
        <v>472326866.67320001</v>
      </c>
      <c r="D30" s="134">
        <v>0</v>
      </c>
      <c r="E30" s="135">
        <f>C30+D30</f>
        <v>472326866.67320001</v>
      </c>
      <c r="F30" s="135">
        <v>1000000000</v>
      </c>
      <c r="G30" s="136">
        <v>4926825967.5412998</v>
      </c>
      <c r="H30" s="135">
        <v>0</v>
      </c>
      <c r="I30" s="135">
        <v>0</v>
      </c>
      <c r="J30" s="135">
        <f t="shared" ref="J30:J33" si="2">E30+F30+G30+H30+I30</f>
        <v>6399152834.2145004</v>
      </c>
      <c r="K30" s="145"/>
    </row>
    <row r="31" spans="1:11" ht="20.25" customHeight="1">
      <c r="A31" s="123">
        <v>3</v>
      </c>
      <c r="B31" s="123" t="s">
        <v>53</v>
      </c>
      <c r="C31" s="134">
        <v>236163433.33660001</v>
      </c>
      <c r="D31" s="134">
        <v>0</v>
      </c>
      <c r="E31" s="135">
        <f>C31+D31</f>
        <v>236163433.33660001</v>
      </c>
      <c r="F31" s="135">
        <v>500000000</v>
      </c>
      <c r="G31" s="136">
        <v>2463412983.7706499</v>
      </c>
      <c r="H31" s="135">
        <v>0</v>
      </c>
      <c r="I31" s="135">
        <v>0</v>
      </c>
      <c r="J31" s="135">
        <f t="shared" si="2"/>
        <v>3199576417.1072502</v>
      </c>
      <c r="K31" s="145"/>
    </row>
    <row r="32" spans="1:11" ht="40.5">
      <c r="A32" s="123">
        <v>4</v>
      </c>
      <c r="B32" s="127" t="s">
        <v>54</v>
      </c>
      <c r="C32" s="134">
        <v>793509136.01100004</v>
      </c>
      <c r="D32" s="134">
        <v>0</v>
      </c>
      <c r="E32" s="135">
        <f>C32+D32</f>
        <v>793509136.01100004</v>
      </c>
      <c r="F32" s="136">
        <v>1680000000</v>
      </c>
      <c r="G32" s="136">
        <v>8277067625.4694004</v>
      </c>
      <c r="H32" s="135">
        <v>0</v>
      </c>
      <c r="I32" s="135">
        <v>0</v>
      </c>
      <c r="J32" s="135">
        <f t="shared" si="2"/>
        <v>10750576761.4804</v>
      </c>
      <c r="K32" s="145"/>
    </row>
    <row r="33" spans="1:11" ht="21" customHeight="1">
      <c r="A33" s="123">
        <v>5</v>
      </c>
      <c r="B33" s="123" t="s">
        <v>55</v>
      </c>
      <c r="C33" s="134">
        <v>472326866.67320001</v>
      </c>
      <c r="D33" s="135">
        <v>-510027869</v>
      </c>
      <c r="E33" s="135">
        <f>C33+D33</f>
        <v>-37701002.326799989</v>
      </c>
      <c r="F33" s="135">
        <v>1000000000</v>
      </c>
      <c r="G33" s="136">
        <v>4926825967.5412998</v>
      </c>
      <c r="H33" s="135">
        <v>171107899.51679999</v>
      </c>
      <c r="I33" s="135">
        <v>6553125503.9300003</v>
      </c>
      <c r="J33" s="135">
        <f t="shared" si="2"/>
        <v>12613358368.661301</v>
      </c>
      <c r="K33" s="145"/>
    </row>
    <row r="34" spans="1:11" ht="36.75" customHeight="1">
      <c r="A34" s="123"/>
      <c r="B34" s="1" t="s">
        <v>28</v>
      </c>
      <c r="C34" s="137">
        <f>SUM(C29:C33)</f>
        <v>24882179336.3452</v>
      </c>
      <c r="D34" s="137">
        <f>SUM(D29:D33)</f>
        <v>-105308487650.07001</v>
      </c>
      <c r="E34" s="137">
        <f t="shared" ref="E34:G34" si="3">SUM(E29:E33)</f>
        <v>-80426308313.724808</v>
      </c>
      <c r="F34" s="137">
        <f t="shared" si="3"/>
        <v>52680000000</v>
      </c>
      <c r="G34" s="137">
        <f t="shared" si="3"/>
        <v>259545191970.07562</v>
      </c>
      <c r="H34" s="137">
        <f t="shared" ref="H34" si="4">SUM(H29:H33)</f>
        <v>2566618492.7519999</v>
      </c>
      <c r="I34" s="137">
        <f t="shared" ref="I34:J34" si="5">SUM(I29:I33)</f>
        <v>93676882558.890015</v>
      </c>
      <c r="J34" s="137">
        <f t="shared" si="5"/>
        <v>328042384707.9928</v>
      </c>
      <c r="K34" s="146"/>
    </row>
    <row r="36" spans="1:11" ht="12.75" hidden="1" customHeight="1">
      <c r="A36" s="158" t="s">
        <v>56</v>
      </c>
      <c r="B36" s="158"/>
      <c r="C36" s="158"/>
    </row>
    <row r="37" spans="1:11">
      <c r="A37" s="159"/>
      <c r="B37" s="159"/>
      <c r="C37" s="159"/>
      <c r="H37" s="131"/>
      <c r="I37" s="131"/>
      <c r="J37" s="142"/>
    </row>
    <row r="38" spans="1:11" ht="42.75" customHeight="1">
      <c r="B38" s="138"/>
      <c r="C38" s="138"/>
      <c r="E38" s="131"/>
      <c r="F38" s="131"/>
      <c r="G38" s="131"/>
      <c r="H38" s="131"/>
      <c r="I38" s="142"/>
      <c r="J38" s="142"/>
    </row>
    <row r="39" spans="1:11">
      <c r="B39" s="138"/>
      <c r="C39" s="138"/>
      <c r="H39" s="131"/>
      <c r="J39" s="131"/>
    </row>
    <row r="40" spans="1:11">
      <c r="B40" s="139"/>
      <c r="C40" s="138"/>
      <c r="I40" s="131"/>
    </row>
    <row r="41" spans="1:11" ht="22.5">
      <c r="A41" s="155" t="s">
        <v>57</v>
      </c>
      <c r="B41" s="155"/>
      <c r="C41" s="155"/>
      <c r="D41" s="155"/>
      <c r="E41" s="155"/>
      <c r="F41" s="155"/>
      <c r="G41" s="155"/>
      <c r="H41" s="155"/>
      <c r="I41" s="155"/>
      <c r="J41" s="155"/>
      <c r="K41" s="155"/>
    </row>
    <row r="42" spans="1:11" ht="35.25" customHeight="1">
      <c r="A42" s="155" t="s">
        <v>58</v>
      </c>
      <c r="B42" s="155"/>
      <c r="C42" s="155"/>
      <c r="D42" s="155"/>
      <c r="E42" s="155"/>
      <c r="F42" s="155"/>
      <c r="G42" s="155"/>
      <c r="H42" s="155"/>
      <c r="I42" s="155"/>
      <c r="J42" s="155"/>
      <c r="K42" s="155"/>
    </row>
    <row r="43" spans="1:11" ht="30.75" customHeight="1">
      <c r="A43" s="155" t="s">
        <v>59</v>
      </c>
      <c r="B43" s="155"/>
      <c r="C43" s="155"/>
      <c r="D43" s="155"/>
      <c r="E43" s="155"/>
      <c r="F43" s="155"/>
      <c r="G43" s="155"/>
      <c r="H43" s="155"/>
      <c r="I43" s="155"/>
      <c r="J43" s="155"/>
      <c r="K43" s="155"/>
    </row>
    <row r="44" spans="1:11" ht="22.5">
      <c r="A44" s="155" t="s">
        <v>60</v>
      </c>
      <c r="B44" s="155"/>
      <c r="C44" s="155"/>
      <c r="D44" s="155"/>
      <c r="E44" s="155"/>
      <c r="F44" s="155"/>
      <c r="G44" s="155"/>
      <c r="H44" s="155"/>
      <c r="I44" s="155"/>
      <c r="J44" s="155"/>
      <c r="K44" s="155"/>
    </row>
  </sheetData>
  <mergeCells count="12">
    <mergeCell ref="A1:H1"/>
    <mergeCell ref="A2:H2"/>
    <mergeCell ref="A3:H3"/>
    <mergeCell ref="A4:H4"/>
    <mergeCell ref="A24:I24"/>
    <mergeCell ref="A43:K43"/>
    <mergeCell ref="A44:K44"/>
    <mergeCell ref="A25:I25"/>
    <mergeCell ref="A36:C36"/>
    <mergeCell ref="A37:C37"/>
    <mergeCell ref="A41:K41"/>
    <mergeCell ref="A42:K42"/>
  </mergeCells>
  <pageMargins left="0.74791666666666701" right="0.74791666666666701" top="0.39305555555555599" bottom="0.40902777777777799" header="0.51180555555555596" footer="0.51180555555555596"/>
  <pageSetup scale="34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"/>
  <sheetViews>
    <sheetView workbookViewId="0">
      <selection sqref="A1:V1"/>
    </sheetView>
  </sheetViews>
  <sheetFormatPr defaultColWidth="8.86328125" defaultRowHeight="13.15"/>
  <cols>
    <col min="1" max="1" width="4.1328125" style="63" customWidth="1"/>
    <col min="2" max="2" width="22.46484375" style="63" customWidth="1"/>
    <col min="3" max="3" width="7.46484375" style="63" customWidth="1"/>
    <col min="4" max="4" width="25.53125" style="63" customWidth="1"/>
    <col min="5" max="5" width="23.6640625" style="63" customWidth="1"/>
    <col min="6" max="6" width="28.33203125" style="63" customWidth="1"/>
    <col min="7" max="7" width="21.33203125" style="63" customWidth="1"/>
    <col min="8" max="8" width="24.46484375" style="63" customWidth="1"/>
    <col min="9" max="9" width="22.6640625" style="63" customWidth="1"/>
    <col min="10" max="13" width="25.53125" style="63" customWidth="1"/>
    <col min="14" max="19" width="22" style="63" customWidth="1"/>
    <col min="20" max="20" width="28" style="63" customWidth="1"/>
    <col min="21" max="21" width="29.46484375" style="63" customWidth="1"/>
    <col min="22" max="22" width="6.46484375" style="63" customWidth="1"/>
    <col min="23" max="23" width="8.86328125" style="63"/>
    <col min="24" max="24" width="16.33203125" style="63" customWidth="1"/>
    <col min="25" max="25" width="16.86328125" style="63" customWidth="1"/>
    <col min="26" max="26" width="21" style="63" customWidth="1"/>
    <col min="27" max="27" width="8.86328125" style="63"/>
    <col min="28" max="28" width="17.46484375" style="63" customWidth="1"/>
    <col min="29" max="29" width="12.33203125" style="63" customWidth="1"/>
    <col min="30" max="30" width="17.86328125" style="63" customWidth="1"/>
    <col min="31" max="32" width="8.86328125" style="63"/>
    <col min="33" max="33" width="17.86328125" style="63" customWidth="1"/>
    <col min="34" max="34" width="16.33203125" style="63" customWidth="1"/>
    <col min="35" max="35" width="17.86328125" style="63" customWidth="1"/>
    <col min="36" max="16384" width="8.86328125" style="63"/>
  </cols>
  <sheetData>
    <row r="1" spans="1:35" ht="22.9">
      <c r="A1" s="173" t="s">
        <v>61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</row>
    <row r="2" spans="1:35" ht="24.75">
      <c r="A2" s="174" t="s">
        <v>62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</row>
    <row r="3" spans="1:35" ht="18" customHeight="1">
      <c r="A3" s="175" t="s">
        <v>63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</row>
    <row r="4" spans="1:35" ht="17.25">
      <c r="A4" s="176" t="s">
        <v>64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</row>
    <row r="5" spans="1:35" ht="19.899999999999999"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</row>
    <row r="6" spans="1:35" ht="15.4">
      <c r="A6" s="7">
        <v>1</v>
      </c>
      <c r="B6" s="7">
        <v>2</v>
      </c>
      <c r="C6" s="7">
        <v>3</v>
      </c>
      <c r="D6" s="7">
        <v>4</v>
      </c>
      <c r="E6" s="7">
        <v>5</v>
      </c>
      <c r="F6" s="7" t="s">
        <v>65</v>
      </c>
      <c r="G6" s="7">
        <v>7</v>
      </c>
      <c r="H6" s="7">
        <v>8</v>
      </c>
      <c r="I6" s="7">
        <v>9</v>
      </c>
      <c r="J6" s="7" t="s">
        <v>66</v>
      </c>
      <c r="K6" s="7">
        <v>11</v>
      </c>
      <c r="L6" s="7">
        <v>12</v>
      </c>
      <c r="M6" s="7">
        <v>13</v>
      </c>
      <c r="N6" s="7">
        <v>14</v>
      </c>
      <c r="O6" s="7">
        <v>15</v>
      </c>
      <c r="P6" s="7">
        <v>16</v>
      </c>
      <c r="Q6" s="7">
        <v>17</v>
      </c>
      <c r="R6" s="7">
        <v>18</v>
      </c>
      <c r="S6" s="7">
        <v>19</v>
      </c>
      <c r="T6" s="7" t="s">
        <v>67</v>
      </c>
      <c r="U6" s="7" t="s">
        <v>68</v>
      </c>
      <c r="V6" s="103"/>
    </row>
    <row r="7" spans="1:35" ht="12.75" customHeight="1">
      <c r="A7" s="163" t="s">
        <v>21</v>
      </c>
      <c r="B7" s="163" t="s">
        <v>22</v>
      </c>
      <c r="C7" s="163" t="s">
        <v>69</v>
      </c>
      <c r="D7" s="163" t="s">
        <v>70</v>
      </c>
      <c r="E7" s="163" t="s">
        <v>71</v>
      </c>
      <c r="F7" s="163" t="s">
        <v>72</v>
      </c>
      <c r="G7" s="169" t="s">
        <v>73</v>
      </c>
      <c r="H7" s="170"/>
      <c r="I7" s="171"/>
      <c r="J7" s="163" t="s">
        <v>50</v>
      </c>
      <c r="K7" s="167" t="s">
        <v>74</v>
      </c>
      <c r="L7" s="167" t="s">
        <v>26</v>
      </c>
      <c r="M7" s="163" t="s">
        <v>25</v>
      </c>
      <c r="N7" s="163" t="s">
        <v>75</v>
      </c>
      <c r="O7" s="163" t="s">
        <v>76</v>
      </c>
      <c r="P7" s="163" t="s">
        <v>77</v>
      </c>
      <c r="Q7" s="163" t="s">
        <v>78</v>
      </c>
      <c r="R7" s="163" t="s">
        <v>79</v>
      </c>
      <c r="S7" s="163" t="s">
        <v>80</v>
      </c>
      <c r="T7" s="163" t="s">
        <v>81</v>
      </c>
      <c r="U7" s="163" t="s">
        <v>82</v>
      </c>
      <c r="V7" s="165" t="s">
        <v>21</v>
      </c>
    </row>
    <row r="8" spans="1:35" ht="50.25" customHeight="1">
      <c r="A8" s="164"/>
      <c r="B8" s="164"/>
      <c r="C8" s="164"/>
      <c r="D8" s="164"/>
      <c r="E8" s="164"/>
      <c r="F8" s="164"/>
      <c r="G8" s="102" t="s">
        <v>83</v>
      </c>
      <c r="H8" s="102" t="s">
        <v>84</v>
      </c>
      <c r="I8" s="102" t="s">
        <v>85</v>
      </c>
      <c r="J8" s="164"/>
      <c r="K8" s="168"/>
      <c r="L8" s="168"/>
      <c r="M8" s="164"/>
      <c r="N8" s="164"/>
      <c r="O8" s="164"/>
      <c r="P8" s="164"/>
      <c r="Q8" s="164"/>
      <c r="R8" s="164"/>
      <c r="S8" s="164"/>
      <c r="T8" s="164"/>
      <c r="U8" s="164"/>
      <c r="V8" s="166"/>
    </row>
    <row r="9" spans="1:35" ht="21" customHeight="1">
      <c r="A9" s="103"/>
      <c r="B9" s="103"/>
      <c r="C9" s="103"/>
      <c r="D9" s="153" t="s">
        <v>29</v>
      </c>
      <c r="E9" s="153" t="s">
        <v>29</v>
      </c>
      <c r="F9" s="153" t="s">
        <v>29</v>
      </c>
      <c r="G9" s="153" t="s">
        <v>29</v>
      </c>
      <c r="H9" s="153" t="s">
        <v>29</v>
      </c>
      <c r="I9" s="153" t="s">
        <v>29</v>
      </c>
      <c r="J9" s="153" t="s">
        <v>29</v>
      </c>
      <c r="K9" s="153" t="s">
        <v>29</v>
      </c>
      <c r="L9" s="153" t="s">
        <v>29</v>
      </c>
      <c r="M9" s="153" t="s">
        <v>29</v>
      </c>
      <c r="N9" s="153" t="s">
        <v>29</v>
      </c>
      <c r="O9" s="153" t="s">
        <v>29</v>
      </c>
      <c r="P9" s="153" t="s">
        <v>29</v>
      </c>
      <c r="Q9" s="153" t="s">
        <v>29</v>
      </c>
      <c r="R9" s="153" t="s">
        <v>29</v>
      </c>
      <c r="S9" s="153" t="s">
        <v>29</v>
      </c>
      <c r="T9" s="153" t="s">
        <v>29</v>
      </c>
      <c r="U9" s="153" t="s">
        <v>29</v>
      </c>
      <c r="V9" s="103"/>
    </row>
    <row r="10" spans="1:35" ht="30" customHeight="1">
      <c r="A10" s="103">
        <v>1</v>
      </c>
      <c r="B10" s="104" t="s">
        <v>86</v>
      </c>
      <c r="C10" s="105">
        <v>17</v>
      </c>
      <c r="D10" s="106">
        <v>303246467.40550101</v>
      </c>
      <c r="E10" s="106">
        <v>508453799.56580001</v>
      </c>
      <c r="F10" s="107">
        <f>D10+E10</f>
        <v>811700266.97130108</v>
      </c>
      <c r="G10" s="106">
        <v>771164847.38999999</v>
      </c>
      <c r="H10" s="106">
        <v>0</v>
      </c>
      <c r="I10" s="106">
        <f>927951561.41-H10-G10</f>
        <v>156786714.01999998</v>
      </c>
      <c r="J10" s="106">
        <f>F10-G10-H10-I10</f>
        <v>-116251294.43869889</v>
      </c>
      <c r="K10" s="106">
        <v>4000286645.1757002</v>
      </c>
      <c r="L10" s="106">
        <v>642026716.67060006</v>
      </c>
      <c r="M10" s="106">
        <v>226485635.91209999</v>
      </c>
      <c r="N10" s="106">
        <v>113771826.93099999</v>
      </c>
      <c r="O10" s="106">
        <f>N10/2</f>
        <v>56885913.465499997</v>
      </c>
      <c r="P10" s="106">
        <f>N10-O10</f>
        <v>56885913.465499997</v>
      </c>
      <c r="Q10" s="106">
        <v>6331211727.9842997</v>
      </c>
      <c r="R10" s="106">
        <v>0</v>
      </c>
      <c r="S10" s="106">
        <f>Q10-R10</f>
        <v>6331211727.9842997</v>
      </c>
      <c r="T10" s="117">
        <f>F10+K10+M10+N10+Q10+L10</f>
        <v>12125482819.645</v>
      </c>
      <c r="U10" s="118">
        <f>J10+K10+M10+P10+S10+L10</f>
        <v>11140645344.769501</v>
      </c>
      <c r="V10" s="103">
        <v>1</v>
      </c>
      <c r="AI10" s="100">
        <v>0</v>
      </c>
    </row>
    <row r="11" spans="1:35" ht="30" customHeight="1">
      <c r="A11" s="103">
        <v>2</v>
      </c>
      <c r="B11" s="104" t="s">
        <v>87</v>
      </c>
      <c r="C11" s="108">
        <v>21</v>
      </c>
      <c r="D11" s="106">
        <v>322602093.12101001</v>
      </c>
      <c r="E11" s="106">
        <v>0</v>
      </c>
      <c r="F11" s="107">
        <f t="shared" ref="F11:F45" si="0">D11+E11</f>
        <v>322602093.12101001</v>
      </c>
      <c r="G11" s="106">
        <v>1097120916.4400001</v>
      </c>
      <c r="H11" s="106">
        <v>0</v>
      </c>
      <c r="I11" s="106">
        <f>1358829890.73-H11-G11</f>
        <v>261708974.28999996</v>
      </c>
      <c r="J11" s="106">
        <f t="shared" ref="J11:J45" si="1">F11-G11-H11-I11</f>
        <v>-1036227797.60899</v>
      </c>
      <c r="K11" s="106">
        <v>3365051792.9783001</v>
      </c>
      <c r="L11" s="106">
        <v>683006019.52460003</v>
      </c>
      <c r="M11" s="106">
        <v>193303131.14930001</v>
      </c>
      <c r="N11" s="106">
        <v>121033658.925</v>
      </c>
      <c r="O11" s="106">
        <v>0</v>
      </c>
      <c r="P11" s="106">
        <f t="shared" ref="P11:P45" si="2">N11-O11</f>
        <v>121033658.925</v>
      </c>
      <c r="Q11" s="106">
        <v>7458888295.2255001</v>
      </c>
      <c r="R11" s="106">
        <v>0</v>
      </c>
      <c r="S11" s="106">
        <f t="shared" ref="S11:S45" si="3">Q11-R11</f>
        <v>7458888295.2255001</v>
      </c>
      <c r="T11" s="117">
        <f t="shared" ref="T11:T45" si="4">F11+K11+M11+N11+Q11+L11</f>
        <v>12143884990.92371</v>
      </c>
      <c r="U11" s="118">
        <f t="shared" ref="U11:U45" si="5">J11+K11+M11+P11+S11+L11</f>
        <v>10785055100.19371</v>
      </c>
      <c r="V11" s="103">
        <v>2</v>
      </c>
      <c r="AI11" s="100">
        <v>0</v>
      </c>
    </row>
    <row r="12" spans="1:35" ht="30" customHeight="1">
      <c r="A12" s="103">
        <v>3</v>
      </c>
      <c r="B12" s="104" t="s">
        <v>88</v>
      </c>
      <c r="C12" s="108">
        <v>31</v>
      </c>
      <c r="D12" s="106">
        <v>325600009.01941597</v>
      </c>
      <c r="E12" s="106">
        <v>10018826342.499399</v>
      </c>
      <c r="F12" s="107">
        <f t="shared" si="0"/>
        <v>10344426351.518816</v>
      </c>
      <c r="G12" s="106">
        <v>525026444.75</v>
      </c>
      <c r="H12" s="106">
        <v>0</v>
      </c>
      <c r="I12" s="106">
        <f>1468741535.79-H12-G12</f>
        <v>943715091.03999996</v>
      </c>
      <c r="J12" s="106">
        <f t="shared" si="1"/>
        <v>8875684815.728817</v>
      </c>
      <c r="K12" s="106">
        <v>17433674583.942299</v>
      </c>
      <c r="L12" s="106">
        <v>689353140.78740001</v>
      </c>
      <c r="M12" s="106">
        <v>215494562.6692</v>
      </c>
      <c r="N12" s="106">
        <v>122158415.2054</v>
      </c>
      <c r="O12" s="106">
        <f>N12/2</f>
        <v>61079207.602700002</v>
      </c>
      <c r="P12" s="106">
        <f t="shared" si="2"/>
        <v>61079207.602700002</v>
      </c>
      <c r="Q12" s="106">
        <v>7652189079.0685997</v>
      </c>
      <c r="R12" s="106">
        <v>0</v>
      </c>
      <c r="S12" s="106">
        <f t="shared" si="3"/>
        <v>7652189079.0685997</v>
      </c>
      <c r="T12" s="117">
        <f t="shared" si="4"/>
        <v>36457296133.191711</v>
      </c>
      <c r="U12" s="118">
        <f t="shared" si="5"/>
        <v>34927475389.799019</v>
      </c>
      <c r="V12" s="103">
        <v>3</v>
      </c>
      <c r="AI12" s="100">
        <v>0</v>
      </c>
    </row>
    <row r="13" spans="1:35" ht="30" customHeight="1">
      <c r="A13" s="103">
        <v>4</v>
      </c>
      <c r="B13" s="104" t="s">
        <v>89</v>
      </c>
      <c r="C13" s="108">
        <v>21</v>
      </c>
      <c r="D13" s="106">
        <v>321997736.07916898</v>
      </c>
      <c r="E13" s="106">
        <v>707926157.43499994</v>
      </c>
      <c r="F13" s="107">
        <f t="shared" si="0"/>
        <v>1029923893.514169</v>
      </c>
      <c r="G13" s="106">
        <v>734737893.28999996</v>
      </c>
      <c r="H13" s="106">
        <v>0</v>
      </c>
      <c r="I13" s="106">
        <f>782195735.79-H13-G13</f>
        <v>47457842.5</v>
      </c>
      <c r="J13" s="106">
        <f t="shared" si="1"/>
        <v>247728157.72416902</v>
      </c>
      <c r="K13" s="106">
        <v>4519772250.6315002</v>
      </c>
      <c r="L13" s="106">
        <v>681726488.15670002</v>
      </c>
      <c r="M13" s="106">
        <v>279822371.8858</v>
      </c>
      <c r="N13" s="106">
        <v>120806916.6142</v>
      </c>
      <c r="O13" s="106">
        <v>0</v>
      </c>
      <c r="P13" s="106">
        <f t="shared" si="2"/>
        <v>120806916.6142</v>
      </c>
      <c r="Q13" s="106">
        <v>7815443254.6400995</v>
      </c>
      <c r="R13" s="106">
        <v>0</v>
      </c>
      <c r="S13" s="106">
        <f t="shared" si="3"/>
        <v>7815443254.6400995</v>
      </c>
      <c r="T13" s="117">
        <f t="shared" si="4"/>
        <v>14447495175.442469</v>
      </c>
      <c r="U13" s="118">
        <f t="shared" si="5"/>
        <v>13665299439.65247</v>
      </c>
      <c r="V13" s="103">
        <v>4</v>
      </c>
      <c r="AI13" s="100">
        <v>0</v>
      </c>
    </row>
    <row r="14" spans="1:35" ht="30" customHeight="1">
      <c r="A14" s="103">
        <v>5</v>
      </c>
      <c r="B14" s="104" t="s">
        <v>90</v>
      </c>
      <c r="C14" s="108">
        <v>20</v>
      </c>
      <c r="D14" s="106">
        <v>387374064.692904</v>
      </c>
      <c r="E14" s="106">
        <v>0</v>
      </c>
      <c r="F14" s="107">
        <f t="shared" si="0"/>
        <v>387374064.692904</v>
      </c>
      <c r="G14" s="106">
        <v>1287217303.6199999</v>
      </c>
      <c r="H14" s="106">
        <v>958822872.39999998</v>
      </c>
      <c r="I14" s="106">
        <f>3490021215.41-H14-G14</f>
        <v>1243981039.3899999</v>
      </c>
      <c r="J14" s="106">
        <f t="shared" si="1"/>
        <v>-3102647150.7170959</v>
      </c>
      <c r="K14" s="106">
        <v>4040686092.0801001</v>
      </c>
      <c r="L14" s="106">
        <v>820139805.76900005</v>
      </c>
      <c r="M14" s="106">
        <v>220341793.70519999</v>
      </c>
      <c r="N14" s="106">
        <v>145334768.19350001</v>
      </c>
      <c r="O14" s="106">
        <v>0</v>
      </c>
      <c r="P14" s="106">
        <f t="shared" si="2"/>
        <v>145334768.19350001</v>
      </c>
      <c r="Q14" s="106">
        <v>7735297519.1356001</v>
      </c>
      <c r="R14" s="106">
        <v>0</v>
      </c>
      <c r="S14" s="106">
        <f t="shared" si="3"/>
        <v>7735297519.1356001</v>
      </c>
      <c r="T14" s="117">
        <f t="shared" si="4"/>
        <v>13349174043.576305</v>
      </c>
      <c r="U14" s="118">
        <f t="shared" si="5"/>
        <v>9859152828.1663055</v>
      </c>
      <c r="V14" s="103">
        <v>5</v>
      </c>
      <c r="AI14" s="100">
        <v>0</v>
      </c>
    </row>
    <row r="15" spans="1:35" ht="30" customHeight="1">
      <c r="A15" s="103">
        <v>6</v>
      </c>
      <c r="B15" s="104" t="s">
        <v>91</v>
      </c>
      <c r="C15" s="108">
        <v>8</v>
      </c>
      <c r="D15" s="106">
        <v>286546703.67238802</v>
      </c>
      <c r="E15" s="106">
        <v>12988475280.733</v>
      </c>
      <c r="F15" s="107">
        <f t="shared" si="0"/>
        <v>13275021984.405388</v>
      </c>
      <c r="G15" s="106">
        <v>448007394.98000002</v>
      </c>
      <c r="H15" s="106">
        <v>0</v>
      </c>
      <c r="I15" s="106">
        <f>1634852688.81-H15-G15</f>
        <v>1186845293.8299999</v>
      </c>
      <c r="J15" s="106">
        <f t="shared" si="1"/>
        <v>11640169295.595388</v>
      </c>
      <c r="K15" s="106">
        <v>17281344750.762501</v>
      </c>
      <c r="L15" s="106">
        <v>606670346.09039998</v>
      </c>
      <c r="M15" s="106">
        <v>162690396.03119999</v>
      </c>
      <c r="N15" s="106">
        <v>107506419.6355</v>
      </c>
      <c r="O15" s="106">
        <f t="shared" ref="O15:O21" si="6">N15/2</f>
        <v>53753209.817749999</v>
      </c>
      <c r="P15" s="106">
        <f t="shared" si="2"/>
        <v>53753209.817749999</v>
      </c>
      <c r="Q15" s="106">
        <v>6548907649.7939997</v>
      </c>
      <c r="R15" s="106">
        <v>0</v>
      </c>
      <c r="S15" s="106">
        <f t="shared" si="3"/>
        <v>6548907649.7939997</v>
      </c>
      <c r="T15" s="117">
        <f t="shared" si="4"/>
        <v>37982141546.718994</v>
      </c>
      <c r="U15" s="118">
        <f t="shared" si="5"/>
        <v>36293535648.09124</v>
      </c>
      <c r="V15" s="103">
        <v>6</v>
      </c>
      <c r="AI15" s="100">
        <v>0</v>
      </c>
    </row>
    <row r="16" spans="1:35" ht="30" customHeight="1">
      <c r="A16" s="103">
        <v>7</v>
      </c>
      <c r="B16" s="104" t="s">
        <v>92</v>
      </c>
      <c r="C16" s="108">
        <v>23</v>
      </c>
      <c r="D16" s="106">
        <v>363188227.07121998</v>
      </c>
      <c r="E16" s="106">
        <v>0</v>
      </c>
      <c r="F16" s="107">
        <f t="shared" si="0"/>
        <v>363188227.07121998</v>
      </c>
      <c r="G16" s="106">
        <v>303276410.17000002</v>
      </c>
      <c r="H16" s="106">
        <v>0</v>
      </c>
      <c r="I16" s="106">
        <f>502688435.47-H16-G16</f>
        <v>199412025.30000001</v>
      </c>
      <c r="J16" s="106">
        <f t="shared" si="1"/>
        <v>-139500208.39878005</v>
      </c>
      <c r="K16" s="106">
        <v>3788404417.5658998</v>
      </c>
      <c r="L16" s="106">
        <v>768934085.05280006</v>
      </c>
      <c r="M16" s="106">
        <v>214953930.3134</v>
      </c>
      <c r="N16" s="106">
        <v>136260740.20680001</v>
      </c>
      <c r="O16" s="106">
        <f t="shared" si="6"/>
        <v>68130370.103400007</v>
      </c>
      <c r="P16" s="106">
        <f t="shared" si="2"/>
        <v>68130370.103400007</v>
      </c>
      <c r="Q16" s="106">
        <v>7499614827.9006004</v>
      </c>
      <c r="R16" s="106">
        <v>0</v>
      </c>
      <c r="S16" s="106">
        <f t="shared" si="3"/>
        <v>7499614827.9006004</v>
      </c>
      <c r="T16" s="117">
        <f t="shared" si="4"/>
        <v>12771356228.11072</v>
      </c>
      <c r="U16" s="118">
        <f t="shared" si="5"/>
        <v>12200537422.537319</v>
      </c>
      <c r="V16" s="103">
        <v>7</v>
      </c>
      <c r="AI16" s="100">
        <v>0</v>
      </c>
    </row>
    <row r="17" spans="1:35" ht="30" customHeight="1">
      <c r="A17" s="103">
        <v>8</v>
      </c>
      <c r="B17" s="104" t="s">
        <v>93</v>
      </c>
      <c r="C17" s="108">
        <v>27</v>
      </c>
      <c r="D17" s="106">
        <v>402360505.63171399</v>
      </c>
      <c r="E17" s="106">
        <v>0</v>
      </c>
      <c r="F17" s="107">
        <f t="shared" si="0"/>
        <v>402360505.63171399</v>
      </c>
      <c r="G17" s="106">
        <v>268566528.35000002</v>
      </c>
      <c r="H17" s="106">
        <v>0</v>
      </c>
      <c r="I17" s="106">
        <f>387989167.78-H17-G17</f>
        <v>119422639.42999995</v>
      </c>
      <c r="J17" s="106">
        <f t="shared" si="1"/>
        <v>14371337.851714015</v>
      </c>
      <c r="K17" s="106">
        <v>4197009163.2147999</v>
      </c>
      <c r="L17" s="106">
        <v>851868767.20700002</v>
      </c>
      <c r="M17" s="106">
        <v>215158230.55970001</v>
      </c>
      <c r="N17" s="106">
        <v>150957372.07539999</v>
      </c>
      <c r="O17" s="106">
        <v>0</v>
      </c>
      <c r="P17" s="106">
        <f t="shared" si="2"/>
        <v>150957372.07539999</v>
      </c>
      <c r="Q17" s="106">
        <v>7338658350.6375999</v>
      </c>
      <c r="R17" s="106">
        <v>0</v>
      </c>
      <c r="S17" s="106">
        <f t="shared" si="3"/>
        <v>7338658350.6375999</v>
      </c>
      <c r="T17" s="117">
        <f t="shared" si="4"/>
        <v>13156012389.326214</v>
      </c>
      <c r="U17" s="118">
        <f t="shared" si="5"/>
        <v>12768023221.546215</v>
      </c>
      <c r="V17" s="103">
        <v>8</v>
      </c>
      <c r="AI17" s="100">
        <v>0</v>
      </c>
    </row>
    <row r="18" spans="1:35" ht="30" customHeight="1">
      <c r="A18" s="103">
        <v>9</v>
      </c>
      <c r="B18" s="104" t="s">
        <v>94</v>
      </c>
      <c r="C18" s="108">
        <v>18</v>
      </c>
      <c r="D18" s="106">
        <v>325655537.29015702</v>
      </c>
      <c r="E18" s="106">
        <v>0</v>
      </c>
      <c r="F18" s="107">
        <f t="shared" si="0"/>
        <v>325655537.29015702</v>
      </c>
      <c r="G18" s="106">
        <v>1591698085.8</v>
      </c>
      <c r="H18" s="106">
        <v>541305066.39999998</v>
      </c>
      <c r="I18" s="106">
        <f>2587010348.83-H18-G18</f>
        <v>454007196.62999988</v>
      </c>
      <c r="J18" s="106">
        <f t="shared" si="1"/>
        <v>-2261354811.5398426</v>
      </c>
      <c r="K18" s="106">
        <v>3396902168.4018998</v>
      </c>
      <c r="L18" s="106">
        <v>689470704.01450002</v>
      </c>
      <c r="M18" s="106">
        <v>193798795.2331</v>
      </c>
      <c r="N18" s="106">
        <v>122179248.26880001</v>
      </c>
      <c r="O18" s="106">
        <f t="shared" si="6"/>
        <v>61089624.134400003</v>
      </c>
      <c r="P18" s="106">
        <f t="shared" si="2"/>
        <v>61089624.134400003</v>
      </c>
      <c r="Q18" s="106">
        <v>6353107341.6497002</v>
      </c>
      <c r="R18" s="106">
        <v>0</v>
      </c>
      <c r="S18" s="106">
        <f t="shared" si="3"/>
        <v>6353107341.6497002</v>
      </c>
      <c r="T18" s="117">
        <f t="shared" si="4"/>
        <v>11081113794.858156</v>
      </c>
      <c r="U18" s="118">
        <f t="shared" si="5"/>
        <v>8433013821.8937569</v>
      </c>
      <c r="V18" s="103">
        <v>9</v>
      </c>
      <c r="AI18" s="100">
        <v>0</v>
      </c>
    </row>
    <row r="19" spans="1:35" ht="30" customHeight="1">
      <c r="A19" s="103">
        <v>10</v>
      </c>
      <c r="B19" s="104" t="s">
        <v>95</v>
      </c>
      <c r="C19" s="108">
        <v>25</v>
      </c>
      <c r="D19" s="106">
        <v>328821224.81155699</v>
      </c>
      <c r="E19" s="106">
        <v>18256438603.816399</v>
      </c>
      <c r="F19" s="107">
        <f t="shared" si="0"/>
        <v>18585259828.627956</v>
      </c>
      <c r="G19" s="106">
        <v>380941267.68000001</v>
      </c>
      <c r="H19" s="106">
        <v>0</v>
      </c>
      <c r="I19" s="106">
        <f>2515977277.6-H19-G19</f>
        <v>2135036009.9199998</v>
      </c>
      <c r="J19" s="106">
        <f t="shared" si="1"/>
        <v>16069282551.027956</v>
      </c>
      <c r="K19" s="106">
        <v>27991732337.996498</v>
      </c>
      <c r="L19" s="106">
        <v>696173027.64839995</v>
      </c>
      <c r="M19" s="106">
        <v>278494090.50650001</v>
      </c>
      <c r="N19" s="106">
        <v>123366949.0054</v>
      </c>
      <c r="O19" s="106">
        <f t="shared" si="6"/>
        <v>61683474.502700001</v>
      </c>
      <c r="P19" s="106">
        <f t="shared" si="2"/>
        <v>61683474.502700001</v>
      </c>
      <c r="Q19" s="106">
        <v>8043444108.1629</v>
      </c>
      <c r="R19" s="106">
        <v>0</v>
      </c>
      <c r="S19" s="106">
        <f t="shared" si="3"/>
        <v>8043444108.1629</v>
      </c>
      <c r="T19" s="117">
        <f t="shared" si="4"/>
        <v>55718470341.947655</v>
      </c>
      <c r="U19" s="118">
        <f t="shared" si="5"/>
        <v>53140809589.844955</v>
      </c>
      <c r="V19" s="103">
        <v>10</v>
      </c>
      <c r="AI19" s="100">
        <v>0</v>
      </c>
    </row>
    <row r="20" spans="1:35" ht="30" customHeight="1">
      <c r="A20" s="103">
        <v>11</v>
      </c>
      <c r="B20" s="104" t="s">
        <v>96</v>
      </c>
      <c r="C20" s="108">
        <v>13</v>
      </c>
      <c r="D20" s="106">
        <v>289728254.62428898</v>
      </c>
      <c r="E20" s="106">
        <v>0</v>
      </c>
      <c r="F20" s="107">
        <f t="shared" si="0"/>
        <v>289728254.62428898</v>
      </c>
      <c r="G20" s="106">
        <v>829020383.39999998</v>
      </c>
      <c r="H20" s="106">
        <v>0</v>
      </c>
      <c r="I20" s="106">
        <f>1229705647.72-H20-G20</f>
        <v>400685264.32000005</v>
      </c>
      <c r="J20" s="106">
        <f t="shared" si="1"/>
        <v>-939977393.09571111</v>
      </c>
      <c r="K20" s="106">
        <v>3022145867.8951998</v>
      </c>
      <c r="L20" s="106">
        <v>613406255.42850006</v>
      </c>
      <c r="M20" s="106">
        <v>171606176.6191</v>
      </c>
      <c r="N20" s="106">
        <v>108700072.00470001</v>
      </c>
      <c r="O20" s="106">
        <v>0</v>
      </c>
      <c r="P20" s="106">
        <f t="shared" si="2"/>
        <v>108700072.00470001</v>
      </c>
      <c r="Q20" s="106">
        <v>6092214905.4712</v>
      </c>
      <c r="R20" s="106">
        <v>0</v>
      </c>
      <c r="S20" s="106">
        <f t="shared" si="3"/>
        <v>6092214905.4712</v>
      </c>
      <c r="T20" s="117">
        <f t="shared" si="4"/>
        <v>10297801532.042988</v>
      </c>
      <c r="U20" s="118">
        <f t="shared" si="5"/>
        <v>9068095884.3229885</v>
      </c>
      <c r="V20" s="103">
        <v>11</v>
      </c>
      <c r="AI20" s="100">
        <v>0</v>
      </c>
    </row>
    <row r="21" spans="1:35" ht="30" customHeight="1">
      <c r="A21" s="103">
        <v>12</v>
      </c>
      <c r="B21" s="104" t="s">
        <v>97</v>
      </c>
      <c r="C21" s="108">
        <v>18</v>
      </c>
      <c r="D21" s="106">
        <v>302812460.65896702</v>
      </c>
      <c r="E21" s="106">
        <v>1644076427.3986001</v>
      </c>
      <c r="F21" s="107">
        <f t="shared" si="0"/>
        <v>1946888888.0575671</v>
      </c>
      <c r="G21" s="106">
        <v>1970259581.95</v>
      </c>
      <c r="H21" s="106">
        <v>510923032.41000003</v>
      </c>
      <c r="I21" s="106">
        <f>2646911287.93-H21-G21</f>
        <v>165728673.56999969</v>
      </c>
      <c r="J21" s="106">
        <f t="shared" si="1"/>
        <v>-700022399.87243271</v>
      </c>
      <c r="K21" s="106">
        <v>4511630420.5403004</v>
      </c>
      <c r="L21" s="106">
        <v>641107847.18169999</v>
      </c>
      <c r="M21" s="106">
        <v>247674481.15439999</v>
      </c>
      <c r="N21" s="106">
        <v>113608996.5414</v>
      </c>
      <c r="O21" s="106">
        <f t="shared" si="6"/>
        <v>56804498.2707</v>
      </c>
      <c r="P21" s="106">
        <f t="shared" si="2"/>
        <v>56804498.2707</v>
      </c>
      <c r="Q21" s="106">
        <v>8587624516.6636</v>
      </c>
      <c r="R21" s="106">
        <v>0</v>
      </c>
      <c r="S21" s="106">
        <f t="shared" si="3"/>
        <v>8587624516.6636</v>
      </c>
      <c r="T21" s="117">
        <f t="shared" si="4"/>
        <v>16048535150.138968</v>
      </c>
      <c r="U21" s="118">
        <f t="shared" si="5"/>
        <v>13344819363.938267</v>
      </c>
      <c r="V21" s="103">
        <v>12</v>
      </c>
      <c r="AI21" s="100">
        <v>0</v>
      </c>
    </row>
    <row r="22" spans="1:35" ht="30" customHeight="1">
      <c r="A22" s="103">
        <v>13</v>
      </c>
      <c r="B22" s="104" t="s">
        <v>98</v>
      </c>
      <c r="C22" s="108">
        <v>16</v>
      </c>
      <c r="D22" s="106">
        <v>289564762.658705</v>
      </c>
      <c r="E22" s="106">
        <v>0</v>
      </c>
      <c r="F22" s="107">
        <f t="shared" si="0"/>
        <v>289564762.658705</v>
      </c>
      <c r="G22" s="106">
        <v>1012400231.65</v>
      </c>
      <c r="H22" s="106">
        <v>345000000</v>
      </c>
      <c r="I22" s="106">
        <f>1913482894.99-H22-G22</f>
        <v>556082663.34000003</v>
      </c>
      <c r="J22" s="106">
        <f t="shared" si="1"/>
        <v>-1623918132.331295</v>
      </c>
      <c r="K22" s="106">
        <v>3020440488.5935998</v>
      </c>
      <c r="L22" s="106">
        <v>613060113.85329998</v>
      </c>
      <c r="M22" s="106">
        <v>179509796.96259999</v>
      </c>
      <c r="N22" s="106">
        <v>108638733.1875</v>
      </c>
      <c r="O22" s="106">
        <v>0</v>
      </c>
      <c r="P22" s="106">
        <f t="shared" si="2"/>
        <v>108638733.1875</v>
      </c>
      <c r="Q22" s="106">
        <v>6550115297.0962</v>
      </c>
      <c r="R22" s="106">
        <v>0</v>
      </c>
      <c r="S22" s="106">
        <f t="shared" si="3"/>
        <v>6550115297.0962</v>
      </c>
      <c r="T22" s="117">
        <f t="shared" si="4"/>
        <v>10761329192.351904</v>
      </c>
      <c r="U22" s="118">
        <f t="shared" si="5"/>
        <v>8847846297.3619041</v>
      </c>
      <c r="V22" s="103">
        <v>13</v>
      </c>
      <c r="AI22" s="100">
        <v>0</v>
      </c>
    </row>
    <row r="23" spans="1:35" ht="30" customHeight="1">
      <c r="A23" s="103">
        <v>14</v>
      </c>
      <c r="B23" s="104" t="s">
        <v>99</v>
      </c>
      <c r="C23" s="108">
        <v>17</v>
      </c>
      <c r="D23" s="106">
        <v>325683643.561737</v>
      </c>
      <c r="E23" s="106">
        <v>0</v>
      </c>
      <c r="F23" s="107">
        <f t="shared" si="0"/>
        <v>325683643.561737</v>
      </c>
      <c r="G23" s="106">
        <v>1045863175.83</v>
      </c>
      <c r="H23" s="106">
        <v>0</v>
      </c>
      <c r="I23" s="106">
        <f>1133526419.84-H23-G23</f>
        <v>87663244.009999871</v>
      </c>
      <c r="J23" s="106">
        <f t="shared" si="1"/>
        <v>-807842776.27826297</v>
      </c>
      <c r="K23" s="106">
        <v>3397195343.9933</v>
      </c>
      <c r="L23" s="106">
        <v>689530209.9914</v>
      </c>
      <c r="M23" s="106">
        <v>226430464.3044</v>
      </c>
      <c r="N23" s="106">
        <v>122189793.1628</v>
      </c>
      <c r="O23" s="106">
        <v>0</v>
      </c>
      <c r="P23" s="106">
        <f t="shared" si="2"/>
        <v>122189793.1628</v>
      </c>
      <c r="Q23" s="106">
        <v>6732105837.2447996</v>
      </c>
      <c r="R23" s="106">
        <v>0</v>
      </c>
      <c r="S23" s="106">
        <f t="shared" si="3"/>
        <v>6732105837.2447996</v>
      </c>
      <c r="T23" s="117">
        <f t="shared" si="4"/>
        <v>11493135292.258436</v>
      </c>
      <c r="U23" s="118">
        <f t="shared" si="5"/>
        <v>10359608872.418436</v>
      </c>
      <c r="V23" s="103">
        <v>14</v>
      </c>
      <c r="AI23" s="100">
        <v>0</v>
      </c>
    </row>
    <row r="24" spans="1:35" ht="30" customHeight="1">
      <c r="A24" s="103">
        <v>15</v>
      </c>
      <c r="B24" s="104" t="s">
        <v>100</v>
      </c>
      <c r="C24" s="108">
        <v>11</v>
      </c>
      <c r="D24" s="106">
        <v>305038500.68775398</v>
      </c>
      <c r="E24" s="106">
        <v>0</v>
      </c>
      <c r="F24" s="107">
        <f t="shared" si="0"/>
        <v>305038500.68775398</v>
      </c>
      <c r="G24" s="106">
        <v>579542872.13999999</v>
      </c>
      <c r="H24" s="106">
        <v>1191927125.99</v>
      </c>
      <c r="I24" s="106">
        <f>2174536264.59-H24-G24</f>
        <v>403066266.46000016</v>
      </c>
      <c r="J24" s="106">
        <f t="shared" si="1"/>
        <v>-1869497763.902246</v>
      </c>
      <c r="K24" s="106">
        <v>3181846539.6055002</v>
      </c>
      <c r="L24" s="106">
        <v>645820769.91779995</v>
      </c>
      <c r="M24" s="106">
        <v>173442880.82749999</v>
      </c>
      <c r="N24" s="106">
        <v>114444160.8981</v>
      </c>
      <c r="O24" s="106">
        <v>115620328.42730001</v>
      </c>
      <c r="P24" s="106">
        <f t="shared" si="2"/>
        <v>-1176167.5292000026</v>
      </c>
      <c r="Q24" s="106">
        <v>6879617270.9823999</v>
      </c>
      <c r="R24" s="106">
        <v>0</v>
      </c>
      <c r="S24" s="106">
        <f t="shared" si="3"/>
        <v>6879617270.9823999</v>
      </c>
      <c r="T24" s="117">
        <f t="shared" si="4"/>
        <v>11300210122.919056</v>
      </c>
      <c r="U24" s="118">
        <f t="shared" si="5"/>
        <v>9010053529.9017525</v>
      </c>
      <c r="V24" s="103">
        <v>15</v>
      </c>
      <c r="AI24" s="100">
        <v>0</v>
      </c>
    </row>
    <row r="25" spans="1:35" ht="30" customHeight="1">
      <c r="A25" s="103">
        <v>16</v>
      </c>
      <c r="B25" s="104" t="s">
        <v>101</v>
      </c>
      <c r="C25" s="108">
        <v>27</v>
      </c>
      <c r="D25" s="106">
        <v>336708937.36075598</v>
      </c>
      <c r="E25" s="106">
        <v>1272441179.733</v>
      </c>
      <c r="F25" s="107">
        <f t="shared" si="0"/>
        <v>1609150117.093756</v>
      </c>
      <c r="G25" s="106">
        <v>1124937985.78</v>
      </c>
      <c r="H25" s="106">
        <v>0</v>
      </c>
      <c r="I25" s="106">
        <f>2595705944.31-H25-G25</f>
        <v>1470767958.53</v>
      </c>
      <c r="J25" s="106">
        <f t="shared" si="1"/>
        <v>-986555827.21624398</v>
      </c>
      <c r="K25" s="106">
        <v>5579043646.9287996</v>
      </c>
      <c r="L25" s="106">
        <v>712872718.27740002</v>
      </c>
      <c r="M25" s="106">
        <v>234239587.73949999</v>
      </c>
      <c r="N25" s="106">
        <v>126326256.2473</v>
      </c>
      <c r="O25" s="106">
        <f t="shared" ref="O25" si="7">N25/2</f>
        <v>63163128.123649999</v>
      </c>
      <c r="P25" s="106">
        <f t="shared" si="2"/>
        <v>63163128.123649999</v>
      </c>
      <c r="Q25" s="106">
        <v>7063541376.3149996</v>
      </c>
      <c r="R25" s="106">
        <v>0</v>
      </c>
      <c r="S25" s="106">
        <f t="shared" si="3"/>
        <v>7063541376.3149996</v>
      </c>
      <c r="T25" s="117">
        <f t="shared" si="4"/>
        <v>15325173702.601757</v>
      </c>
      <c r="U25" s="118">
        <f t="shared" si="5"/>
        <v>12666304630.168106</v>
      </c>
      <c r="V25" s="103">
        <v>16</v>
      </c>
      <c r="AI25" s="100">
        <v>0</v>
      </c>
    </row>
    <row r="26" spans="1:35" ht="30" customHeight="1">
      <c r="A26" s="103">
        <v>17</v>
      </c>
      <c r="B26" s="104" t="s">
        <v>102</v>
      </c>
      <c r="C26" s="108">
        <v>27</v>
      </c>
      <c r="D26" s="106">
        <v>362161696.66984999</v>
      </c>
      <c r="E26" s="106">
        <v>0</v>
      </c>
      <c r="F26" s="107">
        <f t="shared" si="0"/>
        <v>362161696.66984999</v>
      </c>
      <c r="G26" s="106">
        <v>305648422.99000001</v>
      </c>
      <c r="H26" s="106">
        <v>0</v>
      </c>
      <c r="I26" s="106">
        <f>388928532.5-H26-G26</f>
        <v>83280109.50999999</v>
      </c>
      <c r="J26" s="106">
        <f t="shared" si="1"/>
        <v>-26766835.830150008</v>
      </c>
      <c r="K26" s="106">
        <v>3777696712.8105998</v>
      </c>
      <c r="L26" s="106">
        <v>766760737.58140004</v>
      </c>
      <c r="M26" s="106">
        <v>209440419.5539</v>
      </c>
      <c r="N26" s="106">
        <v>135875607.1494</v>
      </c>
      <c r="O26" s="106">
        <v>0</v>
      </c>
      <c r="P26" s="106">
        <f t="shared" si="2"/>
        <v>135875607.1494</v>
      </c>
      <c r="Q26" s="106">
        <v>7918113906.8634005</v>
      </c>
      <c r="R26" s="106">
        <v>0</v>
      </c>
      <c r="S26" s="106">
        <f t="shared" si="3"/>
        <v>7918113906.8634005</v>
      </c>
      <c r="T26" s="117">
        <f t="shared" si="4"/>
        <v>13170049080.62855</v>
      </c>
      <c r="U26" s="118">
        <f t="shared" si="5"/>
        <v>12781120548.12855</v>
      </c>
      <c r="V26" s="103">
        <v>17</v>
      </c>
      <c r="AI26" s="100">
        <v>0</v>
      </c>
    </row>
    <row r="27" spans="1:35" ht="30" customHeight="1">
      <c r="A27" s="103">
        <v>18</v>
      </c>
      <c r="B27" s="104" t="s">
        <v>103</v>
      </c>
      <c r="C27" s="108">
        <v>23</v>
      </c>
      <c r="D27" s="106">
        <v>424314550.83563602</v>
      </c>
      <c r="E27" s="106">
        <v>0</v>
      </c>
      <c r="F27" s="107">
        <f t="shared" si="0"/>
        <v>424314550.83563602</v>
      </c>
      <c r="G27" s="106">
        <v>3796561713.5300002</v>
      </c>
      <c r="H27" s="106">
        <v>0</v>
      </c>
      <c r="I27" s="106">
        <f>4244496229.87-H27-G27</f>
        <v>447934516.33999968</v>
      </c>
      <c r="J27" s="106">
        <f t="shared" si="1"/>
        <v>-3820181679.0343637</v>
      </c>
      <c r="K27" s="106">
        <v>4426011084.625</v>
      </c>
      <c r="L27" s="106">
        <v>898349386.35650003</v>
      </c>
      <c r="M27" s="106">
        <v>279615041.77950001</v>
      </c>
      <c r="N27" s="106">
        <v>159194077.5273</v>
      </c>
      <c r="O27" s="106">
        <v>160830149.68090001</v>
      </c>
      <c r="P27" s="106">
        <f t="shared" si="2"/>
        <v>-1636072.1536000073</v>
      </c>
      <c r="Q27" s="106">
        <v>8906246445.3584995</v>
      </c>
      <c r="R27" s="106">
        <v>0</v>
      </c>
      <c r="S27" s="106">
        <f t="shared" si="3"/>
        <v>8906246445.3584995</v>
      </c>
      <c r="T27" s="117">
        <f t="shared" si="4"/>
        <v>15093730586.482435</v>
      </c>
      <c r="U27" s="118">
        <f t="shared" si="5"/>
        <v>10688404206.931536</v>
      </c>
      <c r="V27" s="103">
        <v>18</v>
      </c>
      <c r="AI27" s="100">
        <v>0</v>
      </c>
    </row>
    <row r="28" spans="1:35" ht="30" customHeight="1">
      <c r="A28" s="103">
        <v>19</v>
      </c>
      <c r="B28" s="104" t="s">
        <v>104</v>
      </c>
      <c r="C28" s="108">
        <v>44</v>
      </c>
      <c r="D28" s="106">
        <v>513680002.673675</v>
      </c>
      <c r="E28" s="106">
        <v>0</v>
      </c>
      <c r="F28" s="107">
        <f t="shared" si="0"/>
        <v>513680002.673675</v>
      </c>
      <c r="G28" s="106">
        <v>1097138975.0599999</v>
      </c>
      <c r="H28" s="106">
        <v>292615190</v>
      </c>
      <c r="I28" s="106">
        <f>1772790788.97-H28-G28</f>
        <v>383036623.91000009</v>
      </c>
      <c r="J28" s="106">
        <f t="shared" si="1"/>
        <v>-1259110786.296325</v>
      </c>
      <c r="K28" s="106">
        <v>5358179165.2163</v>
      </c>
      <c r="L28" s="106">
        <v>1087551945.3120999</v>
      </c>
      <c r="M28" s="106">
        <v>359895270.04659998</v>
      </c>
      <c r="N28" s="106">
        <v>192722153.9041</v>
      </c>
      <c r="O28" s="106">
        <v>0</v>
      </c>
      <c r="P28" s="106">
        <f t="shared" si="2"/>
        <v>192722153.9041</v>
      </c>
      <c r="Q28" s="106">
        <v>11678478975.356199</v>
      </c>
      <c r="R28" s="106">
        <v>0</v>
      </c>
      <c r="S28" s="106">
        <f t="shared" si="3"/>
        <v>11678478975.356199</v>
      </c>
      <c r="T28" s="117">
        <f t="shared" si="4"/>
        <v>19190507512.508976</v>
      </c>
      <c r="U28" s="118">
        <f t="shared" si="5"/>
        <v>17417716723.538975</v>
      </c>
      <c r="V28" s="103">
        <v>19</v>
      </c>
      <c r="AI28" s="100">
        <v>0</v>
      </c>
    </row>
    <row r="29" spans="1:35" ht="30" customHeight="1">
      <c r="A29" s="103">
        <v>20</v>
      </c>
      <c r="B29" s="104" t="s">
        <v>105</v>
      </c>
      <c r="C29" s="108">
        <v>34</v>
      </c>
      <c r="D29" s="106">
        <v>398087382.76329303</v>
      </c>
      <c r="E29" s="106">
        <v>0</v>
      </c>
      <c r="F29" s="107">
        <f t="shared" si="0"/>
        <v>398087382.76329303</v>
      </c>
      <c r="G29" s="106">
        <v>852223256.97000003</v>
      </c>
      <c r="H29" s="106">
        <v>850000000</v>
      </c>
      <c r="I29" s="106">
        <f>1713247215.26-H29-G29</f>
        <v>11023958.289999962</v>
      </c>
      <c r="J29" s="106">
        <f t="shared" si="1"/>
        <v>-1315159832.496707</v>
      </c>
      <c r="K29" s="106">
        <v>4152436359.5096998</v>
      </c>
      <c r="L29" s="106">
        <v>842821805.93959999</v>
      </c>
      <c r="M29" s="106">
        <v>247121419.0562</v>
      </c>
      <c r="N29" s="106">
        <v>149354184.41209999</v>
      </c>
      <c r="O29" s="106">
        <v>0</v>
      </c>
      <c r="P29" s="106">
        <f t="shared" si="2"/>
        <v>149354184.41209999</v>
      </c>
      <c r="Q29" s="106">
        <v>8550226222.4748001</v>
      </c>
      <c r="R29" s="106">
        <v>0</v>
      </c>
      <c r="S29" s="106">
        <f t="shared" si="3"/>
        <v>8550226222.4748001</v>
      </c>
      <c r="T29" s="117">
        <f t="shared" si="4"/>
        <v>14340047374.155693</v>
      </c>
      <c r="U29" s="118">
        <f t="shared" si="5"/>
        <v>12626800158.895693</v>
      </c>
      <c r="V29" s="103">
        <v>20</v>
      </c>
      <c r="AI29" s="100">
        <v>0</v>
      </c>
    </row>
    <row r="30" spans="1:35" ht="30" customHeight="1">
      <c r="A30" s="103">
        <v>21</v>
      </c>
      <c r="B30" s="104" t="s">
        <v>106</v>
      </c>
      <c r="C30" s="108">
        <v>21</v>
      </c>
      <c r="D30" s="106">
        <v>341959047.87166899</v>
      </c>
      <c r="E30" s="106">
        <v>0</v>
      </c>
      <c r="F30" s="107">
        <f t="shared" si="0"/>
        <v>341959047.87166899</v>
      </c>
      <c r="G30" s="106">
        <v>482706139.92000002</v>
      </c>
      <c r="H30" s="106">
        <v>0</v>
      </c>
      <c r="I30" s="106">
        <f>559056426.98-H30-G30</f>
        <v>76350287.060000002</v>
      </c>
      <c r="J30" s="106">
        <f t="shared" si="1"/>
        <v>-217097379.10833102</v>
      </c>
      <c r="K30" s="106">
        <v>3566963549.5388999</v>
      </c>
      <c r="L30" s="106">
        <v>723988136.18260002</v>
      </c>
      <c r="M30" s="106">
        <v>190113094.2455</v>
      </c>
      <c r="N30" s="106">
        <v>128295989.5456</v>
      </c>
      <c r="O30" s="106">
        <f t="shared" ref="O30:O32" si="8">N30/2</f>
        <v>64147994.772799999</v>
      </c>
      <c r="P30" s="106">
        <f t="shared" si="2"/>
        <v>64147994.772799999</v>
      </c>
      <c r="Q30" s="106">
        <v>6736918198.8146</v>
      </c>
      <c r="R30" s="106">
        <v>0</v>
      </c>
      <c r="S30" s="106">
        <f t="shared" si="3"/>
        <v>6736918198.8146</v>
      </c>
      <c r="T30" s="117">
        <f t="shared" si="4"/>
        <v>11688238016.19887</v>
      </c>
      <c r="U30" s="118">
        <f t="shared" si="5"/>
        <v>11065033594.44607</v>
      </c>
      <c r="V30" s="103">
        <v>21</v>
      </c>
      <c r="AI30" s="100">
        <v>0</v>
      </c>
    </row>
    <row r="31" spans="1:35" ht="30" customHeight="1">
      <c r="A31" s="103">
        <v>22</v>
      </c>
      <c r="B31" s="104" t="s">
        <v>107</v>
      </c>
      <c r="C31" s="108">
        <v>21</v>
      </c>
      <c r="D31" s="106">
        <v>357927888.96599501</v>
      </c>
      <c r="E31" s="106">
        <v>0</v>
      </c>
      <c r="F31" s="107">
        <f t="shared" si="0"/>
        <v>357927888.96599501</v>
      </c>
      <c r="G31" s="106">
        <v>572783105.52999997</v>
      </c>
      <c r="H31" s="106">
        <v>0</v>
      </c>
      <c r="I31" s="106">
        <f>1018407372.41-H31-G31</f>
        <v>445624266.88</v>
      </c>
      <c r="J31" s="106">
        <f t="shared" si="1"/>
        <v>-660479483.44400501</v>
      </c>
      <c r="K31" s="106">
        <v>3733534004.2933998</v>
      </c>
      <c r="L31" s="106">
        <v>757797013.51110005</v>
      </c>
      <c r="M31" s="106">
        <v>198581804.27630001</v>
      </c>
      <c r="N31" s="106">
        <v>134287169.72600001</v>
      </c>
      <c r="O31" s="106">
        <f t="shared" si="8"/>
        <v>67143584.863000005</v>
      </c>
      <c r="P31" s="106">
        <f t="shared" si="2"/>
        <v>67143584.863000005</v>
      </c>
      <c r="Q31" s="106">
        <v>6903396612.7734003</v>
      </c>
      <c r="R31" s="106">
        <v>0</v>
      </c>
      <c r="S31" s="106">
        <f t="shared" si="3"/>
        <v>6903396612.7734003</v>
      </c>
      <c r="T31" s="117">
        <f t="shared" si="4"/>
        <v>12085524493.546196</v>
      </c>
      <c r="U31" s="118">
        <f t="shared" si="5"/>
        <v>10999973536.273195</v>
      </c>
      <c r="V31" s="103">
        <v>22</v>
      </c>
      <c r="AI31" s="100">
        <v>0</v>
      </c>
    </row>
    <row r="32" spans="1:35" ht="30" customHeight="1">
      <c r="A32" s="103">
        <v>23</v>
      </c>
      <c r="B32" s="104" t="s">
        <v>108</v>
      </c>
      <c r="C32" s="108">
        <v>16</v>
      </c>
      <c r="D32" s="106">
        <v>288273771.03867501</v>
      </c>
      <c r="E32" s="106">
        <v>0</v>
      </c>
      <c r="F32" s="107">
        <f t="shared" si="0"/>
        <v>288273771.03867501</v>
      </c>
      <c r="G32" s="106">
        <v>453776051.43000001</v>
      </c>
      <c r="H32" s="106">
        <v>559212440.21000004</v>
      </c>
      <c r="I32" s="106">
        <f>1232436112.75-H32-G32</f>
        <v>219447621.10999995</v>
      </c>
      <c r="J32" s="106">
        <f t="shared" si="1"/>
        <v>-944162341.71132493</v>
      </c>
      <c r="K32" s="106">
        <v>3006974197.5876002</v>
      </c>
      <c r="L32" s="106">
        <v>610326854.93649995</v>
      </c>
      <c r="M32" s="106">
        <v>187039883.81659999</v>
      </c>
      <c r="N32" s="106">
        <v>108154379.72939999</v>
      </c>
      <c r="O32" s="106">
        <f t="shared" si="8"/>
        <v>54077189.864699997</v>
      </c>
      <c r="P32" s="106">
        <f t="shared" si="2"/>
        <v>54077189.864699997</v>
      </c>
      <c r="Q32" s="106">
        <v>6407625670.8390999</v>
      </c>
      <c r="R32" s="106">
        <v>0</v>
      </c>
      <c r="S32" s="106">
        <f t="shared" si="3"/>
        <v>6407625670.8390999</v>
      </c>
      <c r="T32" s="117">
        <f t="shared" si="4"/>
        <v>10608394757.947876</v>
      </c>
      <c r="U32" s="118">
        <f t="shared" si="5"/>
        <v>9321881455.3331757</v>
      </c>
      <c r="V32" s="103">
        <v>23</v>
      </c>
      <c r="AI32" s="100">
        <v>0</v>
      </c>
    </row>
    <row r="33" spans="1:35" ht="30" customHeight="1">
      <c r="A33" s="103">
        <v>24</v>
      </c>
      <c r="B33" s="104" t="s">
        <v>109</v>
      </c>
      <c r="C33" s="108">
        <v>20</v>
      </c>
      <c r="D33" s="106">
        <v>433836086.17949098</v>
      </c>
      <c r="E33" s="106">
        <v>0</v>
      </c>
      <c r="F33" s="107">
        <f t="shared" si="0"/>
        <v>433836086.17949098</v>
      </c>
      <c r="G33" s="106">
        <v>6931766965.6199999</v>
      </c>
      <c r="H33" s="106">
        <v>0</v>
      </c>
      <c r="I33" s="106">
        <f>6943780888.01-H33-G33</f>
        <v>12013922.390000343</v>
      </c>
      <c r="J33" s="106">
        <f t="shared" si="1"/>
        <v>-6509944801.8305092</v>
      </c>
      <c r="K33" s="106">
        <v>4525329905.7507</v>
      </c>
      <c r="L33" s="106">
        <v>918508170.48619998</v>
      </c>
      <c r="M33" s="106">
        <v>788265022.52960002</v>
      </c>
      <c r="N33" s="106">
        <v>162766361.4208</v>
      </c>
      <c r="O33" s="106">
        <v>0</v>
      </c>
      <c r="P33" s="106">
        <f t="shared" si="2"/>
        <v>162766361.4208</v>
      </c>
      <c r="Q33" s="106">
        <v>39669779185.730003</v>
      </c>
      <c r="R33" s="106">
        <v>7667853446.5</v>
      </c>
      <c r="S33" s="106">
        <f t="shared" si="3"/>
        <v>32001925739.230003</v>
      </c>
      <c r="T33" s="117">
        <f t="shared" si="4"/>
        <v>46498484732.096794</v>
      </c>
      <c r="U33" s="118">
        <f t="shared" si="5"/>
        <v>31886850397.586792</v>
      </c>
      <c r="V33" s="103">
        <v>24</v>
      </c>
      <c r="AI33" s="100">
        <v>0</v>
      </c>
    </row>
    <row r="34" spans="1:35" ht="30" customHeight="1">
      <c r="A34" s="103">
        <v>25</v>
      </c>
      <c r="B34" s="104" t="s">
        <v>110</v>
      </c>
      <c r="C34" s="108">
        <v>13</v>
      </c>
      <c r="D34" s="106">
        <v>298652246.22571898</v>
      </c>
      <c r="E34" s="106">
        <v>0</v>
      </c>
      <c r="F34" s="107">
        <f t="shared" si="0"/>
        <v>298652246.22571898</v>
      </c>
      <c r="G34" s="106">
        <v>460734705.08999997</v>
      </c>
      <c r="H34" s="106">
        <v>0</v>
      </c>
      <c r="I34" s="106">
        <f>469005074.99-H34-G34</f>
        <v>8270369.9000000358</v>
      </c>
      <c r="J34" s="106">
        <f t="shared" si="1"/>
        <v>-170352828.76428103</v>
      </c>
      <c r="K34" s="106">
        <v>3115231729.9513001</v>
      </c>
      <c r="L34" s="106">
        <v>632299933.15690005</v>
      </c>
      <c r="M34" s="106">
        <v>173677556.4973</v>
      </c>
      <c r="N34" s="106">
        <v>112048169.79700001</v>
      </c>
      <c r="O34" s="106">
        <v>113199713.2044</v>
      </c>
      <c r="P34" s="106">
        <f t="shared" si="2"/>
        <v>-1151543.4073999971</v>
      </c>
      <c r="Q34" s="106">
        <v>5806301667.5616999</v>
      </c>
      <c r="R34" s="106">
        <v>0</v>
      </c>
      <c r="S34" s="106">
        <f t="shared" si="3"/>
        <v>5806301667.5616999</v>
      </c>
      <c r="T34" s="117">
        <f t="shared" si="4"/>
        <v>10138211303.18992</v>
      </c>
      <c r="U34" s="118">
        <f t="shared" si="5"/>
        <v>9556006514.9955196</v>
      </c>
      <c r="V34" s="103">
        <v>25</v>
      </c>
      <c r="AI34" s="100">
        <v>0</v>
      </c>
    </row>
    <row r="35" spans="1:35" ht="30" customHeight="1">
      <c r="A35" s="103">
        <v>26</v>
      </c>
      <c r="B35" s="104" t="s">
        <v>111</v>
      </c>
      <c r="C35" s="108">
        <v>25</v>
      </c>
      <c r="D35" s="106">
        <v>383605513.07924402</v>
      </c>
      <c r="E35" s="106">
        <v>0</v>
      </c>
      <c r="F35" s="107">
        <f t="shared" si="0"/>
        <v>383605513.07924402</v>
      </c>
      <c r="G35" s="106">
        <v>760084178.89999998</v>
      </c>
      <c r="H35" s="106">
        <v>514281002.97000003</v>
      </c>
      <c r="I35" s="106">
        <f>1818905130.83-H35-G35</f>
        <v>544539948.95999992</v>
      </c>
      <c r="J35" s="106">
        <f t="shared" si="1"/>
        <v>-1435299617.7507558</v>
      </c>
      <c r="K35" s="106">
        <v>4001376454.4895</v>
      </c>
      <c r="L35" s="106">
        <v>812161111.60720003</v>
      </c>
      <c r="M35" s="106">
        <v>216328078.90830001</v>
      </c>
      <c r="N35" s="106">
        <v>143920885.2696</v>
      </c>
      <c r="O35" s="106">
        <f t="shared" ref="O35:O37" si="9">N35/2</f>
        <v>71960442.634800002</v>
      </c>
      <c r="P35" s="106">
        <f t="shared" si="2"/>
        <v>71960442.634800002</v>
      </c>
      <c r="Q35" s="106">
        <v>8106709670.5616999</v>
      </c>
      <c r="R35" s="106">
        <v>0</v>
      </c>
      <c r="S35" s="106">
        <f t="shared" si="3"/>
        <v>8106709670.5616999</v>
      </c>
      <c r="T35" s="117">
        <f t="shared" si="4"/>
        <v>13664101713.915545</v>
      </c>
      <c r="U35" s="118">
        <f t="shared" si="5"/>
        <v>11773236140.450745</v>
      </c>
      <c r="V35" s="103">
        <v>26</v>
      </c>
      <c r="AI35" s="100">
        <v>0</v>
      </c>
    </row>
    <row r="36" spans="1:35" ht="30" customHeight="1">
      <c r="A36" s="103">
        <v>27</v>
      </c>
      <c r="B36" s="104" t="s">
        <v>112</v>
      </c>
      <c r="C36" s="108">
        <v>20</v>
      </c>
      <c r="D36" s="106">
        <v>300870336.985412</v>
      </c>
      <c r="E36" s="106">
        <v>0</v>
      </c>
      <c r="F36" s="107">
        <f t="shared" si="0"/>
        <v>300870336.985412</v>
      </c>
      <c r="G36" s="106">
        <v>1406692479.79</v>
      </c>
      <c r="H36" s="106">
        <v>500000000</v>
      </c>
      <c r="I36" s="106">
        <f>3526926169.86-H36-G36</f>
        <v>1620233690.0700002</v>
      </c>
      <c r="J36" s="106">
        <f t="shared" si="1"/>
        <v>-3226055832.874588</v>
      </c>
      <c r="K36" s="106">
        <v>3138368561.5029998</v>
      </c>
      <c r="L36" s="106">
        <v>636996025.87619996</v>
      </c>
      <c r="M36" s="106">
        <v>254222629.57409999</v>
      </c>
      <c r="N36" s="106">
        <v>112880351.7516</v>
      </c>
      <c r="O36" s="106">
        <v>0</v>
      </c>
      <c r="P36" s="106">
        <f t="shared" si="2"/>
        <v>112880351.7516</v>
      </c>
      <c r="Q36" s="106">
        <v>7236132720.6457005</v>
      </c>
      <c r="R36" s="106">
        <v>0</v>
      </c>
      <c r="S36" s="106">
        <f t="shared" si="3"/>
        <v>7236132720.6457005</v>
      </c>
      <c r="T36" s="117">
        <f t="shared" si="4"/>
        <v>11679470626.336012</v>
      </c>
      <c r="U36" s="118">
        <f t="shared" si="5"/>
        <v>8152544456.4760122</v>
      </c>
      <c r="V36" s="103">
        <v>27</v>
      </c>
      <c r="AI36" s="100">
        <v>0</v>
      </c>
    </row>
    <row r="37" spans="1:35" ht="30" customHeight="1">
      <c r="A37" s="103">
        <v>28</v>
      </c>
      <c r="B37" s="104" t="s">
        <v>113</v>
      </c>
      <c r="C37" s="108">
        <v>18</v>
      </c>
      <c r="D37" s="106">
        <v>301466394.818398</v>
      </c>
      <c r="E37" s="106">
        <v>1425612883.8425</v>
      </c>
      <c r="F37" s="107">
        <f t="shared" si="0"/>
        <v>1727079278.660898</v>
      </c>
      <c r="G37" s="106">
        <v>651616895.57000005</v>
      </c>
      <c r="H37" s="106">
        <v>644248762.91999996</v>
      </c>
      <c r="I37" s="106">
        <f>1359503524.09-H37-G37</f>
        <v>63637865.599999905</v>
      </c>
      <c r="J37" s="106">
        <f t="shared" si="1"/>
        <v>367575754.57089818</v>
      </c>
      <c r="K37" s="106">
        <v>5053807213.5585003</v>
      </c>
      <c r="L37" s="106">
        <v>638257986.3427</v>
      </c>
      <c r="M37" s="106">
        <v>216862389.05790001</v>
      </c>
      <c r="N37" s="106">
        <v>113103980.3706</v>
      </c>
      <c r="O37" s="106">
        <f t="shared" si="9"/>
        <v>56551990.1853</v>
      </c>
      <c r="P37" s="106">
        <f t="shared" si="2"/>
        <v>56551990.1853</v>
      </c>
      <c r="Q37" s="106">
        <v>6851621005.6379995</v>
      </c>
      <c r="R37" s="106">
        <v>0</v>
      </c>
      <c r="S37" s="106">
        <f t="shared" si="3"/>
        <v>6851621005.6379995</v>
      </c>
      <c r="T37" s="117">
        <f t="shared" si="4"/>
        <v>14600731853.628597</v>
      </c>
      <c r="U37" s="118">
        <f t="shared" si="5"/>
        <v>13184676339.353298</v>
      </c>
      <c r="V37" s="103">
        <v>28</v>
      </c>
      <c r="AI37" s="100">
        <v>0</v>
      </c>
    </row>
    <row r="38" spans="1:35" ht="30" customHeight="1">
      <c r="A38" s="103">
        <v>29</v>
      </c>
      <c r="B38" s="104" t="s">
        <v>114</v>
      </c>
      <c r="C38" s="108">
        <v>30</v>
      </c>
      <c r="D38" s="106">
        <v>295354785.673922</v>
      </c>
      <c r="E38" s="106">
        <v>0</v>
      </c>
      <c r="F38" s="107">
        <f t="shared" si="0"/>
        <v>295354785.673922</v>
      </c>
      <c r="G38" s="106">
        <v>1091555818.99</v>
      </c>
      <c r="H38" s="106">
        <v>0</v>
      </c>
      <c r="I38" s="106">
        <f>2242005818.6-H38-G38</f>
        <v>1150449999.6099999</v>
      </c>
      <c r="J38" s="106">
        <f t="shared" si="1"/>
        <v>-1946651032.9260778</v>
      </c>
      <c r="K38" s="106">
        <v>3080836027.7013001</v>
      </c>
      <c r="L38" s="106">
        <v>625318622.57650006</v>
      </c>
      <c r="M38" s="106">
        <v>214693167.51460001</v>
      </c>
      <c r="N38" s="106">
        <v>110811030.5341</v>
      </c>
      <c r="O38" s="106">
        <v>0</v>
      </c>
      <c r="P38" s="106">
        <f t="shared" si="2"/>
        <v>110811030.5341</v>
      </c>
      <c r="Q38" s="106">
        <v>7411887987.9575996</v>
      </c>
      <c r="R38" s="106">
        <v>0</v>
      </c>
      <c r="S38" s="106">
        <f t="shared" si="3"/>
        <v>7411887987.9575996</v>
      </c>
      <c r="T38" s="117">
        <f t="shared" si="4"/>
        <v>11738901621.958021</v>
      </c>
      <c r="U38" s="118">
        <f t="shared" si="5"/>
        <v>9496895803.3580227</v>
      </c>
      <c r="V38" s="103">
        <v>29</v>
      </c>
      <c r="AI38" s="100">
        <v>0</v>
      </c>
    </row>
    <row r="39" spans="1:35" ht="30" customHeight="1">
      <c r="A39" s="103">
        <v>30</v>
      </c>
      <c r="B39" s="104" t="s">
        <v>115</v>
      </c>
      <c r="C39" s="108">
        <v>33</v>
      </c>
      <c r="D39" s="106">
        <v>363228355.04521698</v>
      </c>
      <c r="E39" s="106">
        <v>0</v>
      </c>
      <c r="F39" s="107">
        <f t="shared" si="0"/>
        <v>363228355.04521698</v>
      </c>
      <c r="G39" s="106">
        <v>2117344253.8</v>
      </c>
      <c r="H39" s="106">
        <v>0</v>
      </c>
      <c r="I39" s="106">
        <f>3492845622.98-H39-G39</f>
        <v>1375501369.1800001</v>
      </c>
      <c r="J39" s="106">
        <f t="shared" si="1"/>
        <v>-3129617267.934783</v>
      </c>
      <c r="K39" s="106">
        <v>3788822991.1377001</v>
      </c>
      <c r="L39" s="106">
        <v>769019043.11230004</v>
      </c>
      <c r="M39" s="106">
        <v>348946871.99760002</v>
      </c>
      <c r="N39" s="106">
        <v>136275795.39590001</v>
      </c>
      <c r="O39" s="106">
        <v>0</v>
      </c>
      <c r="P39" s="106">
        <f t="shared" si="2"/>
        <v>136275795.39590001</v>
      </c>
      <c r="Q39" s="106">
        <v>11747678298.676399</v>
      </c>
      <c r="R39" s="106">
        <v>0</v>
      </c>
      <c r="S39" s="106">
        <f t="shared" si="3"/>
        <v>11747678298.676399</v>
      </c>
      <c r="T39" s="117">
        <f t="shared" si="4"/>
        <v>17153971355.365116</v>
      </c>
      <c r="U39" s="118">
        <f t="shared" si="5"/>
        <v>13661125732.385117</v>
      </c>
      <c r="V39" s="103">
        <v>30</v>
      </c>
      <c r="AI39" s="100">
        <v>0</v>
      </c>
    </row>
    <row r="40" spans="1:35" ht="30" customHeight="1">
      <c r="A40" s="103">
        <v>31</v>
      </c>
      <c r="B40" s="104" t="s">
        <v>116</v>
      </c>
      <c r="C40" s="108">
        <v>17</v>
      </c>
      <c r="D40" s="106">
        <v>338177568.33347303</v>
      </c>
      <c r="E40" s="106">
        <v>0</v>
      </c>
      <c r="F40" s="107">
        <f t="shared" si="0"/>
        <v>338177568.33347303</v>
      </c>
      <c r="G40" s="106">
        <v>350391783.98000002</v>
      </c>
      <c r="H40" s="106">
        <v>1031399422.965</v>
      </c>
      <c r="I40" s="106">
        <f>2030662881.89-H40-G40</f>
        <v>648871674.94500005</v>
      </c>
      <c r="J40" s="106">
        <f t="shared" si="1"/>
        <v>-1692485313.5565271</v>
      </c>
      <c r="K40" s="106">
        <v>3527519061.1968999</v>
      </c>
      <c r="L40" s="106">
        <v>715982071.3046</v>
      </c>
      <c r="M40" s="106">
        <v>205105140.1751</v>
      </c>
      <c r="N40" s="106">
        <v>126877256.3307</v>
      </c>
      <c r="O40" s="106">
        <f t="shared" ref="O40:O41" si="10">N40/2</f>
        <v>63438628.165349998</v>
      </c>
      <c r="P40" s="106">
        <f t="shared" si="2"/>
        <v>63438628.165349998</v>
      </c>
      <c r="Q40" s="106">
        <v>6773221632.5503998</v>
      </c>
      <c r="R40" s="106">
        <v>0</v>
      </c>
      <c r="S40" s="106">
        <f t="shared" si="3"/>
        <v>6773221632.5503998</v>
      </c>
      <c r="T40" s="117">
        <f t="shared" si="4"/>
        <v>11686882729.891172</v>
      </c>
      <c r="U40" s="118">
        <f t="shared" si="5"/>
        <v>9592781219.8358231</v>
      </c>
      <c r="V40" s="103">
        <v>31</v>
      </c>
      <c r="AI40" s="100">
        <v>0</v>
      </c>
    </row>
    <row r="41" spans="1:35" ht="30" customHeight="1">
      <c r="A41" s="103">
        <v>32</v>
      </c>
      <c r="B41" s="104" t="s">
        <v>117</v>
      </c>
      <c r="C41" s="108">
        <v>23</v>
      </c>
      <c r="D41" s="106">
        <v>349257407.37145197</v>
      </c>
      <c r="E41" s="106">
        <v>12263628735.4044</v>
      </c>
      <c r="F41" s="107">
        <f t="shared" si="0"/>
        <v>12612886142.775852</v>
      </c>
      <c r="G41" s="106">
        <v>3566421490.3400002</v>
      </c>
      <c r="H41" s="106">
        <v>0</v>
      </c>
      <c r="I41" s="106">
        <f>4887325689.07-H41-G41</f>
        <v>1320904198.7299995</v>
      </c>
      <c r="J41" s="106">
        <f t="shared" si="1"/>
        <v>7725560453.7058525</v>
      </c>
      <c r="K41" s="106">
        <v>16741904550.3682</v>
      </c>
      <c r="L41" s="106">
        <v>739440061.56449997</v>
      </c>
      <c r="M41" s="106">
        <v>294776226.37410003</v>
      </c>
      <c r="N41" s="106">
        <v>131034183.6654</v>
      </c>
      <c r="O41" s="106">
        <f t="shared" si="10"/>
        <v>65517091.832699999</v>
      </c>
      <c r="P41" s="106">
        <f t="shared" si="2"/>
        <v>65517091.832699999</v>
      </c>
      <c r="Q41" s="106">
        <v>18998497594.0653</v>
      </c>
      <c r="R41" s="106">
        <v>0</v>
      </c>
      <c r="S41" s="106">
        <f t="shared" si="3"/>
        <v>18998497594.0653</v>
      </c>
      <c r="T41" s="117">
        <f t="shared" si="4"/>
        <v>49518538758.813354</v>
      </c>
      <c r="U41" s="118">
        <f t="shared" si="5"/>
        <v>44565695977.910645</v>
      </c>
      <c r="V41" s="103">
        <v>32</v>
      </c>
      <c r="AI41" s="100">
        <v>0</v>
      </c>
    </row>
    <row r="42" spans="1:35" ht="30" customHeight="1">
      <c r="A42" s="103">
        <v>33</v>
      </c>
      <c r="B42" s="104" t="s">
        <v>118</v>
      </c>
      <c r="C42" s="108">
        <v>23</v>
      </c>
      <c r="D42" s="106">
        <v>356909363.79677403</v>
      </c>
      <c r="E42" s="106">
        <v>0</v>
      </c>
      <c r="F42" s="107">
        <f t="shared" si="0"/>
        <v>356909363.79677403</v>
      </c>
      <c r="G42" s="106">
        <v>348738528.24000001</v>
      </c>
      <c r="H42" s="106">
        <v>206017834</v>
      </c>
      <c r="I42" s="106">
        <f>1297134318.41-H42-G42</f>
        <v>742377956.17000008</v>
      </c>
      <c r="J42" s="106">
        <f t="shared" si="1"/>
        <v>-940224954.61322606</v>
      </c>
      <c r="K42" s="106">
        <v>3722909801.8466001</v>
      </c>
      <c r="L42" s="106">
        <v>755640614.54009998</v>
      </c>
      <c r="M42" s="106">
        <v>203554742.17030001</v>
      </c>
      <c r="N42" s="106">
        <v>133905040.06649999</v>
      </c>
      <c r="O42" s="106">
        <v>0</v>
      </c>
      <c r="P42" s="106">
        <f t="shared" si="2"/>
        <v>133905040.06649999</v>
      </c>
      <c r="Q42" s="106">
        <v>7491160965.6535997</v>
      </c>
      <c r="R42" s="106">
        <v>0</v>
      </c>
      <c r="S42" s="106">
        <f t="shared" si="3"/>
        <v>7491160965.6535997</v>
      </c>
      <c r="T42" s="117">
        <f t="shared" si="4"/>
        <v>12664080528.073874</v>
      </c>
      <c r="U42" s="118">
        <f t="shared" si="5"/>
        <v>11366946209.663874</v>
      </c>
      <c r="V42" s="103">
        <v>33</v>
      </c>
      <c r="AI42" s="100">
        <v>0</v>
      </c>
    </row>
    <row r="43" spans="1:35" ht="30" customHeight="1">
      <c r="A43" s="103">
        <v>34</v>
      </c>
      <c r="B43" s="104" t="s">
        <v>119</v>
      </c>
      <c r="C43" s="108">
        <v>16</v>
      </c>
      <c r="D43" s="106">
        <v>311953695.95827103</v>
      </c>
      <c r="E43" s="106">
        <v>0</v>
      </c>
      <c r="F43" s="107">
        <f t="shared" si="0"/>
        <v>311953695.95827103</v>
      </c>
      <c r="G43" s="106">
        <v>300292543.88</v>
      </c>
      <c r="H43" s="106">
        <v>0</v>
      </c>
      <c r="I43" s="106">
        <f>534831145.85-H43-G43</f>
        <v>234538601.97000003</v>
      </c>
      <c r="J43" s="106">
        <f t="shared" si="1"/>
        <v>-222877449.891729</v>
      </c>
      <c r="K43" s="106">
        <v>3253978713.3944998</v>
      </c>
      <c r="L43" s="106">
        <v>660461468.46459997</v>
      </c>
      <c r="M43" s="106">
        <v>172132052.66850001</v>
      </c>
      <c r="N43" s="106">
        <v>117038599.69329999</v>
      </c>
      <c r="O43" s="106">
        <v>118241430.83400001</v>
      </c>
      <c r="P43" s="106">
        <f t="shared" si="2"/>
        <v>-1202831.1407000124</v>
      </c>
      <c r="Q43" s="106">
        <v>6200371254.2470999</v>
      </c>
      <c r="R43" s="106">
        <v>0</v>
      </c>
      <c r="S43" s="106">
        <f t="shared" si="3"/>
        <v>6200371254.2470999</v>
      </c>
      <c r="T43" s="117">
        <f t="shared" si="4"/>
        <v>10715935784.42627</v>
      </c>
      <c r="U43" s="118">
        <f t="shared" si="5"/>
        <v>10062863207.742271</v>
      </c>
      <c r="V43" s="103">
        <v>34</v>
      </c>
      <c r="AI43" s="100">
        <v>0</v>
      </c>
    </row>
    <row r="44" spans="1:35" ht="30" customHeight="1">
      <c r="A44" s="103">
        <v>35</v>
      </c>
      <c r="B44" s="104" t="s">
        <v>120</v>
      </c>
      <c r="C44" s="108">
        <v>17</v>
      </c>
      <c r="D44" s="106">
        <v>321584215.196392</v>
      </c>
      <c r="E44" s="106">
        <v>0</v>
      </c>
      <c r="F44" s="107">
        <f t="shared" si="0"/>
        <v>321584215.196392</v>
      </c>
      <c r="G44" s="106">
        <v>272113970.52999997</v>
      </c>
      <c r="H44" s="106">
        <v>0</v>
      </c>
      <c r="I44" s="106">
        <f>942814253.98-H44-G44</f>
        <v>670700283.45000005</v>
      </c>
      <c r="J44" s="106">
        <f t="shared" si="1"/>
        <v>-621230038.78360796</v>
      </c>
      <c r="K44" s="106">
        <v>3354434341.9198999</v>
      </c>
      <c r="L44" s="106">
        <v>680850990.88569999</v>
      </c>
      <c r="M44" s="106">
        <v>172739443.33419999</v>
      </c>
      <c r="N44" s="106">
        <v>120651772.0985</v>
      </c>
      <c r="O44" s="106">
        <v>0</v>
      </c>
      <c r="P44" s="106">
        <f t="shared" si="2"/>
        <v>120651772.0985</v>
      </c>
      <c r="Q44" s="106">
        <v>6307626205.8014002</v>
      </c>
      <c r="R44" s="106">
        <v>0</v>
      </c>
      <c r="S44" s="106">
        <f t="shared" si="3"/>
        <v>6307626205.8014002</v>
      </c>
      <c r="T44" s="117">
        <f t="shared" si="4"/>
        <v>10957886969.236092</v>
      </c>
      <c r="U44" s="118">
        <f t="shared" si="5"/>
        <v>10015072715.256092</v>
      </c>
      <c r="V44" s="103">
        <v>35</v>
      </c>
      <c r="AI44" s="100">
        <v>0</v>
      </c>
    </row>
    <row r="45" spans="1:35" ht="30" customHeight="1">
      <c r="A45" s="103">
        <v>36</v>
      </c>
      <c r="B45" s="104" t="s">
        <v>121</v>
      </c>
      <c r="C45" s="108">
        <v>14</v>
      </c>
      <c r="D45" s="106">
        <v>322269095.673877</v>
      </c>
      <c r="E45" s="106">
        <v>0</v>
      </c>
      <c r="F45" s="107">
        <f t="shared" si="0"/>
        <v>322269095.673877</v>
      </c>
      <c r="G45" s="106">
        <v>303391312.60000002</v>
      </c>
      <c r="H45" s="106">
        <v>422213140</v>
      </c>
      <c r="I45" s="106">
        <f>1092093620.22-H45-G45</f>
        <v>366489167.62</v>
      </c>
      <c r="J45" s="106">
        <f t="shared" si="1"/>
        <v>-769824524.54612303</v>
      </c>
      <c r="K45" s="106">
        <v>3361578307.5942998</v>
      </c>
      <c r="L45" s="106">
        <v>682301004.69140005</v>
      </c>
      <c r="M45" s="106">
        <v>188838396.69060001</v>
      </c>
      <c r="N45" s="106">
        <v>120908725.1435</v>
      </c>
      <c r="O45" s="106">
        <v>0</v>
      </c>
      <c r="P45" s="106">
        <f t="shared" si="2"/>
        <v>120908725.1435</v>
      </c>
      <c r="Q45" s="106">
        <v>6772299616.7514</v>
      </c>
      <c r="R45" s="106">
        <v>0</v>
      </c>
      <c r="S45" s="106">
        <f t="shared" si="3"/>
        <v>6772299616.7514</v>
      </c>
      <c r="T45" s="117">
        <f t="shared" si="4"/>
        <v>11448195146.545076</v>
      </c>
      <c r="U45" s="118">
        <f t="shared" si="5"/>
        <v>10356101526.325077</v>
      </c>
      <c r="V45" s="103">
        <v>36</v>
      </c>
      <c r="AI45" s="100">
        <v>0</v>
      </c>
    </row>
    <row r="46" spans="1:35" ht="30" customHeight="1">
      <c r="A46" s="103"/>
      <c r="B46" s="172" t="s">
        <v>28</v>
      </c>
      <c r="C46" s="172"/>
      <c r="D46" s="109">
        <f t="shared" ref="D46:U46" si="11">SUM(D10:D45)</f>
        <v>12280498533.503681</v>
      </c>
      <c r="E46" s="109">
        <f t="shared" si="11"/>
        <v>59085879410.428101</v>
      </c>
      <c r="F46" s="109">
        <f t="shared" si="11"/>
        <v>71366377943.931763</v>
      </c>
      <c r="G46" s="109">
        <f t="shared" si="11"/>
        <v>40091763915.980003</v>
      </c>
      <c r="H46" s="109">
        <f t="shared" si="11"/>
        <v>8567965890.2650003</v>
      </c>
      <c r="I46" s="109">
        <f t="shared" si="11"/>
        <v>20257593328.275002</v>
      </c>
      <c r="J46" s="109">
        <f t="shared" si="11"/>
        <v>2449054809.4117751</v>
      </c>
      <c r="K46" s="109">
        <f t="shared" si="11"/>
        <v>201415059244.30005</v>
      </c>
      <c r="L46" s="109">
        <f t="shared" si="11"/>
        <v>26000000000.000198</v>
      </c>
      <c r="M46" s="109">
        <f t="shared" si="11"/>
        <v>8555394975.8397999</v>
      </c>
      <c r="N46" s="109">
        <f t="shared" si="11"/>
        <v>4607390040.6342001</v>
      </c>
      <c r="O46" s="109">
        <f t="shared" si="11"/>
        <v>1433317970.4860501</v>
      </c>
      <c r="P46" s="109">
        <f t="shared" si="11"/>
        <v>3174072070.1481495</v>
      </c>
      <c r="Q46" s="109">
        <f t="shared" si="11"/>
        <v>311156275196.29248</v>
      </c>
      <c r="R46" s="109">
        <f t="shared" si="11"/>
        <v>7667853446.5</v>
      </c>
      <c r="S46" s="109">
        <f t="shared" si="11"/>
        <v>303488421749.79248</v>
      </c>
      <c r="T46" s="109">
        <f t="shared" si="11"/>
        <v>623100497400.99829</v>
      </c>
      <c r="U46" s="109">
        <f t="shared" si="11"/>
        <v>545082002849.49243</v>
      </c>
      <c r="V46" s="109"/>
    </row>
    <row r="47" spans="1:35">
      <c r="B47" s="110"/>
      <c r="C47" s="91"/>
      <c r="D47" s="92"/>
      <c r="E47" s="111"/>
      <c r="F47" s="91"/>
      <c r="G47" s="92"/>
      <c r="H47" s="92"/>
      <c r="I47" s="92"/>
      <c r="J47" s="114"/>
      <c r="K47" s="115"/>
      <c r="L47" s="115"/>
      <c r="M47" s="115"/>
      <c r="N47" s="111"/>
      <c r="O47" s="111"/>
      <c r="P47" s="111"/>
      <c r="Q47" s="111"/>
      <c r="R47" s="111"/>
      <c r="S47" s="111"/>
      <c r="T47" s="100"/>
    </row>
    <row r="48" spans="1:35">
      <c r="B48" s="91"/>
      <c r="C48" s="91"/>
      <c r="D48" s="91"/>
      <c r="E48" s="91"/>
      <c r="F48" s="91"/>
      <c r="G48" s="91"/>
      <c r="H48" s="91"/>
      <c r="I48" s="92"/>
      <c r="J48" s="92"/>
      <c r="K48" s="92"/>
      <c r="L48" s="92"/>
      <c r="M48" s="92"/>
      <c r="N48" s="116"/>
      <c r="O48" s="116"/>
      <c r="P48" s="116"/>
      <c r="Q48" s="110"/>
      <c r="R48" s="110"/>
      <c r="S48" s="116"/>
    </row>
    <row r="49" spans="1:21">
      <c r="G49" s="84"/>
      <c r="H49" s="98"/>
      <c r="I49" s="100"/>
      <c r="J49" s="84"/>
      <c r="K49" s="84"/>
      <c r="L49" s="84"/>
      <c r="M49" s="84"/>
      <c r="S49" s="84"/>
      <c r="U49" s="100"/>
    </row>
    <row r="50" spans="1:21">
      <c r="C50" s="112"/>
      <c r="D50" s="98"/>
      <c r="E50" s="100"/>
      <c r="H50" s="84"/>
      <c r="I50" s="100"/>
      <c r="J50" s="98"/>
      <c r="K50" s="98"/>
      <c r="L50" s="98"/>
      <c r="M50" s="98"/>
      <c r="N50" s="98"/>
      <c r="P50" s="98"/>
      <c r="T50" s="84"/>
      <c r="U50" s="84"/>
    </row>
    <row r="51" spans="1:21">
      <c r="C51" s="112"/>
      <c r="D51" s="98"/>
      <c r="H51" s="84"/>
      <c r="J51" s="100"/>
      <c r="K51" s="100"/>
      <c r="L51" s="100"/>
      <c r="M51" s="100"/>
      <c r="P51" s="84"/>
      <c r="U51" s="84"/>
    </row>
    <row r="52" spans="1:21">
      <c r="D52" s="84"/>
      <c r="H52" s="84"/>
      <c r="S52" s="84"/>
    </row>
    <row r="54" spans="1:21" ht="20.25">
      <c r="A54" s="113" t="s">
        <v>56</v>
      </c>
    </row>
  </sheetData>
  <mergeCells count="26">
    <mergeCell ref="A1:V1"/>
    <mergeCell ref="A2:V2"/>
    <mergeCell ref="A3:V3"/>
    <mergeCell ref="A4:U4"/>
    <mergeCell ref="D5:U5"/>
    <mergeCell ref="G7:I7"/>
    <mergeCell ref="B46:C46"/>
    <mergeCell ref="A7:A8"/>
    <mergeCell ref="B7:B8"/>
    <mergeCell ref="C7:C8"/>
    <mergeCell ref="D7:D8"/>
    <mergeCell ref="E7:E8"/>
    <mergeCell ref="F7:F8"/>
    <mergeCell ref="J7:J8"/>
    <mergeCell ref="K7:K8"/>
    <mergeCell ref="L7:L8"/>
    <mergeCell ref="M7:M8"/>
    <mergeCell ref="N7:N8"/>
    <mergeCell ref="T7:T8"/>
    <mergeCell ref="U7:U8"/>
    <mergeCell ref="V7:V8"/>
    <mergeCell ref="O7:O8"/>
    <mergeCell ref="P7:P8"/>
    <mergeCell ref="Q7:Q8"/>
    <mergeCell ref="R7:R8"/>
    <mergeCell ref="S7:S8"/>
  </mergeCells>
  <pageMargins left="0.109722222222222" right="0.109722222222222" top="0.35763888888888901" bottom="0.35763888888888901" header="0.29861111111111099" footer="0.29861111111111099"/>
  <pageSetup paperSize="9" scale="3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19"/>
  <sheetViews>
    <sheetView topLeftCell="K4" workbookViewId="0">
      <pane ySplit="3" topLeftCell="A406" activePane="bottomLeft" state="frozen"/>
      <selection pane="bottomLeft" activeCell="V416" sqref="V416"/>
    </sheetView>
  </sheetViews>
  <sheetFormatPr defaultColWidth="9.1328125" defaultRowHeight="13.15"/>
  <cols>
    <col min="1" max="1" width="9.33203125" style="63" customWidth="1"/>
    <col min="2" max="2" width="13.86328125" style="64" customWidth="1"/>
    <col min="3" max="3" width="9" style="63" customWidth="1"/>
    <col min="4" max="4" width="20.6640625" style="63" customWidth="1"/>
    <col min="5" max="5" width="19.86328125" style="63" customWidth="1"/>
    <col min="6" max="6" width="19.86328125" style="63" hidden="1" customWidth="1"/>
    <col min="7" max="12" width="19.86328125" style="63" customWidth="1"/>
    <col min="13" max="13" width="18.46484375" style="63" customWidth="1"/>
    <col min="14" max="14" width="19.6640625" style="63" customWidth="1"/>
    <col min="15" max="15" width="0.6640625" style="63" customWidth="1"/>
    <col min="16" max="16" width="4.6640625" style="63" customWidth="1"/>
    <col min="17" max="17" width="9.46484375" style="63" customWidth="1"/>
    <col min="18" max="18" width="17.86328125" style="64" customWidth="1"/>
    <col min="19" max="19" width="22.6640625" style="63" customWidth="1"/>
    <col min="20" max="20" width="21.86328125" style="63" customWidth="1"/>
    <col min="21" max="21" width="21.86328125" style="63" hidden="1" customWidth="1"/>
    <col min="22" max="24" width="21.86328125" style="63" customWidth="1"/>
    <col min="25" max="27" width="18.53125" style="63" customWidth="1"/>
    <col min="28" max="28" width="22.1328125" style="63" customWidth="1"/>
    <col min="29" max="29" width="20.6640625" style="63" customWidth="1"/>
    <col min="30" max="30" width="14.53125" style="63" customWidth="1"/>
    <col min="31" max="16384" width="9.1328125" style="63"/>
  </cols>
  <sheetData>
    <row r="1" spans="1:29" ht="24.75">
      <c r="A1" s="174" t="s">
        <v>122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</row>
    <row r="2" spans="1:29" ht="24.75">
      <c r="A2" s="174" t="s">
        <v>62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</row>
    <row r="3" spans="1:29" ht="45" customHeight="1">
      <c r="B3" s="196" t="s">
        <v>123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</row>
    <row r="4" spans="1:29">
      <c r="O4" s="63">
        <v>0</v>
      </c>
    </row>
    <row r="5" spans="1:29" ht="61.5" customHeight="1">
      <c r="A5" s="65" t="s">
        <v>21</v>
      </c>
      <c r="B5" s="59" t="s">
        <v>124</v>
      </c>
      <c r="C5" s="59" t="s">
        <v>21</v>
      </c>
      <c r="D5" s="59" t="s">
        <v>125</v>
      </c>
      <c r="E5" s="59" t="s">
        <v>50</v>
      </c>
      <c r="F5" s="59" t="s">
        <v>126</v>
      </c>
      <c r="G5" s="59" t="s">
        <v>24</v>
      </c>
      <c r="H5" s="59" t="s">
        <v>26</v>
      </c>
      <c r="I5" s="59" t="s">
        <v>25</v>
      </c>
      <c r="J5" s="59" t="s">
        <v>75</v>
      </c>
      <c r="K5" s="59" t="s">
        <v>76</v>
      </c>
      <c r="L5" s="59" t="s">
        <v>77</v>
      </c>
      <c r="M5" s="59" t="s">
        <v>27</v>
      </c>
      <c r="N5" s="68" t="s">
        <v>127</v>
      </c>
      <c r="O5" s="74"/>
      <c r="P5" s="66"/>
      <c r="Q5" s="59" t="s">
        <v>21</v>
      </c>
      <c r="R5" s="77" t="s">
        <v>128</v>
      </c>
      <c r="S5" s="59" t="s">
        <v>125</v>
      </c>
      <c r="T5" s="59" t="s">
        <v>50</v>
      </c>
      <c r="U5" s="59" t="s">
        <v>126</v>
      </c>
      <c r="V5" s="59" t="s">
        <v>24</v>
      </c>
      <c r="W5" s="59" t="s">
        <v>26</v>
      </c>
      <c r="X5" s="59" t="s">
        <v>25</v>
      </c>
      <c r="Y5" s="59" t="s">
        <v>75</v>
      </c>
      <c r="Z5" s="59" t="s">
        <v>76</v>
      </c>
      <c r="AA5" s="59" t="s">
        <v>77</v>
      </c>
      <c r="AB5" s="59" t="s">
        <v>27</v>
      </c>
      <c r="AC5" s="59" t="s">
        <v>129</v>
      </c>
    </row>
    <row r="6" spans="1:29" ht="15">
      <c r="A6" s="66"/>
      <c r="B6" s="67"/>
      <c r="C6" s="66"/>
      <c r="D6" s="68"/>
      <c r="E6" s="153" t="s">
        <v>29</v>
      </c>
      <c r="F6" s="153" t="s">
        <v>29</v>
      </c>
      <c r="G6" s="153" t="s">
        <v>29</v>
      </c>
      <c r="H6" s="153" t="s">
        <v>29</v>
      </c>
      <c r="I6" s="153" t="s">
        <v>29</v>
      </c>
      <c r="J6" s="153" t="s">
        <v>29</v>
      </c>
      <c r="K6" s="153" t="s">
        <v>29</v>
      </c>
      <c r="L6" s="153" t="s">
        <v>29</v>
      </c>
      <c r="M6" s="153" t="s">
        <v>29</v>
      </c>
      <c r="N6" s="153" t="s">
        <v>29</v>
      </c>
      <c r="O6" s="74"/>
      <c r="P6" s="66"/>
      <c r="Q6" s="68"/>
      <c r="R6" s="69"/>
      <c r="S6" s="68"/>
      <c r="T6" s="153" t="s">
        <v>29</v>
      </c>
      <c r="U6" s="153" t="s">
        <v>29</v>
      </c>
      <c r="V6" s="153" t="s">
        <v>29</v>
      </c>
      <c r="W6" s="153" t="s">
        <v>29</v>
      </c>
      <c r="X6" s="153" t="s">
        <v>29</v>
      </c>
      <c r="Y6" s="153" t="s">
        <v>29</v>
      </c>
      <c r="Z6" s="153" t="s">
        <v>29</v>
      </c>
      <c r="AA6" s="153" t="s">
        <v>29</v>
      </c>
      <c r="AB6" s="153" t="s">
        <v>29</v>
      </c>
      <c r="AC6" s="153" t="s">
        <v>29</v>
      </c>
    </row>
    <row r="7" spans="1:29" ht="24.95" customHeight="1">
      <c r="A7" s="183">
        <v>1</v>
      </c>
      <c r="B7" s="177" t="s">
        <v>86</v>
      </c>
      <c r="C7" s="66">
        <v>1</v>
      </c>
      <c r="D7" s="70" t="s">
        <v>130</v>
      </c>
      <c r="E7" s="70">
        <v>10045027.700200001</v>
      </c>
      <c r="F7" s="70">
        <v>0</v>
      </c>
      <c r="G7" s="70">
        <v>104779352.6261</v>
      </c>
      <c r="H7" s="70">
        <v>21267110.573100001</v>
      </c>
      <c r="I7" s="70">
        <v>7382449.0241</v>
      </c>
      <c r="J7" s="70">
        <v>4082744.727</v>
      </c>
      <c r="K7" s="70">
        <f t="shared" ref="K7:K23" si="0">J7/2</f>
        <v>2041372.3635</v>
      </c>
      <c r="L7" s="70">
        <f t="shared" ref="L7:L23" si="1">J7-K7</f>
        <v>2041372.3635</v>
      </c>
      <c r="M7" s="70">
        <v>194611476.63949999</v>
      </c>
      <c r="N7" s="75">
        <f t="shared" ref="N7:N23" si="2">E7+F7+G7+H7+I7+L7+M7</f>
        <v>340126788.92649996</v>
      </c>
      <c r="O7" s="74"/>
      <c r="P7" s="183">
        <v>19</v>
      </c>
      <c r="Q7" s="78">
        <v>26</v>
      </c>
      <c r="R7" s="180" t="s">
        <v>104</v>
      </c>
      <c r="S7" s="70" t="s">
        <v>131</v>
      </c>
      <c r="T7" s="70">
        <v>10633992.396500001</v>
      </c>
      <c r="U7" s="70">
        <v>0</v>
      </c>
      <c r="V7" s="70">
        <v>110922823.9479</v>
      </c>
      <c r="W7" s="70">
        <v>22514053.607500002</v>
      </c>
      <c r="X7" s="70">
        <v>6298967.1874000002</v>
      </c>
      <c r="Y7" s="70">
        <v>4322126.0985000003</v>
      </c>
      <c r="Z7" s="70">
        <v>0</v>
      </c>
      <c r="AA7" s="70">
        <f t="shared" ref="AA7:AA25" si="3">Y7-Z7</f>
        <v>4322126.0985000003</v>
      </c>
      <c r="AB7" s="70">
        <v>207383056.33570001</v>
      </c>
      <c r="AC7" s="75">
        <f t="shared" ref="AC7:AC70" si="4">T7+U7+V7+W7+X7+AA7+AB7</f>
        <v>362075019.57350004</v>
      </c>
    </row>
    <row r="8" spans="1:29" ht="24.95" customHeight="1">
      <c r="A8" s="183"/>
      <c r="B8" s="178"/>
      <c r="C8" s="66">
        <v>2</v>
      </c>
      <c r="D8" s="70" t="s">
        <v>132</v>
      </c>
      <c r="E8" s="70">
        <v>16758820.1437</v>
      </c>
      <c r="F8" s="70">
        <v>0</v>
      </c>
      <c r="G8" s="70">
        <v>174810700.16409999</v>
      </c>
      <c r="H8" s="70">
        <v>35481403.507200003</v>
      </c>
      <c r="I8" s="70">
        <v>11443144.901799999</v>
      </c>
      <c r="J8" s="70">
        <v>6811527.7143999999</v>
      </c>
      <c r="K8" s="70">
        <f t="shared" si="0"/>
        <v>3405763.8572</v>
      </c>
      <c r="L8" s="70">
        <f t="shared" si="1"/>
        <v>3405763.8572</v>
      </c>
      <c r="M8" s="70">
        <v>342297352.9296</v>
      </c>
      <c r="N8" s="75">
        <f t="shared" si="2"/>
        <v>584197185.5036</v>
      </c>
      <c r="O8" s="74"/>
      <c r="P8" s="183"/>
      <c r="Q8" s="78">
        <v>27</v>
      </c>
      <c r="R8" s="181"/>
      <c r="S8" s="70" t="s">
        <v>133</v>
      </c>
      <c r="T8" s="70">
        <v>10414227.094799999</v>
      </c>
      <c r="U8" s="70">
        <v>0</v>
      </c>
      <c r="V8" s="70">
        <v>108630459.33329999</v>
      </c>
      <c r="W8" s="70">
        <v>22048771.368999999</v>
      </c>
      <c r="X8" s="70">
        <v>6730022.3948999997</v>
      </c>
      <c r="Y8" s="70">
        <v>4232803.7339000003</v>
      </c>
      <c r="Z8" s="70">
        <v>0</v>
      </c>
      <c r="AA8" s="70">
        <f t="shared" si="3"/>
        <v>4232803.7339000003</v>
      </c>
      <c r="AB8" s="70">
        <v>223060360.90720001</v>
      </c>
      <c r="AC8" s="75">
        <f t="shared" si="4"/>
        <v>375116644.83309996</v>
      </c>
    </row>
    <row r="9" spans="1:29" ht="24.95" customHeight="1">
      <c r="A9" s="183"/>
      <c r="B9" s="178"/>
      <c r="C9" s="66">
        <v>3</v>
      </c>
      <c r="D9" s="70" t="s">
        <v>134</v>
      </c>
      <c r="E9" s="70">
        <v>11791675.1149</v>
      </c>
      <c r="F9" s="70">
        <v>0</v>
      </c>
      <c r="G9" s="70">
        <v>122998574.1988</v>
      </c>
      <c r="H9" s="70">
        <v>24965073.8649</v>
      </c>
      <c r="I9" s="70">
        <v>8187467.0541000003</v>
      </c>
      <c r="J9" s="70">
        <v>4792659.6952999998</v>
      </c>
      <c r="K9" s="70">
        <f t="shared" si="0"/>
        <v>2396329.8476499999</v>
      </c>
      <c r="L9" s="70">
        <f t="shared" si="1"/>
        <v>2396329.8476499999</v>
      </c>
      <c r="M9" s="70">
        <v>223889658.69929999</v>
      </c>
      <c r="N9" s="75">
        <f t="shared" si="2"/>
        <v>394228778.77964997</v>
      </c>
      <c r="O9" s="74"/>
      <c r="P9" s="183"/>
      <c r="Q9" s="78">
        <v>28</v>
      </c>
      <c r="R9" s="181"/>
      <c r="S9" s="70" t="s">
        <v>135</v>
      </c>
      <c r="T9" s="70">
        <v>10423654.2873</v>
      </c>
      <c r="U9" s="70">
        <v>0</v>
      </c>
      <c r="V9" s="70">
        <v>108728794.0679</v>
      </c>
      <c r="W9" s="70">
        <v>22068730.412700001</v>
      </c>
      <c r="X9" s="70">
        <v>6627620.6306999996</v>
      </c>
      <c r="Y9" s="70">
        <v>4236635.3629999999</v>
      </c>
      <c r="Z9" s="70">
        <v>0</v>
      </c>
      <c r="AA9" s="70">
        <f t="shared" si="3"/>
        <v>4236635.3629999999</v>
      </c>
      <c r="AB9" s="70">
        <v>219336049.92039999</v>
      </c>
      <c r="AC9" s="75">
        <f t="shared" si="4"/>
        <v>371421484.68200004</v>
      </c>
    </row>
    <row r="10" spans="1:29" ht="24.95" customHeight="1">
      <c r="A10" s="183"/>
      <c r="B10" s="178"/>
      <c r="C10" s="66">
        <v>4</v>
      </c>
      <c r="D10" s="70" t="s">
        <v>136</v>
      </c>
      <c r="E10" s="70">
        <v>12014439.8345</v>
      </c>
      <c r="F10" s="70">
        <v>0</v>
      </c>
      <c r="G10" s="70">
        <v>125322225.642</v>
      </c>
      <c r="H10" s="70">
        <v>25436706.4045</v>
      </c>
      <c r="I10" s="70">
        <v>8468629.0800999999</v>
      </c>
      <c r="J10" s="70">
        <v>4883201.1563999997</v>
      </c>
      <c r="K10" s="70">
        <f t="shared" si="0"/>
        <v>2441600.5781999999</v>
      </c>
      <c r="L10" s="70">
        <f t="shared" si="1"/>
        <v>2441600.5781999999</v>
      </c>
      <c r="M10" s="70">
        <v>234115408.53220001</v>
      </c>
      <c r="N10" s="75">
        <f t="shared" si="2"/>
        <v>407799010.07150006</v>
      </c>
      <c r="O10" s="74"/>
      <c r="P10" s="183"/>
      <c r="Q10" s="78">
        <v>29</v>
      </c>
      <c r="R10" s="181"/>
      <c r="S10" s="70" t="s">
        <v>137</v>
      </c>
      <c r="T10" s="70">
        <v>12353760.149700001</v>
      </c>
      <c r="U10" s="70">
        <v>0</v>
      </c>
      <c r="V10" s="70">
        <v>128861664.6587</v>
      </c>
      <c r="W10" s="70">
        <v>26155107.874299999</v>
      </c>
      <c r="X10" s="70">
        <v>7728600.0393000003</v>
      </c>
      <c r="Y10" s="70">
        <v>5021115.9804999996</v>
      </c>
      <c r="Z10" s="70">
        <v>0</v>
      </c>
      <c r="AA10" s="70">
        <f t="shared" si="3"/>
        <v>5021115.9804999996</v>
      </c>
      <c r="AB10" s="70">
        <v>259378228.31189999</v>
      </c>
      <c r="AC10" s="75">
        <f t="shared" si="4"/>
        <v>439498477.01440001</v>
      </c>
    </row>
    <row r="11" spans="1:29" ht="24.95" customHeight="1">
      <c r="A11" s="183"/>
      <c r="B11" s="178"/>
      <c r="C11" s="66">
        <v>5</v>
      </c>
      <c r="D11" s="70" t="s">
        <v>138</v>
      </c>
      <c r="E11" s="70">
        <v>10935493.2904</v>
      </c>
      <c r="F11" s="70">
        <v>0</v>
      </c>
      <c r="G11" s="70">
        <v>114067769.82690001</v>
      </c>
      <c r="H11" s="70">
        <v>23152384.634399999</v>
      </c>
      <c r="I11" s="70">
        <v>7773996.5065000001</v>
      </c>
      <c r="J11" s="70">
        <v>4444669.4325000001</v>
      </c>
      <c r="K11" s="70">
        <f t="shared" si="0"/>
        <v>2222334.7162500001</v>
      </c>
      <c r="L11" s="70">
        <f t="shared" si="1"/>
        <v>2222334.7162500001</v>
      </c>
      <c r="M11" s="70">
        <v>208851901.13859999</v>
      </c>
      <c r="N11" s="75">
        <f t="shared" si="2"/>
        <v>367003880.11304998</v>
      </c>
      <c r="O11" s="74"/>
      <c r="P11" s="183"/>
      <c r="Q11" s="78">
        <v>30</v>
      </c>
      <c r="R11" s="181"/>
      <c r="S11" s="70" t="s">
        <v>139</v>
      </c>
      <c r="T11" s="70">
        <v>12450403.3399</v>
      </c>
      <c r="U11" s="70">
        <v>0</v>
      </c>
      <c r="V11" s="70">
        <v>129869746.58769999</v>
      </c>
      <c r="W11" s="70">
        <v>26359718.699900001</v>
      </c>
      <c r="X11" s="70">
        <v>7618150.4051999999</v>
      </c>
      <c r="Y11" s="70">
        <v>5060396.0587999998</v>
      </c>
      <c r="Z11" s="70">
        <v>0</v>
      </c>
      <c r="AA11" s="70">
        <f t="shared" si="3"/>
        <v>5060396.0587999998</v>
      </c>
      <c r="AB11" s="70">
        <v>255361219.5325</v>
      </c>
      <c r="AC11" s="75">
        <f t="shared" si="4"/>
        <v>436719634.62400001</v>
      </c>
    </row>
    <row r="12" spans="1:29" ht="24.95" customHeight="1">
      <c r="A12" s="183"/>
      <c r="B12" s="178"/>
      <c r="C12" s="66">
        <v>6</v>
      </c>
      <c r="D12" s="70" t="s">
        <v>140</v>
      </c>
      <c r="E12" s="70">
        <v>11293537.9663</v>
      </c>
      <c r="F12" s="70">
        <v>0</v>
      </c>
      <c r="G12" s="70">
        <v>117802522.03219999</v>
      </c>
      <c r="H12" s="70">
        <v>23910428.906599998</v>
      </c>
      <c r="I12" s="70">
        <v>7976040.3984000003</v>
      </c>
      <c r="J12" s="70">
        <v>4590194.6672</v>
      </c>
      <c r="K12" s="70">
        <f t="shared" si="0"/>
        <v>2295097.3336</v>
      </c>
      <c r="L12" s="70">
        <f t="shared" si="1"/>
        <v>2295097.3336</v>
      </c>
      <c r="M12" s="70">
        <v>216200156.24559999</v>
      </c>
      <c r="N12" s="75">
        <f t="shared" si="2"/>
        <v>379477782.88269997</v>
      </c>
      <c r="O12" s="74"/>
      <c r="P12" s="183"/>
      <c r="Q12" s="78">
        <v>31</v>
      </c>
      <c r="R12" s="181"/>
      <c r="S12" s="70" t="s">
        <v>110</v>
      </c>
      <c r="T12" s="70">
        <v>21526417.4221</v>
      </c>
      <c r="U12" s="70">
        <v>0</v>
      </c>
      <c r="V12" s="70">
        <v>224541350.1259</v>
      </c>
      <c r="W12" s="70">
        <v>45575255.063900001</v>
      </c>
      <c r="X12" s="70">
        <v>12532549.433499999</v>
      </c>
      <c r="Y12" s="70">
        <v>8749290.6784000006</v>
      </c>
      <c r="Z12" s="70">
        <v>0</v>
      </c>
      <c r="AA12" s="70">
        <f t="shared" si="3"/>
        <v>8749290.6784000006</v>
      </c>
      <c r="AB12" s="70">
        <v>434095936.13929999</v>
      </c>
      <c r="AC12" s="75">
        <f t="shared" si="4"/>
        <v>747020798.86310005</v>
      </c>
    </row>
    <row r="13" spans="1:29" ht="24.95" customHeight="1">
      <c r="A13" s="183"/>
      <c r="B13" s="178"/>
      <c r="C13" s="66">
        <v>7</v>
      </c>
      <c r="D13" s="70" t="s">
        <v>141</v>
      </c>
      <c r="E13" s="70">
        <v>10957756.75</v>
      </c>
      <c r="F13" s="70">
        <v>0</v>
      </c>
      <c r="G13" s="70">
        <v>114299999.2401</v>
      </c>
      <c r="H13" s="70">
        <v>23199520.3389</v>
      </c>
      <c r="I13" s="70">
        <v>7732524.9473000001</v>
      </c>
      <c r="J13" s="70">
        <v>4453718.2899000002</v>
      </c>
      <c r="K13" s="70">
        <f t="shared" si="0"/>
        <v>2226859.1449500001</v>
      </c>
      <c r="L13" s="70">
        <f t="shared" si="1"/>
        <v>2226859.1449500001</v>
      </c>
      <c r="M13" s="70">
        <v>207343597.20289999</v>
      </c>
      <c r="N13" s="75">
        <f t="shared" si="2"/>
        <v>365760257.62414998</v>
      </c>
      <c r="O13" s="74"/>
      <c r="P13" s="183"/>
      <c r="Q13" s="78">
        <v>32</v>
      </c>
      <c r="R13" s="181"/>
      <c r="S13" s="70" t="s">
        <v>142</v>
      </c>
      <c r="T13" s="70">
        <v>10782107.179199999</v>
      </c>
      <c r="U13" s="70">
        <v>0</v>
      </c>
      <c r="V13" s="70">
        <v>112467804.3611</v>
      </c>
      <c r="W13" s="70">
        <v>22827638.951000001</v>
      </c>
      <c r="X13" s="70">
        <v>6740778.5591000002</v>
      </c>
      <c r="Y13" s="70">
        <v>4382326.5147000002</v>
      </c>
      <c r="Z13" s="70">
        <v>0</v>
      </c>
      <c r="AA13" s="70">
        <f t="shared" si="3"/>
        <v>4382326.5147000002</v>
      </c>
      <c r="AB13" s="70">
        <v>223451558.27579999</v>
      </c>
      <c r="AC13" s="75">
        <f t="shared" si="4"/>
        <v>380652213.84089994</v>
      </c>
    </row>
    <row r="14" spans="1:29" ht="24.95" customHeight="1">
      <c r="A14" s="183"/>
      <c r="B14" s="178"/>
      <c r="C14" s="66">
        <v>8</v>
      </c>
      <c r="D14" s="70" t="s">
        <v>143</v>
      </c>
      <c r="E14" s="70">
        <v>10684496.112</v>
      </c>
      <c r="F14" s="70">
        <v>0</v>
      </c>
      <c r="G14" s="70">
        <v>111449626.5386</v>
      </c>
      <c r="H14" s="70">
        <v>22620978.957400002</v>
      </c>
      <c r="I14" s="70">
        <v>7471707.2176000001</v>
      </c>
      <c r="J14" s="70">
        <v>4342653.0482999999</v>
      </c>
      <c r="K14" s="70">
        <f t="shared" si="0"/>
        <v>2171326.52415</v>
      </c>
      <c r="L14" s="70">
        <f t="shared" si="1"/>
        <v>2171326.52415</v>
      </c>
      <c r="M14" s="70">
        <v>197857761.2475</v>
      </c>
      <c r="N14" s="75">
        <f t="shared" si="2"/>
        <v>352255896.59724998</v>
      </c>
      <c r="O14" s="74"/>
      <c r="P14" s="183"/>
      <c r="Q14" s="78">
        <v>33</v>
      </c>
      <c r="R14" s="181"/>
      <c r="S14" s="70" t="s">
        <v>144</v>
      </c>
      <c r="T14" s="70">
        <v>10670739.313999999</v>
      </c>
      <c r="U14" s="70">
        <v>0</v>
      </c>
      <c r="V14" s="70">
        <v>111306129.83220001</v>
      </c>
      <c r="W14" s="70">
        <v>22591853.368799999</v>
      </c>
      <c r="X14" s="70">
        <v>6219027.5800999999</v>
      </c>
      <c r="Y14" s="70">
        <v>4337061.6754999999</v>
      </c>
      <c r="Z14" s="70">
        <v>0</v>
      </c>
      <c r="AA14" s="70">
        <f t="shared" si="3"/>
        <v>4337061.6754999999</v>
      </c>
      <c r="AB14" s="70">
        <v>204475684.9612</v>
      </c>
      <c r="AC14" s="75">
        <f t="shared" si="4"/>
        <v>359600496.73179996</v>
      </c>
    </row>
    <row r="15" spans="1:29" ht="24.95" customHeight="1">
      <c r="A15" s="183"/>
      <c r="B15" s="178"/>
      <c r="C15" s="66">
        <v>9</v>
      </c>
      <c r="D15" s="70" t="s">
        <v>145</v>
      </c>
      <c r="E15" s="70">
        <v>11527049.774900001</v>
      </c>
      <c r="F15" s="70">
        <v>0</v>
      </c>
      <c r="G15" s="70">
        <v>120238276.006</v>
      </c>
      <c r="H15" s="70">
        <v>24404814.9454</v>
      </c>
      <c r="I15" s="70">
        <v>8106885.6709000003</v>
      </c>
      <c r="J15" s="70">
        <v>4685104.2218000004</v>
      </c>
      <c r="K15" s="70">
        <f t="shared" si="0"/>
        <v>2342552.1109000002</v>
      </c>
      <c r="L15" s="70">
        <f t="shared" si="1"/>
        <v>2342552.1109000002</v>
      </c>
      <c r="M15" s="70">
        <v>220958946.19299999</v>
      </c>
      <c r="N15" s="75">
        <f t="shared" si="2"/>
        <v>387578524.70109999</v>
      </c>
      <c r="O15" s="74"/>
      <c r="P15" s="183"/>
      <c r="Q15" s="78">
        <v>34</v>
      </c>
      <c r="R15" s="181"/>
      <c r="S15" s="70" t="s">
        <v>146</v>
      </c>
      <c r="T15" s="70">
        <v>12773145.2161</v>
      </c>
      <c r="U15" s="70">
        <v>0</v>
      </c>
      <c r="V15" s="70">
        <v>133236256.45379999</v>
      </c>
      <c r="W15" s="70">
        <v>27043020.665100001</v>
      </c>
      <c r="X15" s="70">
        <v>7797180.2130000005</v>
      </c>
      <c r="Y15" s="70">
        <v>5191572.6700999998</v>
      </c>
      <c r="Z15" s="70">
        <v>0</v>
      </c>
      <c r="AA15" s="70">
        <f t="shared" si="3"/>
        <v>5191572.6700999998</v>
      </c>
      <c r="AB15" s="70">
        <v>261872461.6539</v>
      </c>
      <c r="AC15" s="75">
        <f t="shared" si="4"/>
        <v>447913636.87199998</v>
      </c>
    </row>
    <row r="16" spans="1:29" ht="24.95" customHeight="1">
      <c r="A16" s="183"/>
      <c r="B16" s="178"/>
      <c r="C16" s="66">
        <v>10</v>
      </c>
      <c r="D16" s="70" t="s">
        <v>147</v>
      </c>
      <c r="E16" s="70">
        <v>11697623.120999999</v>
      </c>
      <c r="F16" s="70">
        <v>0</v>
      </c>
      <c r="G16" s="70">
        <v>122017520.9527</v>
      </c>
      <c r="H16" s="70">
        <v>24765949.062600002</v>
      </c>
      <c r="I16" s="70">
        <v>8331648.4299999997</v>
      </c>
      <c r="J16" s="70">
        <v>4754432.7940999996</v>
      </c>
      <c r="K16" s="70">
        <f t="shared" si="0"/>
        <v>2377216.3970499998</v>
      </c>
      <c r="L16" s="70">
        <f t="shared" si="1"/>
        <v>2377216.3970499998</v>
      </c>
      <c r="M16" s="70">
        <v>229133477.36500001</v>
      </c>
      <c r="N16" s="75">
        <f t="shared" si="2"/>
        <v>398323435.32835007</v>
      </c>
      <c r="O16" s="74"/>
      <c r="P16" s="183"/>
      <c r="Q16" s="78">
        <v>35</v>
      </c>
      <c r="R16" s="181"/>
      <c r="S16" s="70" t="s">
        <v>148</v>
      </c>
      <c r="T16" s="70">
        <v>10539075.954600001</v>
      </c>
      <c r="U16" s="70">
        <v>0</v>
      </c>
      <c r="V16" s="70">
        <v>109932753.67219999</v>
      </c>
      <c r="W16" s="70">
        <v>22313098.614999998</v>
      </c>
      <c r="X16" s="70">
        <v>6678757.3351999996</v>
      </c>
      <c r="Y16" s="70">
        <v>4283547.8471999997</v>
      </c>
      <c r="Z16" s="70">
        <v>0</v>
      </c>
      <c r="AA16" s="70">
        <f t="shared" si="3"/>
        <v>4283547.8471999997</v>
      </c>
      <c r="AB16" s="70">
        <v>221195871.30059999</v>
      </c>
      <c r="AC16" s="75">
        <f t="shared" si="4"/>
        <v>374943104.72479999</v>
      </c>
    </row>
    <row r="17" spans="1:29" ht="24.95" customHeight="1">
      <c r="A17" s="183"/>
      <c r="B17" s="178"/>
      <c r="C17" s="66">
        <v>11</v>
      </c>
      <c r="D17" s="70" t="s">
        <v>149</v>
      </c>
      <c r="E17" s="70">
        <v>12792286.559</v>
      </c>
      <c r="F17" s="70">
        <v>0</v>
      </c>
      <c r="G17" s="70">
        <v>133435919.17039999</v>
      </c>
      <c r="H17" s="70">
        <v>27083546.293200001</v>
      </c>
      <c r="I17" s="70">
        <v>9149335.1164999995</v>
      </c>
      <c r="J17" s="70">
        <v>5199352.5607000003</v>
      </c>
      <c r="K17" s="70">
        <f t="shared" si="0"/>
        <v>2599676.2803500001</v>
      </c>
      <c r="L17" s="70">
        <f t="shared" si="1"/>
        <v>2599676.2803500001</v>
      </c>
      <c r="M17" s="70">
        <v>258872413.36610001</v>
      </c>
      <c r="N17" s="75">
        <f t="shared" si="2"/>
        <v>443933176.78555</v>
      </c>
      <c r="O17" s="74"/>
      <c r="P17" s="183"/>
      <c r="Q17" s="78">
        <v>36</v>
      </c>
      <c r="R17" s="181"/>
      <c r="S17" s="70" t="s">
        <v>150</v>
      </c>
      <c r="T17" s="70">
        <v>13339127.212200001</v>
      </c>
      <c r="U17" s="70">
        <v>0</v>
      </c>
      <c r="V17" s="70">
        <v>139139995.98769999</v>
      </c>
      <c r="W17" s="70">
        <v>28241305.2348</v>
      </c>
      <c r="X17" s="70">
        <v>8129864.0089999996</v>
      </c>
      <c r="Y17" s="70">
        <v>5421612.8530000001</v>
      </c>
      <c r="Z17" s="70">
        <v>0</v>
      </c>
      <c r="AA17" s="70">
        <f t="shared" si="3"/>
        <v>5421612.8530000001</v>
      </c>
      <c r="AB17" s="70">
        <v>273972037.54610002</v>
      </c>
      <c r="AC17" s="75">
        <f t="shared" si="4"/>
        <v>468243942.84280002</v>
      </c>
    </row>
    <row r="18" spans="1:29" ht="24.95" customHeight="1">
      <c r="A18" s="183"/>
      <c r="B18" s="178"/>
      <c r="C18" s="66">
        <v>12</v>
      </c>
      <c r="D18" s="70" t="s">
        <v>151</v>
      </c>
      <c r="E18" s="70">
        <v>12316697.890699999</v>
      </c>
      <c r="F18" s="70">
        <v>0</v>
      </c>
      <c r="G18" s="70">
        <v>128475069.45720001</v>
      </c>
      <c r="H18" s="70">
        <v>26076640.478799999</v>
      </c>
      <c r="I18" s="70">
        <v>8821875.3762999997</v>
      </c>
      <c r="J18" s="70">
        <v>5006052.2347999997</v>
      </c>
      <c r="K18" s="70">
        <f t="shared" si="0"/>
        <v>2503026.1173999999</v>
      </c>
      <c r="L18" s="70">
        <f t="shared" si="1"/>
        <v>2503026.1173999999</v>
      </c>
      <c r="M18" s="70">
        <v>246962834.28659999</v>
      </c>
      <c r="N18" s="75">
        <f t="shared" si="2"/>
        <v>425156143.60699999</v>
      </c>
      <c r="O18" s="74"/>
      <c r="P18" s="183"/>
      <c r="Q18" s="78">
        <v>37</v>
      </c>
      <c r="R18" s="181"/>
      <c r="S18" s="70" t="s">
        <v>152</v>
      </c>
      <c r="T18" s="70">
        <v>11713892.1162</v>
      </c>
      <c r="U18" s="70">
        <v>0</v>
      </c>
      <c r="V18" s="70">
        <v>122187222.3052</v>
      </c>
      <c r="W18" s="70">
        <v>24800393.4197</v>
      </c>
      <c r="X18" s="70">
        <v>7476305.0937000001</v>
      </c>
      <c r="Y18" s="70">
        <v>4761045.2352999998</v>
      </c>
      <c r="Z18" s="70">
        <v>0</v>
      </c>
      <c r="AA18" s="70">
        <f t="shared" si="3"/>
        <v>4761045.2352999998</v>
      </c>
      <c r="AB18" s="70">
        <v>250202362.58649999</v>
      </c>
      <c r="AC18" s="75">
        <f t="shared" si="4"/>
        <v>421141220.75660002</v>
      </c>
    </row>
    <row r="19" spans="1:29" ht="24.95" customHeight="1">
      <c r="A19" s="183"/>
      <c r="B19" s="178"/>
      <c r="C19" s="66">
        <v>13</v>
      </c>
      <c r="D19" s="70" t="s">
        <v>153</v>
      </c>
      <c r="E19" s="70">
        <v>9405302.1864</v>
      </c>
      <c r="F19" s="70">
        <v>0</v>
      </c>
      <c r="G19" s="70">
        <v>98106396.892199993</v>
      </c>
      <c r="H19" s="70">
        <v>19912697.8583</v>
      </c>
      <c r="I19" s="70">
        <v>7063229.6865999997</v>
      </c>
      <c r="J19" s="70">
        <v>3822731.9081999999</v>
      </c>
      <c r="K19" s="70">
        <f t="shared" si="0"/>
        <v>1911365.9541</v>
      </c>
      <c r="L19" s="70">
        <f t="shared" si="1"/>
        <v>1911365.9541</v>
      </c>
      <c r="M19" s="70">
        <v>183001597.692</v>
      </c>
      <c r="N19" s="75">
        <f t="shared" si="2"/>
        <v>319400590.26960003</v>
      </c>
      <c r="O19" s="74"/>
      <c r="P19" s="183"/>
      <c r="Q19" s="78">
        <v>38</v>
      </c>
      <c r="R19" s="181"/>
      <c r="S19" s="70" t="s">
        <v>154</v>
      </c>
      <c r="T19" s="70">
        <v>12180733.2665</v>
      </c>
      <c r="U19" s="70">
        <v>0</v>
      </c>
      <c r="V19" s="70">
        <v>127056826.94660001</v>
      </c>
      <c r="W19" s="70">
        <v>25788779.182300001</v>
      </c>
      <c r="X19" s="70">
        <v>7715353.7845000001</v>
      </c>
      <c r="Y19" s="70">
        <v>4950790.1819000002</v>
      </c>
      <c r="Z19" s="70">
        <v>0</v>
      </c>
      <c r="AA19" s="70">
        <f t="shared" si="3"/>
        <v>4950790.1819000002</v>
      </c>
      <c r="AB19" s="70">
        <v>258896467.352</v>
      </c>
      <c r="AC19" s="75">
        <f t="shared" si="4"/>
        <v>436588950.71380001</v>
      </c>
    </row>
    <row r="20" spans="1:29" ht="24.95" customHeight="1">
      <c r="A20" s="183"/>
      <c r="B20" s="178"/>
      <c r="C20" s="66">
        <v>14</v>
      </c>
      <c r="D20" s="70" t="s">
        <v>155</v>
      </c>
      <c r="E20" s="70">
        <v>8886725.8925000001</v>
      </c>
      <c r="F20" s="70">
        <v>0</v>
      </c>
      <c r="G20" s="70">
        <v>92697144.6743</v>
      </c>
      <c r="H20" s="70">
        <v>18814779.593400002</v>
      </c>
      <c r="I20" s="70">
        <v>6758347.6228999998</v>
      </c>
      <c r="J20" s="70">
        <v>3611959.5048000002</v>
      </c>
      <c r="K20" s="70">
        <f t="shared" si="0"/>
        <v>1805979.7524000001</v>
      </c>
      <c r="L20" s="70">
        <f t="shared" si="1"/>
        <v>1805979.7524000001</v>
      </c>
      <c r="M20" s="70">
        <v>171913159.62850001</v>
      </c>
      <c r="N20" s="75">
        <f t="shared" si="2"/>
        <v>300876137.16400003</v>
      </c>
      <c r="O20" s="74"/>
      <c r="P20" s="183"/>
      <c r="Q20" s="78">
        <v>39</v>
      </c>
      <c r="R20" s="181"/>
      <c r="S20" s="70" t="s">
        <v>156</v>
      </c>
      <c r="T20" s="70">
        <v>9589325.1596000008</v>
      </c>
      <c r="U20" s="70">
        <v>0</v>
      </c>
      <c r="V20" s="70">
        <v>100025934.4554</v>
      </c>
      <c r="W20" s="70">
        <v>20302307.228700001</v>
      </c>
      <c r="X20" s="70">
        <v>6128460.1637000004</v>
      </c>
      <c r="Y20" s="70">
        <v>3897527.0054000001</v>
      </c>
      <c r="Z20" s="70">
        <v>0</v>
      </c>
      <c r="AA20" s="70">
        <f t="shared" si="3"/>
        <v>3897527.0054000001</v>
      </c>
      <c r="AB20" s="70">
        <v>201181784.44440001</v>
      </c>
      <c r="AC20" s="75">
        <f t="shared" si="4"/>
        <v>341125338.45720005</v>
      </c>
    </row>
    <row r="21" spans="1:29" ht="24.95" customHeight="1">
      <c r="A21" s="183"/>
      <c r="B21" s="178"/>
      <c r="C21" s="66">
        <v>15</v>
      </c>
      <c r="D21" s="70" t="s">
        <v>157</v>
      </c>
      <c r="E21" s="70">
        <v>9253684.7038000003</v>
      </c>
      <c r="F21" s="70">
        <v>0</v>
      </c>
      <c r="G21" s="70">
        <v>96524879.931700006</v>
      </c>
      <c r="H21" s="70">
        <v>19591696.675999999</v>
      </c>
      <c r="I21" s="70">
        <v>7139434.1580999997</v>
      </c>
      <c r="J21" s="70">
        <v>3761107.8393000001</v>
      </c>
      <c r="K21" s="70">
        <f t="shared" si="0"/>
        <v>1880553.9196500001</v>
      </c>
      <c r="L21" s="70">
        <f t="shared" si="1"/>
        <v>1880553.9196500001</v>
      </c>
      <c r="M21" s="70">
        <v>185773123.6796</v>
      </c>
      <c r="N21" s="75">
        <f t="shared" si="2"/>
        <v>320163373.06885004</v>
      </c>
      <c r="O21" s="74"/>
      <c r="P21" s="183"/>
      <c r="Q21" s="78">
        <v>40</v>
      </c>
      <c r="R21" s="181"/>
      <c r="S21" s="70" t="s">
        <v>158</v>
      </c>
      <c r="T21" s="70">
        <v>10572571.534</v>
      </c>
      <c r="U21" s="70">
        <v>0</v>
      </c>
      <c r="V21" s="70">
        <v>110282144.956</v>
      </c>
      <c r="W21" s="70">
        <v>22384014.715</v>
      </c>
      <c r="X21" s="70">
        <v>6897898.1372999996</v>
      </c>
      <c r="Y21" s="70">
        <v>4297161.9362000003</v>
      </c>
      <c r="Z21" s="70">
        <v>0</v>
      </c>
      <c r="AA21" s="70">
        <f t="shared" si="3"/>
        <v>4297161.9362000003</v>
      </c>
      <c r="AB21" s="70">
        <v>229165934.15830001</v>
      </c>
      <c r="AC21" s="75">
        <f t="shared" si="4"/>
        <v>383599725.4368</v>
      </c>
    </row>
    <row r="22" spans="1:29" ht="24.95" customHeight="1">
      <c r="A22" s="183"/>
      <c r="B22" s="178"/>
      <c r="C22" s="66">
        <v>16</v>
      </c>
      <c r="D22" s="70" t="s">
        <v>159</v>
      </c>
      <c r="E22" s="70">
        <v>13794259.7973</v>
      </c>
      <c r="F22" s="70">
        <v>0</v>
      </c>
      <c r="G22" s="70">
        <v>143887468.97029999</v>
      </c>
      <c r="H22" s="70">
        <v>29204901.881700002</v>
      </c>
      <c r="I22" s="70">
        <v>8835070.2890000008</v>
      </c>
      <c r="J22" s="70">
        <v>5606598.9194999998</v>
      </c>
      <c r="K22" s="70">
        <f t="shared" si="0"/>
        <v>2803299.4597499999</v>
      </c>
      <c r="L22" s="70">
        <f t="shared" si="1"/>
        <v>2803299.4597499999</v>
      </c>
      <c r="M22" s="70">
        <v>247442727.956</v>
      </c>
      <c r="N22" s="75">
        <f t="shared" si="2"/>
        <v>445967728.35405004</v>
      </c>
      <c r="O22" s="74"/>
      <c r="P22" s="183"/>
      <c r="Q22" s="78">
        <v>41</v>
      </c>
      <c r="R22" s="181"/>
      <c r="S22" s="70" t="s">
        <v>160</v>
      </c>
      <c r="T22" s="70">
        <v>13036356.177100001</v>
      </c>
      <c r="U22" s="70">
        <v>0</v>
      </c>
      <c r="V22" s="70">
        <v>135981801.30559999</v>
      </c>
      <c r="W22" s="70">
        <v>27600285.092599999</v>
      </c>
      <c r="X22" s="70">
        <v>7848522.2857999997</v>
      </c>
      <c r="Y22" s="70">
        <v>5298553.2773000002</v>
      </c>
      <c r="Z22" s="70">
        <v>0</v>
      </c>
      <c r="AA22" s="70">
        <f t="shared" si="3"/>
        <v>5298553.2773000002</v>
      </c>
      <c r="AB22" s="70">
        <v>263739752.1963</v>
      </c>
      <c r="AC22" s="75">
        <f t="shared" si="4"/>
        <v>453505270.33469999</v>
      </c>
    </row>
    <row r="23" spans="1:29" ht="24.95" customHeight="1">
      <c r="A23" s="183"/>
      <c r="B23" s="179"/>
      <c r="C23" s="66">
        <v>17</v>
      </c>
      <c r="D23" s="70" t="s">
        <v>161</v>
      </c>
      <c r="E23" s="70">
        <v>11919049.667300001</v>
      </c>
      <c r="F23" s="70">
        <v>0</v>
      </c>
      <c r="G23" s="70">
        <v>124327213.95370001</v>
      </c>
      <c r="H23" s="70">
        <v>25234748.451200001</v>
      </c>
      <c r="I23" s="70">
        <v>7781402.6004999997</v>
      </c>
      <c r="J23" s="70">
        <v>4844430.3620999996</v>
      </c>
      <c r="K23" s="70">
        <f t="shared" si="0"/>
        <v>2422215.1810499998</v>
      </c>
      <c r="L23" s="70">
        <f t="shared" si="1"/>
        <v>2422215.1810499998</v>
      </c>
      <c r="M23" s="70">
        <v>209121257.79929999</v>
      </c>
      <c r="N23" s="75">
        <f t="shared" si="2"/>
        <v>380805887.65304995</v>
      </c>
      <c r="O23" s="74"/>
      <c r="P23" s="183"/>
      <c r="Q23" s="78">
        <v>42</v>
      </c>
      <c r="R23" s="181"/>
      <c r="S23" s="70" t="s">
        <v>162</v>
      </c>
      <c r="T23" s="70">
        <v>15241738.552200001</v>
      </c>
      <c r="U23" s="70">
        <v>0</v>
      </c>
      <c r="V23" s="70">
        <v>158986072.12079999</v>
      </c>
      <c r="W23" s="70">
        <v>32269471.901000001</v>
      </c>
      <c r="X23" s="70">
        <v>9618732.7774</v>
      </c>
      <c r="Y23" s="70">
        <v>6194918.4771999996</v>
      </c>
      <c r="Z23" s="70">
        <v>0</v>
      </c>
      <c r="AA23" s="70">
        <f t="shared" si="3"/>
        <v>6194918.4771999996</v>
      </c>
      <c r="AB23" s="70">
        <v>328121595.98559999</v>
      </c>
      <c r="AC23" s="75">
        <f t="shared" si="4"/>
        <v>550432529.81419992</v>
      </c>
    </row>
    <row r="24" spans="1:29" ht="24.95" customHeight="1">
      <c r="A24" s="66"/>
      <c r="B24" s="190" t="s">
        <v>163</v>
      </c>
      <c r="C24" s="191"/>
      <c r="D24" s="71"/>
      <c r="E24" s="71">
        <f t="shared" ref="E24:N24" si="5">SUM(E7:E23)</f>
        <v>196073926.50490004</v>
      </c>
      <c r="F24" s="71">
        <f t="shared" si="5"/>
        <v>0</v>
      </c>
      <c r="G24" s="71">
        <f t="shared" si="5"/>
        <v>2045240660.2772999</v>
      </c>
      <c r="H24" s="71">
        <f t="shared" si="5"/>
        <v>415123382.42759997</v>
      </c>
      <c r="I24" s="71">
        <f t="shared" si="5"/>
        <v>138423188.08069998</v>
      </c>
      <c r="J24" s="71">
        <f t="shared" si="5"/>
        <v>79693139.07630001</v>
      </c>
      <c r="K24" s="71">
        <f t="shared" si="5"/>
        <v>39846569.538150005</v>
      </c>
      <c r="L24" s="71">
        <f t="shared" si="5"/>
        <v>39846569.538150005</v>
      </c>
      <c r="M24" s="71">
        <f t="shared" si="5"/>
        <v>3778346850.6012998</v>
      </c>
      <c r="N24" s="71">
        <f t="shared" si="5"/>
        <v>6613054577.4299488</v>
      </c>
      <c r="O24" s="74"/>
      <c r="P24" s="183"/>
      <c r="Q24" s="78">
        <v>43</v>
      </c>
      <c r="R24" s="181"/>
      <c r="S24" s="70" t="s">
        <v>164</v>
      </c>
      <c r="T24" s="70">
        <v>9946788.6302000005</v>
      </c>
      <c r="U24" s="70">
        <v>0</v>
      </c>
      <c r="V24" s="70">
        <v>103754624.1275</v>
      </c>
      <c r="W24" s="70">
        <v>21059120.986000001</v>
      </c>
      <c r="X24" s="70">
        <v>6527041.5102000004</v>
      </c>
      <c r="Y24" s="70">
        <v>4042816.0123000001</v>
      </c>
      <c r="Z24" s="70">
        <v>0</v>
      </c>
      <c r="AA24" s="70">
        <f t="shared" si="3"/>
        <v>4042816.0123000001</v>
      </c>
      <c r="AB24" s="70">
        <v>215678027.74779999</v>
      </c>
      <c r="AC24" s="75">
        <f t="shared" si="4"/>
        <v>361008419.014</v>
      </c>
    </row>
    <row r="25" spans="1:29" ht="24.95" customHeight="1">
      <c r="A25" s="183">
        <v>2</v>
      </c>
      <c r="B25" s="177" t="s">
        <v>165</v>
      </c>
      <c r="C25" s="66">
        <v>1</v>
      </c>
      <c r="D25" s="70" t="s">
        <v>166</v>
      </c>
      <c r="E25" s="70">
        <v>12223374.3588</v>
      </c>
      <c r="F25" s="70">
        <v>0</v>
      </c>
      <c r="G25" s="70">
        <v>127501614.7747</v>
      </c>
      <c r="H25" s="70">
        <v>25879057.9604</v>
      </c>
      <c r="I25" s="70">
        <v>6677023.4413999999</v>
      </c>
      <c r="J25" s="70">
        <v>4968121.4128</v>
      </c>
      <c r="K25" s="70">
        <v>0</v>
      </c>
      <c r="L25" s="70">
        <f t="shared" ref="L25:L45" si="6">J25-K25</f>
        <v>4968121.4128</v>
      </c>
      <c r="M25" s="70">
        <v>254995552.0054</v>
      </c>
      <c r="N25" s="75">
        <f t="shared" ref="N25:N45" si="7">E25+F25+G25+H25+I25+L25+M25</f>
        <v>432244743.95350003</v>
      </c>
      <c r="O25" s="74"/>
      <c r="P25" s="183"/>
      <c r="Q25" s="78">
        <v>44</v>
      </c>
      <c r="R25" s="182"/>
      <c r="S25" s="70" t="s">
        <v>167</v>
      </c>
      <c r="T25" s="70">
        <v>11696038.800000001</v>
      </c>
      <c r="U25" s="70">
        <v>0</v>
      </c>
      <c r="V25" s="70">
        <v>122000994.9527</v>
      </c>
      <c r="W25" s="70">
        <v>24762594.7733</v>
      </c>
      <c r="X25" s="70">
        <v>7250990.4073000001</v>
      </c>
      <c r="Y25" s="70">
        <v>4753788.8558</v>
      </c>
      <c r="Z25" s="70">
        <v>0</v>
      </c>
      <c r="AA25" s="70">
        <f t="shared" si="3"/>
        <v>4753788.8558</v>
      </c>
      <c r="AB25" s="70">
        <v>242007758.0411</v>
      </c>
      <c r="AC25" s="75">
        <f t="shared" si="4"/>
        <v>412472165.83019996</v>
      </c>
    </row>
    <row r="26" spans="1:29" ht="24.95" customHeight="1">
      <c r="A26" s="183"/>
      <c r="B26" s="178"/>
      <c r="C26" s="66">
        <v>2</v>
      </c>
      <c r="D26" s="70" t="s">
        <v>168</v>
      </c>
      <c r="E26" s="70">
        <v>14932653.3682</v>
      </c>
      <c r="F26" s="70">
        <v>0</v>
      </c>
      <c r="G26" s="70">
        <v>155762014.76019999</v>
      </c>
      <c r="H26" s="70">
        <v>31615083.5825</v>
      </c>
      <c r="I26" s="70">
        <v>7024044.5113000004</v>
      </c>
      <c r="J26" s="70">
        <v>6069292.5513000004</v>
      </c>
      <c r="K26" s="70">
        <v>0</v>
      </c>
      <c r="L26" s="70">
        <f t="shared" si="6"/>
        <v>6069292.5513000004</v>
      </c>
      <c r="M26" s="70">
        <v>267616568.7816</v>
      </c>
      <c r="N26" s="75">
        <f t="shared" si="7"/>
        <v>483019657.55509996</v>
      </c>
      <c r="O26" s="74"/>
      <c r="P26" s="76"/>
      <c r="Q26" s="191" t="s">
        <v>169</v>
      </c>
      <c r="R26" s="192"/>
      <c r="S26" s="71"/>
      <c r="T26" s="71">
        <f>229884093.8022+309986507.55</f>
        <v>539870601.35220003</v>
      </c>
      <c r="U26" s="71">
        <v>0</v>
      </c>
      <c r="V26" s="71">
        <f>2397913400.1982+3233459036.04</f>
        <v>5631372436.2382002</v>
      </c>
      <c r="W26" s="71">
        <f>486705521.1606+656296580.67</f>
        <v>1143002101.8306</v>
      </c>
      <c r="X26" s="71">
        <f>142564821.9473+192335318.74</f>
        <v>334900140.68729997</v>
      </c>
      <c r="Y26" s="71">
        <f>93435090.455+125992263.73</f>
        <v>219427354.185</v>
      </c>
      <c r="Z26" s="71">
        <v>0</v>
      </c>
      <c r="AA26" s="71">
        <f>Y26</f>
        <v>219427354.185</v>
      </c>
      <c r="AB26" s="71">
        <f>4772576147.3966+6452462018.47</f>
        <v>11225038165.8666</v>
      </c>
      <c r="AC26" s="71">
        <f>8123079074.9599+10970534725.2</f>
        <v>19093613800.159901</v>
      </c>
    </row>
    <row r="27" spans="1:29" ht="24.95" customHeight="1">
      <c r="A27" s="183"/>
      <c r="B27" s="178"/>
      <c r="C27" s="66">
        <v>3</v>
      </c>
      <c r="D27" s="70" t="s">
        <v>170</v>
      </c>
      <c r="E27" s="70">
        <v>12715158.6209</v>
      </c>
      <c r="F27" s="70">
        <v>0</v>
      </c>
      <c r="G27" s="70">
        <v>132631400.1911</v>
      </c>
      <c r="H27" s="70">
        <v>26920252.727600001</v>
      </c>
      <c r="I27" s="70">
        <v>6469550.1253000004</v>
      </c>
      <c r="J27" s="70">
        <v>5168004.3460999997</v>
      </c>
      <c r="K27" s="70">
        <v>0</v>
      </c>
      <c r="L27" s="70">
        <f t="shared" si="6"/>
        <v>5168004.3460999997</v>
      </c>
      <c r="M27" s="70">
        <v>247449830.9235</v>
      </c>
      <c r="N27" s="75">
        <f t="shared" si="7"/>
        <v>431354196.93449998</v>
      </c>
      <c r="O27" s="74"/>
      <c r="P27" s="177">
        <v>20</v>
      </c>
      <c r="Q27" s="78">
        <v>1</v>
      </c>
      <c r="R27" s="177" t="s">
        <v>105</v>
      </c>
      <c r="S27" s="70" t="s">
        <v>171</v>
      </c>
      <c r="T27" s="70">
        <v>11884886.9581</v>
      </c>
      <c r="U27" s="70">
        <v>0</v>
      </c>
      <c r="V27" s="70">
        <v>123970863.86139999</v>
      </c>
      <c r="W27" s="70">
        <v>25162419.9186</v>
      </c>
      <c r="X27" s="70">
        <v>6192221.0379999997</v>
      </c>
      <c r="Y27" s="70">
        <v>4830545.1221000003</v>
      </c>
      <c r="Z27" s="70">
        <v>0</v>
      </c>
      <c r="AA27" s="70">
        <f t="shared" ref="AA27:AA60" si="8">Y27-Z27</f>
        <v>4830545.1221000003</v>
      </c>
      <c r="AB27" s="70">
        <v>216492938.24380001</v>
      </c>
      <c r="AC27" s="75">
        <f t="shared" si="4"/>
        <v>388533875.14199996</v>
      </c>
    </row>
    <row r="28" spans="1:29" ht="24.95" customHeight="1">
      <c r="A28" s="183"/>
      <c r="B28" s="178"/>
      <c r="C28" s="66">
        <v>4</v>
      </c>
      <c r="D28" s="70" t="s">
        <v>172</v>
      </c>
      <c r="E28" s="70">
        <v>11132304.5799</v>
      </c>
      <c r="F28" s="70">
        <v>0</v>
      </c>
      <c r="G28" s="70">
        <v>116120701.89740001</v>
      </c>
      <c r="H28" s="70">
        <v>23569069.145599999</v>
      </c>
      <c r="I28" s="70">
        <v>6031961.6391000003</v>
      </c>
      <c r="J28" s="70">
        <v>4524662.2686999999</v>
      </c>
      <c r="K28" s="70">
        <v>0</v>
      </c>
      <c r="L28" s="70">
        <f t="shared" si="6"/>
        <v>4524662.2686999999</v>
      </c>
      <c r="M28" s="70">
        <v>231534913.63049999</v>
      </c>
      <c r="N28" s="75">
        <f t="shared" si="7"/>
        <v>392913613.16120005</v>
      </c>
      <c r="O28" s="74"/>
      <c r="P28" s="178"/>
      <c r="Q28" s="78">
        <v>2</v>
      </c>
      <c r="R28" s="178"/>
      <c r="S28" s="70" t="s">
        <v>173</v>
      </c>
      <c r="T28" s="70">
        <v>12246679.238299999</v>
      </c>
      <c r="U28" s="70">
        <v>0</v>
      </c>
      <c r="V28" s="70">
        <v>127744707.2031</v>
      </c>
      <c r="W28" s="70">
        <v>25928398.535799999</v>
      </c>
      <c r="X28" s="70">
        <v>6644082.6205000002</v>
      </c>
      <c r="Y28" s="70">
        <v>4977593.5493000001</v>
      </c>
      <c r="Z28" s="70">
        <v>0</v>
      </c>
      <c r="AA28" s="70">
        <f t="shared" si="8"/>
        <v>4977593.5493000001</v>
      </c>
      <c r="AB28" s="70">
        <v>232926962.30759999</v>
      </c>
      <c r="AC28" s="75">
        <f t="shared" si="4"/>
        <v>410468423.45459998</v>
      </c>
    </row>
    <row r="29" spans="1:29" ht="24.95" customHeight="1">
      <c r="A29" s="183"/>
      <c r="B29" s="178"/>
      <c r="C29" s="66">
        <v>5</v>
      </c>
      <c r="D29" s="70" t="s">
        <v>174</v>
      </c>
      <c r="E29" s="70">
        <v>11015814.305</v>
      </c>
      <c r="F29" s="70">
        <v>0</v>
      </c>
      <c r="G29" s="70">
        <v>114905595.6822</v>
      </c>
      <c r="H29" s="70">
        <v>23322438.511</v>
      </c>
      <c r="I29" s="70">
        <v>6242900.5449999999</v>
      </c>
      <c r="J29" s="70">
        <v>4477315.4550000001</v>
      </c>
      <c r="K29" s="70">
        <v>0</v>
      </c>
      <c r="L29" s="70">
        <f t="shared" si="6"/>
        <v>4477315.4550000001</v>
      </c>
      <c r="M29" s="70">
        <v>239206676.824</v>
      </c>
      <c r="N29" s="75">
        <f t="shared" si="7"/>
        <v>399170741.3222</v>
      </c>
      <c r="O29" s="74"/>
      <c r="P29" s="178"/>
      <c r="Q29" s="78">
        <v>3</v>
      </c>
      <c r="R29" s="178"/>
      <c r="S29" s="70" t="s">
        <v>175</v>
      </c>
      <c r="T29" s="70">
        <v>13323230.035800001</v>
      </c>
      <c r="U29" s="70">
        <v>0</v>
      </c>
      <c r="V29" s="70">
        <v>138974173.06439999</v>
      </c>
      <c r="W29" s="70">
        <v>28207648.084199999</v>
      </c>
      <c r="X29" s="70">
        <v>6957307.7709999997</v>
      </c>
      <c r="Y29" s="70">
        <v>5415151.5355000002</v>
      </c>
      <c r="Z29" s="70">
        <v>0</v>
      </c>
      <c r="AA29" s="70">
        <f t="shared" si="8"/>
        <v>5415151.5355000002</v>
      </c>
      <c r="AB29" s="70">
        <v>244318835.08430001</v>
      </c>
      <c r="AC29" s="75">
        <f t="shared" si="4"/>
        <v>437196345.57519996</v>
      </c>
    </row>
    <row r="30" spans="1:29" ht="24.95" customHeight="1">
      <c r="A30" s="183"/>
      <c r="B30" s="178"/>
      <c r="C30" s="66">
        <v>6</v>
      </c>
      <c r="D30" s="70" t="s">
        <v>176</v>
      </c>
      <c r="E30" s="70">
        <v>11777492.8806</v>
      </c>
      <c r="F30" s="70">
        <v>0</v>
      </c>
      <c r="G30" s="70">
        <v>122850639.7811</v>
      </c>
      <c r="H30" s="70">
        <v>24935047.552000001</v>
      </c>
      <c r="I30" s="70">
        <v>6645371.0535000004</v>
      </c>
      <c r="J30" s="70">
        <v>4786895.4063999997</v>
      </c>
      <c r="K30" s="70">
        <v>0</v>
      </c>
      <c r="L30" s="70">
        <f t="shared" si="6"/>
        <v>4786895.4063999997</v>
      </c>
      <c r="M30" s="70">
        <v>253844367.38600001</v>
      </c>
      <c r="N30" s="75">
        <f t="shared" si="7"/>
        <v>424839814.0596</v>
      </c>
      <c r="O30" s="74"/>
      <c r="P30" s="178"/>
      <c r="Q30" s="78">
        <v>4</v>
      </c>
      <c r="R30" s="178"/>
      <c r="S30" s="70" t="s">
        <v>177</v>
      </c>
      <c r="T30" s="70">
        <v>12491853.193700001</v>
      </c>
      <c r="U30" s="70">
        <v>0</v>
      </c>
      <c r="V30" s="70">
        <v>130302108.6455</v>
      </c>
      <c r="W30" s="70">
        <v>26447475.414000001</v>
      </c>
      <c r="X30" s="70">
        <v>6809019.0292999996</v>
      </c>
      <c r="Y30" s="70">
        <v>5077243.1176000005</v>
      </c>
      <c r="Z30" s="70">
        <v>0</v>
      </c>
      <c r="AA30" s="70">
        <f t="shared" si="8"/>
        <v>5077243.1176000005</v>
      </c>
      <c r="AB30" s="70">
        <v>238925633.1751</v>
      </c>
      <c r="AC30" s="75">
        <f t="shared" si="4"/>
        <v>420053332.57520002</v>
      </c>
    </row>
    <row r="31" spans="1:29" ht="24.95" customHeight="1">
      <c r="A31" s="183"/>
      <c r="B31" s="178"/>
      <c r="C31" s="66">
        <v>7</v>
      </c>
      <c r="D31" s="70" t="s">
        <v>178</v>
      </c>
      <c r="E31" s="70">
        <v>12828513.525</v>
      </c>
      <c r="F31" s="70">
        <v>0</v>
      </c>
      <c r="G31" s="70">
        <v>133813801.45730001</v>
      </c>
      <c r="H31" s="70">
        <v>27160245.224599998</v>
      </c>
      <c r="I31" s="70">
        <v>6534228.3015000001</v>
      </c>
      <c r="J31" s="70">
        <v>5214076.8062000005</v>
      </c>
      <c r="K31" s="70">
        <v>0</v>
      </c>
      <c r="L31" s="70">
        <f t="shared" si="6"/>
        <v>5214076.8062000005</v>
      </c>
      <c r="M31" s="70">
        <v>249802150.18430001</v>
      </c>
      <c r="N31" s="75">
        <f t="shared" si="7"/>
        <v>435353015.4989</v>
      </c>
      <c r="O31" s="74"/>
      <c r="P31" s="178"/>
      <c r="Q31" s="78">
        <v>5</v>
      </c>
      <c r="R31" s="178"/>
      <c r="S31" s="70" t="s">
        <v>179</v>
      </c>
      <c r="T31" s="70">
        <v>11682608.4176</v>
      </c>
      <c r="U31" s="70">
        <v>0</v>
      </c>
      <c r="V31" s="70">
        <v>121860903.0774</v>
      </c>
      <c r="W31" s="70">
        <v>24734160.264699999</v>
      </c>
      <c r="X31" s="70">
        <v>6230535.0598999998</v>
      </c>
      <c r="Y31" s="70">
        <v>4748330.1527000004</v>
      </c>
      <c r="Z31" s="70">
        <v>0</v>
      </c>
      <c r="AA31" s="70">
        <f t="shared" si="8"/>
        <v>4748330.1527000004</v>
      </c>
      <c r="AB31" s="70">
        <v>217886403.81110001</v>
      </c>
      <c r="AC31" s="75">
        <f t="shared" si="4"/>
        <v>387142940.7834</v>
      </c>
    </row>
    <row r="32" spans="1:29" ht="24.95" customHeight="1">
      <c r="A32" s="183"/>
      <c r="B32" s="178"/>
      <c r="C32" s="66">
        <v>8</v>
      </c>
      <c r="D32" s="70" t="s">
        <v>180</v>
      </c>
      <c r="E32" s="70">
        <v>13419695.293</v>
      </c>
      <c r="F32" s="70">
        <v>0</v>
      </c>
      <c r="G32" s="70">
        <v>139980398.97999999</v>
      </c>
      <c r="H32" s="70">
        <v>28411882.193999998</v>
      </c>
      <c r="I32" s="70">
        <v>6525846.7081000004</v>
      </c>
      <c r="J32" s="70">
        <v>5454359.2939999998</v>
      </c>
      <c r="K32" s="70">
        <v>0</v>
      </c>
      <c r="L32" s="70">
        <f t="shared" si="6"/>
        <v>5454359.2939999998</v>
      </c>
      <c r="M32" s="70">
        <v>249497315.00330001</v>
      </c>
      <c r="N32" s="75">
        <f t="shared" si="7"/>
        <v>443289497.47240001</v>
      </c>
      <c r="O32" s="74"/>
      <c r="P32" s="178"/>
      <c r="Q32" s="78">
        <v>6</v>
      </c>
      <c r="R32" s="178"/>
      <c r="S32" s="70" t="s">
        <v>181</v>
      </c>
      <c r="T32" s="70">
        <v>10927733.4344</v>
      </c>
      <c r="U32" s="70">
        <v>0</v>
      </c>
      <c r="V32" s="70">
        <v>113986827.0253</v>
      </c>
      <c r="W32" s="70">
        <v>23135955.638799999</v>
      </c>
      <c r="X32" s="70">
        <v>6041301.0151000004</v>
      </c>
      <c r="Y32" s="70">
        <v>4441515.483</v>
      </c>
      <c r="Z32" s="70">
        <v>0</v>
      </c>
      <c r="AA32" s="70">
        <f t="shared" si="8"/>
        <v>4441515.483</v>
      </c>
      <c r="AB32" s="70">
        <v>211004037.69440001</v>
      </c>
      <c r="AC32" s="75">
        <f t="shared" si="4"/>
        <v>369537370.29100001</v>
      </c>
    </row>
    <row r="33" spans="1:29" ht="24.95" customHeight="1">
      <c r="A33" s="183"/>
      <c r="B33" s="178"/>
      <c r="C33" s="66">
        <v>9</v>
      </c>
      <c r="D33" s="70" t="s">
        <v>182</v>
      </c>
      <c r="E33" s="70">
        <v>11667757.3643</v>
      </c>
      <c r="F33" s="70">
        <v>0</v>
      </c>
      <c r="G33" s="70">
        <v>121705992.22930001</v>
      </c>
      <c r="H33" s="70">
        <v>24702717.9428</v>
      </c>
      <c r="I33" s="70">
        <v>6908011.4267999995</v>
      </c>
      <c r="J33" s="70">
        <v>4742294.0261000004</v>
      </c>
      <c r="K33" s="70">
        <v>0</v>
      </c>
      <c r="L33" s="70">
        <f t="shared" si="6"/>
        <v>4742294.0261000004</v>
      </c>
      <c r="M33" s="70">
        <v>263396492.1557</v>
      </c>
      <c r="N33" s="75">
        <f t="shared" si="7"/>
        <v>433123265.14500004</v>
      </c>
      <c r="O33" s="74"/>
      <c r="P33" s="178"/>
      <c r="Q33" s="78">
        <v>7</v>
      </c>
      <c r="R33" s="178"/>
      <c r="S33" s="70" t="s">
        <v>183</v>
      </c>
      <c r="T33" s="70">
        <v>10963494.7963</v>
      </c>
      <c r="U33" s="70">
        <v>0</v>
      </c>
      <c r="V33" s="70">
        <v>114359852.61220001</v>
      </c>
      <c r="W33" s="70">
        <v>23211668.8037</v>
      </c>
      <c r="X33" s="70">
        <v>5734249.7489</v>
      </c>
      <c r="Y33" s="70">
        <v>4456050.4863999998</v>
      </c>
      <c r="Z33" s="70">
        <v>0</v>
      </c>
      <c r="AA33" s="70">
        <f t="shared" si="8"/>
        <v>4456050.4863999998</v>
      </c>
      <c r="AB33" s="70">
        <v>199836706.60550001</v>
      </c>
      <c r="AC33" s="75">
        <f t="shared" si="4"/>
        <v>358562023.05299997</v>
      </c>
    </row>
    <row r="34" spans="1:29" ht="24.95" customHeight="1">
      <c r="A34" s="183"/>
      <c r="B34" s="178"/>
      <c r="C34" s="66">
        <v>10</v>
      </c>
      <c r="D34" s="70" t="s">
        <v>184</v>
      </c>
      <c r="E34" s="70">
        <v>10446942.303300001</v>
      </c>
      <c r="F34" s="70">
        <v>0</v>
      </c>
      <c r="G34" s="70">
        <v>108971710.59450001</v>
      </c>
      <c r="H34" s="70">
        <v>22118035.2852</v>
      </c>
      <c r="I34" s="70">
        <v>5811293.4102999996</v>
      </c>
      <c r="J34" s="70">
        <v>4246100.6454999996</v>
      </c>
      <c r="K34" s="70">
        <v>0</v>
      </c>
      <c r="L34" s="70">
        <f t="shared" si="6"/>
        <v>4246100.6454999996</v>
      </c>
      <c r="M34" s="70">
        <v>223509298.87920001</v>
      </c>
      <c r="N34" s="75">
        <f t="shared" si="7"/>
        <v>375103381.11800003</v>
      </c>
      <c r="O34" s="74"/>
      <c r="P34" s="178"/>
      <c r="Q34" s="78">
        <v>8</v>
      </c>
      <c r="R34" s="178"/>
      <c r="S34" s="70" t="s">
        <v>185</v>
      </c>
      <c r="T34" s="70">
        <v>11738612.3236</v>
      </c>
      <c r="U34" s="70">
        <v>0</v>
      </c>
      <c r="V34" s="70">
        <v>122445077.97310001</v>
      </c>
      <c r="W34" s="70">
        <v>24852730.496199999</v>
      </c>
      <c r="X34" s="70">
        <v>6145602.4359999998</v>
      </c>
      <c r="Y34" s="70">
        <v>4771092.6238000002</v>
      </c>
      <c r="Z34" s="70">
        <v>0</v>
      </c>
      <c r="AA34" s="70">
        <f t="shared" si="8"/>
        <v>4771092.6238000002</v>
      </c>
      <c r="AB34" s="70">
        <v>214797438.43130001</v>
      </c>
      <c r="AC34" s="75">
        <f t="shared" si="4"/>
        <v>384750554.28400004</v>
      </c>
    </row>
    <row r="35" spans="1:29" ht="24.95" customHeight="1">
      <c r="A35" s="183"/>
      <c r="B35" s="178"/>
      <c r="C35" s="66">
        <v>11</v>
      </c>
      <c r="D35" s="70" t="s">
        <v>186</v>
      </c>
      <c r="E35" s="70">
        <v>10616429.309900001</v>
      </c>
      <c r="F35" s="70">
        <v>0</v>
      </c>
      <c r="G35" s="70">
        <v>110739623.9709</v>
      </c>
      <c r="H35" s="70">
        <v>22476869.428800002</v>
      </c>
      <c r="I35" s="70">
        <v>6093982.8629999999</v>
      </c>
      <c r="J35" s="70">
        <v>4314987.6813000003</v>
      </c>
      <c r="K35" s="70">
        <v>0</v>
      </c>
      <c r="L35" s="70">
        <f t="shared" si="6"/>
        <v>4314987.6813000003</v>
      </c>
      <c r="M35" s="70">
        <v>233790600.6058</v>
      </c>
      <c r="N35" s="75">
        <f t="shared" si="7"/>
        <v>388032493.85970002</v>
      </c>
      <c r="O35" s="74"/>
      <c r="P35" s="178"/>
      <c r="Q35" s="78">
        <v>9</v>
      </c>
      <c r="R35" s="178"/>
      <c r="S35" s="70" t="s">
        <v>187</v>
      </c>
      <c r="T35" s="70">
        <v>11010260.2499</v>
      </c>
      <c r="U35" s="70">
        <v>0</v>
      </c>
      <c r="V35" s="70">
        <v>114847661.51620001</v>
      </c>
      <c r="W35" s="70">
        <v>23310679.588300001</v>
      </c>
      <c r="X35" s="70">
        <v>5888429.9934</v>
      </c>
      <c r="Y35" s="70">
        <v>4475058.0405999999</v>
      </c>
      <c r="Z35" s="70">
        <v>0</v>
      </c>
      <c r="AA35" s="70">
        <f t="shared" si="8"/>
        <v>4475058.0405999999</v>
      </c>
      <c r="AB35" s="70">
        <v>205444180.10440001</v>
      </c>
      <c r="AC35" s="75">
        <f t="shared" si="4"/>
        <v>364976269.4928</v>
      </c>
    </row>
    <row r="36" spans="1:29" ht="24.95" customHeight="1">
      <c r="A36" s="183"/>
      <c r="B36" s="178"/>
      <c r="C36" s="66">
        <v>12</v>
      </c>
      <c r="D36" s="70" t="s">
        <v>188</v>
      </c>
      <c r="E36" s="70">
        <v>10394167.7433</v>
      </c>
      <c r="F36" s="70">
        <v>0</v>
      </c>
      <c r="G36" s="70">
        <v>108421220.90009999</v>
      </c>
      <c r="H36" s="70">
        <v>22006302.153700002</v>
      </c>
      <c r="I36" s="70">
        <v>5790910.6074000001</v>
      </c>
      <c r="J36" s="70">
        <v>4224650.7238999996</v>
      </c>
      <c r="K36" s="70">
        <v>0</v>
      </c>
      <c r="L36" s="70">
        <f t="shared" si="6"/>
        <v>4224650.7238999996</v>
      </c>
      <c r="M36" s="70">
        <v>222767984.53389999</v>
      </c>
      <c r="N36" s="75">
        <f t="shared" si="7"/>
        <v>373605236.66229999</v>
      </c>
      <c r="O36" s="74"/>
      <c r="P36" s="178"/>
      <c r="Q36" s="78">
        <v>10</v>
      </c>
      <c r="R36" s="178"/>
      <c r="S36" s="70" t="s">
        <v>189</v>
      </c>
      <c r="T36" s="70">
        <v>13274999.7622</v>
      </c>
      <c r="U36" s="70">
        <v>0</v>
      </c>
      <c r="V36" s="70">
        <v>138471084.67109999</v>
      </c>
      <c r="W36" s="70">
        <v>28105536.015099999</v>
      </c>
      <c r="X36" s="70">
        <v>7095199.7429</v>
      </c>
      <c r="Y36" s="70">
        <v>5395548.6135</v>
      </c>
      <c r="Z36" s="70">
        <v>0</v>
      </c>
      <c r="AA36" s="70">
        <f t="shared" si="8"/>
        <v>5395548.6135</v>
      </c>
      <c r="AB36" s="70">
        <v>249333910.6586</v>
      </c>
      <c r="AC36" s="75">
        <f t="shared" si="4"/>
        <v>441676279.46340001</v>
      </c>
    </row>
    <row r="37" spans="1:29" ht="24.95" customHeight="1">
      <c r="A37" s="183"/>
      <c r="B37" s="178"/>
      <c r="C37" s="66">
        <v>13</v>
      </c>
      <c r="D37" s="70" t="s">
        <v>190</v>
      </c>
      <c r="E37" s="70">
        <v>12052260.9603</v>
      </c>
      <c r="F37" s="70">
        <v>0</v>
      </c>
      <c r="G37" s="70">
        <v>125716736.55840001</v>
      </c>
      <c r="H37" s="70">
        <v>25516780.455899999</v>
      </c>
      <c r="I37" s="70">
        <v>6328898.5169000002</v>
      </c>
      <c r="J37" s="70">
        <v>4898573.3392000003</v>
      </c>
      <c r="K37" s="70">
        <v>0</v>
      </c>
      <c r="L37" s="70">
        <f t="shared" si="6"/>
        <v>4898573.3392000003</v>
      </c>
      <c r="M37" s="70">
        <v>242334388.4826</v>
      </c>
      <c r="N37" s="75">
        <f t="shared" si="7"/>
        <v>416847638.31330001</v>
      </c>
      <c r="O37" s="74"/>
      <c r="P37" s="178"/>
      <c r="Q37" s="78">
        <v>11</v>
      </c>
      <c r="R37" s="178"/>
      <c r="S37" s="70" t="s">
        <v>191</v>
      </c>
      <c r="T37" s="70">
        <v>10956084.395</v>
      </c>
      <c r="U37" s="70">
        <v>0</v>
      </c>
      <c r="V37" s="70">
        <v>114282554.96080001</v>
      </c>
      <c r="W37" s="70">
        <v>23195979.665899999</v>
      </c>
      <c r="X37" s="70">
        <v>5815524.2500999998</v>
      </c>
      <c r="Y37" s="70">
        <v>4453038.5707</v>
      </c>
      <c r="Z37" s="70">
        <v>0</v>
      </c>
      <c r="AA37" s="70">
        <f t="shared" si="8"/>
        <v>4453038.5707</v>
      </c>
      <c r="AB37" s="70">
        <v>202792627.5341</v>
      </c>
      <c r="AC37" s="75">
        <f t="shared" si="4"/>
        <v>361495809.37659997</v>
      </c>
    </row>
    <row r="38" spans="1:29" ht="24.95" customHeight="1">
      <c r="A38" s="183"/>
      <c r="B38" s="178"/>
      <c r="C38" s="66">
        <v>14</v>
      </c>
      <c r="D38" s="70" t="s">
        <v>192</v>
      </c>
      <c r="E38" s="70">
        <v>11683953.2268</v>
      </c>
      <c r="F38" s="70">
        <v>0</v>
      </c>
      <c r="G38" s="70">
        <v>121874930.73729999</v>
      </c>
      <c r="H38" s="70">
        <v>24737007.464899998</v>
      </c>
      <c r="I38" s="70">
        <v>6356790.0980000002</v>
      </c>
      <c r="J38" s="70">
        <v>4748876.7428000001</v>
      </c>
      <c r="K38" s="70">
        <v>0</v>
      </c>
      <c r="L38" s="70">
        <f t="shared" si="6"/>
        <v>4748876.7428000001</v>
      </c>
      <c r="M38" s="70">
        <v>243348794.0697</v>
      </c>
      <c r="N38" s="75">
        <f t="shared" si="7"/>
        <v>412750352.33949995</v>
      </c>
      <c r="O38" s="74"/>
      <c r="P38" s="178"/>
      <c r="Q38" s="78">
        <v>12</v>
      </c>
      <c r="R38" s="178"/>
      <c r="S38" s="70" t="s">
        <v>193</v>
      </c>
      <c r="T38" s="70">
        <v>12168615.4537</v>
      </c>
      <c r="U38" s="70">
        <v>0</v>
      </c>
      <c r="V38" s="70">
        <v>126930426.4412</v>
      </c>
      <c r="W38" s="70">
        <v>25763123.616999999</v>
      </c>
      <c r="X38" s="70">
        <v>6452782.0574000003</v>
      </c>
      <c r="Y38" s="70">
        <v>4945864.9653000003</v>
      </c>
      <c r="Z38" s="70">
        <v>0</v>
      </c>
      <c r="AA38" s="70">
        <f t="shared" si="8"/>
        <v>4945864.9653000003</v>
      </c>
      <c r="AB38" s="70">
        <v>225969437.7466</v>
      </c>
      <c r="AC38" s="75">
        <f t="shared" si="4"/>
        <v>402230250.28119999</v>
      </c>
    </row>
    <row r="39" spans="1:29" ht="24.95" customHeight="1">
      <c r="A39" s="183"/>
      <c r="B39" s="178"/>
      <c r="C39" s="66">
        <v>15</v>
      </c>
      <c r="D39" s="70" t="s">
        <v>194</v>
      </c>
      <c r="E39" s="70">
        <v>11149302.644099999</v>
      </c>
      <c r="F39" s="70">
        <v>0</v>
      </c>
      <c r="G39" s="70">
        <v>116298008.1437</v>
      </c>
      <c r="H39" s="70">
        <v>23605057.071199998</v>
      </c>
      <c r="I39" s="70">
        <v>6302495.8559999997</v>
      </c>
      <c r="J39" s="70">
        <v>4531571.0356999999</v>
      </c>
      <c r="K39" s="70">
        <v>0</v>
      </c>
      <c r="L39" s="70">
        <f t="shared" si="6"/>
        <v>4531571.0356999999</v>
      </c>
      <c r="M39" s="70">
        <v>241374134.3211</v>
      </c>
      <c r="N39" s="75">
        <f t="shared" si="7"/>
        <v>403260569.07179999</v>
      </c>
      <c r="O39" s="74"/>
      <c r="P39" s="178"/>
      <c r="Q39" s="78">
        <v>13</v>
      </c>
      <c r="R39" s="178"/>
      <c r="S39" s="70" t="s">
        <v>195</v>
      </c>
      <c r="T39" s="70">
        <v>13261032.1797</v>
      </c>
      <c r="U39" s="70">
        <v>0</v>
      </c>
      <c r="V39" s="70">
        <v>138325389.27880001</v>
      </c>
      <c r="W39" s="70">
        <v>28075964.158300001</v>
      </c>
      <c r="X39" s="70">
        <v>6791177.659</v>
      </c>
      <c r="Y39" s="70">
        <v>5389871.5685000001</v>
      </c>
      <c r="Z39" s="70">
        <v>0</v>
      </c>
      <c r="AA39" s="70">
        <f t="shared" si="8"/>
        <v>5389871.5685000001</v>
      </c>
      <c r="AB39" s="70">
        <v>238276749.71160001</v>
      </c>
      <c r="AC39" s="75">
        <f t="shared" si="4"/>
        <v>430120184.55590004</v>
      </c>
    </row>
    <row r="40" spans="1:29" ht="24.95" customHeight="1">
      <c r="A40" s="183"/>
      <c r="B40" s="178"/>
      <c r="C40" s="66">
        <v>16</v>
      </c>
      <c r="D40" s="70" t="s">
        <v>196</v>
      </c>
      <c r="E40" s="70">
        <v>10386968.8199</v>
      </c>
      <c r="F40" s="70">
        <v>0</v>
      </c>
      <c r="G40" s="70">
        <v>108346129.1679</v>
      </c>
      <c r="H40" s="70">
        <v>21991060.7522</v>
      </c>
      <c r="I40" s="70">
        <v>6018381.6607999997</v>
      </c>
      <c r="J40" s="70">
        <v>4221724.7621999998</v>
      </c>
      <c r="K40" s="70">
        <v>0</v>
      </c>
      <c r="L40" s="70">
        <f t="shared" si="6"/>
        <v>4221724.7621999998</v>
      </c>
      <c r="M40" s="70">
        <v>231041015.28200001</v>
      </c>
      <c r="N40" s="75">
        <f t="shared" si="7"/>
        <v>382005280.44500005</v>
      </c>
      <c r="O40" s="74"/>
      <c r="P40" s="178"/>
      <c r="Q40" s="78">
        <v>14</v>
      </c>
      <c r="R40" s="178"/>
      <c r="S40" s="70" t="s">
        <v>197</v>
      </c>
      <c r="T40" s="70">
        <v>13230025.150900001</v>
      </c>
      <c r="U40" s="70">
        <v>0</v>
      </c>
      <c r="V40" s="70">
        <v>138001955.9842</v>
      </c>
      <c r="W40" s="70">
        <v>28010316.762400001</v>
      </c>
      <c r="X40" s="70">
        <v>7170287.5244000005</v>
      </c>
      <c r="Y40" s="70">
        <v>5377268.9369000001</v>
      </c>
      <c r="Z40" s="70">
        <v>0</v>
      </c>
      <c r="AA40" s="70">
        <f t="shared" si="8"/>
        <v>5377268.9369000001</v>
      </c>
      <c r="AB40" s="70">
        <v>252064823.07679999</v>
      </c>
      <c r="AC40" s="75">
        <f t="shared" si="4"/>
        <v>443854677.43559998</v>
      </c>
    </row>
    <row r="41" spans="1:29" ht="24.95" customHeight="1">
      <c r="A41" s="183"/>
      <c r="B41" s="178"/>
      <c r="C41" s="66">
        <v>17</v>
      </c>
      <c r="D41" s="70" t="s">
        <v>198</v>
      </c>
      <c r="E41" s="70">
        <v>9871328.6784000006</v>
      </c>
      <c r="F41" s="70">
        <v>0</v>
      </c>
      <c r="G41" s="70">
        <v>102967503.859</v>
      </c>
      <c r="H41" s="70">
        <v>20899358.844300002</v>
      </c>
      <c r="I41" s="70">
        <v>5527885.1686000004</v>
      </c>
      <c r="J41" s="70">
        <v>4012145.7415</v>
      </c>
      <c r="K41" s="70">
        <v>0</v>
      </c>
      <c r="L41" s="70">
        <f t="shared" si="6"/>
        <v>4012145.7415</v>
      </c>
      <c r="M41" s="70">
        <v>213201855.0851</v>
      </c>
      <c r="N41" s="75">
        <f t="shared" si="7"/>
        <v>356480077.37689996</v>
      </c>
      <c r="O41" s="74"/>
      <c r="P41" s="178"/>
      <c r="Q41" s="78">
        <v>15</v>
      </c>
      <c r="R41" s="178"/>
      <c r="S41" s="70" t="s">
        <v>199</v>
      </c>
      <c r="T41" s="70">
        <v>11553190.802200001</v>
      </c>
      <c r="U41" s="70">
        <v>0</v>
      </c>
      <c r="V41" s="70">
        <v>120510952.1996</v>
      </c>
      <c r="W41" s="70">
        <v>24460160.1505</v>
      </c>
      <c r="X41" s="70">
        <v>6453834.5698999995</v>
      </c>
      <c r="Y41" s="70">
        <v>4695729.0946000004</v>
      </c>
      <c r="Z41" s="70">
        <v>0</v>
      </c>
      <c r="AA41" s="70">
        <f t="shared" si="8"/>
        <v>4695729.0946000004</v>
      </c>
      <c r="AB41" s="70">
        <v>226007717.20269999</v>
      </c>
      <c r="AC41" s="75">
        <f t="shared" si="4"/>
        <v>393681584.01950002</v>
      </c>
    </row>
    <row r="42" spans="1:29" ht="24.95" customHeight="1">
      <c r="A42" s="183"/>
      <c r="B42" s="178"/>
      <c r="C42" s="66">
        <v>18</v>
      </c>
      <c r="D42" s="70" t="s">
        <v>200</v>
      </c>
      <c r="E42" s="70">
        <v>11182590.3073</v>
      </c>
      <c r="F42" s="70">
        <v>0</v>
      </c>
      <c r="G42" s="70">
        <v>116645230.6605</v>
      </c>
      <c r="H42" s="70">
        <v>23675532.9758</v>
      </c>
      <c r="I42" s="70">
        <v>6276786.3130999999</v>
      </c>
      <c r="J42" s="70">
        <v>4545100.6183000002</v>
      </c>
      <c r="K42" s="70">
        <v>0</v>
      </c>
      <c r="L42" s="70">
        <f t="shared" si="6"/>
        <v>4545100.6183000002</v>
      </c>
      <c r="M42" s="70">
        <v>240439088.58199999</v>
      </c>
      <c r="N42" s="75">
        <f t="shared" si="7"/>
        <v>402764329.45700002</v>
      </c>
      <c r="O42" s="74"/>
      <c r="P42" s="178"/>
      <c r="Q42" s="78">
        <v>16</v>
      </c>
      <c r="R42" s="178"/>
      <c r="S42" s="70" t="s">
        <v>201</v>
      </c>
      <c r="T42" s="70">
        <v>13015539.4191</v>
      </c>
      <c r="U42" s="70">
        <v>0</v>
      </c>
      <c r="V42" s="70">
        <v>135764662.3897</v>
      </c>
      <c r="W42" s="70">
        <v>27556212.312800001</v>
      </c>
      <c r="X42" s="70">
        <v>6453770.3923000004</v>
      </c>
      <c r="Y42" s="70">
        <v>5290092.4237000002</v>
      </c>
      <c r="Z42" s="70">
        <v>0</v>
      </c>
      <c r="AA42" s="70">
        <f t="shared" si="8"/>
        <v>5290092.4237000002</v>
      </c>
      <c r="AB42" s="70">
        <v>226005383.08950001</v>
      </c>
      <c r="AC42" s="75">
        <f t="shared" si="4"/>
        <v>414085660.02709997</v>
      </c>
    </row>
    <row r="43" spans="1:29" ht="24.95" customHeight="1">
      <c r="A43" s="183"/>
      <c r="B43" s="178"/>
      <c r="C43" s="66">
        <v>19</v>
      </c>
      <c r="D43" s="70" t="s">
        <v>202</v>
      </c>
      <c r="E43" s="70">
        <v>14075726.6724</v>
      </c>
      <c r="F43" s="70">
        <v>0</v>
      </c>
      <c r="G43" s="70">
        <v>146823440.66119999</v>
      </c>
      <c r="H43" s="70">
        <v>29800817.327100001</v>
      </c>
      <c r="I43" s="70">
        <v>6836774.3008000003</v>
      </c>
      <c r="J43" s="70">
        <v>5720999.5398000004</v>
      </c>
      <c r="K43" s="70">
        <v>0</v>
      </c>
      <c r="L43" s="70">
        <f t="shared" si="6"/>
        <v>5720999.5398000004</v>
      </c>
      <c r="M43" s="70">
        <v>260805626.52810001</v>
      </c>
      <c r="N43" s="75">
        <f t="shared" si="7"/>
        <v>464063385.02939999</v>
      </c>
      <c r="O43" s="74"/>
      <c r="P43" s="178"/>
      <c r="Q43" s="78">
        <v>17</v>
      </c>
      <c r="R43" s="178"/>
      <c r="S43" s="70" t="s">
        <v>203</v>
      </c>
      <c r="T43" s="70">
        <v>13435761.424000001</v>
      </c>
      <c r="U43" s="70">
        <v>0</v>
      </c>
      <c r="V43" s="70">
        <v>140147984.26230001</v>
      </c>
      <c r="W43" s="70">
        <v>28445897.0513</v>
      </c>
      <c r="X43" s="70">
        <v>6879088.1231000004</v>
      </c>
      <c r="Y43" s="70">
        <v>5460889.2821000004</v>
      </c>
      <c r="Z43" s="70">
        <v>0</v>
      </c>
      <c r="AA43" s="70">
        <f t="shared" si="8"/>
        <v>5460889.2821000004</v>
      </c>
      <c r="AB43" s="70">
        <v>241474017.9429</v>
      </c>
      <c r="AC43" s="75">
        <f t="shared" si="4"/>
        <v>435843638.08570004</v>
      </c>
    </row>
    <row r="44" spans="1:29" ht="24.95" customHeight="1">
      <c r="A44" s="183"/>
      <c r="B44" s="178"/>
      <c r="C44" s="66">
        <v>20</v>
      </c>
      <c r="D44" s="70" t="s">
        <v>204</v>
      </c>
      <c r="E44" s="70">
        <v>12059813.2391</v>
      </c>
      <c r="F44" s="70">
        <v>0</v>
      </c>
      <c r="G44" s="70">
        <v>125795514.1294</v>
      </c>
      <c r="H44" s="70">
        <v>25532769.973700002</v>
      </c>
      <c r="I44" s="70">
        <v>5031368.8183000004</v>
      </c>
      <c r="J44" s="70">
        <v>4901642.9203000003</v>
      </c>
      <c r="K44" s="70">
        <v>0</v>
      </c>
      <c r="L44" s="70">
        <f t="shared" si="6"/>
        <v>4901642.9203000003</v>
      </c>
      <c r="M44" s="70">
        <v>195143755.072</v>
      </c>
      <c r="N44" s="75">
        <f t="shared" si="7"/>
        <v>368464864.15279996</v>
      </c>
      <c r="O44" s="74"/>
      <c r="P44" s="178"/>
      <c r="Q44" s="78">
        <v>18</v>
      </c>
      <c r="R44" s="178"/>
      <c r="S44" s="70" t="s">
        <v>205</v>
      </c>
      <c r="T44" s="70">
        <v>12861717.6327</v>
      </c>
      <c r="U44" s="70">
        <v>0</v>
      </c>
      <c r="V44" s="70">
        <v>134160152.41</v>
      </c>
      <c r="W44" s="70">
        <v>27230544.227499999</v>
      </c>
      <c r="X44" s="70">
        <v>6641849.2403999995</v>
      </c>
      <c r="Y44" s="70">
        <v>5227572.4281000001</v>
      </c>
      <c r="Z44" s="70">
        <v>0</v>
      </c>
      <c r="AA44" s="70">
        <f t="shared" si="8"/>
        <v>5227572.4281000001</v>
      </c>
      <c r="AB44" s="70">
        <v>232845735.169</v>
      </c>
      <c r="AC44" s="75">
        <f t="shared" si="4"/>
        <v>418967571.10769999</v>
      </c>
    </row>
    <row r="45" spans="1:29" ht="24.95" customHeight="1">
      <c r="A45" s="183"/>
      <c r="B45" s="178"/>
      <c r="C45" s="72">
        <v>21</v>
      </c>
      <c r="D45" s="70" t="s">
        <v>206</v>
      </c>
      <c r="E45" s="70">
        <v>11686868.8916</v>
      </c>
      <c r="F45" s="70">
        <v>1E-4</v>
      </c>
      <c r="G45" s="70">
        <v>121905343.942</v>
      </c>
      <c r="H45" s="70">
        <v>24743180.446199998</v>
      </c>
      <c r="I45" s="70">
        <v>6861290.1405999996</v>
      </c>
      <c r="J45" s="70">
        <v>4750061.7984999996</v>
      </c>
      <c r="K45" s="70">
        <v>0</v>
      </c>
      <c r="L45" s="70">
        <f t="shared" si="6"/>
        <v>4750061.7984999996</v>
      </c>
      <c r="M45" s="70">
        <v>261697257.76210001</v>
      </c>
      <c r="N45" s="75">
        <f t="shared" si="7"/>
        <v>431644002.98110002</v>
      </c>
      <c r="O45" s="74"/>
      <c r="P45" s="178"/>
      <c r="Q45" s="78">
        <v>19</v>
      </c>
      <c r="R45" s="178"/>
      <c r="S45" s="70" t="s">
        <v>207</v>
      </c>
      <c r="T45" s="70">
        <v>14104340.3912</v>
      </c>
      <c r="U45" s="70">
        <v>0</v>
      </c>
      <c r="V45" s="70">
        <v>147121909.4174</v>
      </c>
      <c r="W45" s="70">
        <v>29861397.6598</v>
      </c>
      <c r="X45" s="70">
        <v>7429154.2553000003</v>
      </c>
      <c r="Y45" s="70">
        <v>5732629.4239999996</v>
      </c>
      <c r="Z45" s="70">
        <v>0</v>
      </c>
      <c r="AA45" s="70">
        <f t="shared" si="8"/>
        <v>5732629.4239999996</v>
      </c>
      <c r="AB45" s="70">
        <v>261479701.99169999</v>
      </c>
      <c r="AC45" s="75">
        <f t="shared" si="4"/>
        <v>465729133.13940001</v>
      </c>
    </row>
    <row r="46" spans="1:29" ht="24.95" customHeight="1">
      <c r="A46" s="66"/>
      <c r="B46" s="197" t="s">
        <v>208</v>
      </c>
      <c r="C46" s="197"/>
      <c r="D46" s="71"/>
      <c r="E46" s="71">
        <f t="shared" ref="E46:N46" si="9">SUM(E25:E45)</f>
        <v>247319117.09210005</v>
      </c>
      <c r="F46" s="71">
        <f t="shared" si="9"/>
        <v>1E-4</v>
      </c>
      <c r="G46" s="71">
        <f t="shared" si="9"/>
        <v>2579777553.0781999</v>
      </c>
      <c r="H46" s="71">
        <f t="shared" si="9"/>
        <v>523618567.01949996</v>
      </c>
      <c r="I46" s="71">
        <f t="shared" si="9"/>
        <v>132295795.50580001</v>
      </c>
      <c r="J46" s="71">
        <f t="shared" si="9"/>
        <v>100521457.1156</v>
      </c>
      <c r="K46" s="71">
        <f t="shared" si="9"/>
        <v>0</v>
      </c>
      <c r="L46" s="71">
        <f t="shared" si="9"/>
        <v>100521457.1156</v>
      </c>
      <c r="M46" s="71">
        <f t="shared" si="9"/>
        <v>5066797666.0979004</v>
      </c>
      <c r="N46" s="71">
        <f t="shared" si="9"/>
        <v>8650330155.9091988</v>
      </c>
      <c r="O46" s="74"/>
      <c r="P46" s="178"/>
      <c r="Q46" s="78">
        <v>20</v>
      </c>
      <c r="R46" s="178"/>
      <c r="S46" s="70" t="s">
        <v>209</v>
      </c>
      <c r="T46" s="70">
        <v>11231603.4888</v>
      </c>
      <c r="U46" s="70">
        <v>0</v>
      </c>
      <c r="V46" s="70">
        <v>117156485.54080001</v>
      </c>
      <c r="W46" s="70">
        <v>23779302.600200001</v>
      </c>
      <c r="X46" s="70">
        <v>6218700.7121000001</v>
      </c>
      <c r="Y46" s="70">
        <v>4565021.7489</v>
      </c>
      <c r="Z46" s="70">
        <v>0</v>
      </c>
      <c r="AA46" s="70">
        <f t="shared" si="8"/>
        <v>4565021.7489</v>
      </c>
      <c r="AB46" s="70">
        <v>217455993.34110001</v>
      </c>
      <c r="AC46" s="75">
        <f t="shared" si="4"/>
        <v>380407107.43190002</v>
      </c>
    </row>
    <row r="47" spans="1:29" ht="24.95" customHeight="1">
      <c r="A47" s="183">
        <v>3</v>
      </c>
      <c r="B47" s="177" t="s">
        <v>210</v>
      </c>
      <c r="C47" s="73">
        <v>1</v>
      </c>
      <c r="D47" s="70" t="s">
        <v>211</v>
      </c>
      <c r="E47" s="70">
        <v>11222156.9407</v>
      </c>
      <c r="F47" s="70">
        <v>0</v>
      </c>
      <c r="G47" s="70">
        <v>117057948.9082</v>
      </c>
      <c r="H47" s="70">
        <v>23759302.577199999</v>
      </c>
      <c r="I47" s="70">
        <v>6164357.0833999999</v>
      </c>
      <c r="J47" s="70">
        <v>4561182.2527000001</v>
      </c>
      <c r="K47" s="70">
        <f t="shared" ref="K47:K77" si="10">J47/2</f>
        <v>2280591.12635</v>
      </c>
      <c r="L47" s="70">
        <f t="shared" ref="L47:L77" si="11">J47-K47</f>
        <v>2280591.12635</v>
      </c>
      <c r="M47" s="70">
        <v>219676232.79609999</v>
      </c>
      <c r="N47" s="75">
        <f t="shared" ref="N47:N77" si="12">E47+F47+G47+H47+I47+L47+M47</f>
        <v>380160589.43194997</v>
      </c>
      <c r="O47" s="74"/>
      <c r="P47" s="178"/>
      <c r="Q47" s="78">
        <v>21</v>
      </c>
      <c r="R47" s="178"/>
      <c r="S47" s="70" t="s">
        <v>105</v>
      </c>
      <c r="T47" s="70">
        <v>15468886.381200001</v>
      </c>
      <c r="U47" s="70">
        <v>0</v>
      </c>
      <c r="V47" s="70">
        <v>161355443.63249999</v>
      </c>
      <c r="W47" s="70">
        <v>32750384.262699999</v>
      </c>
      <c r="X47" s="70">
        <v>8362553.1382999998</v>
      </c>
      <c r="Y47" s="70">
        <v>6287241.4282999998</v>
      </c>
      <c r="Z47" s="70">
        <v>0</v>
      </c>
      <c r="AA47" s="70">
        <f t="shared" si="8"/>
        <v>6287241.4282999998</v>
      </c>
      <c r="AB47" s="70">
        <v>295427044.0528</v>
      </c>
      <c r="AC47" s="75">
        <f t="shared" si="4"/>
        <v>519651552.89579999</v>
      </c>
    </row>
    <row r="48" spans="1:29" ht="24.95" customHeight="1">
      <c r="A48" s="183"/>
      <c r="B48" s="178"/>
      <c r="C48" s="66">
        <v>2</v>
      </c>
      <c r="D48" s="70" t="s">
        <v>212</v>
      </c>
      <c r="E48" s="70">
        <v>8762243.0765000004</v>
      </c>
      <c r="F48" s="70">
        <v>0</v>
      </c>
      <c r="G48" s="70">
        <v>91398668.526299998</v>
      </c>
      <c r="H48" s="70">
        <v>18551227.327399999</v>
      </c>
      <c r="I48" s="70">
        <v>5156165.6359000001</v>
      </c>
      <c r="J48" s="70">
        <v>3561364.1678999998</v>
      </c>
      <c r="K48" s="70">
        <f t="shared" si="10"/>
        <v>1780682.0839499999</v>
      </c>
      <c r="L48" s="70">
        <f t="shared" si="11"/>
        <v>1780682.0839499999</v>
      </c>
      <c r="M48" s="70">
        <v>183008715.23730001</v>
      </c>
      <c r="N48" s="75">
        <f t="shared" si="12"/>
        <v>308657701.88735002</v>
      </c>
      <c r="O48" s="74"/>
      <c r="P48" s="178"/>
      <c r="Q48" s="78">
        <v>22</v>
      </c>
      <c r="R48" s="178"/>
      <c r="S48" s="70" t="s">
        <v>213</v>
      </c>
      <c r="T48" s="70">
        <v>10884573.3419</v>
      </c>
      <c r="U48" s="70">
        <v>0</v>
      </c>
      <c r="V48" s="70">
        <v>113536625.52500001</v>
      </c>
      <c r="W48" s="70">
        <v>23044578.045299999</v>
      </c>
      <c r="X48" s="70">
        <v>5784179.9146999996</v>
      </c>
      <c r="Y48" s="70">
        <v>4423973.3075000001</v>
      </c>
      <c r="Z48" s="70">
        <v>0</v>
      </c>
      <c r="AA48" s="70">
        <f t="shared" si="8"/>
        <v>4423973.3075000001</v>
      </c>
      <c r="AB48" s="70">
        <v>201652646.65799999</v>
      </c>
      <c r="AC48" s="75">
        <f t="shared" si="4"/>
        <v>359326576.7924</v>
      </c>
    </row>
    <row r="49" spans="1:29" ht="24.95" customHeight="1">
      <c r="A49" s="183"/>
      <c r="B49" s="178"/>
      <c r="C49" s="66">
        <v>3</v>
      </c>
      <c r="D49" s="70" t="s">
        <v>214</v>
      </c>
      <c r="E49" s="70">
        <v>11568643.172900001</v>
      </c>
      <c r="F49" s="70">
        <v>0</v>
      </c>
      <c r="G49" s="70">
        <v>120672135.3686</v>
      </c>
      <c r="H49" s="70">
        <v>24492875.568100002</v>
      </c>
      <c r="I49" s="70">
        <v>6593923.3707999997</v>
      </c>
      <c r="J49" s="70">
        <v>4702009.6233000001</v>
      </c>
      <c r="K49" s="70">
        <f t="shared" si="10"/>
        <v>2351004.81165</v>
      </c>
      <c r="L49" s="70">
        <f t="shared" si="11"/>
        <v>2351004.81165</v>
      </c>
      <c r="M49" s="70">
        <v>235299385.9418</v>
      </c>
      <c r="N49" s="75">
        <f t="shared" si="12"/>
        <v>400977968.23385</v>
      </c>
      <c r="O49" s="74"/>
      <c r="P49" s="178"/>
      <c r="Q49" s="78">
        <v>23</v>
      </c>
      <c r="R49" s="178"/>
      <c r="S49" s="70" t="s">
        <v>215</v>
      </c>
      <c r="T49" s="70">
        <v>10283036.439200001</v>
      </c>
      <c r="U49" s="70">
        <v>0</v>
      </c>
      <c r="V49" s="70">
        <v>107262013.9333</v>
      </c>
      <c r="W49" s="70">
        <v>21771017.413600001</v>
      </c>
      <c r="X49" s="70">
        <v>5549110.2345000003</v>
      </c>
      <c r="Y49" s="70">
        <v>4179482.0336000002</v>
      </c>
      <c r="Z49" s="70">
        <v>0</v>
      </c>
      <c r="AA49" s="70">
        <f t="shared" si="8"/>
        <v>4179482.0336000002</v>
      </c>
      <c r="AB49" s="70">
        <v>193103256.9095</v>
      </c>
      <c r="AC49" s="75">
        <f t="shared" si="4"/>
        <v>342147916.9637</v>
      </c>
    </row>
    <row r="50" spans="1:29" ht="24.95" customHeight="1">
      <c r="A50" s="183"/>
      <c r="B50" s="178"/>
      <c r="C50" s="66">
        <v>4</v>
      </c>
      <c r="D50" s="70" t="s">
        <v>216</v>
      </c>
      <c r="E50" s="70">
        <v>8868678.9953000005</v>
      </c>
      <c r="F50" s="70">
        <v>0</v>
      </c>
      <c r="G50" s="70">
        <v>92508898.085700005</v>
      </c>
      <c r="H50" s="70">
        <v>18776571.101799998</v>
      </c>
      <c r="I50" s="70">
        <v>5336530.3376000002</v>
      </c>
      <c r="J50" s="70">
        <v>3604624.4456000002</v>
      </c>
      <c r="K50" s="70">
        <f t="shared" si="10"/>
        <v>1802312.2228000001</v>
      </c>
      <c r="L50" s="70">
        <f t="shared" si="11"/>
        <v>1802312.2228000001</v>
      </c>
      <c r="M50" s="70">
        <v>189568506.91280001</v>
      </c>
      <c r="N50" s="75">
        <f t="shared" si="12"/>
        <v>316861497.65600002</v>
      </c>
      <c r="O50" s="74"/>
      <c r="P50" s="178"/>
      <c r="Q50" s="78">
        <v>24</v>
      </c>
      <c r="R50" s="178"/>
      <c r="S50" s="70" t="s">
        <v>217</v>
      </c>
      <c r="T50" s="70">
        <v>12509159.6971</v>
      </c>
      <c r="U50" s="70">
        <v>0</v>
      </c>
      <c r="V50" s="70">
        <v>130482632.21179999</v>
      </c>
      <c r="W50" s="70">
        <v>26484116.360399999</v>
      </c>
      <c r="X50" s="70">
        <v>6857190.7291000001</v>
      </c>
      <c r="Y50" s="70">
        <v>5084277.2481000004</v>
      </c>
      <c r="Z50" s="70">
        <v>0</v>
      </c>
      <c r="AA50" s="70">
        <f t="shared" si="8"/>
        <v>5084277.2481000004</v>
      </c>
      <c r="AB50" s="70">
        <v>240677618.5266</v>
      </c>
      <c r="AC50" s="75">
        <f t="shared" si="4"/>
        <v>422094994.77310002</v>
      </c>
    </row>
    <row r="51" spans="1:29" ht="24.95" customHeight="1">
      <c r="A51" s="183"/>
      <c r="B51" s="178"/>
      <c r="C51" s="66">
        <v>5</v>
      </c>
      <c r="D51" s="70" t="s">
        <v>218</v>
      </c>
      <c r="E51" s="70">
        <v>11918048.286</v>
      </c>
      <c r="F51" s="70">
        <v>0</v>
      </c>
      <c r="G51" s="70">
        <v>124316768.5792</v>
      </c>
      <c r="H51" s="70">
        <v>25232628.348999999</v>
      </c>
      <c r="I51" s="70">
        <v>6852058.4771999996</v>
      </c>
      <c r="J51" s="70">
        <v>4844023.3564999998</v>
      </c>
      <c r="K51" s="70">
        <f t="shared" si="10"/>
        <v>2422011.6782499999</v>
      </c>
      <c r="L51" s="70">
        <f t="shared" si="11"/>
        <v>2422011.6782499999</v>
      </c>
      <c r="M51" s="70">
        <v>244687655.9664</v>
      </c>
      <c r="N51" s="75">
        <f t="shared" si="12"/>
        <v>415429171.33605003</v>
      </c>
      <c r="O51" s="74"/>
      <c r="P51" s="178"/>
      <c r="Q51" s="78">
        <v>25</v>
      </c>
      <c r="R51" s="178"/>
      <c r="S51" s="70" t="s">
        <v>219</v>
      </c>
      <c r="T51" s="70">
        <v>12448116.0352</v>
      </c>
      <c r="U51" s="70">
        <v>0</v>
      </c>
      <c r="V51" s="70">
        <v>129845887.7886</v>
      </c>
      <c r="W51" s="70">
        <v>26354876.0691</v>
      </c>
      <c r="X51" s="70">
        <v>6622839.8378999997</v>
      </c>
      <c r="Y51" s="70">
        <v>5059466.3969000001</v>
      </c>
      <c r="Z51" s="70">
        <v>0</v>
      </c>
      <c r="AA51" s="70">
        <f t="shared" si="8"/>
        <v>5059466.3969000001</v>
      </c>
      <c r="AB51" s="70">
        <v>232154370.8457</v>
      </c>
      <c r="AC51" s="75">
        <f t="shared" si="4"/>
        <v>412485556.9734</v>
      </c>
    </row>
    <row r="52" spans="1:29" ht="24.95" customHeight="1">
      <c r="A52" s="183"/>
      <c r="B52" s="178"/>
      <c r="C52" s="66">
        <v>6</v>
      </c>
      <c r="D52" s="70" t="s">
        <v>220</v>
      </c>
      <c r="E52" s="70">
        <v>10387921.613299999</v>
      </c>
      <c r="F52" s="70">
        <v>0</v>
      </c>
      <c r="G52" s="70">
        <v>108356067.72409999</v>
      </c>
      <c r="H52" s="70">
        <v>21993077.985300001</v>
      </c>
      <c r="I52" s="70">
        <v>5732159.5148</v>
      </c>
      <c r="J52" s="70">
        <v>4222112.0197000001</v>
      </c>
      <c r="K52" s="70">
        <f t="shared" si="10"/>
        <v>2111056.00985</v>
      </c>
      <c r="L52" s="70">
        <f t="shared" si="11"/>
        <v>2111056.00985</v>
      </c>
      <c r="M52" s="70">
        <v>203957381.00999999</v>
      </c>
      <c r="N52" s="75">
        <f t="shared" si="12"/>
        <v>352537663.85734999</v>
      </c>
      <c r="O52" s="74"/>
      <c r="P52" s="178"/>
      <c r="Q52" s="78">
        <v>26</v>
      </c>
      <c r="R52" s="178"/>
      <c r="S52" s="70" t="s">
        <v>221</v>
      </c>
      <c r="T52" s="70">
        <v>11807932.632200001</v>
      </c>
      <c r="U52" s="70">
        <v>0</v>
      </c>
      <c r="V52" s="70">
        <v>123168155.8263</v>
      </c>
      <c r="W52" s="70">
        <v>24999493.9212</v>
      </c>
      <c r="X52" s="70">
        <v>6546417.1626000004</v>
      </c>
      <c r="Y52" s="70">
        <v>4799267.4714000002</v>
      </c>
      <c r="Z52" s="70">
        <v>0</v>
      </c>
      <c r="AA52" s="70">
        <f t="shared" si="8"/>
        <v>4799267.4714000002</v>
      </c>
      <c r="AB52" s="70">
        <v>229374908.87329999</v>
      </c>
      <c r="AC52" s="75">
        <f t="shared" si="4"/>
        <v>400696175.88699996</v>
      </c>
    </row>
    <row r="53" spans="1:29" ht="24.95" customHeight="1">
      <c r="A53" s="183"/>
      <c r="B53" s="178"/>
      <c r="C53" s="66">
        <v>7</v>
      </c>
      <c r="D53" s="70" t="s">
        <v>222</v>
      </c>
      <c r="E53" s="70">
        <v>11781712.3215</v>
      </c>
      <c r="F53" s="70">
        <v>0</v>
      </c>
      <c r="G53" s="70">
        <v>122894652.6293</v>
      </c>
      <c r="H53" s="70">
        <v>24943980.858800001</v>
      </c>
      <c r="I53" s="70">
        <v>6551912.7198000001</v>
      </c>
      <c r="J53" s="70">
        <v>4788610.3743000003</v>
      </c>
      <c r="K53" s="70">
        <f t="shared" si="10"/>
        <v>2394305.1871500001</v>
      </c>
      <c r="L53" s="70">
        <f t="shared" si="11"/>
        <v>2394305.1871500001</v>
      </c>
      <c r="M53" s="70">
        <v>233771475.45550001</v>
      </c>
      <c r="N53" s="75">
        <f t="shared" si="12"/>
        <v>402338039.17205</v>
      </c>
      <c r="O53" s="74"/>
      <c r="P53" s="178"/>
      <c r="Q53" s="78">
        <v>27</v>
      </c>
      <c r="R53" s="178"/>
      <c r="S53" s="70" t="s">
        <v>223</v>
      </c>
      <c r="T53" s="70">
        <v>12055926.058700001</v>
      </c>
      <c r="U53" s="70">
        <v>0</v>
      </c>
      <c r="V53" s="70">
        <v>125754967.0791</v>
      </c>
      <c r="W53" s="70">
        <v>25524540.121300001</v>
      </c>
      <c r="X53" s="70">
        <v>6497231.4568999996</v>
      </c>
      <c r="Y53" s="70">
        <v>4900062.9978</v>
      </c>
      <c r="Z53" s="70">
        <v>0</v>
      </c>
      <c r="AA53" s="70">
        <f t="shared" si="8"/>
        <v>4900062.9978</v>
      </c>
      <c r="AB53" s="70">
        <v>227586044.53369999</v>
      </c>
      <c r="AC53" s="75">
        <f t="shared" si="4"/>
        <v>402318772.2475</v>
      </c>
    </row>
    <row r="54" spans="1:29" ht="24.95" customHeight="1">
      <c r="A54" s="183"/>
      <c r="B54" s="178"/>
      <c r="C54" s="66">
        <v>8</v>
      </c>
      <c r="D54" s="70" t="s">
        <v>224</v>
      </c>
      <c r="E54" s="70">
        <v>9440085.9026999995</v>
      </c>
      <c r="F54" s="70">
        <v>0</v>
      </c>
      <c r="G54" s="70">
        <v>98469224.689300001</v>
      </c>
      <c r="H54" s="70">
        <v>19986341.1734</v>
      </c>
      <c r="I54" s="70">
        <v>5346606.2193</v>
      </c>
      <c r="J54" s="70">
        <v>3836869.5529999998</v>
      </c>
      <c r="K54" s="70">
        <f t="shared" si="10"/>
        <v>1918434.7764999999</v>
      </c>
      <c r="L54" s="70">
        <f t="shared" si="11"/>
        <v>1918434.7764999999</v>
      </c>
      <c r="M54" s="70">
        <v>189934962.68169999</v>
      </c>
      <c r="N54" s="75">
        <f t="shared" si="12"/>
        <v>325095655.4429</v>
      </c>
      <c r="O54" s="74"/>
      <c r="P54" s="178"/>
      <c r="Q54" s="78">
        <v>28</v>
      </c>
      <c r="R54" s="178"/>
      <c r="S54" s="70" t="s">
        <v>225</v>
      </c>
      <c r="T54" s="70">
        <v>10154882.3106</v>
      </c>
      <c r="U54" s="70">
        <v>0</v>
      </c>
      <c r="V54" s="70">
        <v>105925242.44419999</v>
      </c>
      <c r="W54" s="70">
        <v>21499692.325599998</v>
      </c>
      <c r="X54" s="70">
        <v>5755222.9856000002</v>
      </c>
      <c r="Y54" s="70">
        <v>4127394.5123999999</v>
      </c>
      <c r="Z54" s="70">
        <v>0</v>
      </c>
      <c r="AA54" s="70">
        <f t="shared" si="8"/>
        <v>4127394.5123999999</v>
      </c>
      <c r="AB54" s="70">
        <v>200599494.79210001</v>
      </c>
      <c r="AC54" s="75">
        <f t="shared" si="4"/>
        <v>348061929.37049997</v>
      </c>
    </row>
    <row r="55" spans="1:29" ht="24.95" customHeight="1">
      <c r="A55" s="183"/>
      <c r="B55" s="178"/>
      <c r="C55" s="66">
        <v>9</v>
      </c>
      <c r="D55" s="70" t="s">
        <v>226</v>
      </c>
      <c r="E55" s="70">
        <v>10955546.323999999</v>
      </c>
      <c r="F55" s="70">
        <v>0</v>
      </c>
      <c r="G55" s="70">
        <v>114276942.35950001</v>
      </c>
      <c r="H55" s="70">
        <v>23194840.473900001</v>
      </c>
      <c r="I55" s="70">
        <v>6138827.2378000002</v>
      </c>
      <c r="J55" s="70">
        <v>4452819.8746999996</v>
      </c>
      <c r="K55" s="70">
        <f t="shared" si="10"/>
        <v>2226409.9373499998</v>
      </c>
      <c r="L55" s="70">
        <f t="shared" si="11"/>
        <v>2226409.9373499998</v>
      </c>
      <c r="M55" s="70">
        <v>218747722.5738</v>
      </c>
      <c r="N55" s="75">
        <f t="shared" si="12"/>
        <v>375540288.90635002</v>
      </c>
      <c r="O55" s="74"/>
      <c r="P55" s="178"/>
      <c r="Q55" s="78">
        <v>29</v>
      </c>
      <c r="R55" s="178"/>
      <c r="S55" s="70" t="s">
        <v>227</v>
      </c>
      <c r="T55" s="70">
        <v>12150959.158399999</v>
      </c>
      <c r="U55" s="70">
        <v>0</v>
      </c>
      <c r="V55" s="70">
        <v>126746254.2075</v>
      </c>
      <c r="W55" s="70">
        <v>25725742.098900001</v>
      </c>
      <c r="X55" s="70">
        <v>6479005.0209999997</v>
      </c>
      <c r="Y55" s="70">
        <v>4938688.6639999999</v>
      </c>
      <c r="Z55" s="70">
        <v>0</v>
      </c>
      <c r="AA55" s="70">
        <f t="shared" si="8"/>
        <v>4938688.6639999999</v>
      </c>
      <c r="AB55" s="70">
        <v>226923156.39109999</v>
      </c>
      <c r="AC55" s="75">
        <f t="shared" si="4"/>
        <v>402963805.54089999</v>
      </c>
    </row>
    <row r="56" spans="1:29" ht="24.95" customHeight="1">
      <c r="A56" s="183"/>
      <c r="B56" s="178"/>
      <c r="C56" s="66">
        <v>10</v>
      </c>
      <c r="D56" s="70" t="s">
        <v>228</v>
      </c>
      <c r="E56" s="70">
        <v>11919127.215</v>
      </c>
      <c r="F56" s="70">
        <v>0</v>
      </c>
      <c r="G56" s="70">
        <v>124328022.8522</v>
      </c>
      <c r="H56" s="70">
        <v>25234912.633699998</v>
      </c>
      <c r="I56" s="70">
        <v>6813192.5280999998</v>
      </c>
      <c r="J56" s="70">
        <v>4844461.8810999999</v>
      </c>
      <c r="K56" s="70">
        <f t="shared" si="10"/>
        <v>2422230.9405499999</v>
      </c>
      <c r="L56" s="70">
        <f t="shared" si="11"/>
        <v>2422230.9405499999</v>
      </c>
      <c r="M56" s="70">
        <v>243274117.02579999</v>
      </c>
      <c r="N56" s="75">
        <f t="shared" si="12"/>
        <v>413991603.19535005</v>
      </c>
      <c r="O56" s="74"/>
      <c r="P56" s="178"/>
      <c r="Q56" s="78">
        <v>30</v>
      </c>
      <c r="R56" s="178"/>
      <c r="S56" s="70" t="s">
        <v>229</v>
      </c>
      <c r="T56" s="70">
        <v>10960896.516799999</v>
      </c>
      <c r="U56" s="70">
        <v>0</v>
      </c>
      <c r="V56" s="70">
        <v>114332750.0439</v>
      </c>
      <c r="W56" s="70">
        <v>23206167.7837</v>
      </c>
      <c r="X56" s="70">
        <v>6248350.7591000004</v>
      </c>
      <c r="Y56" s="70">
        <v>4454994.4303000001</v>
      </c>
      <c r="Z56" s="70">
        <v>0</v>
      </c>
      <c r="AA56" s="70">
        <f t="shared" si="8"/>
        <v>4454994.4303000001</v>
      </c>
      <c r="AB56" s="70">
        <v>218534353.6293</v>
      </c>
      <c r="AC56" s="75">
        <f t="shared" si="4"/>
        <v>377737513.1631</v>
      </c>
    </row>
    <row r="57" spans="1:29" ht="24.95" customHeight="1">
      <c r="A57" s="183"/>
      <c r="B57" s="178"/>
      <c r="C57" s="66">
        <v>11</v>
      </c>
      <c r="D57" s="70" t="s">
        <v>230</v>
      </c>
      <c r="E57" s="70">
        <v>9173290.3533999994</v>
      </c>
      <c r="F57" s="70">
        <v>0</v>
      </c>
      <c r="G57" s="70">
        <v>95686289.113999993</v>
      </c>
      <c r="H57" s="70">
        <v>19421487.534699999</v>
      </c>
      <c r="I57" s="70">
        <v>5315274.7193999998</v>
      </c>
      <c r="J57" s="70">
        <v>3728432.01</v>
      </c>
      <c r="K57" s="70">
        <f t="shared" si="10"/>
        <v>1864216.0049999999</v>
      </c>
      <c r="L57" s="70">
        <f t="shared" si="11"/>
        <v>1864216.0049999999</v>
      </c>
      <c r="M57" s="70">
        <v>188795448.62819999</v>
      </c>
      <c r="N57" s="75">
        <f t="shared" si="12"/>
        <v>320256006.35469997</v>
      </c>
      <c r="O57" s="74"/>
      <c r="P57" s="178"/>
      <c r="Q57" s="78">
        <v>31</v>
      </c>
      <c r="R57" s="178"/>
      <c r="S57" s="70" t="s">
        <v>231</v>
      </c>
      <c r="T57" s="70">
        <v>11356449.637</v>
      </c>
      <c r="U57" s="70">
        <v>0</v>
      </c>
      <c r="V57" s="70">
        <v>118458751.5948</v>
      </c>
      <c r="W57" s="70">
        <v>24043624.105</v>
      </c>
      <c r="X57" s="70">
        <v>6021239.1002000002</v>
      </c>
      <c r="Y57" s="70">
        <v>4615764.7600999996</v>
      </c>
      <c r="Z57" s="70">
        <v>0</v>
      </c>
      <c r="AA57" s="70">
        <f t="shared" si="8"/>
        <v>4615764.7600999996</v>
      </c>
      <c r="AB57" s="70">
        <v>210274393.91499999</v>
      </c>
      <c r="AC57" s="75">
        <f t="shared" si="4"/>
        <v>374770223.11210001</v>
      </c>
    </row>
    <row r="58" spans="1:29" ht="24.95" customHeight="1">
      <c r="A58" s="183"/>
      <c r="B58" s="178"/>
      <c r="C58" s="66">
        <v>12</v>
      </c>
      <c r="D58" s="70" t="s">
        <v>232</v>
      </c>
      <c r="E58" s="70">
        <v>10850354.107000001</v>
      </c>
      <c r="F58" s="70">
        <v>0</v>
      </c>
      <c r="G58" s="70">
        <v>113179685.81370001</v>
      </c>
      <c r="H58" s="70">
        <v>22972129.8376</v>
      </c>
      <c r="I58" s="70">
        <v>6072121.0497000003</v>
      </c>
      <c r="J58" s="70">
        <v>4410065.0926999999</v>
      </c>
      <c r="K58" s="70">
        <f t="shared" si="10"/>
        <v>2205032.54635</v>
      </c>
      <c r="L58" s="70">
        <f t="shared" si="11"/>
        <v>2205032.54635</v>
      </c>
      <c r="M58" s="70">
        <v>216321645.33660001</v>
      </c>
      <c r="N58" s="75">
        <f t="shared" si="12"/>
        <v>371600968.69095004</v>
      </c>
      <c r="O58" s="74"/>
      <c r="P58" s="178"/>
      <c r="Q58" s="78">
        <v>32</v>
      </c>
      <c r="R58" s="178"/>
      <c r="S58" s="70" t="s">
        <v>233</v>
      </c>
      <c r="T58" s="70">
        <v>12185237.33</v>
      </c>
      <c r="U58" s="70">
        <v>0</v>
      </c>
      <c r="V58" s="70">
        <v>127103808.68440001</v>
      </c>
      <c r="W58" s="70">
        <v>25798315.085999999</v>
      </c>
      <c r="X58" s="70">
        <v>6633865.5480000004</v>
      </c>
      <c r="Y58" s="70">
        <v>4952620.8329999996</v>
      </c>
      <c r="Z58" s="70">
        <v>0</v>
      </c>
      <c r="AA58" s="70">
        <f t="shared" si="8"/>
        <v>4952620.8329999996</v>
      </c>
      <c r="AB58" s="70">
        <v>232555371.48969999</v>
      </c>
      <c r="AC58" s="75">
        <f t="shared" si="4"/>
        <v>409229218.97109997</v>
      </c>
    </row>
    <row r="59" spans="1:29" ht="24.95" customHeight="1">
      <c r="A59" s="183"/>
      <c r="B59" s="178"/>
      <c r="C59" s="66">
        <v>13</v>
      </c>
      <c r="D59" s="70" t="s">
        <v>234</v>
      </c>
      <c r="E59" s="70">
        <v>10853413.2896</v>
      </c>
      <c r="F59" s="70">
        <v>0</v>
      </c>
      <c r="G59" s="70">
        <v>113211596.0469</v>
      </c>
      <c r="H59" s="70">
        <v>22978606.671500001</v>
      </c>
      <c r="I59" s="70">
        <v>6073648.4764</v>
      </c>
      <c r="J59" s="70">
        <v>4411308.4802000001</v>
      </c>
      <c r="K59" s="70">
        <f t="shared" si="10"/>
        <v>2205654.2401000001</v>
      </c>
      <c r="L59" s="70">
        <f t="shared" si="11"/>
        <v>2205654.2401000001</v>
      </c>
      <c r="M59" s="70">
        <v>216377197.23019999</v>
      </c>
      <c r="N59" s="75">
        <f t="shared" si="12"/>
        <v>371700115.95469999</v>
      </c>
      <c r="O59" s="74"/>
      <c r="P59" s="178"/>
      <c r="Q59" s="78">
        <v>33</v>
      </c>
      <c r="R59" s="178"/>
      <c r="S59" s="70" t="s">
        <v>235</v>
      </c>
      <c r="T59" s="70">
        <v>11809790.3694</v>
      </c>
      <c r="U59" s="70">
        <v>0</v>
      </c>
      <c r="V59" s="70">
        <v>123187533.82160001</v>
      </c>
      <c r="W59" s="70">
        <v>25003427.081300002</v>
      </c>
      <c r="X59" s="70">
        <v>6037116.6361999996</v>
      </c>
      <c r="Y59" s="70">
        <v>4800022.5380999995</v>
      </c>
      <c r="Z59" s="70">
        <v>0</v>
      </c>
      <c r="AA59" s="70">
        <f t="shared" si="8"/>
        <v>4800022.5380999995</v>
      </c>
      <c r="AB59" s="70">
        <v>210851853.51519999</v>
      </c>
      <c r="AC59" s="75">
        <f t="shared" si="4"/>
        <v>381689743.96179998</v>
      </c>
    </row>
    <row r="60" spans="1:29" ht="24.95" customHeight="1">
      <c r="A60" s="183"/>
      <c r="B60" s="178"/>
      <c r="C60" s="66">
        <v>14</v>
      </c>
      <c r="D60" s="70" t="s">
        <v>236</v>
      </c>
      <c r="E60" s="70">
        <v>11193681.245999999</v>
      </c>
      <c r="F60" s="70">
        <v>0</v>
      </c>
      <c r="G60" s="70">
        <v>116760919.877</v>
      </c>
      <c r="H60" s="70">
        <v>23699014.4661</v>
      </c>
      <c r="I60" s="70">
        <v>6215532.2944999998</v>
      </c>
      <c r="J60" s="70">
        <v>4549608.4676999999</v>
      </c>
      <c r="K60" s="70">
        <f t="shared" si="10"/>
        <v>2274804.23385</v>
      </c>
      <c r="L60" s="70">
        <f t="shared" si="11"/>
        <v>2274804.23385</v>
      </c>
      <c r="M60" s="70">
        <v>221537454.6442</v>
      </c>
      <c r="N60" s="75">
        <f t="shared" si="12"/>
        <v>381681406.76164997</v>
      </c>
      <c r="O60" s="74"/>
      <c r="P60" s="179"/>
      <c r="Q60" s="78">
        <v>34</v>
      </c>
      <c r="R60" s="179"/>
      <c r="S60" s="70" t="s">
        <v>237</v>
      </c>
      <c r="T60" s="70">
        <v>11574563.5285</v>
      </c>
      <c r="U60" s="70">
        <v>0</v>
      </c>
      <c r="V60" s="70">
        <v>120733890.40350001</v>
      </c>
      <c r="W60" s="70">
        <v>24505410.0143</v>
      </c>
      <c r="X60" s="70">
        <v>6261173.4418000001</v>
      </c>
      <c r="Y60" s="70">
        <v>4704415.9183999998</v>
      </c>
      <c r="Z60" s="70">
        <v>0</v>
      </c>
      <c r="AA60" s="70">
        <f t="shared" si="8"/>
        <v>4704415.9183999998</v>
      </c>
      <c r="AB60" s="70">
        <v>219000709.44229999</v>
      </c>
      <c r="AC60" s="75">
        <f t="shared" si="4"/>
        <v>386780162.74879998</v>
      </c>
    </row>
    <row r="61" spans="1:29" ht="24.95" customHeight="1">
      <c r="A61" s="183"/>
      <c r="B61" s="178"/>
      <c r="C61" s="66">
        <v>15</v>
      </c>
      <c r="D61" s="70" t="s">
        <v>238</v>
      </c>
      <c r="E61" s="70">
        <v>10226524.786499999</v>
      </c>
      <c r="F61" s="70">
        <v>0</v>
      </c>
      <c r="G61" s="70">
        <v>106672542.7471</v>
      </c>
      <c r="H61" s="70">
        <v>21651372.1917</v>
      </c>
      <c r="I61" s="70">
        <v>5652296.9205999998</v>
      </c>
      <c r="J61" s="70">
        <v>4156513.1918000001</v>
      </c>
      <c r="K61" s="70">
        <f t="shared" si="10"/>
        <v>2078256.5959000001</v>
      </c>
      <c r="L61" s="70">
        <f t="shared" si="11"/>
        <v>2078256.5959000001</v>
      </c>
      <c r="M61" s="70">
        <v>201052810.5713</v>
      </c>
      <c r="N61" s="75">
        <f t="shared" si="12"/>
        <v>347333803.81309998</v>
      </c>
      <c r="O61" s="74"/>
      <c r="P61" s="66"/>
      <c r="Q61" s="191" t="s">
        <v>239</v>
      </c>
      <c r="R61" s="192"/>
      <c r="S61" s="71"/>
      <c r="T61" s="71">
        <f t="shared" ref="T61:AC61" si="13">SUM(T27:T60)</f>
        <v>411012678.18339998</v>
      </c>
      <c r="U61" s="71">
        <f t="shared" si="13"/>
        <v>0</v>
      </c>
      <c r="V61" s="71">
        <f t="shared" si="13"/>
        <v>4287259689.7310004</v>
      </c>
      <c r="W61" s="71">
        <f t="shared" si="13"/>
        <v>870186955.65349984</v>
      </c>
      <c r="X61" s="71">
        <f t="shared" si="13"/>
        <v>219699613.2049</v>
      </c>
      <c r="Y61" s="71">
        <f t="shared" si="13"/>
        <v>167053779.70720002</v>
      </c>
      <c r="Z61" s="71">
        <f t="shared" si="13"/>
        <v>0</v>
      </c>
      <c r="AA61" s="71">
        <f t="shared" si="13"/>
        <v>167053779.70720002</v>
      </c>
      <c r="AB61" s="71">
        <f t="shared" si="13"/>
        <v>7694054456.4963999</v>
      </c>
      <c r="AC61" s="71">
        <f t="shared" si="13"/>
        <v>13649267172.976398</v>
      </c>
    </row>
    <row r="62" spans="1:29" ht="24.95" customHeight="1">
      <c r="A62" s="183"/>
      <c r="B62" s="178"/>
      <c r="C62" s="66">
        <v>16</v>
      </c>
      <c r="D62" s="70" t="s">
        <v>240</v>
      </c>
      <c r="E62" s="70">
        <v>10441796.976299999</v>
      </c>
      <c r="F62" s="70">
        <v>0</v>
      </c>
      <c r="G62" s="70">
        <v>108918039.8589</v>
      </c>
      <c r="H62" s="70">
        <v>22107141.7128</v>
      </c>
      <c r="I62" s="70">
        <v>6009599.2406000001</v>
      </c>
      <c r="J62" s="70">
        <v>4244009.3564999998</v>
      </c>
      <c r="K62" s="70">
        <f t="shared" si="10"/>
        <v>2122004.6782499999</v>
      </c>
      <c r="L62" s="70">
        <f t="shared" si="11"/>
        <v>2122004.6782499999</v>
      </c>
      <c r="M62" s="70">
        <v>214047752.27860001</v>
      </c>
      <c r="N62" s="75">
        <f t="shared" si="12"/>
        <v>363646334.74545002</v>
      </c>
      <c r="O62" s="74"/>
      <c r="P62" s="177">
        <v>21</v>
      </c>
      <c r="Q62" s="78">
        <v>1</v>
      </c>
      <c r="R62" s="177" t="s">
        <v>106</v>
      </c>
      <c r="S62" s="70" t="s">
        <v>241</v>
      </c>
      <c r="T62" s="70">
        <v>9267334.5151000004</v>
      </c>
      <c r="U62" s="70">
        <v>0</v>
      </c>
      <c r="V62" s="70">
        <v>96667260.663599998</v>
      </c>
      <c r="W62" s="70">
        <v>19620595.754900001</v>
      </c>
      <c r="X62" s="70">
        <v>5069403.6826999998</v>
      </c>
      <c r="Y62" s="70">
        <v>3766655.7280000001</v>
      </c>
      <c r="Z62" s="70">
        <f t="shared" ref="Z62:Z82" si="14">Y62/2</f>
        <v>1883327.8640000001</v>
      </c>
      <c r="AA62" s="70">
        <f t="shared" ref="AA62:AA82" si="15">Y62-Z62</f>
        <v>1883327.8640000001</v>
      </c>
      <c r="AB62" s="70">
        <v>178521902.64660001</v>
      </c>
      <c r="AC62" s="75">
        <f t="shared" si="4"/>
        <v>311029825.12690002</v>
      </c>
    </row>
    <row r="63" spans="1:29" ht="24.95" customHeight="1">
      <c r="A63" s="183"/>
      <c r="B63" s="178"/>
      <c r="C63" s="66">
        <v>17</v>
      </c>
      <c r="D63" s="70" t="s">
        <v>242</v>
      </c>
      <c r="E63" s="70">
        <v>9746796.7886999995</v>
      </c>
      <c r="F63" s="70">
        <v>0</v>
      </c>
      <c r="G63" s="70">
        <v>101668515.825</v>
      </c>
      <c r="H63" s="70">
        <v>20635702.680599999</v>
      </c>
      <c r="I63" s="70">
        <v>5714112.7763</v>
      </c>
      <c r="J63" s="70">
        <v>3961530.4589</v>
      </c>
      <c r="K63" s="70">
        <f t="shared" si="10"/>
        <v>1980765.22945</v>
      </c>
      <c r="L63" s="70">
        <f t="shared" si="11"/>
        <v>1980765.22945</v>
      </c>
      <c r="M63" s="70">
        <v>203301028.38429999</v>
      </c>
      <c r="N63" s="75">
        <f t="shared" si="12"/>
        <v>343046921.68435001</v>
      </c>
      <c r="O63" s="74"/>
      <c r="P63" s="178"/>
      <c r="Q63" s="78">
        <v>2</v>
      </c>
      <c r="R63" s="178"/>
      <c r="S63" s="70" t="s">
        <v>243</v>
      </c>
      <c r="T63" s="70">
        <v>15142457.6163</v>
      </c>
      <c r="U63" s="70">
        <v>0</v>
      </c>
      <c r="V63" s="70">
        <v>157950475.95320001</v>
      </c>
      <c r="W63" s="70">
        <v>32059276.498399999</v>
      </c>
      <c r="X63" s="70">
        <v>6584726.4540999997</v>
      </c>
      <c r="Y63" s="70">
        <v>6154566.3021</v>
      </c>
      <c r="Z63" s="70">
        <f t="shared" si="14"/>
        <v>3077283.15105</v>
      </c>
      <c r="AA63" s="70">
        <f t="shared" si="15"/>
        <v>3077283.15105</v>
      </c>
      <c r="AB63" s="70">
        <v>233633582.5381</v>
      </c>
      <c r="AC63" s="75">
        <f t="shared" si="4"/>
        <v>448447802.21115005</v>
      </c>
    </row>
    <row r="64" spans="1:29" ht="24.95" customHeight="1">
      <c r="A64" s="183"/>
      <c r="B64" s="178"/>
      <c r="C64" s="66">
        <v>18</v>
      </c>
      <c r="D64" s="70" t="s">
        <v>244</v>
      </c>
      <c r="E64" s="70">
        <v>12109465.154899999</v>
      </c>
      <c r="F64" s="70">
        <v>0</v>
      </c>
      <c r="G64" s="70">
        <v>126313431.62450001</v>
      </c>
      <c r="H64" s="70">
        <v>25637891.911800001</v>
      </c>
      <c r="I64" s="70">
        <v>6664249.1749999998</v>
      </c>
      <c r="J64" s="70">
        <v>4921823.6606999999</v>
      </c>
      <c r="K64" s="70">
        <f t="shared" si="10"/>
        <v>2460911.8303499999</v>
      </c>
      <c r="L64" s="70">
        <f t="shared" si="11"/>
        <v>2460911.8303499999</v>
      </c>
      <c r="M64" s="70">
        <v>237857107.16229999</v>
      </c>
      <c r="N64" s="75">
        <f t="shared" si="12"/>
        <v>411043056.85885</v>
      </c>
      <c r="O64" s="74"/>
      <c r="P64" s="178"/>
      <c r="Q64" s="78">
        <v>3</v>
      </c>
      <c r="R64" s="178"/>
      <c r="S64" s="70" t="s">
        <v>245</v>
      </c>
      <c r="T64" s="70">
        <v>12754367.191500001</v>
      </c>
      <c r="U64" s="70">
        <v>0</v>
      </c>
      <c r="V64" s="70">
        <v>133040383.49789999</v>
      </c>
      <c r="W64" s="70">
        <v>27003264.2465</v>
      </c>
      <c r="X64" s="70">
        <v>6731744.4795000004</v>
      </c>
      <c r="Y64" s="70">
        <v>5183940.4479999999</v>
      </c>
      <c r="Z64" s="70">
        <f t="shared" si="14"/>
        <v>2591970.2239999999</v>
      </c>
      <c r="AA64" s="70">
        <f t="shared" si="15"/>
        <v>2591970.2239999999</v>
      </c>
      <c r="AB64" s="70">
        <v>238980569.0063</v>
      </c>
      <c r="AC64" s="75">
        <f t="shared" si="4"/>
        <v>421102298.64569998</v>
      </c>
    </row>
    <row r="65" spans="1:29" ht="24.95" customHeight="1">
      <c r="A65" s="183"/>
      <c r="B65" s="178"/>
      <c r="C65" s="66">
        <v>19</v>
      </c>
      <c r="D65" s="70" t="s">
        <v>246</v>
      </c>
      <c r="E65" s="70">
        <v>10104452.090600001</v>
      </c>
      <c r="F65" s="70">
        <v>0</v>
      </c>
      <c r="G65" s="70">
        <v>105399206.4822</v>
      </c>
      <c r="H65" s="70">
        <v>21392922.578600001</v>
      </c>
      <c r="I65" s="70">
        <v>5773143.3244000003</v>
      </c>
      <c r="J65" s="70">
        <v>4106897.4345999998</v>
      </c>
      <c r="K65" s="70">
        <f t="shared" si="10"/>
        <v>2053448.7172999999</v>
      </c>
      <c r="L65" s="70">
        <f t="shared" si="11"/>
        <v>2053448.7172999999</v>
      </c>
      <c r="M65" s="70">
        <v>205447945.6855</v>
      </c>
      <c r="N65" s="75">
        <f t="shared" si="12"/>
        <v>350171118.8786</v>
      </c>
      <c r="O65" s="74"/>
      <c r="P65" s="178"/>
      <c r="Q65" s="78">
        <v>4</v>
      </c>
      <c r="R65" s="178"/>
      <c r="S65" s="70" t="s">
        <v>247</v>
      </c>
      <c r="T65" s="70">
        <v>10530878.035</v>
      </c>
      <c r="U65" s="70">
        <v>0</v>
      </c>
      <c r="V65" s="70">
        <v>109847241.4447</v>
      </c>
      <c r="W65" s="70">
        <v>22295742.1611</v>
      </c>
      <c r="X65" s="70">
        <v>5728045.4632999999</v>
      </c>
      <c r="Y65" s="70">
        <v>4280215.8492000001</v>
      </c>
      <c r="Z65" s="70">
        <f t="shared" si="14"/>
        <v>2140107.9246</v>
      </c>
      <c r="AA65" s="70">
        <f t="shared" si="15"/>
        <v>2140107.9246</v>
      </c>
      <c r="AB65" s="70">
        <v>202476439.37</v>
      </c>
      <c r="AC65" s="75">
        <f t="shared" si="4"/>
        <v>353018454.3987</v>
      </c>
    </row>
    <row r="66" spans="1:29" ht="24.95" customHeight="1">
      <c r="A66" s="183"/>
      <c r="B66" s="178"/>
      <c r="C66" s="66">
        <v>20</v>
      </c>
      <c r="D66" s="70" t="s">
        <v>248</v>
      </c>
      <c r="E66" s="70">
        <v>10631568.3402</v>
      </c>
      <c r="F66" s="70">
        <v>0</v>
      </c>
      <c r="G66" s="70">
        <v>110897538.69660001</v>
      </c>
      <c r="H66" s="70">
        <v>22508921.449000001</v>
      </c>
      <c r="I66" s="70">
        <v>6024976.1913999999</v>
      </c>
      <c r="J66" s="70">
        <v>4321140.8546000002</v>
      </c>
      <c r="K66" s="70">
        <f t="shared" si="10"/>
        <v>2160570.4273000001</v>
      </c>
      <c r="L66" s="70">
        <f t="shared" si="11"/>
        <v>2160570.4273000001</v>
      </c>
      <c r="M66" s="70">
        <v>214607005.796</v>
      </c>
      <c r="N66" s="75">
        <f t="shared" si="12"/>
        <v>366830580.9005</v>
      </c>
      <c r="O66" s="74"/>
      <c r="P66" s="178"/>
      <c r="Q66" s="78">
        <v>5</v>
      </c>
      <c r="R66" s="178"/>
      <c r="S66" s="70" t="s">
        <v>249</v>
      </c>
      <c r="T66" s="70">
        <v>14025076.709100001</v>
      </c>
      <c r="U66" s="70">
        <v>0</v>
      </c>
      <c r="V66" s="70">
        <v>146295112.5643</v>
      </c>
      <c r="W66" s="70">
        <v>29693582.344599999</v>
      </c>
      <c r="X66" s="70">
        <v>7275110.4710999997</v>
      </c>
      <c r="Y66" s="70">
        <v>5700413.1485000001</v>
      </c>
      <c r="Z66" s="70">
        <f t="shared" si="14"/>
        <v>2850206.5742500001</v>
      </c>
      <c r="AA66" s="70">
        <f t="shared" si="15"/>
        <v>2850206.5742500001</v>
      </c>
      <c r="AB66" s="70">
        <v>258742571.63929999</v>
      </c>
      <c r="AC66" s="75">
        <f t="shared" si="4"/>
        <v>458881660.30264997</v>
      </c>
    </row>
    <row r="67" spans="1:29" ht="24.95" customHeight="1">
      <c r="A67" s="183"/>
      <c r="B67" s="178"/>
      <c r="C67" s="66">
        <v>21</v>
      </c>
      <c r="D67" s="70" t="s">
        <v>250</v>
      </c>
      <c r="E67" s="70">
        <v>11058375.2444</v>
      </c>
      <c r="F67" s="70">
        <v>0</v>
      </c>
      <c r="G67" s="70">
        <v>115349547.4367</v>
      </c>
      <c r="H67" s="70">
        <v>23412547.590799998</v>
      </c>
      <c r="I67" s="70">
        <v>6282328.3311999999</v>
      </c>
      <c r="J67" s="70">
        <v>4494614.1080999998</v>
      </c>
      <c r="K67" s="70">
        <f t="shared" si="10"/>
        <v>2247307.0540499999</v>
      </c>
      <c r="L67" s="70">
        <f t="shared" si="11"/>
        <v>2247307.0540499999</v>
      </c>
      <c r="M67" s="70">
        <v>223966799.6399</v>
      </c>
      <c r="N67" s="75">
        <f t="shared" si="12"/>
        <v>382316905.29705</v>
      </c>
      <c r="O67" s="74"/>
      <c r="P67" s="178"/>
      <c r="Q67" s="78">
        <v>6</v>
      </c>
      <c r="R67" s="178"/>
      <c r="S67" s="70" t="s">
        <v>251</v>
      </c>
      <c r="T67" s="70">
        <v>17158832.941599999</v>
      </c>
      <c r="U67" s="70">
        <v>0</v>
      </c>
      <c r="V67" s="70">
        <v>178983220.46430001</v>
      </c>
      <c r="W67" s="70">
        <v>36328301.759300001</v>
      </c>
      <c r="X67" s="70">
        <v>7667915.8344000001</v>
      </c>
      <c r="Y67" s="70">
        <v>6974110.6549000004</v>
      </c>
      <c r="Z67" s="70">
        <f t="shared" si="14"/>
        <v>3487055.3274500002</v>
      </c>
      <c r="AA67" s="70">
        <f t="shared" si="15"/>
        <v>3487055.3274500002</v>
      </c>
      <c r="AB67" s="70">
        <v>273028744.75669998</v>
      </c>
      <c r="AC67" s="75">
        <f t="shared" si="4"/>
        <v>516654071.08375001</v>
      </c>
    </row>
    <row r="68" spans="1:29" ht="24.95" customHeight="1">
      <c r="A68" s="183"/>
      <c r="B68" s="178"/>
      <c r="C68" s="66">
        <v>22</v>
      </c>
      <c r="D68" s="70" t="s">
        <v>252</v>
      </c>
      <c r="E68" s="70">
        <v>9504962.9550000001</v>
      </c>
      <c r="F68" s="70">
        <v>0</v>
      </c>
      <c r="G68" s="70">
        <v>99145955.081599995</v>
      </c>
      <c r="H68" s="70">
        <v>20123697.4342</v>
      </c>
      <c r="I68" s="70">
        <v>5714690.3745999997</v>
      </c>
      <c r="J68" s="70">
        <v>3863238.4641</v>
      </c>
      <c r="K68" s="70">
        <f t="shared" si="10"/>
        <v>1931619.23205</v>
      </c>
      <c r="L68" s="70">
        <f t="shared" si="11"/>
        <v>1931619.23205</v>
      </c>
      <c r="M68" s="70">
        <v>203322035.40290001</v>
      </c>
      <c r="N68" s="75">
        <f t="shared" si="12"/>
        <v>339742960.48035002</v>
      </c>
      <c r="O68" s="74"/>
      <c r="P68" s="178"/>
      <c r="Q68" s="78">
        <v>7</v>
      </c>
      <c r="R68" s="178"/>
      <c r="S68" s="70" t="s">
        <v>253</v>
      </c>
      <c r="T68" s="70">
        <v>11689838.044500001</v>
      </c>
      <c r="U68" s="70">
        <v>0</v>
      </c>
      <c r="V68" s="70">
        <v>121936315.0765</v>
      </c>
      <c r="W68" s="70">
        <v>24749466.6708</v>
      </c>
      <c r="X68" s="70">
        <v>5781620.9161999999</v>
      </c>
      <c r="Y68" s="70">
        <v>4751268.5937000001</v>
      </c>
      <c r="Z68" s="70">
        <f t="shared" si="14"/>
        <v>2375634.29685</v>
      </c>
      <c r="AA68" s="70">
        <f t="shared" si="15"/>
        <v>2375634.29685</v>
      </c>
      <c r="AB68" s="70">
        <v>204424957.051</v>
      </c>
      <c r="AC68" s="75">
        <f t="shared" si="4"/>
        <v>370957832.05585003</v>
      </c>
    </row>
    <row r="69" spans="1:29" ht="24.95" customHeight="1">
      <c r="A69" s="183"/>
      <c r="B69" s="178"/>
      <c r="C69" s="66">
        <v>23</v>
      </c>
      <c r="D69" s="70" t="s">
        <v>254</v>
      </c>
      <c r="E69" s="70">
        <v>9925030.3479999993</v>
      </c>
      <c r="F69" s="70">
        <v>0</v>
      </c>
      <c r="G69" s="70">
        <v>103527664.2031</v>
      </c>
      <c r="H69" s="70">
        <v>21013054.831799999</v>
      </c>
      <c r="I69" s="70">
        <v>5962621.2439999999</v>
      </c>
      <c r="J69" s="70">
        <v>4033972.4815000002</v>
      </c>
      <c r="K69" s="70">
        <f t="shared" si="10"/>
        <v>2016986.2407500001</v>
      </c>
      <c r="L69" s="70">
        <f t="shared" si="11"/>
        <v>2016986.2407500001</v>
      </c>
      <c r="M69" s="70">
        <v>212339181.4323</v>
      </c>
      <c r="N69" s="75">
        <f t="shared" si="12"/>
        <v>354784538.29995</v>
      </c>
      <c r="O69" s="74"/>
      <c r="P69" s="178"/>
      <c r="Q69" s="78">
        <v>8</v>
      </c>
      <c r="R69" s="178"/>
      <c r="S69" s="70" t="s">
        <v>255</v>
      </c>
      <c r="T69" s="70">
        <v>12418755.1587</v>
      </c>
      <c r="U69" s="70">
        <v>0</v>
      </c>
      <c r="V69" s="70">
        <v>129539625.45370001</v>
      </c>
      <c r="W69" s="70">
        <v>26292713.8704</v>
      </c>
      <c r="X69" s="70">
        <v>6074424.7572999997</v>
      </c>
      <c r="Y69" s="70">
        <v>5047532.8344999999</v>
      </c>
      <c r="Z69" s="70">
        <f t="shared" si="14"/>
        <v>2523766.4172499999</v>
      </c>
      <c r="AA69" s="70">
        <f t="shared" si="15"/>
        <v>2523766.4172499999</v>
      </c>
      <c r="AB69" s="70">
        <v>215074115.01440001</v>
      </c>
      <c r="AC69" s="75">
        <f t="shared" si="4"/>
        <v>391923400.67175001</v>
      </c>
    </row>
    <row r="70" spans="1:29" ht="24.95" customHeight="1">
      <c r="A70" s="183"/>
      <c r="B70" s="178"/>
      <c r="C70" s="66">
        <v>24</v>
      </c>
      <c r="D70" s="70" t="s">
        <v>256</v>
      </c>
      <c r="E70" s="70">
        <v>10166022.4452</v>
      </c>
      <c r="F70" s="70">
        <v>0</v>
      </c>
      <c r="G70" s="70">
        <v>106041444.82080001</v>
      </c>
      <c r="H70" s="70">
        <v>21523277.9723</v>
      </c>
      <c r="I70" s="70">
        <v>5501672.1146</v>
      </c>
      <c r="J70" s="70">
        <v>4131922.3572</v>
      </c>
      <c r="K70" s="70">
        <f t="shared" si="10"/>
        <v>2065961.1786</v>
      </c>
      <c r="L70" s="70">
        <f t="shared" si="11"/>
        <v>2065961.1786</v>
      </c>
      <c r="M70" s="70">
        <v>195574646.9425</v>
      </c>
      <c r="N70" s="75">
        <f t="shared" si="12"/>
        <v>340873025.47399998</v>
      </c>
      <c r="O70" s="74"/>
      <c r="P70" s="178"/>
      <c r="Q70" s="78">
        <v>9</v>
      </c>
      <c r="R70" s="178"/>
      <c r="S70" s="70" t="s">
        <v>257</v>
      </c>
      <c r="T70" s="70">
        <v>15427992.2225</v>
      </c>
      <c r="U70" s="70">
        <v>0</v>
      </c>
      <c r="V70" s="70">
        <v>160928878.0122</v>
      </c>
      <c r="W70" s="70">
        <v>32663804.054099999</v>
      </c>
      <c r="X70" s="70">
        <v>7626623.9724000003</v>
      </c>
      <c r="Y70" s="70">
        <v>6270620.2286999999</v>
      </c>
      <c r="Z70" s="70">
        <f t="shared" si="14"/>
        <v>3135310.1143499999</v>
      </c>
      <c r="AA70" s="70">
        <f t="shared" si="15"/>
        <v>3135310.1143499999</v>
      </c>
      <c r="AB70" s="70">
        <v>271526976.33789998</v>
      </c>
      <c r="AC70" s="75">
        <f t="shared" si="4"/>
        <v>491309584.71344995</v>
      </c>
    </row>
    <row r="71" spans="1:29" ht="24.95" customHeight="1">
      <c r="A71" s="183"/>
      <c r="B71" s="178"/>
      <c r="C71" s="66">
        <v>25</v>
      </c>
      <c r="D71" s="70" t="s">
        <v>258</v>
      </c>
      <c r="E71" s="70">
        <v>11977826.4802</v>
      </c>
      <c r="F71" s="70">
        <v>0</v>
      </c>
      <c r="G71" s="70">
        <v>124940312.9514</v>
      </c>
      <c r="H71" s="70">
        <v>25359189.420200001</v>
      </c>
      <c r="I71" s="70">
        <v>6595168.4161</v>
      </c>
      <c r="J71" s="70">
        <v>4868319.8655000003</v>
      </c>
      <c r="K71" s="70">
        <f t="shared" si="10"/>
        <v>2434159.9327500002</v>
      </c>
      <c r="L71" s="70">
        <f t="shared" si="11"/>
        <v>2434159.9327500002</v>
      </c>
      <c r="M71" s="70">
        <v>235344667.73750001</v>
      </c>
      <c r="N71" s="75">
        <f t="shared" si="12"/>
        <v>406651324.93814999</v>
      </c>
      <c r="O71" s="74"/>
      <c r="P71" s="178"/>
      <c r="Q71" s="78">
        <v>10</v>
      </c>
      <c r="R71" s="178"/>
      <c r="S71" s="70" t="s">
        <v>259</v>
      </c>
      <c r="T71" s="70">
        <v>10742624.5704</v>
      </c>
      <c r="U71" s="70">
        <v>0</v>
      </c>
      <c r="V71" s="70">
        <v>112055962.56990001</v>
      </c>
      <c r="W71" s="70">
        <v>22744047.2443</v>
      </c>
      <c r="X71" s="70">
        <v>5778424.8722000001</v>
      </c>
      <c r="Y71" s="70">
        <v>4366279.0314999996</v>
      </c>
      <c r="Z71" s="70">
        <f t="shared" si="14"/>
        <v>2183139.5157499998</v>
      </c>
      <c r="AA71" s="70">
        <f t="shared" si="15"/>
        <v>2183139.5157499998</v>
      </c>
      <c r="AB71" s="70">
        <v>204308718.21470001</v>
      </c>
      <c r="AC71" s="75">
        <f t="shared" ref="AC71:AC134" si="16">T71+U71+V71+W71+X71+AA71+AB71</f>
        <v>357812916.98725003</v>
      </c>
    </row>
    <row r="72" spans="1:29" ht="24.95" customHeight="1">
      <c r="A72" s="183"/>
      <c r="B72" s="178"/>
      <c r="C72" s="66">
        <v>26</v>
      </c>
      <c r="D72" s="70" t="s">
        <v>260</v>
      </c>
      <c r="E72" s="70">
        <v>8922363.2953999992</v>
      </c>
      <c r="F72" s="70">
        <v>0</v>
      </c>
      <c r="G72" s="70">
        <v>93068877.248699993</v>
      </c>
      <c r="H72" s="70">
        <v>18890230.315000001</v>
      </c>
      <c r="I72" s="70">
        <v>5062915.5961999996</v>
      </c>
      <c r="J72" s="70">
        <v>3626444.1258</v>
      </c>
      <c r="K72" s="70">
        <f t="shared" si="10"/>
        <v>1813222.0629</v>
      </c>
      <c r="L72" s="70">
        <f t="shared" si="11"/>
        <v>1813222.0629</v>
      </c>
      <c r="M72" s="70">
        <v>179617248.78960001</v>
      </c>
      <c r="N72" s="75">
        <f t="shared" si="12"/>
        <v>307374857.30779999</v>
      </c>
      <c r="O72" s="74"/>
      <c r="P72" s="178"/>
      <c r="Q72" s="78">
        <v>11</v>
      </c>
      <c r="R72" s="178"/>
      <c r="S72" s="70" t="s">
        <v>261</v>
      </c>
      <c r="T72" s="70">
        <v>11347015.2097</v>
      </c>
      <c r="U72" s="70">
        <v>0</v>
      </c>
      <c r="V72" s="70">
        <v>118360341.3945</v>
      </c>
      <c r="W72" s="70">
        <v>24023649.744199999</v>
      </c>
      <c r="X72" s="70">
        <v>6161013.1629999997</v>
      </c>
      <c r="Y72" s="70">
        <v>4611930.1903999997</v>
      </c>
      <c r="Z72" s="70">
        <f t="shared" si="14"/>
        <v>2305965.0951999999</v>
      </c>
      <c r="AA72" s="70">
        <f t="shared" si="15"/>
        <v>2305965.0951999999</v>
      </c>
      <c r="AB72" s="70">
        <v>218223300.5142</v>
      </c>
      <c r="AC72" s="75">
        <f t="shared" si="16"/>
        <v>380421285.12080002</v>
      </c>
    </row>
    <row r="73" spans="1:29" ht="24.95" customHeight="1">
      <c r="A73" s="183"/>
      <c r="B73" s="178"/>
      <c r="C73" s="66">
        <v>27</v>
      </c>
      <c r="D73" s="70" t="s">
        <v>262</v>
      </c>
      <c r="E73" s="70">
        <v>10947812.626700001</v>
      </c>
      <c r="F73" s="70">
        <v>0</v>
      </c>
      <c r="G73" s="70">
        <v>114196272.4181</v>
      </c>
      <c r="H73" s="70">
        <v>23178466.8609</v>
      </c>
      <c r="I73" s="70">
        <v>6009599.2406000001</v>
      </c>
      <c r="J73" s="70">
        <v>4449676.5570999999</v>
      </c>
      <c r="K73" s="70">
        <f t="shared" si="10"/>
        <v>2224838.2785499999</v>
      </c>
      <c r="L73" s="70">
        <f t="shared" si="11"/>
        <v>2224838.2785499999</v>
      </c>
      <c r="M73" s="70">
        <v>214047752.27860001</v>
      </c>
      <c r="N73" s="75">
        <f t="shared" si="12"/>
        <v>370604741.70344996</v>
      </c>
      <c r="O73" s="74"/>
      <c r="P73" s="178"/>
      <c r="Q73" s="78">
        <v>12</v>
      </c>
      <c r="R73" s="178"/>
      <c r="S73" s="70" t="s">
        <v>263</v>
      </c>
      <c r="T73" s="70">
        <v>12518224.202099999</v>
      </c>
      <c r="U73" s="70">
        <v>0</v>
      </c>
      <c r="V73" s="70">
        <v>130577183.7642</v>
      </c>
      <c r="W73" s="70">
        <v>26503307.529899999</v>
      </c>
      <c r="X73" s="70">
        <v>6704379.1546999998</v>
      </c>
      <c r="Y73" s="70">
        <v>5087961.4649</v>
      </c>
      <c r="Z73" s="70">
        <f t="shared" si="14"/>
        <v>2543980.73245</v>
      </c>
      <c r="AA73" s="70">
        <f t="shared" si="15"/>
        <v>2543980.73245</v>
      </c>
      <c r="AB73" s="70">
        <v>237985303.14719999</v>
      </c>
      <c r="AC73" s="75">
        <f t="shared" si="16"/>
        <v>416832378.53055</v>
      </c>
    </row>
    <row r="74" spans="1:29" ht="24.95" customHeight="1">
      <c r="A74" s="183"/>
      <c r="B74" s="178"/>
      <c r="C74" s="66">
        <v>28</v>
      </c>
      <c r="D74" s="70" t="s">
        <v>264</v>
      </c>
      <c r="E74" s="70">
        <v>8925540.6580999997</v>
      </c>
      <c r="F74" s="70">
        <v>0</v>
      </c>
      <c r="G74" s="70">
        <v>93102020.213799998</v>
      </c>
      <c r="H74" s="70">
        <v>18896957.357000001</v>
      </c>
      <c r="I74" s="70">
        <v>5196700.2023999998</v>
      </c>
      <c r="J74" s="70">
        <v>3627735.5468000001</v>
      </c>
      <c r="K74" s="70">
        <f t="shared" si="10"/>
        <v>1813867.7734000001</v>
      </c>
      <c r="L74" s="70">
        <f t="shared" si="11"/>
        <v>1813867.7734000001</v>
      </c>
      <c r="M74" s="70">
        <v>184482941.1205</v>
      </c>
      <c r="N74" s="75">
        <f t="shared" si="12"/>
        <v>312418027.32519996</v>
      </c>
      <c r="O74" s="74"/>
      <c r="P74" s="178"/>
      <c r="Q74" s="78">
        <v>13</v>
      </c>
      <c r="R74" s="178"/>
      <c r="S74" s="70" t="s">
        <v>265</v>
      </c>
      <c r="T74" s="70">
        <v>10417896.914999999</v>
      </c>
      <c r="U74" s="70">
        <v>0</v>
      </c>
      <c r="V74" s="70">
        <v>108668739.1084</v>
      </c>
      <c r="W74" s="70">
        <v>22056541.031599998</v>
      </c>
      <c r="X74" s="70">
        <v>5318797.8011999996</v>
      </c>
      <c r="Y74" s="70">
        <v>4234295.3117000004</v>
      </c>
      <c r="Z74" s="70">
        <f t="shared" si="14"/>
        <v>2117147.6558500002</v>
      </c>
      <c r="AA74" s="70">
        <f t="shared" si="15"/>
        <v>2117147.6558500002</v>
      </c>
      <c r="AB74" s="70">
        <v>187592266.45640001</v>
      </c>
      <c r="AC74" s="75">
        <f t="shared" si="16"/>
        <v>336171388.96845001</v>
      </c>
    </row>
    <row r="75" spans="1:29" ht="24.95" customHeight="1">
      <c r="A75" s="183"/>
      <c r="B75" s="178"/>
      <c r="C75" s="66">
        <v>29</v>
      </c>
      <c r="D75" s="70" t="s">
        <v>266</v>
      </c>
      <c r="E75" s="70">
        <v>11640337.898700001</v>
      </c>
      <c r="F75" s="70">
        <v>0</v>
      </c>
      <c r="G75" s="70">
        <v>121419980.689</v>
      </c>
      <c r="H75" s="70">
        <v>24644666.056600001</v>
      </c>
      <c r="I75" s="70">
        <v>5897506.6601999998</v>
      </c>
      <c r="J75" s="70">
        <v>4731149.5394000001</v>
      </c>
      <c r="K75" s="70">
        <f t="shared" si="10"/>
        <v>2365574.7697000001</v>
      </c>
      <c r="L75" s="70">
        <f t="shared" si="11"/>
        <v>2365574.7697000001</v>
      </c>
      <c r="M75" s="70">
        <v>209970990.20190001</v>
      </c>
      <c r="N75" s="75">
        <f t="shared" si="12"/>
        <v>375939056.27609998</v>
      </c>
      <c r="O75" s="74"/>
      <c r="P75" s="178"/>
      <c r="Q75" s="78">
        <v>14</v>
      </c>
      <c r="R75" s="178"/>
      <c r="S75" s="70" t="s">
        <v>267</v>
      </c>
      <c r="T75" s="70">
        <v>11955217.551100001</v>
      </c>
      <c r="U75" s="70">
        <v>0</v>
      </c>
      <c r="V75" s="70">
        <v>124704479.9575</v>
      </c>
      <c r="W75" s="70">
        <v>25311322.295299999</v>
      </c>
      <c r="X75" s="70">
        <v>6207041.3311999999</v>
      </c>
      <c r="Y75" s="70">
        <v>4859130.5941000003</v>
      </c>
      <c r="Z75" s="70">
        <f t="shared" si="14"/>
        <v>2429565.2970500002</v>
      </c>
      <c r="AA75" s="70">
        <f t="shared" si="15"/>
        <v>2429565.2970500002</v>
      </c>
      <c r="AB75" s="70">
        <v>219897326.48539999</v>
      </c>
      <c r="AC75" s="75">
        <f t="shared" si="16"/>
        <v>390504952.91754997</v>
      </c>
    </row>
    <row r="76" spans="1:29" ht="24.95" customHeight="1">
      <c r="A76" s="183"/>
      <c r="B76" s="178"/>
      <c r="C76" s="66">
        <v>30</v>
      </c>
      <c r="D76" s="70" t="s">
        <v>268</v>
      </c>
      <c r="E76" s="70">
        <v>9631806.5699000005</v>
      </c>
      <c r="F76" s="70">
        <v>0</v>
      </c>
      <c r="G76" s="70">
        <v>100469056.6453</v>
      </c>
      <c r="H76" s="70">
        <v>20392247.931499999</v>
      </c>
      <c r="I76" s="70">
        <v>5292427.4971000003</v>
      </c>
      <c r="J76" s="70">
        <v>3914793.3344000001</v>
      </c>
      <c r="K76" s="70">
        <f t="shared" si="10"/>
        <v>1957396.6672</v>
      </c>
      <c r="L76" s="70">
        <f t="shared" si="11"/>
        <v>1957396.6672</v>
      </c>
      <c r="M76" s="70">
        <v>187964504.3369</v>
      </c>
      <c r="N76" s="75">
        <f t="shared" si="12"/>
        <v>325707439.64789999</v>
      </c>
      <c r="O76" s="74"/>
      <c r="P76" s="178"/>
      <c r="Q76" s="78">
        <v>15</v>
      </c>
      <c r="R76" s="178"/>
      <c r="S76" s="70" t="s">
        <v>269</v>
      </c>
      <c r="T76" s="70">
        <v>13831054.6919</v>
      </c>
      <c r="U76" s="70">
        <v>0</v>
      </c>
      <c r="V76" s="70">
        <v>144271275.30250001</v>
      </c>
      <c r="W76" s="70">
        <v>29282803.219099998</v>
      </c>
      <c r="X76" s="70">
        <v>6477626.8903000001</v>
      </c>
      <c r="Y76" s="70">
        <v>5621553.9965000004</v>
      </c>
      <c r="Z76" s="70">
        <f t="shared" si="14"/>
        <v>2810776.9982500002</v>
      </c>
      <c r="AA76" s="70">
        <f t="shared" si="15"/>
        <v>2810776.9982500002</v>
      </c>
      <c r="AB76" s="70">
        <v>229738414.4666</v>
      </c>
      <c r="AC76" s="75">
        <f t="shared" si="16"/>
        <v>426411951.56865001</v>
      </c>
    </row>
    <row r="77" spans="1:29" ht="24.95" customHeight="1">
      <c r="A77" s="183"/>
      <c r="B77" s="179"/>
      <c r="C77" s="66">
        <v>31</v>
      </c>
      <c r="D77" s="70" t="s">
        <v>270</v>
      </c>
      <c r="E77" s="70">
        <v>14558945.312000001</v>
      </c>
      <c r="F77" s="70">
        <v>0</v>
      </c>
      <c r="G77" s="70">
        <v>151863878.35299999</v>
      </c>
      <c r="H77" s="70">
        <v>30823877.147999998</v>
      </c>
      <c r="I77" s="70">
        <v>8352594.7315999996</v>
      </c>
      <c r="J77" s="70">
        <v>5917401.0244000005</v>
      </c>
      <c r="K77" s="70">
        <f t="shared" si="10"/>
        <v>2958700.5122000002</v>
      </c>
      <c r="L77" s="70">
        <f t="shared" si="11"/>
        <v>2958700.5122000002</v>
      </c>
      <c r="M77" s="70">
        <v>299261556.18169999</v>
      </c>
      <c r="N77" s="75">
        <f t="shared" si="12"/>
        <v>507819552.2385</v>
      </c>
      <c r="O77" s="74"/>
      <c r="P77" s="178"/>
      <c r="Q77" s="78">
        <v>16</v>
      </c>
      <c r="R77" s="178"/>
      <c r="S77" s="70" t="s">
        <v>271</v>
      </c>
      <c r="T77" s="70">
        <v>11081355.1315</v>
      </c>
      <c r="U77" s="70">
        <v>0</v>
      </c>
      <c r="V77" s="70">
        <v>115589249.88060001</v>
      </c>
      <c r="W77" s="70">
        <v>23461200.099599998</v>
      </c>
      <c r="X77" s="70">
        <v>5824042.3038999997</v>
      </c>
      <c r="Y77" s="70">
        <v>4503954.1533000004</v>
      </c>
      <c r="Z77" s="70">
        <f t="shared" si="14"/>
        <v>2251977.0766500002</v>
      </c>
      <c r="AA77" s="70">
        <f t="shared" si="15"/>
        <v>2251977.0766500002</v>
      </c>
      <c r="AB77" s="70">
        <v>205967805.86160001</v>
      </c>
      <c r="AC77" s="75">
        <f t="shared" si="16"/>
        <v>364175630.35385001</v>
      </c>
    </row>
    <row r="78" spans="1:29" ht="24.95" customHeight="1">
      <c r="A78" s="66"/>
      <c r="B78" s="190" t="s">
        <v>272</v>
      </c>
      <c r="C78" s="191"/>
      <c r="D78" s="71"/>
      <c r="E78" s="71">
        <f t="shared" ref="E78:N78" si="17">SUM(E47:E77)</f>
        <v>329414530.81469995</v>
      </c>
      <c r="F78" s="71">
        <f t="shared" si="17"/>
        <v>0</v>
      </c>
      <c r="G78" s="71">
        <f t="shared" si="17"/>
        <v>3436112105.8698006</v>
      </c>
      <c r="H78" s="71">
        <f t="shared" si="17"/>
        <v>697429162.00129998</v>
      </c>
      <c r="I78" s="71">
        <f t="shared" si="17"/>
        <v>186068911.70159996</v>
      </c>
      <c r="J78" s="71">
        <f t="shared" si="17"/>
        <v>133888673.96079996</v>
      </c>
      <c r="K78" s="71">
        <f t="shared" si="17"/>
        <v>66944336.980399981</v>
      </c>
      <c r="L78" s="71">
        <f t="shared" si="17"/>
        <v>66944336.980399981</v>
      </c>
      <c r="M78" s="71">
        <f t="shared" si="17"/>
        <v>6627163875.382699</v>
      </c>
      <c r="N78" s="71">
        <f t="shared" si="17"/>
        <v>11343132922.7505</v>
      </c>
      <c r="O78" s="74"/>
      <c r="P78" s="178"/>
      <c r="Q78" s="78">
        <v>17</v>
      </c>
      <c r="R78" s="178"/>
      <c r="S78" s="70" t="s">
        <v>273</v>
      </c>
      <c r="T78" s="70">
        <v>10920329.9167</v>
      </c>
      <c r="U78" s="70">
        <v>0</v>
      </c>
      <c r="V78" s="70">
        <v>113909601.1762</v>
      </c>
      <c r="W78" s="70">
        <v>23120281.074900001</v>
      </c>
      <c r="X78" s="70">
        <v>5376994.0406999998</v>
      </c>
      <c r="Y78" s="70">
        <v>4438506.3650000002</v>
      </c>
      <c r="Z78" s="70">
        <f t="shared" si="14"/>
        <v>2219253.1825000001</v>
      </c>
      <c r="AA78" s="70">
        <f t="shared" si="15"/>
        <v>2219253.1825000001</v>
      </c>
      <c r="AB78" s="70">
        <v>189708840.28619999</v>
      </c>
      <c r="AC78" s="75">
        <f t="shared" si="16"/>
        <v>345255299.67719996</v>
      </c>
    </row>
    <row r="79" spans="1:29" ht="24.95" customHeight="1">
      <c r="A79" s="183">
        <v>4</v>
      </c>
      <c r="B79" s="177" t="s">
        <v>274</v>
      </c>
      <c r="C79" s="66">
        <v>1</v>
      </c>
      <c r="D79" s="70" t="s">
        <v>275</v>
      </c>
      <c r="E79" s="70">
        <v>16375577.2347</v>
      </c>
      <c r="F79" s="70">
        <v>0</v>
      </c>
      <c r="G79" s="70">
        <v>170813106.02020001</v>
      </c>
      <c r="H79" s="70">
        <v>34670010.092799999</v>
      </c>
      <c r="I79" s="70">
        <v>11235978.913899999</v>
      </c>
      <c r="J79" s="70">
        <v>6655760.8004000001</v>
      </c>
      <c r="K79" s="70">
        <v>0</v>
      </c>
      <c r="L79" s="70">
        <f t="shared" ref="L79:L99" si="18">J79-K79</f>
        <v>6655760.8004000001</v>
      </c>
      <c r="M79" s="70">
        <v>333842834.1552</v>
      </c>
      <c r="N79" s="75">
        <f t="shared" ref="N79:N99" si="19">E79+F79+G79+H79+I79+L79+M79</f>
        <v>573593267.21720004</v>
      </c>
      <c r="O79" s="74"/>
      <c r="P79" s="178"/>
      <c r="Q79" s="78">
        <v>18</v>
      </c>
      <c r="R79" s="178"/>
      <c r="S79" s="70" t="s">
        <v>276</v>
      </c>
      <c r="T79" s="70">
        <v>11332564.6974</v>
      </c>
      <c r="U79" s="70">
        <v>0</v>
      </c>
      <c r="V79" s="70">
        <v>118209608.5772</v>
      </c>
      <c r="W79" s="70">
        <v>23993055.438900001</v>
      </c>
      <c r="X79" s="70">
        <v>5854590.8372</v>
      </c>
      <c r="Y79" s="70">
        <v>4606056.8613999998</v>
      </c>
      <c r="Z79" s="70">
        <f t="shared" si="14"/>
        <v>2303028.4306999999</v>
      </c>
      <c r="AA79" s="70">
        <f t="shared" si="15"/>
        <v>2303028.4306999999</v>
      </c>
      <c r="AB79" s="70">
        <v>207078843.7344</v>
      </c>
      <c r="AC79" s="75">
        <f t="shared" si="16"/>
        <v>368771691.71579999</v>
      </c>
    </row>
    <row r="80" spans="1:29" ht="24.95" customHeight="1">
      <c r="A80" s="183"/>
      <c r="B80" s="178"/>
      <c r="C80" s="66">
        <v>2</v>
      </c>
      <c r="D80" s="70" t="s">
        <v>277</v>
      </c>
      <c r="E80" s="70">
        <v>10769511.592499999</v>
      </c>
      <c r="F80" s="70">
        <v>0</v>
      </c>
      <c r="G80" s="70">
        <v>112336420.21179999</v>
      </c>
      <c r="H80" s="70">
        <v>22800971.853300001</v>
      </c>
      <c r="I80" s="70">
        <v>8452712.3134000003</v>
      </c>
      <c r="J80" s="70">
        <v>4377207.1097999997</v>
      </c>
      <c r="K80" s="70">
        <v>0</v>
      </c>
      <c r="L80" s="70">
        <f t="shared" si="18"/>
        <v>4377207.1097999997</v>
      </c>
      <c r="M80" s="70">
        <v>232616547.02829999</v>
      </c>
      <c r="N80" s="75">
        <f t="shared" si="19"/>
        <v>391353370.10909998</v>
      </c>
      <c r="O80" s="74"/>
      <c r="P80" s="178"/>
      <c r="Q80" s="78">
        <v>19</v>
      </c>
      <c r="R80" s="178"/>
      <c r="S80" s="70" t="s">
        <v>278</v>
      </c>
      <c r="T80" s="70">
        <v>13710887.226500001</v>
      </c>
      <c r="U80" s="70">
        <v>0</v>
      </c>
      <c r="V80" s="70">
        <v>143017812.4339</v>
      </c>
      <c r="W80" s="70">
        <v>29028387.318</v>
      </c>
      <c r="X80" s="70">
        <v>6150885.9391000001</v>
      </c>
      <c r="Y80" s="70">
        <v>5572712.6092999997</v>
      </c>
      <c r="Z80" s="70">
        <f t="shared" si="14"/>
        <v>2786356.3046499998</v>
      </c>
      <c r="AA80" s="70">
        <f t="shared" si="15"/>
        <v>2786356.3046499998</v>
      </c>
      <c r="AB80" s="70">
        <v>217854977.45469999</v>
      </c>
      <c r="AC80" s="75">
        <f t="shared" si="16"/>
        <v>412549306.67684996</v>
      </c>
    </row>
    <row r="81" spans="1:29" ht="24.95" customHeight="1">
      <c r="A81" s="183"/>
      <c r="B81" s="178"/>
      <c r="C81" s="66">
        <v>3</v>
      </c>
      <c r="D81" s="70" t="s">
        <v>279</v>
      </c>
      <c r="E81" s="70">
        <v>11078781.8968</v>
      </c>
      <c r="F81" s="70">
        <v>0</v>
      </c>
      <c r="G81" s="70">
        <v>115562408.5546</v>
      </c>
      <c r="H81" s="70">
        <v>23455752.1041</v>
      </c>
      <c r="I81" s="70">
        <v>8633500.5870999992</v>
      </c>
      <c r="J81" s="70">
        <v>4502908.2766000004</v>
      </c>
      <c r="K81" s="70">
        <v>0</v>
      </c>
      <c r="L81" s="70">
        <f t="shared" si="18"/>
        <v>4502908.2766000004</v>
      </c>
      <c r="M81" s="70">
        <v>239191743.85080001</v>
      </c>
      <c r="N81" s="75">
        <f t="shared" si="19"/>
        <v>402425095.26999998</v>
      </c>
      <c r="O81" s="74"/>
      <c r="P81" s="178"/>
      <c r="Q81" s="78">
        <v>20</v>
      </c>
      <c r="R81" s="178"/>
      <c r="S81" s="70" t="s">
        <v>280</v>
      </c>
      <c r="T81" s="70">
        <v>10535868.9428</v>
      </c>
      <c r="U81" s="70">
        <v>0</v>
      </c>
      <c r="V81" s="70">
        <v>109899301.4386</v>
      </c>
      <c r="W81" s="70">
        <v>22306308.8006</v>
      </c>
      <c r="X81" s="70">
        <v>5503295.5396999996</v>
      </c>
      <c r="Y81" s="70">
        <v>4282244.3755000001</v>
      </c>
      <c r="Z81" s="70">
        <f t="shared" si="14"/>
        <v>2141122.18775</v>
      </c>
      <c r="AA81" s="70">
        <f t="shared" si="15"/>
        <v>2141122.18775</v>
      </c>
      <c r="AB81" s="70">
        <v>194302375.0205</v>
      </c>
      <c r="AC81" s="75">
        <f t="shared" si="16"/>
        <v>344688271.92995</v>
      </c>
    </row>
    <row r="82" spans="1:29" ht="24.95" customHeight="1">
      <c r="A82" s="183"/>
      <c r="B82" s="178"/>
      <c r="C82" s="66">
        <v>4</v>
      </c>
      <c r="D82" s="70" t="s">
        <v>281</v>
      </c>
      <c r="E82" s="70">
        <v>13390869.244999999</v>
      </c>
      <c r="F82" s="70">
        <v>0</v>
      </c>
      <c r="G82" s="70">
        <v>139679715.42390001</v>
      </c>
      <c r="H82" s="70">
        <v>28350852.3224</v>
      </c>
      <c r="I82" s="70">
        <v>10142777.829399999</v>
      </c>
      <c r="J82" s="70">
        <v>5442643.1096999999</v>
      </c>
      <c r="K82" s="70">
        <v>0</v>
      </c>
      <c r="L82" s="70">
        <f t="shared" si="18"/>
        <v>5442643.1096999999</v>
      </c>
      <c r="M82" s="70">
        <v>294083550.2809</v>
      </c>
      <c r="N82" s="75">
        <f t="shared" si="19"/>
        <v>491090408.21130002</v>
      </c>
      <c r="O82" s="74"/>
      <c r="P82" s="179"/>
      <c r="Q82" s="78">
        <v>21</v>
      </c>
      <c r="R82" s="179"/>
      <c r="S82" s="70" t="s">
        <v>282</v>
      </c>
      <c r="T82" s="70">
        <v>12584546.190400001</v>
      </c>
      <c r="U82" s="70">
        <v>0</v>
      </c>
      <c r="V82" s="70">
        <v>131268986.2369</v>
      </c>
      <c r="W82" s="70">
        <v>26643722.977400001</v>
      </c>
      <c r="X82" s="70">
        <v>6347487.5713</v>
      </c>
      <c r="Y82" s="70">
        <v>5114917.6621000003</v>
      </c>
      <c r="Z82" s="70">
        <f t="shared" si="14"/>
        <v>2557458.8310500002</v>
      </c>
      <c r="AA82" s="70">
        <f t="shared" si="15"/>
        <v>2557458.8310500002</v>
      </c>
      <c r="AB82" s="70">
        <v>225005299.7642</v>
      </c>
      <c r="AC82" s="75">
        <f t="shared" si="16"/>
        <v>404407501.57125002</v>
      </c>
    </row>
    <row r="83" spans="1:29" ht="24.95" customHeight="1">
      <c r="A83" s="183"/>
      <c r="B83" s="178"/>
      <c r="C83" s="66">
        <v>5</v>
      </c>
      <c r="D83" s="70" t="s">
        <v>283</v>
      </c>
      <c r="E83" s="70">
        <v>10169929.537900001</v>
      </c>
      <c r="F83" s="70">
        <v>0</v>
      </c>
      <c r="G83" s="70">
        <v>106082199.57539999</v>
      </c>
      <c r="H83" s="70">
        <v>21531549.982500002</v>
      </c>
      <c r="I83" s="70">
        <v>7930011.5060000001</v>
      </c>
      <c r="J83" s="70">
        <v>4133510.3728999998</v>
      </c>
      <c r="K83" s="70">
        <v>0</v>
      </c>
      <c r="L83" s="70">
        <f t="shared" si="18"/>
        <v>4133510.3728999998</v>
      </c>
      <c r="M83" s="70">
        <v>213606128.83860001</v>
      </c>
      <c r="N83" s="75">
        <f t="shared" si="19"/>
        <v>363453329.81330001</v>
      </c>
      <c r="O83" s="74"/>
      <c r="P83" s="66"/>
      <c r="Q83" s="191" t="s">
        <v>284</v>
      </c>
      <c r="R83" s="194"/>
      <c r="S83" s="71"/>
      <c r="T83" s="71">
        <f t="shared" ref="T83:AC83" si="20">SUM(T62:T82)</f>
        <v>259393117.67980003</v>
      </c>
      <c r="U83" s="70">
        <v>0</v>
      </c>
      <c r="V83" s="71">
        <f t="shared" si="20"/>
        <v>2705721054.9707999</v>
      </c>
      <c r="W83" s="71">
        <f t="shared" si="20"/>
        <v>549181374.13389993</v>
      </c>
      <c r="X83" s="71">
        <f t="shared" si="20"/>
        <v>130244195.4755</v>
      </c>
      <c r="Y83" s="71">
        <f t="shared" si="20"/>
        <v>105428866.40329999</v>
      </c>
      <c r="Z83" s="71">
        <f t="shared" si="20"/>
        <v>52714433.201649994</v>
      </c>
      <c r="AA83" s="71">
        <f t="shared" si="20"/>
        <v>52714433.201649994</v>
      </c>
      <c r="AB83" s="71">
        <f t="shared" si="20"/>
        <v>4614073329.7664003</v>
      </c>
      <c r="AC83" s="71">
        <f t="shared" si="20"/>
        <v>8311327505.2280512</v>
      </c>
    </row>
    <row r="84" spans="1:29" ht="24.95" customHeight="1">
      <c r="A84" s="183"/>
      <c r="B84" s="178"/>
      <c r="C84" s="66">
        <v>6</v>
      </c>
      <c r="D84" s="70" t="s">
        <v>285</v>
      </c>
      <c r="E84" s="70">
        <v>11707856.6721</v>
      </c>
      <c r="F84" s="70">
        <v>0</v>
      </c>
      <c r="G84" s="70">
        <v>122124266.78730001</v>
      </c>
      <c r="H84" s="70">
        <v>24787615.311000001</v>
      </c>
      <c r="I84" s="70">
        <v>8911171.3521999996</v>
      </c>
      <c r="J84" s="70">
        <v>4758592.1630999995</v>
      </c>
      <c r="K84" s="70">
        <v>0</v>
      </c>
      <c r="L84" s="70">
        <f t="shared" si="18"/>
        <v>4758592.1630999995</v>
      </c>
      <c r="M84" s="70">
        <v>249290517.92680001</v>
      </c>
      <c r="N84" s="75">
        <f t="shared" si="19"/>
        <v>421580020.21249998</v>
      </c>
      <c r="O84" s="74"/>
      <c r="P84" s="177">
        <v>22</v>
      </c>
      <c r="Q84" s="80">
        <v>1</v>
      </c>
      <c r="R84" s="183" t="s">
        <v>107</v>
      </c>
      <c r="S84" s="81" t="s">
        <v>286</v>
      </c>
      <c r="T84" s="70">
        <v>13442101.9058</v>
      </c>
      <c r="U84" s="82">
        <v>0</v>
      </c>
      <c r="V84" s="82">
        <v>140214121.61950001</v>
      </c>
      <c r="W84" s="82">
        <v>28459320.9793</v>
      </c>
      <c r="X84" s="70">
        <v>7059946.8474000003</v>
      </c>
      <c r="Y84" s="70">
        <v>5463466.3351999996</v>
      </c>
      <c r="Z84" s="70">
        <f t="shared" ref="Z84:Z104" si="21">Y84/2</f>
        <v>2731733.1675999998</v>
      </c>
      <c r="AA84" s="70">
        <f t="shared" ref="AA84:AA104" si="22">Y84-Z84</f>
        <v>2731733.1675999998</v>
      </c>
      <c r="AB84" s="70">
        <v>246309329.208</v>
      </c>
      <c r="AC84" s="75">
        <f t="shared" si="16"/>
        <v>438216553.72760004</v>
      </c>
    </row>
    <row r="85" spans="1:29" ht="24.95" customHeight="1">
      <c r="A85" s="183"/>
      <c r="B85" s="178"/>
      <c r="C85" s="66">
        <v>7</v>
      </c>
      <c r="D85" s="70" t="s">
        <v>287</v>
      </c>
      <c r="E85" s="70">
        <v>10850541.987500001</v>
      </c>
      <c r="F85" s="70">
        <v>0</v>
      </c>
      <c r="G85" s="70">
        <v>113181645.5889</v>
      </c>
      <c r="H85" s="70">
        <v>22972527.614100002</v>
      </c>
      <c r="I85" s="70">
        <v>8517903.9102999996</v>
      </c>
      <c r="J85" s="70">
        <v>4410141.4556999998</v>
      </c>
      <c r="K85" s="70">
        <v>0</v>
      </c>
      <c r="L85" s="70">
        <f t="shared" si="18"/>
        <v>4410141.4556999998</v>
      </c>
      <c r="M85" s="70">
        <v>234987539.1945</v>
      </c>
      <c r="N85" s="75">
        <f t="shared" si="19"/>
        <v>394920299.75099999</v>
      </c>
      <c r="O85" s="74"/>
      <c r="P85" s="178"/>
      <c r="Q85" s="80">
        <v>2</v>
      </c>
      <c r="R85" s="183"/>
      <c r="S85" s="81" t="s">
        <v>288</v>
      </c>
      <c r="T85" s="70">
        <v>11885851.501499999</v>
      </c>
      <c r="U85" s="82">
        <v>0</v>
      </c>
      <c r="V85" s="82">
        <v>123980924.9818</v>
      </c>
      <c r="W85" s="82">
        <v>25164462.0286</v>
      </c>
      <c r="X85" s="70">
        <v>6034735.5027999999</v>
      </c>
      <c r="Y85" s="70">
        <v>4830937.1553999996</v>
      </c>
      <c r="Z85" s="70">
        <f t="shared" si="21"/>
        <v>2415468.5776999998</v>
      </c>
      <c r="AA85" s="70">
        <f t="shared" si="22"/>
        <v>2415468.5776999998</v>
      </c>
      <c r="AB85" s="70">
        <v>209022804.83450001</v>
      </c>
      <c r="AC85" s="75">
        <f t="shared" si="16"/>
        <v>378504247.42690003</v>
      </c>
    </row>
    <row r="86" spans="1:29" ht="24.95" customHeight="1">
      <c r="A86" s="183"/>
      <c r="B86" s="178"/>
      <c r="C86" s="66">
        <v>8</v>
      </c>
      <c r="D86" s="70" t="s">
        <v>289</v>
      </c>
      <c r="E86" s="70">
        <v>9701732.7555999998</v>
      </c>
      <c r="F86" s="70">
        <v>0</v>
      </c>
      <c r="G86" s="70">
        <v>101198454.3819</v>
      </c>
      <c r="H86" s="70">
        <v>20540294.105900001</v>
      </c>
      <c r="I86" s="70">
        <v>7721742.3877999997</v>
      </c>
      <c r="J86" s="70">
        <v>3943214.4374000002</v>
      </c>
      <c r="K86" s="70">
        <v>0</v>
      </c>
      <c r="L86" s="70">
        <f t="shared" si="18"/>
        <v>3943214.4374000002</v>
      </c>
      <c r="M86" s="70">
        <v>206031464.75330001</v>
      </c>
      <c r="N86" s="75">
        <f t="shared" si="19"/>
        <v>349136902.82190001</v>
      </c>
      <c r="O86" s="74"/>
      <c r="P86" s="178"/>
      <c r="Q86" s="80">
        <v>3</v>
      </c>
      <c r="R86" s="183"/>
      <c r="S86" s="81" t="s">
        <v>290</v>
      </c>
      <c r="T86" s="70">
        <v>15000520.605900001</v>
      </c>
      <c r="U86" s="82">
        <v>0</v>
      </c>
      <c r="V86" s="82">
        <v>156469935.67919999</v>
      </c>
      <c r="W86" s="82">
        <v>31758770.598000001</v>
      </c>
      <c r="X86" s="70">
        <v>7896296.3773999996</v>
      </c>
      <c r="Y86" s="70">
        <v>6096876.8064999999</v>
      </c>
      <c r="Z86" s="70">
        <f t="shared" si="21"/>
        <v>3048438.40325</v>
      </c>
      <c r="AA86" s="70">
        <f t="shared" si="22"/>
        <v>3048438.40325</v>
      </c>
      <c r="AB86" s="70">
        <v>276727025.32130003</v>
      </c>
      <c r="AC86" s="75">
        <f t="shared" si="16"/>
        <v>490900986.98505002</v>
      </c>
    </row>
    <row r="87" spans="1:29" ht="24.95" customHeight="1">
      <c r="A87" s="183"/>
      <c r="B87" s="178"/>
      <c r="C87" s="66">
        <v>9</v>
      </c>
      <c r="D87" s="70" t="s">
        <v>291</v>
      </c>
      <c r="E87" s="70">
        <v>10775592.8465</v>
      </c>
      <c r="F87" s="70">
        <v>0</v>
      </c>
      <c r="G87" s="70">
        <v>112399853.57170001</v>
      </c>
      <c r="H87" s="70">
        <v>22813846.9498</v>
      </c>
      <c r="I87" s="70">
        <v>8515606.3524999991</v>
      </c>
      <c r="J87" s="70">
        <v>4379678.801</v>
      </c>
      <c r="K87" s="70">
        <v>0</v>
      </c>
      <c r="L87" s="70">
        <f t="shared" si="18"/>
        <v>4379678.801</v>
      </c>
      <c r="M87" s="70">
        <v>234903977.9427</v>
      </c>
      <c r="N87" s="75">
        <f t="shared" si="19"/>
        <v>393788556.46420002</v>
      </c>
      <c r="O87" s="74"/>
      <c r="P87" s="178"/>
      <c r="Q87" s="80">
        <v>4</v>
      </c>
      <c r="R87" s="183"/>
      <c r="S87" s="81" t="s">
        <v>292</v>
      </c>
      <c r="T87" s="70">
        <v>11877258.5847</v>
      </c>
      <c r="U87" s="82">
        <v>0</v>
      </c>
      <c r="V87" s="82">
        <v>123891292.54979999</v>
      </c>
      <c r="W87" s="82">
        <v>25146269.295000002</v>
      </c>
      <c r="X87" s="70">
        <v>6261564.7802999998</v>
      </c>
      <c r="Y87" s="70">
        <v>4827444.6129000001</v>
      </c>
      <c r="Z87" s="70">
        <f t="shared" si="21"/>
        <v>2413722.30645</v>
      </c>
      <c r="AA87" s="70">
        <f t="shared" si="22"/>
        <v>2413722.30645</v>
      </c>
      <c r="AB87" s="70">
        <v>217272494.45089999</v>
      </c>
      <c r="AC87" s="75">
        <f t="shared" si="16"/>
        <v>386862601.96714997</v>
      </c>
    </row>
    <row r="88" spans="1:29" ht="24.95" customHeight="1">
      <c r="A88" s="183"/>
      <c r="B88" s="178"/>
      <c r="C88" s="66">
        <v>10</v>
      </c>
      <c r="D88" s="70" t="s">
        <v>293</v>
      </c>
      <c r="E88" s="70">
        <v>17047376.3266</v>
      </c>
      <c r="F88" s="70">
        <v>0</v>
      </c>
      <c r="G88" s="70">
        <v>177820620.1902</v>
      </c>
      <c r="H88" s="70">
        <v>36092328.278300002</v>
      </c>
      <c r="I88" s="70">
        <v>12013952.507099999</v>
      </c>
      <c r="J88" s="70">
        <v>6928809.7438000003</v>
      </c>
      <c r="K88" s="70">
        <v>0</v>
      </c>
      <c r="L88" s="70">
        <f t="shared" si="18"/>
        <v>6928809.7438000003</v>
      </c>
      <c r="M88" s="70">
        <v>362137420.92180002</v>
      </c>
      <c r="N88" s="75">
        <f t="shared" si="19"/>
        <v>612040507.96780002</v>
      </c>
      <c r="O88" s="74"/>
      <c r="P88" s="178"/>
      <c r="Q88" s="80">
        <v>5</v>
      </c>
      <c r="R88" s="183"/>
      <c r="S88" s="81" t="s">
        <v>294</v>
      </c>
      <c r="T88" s="70">
        <v>16239901.660499999</v>
      </c>
      <c r="U88" s="82">
        <v>0</v>
      </c>
      <c r="V88" s="82">
        <v>169397878.58050001</v>
      </c>
      <c r="W88" s="82">
        <v>34382760.766599998</v>
      </c>
      <c r="X88" s="70">
        <v>7805921.4938000003</v>
      </c>
      <c r="Y88" s="70">
        <v>6600616.2302000001</v>
      </c>
      <c r="Z88" s="70">
        <f t="shared" si="21"/>
        <v>3300308.1151000001</v>
      </c>
      <c r="AA88" s="70">
        <f t="shared" si="22"/>
        <v>3300308.1151000001</v>
      </c>
      <c r="AB88" s="70">
        <v>273440127.14410001</v>
      </c>
      <c r="AC88" s="75">
        <f t="shared" si="16"/>
        <v>504566897.76060003</v>
      </c>
    </row>
    <row r="89" spans="1:29" ht="24.95" customHeight="1">
      <c r="A89" s="183"/>
      <c r="B89" s="178"/>
      <c r="C89" s="66">
        <v>11</v>
      </c>
      <c r="D89" s="70" t="s">
        <v>295</v>
      </c>
      <c r="E89" s="70">
        <v>11847947.134</v>
      </c>
      <c r="F89" s="70">
        <v>0</v>
      </c>
      <c r="G89" s="70">
        <v>123585545.77420001</v>
      </c>
      <c r="H89" s="70">
        <v>25084211.739599999</v>
      </c>
      <c r="I89" s="70">
        <v>9150348.3981999997</v>
      </c>
      <c r="J89" s="70">
        <v>4815531.1393999998</v>
      </c>
      <c r="K89" s="70">
        <v>0</v>
      </c>
      <c r="L89" s="70">
        <f t="shared" si="18"/>
        <v>4815531.1393999998</v>
      </c>
      <c r="M89" s="70">
        <v>257989290.91859999</v>
      </c>
      <c r="N89" s="75">
        <f t="shared" si="19"/>
        <v>432472875.10399997</v>
      </c>
      <c r="O89" s="74"/>
      <c r="P89" s="178"/>
      <c r="Q89" s="80">
        <v>6</v>
      </c>
      <c r="R89" s="183"/>
      <c r="S89" s="81" t="s">
        <v>296</v>
      </c>
      <c r="T89" s="70">
        <v>12626642.394200001</v>
      </c>
      <c r="U89" s="82">
        <v>0</v>
      </c>
      <c r="V89" s="82">
        <v>131708090.34999999</v>
      </c>
      <c r="W89" s="82">
        <v>26732848.129299998</v>
      </c>
      <c r="X89" s="70">
        <v>6109284.1924000001</v>
      </c>
      <c r="Y89" s="70">
        <v>5132027.4261999996</v>
      </c>
      <c r="Z89" s="70">
        <f t="shared" si="21"/>
        <v>2566013.7130999998</v>
      </c>
      <c r="AA89" s="70">
        <f t="shared" si="22"/>
        <v>2566013.7130999998</v>
      </c>
      <c r="AB89" s="70">
        <v>211734110.70210001</v>
      </c>
      <c r="AC89" s="75">
        <f t="shared" si="16"/>
        <v>391476989.48109996</v>
      </c>
    </row>
    <row r="90" spans="1:29" ht="24.95" customHeight="1">
      <c r="A90" s="183"/>
      <c r="B90" s="178"/>
      <c r="C90" s="66">
        <v>12</v>
      </c>
      <c r="D90" s="70" t="s">
        <v>297</v>
      </c>
      <c r="E90" s="70">
        <v>14485304.9189</v>
      </c>
      <c r="F90" s="70">
        <v>0</v>
      </c>
      <c r="G90" s="70">
        <v>151095737.8414</v>
      </c>
      <c r="H90" s="70">
        <v>30667967.335700002</v>
      </c>
      <c r="I90" s="70">
        <v>10362983.979499999</v>
      </c>
      <c r="J90" s="70">
        <v>5887470.3028999995</v>
      </c>
      <c r="K90" s="70">
        <v>0</v>
      </c>
      <c r="L90" s="70">
        <f t="shared" si="18"/>
        <v>5887470.3028999995</v>
      </c>
      <c r="M90" s="70">
        <v>302092359.41729999</v>
      </c>
      <c r="N90" s="75">
        <f t="shared" si="19"/>
        <v>514591823.79569995</v>
      </c>
      <c r="O90" s="74"/>
      <c r="P90" s="178"/>
      <c r="Q90" s="80">
        <v>7</v>
      </c>
      <c r="R90" s="183"/>
      <c r="S90" s="81" t="s">
        <v>298</v>
      </c>
      <c r="T90" s="70">
        <v>10594899.682700001</v>
      </c>
      <c r="U90" s="82">
        <v>0</v>
      </c>
      <c r="V90" s="82">
        <v>110515049.14</v>
      </c>
      <c r="W90" s="82">
        <v>22431287.378199998</v>
      </c>
      <c r="X90" s="70">
        <v>5489148.9664000003</v>
      </c>
      <c r="Y90" s="70">
        <v>4306237.0860000001</v>
      </c>
      <c r="Z90" s="70">
        <f t="shared" si="21"/>
        <v>2153118.5430000001</v>
      </c>
      <c r="AA90" s="70">
        <f t="shared" si="22"/>
        <v>2153118.5430000001</v>
      </c>
      <c r="AB90" s="70">
        <v>189180041.88550001</v>
      </c>
      <c r="AC90" s="75">
        <f t="shared" si="16"/>
        <v>340363545.59580004</v>
      </c>
    </row>
    <row r="91" spans="1:29" ht="24.95" customHeight="1">
      <c r="A91" s="183"/>
      <c r="B91" s="178"/>
      <c r="C91" s="66">
        <v>13</v>
      </c>
      <c r="D91" s="70" t="s">
        <v>299</v>
      </c>
      <c r="E91" s="70">
        <v>10643001.8379</v>
      </c>
      <c r="F91" s="70">
        <v>0</v>
      </c>
      <c r="G91" s="70">
        <v>111016801.13330001</v>
      </c>
      <c r="H91" s="70">
        <v>22533128.197500002</v>
      </c>
      <c r="I91" s="70">
        <v>8390254.6818000004</v>
      </c>
      <c r="J91" s="70">
        <v>4325787.9349999996</v>
      </c>
      <c r="K91" s="70">
        <v>0</v>
      </c>
      <c r="L91" s="70">
        <f t="shared" si="18"/>
        <v>4325787.9349999996</v>
      </c>
      <c r="M91" s="70">
        <v>230344988.08340001</v>
      </c>
      <c r="N91" s="75">
        <f t="shared" si="19"/>
        <v>387253961.86890006</v>
      </c>
      <c r="O91" s="74"/>
      <c r="P91" s="178"/>
      <c r="Q91" s="80">
        <v>8</v>
      </c>
      <c r="R91" s="183"/>
      <c r="S91" s="81" t="s">
        <v>300</v>
      </c>
      <c r="T91" s="70">
        <v>12415120.8894</v>
      </c>
      <c r="U91" s="82">
        <v>0</v>
      </c>
      <c r="V91" s="82">
        <v>129501716.5105</v>
      </c>
      <c r="W91" s="82">
        <v>26285019.475699998</v>
      </c>
      <c r="X91" s="70">
        <v>6364595.4847999997</v>
      </c>
      <c r="Y91" s="70">
        <v>5046055.7062999997</v>
      </c>
      <c r="Z91" s="70">
        <f t="shared" si="21"/>
        <v>2523027.8531499999</v>
      </c>
      <c r="AA91" s="70">
        <f t="shared" si="22"/>
        <v>2523027.8531499999</v>
      </c>
      <c r="AB91" s="70">
        <v>221019679.74680001</v>
      </c>
      <c r="AC91" s="75">
        <f t="shared" si="16"/>
        <v>398109159.96035004</v>
      </c>
    </row>
    <row r="92" spans="1:29" ht="24.95" customHeight="1">
      <c r="A92" s="183"/>
      <c r="B92" s="178"/>
      <c r="C92" s="66">
        <v>14</v>
      </c>
      <c r="D92" s="70" t="s">
        <v>301</v>
      </c>
      <c r="E92" s="70">
        <v>10552599.6525</v>
      </c>
      <c r="F92" s="70">
        <v>0</v>
      </c>
      <c r="G92" s="70">
        <v>110073818.92020001</v>
      </c>
      <c r="H92" s="70">
        <v>22341730.689399999</v>
      </c>
      <c r="I92" s="70">
        <v>8507109.2394999992</v>
      </c>
      <c r="J92" s="70">
        <v>4289044.4779000003</v>
      </c>
      <c r="K92" s="70">
        <v>0</v>
      </c>
      <c r="L92" s="70">
        <f t="shared" si="18"/>
        <v>4289044.4779000003</v>
      </c>
      <c r="M92" s="70">
        <v>234594941.35800001</v>
      </c>
      <c r="N92" s="75">
        <f t="shared" si="19"/>
        <v>390359244.33749998</v>
      </c>
      <c r="O92" s="74"/>
      <c r="P92" s="178"/>
      <c r="Q92" s="80">
        <v>9</v>
      </c>
      <c r="R92" s="183"/>
      <c r="S92" s="81" t="s">
        <v>302</v>
      </c>
      <c r="T92" s="70">
        <v>12175557.2633</v>
      </c>
      <c r="U92" s="82">
        <v>0</v>
      </c>
      <c r="V92" s="82">
        <v>127002836.2281</v>
      </c>
      <c r="W92" s="82">
        <v>25777820.662799999</v>
      </c>
      <c r="X92" s="70">
        <v>6004032.9433000004</v>
      </c>
      <c r="Y92" s="70">
        <v>4948686.4245999996</v>
      </c>
      <c r="Z92" s="70">
        <f t="shared" si="21"/>
        <v>2474343.2122999998</v>
      </c>
      <c r="AA92" s="70">
        <f t="shared" si="22"/>
        <v>2474343.2122999998</v>
      </c>
      <c r="AB92" s="70">
        <v>207906165.09009999</v>
      </c>
      <c r="AC92" s="75">
        <f t="shared" si="16"/>
        <v>381340755.39990002</v>
      </c>
    </row>
    <row r="93" spans="1:29" ht="24.95" customHeight="1">
      <c r="A93" s="183"/>
      <c r="B93" s="178"/>
      <c r="C93" s="66">
        <v>15</v>
      </c>
      <c r="D93" s="70" t="s">
        <v>303</v>
      </c>
      <c r="E93" s="70">
        <v>12665430.297700001</v>
      </c>
      <c r="F93" s="70">
        <v>0</v>
      </c>
      <c r="G93" s="70">
        <v>132112685.69230001</v>
      </c>
      <c r="H93" s="70">
        <v>26814969.021200001</v>
      </c>
      <c r="I93" s="70">
        <v>9483750.9833000004</v>
      </c>
      <c r="J93" s="70">
        <v>5147792.5503000002</v>
      </c>
      <c r="K93" s="70">
        <v>0</v>
      </c>
      <c r="L93" s="70">
        <f t="shared" si="18"/>
        <v>5147792.5503000002</v>
      </c>
      <c r="M93" s="70">
        <v>270115008.87840003</v>
      </c>
      <c r="N93" s="75">
        <f t="shared" si="19"/>
        <v>456339637.42320001</v>
      </c>
      <c r="O93" s="74"/>
      <c r="P93" s="178"/>
      <c r="Q93" s="80">
        <v>10</v>
      </c>
      <c r="R93" s="183"/>
      <c r="S93" s="81" t="s">
        <v>304</v>
      </c>
      <c r="T93" s="70">
        <v>12872326.3857</v>
      </c>
      <c r="U93" s="82">
        <v>0</v>
      </c>
      <c r="V93" s="82">
        <v>134270811.9619</v>
      </c>
      <c r="W93" s="82">
        <v>27253004.844599999</v>
      </c>
      <c r="X93" s="70">
        <v>6331556.8609999996</v>
      </c>
      <c r="Y93" s="70">
        <v>5231884.2958000004</v>
      </c>
      <c r="Z93" s="70">
        <f t="shared" si="21"/>
        <v>2615942.1479000002</v>
      </c>
      <c r="AA93" s="70">
        <f t="shared" si="22"/>
        <v>2615942.1479000002</v>
      </c>
      <c r="AB93" s="70">
        <v>219818078.28279999</v>
      </c>
      <c r="AC93" s="75">
        <f t="shared" si="16"/>
        <v>403161720.48389995</v>
      </c>
    </row>
    <row r="94" spans="1:29" ht="24.95" customHeight="1">
      <c r="A94" s="183"/>
      <c r="B94" s="178"/>
      <c r="C94" s="66">
        <v>16</v>
      </c>
      <c r="D94" s="70" t="s">
        <v>305</v>
      </c>
      <c r="E94" s="70">
        <v>12102177.047700001</v>
      </c>
      <c r="F94" s="70">
        <v>0</v>
      </c>
      <c r="G94" s="70">
        <v>126237409.6187</v>
      </c>
      <c r="H94" s="70">
        <v>25622461.692400001</v>
      </c>
      <c r="I94" s="70">
        <v>9332561.4145</v>
      </c>
      <c r="J94" s="70">
        <v>4918861.4507999998</v>
      </c>
      <c r="K94" s="70">
        <v>0</v>
      </c>
      <c r="L94" s="70">
        <f t="shared" si="18"/>
        <v>4918861.4507999998</v>
      </c>
      <c r="M94" s="70">
        <v>264616305.05360001</v>
      </c>
      <c r="N94" s="75">
        <f t="shared" si="19"/>
        <v>442829776.27770001</v>
      </c>
      <c r="O94" s="74"/>
      <c r="P94" s="178"/>
      <c r="Q94" s="80">
        <v>11</v>
      </c>
      <c r="R94" s="183"/>
      <c r="S94" s="81" t="s">
        <v>107</v>
      </c>
      <c r="T94" s="70">
        <v>11331362.465399999</v>
      </c>
      <c r="U94" s="82">
        <v>0</v>
      </c>
      <c r="V94" s="82">
        <v>118197068.1356</v>
      </c>
      <c r="W94" s="82">
        <v>23990510.100099999</v>
      </c>
      <c r="X94" s="70">
        <v>5952318.6404999997</v>
      </c>
      <c r="Y94" s="70">
        <v>4605568.2210999997</v>
      </c>
      <c r="Z94" s="70">
        <f t="shared" si="21"/>
        <v>2302784.1105499999</v>
      </c>
      <c r="AA94" s="70">
        <f t="shared" si="22"/>
        <v>2302784.1105499999</v>
      </c>
      <c r="AB94" s="70">
        <v>206025336.6913</v>
      </c>
      <c r="AC94" s="75">
        <f t="shared" si="16"/>
        <v>367799380.14345002</v>
      </c>
    </row>
    <row r="95" spans="1:29" ht="24.95" customHeight="1">
      <c r="A95" s="183"/>
      <c r="B95" s="178"/>
      <c r="C95" s="66">
        <v>17</v>
      </c>
      <c r="D95" s="70" t="s">
        <v>306</v>
      </c>
      <c r="E95" s="70">
        <v>10138281.557800001</v>
      </c>
      <c r="F95" s="70">
        <v>0</v>
      </c>
      <c r="G95" s="70">
        <v>105752080.5388</v>
      </c>
      <c r="H95" s="70">
        <v>21464545.578699999</v>
      </c>
      <c r="I95" s="70">
        <v>8088324.7873999998</v>
      </c>
      <c r="J95" s="70">
        <v>4120647.2302999999</v>
      </c>
      <c r="K95" s="70">
        <v>0</v>
      </c>
      <c r="L95" s="70">
        <f t="shared" si="18"/>
        <v>4120647.2302999999</v>
      </c>
      <c r="M95" s="70">
        <v>219363919.2261</v>
      </c>
      <c r="N95" s="75">
        <f t="shared" si="19"/>
        <v>368927798.91910005</v>
      </c>
      <c r="O95" s="74"/>
      <c r="P95" s="178"/>
      <c r="Q95" s="80">
        <v>12</v>
      </c>
      <c r="R95" s="183"/>
      <c r="S95" s="81" t="s">
        <v>307</v>
      </c>
      <c r="T95" s="70">
        <v>14466832.953</v>
      </c>
      <c r="U95" s="82">
        <v>0</v>
      </c>
      <c r="V95" s="82">
        <v>150903057.37380001</v>
      </c>
      <c r="W95" s="82">
        <v>30628858.897799999</v>
      </c>
      <c r="X95" s="70">
        <v>6970958.1997999996</v>
      </c>
      <c r="Y95" s="70">
        <v>5879962.4767000005</v>
      </c>
      <c r="Z95" s="70">
        <f t="shared" si="21"/>
        <v>2939981.2383500002</v>
      </c>
      <c r="AA95" s="70">
        <f t="shared" si="22"/>
        <v>2939981.2383500002</v>
      </c>
      <c r="AB95" s="70">
        <v>243072847.87540001</v>
      </c>
      <c r="AC95" s="75">
        <f t="shared" si="16"/>
        <v>448982536.53815007</v>
      </c>
    </row>
    <row r="96" spans="1:29" ht="24.95" customHeight="1">
      <c r="A96" s="183"/>
      <c r="B96" s="178"/>
      <c r="C96" s="66">
        <v>18</v>
      </c>
      <c r="D96" s="70" t="s">
        <v>308</v>
      </c>
      <c r="E96" s="70">
        <v>10505106.1745</v>
      </c>
      <c r="F96" s="70">
        <v>0</v>
      </c>
      <c r="G96" s="70">
        <v>109578416.01710001</v>
      </c>
      <c r="H96" s="70">
        <v>22241178.547600001</v>
      </c>
      <c r="I96" s="70">
        <v>8238757.0606000004</v>
      </c>
      <c r="J96" s="70">
        <v>4269741.0220999997</v>
      </c>
      <c r="K96" s="70">
        <v>0</v>
      </c>
      <c r="L96" s="70">
        <f t="shared" si="18"/>
        <v>4269741.0220999997</v>
      </c>
      <c r="M96" s="70">
        <v>224835080.51539999</v>
      </c>
      <c r="N96" s="75">
        <f t="shared" si="19"/>
        <v>379668279.3373</v>
      </c>
      <c r="O96" s="74"/>
      <c r="P96" s="178"/>
      <c r="Q96" s="80">
        <v>13</v>
      </c>
      <c r="R96" s="183"/>
      <c r="S96" s="81" t="s">
        <v>309</v>
      </c>
      <c r="T96" s="70">
        <v>9548973.1516999993</v>
      </c>
      <c r="U96" s="82">
        <v>0</v>
      </c>
      <c r="V96" s="82">
        <v>99605023.9912</v>
      </c>
      <c r="W96" s="82">
        <v>20216874.8495</v>
      </c>
      <c r="X96" s="70">
        <v>5029919.7965000002</v>
      </c>
      <c r="Y96" s="70">
        <v>3881126.1597000002</v>
      </c>
      <c r="Z96" s="70">
        <f t="shared" si="21"/>
        <v>1940563.0798500001</v>
      </c>
      <c r="AA96" s="70">
        <f t="shared" si="22"/>
        <v>1940563.0798500001</v>
      </c>
      <c r="AB96" s="70">
        <v>172478061.62889999</v>
      </c>
      <c r="AC96" s="75">
        <f t="shared" si="16"/>
        <v>308819416.49765003</v>
      </c>
    </row>
    <row r="97" spans="1:29" ht="24.95" customHeight="1">
      <c r="A97" s="183"/>
      <c r="B97" s="178"/>
      <c r="C97" s="66">
        <v>19</v>
      </c>
      <c r="D97" s="70" t="s">
        <v>310</v>
      </c>
      <c r="E97" s="70">
        <v>11344622.697000001</v>
      </c>
      <c r="F97" s="70">
        <v>0</v>
      </c>
      <c r="G97" s="70">
        <v>118335385.1735</v>
      </c>
      <c r="H97" s="70">
        <v>24018584.369100001</v>
      </c>
      <c r="I97" s="70">
        <v>8697536.9874000009</v>
      </c>
      <c r="J97" s="70">
        <v>4610957.7671999997</v>
      </c>
      <c r="K97" s="70">
        <v>0</v>
      </c>
      <c r="L97" s="70">
        <f t="shared" si="18"/>
        <v>4610957.7671999997</v>
      </c>
      <c r="M97" s="70">
        <v>241520721.97979999</v>
      </c>
      <c r="N97" s="75">
        <f t="shared" si="19"/>
        <v>408527808.97399998</v>
      </c>
      <c r="O97" s="74"/>
      <c r="P97" s="178"/>
      <c r="Q97" s="80">
        <v>14</v>
      </c>
      <c r="R97" s="183"/>
      <c r="S97" s="81" t="s">
        <v>311</v>
      </c>
      <c r="T97" s="70">
        <v>13882773.176899999</v>
      </c>
      <c r="U97" s="82">
        <v>0</v>
      </c>
      <c r="V97" s="82">
        <v>144810749.11399999</v>
      </c>
      <c r="W97" s="82">
        <v>29392300.452199999</v>
      </c>
      <c r="X97" s="70">
        <v>6931270.7774999999</v>
      </c>
      <c r="Y97" s="70">
        <v>5642574.6823000005</v>
      </c>
      <c r="Z97" s="70">
        <f t="shared" si="21"/>
        <v>2821287.3411500002</v>
      </c>
      <c r="AA97" s="70">
        <f t="shared" si="22"/>
        <v>2821287.3411500002</v>
      </c>
      <c r="AB97" s="70">
        <v>241629432.2861</v>
      </c>
      <c r="AC97" s="75">
        <f t="shared" si="16"/>
        <v>439467813.14784998</v>
      </c>
    </row>
    <row r="98" spans="1:29" ht="24.95" customHeight="1">
      <c r="A98" s="183"/>
      <c r="B98" s="178"/>
      <c r="C98" s="66">
        <v>20</v>
      </c>
      <c r="D98" s="70" t="s">
        <v>312</v>
      </c>
      <c r="E98" s="70">
        <v>11480471.323100001</v>
      </c>
      <c r="F98" s="70">
        <v>0</v>
      </c>
      <c r="G98" s="70">
        <v>119752417.71160001</v>
      </c>
      <c r="H98" s="70">
        <v>24306200.077</v>
      </c>
      <c r="I98" s="70">
        <v>8887412.8080000002</v>
      </c>
      <c r="J98" s="70">
        <v>4666172.6732999999</v>
      </c>
      <c r="K98" s="70">
        <v>0</v>
      </c>
      <c r="L98" s="70">
        <f t="shared" si="18"/>
        <v>4666172.6732999999</v>
      </c>
      <c r="M98" s="70">
        <v>248426429.22830001</v>
      </c>
      <c r="N98" s="75">
        <f t="shared" si="19"/>
        <v>417519103.82130003</v>
      </c>
      <c r="O98" s="74"/>
      <c r="P98" s="178"/>
      <c r="Q98" s="80">
        <v>15</v>
      </c>
      <c r="R98" s="183"/>
      <c r="S98" s="81" t="s">
        <v>313</v>
      </c>
      <c r="T98" s="70">
        <v>9270365.7574000005</v>
      </c>
      <c r="U98" s="82">
        <v>0</v>
      </c>
      <c r="V98" s="82">
        <v>96698879.451399997</v>
      </c>
      <c r="W98" s="82">
        <v>19627013.433899999</v>
      </c>
      <c r="X98" s="70">
        <v>4973250.9836999997</v>
      </c>
      <c r="Y98" s="70">
        <v>3767887.7592000002</v>
      </c>
      <c r="Z98" s="70">
        <f t="shared" si="21"/>
        <v>1883943.8796000001</v>
      </c>
      <c r="AA98" s="70">
        <f t="shared" si="22"/>
        <v>1883943.8796000001</v>
      </c>
      <c r="AB98" s="70">
        <v>170417039.6927</v>
      </c>
      <c r="AC98" s="75">
        <f t="shared" si="16"/>
        <v>302870493.19870001</v>
      </c>
    </row>
    <row r="99" spans="1:29" ht="24.95" customHeight="1">
      <c r="A99" s="183"/>
      <c r="B99" s="179"/>
      <c r="C99" s="66">
        <v>21</v>
      </c>
      <c r="D99" s="70" t="s">
        <v>314</v>
      </c>
      <c r="E99" s="70">
        <v>11022943.0854</v>
      </c>
      <c r="F99" s="70">
        <v>0</v>
      </c>
      <c r="G99" s="70">
        <v>114979955.75489999</v>
      </c>
      <c r="H99" s="70">
        <v>23337531.407099999</v>
      </c>
      <c r="I99" s="70">
        <v>8641368.7598000001</v>
      </c>
      <c r="J99" s="70">
        <v>4480212.9073999999</v>
      </c>
      <c r="K99" s="70">
        <v>0</v>
      </c>
      <c r="L99" s="70">
        <f t="shared" si="18"/>
        <v>4480212.9073999999</v>
      </c>
      <c r="M99" s="70">
        <v>239477906.12639999</v>
      </c>
      <c r="N99" s="75">
        <f t="shared" si="19"/>
        <v>401939918.04100001</v>
      </c>
      <c r="O99" s="74"/>
      <c r="P99" s="178"/>
      <c r="Q99" s="80">
        <v>16</v>
      </c>
      <c r="R99" s="183"/>
      <c r="S99" s="81" t="s">
        <v>315</v>
      </c>
      <c r="T99" s="70">
        <v>13439917.610300001</v>
      </c>
      <c r="U99" s="82">
        <v>0</v>
      </c>
      <c r="V99" s="82">
        <v>140191337.30469999</v>
      </c>
      <c r="W99" s="82">
        <v>28454696.437100001</v>
      </c>
      <c r="X99" s="70">
        <v>7031772.8849999998</v>
      </c>
      <c r="Y99" s="70">
        <v>5462578.5405000001</v>
      </c>
      <c r="Z99" s="70">
        <f t="shared" si="21"/>
        <v>2731289.2702500001</v>
      </c>
      <c r="AA99" s="70">
        <f t="shared" si="22"/>
        <v>2731289.2702500001</v>
      </c>
      <c r="AB99" s="70">
        <v>245284653.52289999</v>
      </c>
      <c r="AC99" s="75">
        <f t="shared" si="16"/>
        <v>437133667.03024995</v>
      </c>
    </row>
    <row r="100" spans="1:29" ht="24.95" customHeight="1">
      <c r="A100" s="66"/>
      <c r="B100" s="190" t="s">
        <v>316</v>
      </c>
      <c r="C100" s="191"/>
      <c r="D100" s="71"/>
      <c r="E100" s="71">
        <f t="shared" ref="E100:N100" si="23">SUM(E79:E99)</f>
        <v>248655655.82169998</v>
      </c>
      <c r="F100" s="71">
        <f t="shared" si="23"/>
        <v>0</v>
      </c>
      <c r="G100" s="71">
        <f t="shared" si="23"/>
        <v>2593718944.4819002</v>
      </c>
      <c r="H100" s="71">
        <f t="shared" si="23"/>
        <v>526448257.26949996</v>
      </c>
      <c r="I100" s="71">
        <f t="shared" si="23"/>
        <v>189855766.75969997</v>
      </c>
      <c r="J100" s="71">
        <f t="shared" si="23"/>
        <v>101064685.72699998</v>
      </c>
      <c r="K100" s="71">
        <f t="shared" si="23"/>
        <v>0</v>
      </c>
      <c r="L100" s="71">
        <f t="shared" si="23"/>
        <v>101064685.72699998</v>
      </c>
      <c r="M100" s="71">
        <f t="shared" si="23"/>
        <v>5334068675.6781998</v>
      </c>
      <c r="N100" s="71">
        <f t="shared" si="23"/>
        <v>8993811985.7380009</v>
      </c>
      <c r="O100" s="74"/>
      <c r="P100" s="178"/>
      <c r="Q100" s="80">
        <v>17</v>
      </c>
      <c r="R100" s="183"/>
      <c r="S100" s="81" t="s">
        <v>317</v>
      </c>
      <c r="T100" s="70">
        <v>16808794.433400001</v>
      </c>
      <c r="U100" s="82">
        <v>0</v>
      </c>
      <c r="V100" s="82">
        <v>175331980.33109999</v>
      </c>
      <c r="W100" s="82">
        <v>35587207.968400002</v>
      </c>
      <c r="X100" s="70">
        <v>8575385.1383999996</v>
      </c>
      <c r="Y100" s="70">
        <v>6831839.4819999998</v>
      </c>
      <c r="Z100" s="70">
        <f t="shared" si="21"/>
        <v>3415919.7409999999</v>
      </c>
      <c r="AA100" s="70">
        <f t="shared" si="22"/>
        <v>3415919.7409999999</v>
      </c>
      <c r="AB100" s="70">
        <v>301425210.50319999</v>
      </c>
      <c r="AC100" s="75">
        <f t="shared" si="16"/>
        <v>541144498.11549997</v>
      </c>
    </row>
    <row r="101" spans="1:29" ht="24.95" customHeight="1">
      <c r="A101" s="183">
        <v>5</v>
      </c>
      <c r="B101" s="177" t="s">
        <v>318</v>
      </c>
      <c r="C101" s="66">
        <v>1</v>
      </c>
      <c r="D101" s="70" t="s">
        <v>319</v>
      </c>
      <c r="E101" s="70">
        <v>18585873.7326</v>
      </c>
      <c r="F101" s="70">
        <v>0</v>
      </c>
      <c r="G101" s="70">
        <v>193868635.8883</v>
      </c>
      <c r="H101" s="70">
        <v>39349600.973399997</v>
      </c>
      <c r="I101" s="70">
        <v>8605153.5821000002</v>
      </c>
      <c r="J101" s="70">
        <v>7554123.3178000003</v>
      </c>
      <c r="K101" s="70">
        <v>0</v>
      </c>
      <c r="L101" s="70">
        <f t="shared" ref="L101:L120" si="24">J101-K101</f>
        <v>7554123.3178000003</v>
      </c>
      <c r="M101" s="70">
        <v>303435238.94169998</v>
      </c>
      <c r="N101" s="75">
        <f t="shared" ref="N101:N120" si="25">E101+F101+G101+H101+I101+L101+M101</f>
        <v>571398626.43589997</v>
      </c>
      <c r="O101" s="74"/>
      <c r="P101" s="178"/>
      <c r="Q101" s="80">
        <v>18</v>
      </c>
      <c r="R101" s="183"/>
      <c r="S101" s="81" t="s">
        <v>320</v>
      </c>
      <c r="T101" s="70">
        <v>12696968.446900001</v>
      </c>
      <c r="U101" s="82">
        <v>0</v>
      </c>
      <c r="V101" s="82">
        <v>132441659.086</v>
      </c>
      <c r="W101" s="82">
        <v>26881740.893300001</v>
      </c>
      <c r="X101" s="70">
        <v>6520315.9914999995</v>
      </c>
      <c r="Y101" s="70">
        <v>5160611.0527999997</v>
      </c>
      <c r="Z101" s="70">
        <f t="shared" si="21"/>
        <v>2580305.5263999999</v>
      </c>
      <c r="AA101" s="70">
        <f t="shared" si="22"/>
        <v>2580305.5263999999</v>
      </c>
      <c r="AB101" s="70">
        <v>226683171.96200001</v>
      </c>
      <c r="AC101" s="75">
        <f t="shared" si="16"/>
        <v>407804161.90610003</v>
      </c>
    </row>
    <row r="102" spans="1:29" ht="24.95" customHeight="1">
      <c r="A102" s="183"/>
      <c r="B102" s="178"/>
      <c r="C102" s="66">
        <v>2</v>
      </c>
      <c r="D102" s="70" t="s">
        <v>90</v>
      </c>
      <c r="E102" s="70">
        <v>22444400.021899998</v>
      </c>
      <c r="F102" s="70">
        <v>0</v>
      </c>
      <c r="G102" s="70">
        <v>234116796.34650001</v>
      </c>
      <c r="H102" s="70">
        <v>47518787.5295</v>
      </c>
      <c r="I102" s="70">
        <v>10715133.0759</v>
      </c>
      <c r="J102" s="70">
        <v>9122399.5170000009</v>
      </c>
      <c r="K102" s="70">
        <v>0</v>
      </c>
      <c r="L102" s="70">
        <f t="shared" si="24"/>
        <v>9122399.5170000009</v>
      </c>
      <c r="M102" s="70">
        <v>380174344.71810001</v>
      </c>
      <c r="N102" s="75">
        <f t="shared" si="25"/>
        <v>704091861.20889997</v>
      </c>
      <c r="O102" s="74"/>
      <c r="P102" s="178"/>
      <c r="Q102" s="80">
        <v>19</v>
      </c>
      <c r="R102" s="183"/>
      <c r="S102" s="81" t="s">
        <v>321</v>
      </c>
      <c r="T102" s="70">
        <v>12022073.0748</v>
      </c>
      <c r="U102" s="82">
        <v>0</v>
      </c>
      <c r="V102" s="82">
        <v>125401847.7198</v>
      </c>
      <c r="W102" s="82">
        <v>25452867.331999999</v>
      </c>
      <c r="X102" s="70">
        <v>5856077.9249999998</v>
      </c>
      <c r="Y102" s="70">
        <v>4886303.6437999997</v>
      </c>
      <c r="Z102" s="70">
        <f t="shared" si="21"/>
        <v>2443151.8218999999</v>
      </c>
      <c r="AA102" s="70">
        <f t="shared" si="22"/>
        <v>2443151.8218999999</v>
      </c>
      <c r="AB102" s="70">
        <v>202525100.5695</v>
      </c>
      <c r="AC102" s="75">
        <f t="shared" si="16"/>
        <v>373701118.44300002</v>
      </c>
    </row>
    <row r="103" spans="1:29" ht="24.95" customHeight="1">
      <c r="A103" s="183"/>
      <c r="B103" s="178"/>
      <c r="C103" s="66">
        <v>3</v>
      </c>
      <c r="D103" s="70" t="s">
        <v>322</v>
      </c>
      <c r="E103" s="70">
        <v>9815979.0434000008</v>
      </c>
      <c r="F103" s="70">
        <v>0</v>
      </c>
      <c r="G103" s="70">
        <v>102390153.6417</v>
      </c>
      <c r="H103" s="70">
        <v>20782173.820700001</v>
      </c>
      <c r="I103" s="70">
        <v>5457769.0015000002</v>
      </c>
      <c r="J103" s="70">
        <v>3989649.1952</v>
      </c>
      <c r="K103" s="70">
        <v>0</v>
      </c>
      <c r="L103" s="70">
        <f t="shared" si="24"/>
        <v>3989649.1952</v>
      </c>
      <c r="M103" s="70">
        <v>188966127.28799999</v>
      </c>
      <c r="N103" s="75">
        <f t="shared" si="25"/>
        <v>331401851.99049997</v>
      </c>
      <c r="O103" s="74"/>
      <c r="P103" s="178"/>
      <c r="Q103" s="80">
        <v>20</v>
      </c>
      <c r="R103" s="183"/>
      <c r="S103" s="81" t="s">
        <v>323</v>
      </c>
      <c r="T103" s="70">
        <v>12890568.883099999</v>
      </c>
      <c r="U103" s="82">
        <v>0</v>
      </c>
      <c r="V103" s="82">
        <v>134461098.85100001</v>
      </c>
      <c r="W103" s="82">
        <v>27291627.456900001</v>
      </c>
      <c r="X103" s="70">
        <v>6377469.5096000005</v>
      </c>
      <c r="Y103" s="70">
        <v>5239298.8557000002</v>
      </c>
      <c r="Z103" s="70">
        <f t="shared" si="21"/>
        <v>2619649.4278500001</v>
      </c>
      <c r="AA103" s="70">
        <f t="shared" si="22"/>
        <v>2619649.4278500001</v>
      </c>
      <c r="AB103" s="70">
        <v>221487902.8504</v>
      </c>
      <c r="AC103" s="75">
        <f t="shared" si="16"/>
        <v>405128316.97885001</v>
      </c>
    </row>
    <row r="104" spans="1:29" ht="24.95" customHeight="1">
      <c r="A104" s="183"/>
      <c r="B104" s="178"/>
      <c r="C104" s="66">
        <v>4</v>
      </c>
      <c r="D104" s="70" t="s">
        <v>324</v>
      </c>
      <c r="E104" s="70">
        <v>11600883.431700001</v>
      </c>
      <c r="F104" s="70">
        <v>0</v>
      </c>
      <c r="G104" s="70">
        <v>121008432.4457</v>
      </c>
      <c r="H104" s="70">
        <v>24561133.931499999</v>
      </c>
      <c r="I104" s="70">
        <v>6313987.9135999996</v>
      </c>
      <c r="J104" s="70">
        <v>4715113.4943000004</v>
      </c>
      <c r="K104" s="70">
        <v>0</v>
      </c>
      <c r="L104" s="70">
        <f t="shared" si="24"/>
        <v>4715113.4943000004</v>
      </c>
      <c r="M104" s="70">
        <v>220106464.84119999</v>
      </c>
      <c r="N104" s="75">
        <f t="shared" si="25"/>
        <v>388306016.05799997</v>
      </c>
      <c r="O104" s="74"/>
      <c r="P104" s="179"/>
      <c r="Q104" s="80">
        <v>21</v>
      </c>
      <c r="R104" s="183"/>
      <c r="S104" s="81" t="s">
        <v>325</v>
      </c>
      <c r="T104" s="70">
        <v>12612976.4561</v>
      </c>
      <c r="U104" s="82">
        <v>0</v>
      </c>
      <c r="V104" s="82">
        <v>131565541.4012</v>
      </c>
      <c r="W104" s="82">
        <v>26703914.907499999</v>
      </c>
      <c r="X104" s="70">
        <v>6263579.9566000002</v>
      </c>
      <c r="Y104" s="70">
        <v>5126472.9829000002</v>
      </c>
      <c r="Z104" s="70">
        <f t="shared" si="21"/>
        <v>2563236.4914500001</v>
      </c>
      <c r="AA104" s="70">
        <f t="shared" si="22"/>
        <v>2563236.4914500001</v>
      </c>
      <c r="AB104" s="70">
        <v>217345785.60460001</v>
      </c>
      <c r="AC104" s="75">
        <f t="shared" si="16"/>
        <v>397055034.81745005</v>
      </c>
    </row>
    <row r="105" spans="1:29" ht="24.95" customHeight="1">
      <c r="A105" s="183"/>
      <c r="B105" s="178"/>
      <c r="C105" s="66">
        <v>5</v>
      </c>
      <c r="D105" s="70" t="s">
        <v>326</v>
      </c>
      <c r="E105" s="70">
        <v>14716198.3916</v>
      </c>
      <c r="F105" s="70">
        <v>0</v>
      </c>
      <c r="G105" s="70">
        <v>153504180.03839999</v>
      </c>
      <c r="H105" s="70">
        <v>31156809.891399998</v>
      </c>
      <c r="I105" s="70">
        <v>7606203.7077000001</v>
      </c>
      <c r="J105" s="70">
        <v>5981315.6496000001</v>
      </c>
      <c r="K105" s="70">
        <v>0</v>
      </c>
      <c r="L105" s="70">
        <f t="shared" si="24"/>
        <v>5981315.6496000001</v>
      </c>
      <c r="M105" s="70">
        <v>267103833.68059999</v>
      </c>
      <c r="N105" s="75">
        <f t="shared" si="25"/>
        <v>480068541.35930002</v>
      </c>
      <c r="O105" s="74"/>
      <c r="P105" s="66"/>
      <c r="Q105" s="191" t="s">
        <v>327</v>
      </c>
      <c r="R105" s="194"/>
      <c r="S105" s="71"/>
      <c r="T105" s="71">
        <f t="shared" ref="T105:AC105" si="26">SUM(T84:T104)</f>
        <v>268101787.28270003</v>
      </c>
      <c r="U105" s="71">
        <f t="shared" si="26"/>
        <v>0</v>
      </c>
      <c r="V105" s="71">
        <f t="shared" si="26"/>
        <v>2796560900.3610997</v>
      </c>
      <c r="W105" s="71">
        <f t="shared" si="26"/>
        <v>567619176.88680005</v>
      </c>
      <c r="X105" s="71">
        <f t="shared" si="26"/>
        <v>135839403.25370002</v>
      </c>
      <c r="Y105" s="71">
        <f t="shared" si="26"/>
        <v>108968455.9358</v>
      </c>
      <c r="Z105" s="71">
        <f t="shared" si="26"/>
        <v>54484227.967900001</v>
      </c>
      <c r="AA105" s="71">
        <f t="shared" si="26"/>
        <v>54484227.967900001</v>
      </c>
      <c r="AB105" s="71">
        <f t="shared" si="26"/>
        <v>4720804399.8530998</v>
      </c>
      <c r="AC105" s="71">
        <f t="shared" si="26"/>
        <v>8543409895.6053009</v>
      </c>
    </row>
    <row r="106" spans="1:29" ht="24.95" customHeight="1">
      <c r="A106" s="183"/>
      <c r="B106" s="178"/>
      <c r="C106" s="66">
        <v>6</v>
      </c>
      <c r="D106" s="70" t="s">
        <v>328</v>
      </c>
      <c r="E106" s="70">
        <v>9744842.3311000001</v>
      </c>
      <c r="F106" s="70">
        <v>0</v>
      </c>
      <c r="G106" s="70">
        <v>101648128.9418</v>
      </c>
      <c r="H106" s="70">
        <v>20631564.745999999</v>
      </c>
      <c r="I106" s="70">
        <v>5531290.8497000001</v>
      </c>
      <c r="J106" s="70">
        <v>3960736.0806</v>
      </c>
      <c r="K106" s="70">
        <v>0</v>
      </c>
      <c r="L106" s="70">
        <f t="shared" si="24"/>
        <v>3960736.0806</v>
      </c>
      <c r="M106" s="70">
        <v>191640087.34470001</v>
      </c>
      <c r="N106" s="75">
        <f t="shared" si="25"/>
        <v>333156650.29390001</v>
      </c>
      <c r="O106" s="74"/>
      <c r="P106" s="177">
        <v>23</v>
      </c>
      <c r="Q106" s="80">
        <v>1</v>
      </c>
      <c r="R106" s="183" t="s">
        <v>108</v>
      </c>
      <c r="S106" s="81" t="s">
        <v>329</v>
      </c>
      <c r="T106" s="70">
        <v>10893228.7162</v>
      </c>
      <c r="U106" s="70">
        <v>0</v>
      </c>
      <c r="V106" s="70">
        <v>113626909.4483</v>
      </c>
      <c r="W106" s="70">
        <v>23062903.012400001</v>
      </c>
      <c r="X106" s="70">
        <v>6490184.9241000004</v>
      </c>
      <c r="Y106" s="70">
        <v>4427491.2352999998</v>
      </c>
      <c r="Z106" s="70">
        <f t="shared" ref="Z106:Z121" si="27">Y106/2</f>
        <v>2213745.6176499999</v>
      </c>
      <c r="AA106" s="70">
        <f t="shared" ref="AA106:AA121" si="28">Y106-Z106</f>
        <v>2213745.6176499999</v>
      </c>
      <c r="AB106" s="70">
        <v>219004593.44600001</v>
      </c>
      <c r="AC106" s="75">
        <f t="shared" si="16"/>
        <v>375291565.16465002</v>
      </c>
    </row>
    <row r="107" spans="1:29" ht="24.95" customHeight="1">
      <c r="A107" s="183"/>
      <c r="B107" s="178"/>
      <c r="C107" s="66">
        <v>7</v>
      </c>
      <c r="D107" s="70" t="s">
        <v>330</v>
      </c>
      <c r="E107" s="70">
        <v>15546647.818299999</v>
      </c>
      <c r="F107" s="70">
        <v>0</v>
      </c>
      <c r="G107" s="70">
        <v>162166570.6196</v>
      </c>
      <c r="H107" s="70">
        <v>32915019.058499999</v>
      </c>
      <c r="I107" s="70">
        <v>8052764.2211999996</v>
      </c>
      <c r="J107" s="70">
        <v>6318847.125</v>
      </c>
      <c r="K107" s="70">
        <v>0</v>
      </c>
      <c r="L107" s="70">
        <f t="shared" si="24"/>
        <v>6318847.125</v>
      </c>
      <c r="M107" s="70">
        <v>283345059.99589998</v>
      </c>
      <c r="N107" s="75">
        <f t="shared" si="25"/>
        <v>508344908.83849996</v>
      </c>
      <c r="O107" s="74"/>
      <c r="P107" s="178"/>
      <c r="Q107" s="80">
        <v>2</v>
      </c>
      <c r="R107" s="183"/>
      <c r="S107" s="81" t="s">
        <v>331</v>
      </c>
      <c r="T107" s="70">
        <v>17913283.127599999</v>
      </c>
      <c r="U107" s="70">
        <v>0</v>
      </c>
      <c r="V107" s="70">
        <v>186852865.4711</v>
      </c>
      <c r="W107" s="70">
        <v>37925607.013999999</v>
      </c>
      <c r="X107" s="70">
        <v>7555840.9866000004</v>
      </c>
      <c r="Y107" s="70">
        <v>7280752.6683</v>
      </c>
      <c r="Z107" s="70">
        <f t="shared" si="27"/>
        <v>3640376.33415</v>
      </c>
      <c r="AA107" s="70">
        <f t="shared" si="28"/>
        <v>3640376.33415</v>
      </c>
      <c r="AB107" s="70">
        <v>257762075.9443</v>
      </c>
      <c r="AC107" s="75">
        <f t="shared" si="16"/>
        <v>511650048.87774998</v>
      </c>
    </row>
    <row r="108" spans="1:29" ht="24.95" customHeight="1">
      <c r="A108" s="183"/>
      <c r="B108" s="178"/>
      <c r="C108" s="66">
        <v>8</v>
      </c>
      <c r="D108" s="70" t="s">
        <v>332</v>
      </c>
      <c r="E108" s="70">
        <v>15693887.879000001</v>
      </c>
      <c r="F108" s="70">
        <v>0</v>
      </c>
      <c r="G108" s="70">
        <v>163702426.8355</v>
      </c>
      <c r="H108" s="70">
        <v>33226752.4597</v>
      </c>
      <c r="I108" s="70">
        <v>7591712.4077000003</v>
      </c>
      <c r="J108" s="70">
        <v>6378692.0153000001</v>
      </c>
      <c r="K108" s="70">
        <v>0</v>
      </c>
      <c r="L108" s="70">
        <f t="shared" si="24"/>
        <v>6378692.0153000001</v>
      </c>
      <c r="M108" s="70">
        <v>266576790.92500001</v>
      </c>
      <c r="N108" s="75">
        <f t="shared" si="25"/>
        <v>493170262.52219999</v>
      </c>
      <c r="O108" s="74"/>
      <c r="P108" s="178"/>
      <c r="Q108" s="80">
        <v>3</v>
      </c>
      <c r="R108" s="183"/>
      <c r="S108" s="81" t="s">
        <v>333</v>
      </c>
      <c r="T108" s="70">
        <v>13729407.085100001</v>
      </c>
      <c r="U108" s="70">
        <v>0</v>
      </c>
      <c r="V108" s="70">
        <v>143210992.4691</v>
      </c>
      <c r="W108" s="70">
        <v>29067597.153299998</v>
      </c>
      <c r="X108" s="70">
        <v>7453285.1962000001</v>
      </c>
      <c r="Y108" s="70">
        <v>5580239.9013</v>
      </c>
      <c r="Z108" s="70">
        <f t="shared" si="27"/>
        <v>2790119.95065</v>
      </c>
      <c r="AA108" s="70">
        <f t="shared" si="28"/>
        <v>2790119.95065</v>
      </c>
      <c r="AB108" s="70">
        <v>254032163.08590001</v>
      </c>
      <c r="AC108" s="75">
        <f t="shared" si="16"/>
        <v>450283564.94025004</v>
      </c>
    </row>
    <row r="109" spans="1:29" ht="24.95" customHeight="1">
      <c r="A109" s="183"/>
      <c r="B109" s="178"/>
      <c r="C109" s="66">
        <v>9</v>
      </c>
      <c r="D109" s="70" t="s">
        <v>334</v>
      </c>
      <c r="E109" s="70">
        <v>11038913.059800001</v>
      </c>
      <c r="F109" s="70">
        <v>0</v>
      </c>
      <c r="G109" s="70">
        <v>115146538.0309</v>
      </c>
      <c r="H109" s="70">
        <v>23371342.683800001</v>
      </c>
      <c r="I109" s="70">
        <v>6391604.2921000002</v>
      </c>
      <c r="J109" s="70">
        <v>4486703.8131999997</v>
      </c>
      <c r="K109" s="70">
        <v>0</v>
      </c>
      <c r="L109" s="70">
        <f t="shared" si="24"/>
        <v>4486703.8131999997</v>
      </c>
      <c r="M109" s="70">
        <v>222929341.31869999</v>
      </c>
      <c r="N109" s="75">
        <f t="shared" si="25"/>
        <v>383364443.19850004</v>
      </c>
      <c r="O109" s="74"/>
      <c r="P109" s="178"/>
      <c r="Q109" s="80">
        <v>4</v>
      </c>
      <c r="R109" s="183"/>
      <c r="S109" s="81" t="s">
        <v>98</v>
      </c>
      <c r="T109" s="70">
        <v>8360903.4858999997</v>
      </c>
      <c r="U109" s="70">
        <v>0</v>
      </c>
      <c r="V109" s="70">
        <v>87212308.494200006</v>
      </c>
      <c r="W109" s="70">
        <v>17701520.0189</v>
      </c>
      <c r="X109" s="70">
        <v>5571354.3542999998</v>
      </c>
      <c r="Y109" s="70">
        <v>3398241.96</v>
      </c>
      <c r="Z109" s="70">
        <f t="shared" si="27"/>
        <v>1699120.98</v>
      </c>
      <c r="AA109" s="70">
        <f t="shared" si="28"/>
        <v>1699120.98</v>
      </c>
      <c r="AB109" s="70">
        <v>185587095.0763</v>
      </c>
      <c r="AC109" s="75">
        <f t="shared" si="16"/>
        <v>306132302.40960002</v>
      </c>
    </row>
    <row r="110" spans="1:29" ht="24.95" customHeight="1">
      <c r="A110" s="183"/>
      <c r="B110" s="178"/>
      <c r="C110" s="66">
        <v>10</v>
      </c>
      <c r="D110" s="70" t="s">
        <v>335</v>
      </c>
      <c r="E110" s="70">
        <v>12642777.127499999</v>
      </c>
      <c r="F110" s="70">
        <v>0</v>
      </c>
      <c r="G110" s="70">
        <v>131876391.2208</v>
      </c>
      <c r="H110" s="70">
        <v>26767008.23</v>
      </c>
      <c r="I110" s="70">
        <v>7328943.6792000001</v>
      </c>
      <c r="J110" s="70">
        <v>5138585.2972999997</v>
      </c>
      <c r="K110" s="70">
        <v>0</v>
      </c>
      <c r="L110" s="70">
        <f t="shared" si="24"/>
        <v>5138585.2972999997</v>
      </c>
      <c r="M110" s="70">
        <v>257019997.9289</v>
      </c>
      <c r="N110" s="75">
        <f t="shared" si="25"/>
        <v>440773703.48370004</v>
      </c>
      <c r="O110" s="74"/>
      <c r="P110" s="178"/>
      <c r="Q110" s="80">
        <v>5</v>
      </c>
      <c r="R110" s="183"/>
      <c r="S110" s="81" t="s">
        <v>336</v>
      </c>
      <c r="T110" s="70">
        <v>14507040.076300001</v>
      </c>
      <c r="U110" s="70">
        <v>0</v>
      </c>
      <c r="V110" s="70">
        <v>151322456.55109999</v>
      </c>
      <c r="W110" s="70">
        <v>30713984.530400001</v>
      </c>
      <c r="X110" s="70">
        <v>7511982.0208999999</v>
      </c>
      <c r="Y110" s="70">
        <v>5896304.4347000001</v>
      </c>
      <c r="Z110" s="70">
        <f t="shared" si="27"/>
        <v>2948152.21735</v>
      </c>
      <c r="AA110" s="70">
        <f t="shared" si="28"/>
        <v>2948152.21735</v>
      </c>
      <c r="AB110" s="70">
        <v>256166942.99849999</v>
      </c>
      <c r="AC110" s="75">
        <f t="shared" si="16"/>
        <v>463170558.39454997</v>
      </c>
    </row>
    <row r="111" spans="1:29" ht="24.95" customHeight="1">
      <c r="A111" s="183"/>
      <c r="B111" s="178"/>
      <c r="C111" s="66">
        <v>11</v>
      </c>
      <c r="D111" s="70" t="s">
        <v>337</v>
      </c>
      <c r="E111" s="70">
        <v>9782581.1868999992</v>
      </c>
      <c r="F111" s="70">
        <v>0</v>
      </c>
      <c r="G111" s="70">
        <v>102041781.7025</v>
      </c>
      <c r="H111" s="70">
        <v>20711464.617400002</v>
      </c>
      <c r="I111" s="70">
        <v>5889915.2280000001</v>
      </c>
      <c r="J111" s="70">
        <v>3976074.8251999998</v>
      </c>
      <c r="K111" s="70">
        <v>0</v>
      </c>
      <c r="L111" s="70">
        <f t="shared" si="24"/>
        <v>3976074.8251999998</v>
      </c>
      <c r="M111" s="70">
        <v>204683111.78349999</v>
      </c>
      <c r="N111" s="75">
        <f t="shared" si="25"/>
        <v>347084929.34350002</v>
      </c>
      <c r="O111" s="74"/>
      <c r="P111" s="178"/>
      <c r="Q111" s="80">
        <v>6</v>
      </c>
      <c r="R111" s="183"/>
      <c r="S111" s="81" t="s">
        <v>338</v>
      </c>
      <c r="T111" s="70">
        <v>12468616.442500001</v>
      </c>
      <c r="U111" s="70">
        <v>0</v>
      </c>
      <c r="V111" s="70">
        <v>130059726.8607</v>
      </c>
      <c r="W111" s="70">
        <v>26398279.078200001</v>
      </c>
      <c r="X111" s="70">
        <v>7489750.9034000002</v>
      </c>
      <c r="Y111" s="70">
        <v>5067798.6714000003</v>
      </c>
      <c r="Z111" s="70">
        <f t="shared" si="27"/>
        <v>2533899.3357000002</v>
      </c>
      <c r="AA111" s="70">
        <f t="shared" si="28"/>
        <v>2533899.3357000002</v>
      </c>
      <c r="AB111" s="70">
        <v>255358406.1936</v>
      </c>
      <c r="AC111" s="75">
        <f t="shared" si="16"/>
        <v>434308678.81410003</v>
      </c>
    </row>
    <row r="112" spans="1:29" ht="24.95" customHeight="1">
      <c r="A112" s="183"/>
      <c r="B112" s="178"/>
      <c r="C112" s="66">
        <v>12</v>
      </c>
      <c r="D112" s="70" t="s">
        <v>339</v>
      </c>
      <c r="E112" s="70">
        <v>15149346.3563</v>
      </c>
      <c r="F112" s="70">
        <v>0</v>
      </c>
      <c r="G112" s="70">
        <v>158022332.17320001</v>
      </c>
      <c r="H112" s="70">
        <v>32073861.186500002</v>
      </c>
      <c r="I112" s="70">
        <v>8175754.1564999996</v>
      </c>
      <c r="J112" s="70">
        <v>6157366.1914999997</v>
      </c>
      <c r="K112" s="70">
        <v>0</v>
      </c>
      <c r="L112" s="70">
        <f t="shared" si="24"/>
        <v>6157366.1914999997</v>
      </c>
      <c r="M112" s="70">
        <v>287818154.4903</v>
      </c>
      <c r="N112" s="75">
        <f t="shared" si="25"/>
        <v>507396814.55430007</v>
      </c>
      <c r="O112" s="74"/>
      <c r="P112" s="178"/>
      <c r="Q112" s="80">
        <v>7</v>
      </c>
      <c r="R112" s="183"/>
      <c r="S112" s="81" t="s">
        <v>340</v>
      </c>
      <c r="T112" s="70">
        <v>12602993.449200001</v>
      </c>
      <c r="U112" s="70">
        <v>0</v>
      </c>
      <c r="V112" s="70">
        <v>131461408.9848</v>
      </c>
      <c r="W112" s="70">
        <v>26682779.105799999</v>
      </c>
      <c r="X112" s="70">
        <v>7545983.3086000001</v>
      </c>
      <c r="Y112" s="70">
        <v>5122415.4462000001</v>
      </c>
      <c r="Z112" s="70">
        <f t="shared" si="27"/>
        <v>2561207.7231000001</v>
      </c>
      <c r="AA112" s="70">
        <f t="shared" si="28"/>
        <v>2561207.7231000001</v>
      </c>
      <c r="AB112" s="70">
        <v>257403556.1602</v>
      </c>
      <c r="AC112" s="75">
        <f t="shared" si="16"/>
        <v>438257928.7317</v>
      </c>
    </row>
    <row r="113" spans="1:29" ht="24.95" customHeight="1">
      <c r="A113" s="183"/>
      <c r="B113" s="178"/>
      <c r="C113" s="66">
        <v>13</v>
      </c>
      <c r="D113" s="70" t="s">
        <v>341</v>
      </c>
      <c r="E113" s="70">
        <v>12459614.3972</v>
      </c>
      <c r="F113" s="70">
        <v>0</v>
      </c>
      <c r="G113" s="70">
        <v>129965826.82260001</v>
      </c>
      <c r="H113" s="70">
        <v>26379220.1468</v>
      </c>
      <c r="I113" s="70">
        <v>6271579.3614999996</v>
      </c>
      <c r="J113" s="70">
        <v>5064139.841</v>
      </c>
      <c r="K113" s="70">
        <v>0</v>
      </c>
      <c r="L113" s="70">
        <f t="shared" si="24"/>
        <v>5064139.841</v>
      </c>
      <c r="M113" s="70">
        <v>218564082.85319999</v>
      </c>
      <c r="N113" s="75">
        <f t="shared" si="25"/>
        <v>398704463.42229998</v>
      </c>
      <c r="O113" s="74"/>
      <c r="P113" s="178"/>
      <c r="Q113" s="80">
        <v>8</v>
      </c>
      <c r="R113" s="183"/>
      <c r="S113" s="81" t="s">
        <v>342</v>
      </c>
      <c r="T113" s="70">
        <v>14861694.331499999</v>
      </c>
      <c r="U113" s="70">
        <v>0</v>
      </c>
      <c r="V113" s="70">
        <v>155021843.38870001</v>
      </c>
      <c r="W113" s="70">
        <v>31464850.6787</v>
      </c>
      <c r="X113" s="70">
        <v>9548003.2588</v>
      </c>
      <c r="Y113" s="70">
        <v>6040451.6519999998</v>
      </c>
      <c r="Z113" s="70">
        <f t="shared" si="27"/>
        <v>3020225.8259999999</v>
      </c>
      <c r="AA113" s="70">
        <f t="shared" si="28"/>
        <v>3020225.8259999999</v>
      </c>
      <c r="AB113" s="70">
        <v>330216216.74849999</v>
      </c>
      <c r="AC113" s="75">
        <f t="shared" si="16"/>
        <v>544132834.23220003</v>
      </c>
    </row>
    <row r="114" spans="1:29" ht="24.95" customHeight="1">
      <c r="A114" s="183"/>
      <c r="B114" s="178"/>
      <c r="C114" s="66">
        <v>14</v>
      </c>
      <c r="D114" s="70" t="s">
        <v>343</v>
      </c>
      <c r="E114" s="70">
        <v>14548911.871099999</v>
      </c>
      <c r="F114" s="70">
        <v>0</v>
      </c>
      <c r="G114" s="70">
        <v>151759219.86090001</v>
      </c>
      <c r="H114" s="70">
        <v>30802634.568500001</v>
      </c>
      <c r="I114" s="70">
        <v>7758818.0190000003</v>
      </c>
      <c r="J114" s="70">
        <v>5913322.9890000001</v>
      </c>
      <c r="K114" s="70">
        <v>0</v>
      </c>
      <c r="L114" s="70">
        <f t="shared" si="24"/>
        <v>5913322.9890000001</v>
      </c>
      <c r="M114" s="70">
        <v>272654354.8179</v>
      </c>
      <c r="N114" s="75">
        <f t="shared" si="25"/>
        <v>483437262.12639999</v>
      </c>
      <c r="O114" s="74"/>
      <c r="P114" s="178"/>
      <c r="Q114" s="80">
        <v>9</v>
      </c>
      <c r="R114" s="183"/>
      <c r="S114" s="81" t="s">
        <v>344</v>
      </c>
      <c r="T114" s="70">
        <v>10744030.6527</v>
      </c>
      <c r="U114" s="70">
        <v>0</v>
      </c>
      <c r="V114" s="70">
        <v>112070629.3688</v>
      </c>
      <c r="W114" s="70">
        <v>22747024.1708</v>
      </c>
      <c r="X114" s="70">
        <v>6774812.5400999999</v>
      </c>
      <c r="Y114" s="70">
        <v>4366850.5257999999</v>
      </c>
      <c r="Z114" s="70">
        <f t="shared" si="27"/>
        <v>2183425.2629</v>
      </c>
      <c r="AA114" s="70">
        <f t="shared" si="28"/>
        <v>2183425.2629</v>
      </c>
      <c r="AB114" s="70">
        <v>229356385.39050001</v>
      </c>
      <c r="AC114" s="75">
        <f t="shared" si="16"/>
        <v>383876307.3858</v>
      </c>
    </row>
    <row r="115" spans="1:29" ht="24.95" customHeight="1">
      <c r="A115" s="183"/>
      <c r="B115" s="178"/>
      <c r="C115" s="66">
        <v>15</v>
      </c>
      <c r="D115" s="70" t="s">
        <v>345</v>
      </c>
      <c r="E115" s="70">
        <v>18644108.7687</v>
      </c>
      <c r="F115" s="70">
        <v>0</v>
      </c>
      <c r="G115" s="70">
        <v>194476083.62889999</v>
      </c>
      <c r="H115" s="70">
        <v>39472894.904399998</v>
      </c>
      <c r="I115" s="70">
        <v>9346635.7971000001</v>
      </c>
      <c r="J115" s="70">
        <v>7577792.6190999998</v>
      </c>
      <c r="K115" s="70">
        <v>0</v>
      </c>
      <c r="L115" s="70">
        <f t="shared" si="24"/>
        <v>7577792.6190999998</v>
      </c>
      <c r="M115" s="70">
        <v>330402648.95529997</v>
      </c>
      <c r="N115" s="75">
        <f t="shared" si="25"/>
        <v>599920164.67349994</v>
      </c>
      <c r="O115" s="74"/>
      <c r="P115" s="178"/>
      <c r="Q115" s="80">
        <v>10</v>
      </c>
      <c r="R115" s="183"/>
      <c r="S115" s="81" t="s">
        <v>346</v>
      </c>
      <c r="T115" s="70">
        <v>14287702.9487</v>
      </c>
      <c r="U115" s="70">
        <v>0</v>
      </c>
      <c r="V115" s="70">
        <v>149034558.20820001</v>
      </c>
      <c r="W115" s="70">
        <v>30249608.813099999</v>
      </c>
      <c r="X115" s="70">
        <v>6461035.4622999998</v>
      </c>
      <c r="Y115" s="70">
        <v>5807156.0991000002</v>
      </c>
      <c r="Z115" s="70">
        <f t="shared" si="27"/>
        <v>2903578.0495500001</v>
      </c>
      <c r="AA115" s="70">
        <f t="shared" si="28"/>
        <v>2903578.0495500001</v>
      </c>
      <c r="AB115" s="70">
        <v>217944439.2405</v>
      </c>
      <c r="AC115" s="75">
        <f t="shared" si="16"/>
        <v>420880922.72235</v>
      </c>
    </row>
    <row r="116" spans="1:29" ht="24.95" customHeight="1">
      <c r="A116" s="183"/>
      <c r="B116" s="178"/>
      <c r="C116" s="66">
        <v>16</v>
      </c>
      <c r="D116" s="70" t="s">
        <v>347</v>
      </c>
      <c r="E116" s="70">
        <v>13977118.095899999</v>
      </c>
      <c r="F116" s="70">
        <v>0</v>
      </c>
      <c r="G116" s="70">
        <v>145794857.85179999</v>
      </c>
      <c r="H116" s="70">
        <v>29592045.4289</v>
      </c>
      <c r="I116" s="70">
        <v>7380516.7912999997</v>
      </c>
      <c r="J116" s="70">
        <v>5680920.6414000001</v>
      </c>
      <c r="K116" s="70">
        <v>0</v>
      </c>
      <c r="L116" s="70">
        <f t="shared" si="24"/>
        <v>5680920.6414000001</v>
      </c>
      <c r="M116" s="70">
        <v>258895691.27880001</v>
      </c>
      <c r="N116" s="75">
        <f t="shared" si="25"/>
        <v>461321150.08810002</v>
      </c>
      <c r="O116" s="74"/>
      <c r="P116" s="178"/>
      <c r="Q116" s="80">
        <v>11</v>
      </c>
      <c r="R116" s="183"/>
      <c r="S116" s="81" t="s">
        <v>348</v>
      </c>
      <c r="T116" s="70">
        <v>11326281.5272</v>
      </c>
      <c r="U116" s="70">
        <v>0</v>
      </c>
      <c r="V116" s="70">
        <v>118144069.0358</v>
      </c>
      <c r="W116" s="70">
        <v>23979752.849800002</v>
      </c>
      <c r="X116" s="70">
        <v>6263727.8766000001</v>
      </c>
      <c r="Y116" s="70">
        <v>4603503.1024000002</v>
      </c>
      <c r="Z116" s="70">
        <f t="shared" si="27"/>
        <v>2301751.5512000001</v>
      </c>
      <c r="AA116" s="70">
        <f t="shared" si="28"/>
        <v>2301751.5512000001</v>
      </c>
      <c r="AB116" s="70">
        <v>210768441.68599999</v>
      </c>
      <c r="AC116" s="75">
        <f t="shared" si="16"/>
        <v>372784024.5266</v>
      </c>
    </row>
    <row r="117" spans="1:29" ht="24.95" customHeight="1">
      <c r="A117" s="183"/>
      <c r="B117" s="178"/>
      <c r="C117" s="66">
        <v>17</v>
      </c>
      <c r="D117" s="70" t="s">
        <v>349</v>
      </c>
      <c r="E117" s="70">
        <v>13747567.3663</v>
      </c>
      <c r="F117" s="70">
        <v>0</v>
      </c>
      <c r="G117" s="70">
        <v>143400421.76230001</v>
      </c>
      <c r="H117" s="70">
        <v>29106045.699000001</v>
      </c>
      <c r="I117" s="70">
        <v>7200485.8130999999</v>
      </c>
      <c r="J117" s="70">
        <v>5587621.0449000001</v>
      </c>
      <c r="K117" s="70">
        <v>0</v>
      </c>
      <c r="L117" s="70">
        <f t="shared" si="24"/>
        <v>5587621.0449000001</v>
      </c>
      <c r="M117" s="70">
        <v>252348036.99180001</v>
      </c>
      <c r="N117" s="75">
        <f t="shared" si="25"/>
        <v>451390178.67739999</v>
      </c>
      <c r="O117" s="74"/>
      <c r="P117" s="178"/>
      <c r="Q117" s="80">
        <v>12</v>
      </c>
      <c r="R117" s="183"/>
      <c r="S117" s="81" t="s">
        <v>350</v>
      </c>
      <c r="T117" s="70">
        <v>10060375.0615</v>
      </c>
      <c r="U117" s="70">
        <v>0</v>
      </c>
      <c r="V117" s="70">
        <v>104939440.4457</v>
      </c>
      <c r="W117" s="70">
        <v>21299603.667199999</v>
      </c>
      <c r="X117" s="70">
        <v>6018338.4397999998</v>
      </c>
      <c r="Y117" s="70">
        <v>4088982.5751999998</v>
      </c>
      <c r="Z117" s="70">
        <f t="shared" si="27"/>
        <v>2044491.2875999999</v>
      </c>
      <c r="AA117" s="70">
        <f t="shared" si="28"/>
        <v>2044491.2875999999</v>
      </c>
      <c r="AB117" s="70">
        <v>201843726.53850001</v>
      </c>
      <c r="AC117" s="75">
        <f t="shared" si="16"/>
        <v>346205975.44029999</v>
      </c>
    </row>
    <row r="118" spans="1:29" ht="24.95" customHeight="1">
      <c r="A118" s="183"/>
      <c r="B118" s="178"/>
      <c r="C118" s="66">
        <v>18</v>
      </c>
      <c r="D118" s="70" t="s">
        <v>351</v>
      </c>
      <c r="E118" s="70">
        <v>19333337.589499999</v>
      </c>
      <c r="F118" s="70">
        <v>0</v>
      </c>
      <c r="G118" s="70">
        <v>201665406.72600001</v>
      </c>
      <c r="H118" s="70">
        <v>40932114.926399998</v>
      </c>
      <c r="I118" s="70">
        <v>8874442.7537999991</v>
      </c>
      <c r="J118" s="70">
        <v>7857925.7773000002</v>
      </c>
      <c r="K118" s="70">
        <v>0</v>
      </c>
      <c r="L118" s="70">
        <f t="shared" si="24"/>
        <v>7857925.7773000002</v>
      </c>
      <c r="M118" s="70">
        <v>313229177.83670002</v>
      </c>
      <c r="N118" s="75">
        <f t="shared" si="25"/>
        <v>591892405.60969996</v>
      </c>
      <c r="O118" s="74"/>
      <c r="P118" s="178"/>
      <c r="Q118" s="80">
        <v>13</v>
      </c>
      <c r="R118" s="183"/>
      <c r="S118" s="81" t="s">
        <v>352</v>
      </c>
      <c r="T118" s="70">
        <v>8417685.1665000003</v>
      </c>
      <c r="U118" s="70">
        <v>0</v>
      </c>
      <c r="V118" s="70">
        <v>87804596.331799999</v>
      </c>
      <c r="W118" s="70">
        <v>17821736.937800001</v>
      </c>
      <c r="X118" s="70">
        <v>5606895.9040999999</v>
      </c>
      <c r="Y118" s="70">
        <v>3421320.5531000001</v>
      </c>
      <c r="Z118" s="70">
        <f t="shared" si="27"/>
        <v>1710660.2765500001</v>
      </c>
      <c r="AA118" s="70">
        <f t="shared" si="28"/>
        <v>1710660.2765500001</v>
      </c>
      <c r="AB118" s="70">
        <v>186879726.95429999</v>
      </c>
      <c r="AC118" s="75">
        <f t="shared" si="16"/>
        <v>308241301.57104999</v>
      </c>
    </row>
    <row r="119" spans="1:29" ht="24.95" customHeight="1">
      <c r="A119" s="183"/>
      <c r="B119" s="178"/>
      <c r="C119" s="66">
        <v>19</v>
      </c>
      <c r="D119" s="70" t="s">
        <v>353</v>
      </c>
      <c r="E119" s="70">
        <v>10760123.490499999</v>
      </c>
      <c r="F119" s="70">
        <v>0</v>
      </c>
      <c r="G119" s="70">
        <v>112238493.2286</v>
      </c>
      <c r="H119" s="70">
        <v>22781095.5711</v>
      </c>
      <c r="I119" s="70">
        <v>5849316.4840000002</v>
      </c>
      <c r="J119" s="70">
        <v>4373391.3687000005</v>
      </c>
      <c r="K119" s="70">
        <v>0</v>
      </c>
      <c r="L119" s="70">
        <f t="shared" si="24"/>
        <v>4373391.3687000005</v>
      </c>
      <c r="M119" s="70">
        <v>203206551.78709999</v>
      </c>
      <c r="N119" s="75">
        <f t="shared" si="25"/>
        <v>359208971.92999995</v>
      </c>
      <c r="O119" s="74"/>
      <c r="P119" s="178"/>
      <c r="Q119" s="80">
        <v>14</v>
      </c>
      <c r="R119" s="183"/>
      <c r="S119" s="81" t="s">
        <v>354</v>
      </c>
      <c r="T119" s="70">
        <v>8381990.1309000002</v>
      </c>
      <c r="U119" s="70">
        <v>0</v>
      </c>
      <c r="V119" s="70">
        <v>87432262.592299998</v>
      </c>
      <c r="W119" s="70">
        <v>17746164.197500002</v>
      </c>
      <c r="X119" s="70">
        <v>5634094.3672000002</v>
      </c>
      <c r="Y119" s="70">
        <v>3406812.5076000001</v>
      </c>
      <c r="Z119" s="70">
        <f t="shared" si="27"/>
        <v>1703406.2538000001</v>
      </c>
      <c r="AA119" s="70">
        <f t="shared" si="28"/>
        <v>1703406.2538000001</v>
      </c>
      <c r="AB119" s="70">
        <v>187868924.1191</v>
      </c>
      <c r="AC119" s="75">
        <f t="shared" si="16"/>
        <v>308766841.66079998</v>
      </c>
    </row>
    <row r="120" spans="1:29" ht="24.95" customHeight="1">
      <c r="A120" s="183"/>
      <c r="B120" s="179"/>
      <c r="C120" s="66">
        <v>20</v>
      </c>
      <c r="D120" s="70" t="s">
        <v>355</v>
      </c>
      <c r="E120" s="70">
        <v>12040263.2519</v>
      </c>
      <c r="F120" s="70">
        <v>0</v>
      </c>
      <c r="G120" s="70">
        <v>125591588.85770001</v>
      </c>
      <c r="H120" s="70">
        <v>25491379.172899999</v>
      </c>
      <c r="I120" s="70">
        <v>6834275.6436000001</v>
      </c>
      <c r="J120" s="70">
        <v>4893696.9385000002</v>
      </c>
      <c r="K120" s="70">
        <v>0</v>
      </c>
      <c r="L120" s="70">
        <f t="shared" si="24"/>
        <v>4893696.9385000002</v>
      </c>
      <c r="M120" s="70">
        <v>239029120.37540001</v>
      </c>
      <c r="N120" s="75">
        <f t="shared" si="25"/>
        <v>413880324.24000001</v>
      </c>
      <c r="O120" s="74"/>
      <c r="P120" s="178"/>
      <c r="Q120" s="80">
        <v>15</v>
      </c>
      <c r="R120" s="183"/>
      <c r="S120" s="81" t="s">
        <v>356</v>
      </c>
      <c r="T120" s="70">
        <v>9570838.3304999992</v>
      </c>
      <c r="U120" s="70">
        <v>0</v>
      </c>
      <c r="V120" s="70">
        <v>99833098.951000005</v>
      </c>
      <c r="W120" s="70">
        <v>20263167.322900001</v>
      </c>
      <c r="X120" s="70">
        <v>6077112.2775999997</v>
      </c>
      <c r="Y120" s="70">
        <v>3890013.1381000001</v>
      </c>
      <c r="Z120" s="70">
        <f t="shared" si="27"/>
        <v>1945006.56905</v>
      </c>
      <c r="AA120" s="70">
        <f t="shared" si="28"/>
        <v>1945006.56905</v>
      </c>
      <c r="AB120" s="70">
        <v>203981307.38699999</v>
      </c>
      <c r="AC120" s="75">
        <f t="shared" si="16"/>
        <v>341670530.83805001</v>
      </c>
    </row>
    <row r="121" spans="1:29" ht="24.95" customHeight="1">
      <c r="A121" s="66"/>
      <c r="B121" s="190" t="s">
        <v>357</v>
      </c>
      <c r="C121" s="191"/>
      <c r="D121" s="71"/>
      <c r="E121" s="71">
        <f t="shared" ref="E121:N121" si="29">SUM(E101:E120)</f>
        <v>282273375.2112</v>
      </c>
      <c r="F121" s="71">
        <f t="shared" si="29"/>
        <v>0</v>
      </c>
      <c r="G121" s="71">
        <f t="shared" si="29"/>
        <v>2944384266.6236997</v>
      </c>
      <c r="H121" s="71">
        <f t="shared" si="29"/>
        <v>597622949.54639995</v>
      </c>
      <c r="I121" s="71">
        <f t="shared" si="29"/>
        <v>147176302.77859995</v>
      </c>
      <c r="J121" s="71">
        <f t="shared" si="29"/>
        <v>114728417.7419</v>
      </c>
      <c r="K121" s="71">
        <f t="shared" si="29"/>
        <v>0</v>
      </c>
      <c r="L121" s="71">
        <f t="shared" si="29"/>
        <v>114728417.7419</v>
      </c>
      <c r="M121" s="71">
        <f t="shared" si="29"/>
        <v>5162128218.1527996</v>
      </c>
      <c r="N121" s="71">
        <f t="shared" si="29"/>
        <v>9248313530.0546017</v>
      </c>
      <c r="O121" s="74"/>
      <c r="P121" s="179"/>
      <c r="Q121" s="80">
        <v>16</v>
      </c>
      <c r="R121" s="183"/>
      <c r="S121" s="81" t="s">
        <v>358</v>
      </c>
      <c r="T121" s="70">
        <v>11584026.270500001</v>
      </c>
      <c r="U121" s="70">
        <v>0</v>
      </c>
      <c r="V121" s="70">
        <v>120832595.95190001</v>
      </c>
      <c r="W121" s="70">
        <v>24525444.322099999</v>
      </c>
      <c r="X121" s="70">
        <v>6308973.0783000002</v>
      </c>
      <c r="Y121" s="70">
        <v>4708261.9963999996</v>
      </c>
      <c r="Z121" s="70">
        <f t="shared" si="27"/>
        <v>2354130.9981999998</v>
      </c>
      <c r="AA121" s="70">
        <f t="shared" si="28"/>
        <v>2354130.9981999998</v>
      </c>
      <c r="AB121" s="70">
        <v>212413991.4765</v>
      </c>
      <c r="AC121" s="75">
        <f t="shared" si="16"/>
        <v>378019162.09749997</v>
      </c>
    </row>
    <row r="122" spans="1:29" ht="24.95" customHeight="1">
      <c r="A122" s="183">
        <v>6</v>
      </c>
      <c r="B122" s="177" t="s">
        <v>359</v>
      </c>
      <c r="C122" s="66">
        <v>1</v>
      </c>
      <c r="D122" s="70" t="s">
        <v>360</v>
      </c>
      <c r="E122" s="70">
        <v>13672612.9737</v>
      </c>
      <c r="F122" s="70">
        <v>0</v>
      </c>
      <c r="G122" s="70">
        <v>142618574.96529999</v>
      </c>
      <c r="H122" s="70">
        <v>28947353.916099999</v>
      </c>
      <c r="I122" s="70">
        <v>7256240.3635</v>
      </c>
      <c r="J122" s="70">
        <v>5557156.2556999996</v>
      </c>
      <c r="K122" s="70">
        <f t="shared" ref="K122:K129" si="30">J122/2</f>
        <v>2778578.1278499998</v>
      </c>
      <c r="L122" s="70">
        <f t="shared" ref="L122:L129" si="31">J122-K122</f>
        <v>2778578.1278499998</v>
      </c>
      <c r="M122" s="70">
        <v>312278256.42449999</v>
      </c>
      <c r="N122" s="75">
        <f t="shared" ref="N122:N129" si="32">E122+F122+G122+H122+I122+L122+M122</f>
        <v>507551616.77094996</v>
      </c>
      <c r="O122" s="74"/>
      <c r="P122" s="66"/>
      <c r="Q122" s="191" t="s">
        <v>361</v>
      </c>
      <c r="R122" s="194"/>
      <c r="S122" s="71"/>
      <c r="T122" s="71">
        <f t="shared" ref="T122:AC122" si="33">SUM(T106:T121)</f>
        <v>189710096.80280003</v>
      </c>
      <c r="U122" s="71">
        <f t="shared" si="33"/>
        <v>0</v>
      </c>
      <c r="V122" s="71">
        <f t="shared" si="33"/>
        <v>1978859762.5534997</v>
      </c>
      <c r="W122" s="71">
        <f t="shared" si="33"/>
        <v>401650022.87289995</v>
      </c>
      <c r="X122" s="71">
        <f t="shared" si="33"/>
        <v>108311374.8989</v>
      </c>
      <c r="Y122" s="71">
        <f t="shared" si="33"/>
        <v>77106596.466899991</v>
      </c>
      <c r="Z122" s="71">
        <f t="shared" si="33"/>
        <v>38553298.233449996</v>
      </c>
      <c r="AA122" s="71">
        <f t="shared" si="33"/>
        <v>38553298.233449996</v>
      </c>
      <c r="AB122" s="71">
        <f t="shared" si="33"/>
        <v>3666587992.4456997</v>
      </c>
      <c r="AC122" s="71">
        <f t="shared" si="33"/>
        <v>6383672547.8072491</v>
      </c>
    </row>
    <row r="123" spans="1:29" ht="24.95" customHeight="1">
      <c r="A123" s="183"/>
      <c r="B123" s="178"/>
      <c r="C123" s="66">
        <v>2</v>
      </c>
      <c r="D123" s="70" t="s">
        <v>362</v>
      </c>
      <c r="E123" s="70">
        <v>15696230.5824</v>
      </c>
      <c r="F123" s="70">
        <v>0</v>
      </c>
      <c r="G123" s="70">
        <v>163726863.49759999</v>
      </c>
      <c r="H123" s="70">
        <v>33231712.3796</v>
      </c>
      <c r="I123" s="70">
        <v>8349929.1977000004</v>
      </c>
      <c r="J123" s="70">
        <v>6379644.1937999995</v>
      </c>
      <c r="K123" s="70">
        <f t="shared" si="30"/>
        <v>3189822.0968999998</v>
      </c>
      <c r="L123" s="70">
        <f t="shared" si="31"/>
        <v>3189822.0968999998</v>
      </c>
      <c r="M123" s="70">
        <v>352055279.55900002</v>
      </c>
      <c r="N123" s="75">
        <f t="shared" si="32"/>
        <v>576249837.3132</v>
      </c>
      <c r="O123" s="74"/>
      <c r="P123" s="177">
        <v>24</v>
      </c>
      <c r="Q123" s="78">
        <v>1</v>
      </c>
      <c r="R123" s="177" t="s">
        <v>109</v>
      </c>
      <c r="S123" s="70" t="s">
        <v>363</v>
      </c>
      <c r="T123" s="70">
        <v>16256007.4011</v>
      </c>
      <c r="U123" s="70">
        <v>0</v>
      </c>
      <c r="V123" s="70">
        <v>169565877.02990001</v>
      </c>
      <c r="W123" s="70">
        <v>34416859.4846</v>
      </c>
      <c r="X123" s="70">
        <v>26294296.884599999</v>
      </c>
      <c r="Y123" s="70">
        <v>6607162.3174000001</v>
      </c>
      <c r="Z123" s="70">
        <v>0</v>
      </c>
      <c r="AA123" s="70">
        <f t="shared" ref="AA123:AA142" si="34">Y123-Z123</f>
        <v>6607162.3174000001</v>
      </c>
      <c r="AB123" s="70">
        <v>1279277866.9382</v>
      </c>
      <c r="AC123" s="75">
        <f t="shared" si="16"/>
        <v>1532418070.0558</v>
      </c>
    </row>
    <row r="124" spans="1:29" ht="24.95" customHeight="1">
      <c r="A124" s="183"/>
      <c r="B124" s="178"/>
      <c r="C124" s="66">
        <v>3</v>
      </c>
      <c r="D124" s="79" t="s">
        <v>364</v>
      </c>
      <c r="E124" s="70">
        <v>10445858.1251</v>
      </c>
      <c r="F124" s="70">
        <v>0</v>
      </c>
      <c r="G124" s="70">
        <v>108960401.56820001</v>
      </c>
      <c r="H124" s="70">
        <v>22115739.8873</v>
      </c>
      <c r="I124" s="70">
        <v>5873123.4296000004</v>
      </c>
      <c r="J124" s="70">
        <v>4245659.9874</v>
      </c>
      <c r="K124" s="70">
        <f t="shared" si="30"/>
        <v>2122829.9937</v>
      </c>
      <c r="L124" s="70">
        <f t="shared" si="31"/>
        <v>2122829.9937</v>
      </c>
      <c r="M124" s="70">
        <v>261974849.67969999</v>
      </c>
      <c r="N124" s="75">
        <f t="shared" si="32"/>
        <v>411492802.68360001</v>
      </c>
      <c r="O124" s="74"/>
      <c r="P124" s="178"/>
      <c r="Q124" s="78">
        <v>2</v>
      </c>
      <c r="R124" s="178"/>
      <c r="S124" s="79" t="s">
        <v>365</v>
      </c>
      <c r="T124" s="70">
        <v>20894948.9749</v>
      </c>
      <c r="U124" s="70">
        <v>0</v>
      </c>
      <c r="V124" s="70">
        <v>217954523.5794</v>
      </c>
      <c r="W124" s="70">
        <v>44238324.027599998</v>
      </c>
      <c r="X124" s="70">
        <v>29171583.655999999</v>
      </c>
      <c r="Y124" s="70">
        <v>8492633.8973999992</v>
      </c>
      <c r="Z124" s="70">
        <v>0</v>
      </c>
      <c r="AA124" s="70">
        <f t="shared" si="34"/>
        <v>8492633.8973999992</v>
      </c>
      <c r="AB124" s="70">
        <v>1383923629.8708999</v>
      </c>
      <c r="AC124" s="75">
        <f t="shared" si="16"/>
        <v>1704675644.0061998</v>
      </c>
    </row>
    <row r="125" spans="1:29" ht="24.95" customHeight="1">
      <c r="A125" s="183"/>
      <c r="B125" s="178"/>
      <c r="C125" s="66">
        <v>4</v>
      </c>
      <c r="D125" s="70" t="s">
        <v>366</v>
      </c>
      <c r="E125" s="70">
        <v>12880214.984200001</v>
      </c>
      <c r="F125" s="70">
        <v>0</v>
      </c>
      <c r="G125" s="70">
        <v>134353097.6728</v>
      </c>
      <c r="H125" s="70">
        <v>27269706.410999998</v>
      </c>
      <c r="I125" s="70">
        <v>6561607.7899000002</v>
      </c>
      <c r="J125" s="70">
        <v>5235090.5719999997</v>
      </c>
      <c r="K125" s="70">
        <f t="shared" si="30"/>
        <v>2617545.2859999998</v>
      </c>
      <c r="L125" s="70">
        <f t="shared" si="31"/>
        <v>2617545.2859999998</v>
      </c>
      <c r="M125" s="70">
        <v>287014749.0309</v>
      </c>
      <c r="N125" s="75">
        <f t="shared" si="32"/>
        <v>470696921.17480004</v>
      </c>
      <c r="O125" s="74"/>
      <c r="P125" s="178"/>
      <c r="Q125" s="78">
        <v>3</v>
      </c>
      <c r="R125" s="178"/>
      <c r="S125" s="70" t="s">
        <v>367</v>
      </c>
      <c r="T125" s="70">
        <v>33697089.799099997</v>
      </c>
      <c r="U125" s="70">
        <v>0</v>
      </c>
      <c r="V125" s="70">
        <v>351493232.26550001</v>
      </c>
      <c r="W125" s="70">
        <v>71342733.553200006</v>
      </c>
      <c r="X125" s="70">
        <v>36790862.775200002</v>
      </c>
      <c r="Y125" s="70">
        <v>13695991.6686</v>
      </c>
      <c r="Z125" s="70">
        <v>0</v>
      </c>
      <c r="AA125" s="70">
        <f t="shared" si="34"/>
        <v>13695991.6686</v>
      </c>
      <c r="AB125" s="70">
        <v>1661033747.7690001</v>
      </c>
      <c r="AC125" s="75">
        <f t="shared" si="16"/>
        <v>2168053657.8306003</v>
      </c>
    </row>
    <row r="126" spans="1:29" ht="24.95" customHeight="1">
      <c r="A126" s="183"/>
      <c r="B126" s="178"/>
      <c r="C126" s="66">
        <v>5</v>
      </c>
      <c r="D126" s="70" t="s">
        <v>368</v>
      </c>
      <c r="E126" s="70">
        <v>13535982.998400001</v>
      </c>
      <c r="F126" s="70">
        <v>0</v>
      </c>
      <c r="G126" s="70">
        <v>141193392.2001</v>
      </c>
      <c r="H126" s="70">
        <v>28658083.9531</v>
      </c>
      <c r="I126" s="70">
        <v>7190484.0038000001</v>
      </c>
      <c r="J126" s="70">
        <v>5501623.7746000001</v>
      </c>
      <c r="K126" s="70">
        <f t="shared" si="30"/>
        <v>2750811.8873000001</v>
      </c>
      <c r="L126" s="70">
        <f t="shared" si="31"/>
        <v>2750811.8873000001</v>
      </c>
      <c r="M126" s="70">
        <v>309886724.06230003</v>
      </c>
      <c r="N126" s="75">
        <f t="shared" si="32"/>
        <v>503215479.10500002</v>
      </c>
      <c r="O126" s="74"/>
      <c r="P126" s="178"/>
      <c r="Q126" s="78">
        <v>4</v>
      </c>
      <c r="R126" s="178"/>
      <c r="S126" s="70" t="s">
        <v>369</v>
      </c>
      <c r="T126" s="70">
        <v>13170288.7136</v>
      </c>
      <c r="U126" s="70">
        <v>0</v>
      </c>
      <c r="V126" s="70">
        <v>137378847.17680001</v>
      </c>
      <c r="W126" s="70">
        <v>27883844.098000001</v>
      </c>
      <c r="X126" s="70">
        <v>24474566.963799998</v>
      </c>
      <c r="Y126" s="70">
        <v>5352989.3996000001</v>
      </c>
      <c r="Z126" s="70">
        <v>0</v>
      </c>
      <c r="AA126" s="70">
        <f t="shared" si="34"/>
        <v>5352989.3996000001</v>
      </c>
      <c r="AB126" s="70">
        <v>1213095021.4207001</v>
      </c>
      <c r="AC126" s="75">
        <f t="shared" si="16"/>
        <v>1421355557.7725</v>
      </c>
    </row>
    <row r="127" spans="1:29" ht="24.95" customHeight="1">
      <c r="A127" s="183"/>
      <c r="B127" s="178"/>
      <c r="C127" s="66">
        <v>6</v>
      </c>
      <c r="D127" s="70" t="s">
        <v>370</v>
      </c>
      <c r="E127" s="70">
        <v>13307972.536599999</v>
      </c>
      <c r="F127" s="70">
        <v>0</v>
      </c>
      <c r="G127" s="70">
        <v>138815022.59310001</v>
      </c>
      <c r="H127" s="70">
        <v>28175345.244100001</v>
      </c>
      <c r="I127" s="70">
        <v>7283156.4452</v>
      </c>
      <c r="J127" s="70">
        <v>5408950.2111999998</v>
      </c>
      <c r="K127" s="70">
        <f t="shared" si="30"/>
        <v>2704475.1055999999</v>
      </c>
      <c r="L127" s="70">
        <f t="shared" si="31"/>
        <v>2704475.1055999999</v>
      </c>
      <c r="M127" s="70">
        <v>313257183.49129999</v>
      </c>
      <c r="N127" s="75">
        <f t="shared" si="32"/>
        <v>503543155.41589999</v>
      </c>
      <c r="O127" s="74"/>
      <c r="P127" s="178"/>
      <c r="Q127" s="78">
        <v>5</v>
      </c>
      <c r="R127" s="178"/>
      <c r="S127" s="70" t="s">
        <v>371</v>
      </c>
      <c r="T127" s="70">
        <v>11072868.4169</v>
      </c>
      <c r="U127" s="70">
        <v>0</v>
      </c>
      <c r="V127" s="70">
        <v>115500725.2405</v>
      </c>
      <c r="W127" s="70">
        <v>23443232.215</v>
      </c>
      <c r="X127" s="70">
        <v>23180695.387800001</v>
      </c>
      <c r="Y127" s="70">
        <v>4500504.7762000002</v>
      </c>
      <c r="Z127" s="70">
        <v>0</v>
      </c>
      <c r="AA127" s="70">
        <f t="shared" si="34"/>
        <v>4500504.7762000002</v>
      </c>
      <c r="AB127" s="70">
        <v>1166037432.4612999</v>
      </c>
      <c r="AC127" s="75">
        <f t="shared" si="16"/>
        <v>1343735458.4977</v>
      </c>
    </row>
    <row r="128" spans="1:29" ht="24.95" customHeight="1">
      <c r="A128" s="183"/>
      <c r="B128" s="178"/>
      <c r="C128" s="66">
        <v>7</v>
      </c>
      <c r="D128" s="70" t="s">
        <v>372</v>
      </c>
      <c r="E128" s="70">
        <v>18385874.356199998</v>
      </c>
      <c r="F128" s="70">
        <v>0</v>
      </c>
      <c r="G128" s="70">
        <v>191782448.99000001</v>
      </c>
      <c r="H128" s="70">
        <v>38926166.715300001</v>
      </c>
      <c r="I128" s="70">
        <v>8980871.9299999997</v>
      </c>
      <c r="J128" s="70">
        <v>7472834.7018999998</v>
      </c>
      <c r="K128" s="70">
        <f t="shared" si="30"/>
        <v>3736417.3509499999</v>
      </c>
      <c r="L128" s="70">
        <f t="shared" si="31"/>
        <v>3736417.3509499999</v>
      </c>
      <c r="M128" s="70">
        <v>375002413.03469998</v>
      </c>
      <c r="N128" s="75">
        <f t="shared" si="32"/>
        <v>636814192.37715006</v>
      </c>
      <c r="O128" s="74"/>
      <c r="P128" s="178"/>
      <c r="Q128" s="78">
        <v>6</v>
      </c>
      <c r="R128" s="178"/>
      <c r="S128" s="70" t="s">
        <v>373</v>
      </c>
      <c r="T128" s="70">
        <v>12379058.374500001</v>
      </c>
      <c r="U128" s="70">
        <v>0</v>
      </c>
      <c r="V128" s="70">
        <v>129125549.6059</v>
      </c>
      <c r="W128" s="70">
        <v>26208668.716200002</v>
      </c>
      <c r="X128" s="70">
        <v>23485295.070099998</v>
      </c>
      <c r="Y128" s="70">
        <v>5031398.3009000001</v>
      </c>
      <c r="Z128" s="70">
        <v>0</v>
      </c>
      <c r="AA128" s="70">
        <f t="shared" si="34"/>
        <v>5031398.3009000001</v>
      </c>
      <c r="AB128" s="70">
        <v>1177115600.4268999</v>
      </c>
      <c r="AC128" s="75">
        <f t="shared" si="16"/>
        <v>1373345570.4944999</v>
      </c>
    </row>
    <row r="129" spans="1:29" ht="24.95" customHeight="1">
      <c r="A129" s="183"/>
      <c r="B129" s="179"/>
      <c r="C129" s="66">
        <v>8</v>
      </c>
      <c r="D129" s="70" t="s">
        <v>374</v>
      </c>
      <c r="E129" s="70">
        <v>16970849.300700001</v>
      </c>
      <c r="F129" s="70">
        <v>0</v>
      </c>
      <c r="G129" s="70">
        <v>177022369.30669999</v>
      </c>
      <c r="H129" s="70">
        <v>35930306.950800002</v>
      </c>
      <c r="I129" s="70">
        <v>9416393.8979000002</v>
      </c>
      <c r="J129" s="70">
        <v>6897705.7666999996</v>
      </c>
      <c r="K129" s="70">
        <f t="shared" si="30"/>
        <v>3448852.8833499998</v>
      </c>
      <c r="L129" s="70">
        <f t="shared" si="31"/>
        <v>3448852.8833499998</v>
      </c>
      <c r="M129" s="70">
        <v>390842171.88340002</v>
      </c>
      <c r="N129" s="75">
        <f t="shared" si="32"/>
        <v>633630944.22285008</v>
      </c>
      <c r="O129" s="74"/>
      <c r="P129" s="178"/>
      <c r="Q129" s="78">
        <v>7</v>
      </c>
      <c r="R129" s="178"/>
      <c r="S129" s="70" t="s">
        <v>375</v>
      </c>
      <c r="T129" s="70">
        <v>11365866.832800001</v>
      </c>
      <c r="U129" s="70">
        <v>0</v>
      </c>
      <c r="V129" s="70">
        <v>118556982.0531</v>
      </c>
      <c r="W129" s="70">
        <v>24063561.983800001</v>
      </c>
      <c r="X129" s="70">
        <v>22719220.0022</v>
      </c>
      <c r="Y129" s="70">
        <v>4619592.3261000002</v>
      </c>
      <c r="Z129" s="70">
        <v>0</v>
      </c>
      <c r="AA129" s="70">
        <f t="shared" si="34"/>
        <v>4619592.3261000002</v>
      </c>
      <c r="AB129" s="70">
        <v>1149253758.2435</v>
      </c>
      <c r="AC129" s="75">
        <f t="shared" si="16"/>
        <v>1330578981.4414999</v>
      </c>
    </row>
    <row r="130" spans="1:29" ht="24.95" customHeight="1">
      <c r="A130" s="66"/>
      <c r="B130" s="190" t="s">
        <v>376</v>
      </c>
      <c r="C130" s="191"/>
      <c r="D130" s="71"/>
      <c r="E130" s="71">
        <f t="shared" ref="E130:N130" si="35">SUM(E122:E129)</f>
        <v>114895595.85729998</v>
      </c>
      <c r="F130" s="71">
        <f t="shared" si="35"/>
        <v>0</v>
      </c>
      <c r="G130" s="71">
        <f t="shared" si="35"/>
        <v>1198472170.7938001</v>
      </c>
      <c r="H130" s="71">
        <f t="shared" si="35"/>
        <v>243254415.45730001</v>
      </c>
      <c r="I130" s="71">
        <f t="shared" si="35"/>
        <v>60911807.057599999</v>
      </c>
      <c r="J130" s="71">
        <f t="shared" si="35"/>
        <v>46698665.463299997</v>
      </c>
      <c r="K130" s="71">
        <f t="shared" si="35"/>
        <v>23349332.731649999</v>
      </c>
      <c r="L130" s="71">
        <f t="shared" si="35"/>
        <v>23349332.731649999</v>
      </c>
      <c r="M130" s="71">
        <f t="shared" si="35"/>
        <v>2602311627.1657996</v>
      </c>
      <c r="N130" s="71">
        <f t="shared" si="35"/>
        <v>4243194949.0634499</v>
      </c>
      <c r="O130" s="74"/>
      <c r="P130" s="178"/>
      <c r="Q130" s="78">
        <v>8</v>
      </c>
      <c r="R130" s="178"/>
      <c r="S130" s="70" t="s">
        <v>377</v>
      </c>
      <c r="T130" s="70">
        <v>13711709.179199999</v>
      </c>
      <c r="U130" s="70">
        <v>0</v>
      </c>
      <c r="V130" s="70">
        <v>143026386.19639999</v>
      </c>
      <c r="W130" s="70">
        <v>29030127.5383</v>
      </c>
      <c r="X130" s="70">
        <v>24084611.0856</v>
      </c>
      <c r="Y130" s="70">
        <v>5573046.6874000002</v>
      </c>
      <c r="Z130" s="70">
        <v>0</v>
      </c>
      <c r="AA130" s="70">
        <f t="shared" si="34"/>
        <v>5573046.6874000002</v>
      </c>
      <c r="AB130" s="70">
        <v>1198912482.9284999</v>
      </c>
      <c r="AC130" s="75">
        <f t="shared" si="16"/>
        <v>1414338363.6153998</v>
      </c>
    </row>
    <row r="131" spans="1:29" ht="24.95" customHeight="1">
      <c r="A131" s="183">
        <v>7</v>
      </c>
      <c r="B131" s="177" t="s">
        <v>378</v>
      </c>
      <c r="C131" s="66">
        <v>1</v>
      </c>
      <c r="D131" s="70" t="s">
        <v>379</v>
      </c>
      <c r="E131" s="70">
        <v>13522686.364399999</v>
      </c>
      <c r="F131" s="70">
        <v>0</v>
      </c>
      <c r="G131" s="70">
        <v>141054695.44870001</v>
      </c>
      <c r="H131" s="70">
        <v>28629932.613400001</v>
      </c>
      <c r="I131" s="70">
        <v>6678796.6287000002</v>
      </c>
      <c r="J131" s="70">
        <v>5496219.4327999996</v>
      </c>
      <c r="K131" s="70">
        <f t="shared" ref="K131:K153" si="36">J131/2</f>
        <v>2748109.7163999998</v>
      </c>
      <c r="L131" s="70">
        <f t="shared" ref="L131:L153" si="37">J131-K131</f>
        <v>2748109.7163999998</v>
      </c>
      <c r="M131" s="70">
        <v>233421670.0307</v>
      </c>
      <c r="N131" s="75">
        <f t="shared" ref="N131:N153" si="38">E131+F131+G131+H131+I131+L131+M131</f>
        <v>426055890.80229998</v>
      </c>
      <c r="O131" s="74"/>
      <c r="P131" s="178"/>
      <c r="Q131" s="78">
        <v>9</v>
      </c>
      <c r="R131" s="178"/>
      <c r="S131" s="70" t="s">
        <v>380</v>
      </c>
      <c r="T131" s="70">
        <v>9155809.6952999998</v>
      </c>
      <c r="U131" s="70">
        <v>0</v>
      </c>
      <c r="V131" s="70">
        <v>95503948.946099997</v>
      </c>
      <c r="W131" s="70">
        <v>19384477.871800002</v>
      </c>
      <c r="X131" s="70">
        <v>21898670.995200001</v>
      </c>
      <c r="Y131" s="70">
        <v>3721327.0954999998</v>
      </c>
      <c r="Z131" s="70">
        <v>0</v>
      </c>
      <c r="AA131" s="70">
        <f t="shared" si="34"/>
        <v>3721327.0954999998</v>
      </c>
      <c r="AB131" s="70">
        <v>1119410720.7946</v>
      </c>
      <c r="AC131" s="75">
        <f t="shared" si="16"/>
        <v>1269074955.3985</v>
      </c>
    </row>
    <row r="132" spans="1:29" ht="24.95" customHeight="1">
      <c r="A132" s="183"/>
      <c r="B132" s="178"/>
      <c r="C132" s="66">
        <v>2</v>
      </c>
      <c r="D132" s="70" t="s">
        <v>381</v>
      </c>
      <c r="E132" s="70">
        <v>11931724.6282</v>
      </c>
      <c r="F132" s="70">
        <v>0</v>
      </c>
      <c r="G132" s="70">
        <v>124459426.05329999</v>
      </c>
      <c r="H132" s="70">
        <v>25261583.598299999</v>
      </c>
      <c r="I132" s="70">
        <v>5865551.0314999996</v>
      </c>
      <c r="J132" s="70">
        <v>4849582.0283000004</v>
      </c>
      <c r="K132" s="70">
        <f t="shared" si="36"/>
        <v>2424791.0141500002</v>
      </c>
      <c r="L132" s="70">
        <f t="shared" si="37"/>
        <v>2424791.0141500002</v>
      </c>
      <c r="M132" s="70">
        <v>203844254.66150001</v>
      </c>
      <c r="N132" s="75">
        <f t="shared" si="38"/>
        <v>373787330.98695004</v>
      </c>
      <c r="O132" s="74"/>
      <c r="P132" s="178"/>
      <c r="Q132" s="78">
        <v>10</v>
      </c>
      <c r="R132" s="178"/>
      <c r="S132" s="70" t="s">
        <v>382</v>
      </c>
      <c r="T132" s="70">
        <v>15611577.361</v>
      </c>
      <c r="U132" s="70">
        <v>0</v>
      </c>
      <c r="V132" s="70">
        <v>162843848.53650001</v>
      </c>
      <c r="W132" s="70">
        <v>33052486.450599998</v>
      </c>
      <c r="X132" s="70">
        <v>25882777.3358</v>
      </c>
      <c r="Y132" s="70">
        <v>6345237.3704000004</v>
      </c>
      <c r="Z132" s="70">
        <v>0</v>
      </c>
      <c r="AA132" s="70">
        <f t="shared" si="34"/>
        <v>6345237.3704000004</v>
      </c>
      <c r="AB132" s="70">
        <v>1264311066.4181001</v>
      </c>
      <c r="AC132" s="75">
        <f t="shared" si="16"/>
        <v>1508046993.4724002</v>
      </c>
    </row>
    <row r="133" spans="1:29" ht="24.95" customHeight="1">
      <c r="A133" s="183"/>
      <c r="B133" s="178"/>
      <c r="C133" s="66">
        <v>3</v>
      </c>
      <c r="D133" s="70" t="s">
        <v>383</v>
      </c>
      <c r="E133" s="70">
        <v>11553456.826300001</v>
      </c>
      <c r="F133" s="70">
        <v>0</v>
      </c>
      <c r="G133" s="70">
        <v>120513727.08859999</v>
      </c>
      <c r="H133" s="70">
        <v>24460723.370900001</v>
      </c>
      <c r="I133" s="70">
        <v>5624782.3812999995</v>
      </c>
      <c r="J133" s="70">
        <v>4695837.2186000003</v>
      </c>
      <c r="K133" s="70">
        <f t="shared" si="36"/>
        <v>2347918.6093000001</v>
      </c>
      <c r="L133" s="70">
        <f t="shared" si="37"/>
        <v>2347918.6093000001</v>
      </c>
      <c r="M133" s="70">
        <v>195087595.6629</v>
      </c>
      <c r="N133" s="75">
        <f t="shared" si="38"/>
        <v>359588203.93929994</v>
      </c>
      <c r="O133" s="74"/>
      <c r="P133" s="178"/>
      <c r="Q133" s="78">
        <v>11</v>
      </c>
      <c r="R133" s="178"/>
      <c r="S133" s="70" t="s">
        <v>384</v>
      </c>
      <c r="T133" s="70">
        <v>13495436.325099999</v>
      </c>
      <c r="U133" s="70">
        <v>0</v>
      </c>
      <c r="V133" s="70">
        <v>140770451.1886</v>
      </c>
      <c r="W133" s="70">
        <v>28572239.432799999</v>
      </c>
      <c r="X133" s="70">
        <v>24410774.4384</v>
      </c>
      <c r="Y133" s="70">
        <v>5485143.8085000003</v>
      </c>
      <c r="Z133" s="70">
        <v>0</v>
      </c>
      <c r="AA133" s="70">
        <f t="shared" si="34"/>
        <v>5485143.8085000003</v>
      </c>
      <c r="AB133" s="70">
        <v>1210774912.9217999</v>
      </c>
      <c r="AC133" s="75">
        <f t="shared" si="16"/>
        <v>1423508958.1151998</v>
      </c>
    </row>
    <row r="134" spans="1:29" ht="24.95" customHeight="1">
      <c r="A134" s="183"/>
      <c r="B134" s="178"/>
      <c r="C134" s="66">
        <v>4</v>
      </c>
      <c r="D134" s="70" t="s">
        <v>385</v>
      </c>
      <c r="E134" s="70">
        <v>13696472.0502</v>
      </c>
      <c r="F134" s="70">
        <v>0</v>
      </c>
      <c r="G134" s="70">
        <v>142867448.20550001</v>
      </c>
      <c r="H134" s="70">
        <v>28997867.825399999</v>
      </c>
      <c r="I134" s="70">
        <v>6997618.0652000001</v>
      </c>
      <c r="J134" s="70">
        <v>5566853.6425000001</v>
      </c>
      <c r="K134" s="70">
        <f t="shared" si="36"/>
        <v>2783426.82125</v>
      </c>
      <c r="L134" s="70">
        <f t="shared" si="37"/>
        <v>2783426.82125</v>
      </c>
      <c r="M134" s="70">
        <v>245017077.4765</v>
      </c>
      <c r="N134" s="75">
        <f t="shared" si="38"/>
        <v>440359910.44404995</v>
      </c>
      <c r="O134" s="74"/>
      <c r="P134" s="178"/>
      <c r="Q134" s="78">
        <v>12</v>
      </c>
      <c r="R134" s="178"/>
      <c r="S134" s="70" t="s">
        <v>386</v>
      </c>
      <c r="T134" s="70">
        <v>18555555.583799999</v>
      </c>
      <c r="U134" s="70">
        <v>0</v>
      </c>
      <c r="V134" s="70">
        <v>193552388.27829999</v>
      </c>
      <c r="W134" s="70">
        <v>39285412.059100002</v>
      </c>
      <c r="X134" s="70">
        <v>27265688.901500002</v>
      </c>
      <c r="Y134" s="70">
        <v>7541800.6776000001</v>
      </c>
      <c r="Z134" s="70">
        <v>0</v>
      </c>
      <c r="AA134" s="70">
        <f t="shared" si="34"/>
        <v>7541800.6776000001</v>
      </c>
      <c r="AB134" s="70">
        <v>1314607004.0007</v>
      </c>
      <c r="AC134" s="75">
        <f t="shared" si="16"/>
        <v>1600807849.5009999</v>
      </c>
    </row>
    <row r="135" spans="1:29" ht="24.95" customHeight="1">
      <c r="A135" s="183"/>
      <c r="B135" s="178"/>
      <c r="C135" s="66">
        <v>5</v>
      </c>
      <c r="D135" s="70" t="s">
        <v>387</v>
      </c>
      <c r="E135" s="70">
        <v>17775888.244800001</v>
      </c>
      <c r="F135" s="70">
        <v>0</v>
      </c>
      <c r="G135" s="70">
        <v>185419703.97999999</v>
      </c>
      <c r="H135" s="70">
        <v>37634717.605499998</v>
      </c>
      <c r="I135" s="70">
        <v>8989883.0215000007</v>
      </c>
      <c r="J135" s="70">
        <v>7224909.2949000001</v>
      </c>
      <c r="K135" s="70">
        <f t="shared" si="36"/>
        <v>3612454.64745</v>
      </c>
      <c r="L135" s="70">
        <f t="shared" si="37"/>
        <v>3612454.64745</v>
      </c>
      <c r="M135" s="70">
        <v>317474952.8617</v>
      </c>
      <c r="N135" s="75">
        <f t="shared" si="38"/>
        <v>570907600.36094999</v>
      </c>
      <c r="O135" s="74"/>
      <c r="P135" s="178"/>
      <c r="Q135" s="78">
        <v>13</v>
      </c>
      <c r="R135" s="178"/>
      <c r="S135" s="70" t="s">
        <v>388</v>
      </c>
      <c r="T135" s="70">
        <v>20075912.182399999</v>
      </c>
      <c r="U135" s="70">
        <v>0</v>
      </c>
      <c r="V135" s="70">
        <v>209411177.8127</v>
      </c>
      <c r="W135" s="70">
        <v>42504277.438000001</v>
      </c>
      <c r="X135" s="70">
        <v>28931405.4395</v>
      </c>
      <c r="Y135" s="70">
        <v>8159741.023</v>
      </c>
      <c r="Z135" s="70">
        <v>0</v>
      </c>
      <c r="AA135" s="70">
        <f t="shared" si="34"/>
        <v>8159741.023</v>
      </c>
      <c r="AB135" s="70">
        <v>1375188444.7135</v>
      </c>
      <c r="AC135" s="75">
        <f t="shared" ref="AC135:AC198" si="39">T135+U135+V135+W135+X135+AA135+AB135</f>
        <v>1684270958.6090999</v>
      </c>
    </row>
    <row r="136" spans="1:29" ht="24.95" customHeight="1">
      <c r="A136" s="183"/>
      <c r="B136" s="178"/>
      <c r="C136" s="66">
        <v>6</v>
      </c>
      <c r="D136" s="70" t="s">
        <v>389</v>
      </c>
      <c r="E136" s="70">
        <v>14523123.491900001</v>
      </c>
      <c r="F136" s="70">
        <v>0</v>
      </c>
      <c r="G136" s="70">
        <v>151490222.1295</v>
      </c>
      <c r="H136" s="70">
        <v>30748035.982500002</v>
      </c>
      <c r="I136" s="70">
        <v>6842025.9135999996</v>
      </c>
      <c r="J136" s="70">
        <v>5902841.4482000005</v>
      </c>
      <c r="K136" s="70">
        <f t="shared" si="36"/>
        <v>2951420.7241000002</v>
      </c>
      <c r="L136" s="70">
        <f t="shared" si="37"/>
        <v>2951420.7241000002</v>
      </c>
      <c r="M136" s="70">
        <v>239358253.48769999</v>
      </c>
      <c r="N136" s="75">
        <f t="shared" si="38"/>
        <v>445913081.72930002</v>
      </c>
      <c r="O136" s="74"/>
      <c r="P136" s="178"/>
      <c r="Q136" s="78">
        <v>14</v>
      </c>
      <c r="R136" s="178"/>
      <c r="S136" s="70" t="s">
        <v>390</v>
      </c>
      <c r="T136" s="70">
        <v>10807173.9399</v>
      </c>
      <c r="U136" s="70">
        <v>0</v>
      </c>
      <c r="V136" s="70">
        <v>112729274.91500001</v>
      </c>
      <c r="W136" s="70">
        <v>22880709.742400002</v>
      </c>
      <c r="X136" s="70">
        <v>23078973.906199999</v>
      </c>
      <c r="Y136" s="70">
        <v>4392514.7578999996</v>
      </c>
      <c r="Z136" s="70">
        <v>0</v>
      </c>
      <c r="AA136" s="70">
        <f t="shared" si="34"/>
        <v>4392514.7578999996</v>
      </c>
      <c r="AB136" s="70">
        <v>1162337863.0741999</v>
      </c>
      <c r="AC136" s="75">
        <f t="shared" si="39"/>
        <v>1336226510.3355999</v>
      </c>
    </row>
    <row r="137" spans="1:29" ht="24.95" customHeight="1">
      <c r="A137" s="183"/>
      <c r="B137" s="178"/>
      <c r="C137" s="66">
        <v>7</v>
      </c>
      <c r="D137" s="70" t="s">
        <v>391</v>
      </c>
      <c r="E137" s="70">
        <v>13776538.3434</v>
      </c>
      <c r="F137" s="70">
        <v>0</v>
      </c>
      <c r="G137" s="70">
        <v>143702617.06959999</v>
      </c>
      <c r="H137" s="70">
        <v>29167382.411400001</v>
      </c>
      <c r="I137" s="70">
        <v>6483247.5091000004</v>
      </c>
      <c r="J137" s="70">
        <v>5599396.1347000003</v>
      </c>
      <c r="K137" s="70">
        <f t="shared" si="36"/>
        <v>2799698.0673500001</v>
      </c>
      <c r="L137" s="70">
        <f t="shared" si="37"/>
        <v>2799698.0673500001</v>
      </c>
      <c r="M137" s="70">
        <v>226309627.17730001</v>
      </c>
      <c r="N137" s="75">
        <f t="shared" si="38"/>
        <v>422239110.57814997</v>
      </c>
      <c r="O137" s="74"/>
      <c r="P137" s="178"/>
      <c r="Q137" s="78">
        <v>15</v>
      </c>
      <c r="R137" s="178"/>
      <c r="S137" s="70" t="s">
        <v>392</v>
      </c>
      <c r="T137" s="70">
        <v>13040591.0142</v>
      </c>
      <c r="U137" s="70">
        <v>0</v>
      </c>
      <c r="V137" s="70">
        <v>136025974.75220001</v>
      </c>
      <c r="W137" s="70">
        <v>27609250.996100001</v>
      </c>
      <c r="X137" s="70">
        <v>24468842.322700001</v>
      </c>
      <c r="Y137" s="70">
        <v>5300274.5028999997</v>
      </c>
      <c r="Z137" s="70">
        <v>0</v>
      </c>
      <c r="AA137" s="70">
        <f t="shared" si="34"/>
        <v>5300274.5028999997</v>
      </c>
      <c r="AB137" s="70">
        <v>1212886818.5253</v>
      </c>
      <c r="AC137" s="75">
        <f t="shared" si="39"/>
        <v>1419331752.1134</v>
      </c>
    </row>
    <row r="138" spans="1:29" ht="24.95" customHeight="1">
      <c r="A138" s="183"/>
      <c r="B138" s="178"/>
      <c r="C138" s="66">
        <v>8</v>
      </c>
      <c r="D138" s="70" t="s">
        <v>393</v>
      </c>
      <c r="E138" s="70">
        <v>11838902.693499999</v>
      </c>
      <c r="F138" s="70">
        <v>0</v>
      </c>
      <c r="G138" s="70">
        <v>123491203.51369999</v>
      </c>
      <c r="H138" s="70">
        <v>25065063.0502</v>
      </c>
      <c r="I138" s="70">
        <v>5950547.8329999996</v>
      </c>
      <c r="J138" s="70">
        <v>4811855.0777000003</v>
      </c>
      <c r="K138" s="70">
        <f t="shared" si="36"/>
        <v>2405927.5388500001</v>
      </c>
      <c r="L138" s="70">
        <f t="shared" si="37"/>
        <v>2405927.5388500001</v>
      </c>
      <c r="M138" s="70">
        <v>206935554.15450001</v>
      </c>
      <c r="N138" s="75">
        <f t="shared" si="38"/>
        <v>375687198.78375</v>
      </c>
      <c r="O138" s="74"/>
      <c r="P138" s="178"/>
      <c r="Q138" s="78">
        <v>16</v>
      </c>
      <c r="R138" s="178"/>
      <c r="S138" s="70" t="s">
        <v>394</v>
      </c>
      <c r="T138" s="70">
        <v>19522744.486200001</v>
      </c>
      <c r="U138" s="70">
        <v>0</v>
      </c>
      <c r="V138" s="70">
        <v>203641103.81799999</v>
      </c>
      <c r="W138" s="70">
        <v>41333123.0207</v>
      </c>
      <c r="X138" s="70">
        <v>28515740.018300001</v>
      </c>
      <c r="Y138" s="70">
        <v>7934909.1397000002</v>
      </c>
      <c r="Z138" s="70">
        <v>0</v>
      </c>
      <c r="AA138" s="70">
        <f t="shared" si="34"/>
        <v>7934909.1397000002</v>
      </c>
      <c r="AB138" s="70">
        <v>1360070860.4821</v>
      </c>
      <c r="AC138" s="75">
        <f t="shared" si="39"/>
        <v>1661018480.9650002</v>
      </c>
    </row>
    <row r="139" spans="1:29" ht="24.95" customHeight="1">
      <c r="A139" s="183"/>
      <c r="B139" s="178"/>
      <c r="C139" s="66">
        <v>9</v>
      </c>
      <c r="D139" s="70" t="s">
        <v>395</v>
      </c>
      <c r="E139" s="70">
        <v>14955587.574200001</v>
      </c>
      <c r="F139" s="70">
        <v>0</v>
      </c>
      <c r="G139" s="70">
        <v>156001240.70680001</v>
      </c>
      <c r="H139" s="70">
        <v>31663639.376400001</v>
      </c>
      <c r="I139" s="70">
        <v>7267125.4407000002</v>
      </c>
      <c r="J139" s="70">
        <v>6078614.0296999998</v>
      </c>
      <c r="K139" s="70">
        <f t="shared" si="36"/>
        <v>3039307.0148499999</v>
      </c>
      <c r="L139" s="70">
        <f t="shared" si="37"/>
        <v>3039307.0148499999</v>
      </c>
      <c r="M139" s="70">
        <v>254818952.3563</v>
      </c>
      <c r="N139" s="75">
        <f t="shared" si="38"/>
        <v>467745852.46924996</v>
      </c>
      <c r="O139" s="74"/>
      <c r="P139" s="178"/>
      <c r="Q139" s="78">
        <v>17</v>
      </c>
      <c r="R139" s="178"/>
      <c r="S139" s="70" t="s">
        <v>396</v>
      </c>
      <c r="T139" s="70">
        <v>18943289.984900001</v>
      </c>
      <c r="U139" s="70">
        <v>0</v>
      </c>
      <c r="V139" s="70">
        <v>197596833.02669999</v>
      </c>
      <c r="W139" s="70">
        <v>40106314.761</v>
      </c>
      <c r="X139" s="70">
        <v>28067292.683699999</v>
      </c>
      <c r="Y139" s="70">
        <v>7699393.1331000002</v>
      </c>
      <c r="Z139" s="70">
        <v>0</v>
      </c>
      <c r="AA139" s="70">
        <f t="shared" si="34"/>
        <v>7699393.1331000002</v>
      </c>
      <c r="AB139" s="70">
        <v>1343761011.2393999</v>
      </c>
      <c r="AC139" s="75">
        <f t="shared" si="39"/>
        <v>1636174134.8288</v>
      </c>
    </row>
    <row r="140" spans="1:29" ht="24.95" customHeight="1">
      <c r="A140" s="183"/>
      <c r="B140" s="178"/>
      <c r="C140" s="66">
        <v>10</v>
      </c>
      <c r="D140" s="70" t="s">
        <v>397</v>
      </c>
      <c r="E140" s="70">
        <v>14149681.2786</v>
      </c>
      <c r="F140" s="70">
        <v>0</v>
      </c>
      <c r="G140" s="70">
        <v>147594858.71900001</v>
      </c>
      <c r="H140" s="70">
        <v>29957392.384399999</v>
      </c>
      <c r="I140" s="70">
        <v>7279370.5250000004</v>
      </c>
      <c r="J140" s="70">
        <v>5751057.9715</v>
      </c>
      <c r="K140" s="70">
        <f t="shared" si="36"/>
        <v>2875528.98575</v>
      </c>
      <c r="L140" s="70">
        <f t="shared" si="37"/>
        <v>2875528.98575</v>
      </c>
      <c r="M140" s="70">
        <v>255264301.15059999</v>
      </c>
      <c r="N140" s="75">
        <f t="shared" si="38"/>
        <v>457121133.04334998</v>
      </c>
      <c r="O140" s="74"/>
      <c r="P140" s="178"/>
      <c r="Q140" s="78">
        <v>18</v>
      </c>
      <c r="R140" s="178"/>
      <c r="S140" s="70" t="s">
        <v>398</v>
      </c>
      <c r="T140" s="70">
        <v>19342683.2678</v>
      </c>
      <c r="U140" s="70">
        <v>0</v>
      </c>
      <c r="V140" s="70">
        <v>201762891.1877</v>
      </c>
      <c r="W140" s="70">
        <v>40951901.389799997</v>
      </c>
      <c r="X140" s="70">
        <v>28368131.559099998</v>
      </c>
      <c r="Y140" s="70">
        <v>7861724.2752999999</v>
      </c>
      <c r="Z140" s="70">
        <v>0</v>
      </c>
      <c r="AA140" s="70">
        <f t="shared" si="34"/>
        <v>7861724.2752999999</v>
      </c>
      <c r="AB140" s="70">
        <v>1354702400.1726999</v>
      </c>
      <c r="AC140" s="75">
        <f t="shared" si="39"/>
        <v>1652989731.8523998</v>
      </c>
    </row>
    <row r="141" spans="1:29" ht="24.95" customHeight="1">
      <c r="A141" s="183"/>
      <c r="B141" s="178"/>
      <c r="C141" s="66">
        <v>11</v>
      </c>
      <c r="D141" s="70" t="s">
        <v>399</v>
      </c>
      <c r="E141" s="70">
        <v>16200440.719599999</v>
      </c>
      <c r="F141" s="70">
        <v>0</v>
      </c>
      <c r="G141" s="70">
        <v>168986262.808</v>
      </c>
      <c r="H141" s="70">
        <v>34299214.935000002</v>
      </c>
      <c r="I141" s="70">
        <v>7574908.3313999996</v>
      </c>
      <c r="J141" s="70">
        <v>6584577.5537999999</v>
      </c>
      <c r="K141" s="70">
        <f t="shared" si="36"/>
        <v>3292288.7768999999</v>
      </c>
      <c r="L141" s="70">
        <f t="shared" si="37"/>
        <v>3292288.7768999999</v>
      </c>
      <c r="M141" s="70">
        <v>266012892.33539999</v>
      </c>
      <c r="N141" s="75">
        <f t="shared" si="38"/>
        <v>496366007.90629995</v>
      </c>
      <c r="O141" s="74"/>
      <c r="P141" s="178"/>
      <c r="Q141" s="78">
        <v>19</v>
      </c>
      <c r="R141" s="178"/>
      <c r="S141" s="70" t="s">
        <v>400</v>
      </c>
      <c r="T141" s="70">
        <v>14959756.8769</v>
      </c>
      <c r="U141" s="70">
        <v>0</v>
      </c>
      <c r="V141" s="70">
        <v>156044730.5663</v>
      </c>
      <c r="W141" s="70">
        <v>31672466.532000002</v>
      </c>
      <c r="X141" s="70">
        <v>25559258.099800002</v>
      </c>
      <c r="Y141" s="70">
        <v>6080308.6193000004</v>
      </c>
      <c r="Z141" s="70">
        <v>0</v>
      </c>
      <c r="AA141" s="70">
        <f t="shared" si="34"/>
        <v>6080308.6193000004</v>
      </c>
      <c r="AB141" s="70">
        <v>1252544801.8877001</v>
      </c>
      <c r="AC141" s="75">
        <f t="shared" si="39"/>
        <v>1486861322.582</v>
      </c>
    </row>
    <row r="142" spans="1:29" ht="24.95" customHeight="1">
      <c r="A142" s="183"/>
      <c r="B142" s="178"/>
      <c r="C142" s="66">
        <v>12</v>
      </c>
      <c r="D142" s="70" t="s">
        <v>401</v>
      </c>
      <c r="E142" s="70">
        <v>12440984.250499999</v>
      </c>
      <c r="F142" s="70">
        <v>0</v>
      </c>
      <c r="G142" s="70">
        <v>129771496.3769</v>
      </c>
      <c r="H142" s="70">
        <v>26339776.811999999</v>
      </c>
      <c r="I142" s="70">
        <v>6552764.6755999997</v>
      </c>
      <c r="J142" s="70">
        <v>5056567.7231999999</v>
      </c>
      <c r="K142" s="70">
        <f t="shared" si="36"/>
        <v>2528283.8615999999</v>
      </c>
      <c r="L142" s="70">
        <f t="shared" si="37"/>
        <v>2528283.8615999999</v>
      </c>
      <c r="M142" s="70">
        <v>228837938.57170001</v>
      </c>
      <c r="N142" s="75">
        <f t="shared" si="38"/>
        <v>406471244.54830003</v>
      </c>
      <c r="O142" s="74"/>
      <c r="P142" s="179"/>
      <c r="Q142" s="78">
        <v>20</v>
      </c>
      <c r="R142" s="179"/>
      <c r="S142" s="70" t="s">
        <v>402</v>
      </c>
      <c r="T142" s="70">
        <v>17112058.3413</v>
      </c>
      <c r="U142" s="70">
        <v>0</v>
      </c>
      <c r="V142" s="70">
        <v>178495316.1516</v>
      </c>
      <c r="W142" s="70">
        <v>36229271.609700002</v>
      </c>
      <c r="X142" s="70">
        <v>26859521.763799999</v>
      </c>
      <c r="Y142" s="70">
        <v>6955099.3831000002</v>
      </c>
      <c r="Z142" s="70">
        <v>0</v>
      </c>
      <c r="AA142" s="70">
        <f t="shared" si="34"/>
        <v>6955099.3831000002</v>
      </c>
      <c r="AB142" s="70">
        <v>1299834868.5195999</v>
      </c>
      <c r="AC142" s="75">
        <f t="shared" si="39"/>
        <v>1565486135.7691</v>
      </c>
    </row>
    <row r="143" spans="1:29" ht="24.95" customHeight="1">
      <c r="A143" s="183"/>
      <c r="B143" s="178"/>
      <c r="C143" s="66">
        <v>13</v>
      </c>
      <c r="D143" s="70" t="s">
        <v>403</v>
      </c>
      <c r="E143" s="70">
        <v>14944546.25</v>
      </c>
      <c r="F143" s="70">
        <v>0</v>
      </c>
      <c r="G143" s="70">
        <v>155886069.01910001</v>
      </c>
      <c r="H143" s="70">
        <v>31640262.929099999</v>
      </c>
      <c r="I143" s="70">
        <v>8200010.9029000001</v>
      </c>
      <c r="J143" s="70">
        <v>6074126.3459999999</v>
      </c>
      <c r="K143" s="70">
        <f t="shared" si="36"/>
        <v>3037063.173</v>
      </c>
      <c r="L143" s="70">
        <f t="shared" si="37"/>
        <v>3037063.173</v>
      </c>
      <c r="M143" s="70">
        <v>288747621.51190001</v>
      </c>
      <c r="N143" s="75">
        <f t="shared" si="38"/>
        <v>502455573.78600001</v>
      </c>
      <c r="O143" s="74"/>
      <c r="P143" s="66"/>
      <c r="Q143" s="191" t="s">
        <v>404</v>
      </c>
      <c r="R143" s="194"/>
      <c r="S143" s="71"/>
      <c r="T143" s="71">
        <f t="shared" ref="T143:AC143" si="40">SUM(T123:T142)</f>
        <v>323170426.75090003</v>
      </c>
      <c r="U143" s="71">
        <f t="shared" si="40"/>
        <v>0</v>
      </c>
      <c r="V143" s="71">
        <f t="shared" si="40"/>
        <v>3370980062.3271995</v>
      </c>
      <c r="W143" s="71">
        <f t="shared" si="40"/>
        <v>684209282.92069983</v>
      </c>
      <c r="X143" s="71">
        <f t="shared" si="40"/>
        <v>523508209.28929996</v>
      </c>
      <c r="Y143" s="71">
        <f t="shared" si="40"/>
        <v>131350793.15990001</v>
      </c>
      <c r="Z143" s="71">
        <f t="shared" si="40"/>
        <v>0</v>
      </c>
      <c r="AA143" s="71">
        <f t="shared" si="40"/>
        <v>131350793.15990001</v>
      </c>
      <c r="AB143" s="71">
        <f t="shared" si="40"/>
        <v>25499080312.808697</v>
      </c>
      <c r="AC143" s="71">
        <f t="shared" si="40"/>
        <v>30532299087.256702</v>
      </c>
    </row>
    <row r="144" spans="1:29" ht="24.95" customHeight="1">
      <c r="A144" s="183"/>
      <c r="B144" s="178"/>
      <c r="C144" s="66">
        <v>14</v>
      </c>
      <c r="D144" s="70" t="s">
        <v>405</v>
      </c>
      <c r="E144" s="70">
        <v>11039596.114</v>
      </c>
      <c r="F144" s="70">
        <v>0</v>
      </c>
      <c r="G144" s="70">
        <v>115153662.94660001</v>
      </c>
      <c r="H144" s="70">
        <v>23372788.831099998</v>
      </c>
      <c r="I144" s="70">
        <v>5651608.6142999995</v>
      </c>
      <c r="J144" s="70">
        <v>4486981.4367000004</v>
      </c>
      <c r="K144" s="70">
        <f t="shared" si="36"/>
        <v>2243490.7183500002</v>
      </c>
      <c r="L144" s="70">
        <f t="shared" si="37"/>
        <v>2243490.7183500002</v>
      </c>
      <c r="M144" s="70">
        <v>196063254.97130001</v>
      </c>
      <c r="N144" s="75">
        <f t="shared" si="38"/>
        <v>353524402.19564998</v>
      </c>
      <c r="O144" s="74"/>
      <c r="P144" s="177">
        <v>25</v>
      </c>
      <c r="Q144" s="78">
        <v>1</v>
      </c>
      <c r="R144" s="177" t="s">
        <v>110</v>
      </c>
      <c r="S144" s="70" t="s">
        <v>406</v>
      </c>
      <c r="T144" s="70">
        <v>11196441.869100001</v>
      </c>
      <c r="U144" s="70">
        <v>0</v>
      </c>
      <c r="V144" s="70">
        <v>116789715.8451</v>
      </c>
      <c r="W144" s="70">
        <v>23704859.1963</v>
      </c>
      <c r="X144" s="70">
        <v>6353571.5988999996</v>
      </c>
      <c r="Y144" s="70">
        <v>4550730.5073999995</v>
      </c>
      <c r="Z144" s="70">
        <v>4597499.3542999998</v>
      </c>
      <c r="AA144" s="70">
        <f t="shared" ref="AA144:AA207" si="41">Y144-Z144</f>
        <v>-46768.846900000237</v>
      </c>
      <c r="AB144" s="70">
        <v>204796812.6559</v>
      </c>
      <c r="AC144" s="75">
        <f t="shared" si="39"/>
        <v>362794632.31840003</v>
      </c>
    </row>
    <row r="145" spans="1:29" ht="24.95" customHeight="1">
      <c r="A145" s="183"/>
      <c r="B145" s="178"/>
      <c r="C145" s="66">
        <v>15</v>
      </c>
      <c r="D145" s="70" t="s">
        <v>407</v>
      </c>
      <c r="E145" s="70">
        <v>11597329.3134</v>
      </c>
      <c r="F145" s="70">
        <v>0</v>
      </c>
      <c r="G145" s="70">
        <v>120971359.5546</v>
      </c>
      <c r="H145" s="70">
        <v>24553609.230700001</v>
      </c>
      <c r="I145" s="70">
        <v>6034774.5033999998</v>
      </c>
      <c r="J145" s="70">
        <v>4713668.9429000001</v>
      </c>
      <c r="K145" s="70">
        <f t="shared" si="36"/>
        <v>2356834.4714500001</v>
      </c>
      <c r="L145" s="70">
        <f t="shared" si="37"/>
        <v>2356834.4714500001</v>
      </c>
      <c r="M145" s="70">
        <v>209998844.28929999</v>
      </c>
      <c r="N145" s="75">
        <f t="shared" si="38"/>
        <v>375512751.36284995</v>
      </c>
      <c r="O145" s="74"/>
      <c r="P145" s="178"/>
      <c r="Q145" s="78">
        <v>2</v>
      </c>
      <c r="R145" s="178"/>
      <c r="S145" s="70" t="s">
        <v>408</v>
      </c>
      <c r="T145" s="70">
        <v>12620411.6182</v>
      </c>
      <c r="U145" s="70">
        <v>0</v>
      </c>
      <c r="V145" s="70">
        <v>131643097.331</v>
      </c>
      <c r="W145" s="70">
        <v>26719656.468199998</v>
      </c>
      <c r="X145" s="70">
        <v>6342584.3953</v>
      </c>
      <c r="Y145" s="70">
        <v>5129494.9623999996</v>
      </c>
      <c r="Z145" s="70">
        <v>5182211.8978000004</v>
      </c>
      <c r="AA145" s="70">
        <f t="shared" si="41"/>
        <v>-52716.935400000773</v>
      </c>
      <c r="AB145" s="70">
        <v>204397212.4799</v>
      </c>
      <c r="AC145" s="75">
        <f t="shared" si="39"/>
        <v>381670245.35720003</v>
      </c>
    </row>
    <row r="146" spans="1:29" ht="24.95" customHeight="1">
      <c r="A146" s="183"/>
      <c r="B146" s="178"/>
      <c r="C146" s="66">
        <v>16</v>
      </c>
      <c r="D146" s="70" t="s">
        <v>409</v>
      </c>
      <c r="E146" s="70">
        <v>10578178.6634</v>
      </c>
      <c r="F146" s="70">
        <v>0</v>
      </c>
      <c r="G146" s="70">
        <v>110340632.7383</v>
      </c>
      <c r="H146" s="70">
        <v>22395886.0055</v>
      </c>
      <c r="I146" s="70">
        <v>5300261.9748</v>
      </c>
      <c r="J146" s="70">
        <v>4299440.9222999997</v>
      </c>
      <c r="K146" s="70">
        <f t="shared" si="36"/>
        <v>2149720.4611499999</v>
      </c>
      <c r="L146" s="70">
        <f t="shared" si="37"/>
        <v>2149720.4611499999</v>
      </c>
      <c r="M146" s="70">
        <v>183284918.96689999</v>
      </c>
      <c r="N146" s="75">
        <f t="shared" si="38"/>
        <v>334049598.81004995</v>
      </c>
      <c r="O146" s="74"/>
      <c r="P146" s="178"/>
      <c r="Q146" s="78">
        <v>3</v>
      </c>
      <c r="R146" s="178"/>
      <c r="S146" s="70" t="s">
        <v>410</v>
      </c>
      <c r="T146" s="70">
        <v>12922181.187000001</v>
      </c>
      <c r="U146" s="70">
        <v>0</v>
      </c>
      <c r="V146" s="70">
        <v>134790845.74990001</v>
      </c>
      <c r="W146" s="70">
        <v>27358556.327799998</v>
      </c>
      <c r="X146" s="70">
        <v>6689566.9585999995</v>
      </c>
      <c r="Y146" s="70">
        <v>5252147.4978999998</v>
      </c>
      <c r="Z146" s="70">
        <v>5306124.9599000001</v>
      </c>
      <c r="AA146" s="70">
        <f t="shared" si="41"/>
        <v>-53977.462000000291</v>
      </c>
      <c r="AB146" s="70">
        <v>217016828.7881</v>
      </c>
      <c r="AC146" s="75">
        <f t="shared" si="39"/>
        <v>398724001.54940003</v>
      </c>
    </row>
    <row r="147" spans="1:29" ht="24.95" customHeight="1">
      <c r="A147" s="183"/>
      <c r="B147" s="178"/>
      <c r="C147" s="66">
        <v>17</v>
      </c>
      <c r="D147" s="70" t="s">
        <v>411</v>
      </c>
      <c r="E147" s="70">
        <v>13384627.5122</v>
      </c>
      <c r="F147" s="70">
        <v>0</v>
      </c>
      <c r="G147" s="70">
        <v>139614608.116</v>
      </c>
      <c r="H147" s="70">
        <v>28337637.4639</v>
      </c>
      <c r="I147" s="70">
        <v>6567820.7384000001</v>
      </c>
      <c r="J147" s="70">
        <v>5440106.1928000003</v>
      </c>
      <c r="K147" s="70">
        <f t="shared" si="36"/>
        <v>2720053.0964000002</v>
      </c>
      <c r="L147" s="70">
        <f t="shared" si="37"/>
        <v>2720053.0964000002</v>
      </c>
      <c r="M147" s="70">
        <v>229385521.52329999</v>
      </c>
      <c r="N147" s="75">
        <f t="shared" si="38"/>
        <v>420010268.45019996</v>
      </c>
      <c r="O147" s="74"/>
      <c r="P147" s="178"/>
      <c r="Q147" s="78">
        <v>4</v>
      </c>
      <c r="R147" s="178"/>
      <c r="S147" s="70" t="s">
        <v>412</v>
      </c>
      <c r="T147" s="70">
        <v>15246412.832699999</v>
      </c>
      <c r="U147" s="70">
        <v>0</v>
      </c>
      <c r="V147" s="70">
        <v>159034829.38690001</v>
      </c>
      <c r="W147" s="70">
        <v>32279368.184500001</v>
      </c>
      <c r="X147" s="70">
        <v>7535042.5420000004</v>
      </c>
      <c r="Y147" s="70">
        <v>6196818.3120999997</v>
      </c>
      <c r="Z147" s="70">
        <v>6260504.3614999996</v>
      </c>
      <c r="AA147" s="70">
        <f t="shared" si="41"/>
        <v>-63686.049399999902</v>
      </c>
      <c r="AB147" s="70">
        <v>247766435.79530001</v>
      </c>
      <c r="AC147" s="75">
        <f t="shared" si="39"/>
        <v>461798402.69200003</v>
      </c>
    </row>
    <row r="148" spans="1:29" ht="24.95" customHeight="1">
      <c r="A148" s="183"/>
      <c r="B148" s="178"/>
      <c r="C148" s="66">
        <v>18</v>
      </c>
      <c r="D148" s="70" t="s">
        <v>413</v>
      </c>
      <c r="E148" s="70">
        <v>12542756.065199999</v>
      </c>
      <c r="F148" s="70">
        <v>0</v>
      </c>
      <c r="G148" s="70">
        <v>130833074.81999999</v>
      </c>
      <c r="H148" s="70">
        <v>26555245.848299999</v>
      </c>
      <c r="I148" s="70">
        <v>6650109.2456</v>
      </c>
      <c r="J148" s="70">
        <v>5097932.3021</v>
      </c>
      <c r="K148" s="70">
        <f t="shared" si="36"/>
        <v>2548966.15105</v>
      </c>
      <c r="L148" s="70">
        <f t="shared" si="37"/>
        <v>2548966.15105</v>
      </c>
      <c r="M148" s="70">
        <v>232378321.44010001</v>
      </c>
      <c r="N148" s="75">
        <f t="shared" si="38"/>
        <v>411508473.57025003</v>
      </c>
      <c r="O148" s="74"/>
      <c r="P148" s="178"/>
      <c r="Q148" s="78">
        <v>5</v>
      </c>
      <c r="R148" s="178"/>
      <c r="S148" s="70" t="s">
        <v>414</v>
      </c>
      <c r="T148" s="70">
        <v>10886594.8817</v>
      </c>
      <c r="U148" s="70">
        <v>0</v>
      </c>
      <c r="V148" s="70">
        <v>113557712.1392</v>
      </c>
      <c r="W148" s="70">
        <v>23048858.0046</v>
      </c>
      <c r="X148" s="70">
        <v>5914892.0936000003</v>
      </c>
      <c r="Y148" s="70">
        <v>4424794.9507999998</v>
      </c>
      <c r="Z148" s="70">
        <v>4470269.5307</v>
      </c>
      <c r="AA148" s="70">
        <f t="shared" si="41"/>
        <v>-45474.579900000244</v>
      </c>
      <c r="AB148" s="70">
        <v>188842215.43889999</v>
      </c>
      <c r="AC148" s="75">
        <f t="shared" si="39"/>
        <v>342204797.9781</v>
      </c>
    </row>
    <row r="149" spans="1:29" ht="24.95" customHeight="1">
      <c r="A149" s="183"/>
      <c r="B149" s="178"/>
      <c r="C149" s="66">
        <v>19</v>
      </c>
      <c r="D149" s="70" t="s">
        <v>415</v>
      </c>
      <c r="E149" s="70">
        <v>14689876.128900001</v>
      </c>
      <c r="F149" s="70">
        <v>0</v>
      </c>
      <c r="G149" s="70">
        <v>153229613.3856</v>
      </c>
      <c r="H149" s="70">
        <v>31101080.9789</v>
      </c>
      <c r="I149" s="70">
        <v>7741372.1668999996</v>
      </c>
      <c r="J149" s="70">
        <v>5970617.1149000004</v>
      </c>
      <c r="K149" s="70">
        <f t="shared" si="36"/>
        <v>2985308.5574500002</v>
      </c>
      <c r="L149" s="70">
        <f t="shared" si="37"/>
        <v>2985308.5574500002</v>
      </c>
      <c r="M149" s="70">
        <v>272067115.09649998</v>
      </c>
      <c r="N149" s="75">
        <f t="shared" si="38"/>
        <v>481814366.31424999</v>
      </c>
      <c r="O149" s="74"/>
      <c r="P149" s="178"/>
      <c r="Q149" s="78">
        <v>6</v>
      </c>
      <c r="R149" s="178"/>
      <c r="S149" s="70" t="s">
        <v>416</v>
      </c>
      <c r="T149" s="70">
        <v>10237038.6928</v>
      </c>
      <c r="U149" s="70">
        <v>0</v>
      </c>
      <c r="V149" s="70">
        <v>106782212.9567</v>
      </c>
      <c r="W149" s="70">
        <v>21673632.001699999</v>
      </c>
      <c r="X149" s="70">
        <v>6087029.2280999999</v>
      </c>
      <c r="Y149" s="70">
        <v>4160786.5095000002</v>
      </c>
      <c r="Z149" s="70">
        <v>4203547.8174000001</v>
      </c>
      <c r="AA149" s="70">
        <f t="shared" si="41"/>
        <v>-42761.307899999898</v>
      </c>
      <c r="AB149" s="70">
        <v>195102773.80500001</v>
      </c>
      <c r="AC149" s="75">
        <f t="shared" si="39"/>
        <v>339839925.37639999</v>
      </c>
    </row>
    <row r="150" spans="1:29" ht="24.95" customHeight="1">
      <c r="A150" s="183"/>
      <c r="B150" s="178"/>
      <c r="C150" s="66">
        <v>20</v>
      </c>
      <c r="D150" s="70" t="s">
        <v>417</v>
      </c>
      <c r="E150" s="70">
        <v>10181226.302200001</v>
      </c>
      <c r="F150" s="70">
        <v>0</v>
      </c>
      <c r="G150" s="70">
        <v>106200035.75229999</v>
      </c>
      <c r="H150" s="70">
        <v>21555467.242400002</v>
      </c>
      <c r="I150" s="70">
        <v>5403100.1464999998</v>
      </c>
      <c r="J150" s="70">
        <v>4138101.8790000002</v>
      </c>
      <c r="K150" s="70">
        <f t="shared" si="36"/>
        <v>2069050.9395000001</v>
      </c>
      <c r="L150" s="70">
        <f t="shared" si="37"/>
        <v>2069050.9395000001</v>
      </c>
      <c r="M150" s="70">
        <v>187025101.9233</v>
      </c>
      <c r="N150" s="75">
        <f t="shared" si="38"/>
        <v>332433982.30620003</v>
      </c>
      <c r="O150" s="74"/>
      <c r="P150" s="178"/>
      <c r="Q150" s="78">
        <v>7</v>
      </c>
      <c r="R150" s="178"/>
      <c r="S150" s="70" t="s">
        <v>418</v>
      </c>
      <c r="T150" s="70">
        <v>11696736.170399999</v>
      </c>
      <c r="U150" s="70">
        <v>0</v>
      </c>
      <c r="V150" s="70">
        <v>122008269.2005</v>
      </c>
      <c r="W150" s="70">
        <v>24764071.230500001</v>
      </c>
      <c r="X150" s="70">
        <v>6306324.0564000001</v>
      </c>
      <c r="Y150" s="70">
        <v>4754072.2980000004</v>
      </c>
      <c r="Z150" s="70">
        <v>4802930.9329000004</v>
      </c>
      <c r="AA150" s="70">
        <f t="shared" si="41"/>
        <v>-48858.634899999946</v>
      </c>
      <c r="AB150" s="70">
        <v>203078438.5343</v>
      </c>
      <c r="AC150" s="75">
        <f t="shared" si="39"/>
        <v>367804980.55719995</v>
      </c>
    </row>
    <row r="151" spans="1:29" ht="24.95" customHeight="1">
      <c r="A151" s="183"/>
      <c r="B151" s="178"/>
      <c r="C151" s="66">
        <v>21</v>
      </c>
      <c r="D151" s="70" t="s">
        <v>419</v>
      </c>
      <c r="E151" s="70">
        <v>13921028.3254</v>
      </c>
      <c r="F151" s="70">
        <v>0</v>
      </c>
      <c r="G151" s="70">
        <v>145209787.30590001</v>
      </c>
      <c r="H151" s="70">
        <v>29473293.4069</v>
      </c>
      <c r="I151" s="70">
        <v>7167162.4249999998</v>
      </c>
      <c r="J151" s="70">
        <v>5658123.2712000003</v>
      </c>
      <c r="K151" s="70">
        <f t="shared" si="36"/>
        <v>2829061.6356000002</v>
      </c>
      <c r="L151" s="70">
        <f t="shared" si="37"/>
        <v>2829061.6356000002</v>
      </c>
      <c r="M151" s="70">
        <v>251183337.67019999</v>
      </c>
      <c r="N151" s="75">
        <f t="shared" si="38"/>
        <v>449783670.76899999</v>
      </c>
      <c r="O151" s="74"/>
      <c r="P151" s="178"/>
      <c r="Q151" s="78">
        <v>8</v>
      </c>
      <c r="R151" s="178"/>
      <c r="S151" s="70" t="s">
        <v>420</v>
      </c>
      <c r="T151" s="70">
        <v>18302571.5176</v>
      </c>
      <c r="U151" s="70">
        <v>0</v>
      </c>
      <c r="V151" s="70">
        <v>190913519.82749999</v>
      </c>
      <c r="W151" s="70">
        <v>38749799.787</v>
      </c>
      <c r="X151" s="70">
        <v>9142498.6629000008</v>
      </c>
      <c r="Y151" s="70">
        <v>7438976.7339000003</v>
      </c>
      <c r="Z151" s="70">
        <v>7515428.7154999999</v>
      </c>
      <c r="AA151" s="70">
        <f t="shared" si="41"/>
        <v>-76451.981599999592</v>
      </c>
      <c r="AB151" s="70">
        <v>306228968.56519997</v>
      </c>
      <c r="AC151" s="75">
        <f t="shared" si="39"/>
        <v>563260906.3786</v>
      </c>
    </row>
    <row r="152" spans="1:29" ht="24.95" customHeight="1">
      <c r="A152" s="183"/>
      <c r="B152" s="178"/>
      <c r="C152" s="66">
        <v>22</v>
      </c>
      <c r="D152" s="70" t="s">
        <v>421</v>
      </c>
      <c r="E152" s="70">
        <v>13555157.6896</v>
      </c>
      <c r="F152" s="70">
        <v>0</v>
      </c>
      <c r="G152" s="70">
        <v>141393402.77169999</v>
      </c>
      <c r="H152" s="70">
        <v>28698680.185400002</v>
      </c>
      <c r="I152" s="70">
        <v>6800207.7953000003</v>
      </c>
      <c r="J152" s="70">
        <v>5509417.2194999997</v>
      </c>
      <c r="K152" s="70">
        <f t="shared" si="36"/>
        <v>2754708.6097499998</v>
      </c>
      <c r="L152" s="70">
        <f t="shared" si="37"/>
        <v>2754708.6097499998</v>
      </c>
      <c r="M152" s="70">
        <v>237837345.3409</v>
      </c>
      <c r="N152" s="75">
        <f t="shared" si="38"/>
        <v>431039502.39265001</v>
      </c>
      <c r="O152" s="74"/>
      <c r="P152" s="178"/>
      <c r="Q152" s="78">
        <v>9</v>
      </c>
      <c r="R152" s="178"/>
      <c r="S152" s="70" t="s">
        <v>422</v>
      </c>
      <c r="T152" s="70">
        <v>16961808.3814</v>
      </c>
      <c r="U152" s="70">
        <v>0</v>
      </c>
      <c r="V152" s="70">
        <v>176928063.77559999</v>
      </c>
      <c r="W152" s="70">
        <v>35911165.716300003</v>
      </c>
      <c r="X152" s="70">
        <v>7334269.3663999997</v>
      </c>
      <c r="Y152" s="70">
        <v>6894031.1361999996</v>
      </c>
      <c r="Z152" s="70">
        <v>6964882.5932999998</v>
      </c>
      <c r="AA152" s="70">
        <f t="shared" si="41"/>
        <v>-70851.457100000232</v>
      </c>
      <c r="AB152" s="70">
        <v>240464396.12920001</v>
      </c>
      <c r="AC152" s="75">
        <f t="shared" si="39"/>
        <v>477528851.91180003</v>
      </c>
    </row>
    <row r="153" spans="1:29" ht="24.95" customHeight="1">
      <c r="A153" s="183"/>
      <c r="B153" s="179"/>
      <c r="C153" s="66">
        <v>23</v>
      </c>
      <c r="D153" s="70" t="s">
        <v>423</v>
      </c>
      <c r="E153" s="70">
        <v>14357310.492799999</v>
      </c>
      <c r="F153" s="70">
        <v>0</v>
      </c>
      <c r="G153" s="70">
        <v>149760632.20469999</v>
      </c>
      <c r="H153" s="70">
        <v>30396980.366500001</v>
      </c>
      <c r="I153" s="70">
        <v>7336462.9099000003</v>
      </c>
      <c r="J153" s="70">
        <v>5835447.6919</v>
      </c>
      <c r="K153" s="70">
        <f t="shared" si="36"/>
        <v>2917723.84595</v>
      </c>
      <c r="L153" s="70">
        <f t="shared" si="37"/>
        <v>2917723.84595</v>
      </c>
      <c r="M153" s="70">
        <v>257340728.23379999</v>
      </c>
      <c r="N153" s="75">
        <f t="shared" si="38"/>
        <v>462109838.05365002</v>
      </c>
      <c r="O153" s="74"/>
      <c r="P153" s="178"/>
      <c r="Q153" s="78">
        <v>10</v>
      </c>
      <c r="R153" s="178"/>
      <c r="S153" s="83" t="s">
        <v>424</v>
      </c>
      <c r="T153" s="70">
        <v>12975525.167300001</v>
      </c>
      <c r="U153" s="70">
        <v>0</v>
      </c>
      <c r="V153" s="70">
        <v>135347275.04929999</v>
      </c>
      <c r="W153" s="70">
        <v>27471495.023600001</v>
      </c>
      <c r="X153" s="70">
        <v>6811786.7627999997</v>
      </c>
      <c r="Y153" s="70">
        <v>5273828.8572000004</v>
      </c>
      <c r="Z153" s="70">
        <v>5328029.1432999996</v>
      </c>
      <c r="AA153" s="70">
        <f t="shared" si="41"/>
        <v>-54200.286099999212</v>
      </c>
      <c r="AB153" s="70">
        <v>221461913.9244</v>
      </c>
      <c r="AC153" s="75">
        <f t="shared" si="39"/>
        <v>404013795.64130002</v>
      </c>
    </row>
    <row r="154" spans="1:29" ht="24.95" customHeight="1">
      <c r="A154" s="66"/>
      <c r="B154" s="190" t="s">
        <v>425</v>
      </c>
      <c r="C154" s="191"/>
      <c r="D154" s="71"/>
      <c r="E154" s="71">
        <f t="shared" ref="E154:N154" si="42">SUM(E131:E153)</f>
        <v>307157119.32269996</v>
      </c>
      <c r="F154" s="71">
        <f t="shared" si="42"/>
        <v>0</v>
      </c>
      <c r="G154" s="71">
        <f t="shared" si="42"/>
        <v>3203945780.7144003</v>
      </c>
      <c r="H154" s="71">
        <f t="shared" si="42"/>
        <v>650306262.45410001</v>
      </c>
      <c r="I154" s="71">
        <f t="shared" si="42"/>
        <v>154959512.77959999</v>
      </c>
      <c r="J154" s="71">
        <f t="shared" si="42"/>
        <v>124842274.8752</v>
      </c>
      <c r="K154" s="71">
        <f t="shared" si="42"/>
        <v>62421137.437600002</v>
      </c>
      <c r="L154" s="71">
        <f t="shared" si="42"/>
        <v>62421137.437600002</v>
      </c>
      <c r="M154" s="71">
        <f t="shared" si="42"/>
        <v>5417695180.8943014</v>
      </c>
      <c r="N154" s="71">
        <f t="shared" si="42"/>
        <v>9796484993.6027012</v>
      </c>
      <c r="O154" s="74"/>
      <c r="P154" s="178"/>
      <c r="Q154" s="78">
        <v>11</v>
      </c>
      <c r="R154" s="178"/>
      <c r="S154" s="70" t="s">
        <v>405</v>
      </c>
      <c r="T154" s="70">
        <v>12420085.0624</v>
      </c>
      <c r="U154" s="70">
        <v>0</v>
      </c>
      <c r="V154" s="70">
        <v>129553497.6357</v>
      </c>
      <c r="W154" s="70">
        <v>26295529.5132</v>
      </c>
      <c r="X154" s="70">
        <v>6808513.7056999998</v>
      </c>
      <c r="Y154" s="70">
        <v>5048073.3663999997</v>
      </c>
      <c r="Z154" s="70">
        <v>5099953.5141000003</v>
      </c>
      <c r="AA154" s="70">
        <f t="shared" si="41"/>
        <v>-51880.147700000554</v>
      </c>
      <c r="AB154" s="70">
        <v>221342874.1523</v>
      </c>
      <c r="AC154" s="75">
        <f t="shared" si="39"/>
        <v>396368619.92159998</v>
      </c>
    </row>
    <row r="155" spans="1:29" ht="24.95" customHeight="1">
      <c r="A155" s="183">
        <v>8</v>
      </c>
      <c r="B155" s="177" t="s">
        <v>426</v>
      </c>
      <c r="C155" s="66">
        <v>1</v>
      </c>
      <c r="D155" s="70" t="s">
        <v>427</v>
      </c>
      <c r="E155" s="70">
        <v>12057265.536900001</v>
      </c>
      <c r="F155" s="70">
        <v>0</v>
      </c>
      <c r="G155" s="70">
        <v>125768939.1309</v>
      </c>
      <c r="H155" s="70">
        <v>25527376.034699999</v>
      </c>
      <c r="I155" s="70">
        <v>5628138.0991000002</v>
      </c>
      <c r="J155" s="70">
        <v>4900607.4210000001</v>
      </c>
      <c r="K155" s="70">
        <v>0</v>
      </c>
      <c r="L155" s="70">
        <f t="shared" ref="L155:L181" si="43">J155-K155</f>
        <v>4900607.4210000001</v>
      </c>
      <c r="M155" s="70">
        <v>192626253.35429999</v>
      </c>
      <c r="N155" s="75">
        <f t="shared" ref="N155:N181" si="44">E155+F155+G155+H155+I155+L155+M155</f>
        <v>366508579.57690001</v>
      </c>
      <c r="O155" s="74"/>
      <c r="P155" s="178"/>
      <c r="Q155" s="78">
        <v>12</v>
      </c>
      <c r="R155" s="178"/>
      <c r="S155" s="70" t="s">
        <v>428</v>
      </c>
      <c r="T155" s="70">
        <v>13195448.9164</v>
      </c>
      <c r="U155" s="70">
        <v>0</v>
      </c>
      <c r="V155" s="70">
        <v>137641292.42219999</v>
      </c>
      <c r="W155" s="70">
        <v>27937112.723099999</v>
      </c>
      <c r="X155" s="70">
        <v>6426053.7701000003</v>
      </c>
      <c r="Y155" s="70">
        <v>5363215.6218999997</v>
      </c>
      <c r="Z155" s="70">
        <v>5418334.5551000005</v>
      </c>
      <c r="AA155" s="70">
        <f t="shared" si="41"/>
        <v>-55118.933200000785</v>
      </c>
      <c r="AB155" s="70">
        <v>207432960.0792</v>
      </c>
      <c r="AC155" s="75">
        <f t="shared" si="39"/>
        <v>392577748.97780001</v>
      </c>
    </row>
    <row r="156" spans="1:29" ht="24.95" customHeight="1">
      <c r="A156" s="183"/>
      <c r="B156" s="178"/>
      <c r="C156" s="66">
        <v>2</v>
      </c>
      <c r="D156" s="70" t="s">
        <v>429</v>
      </c>
      <c r="E156" s="70">
        <v>11658935.299799999</v>
      </c>
      <c r="F156" s="70">
        <v>0</v>
      </c>
      <c r="G156" s="70">
        <v>121613969.56649999</v>
      </c>
      <c r="H156" s="70">
        <v>24684040.063000001</v>
      </c>
      <c r="I156" s="70">
        <v>6114745.4293</v>
      </c>
      <c r="J156" s="70">
        <v>4738708.3479000004</v>
      </c>
      <c r="K156" s="70">
        <v>0</v>
      </c>
      <c r="L156" s="70">
        <f t="shared" si="43"/>
        <v>4738708.3479000004</v>
      </c>
      <c r="M156" s="70">
        <v>210323966.29269999</v>
      </c>
      <c r="N156" s="75">
        <f t="shared" si="44"/>
        <v>379134364.99919999</v>
      </c>
      <c r="O156" s="74"/>
      <c r="P156" s="179"/>
      <c r="Q156" s="78">
        <v>13</v>
      </c>
      <c r="R156" s="179"/>
      <c r="S156" s="70" t="s">
        <v>430</v>
      </c>
      <c r="T156" s="70">
        <v>10592847.415999999</v>
      </c>
      <c r="U156" s="70">
        <v>0</v>
      </c>
      <c r="V156" s="70">
        <v>110493642.01279999</v>
      </c>
      <c r="W156" s="70">
        <v>22426942.364300001</v>
      </c>
      <c r="X156" s="70">
        <v>5833271.0334000001</v>
      </c>
      <c r="Y156" s="70">
        <v>4305402.9538000003</v>
      </c>
      <c r="Z156" s="70">
        <v>4349650.5162000004</v>
      </c>
      <c r="AA156" s="70">
        <f t="shared" si="41"/>
        <v>-44247.56240000017</v>
      </c>
      <c r="AB156" s="70">
        <v>185873690.29910001</v>
      </c>
      <c r="AC156" s="75">
        <f t="shared" si="39"/>
        <v>335176145.5632</v>
      </c>
    </row>
    <row r="157" spans="1:29" ht="24.95" customHeight="1">
      <c r="A157" s="183"/>
      <c r="B157" s="178"/>
      <c r="C157" s="66">
        <v>3</v>
      </c>
      <c r="D157" s="70" t="s">
        <v>431</v>
      </c>
      <c r="E157" s="70">
        <v>16356981.1461</v>
      </c>
      <c r="F157" s="70">
        <v>0</v>
      </c>
      <c r="G157" s="70">
        <v>170619130.8337</v>
      </c>
      <c r="H157" s="70">
        <v>34630638.865199998</v>
      </c>
      <c r="I157" s="70">
        <v>7807686.1014</v>
      </c>
      <c r="J157" s="70">
        <v>6648202.5253999997</v>
      </c>
      <c r="K157" s="70">
        <v>0</v>
      </c>
      <c r="L157" s="70">
        <f t="shared" si="43"/>
        <v>6648202.5253999997</v>
      </c>
      <c r="M157" s="70">
        <v>271895537.81559998</v>
      </c>
      <c r="N157" s="75">
        <f t="shared" si="44"/>
        <v>507958177.28739995</v>
      </c>
      <c r="O157" s="74"/>
      <c r="P157" s="66"/>
      <c r="Q157" s="191" t="s">
        <v>432</v>
      </c>
      <c r="R157" s="192"/>
      <c r="S157" s="71"/>
      <c r="T157" s="71">
        <f t="shared" ref="T157:Z157" si="45">SUM(T144:T156)</f>
        <v>169254103.713</v>
      </c>
      <c r="U157" s="71">
        <f>SUM(U136:U156)</f>
        <v>0</v>
      </c>
      <c r="V157" s="71">
        <f t="shared" si="45"/>
        <v>1765483973.3323998</v>
      </c>
      <c r="W157" s="71">
        <f t="shared" si="45"/>
        <v>358341046.54110003</v>
      </c>
      <c r="X157" s="71">
        <f t="shared" si="45"/>
        <v>87585404.174199983</v>
      </c>
      <c r="Y157" s="71">
        <f t="shared" si="45"/>
        <v>68792373.707500011</v>
      </c>
      <c r="Z157" s="71">
        <f t="shared" si="45"/>
        <v>69499367.89199999</v>
      </c>
      <c r="AA157" s="71">
        <f t="shared" si="41"/>
        <v>-706994.18449997902</v>
      </c>
      <c r="AB157" s="71">
        <f>SUM(AB144:AB156)</f>
        <v>2843805520.6467996</v>
      </c>
      <c r="AC157" s="71">
        <f>SUM(AC144:AC156)</f>
        <v>5223763054.2230015</v>
      </c>
    </row>
    <row r="158" spans="1:29" ht="24.95" customHeight="1">
      <c r="A158" s="183"/>
      <c r="B158" s="178"/>
      <c r="C158" s="66">
        <v>4</v>
      </c>
      <c r="D158" s="70" t="s">
        <v>433</v>
      </c>
      <c r="E158" s="70">
        <v>9422115.7254000008</v>
      </c>
      <c r="F158" s="70">
        <v>0</v>
      </c>
      <c r="G158" s="70">
        <v>98281778.362900004</v>
      </c>
      <c r="H158" s="70">
        <v>19948295.111400001</v>
      </c>
      <c r="I158" s="70">
        <v>5355999.4424000001</v>
      </c>
      <c r="J158" s="70">
        <v>3829565.676</v>
      </c>
      <c r="K158" s="70">
        <v>0</v>
      </c>
      <c r="L158" s="70">
        <f t="shared" si="43"/>
        <v>3829565.676</v>
      </c>
      <c r="M158" s="70">
        <v>182728679.83430001</v>
      </c>
      <c r="N158" s="75">
        <f t="shared" si="44"/>
        <v>319566434.15240002</v>
      </c>
      <c r="O158" s="74"/>
      <c r="P158" s="177">
        <v>26</v>
      </c>
      <c r="Q158" s="78">
        <v>1</v>
      </c>
      <c r="R158" s="177" t="s">
        <v>111</v>
      </c>
      <c r="S158" s="70" t="s">
        <v>434</v>
      </c>
      <c r="T158" s="70">
        <v>11647622.9694</v>
      </c>
      <c r="U158" s="70">
        <v>0</v>
      </c>
      <c r="V158" s="70">
        <v>121495971.02150001</v>
      </c>
      <c r="W158" s="70">
        <v>24660089.8473</v>
      </c>
      <c r="X158" s="70">
        <v>6214766.6989000002</v>
      </c>
      <c r="Y158" s="70">
        <v>4734110.5151000004</v>
      </c>
      <c r="Z158" s="70">
        <f t="shared" ref="Z158:Z182" si="46">Y158/2</f>
        <v>2367055.2575500002</v>
      </c>
      <c r="AA158" s="70">
        <f t="shared" si="41"/>
        <v>2367055.2575500002</v>
      </c>
      <c r="AB158" s="70">
        <v>231123676.07359999</v>
      </c>
      <c r="AC158" s="75">
        <f t="shared" si="39"/>
        <v>397509181.86825001</v>
      </c>
    </row>
    <row r="159" spans="1:29" ht="24.95" customHeight="1">
      <c r="A159" s="183"/>
      <c r="B159" s="178"/>
      <c r="C159" s="66">
        <v>5</v>
      </c>
      <c r="D159" s="70" t="s">
        <v>435</v>
      </c>
      <c r="E159" s="70">
        <v>13040973.6489</v>
      </c>
      <c r="F159" s="70">
        <v>0</v>
      </c>
      <c r="G159" s="70">
        <v>136029966.00229999</v>
      </c>
      <c r="H159" s="70">
        <v>27610061.1019</v>
      </c>
      <c r="I159" s="70">
        <v>6602251.2457999997</v>
      </c>
      <c r="J159" s="70">
        <v>5300430.0226999996</v>
      </c>
      <c r="K159" s="70">
        <v>0</v>
      </c>
      <c r="L159" s="70">
        <f t="shared" si="43"/>
        <v>5300430.0226999996</v>
      </c>
      <c r="M159" s="70">
        <v>228054356.81560001</v>
      </c>
      <c r="N159" s="75">
        <f t="shared" si="44"/>
        <v>416638038.83720005</v>
      </c>
      <c r="O159" s="74"/>
      <c r="P159" s="178"/>
      <c r="Q159" s="78">
        <v>2</v>
      </c>
      <c r="R159" s="178"/>
      <c r="S159" s="70" t="s">
        <v>436</v>
      </c>
      <c r="T159" s="70">
        <v>10000278.4945</v>
      </c>
      <c r="U159" s="70">
        <v>0</v>
      </c>
      <c r="V159" s="70">
        <v>104312575.1371</v>
      </c>
      <c r="W159" s="70">
        <v>21172368.544100001</v>
      </c>
      <c r="X159" s="70">
        <v>5245762.0883999998</v>
      </c>
      <c r="Y159" s="70">
        <v>4064556.6652000002</v>
      </c>
      <c r="Z159" s="70">
        <f t="shared" si="46"/>
        <v>2032278.3326000001</v>
      </c>
      <c r="AA159" s="70">
        <f t="shared" si="41"/>
        <v>2032278.3326000001</v>
      </c>
      <c r="AB159" s="70">
        <v>195881368.02129999</v>
      </c>
      <c r="AC159" s="75">
        <f t="shared" si="39"/>
        <v>338644630.61800003</v>
      </c>
    </row>
    <row r="160" spans="1:29" ht="24.95" customHeight="1">
      <c r="A160" s="183"/>
      <c r="B160" s="178"/>
      <c r="C160" s="66">
        <v>6</v>
      </c>
      <c r="D160" s="70" t="s">
        <v>437</v>
      </c>
      <c r="E160" s="70">
        <v>9394657.7597000003</v>
      </c>
      <c r="F160" s="70">
        <v>0</v>
      </c>
      <c r="G160" s="70">
        <v>97995365.228300005</v>
      </c>
      <c r="H160" s="70">
        <v>19890161.713399999</v>
      </c>
      <c r="I160" s="70">
        <v>5190767.8167000003</v>
      </c>
      <c r="J160" s="70">
        <v>3818405.5410000002</v>
      </c>
      <c r="K160" s="70">
        <v>0</v>
      </c>
      <c r="L160" s="70">
        <f t="shared" si="43"/>
        <v>3818405.5410000002</v>
      </c>
      <c r="M160" s="70">
        <v>176719272.04609999</v>
      </c>
      <c r="N160" s="75">
        <f t="shared" si="44"/>
        <v>313008630.10519999</v>
      </c>
      <c r="O160" s="74"/>
      <c r="P160" s="178"/>
      <c r="Q160" s="78">
        <v>3</v>
      </c>
      <c r="R160" s="178"/>
      <c r="S160" s="70" t="s">
        <v>438</v>
      </c>
      <c r="T160" s="70">
        <v>11452394.9792</v>
      </c>
      <c r="U160" s="70">
        <v>0</v>
      </c>
      <c r="V160" s="70">
        <v>119459554.29440001</v>
      </c>
      <c r="W160" s="70">
        <v>24246757.462400001</v>
      </c>
      <c r="X160" s="70">
        <v>6924237.1315000001</v>
      </c>
      <c r="Y160" s="70">
        <v>4654761.2021000003</v>
      </c>
      <c r="Z160" s="70">
        <f t="shared" si="46"/>
        <v>2327380.6010500002</v>
      </c>
      <c r="AA160" s="70">
        <f t="shared" si="41"/>
        <v>2327380.6010500002</v>
      </c>
      <c r="AB160" s="70">
        <v>256926830.4339</v>
      </c>
      <c r="AC160" s="75">
        <f t="shared" si="39"/>
        <v>421337154.90244997</v>
      </c>
    </row>
    <row r="161" spans="1:29" ht="24.95" customHeight="1">
      <c r="A161" s="183"/>
      <c r="B161" s="178"/>
      <c r="C161" s="66">
        <v>7</v>
      </c>
      <c r="D161" s="70" t="s">
        <v>439</v>
      </c>
      <c r="E161" s="70">
        <v>15748494.380999999</v>
      </c>
      <c r="F161" s="70">
        <v>0</v>
      </c>
      <c r="G161" s="70">
        <v>164272025.45609999</v>
      </c>
      <c r="H161" s="70">
        <v>33342364.138300002</v>
      </c>
      <c r="I161" s="70">
        <v>7314635.3410999998</v>
      </c>
      <c r="J161" s="70">
        <v>6400886.5192999998</v>
      </c>
      <c r="K161" s="70">
        <v>0</v>
      </c>
      <c r="L161" s="70">
        <f t="shared" si="43"/>
        <v>6400886.5192999998</v>
      </c>
      <c r="M161" s="70">
        <v>253963479.91420001</v>
      </c>
      <c r="N161" s="75">
        <f t="shared" si="44"/>
        <v>481041885.75</v>
      </c>
      <c r="O161" s="74"/>
      <c r="P161" s="178"/>
      <c r="Q161" s="78">
        <v>4</v>
      </c>
      <c r="R161" s="178"/>
      <c r="S161" s="70" t="s">
        <v>440</v>
      </c>
      <c r="T161" s="70">
        <v>18642816.704100002</v>
      </c>
      <c r="U161" s="70">
        <v>0</v>
      </c>
      <c r="V161" s="70">
        <v>194462606.1451</v>
      </c>
      <c r="W161" s="70">
        <v>39470159.3737</v>
      </c>
      <c r="X161" s="70">
        <v>6716096.3684999999</v>
      </c>
      <c r="Y161" s="70">
        <v>7577267.4666999998</v>
      </c>
      <c r="Z161" s="70">
        <f t="shared" si="46"/>
        <v>3788633.7333499999</v>
      </c>
      <c r="AA161" s="70">
        <f t="shared" si="41"/>
        <v>3788633.7333499999</v>
      </c>
      <c r="AB161" s="70">
        <v>249356834.57499999</v>
      </c>
      <c r="AC161" s="75">
        <f t="shared" si="39"/>
        <v>512437146.89974999</v>
      </c>
    </row>
    <row r="162" spans="1:29" ht="24.95" customHeight="1">
      <c r="A162" s="183"/>
      <c r="B162" s="178"/>
      <c r="C162" s="66">
        <v>8</v>
      </c>
      <c r="D162" s="70" t="s">
        <v>441</v>
      </c>
      <c r="E162" s="70">
        <v>10421810.787900001</v>
      </c>
      <c r="F162" s="70">
        <v>0</v>
      </c>
      <c r="G162" s="70">
        <v>108709564.5864</v>
      </c>
      <c r="H162" s="70">
        <v>22064827.396499999</v>
      </c>
      <c r="I162" s="70">
        <v>5701672.7828000002</v>
      </c>
      <c r="J162" s="70">
        <v>4235886.0831000004</v>
      </c>
      <c r="K162" s="70">
        <v>0</v>
      </c>
      <c r="L162" s="70">
        <f t="shared" si="43"/>
        <v>4235886.0831000004</v>
      </c>
      <c r="M162" s="70">
        <v>195300680.23370001</v>
      </c>
      <c r="N162" s="75">
        <f t="shared" si="44"/>
        <v>346434441.87039995</v>
      </c>
      <c r="O162" s="74"/>
      <c r="P162" s="178"/>
      <c r="Q162" s="78">
        <v>5</v>
      </c>
      <c r="R162" s="178"/>
      <c r="S162" s="70" t="s">
        <v>442</v>
      </c>
      <c r="T162" s="70">
        <v>11190457.0338</v>
      </c>
      <c r="U162" s="70">
        <v>0</v>
      </c>
      <c r="V162" s="70">
        <v>116727288.2256</v>
      </c>
      <c r="W162" s="70">
        <v>23692188.235300001</v>
      </c>
      <c r="X162" s="70">
        <v>6400265.6079000002</v>
      </c>
      <c r="Y162" s="70">
        <v>4548298.0049000001</v>
      </c>
      <c r="Z162" s="70">
        <f t="shared" si="46"/>
        <v>2274149.00245</v>
      </c>
      <c r="AA162" s="70">
        <f t="shared" si="41"/>
        <v>2274149.00245</v>
      </c>
      <c r="AB162" s="70">
        <v>237870196.80329999</v>
      </c>
      <c r="AC162" s="75">
        <f t="shared" si="39"/>
        <v>398154544.90834999</v>
      </c>
    </row>
    <row r="163" spans="1:29" ht="24.95" customHeight="1">
      <c r="A163" s="183"/>
      <c r="B163" s="178"/>
      <c r="C163" s="66">
        <v>9</v>
      </c>
      <c r="D163" s="70" t="s">
        <v>443</v>
      </c>
      <c r="E163" s="70">
        <v>12377480.633199999</v>
      </c>
      <c r="F163" s="70">
        <v>0</v>
      </c>
      <c r="G163" s="70">
        <v>129109092.23890001</v>
      </c>
      <c r="H163" s="70">
        <v>26205328.3574</v>
      </c>
      <c r="I163" s="70">
        <v>6303260.6849999996</v>
      </c>
      <c r="J163" s="70">
        <v>5030757.0368999997</v>
      </c>
      <c r="K163" s="70">
        <v>0</v>
      </c>
      <c r="L163" s="70">
        <f t="shared" si="43"/>
        <v>5030757.0368999997</v>
      </c>
      <c r="M163" s="70">
        <v>217180190.3418</v>
      </c>
      <c r="N163" s="75">
        <f t="shared" si="44"/>
        <v>396206109.29320002</v>
      </c>
      <c r="O163" s="74"/>
      <c r="P163" s="178"/>
      <c r="Q163" s="78">
        <v>6</v>
      </c>
      <c r="R163" s="178"/>
      <c r="S163" s="70" t="s">
        <v>444</v>
      </c>
      <c r="T163" s="70">
        <v>11785922.979499999</v>
      </c>
      <c r="U163" s="70">
        <v>0</v>
      </c>
      <c r="V163" s="70">
        <v>122938573.8654</v>
      </c>
      <c r="W163" s="70">
        <v>24952895.571199998</v>
      </c>
      <c r="X163" s="70">
        <v>6566639.5947000002</v>
      </c>
      <c r="Y163" s="70">
        <v>4790321.7725</v>
      </c>
      <c r="Z163" s="70">
        <f t="shared" si="46"/>
        <v>2395160.88625</v>
      </c>
      <c r="AA163" s="70">
        <f t="shared" si="41"/>
        <v>2395160.88625</v>
      </c>
      <c r="AB163" s="70">
        <v>243921151.80599999</v>
      </c>
      <c r="AC163" s="75">
        <f t="shared" si="39"/>
        <v>412560344.70305002</v>
      </c>
    </row>
    <row r="164" spans="1:29" ht="24.95" customHeight="1">
      <c r="A164" s="183"/>
      <c r="B164" s="178"/>
      <c r="C164" s="66">
        <v>10</v>
      </c>
      <c r="D164" s="70" t="s">
        <v>445</v>
      </c>
      <c r="E164" s="70">
        <v>10550094.822799999</v>
      </c>
      <c r="F164" s="70">
        <v>0</v>
      </c>
      <c r="G164" s="70">
        <v>110047691.12360001</v>
      </c>
      <c r="H164" s="70">
        <v>22336427.519200001</v>
      </c>
      <c r="I164" s="70">
        <v>5569967.5306000002</v>
      </c>
      <c r="J164" s="70">
        <v>4288026.4040000001</v>
      </c>
      <c r="K164" s="70">
        <v>0</v>
      </c>
      <c r="L164" s="70">
        <f t="shared" si="43"/>
        <v>4288026.4040000001</v>
      </c>
      <c r="M164" s="70">
        <v>190510613.16980001</v>
      </c>
      <c r="N164" s="75">
        <f t="shared" si="44"/>
        <v>343302820.57000005</v>
      </c>
      <c r="O164" s="74"/>
      <c r="P164" s="178"/>
      <c r="Q164" s="78">
        <v>7</v>
      </c>
      <c r="R164" s="178"/>
      <c r="S164" s="70" t="s">
        <v>446</v>
      </c>
      <c r="T164" s="70">
        <v>11163481.043</v>
      </c>
      <c r="U164" s="70">
        <v>0</v>
      </c>
      <c r="V164" s="70">
        <v>116445902.55490001</v>
      </c>
      <c r="W164" s="70">
        <v>23635075.263900001</v>
      </c>
      <c r="X164" s="70">
        <v>6144928.6443999996</v>
      </c>
      <c r="Y164" s="70">
        <v>4537333.7658000002</v>
      </c>
      <c r="Z164" s="70">
        <f t="shared" si="46"/>
        <v>2268666.8829000001</v>
      </c>
      <c r="AA164" s="70">
        <f t="shared" si="41"/>
        <v>2268666.8829000001</v>
      </c>
      <c r="AB164" s="70">
        <v>228583694.11320001</v>
      </c>
      <c r="AC164" s="75">
        <f t="shared" si="39"/>
        <v>388241748.50230002</v>
      </c>
    </row>
    <row r="165" spans="1:29" ht="24.95" customHeight="1">
      <c r="A165" s="183"/>
      <c r="B165" s="178"/>
      <c r="C165" s="66">
        <v>11</v>
      </c>
      <c r="D165" s="70" t="s">
        <v>447</v>
      </c>
      <c r="E165" s="70">
        <v>15200550.9791</v>
      </c>
      <c r="F165" s="70">
        <v>0</v>
      </c>
      <c r="G165" s="70">
        <v>158556445.90490001</v>
      </c>
      <c r="H165" s="70">
        <v>32182270.481899999</v>
      </c>
      <c r="I165" s="70">
        <v>7888883.5894999998</v>
      </c>
      <c r="J165" s="70">
        <v>6178178.0209999997</v>
      </c>
      <c r="K165" s="70">
        <v>0</v>
      </c>
      <c r="L165" s="70">
        <f t="shared" si="43"/>
        <v>6178178.0209999997</v>
      </c>
      <c r="M165" s="70">
        <v>274848657.80849999</v>
      </c>
      <c r="N165" s="75">
        <f t="shared" si="44"/>
        <v>494854986.78490001</v>
      </c>
      <c r="O165" s="74"/>
      <c r="P165" s="178"/>
      <c r="Q165" s="78">
        <v>8</v>
      </c>
      <c r="R165" s="178"/>
      <c r="S165" s="70" t="s">
        <v>448</v>
      </c>
      <c r="T165" s="70">
        <v>9975277.6031999998</v>
      </c>
      <c r="U165" s="70">
        <v>0</v>
      </c>
      <c r="V165" s="70">
        <v>104051791.66509999</v>
      </c>
      <c r="W165" s="70">
        <v>21119437.209800001</v>
      </c>
      <c r="X165" s="70">
        <v>5676534.9145</v>
      </c>
      <c r="Y165" s="70">
        <v>4054395.1943999999</v>
      </c>
      <c r="Z165" s="70">
        <f t="shared" si="46"/>
        <v>2027197.5972</v>
      </c>
      <c r="AA165" s="70">
        <f t="shared" si="41"/>
        <v>2027197.5972</v>
      </c>
      <c r="AB165" s="70">
        <v>211548402.4948</v>
      </c>
      <c r="AC165" s="75">
        <f t="shared" si="39"/>
        <v>354398641.48460001</v>
      </c>
    </row>
    <row r="166" spans="1:29" ht="24.95" customHeight="1">
      <c r="A166" s="183"/>
      <c r="B166" s="178"/>
      <c r="C166" s="66">
        <v>12</v>
      </c>
      <c r="D166" s="70" t="s">
        <v>449</v>
      </c>
      <c r="E166" s="70">
        <v>10765272.952199999</v>
      </c>
      <c r="F166" s="70">
        <v>0</v>
      </c>
      <c r="G166" s="70">
        <v>112292207.09469999</v>
      </c>
      <c r="H166" s="70">
        <v>22791997.897799999</v>
      </c>
      <c r="I166" s="70">
        <v>5886568.4223999996</v>
      </c>
      <c r="J166" s="70">
        <v>4375484.3382999999</v>
      </c>
      <c r="K166" s="70">
        <v>0</v>
      </c>
      <c r="L166" s="70">
        <f t="shared" si="43"/>
        <v>4375484.3382999999</v>
      </c>
      <c r="M166" s="70">
        <v>202025260.29960001</v>
      </c>
      <c r="N166" s="75">
        <f t="shared" si="44"/>
        <v>358136791.005</v>
      </c>
      <c r="O166" s="74"/>
      <c r="P166" s="178"/>
      <c r="Q166" s="78">
        <v>9</v>
      </c>
      <c r="R166" s="178"/>
      <c r="S166" s="70" t="s">
        <v>450</v>
      </c>
      <c r="T166" s="70">
        <v>10763898.7788</v>
      </c>
      <c r="U166" s="70">
        <v>0</v>
      </c>
      <c r="V166" s="70">
        <v>112277873.1375</v>
      </c>
      <c r="W166" s="70">
        <v>22789088.528299998</v>
      </c>
      <c r="X166" s="70">
        <v>6077028.7532000002</v>
      </c>
      <c r="Y166" s="70">
        <v>4374925.8132999996</v>
      </c>
      <c r="Z166" s="70">
        <f t="shared" si="46"/>
        <v>2187462.9066499998</v>
      </c>
      <c r="AA166" s="70">
        <f t="shared" si="41"/>
        <v>2187462.9066499998</v>
      </c>
      <c r="AB166" s="70">
        <v>226114202.37090001</v>
      </c>
      <c r="AC166" s="75">
        <f t="shared" si="39"/>
        <v>380209554.47535002</v>
      </c>
    </row>
    <row r="167" spans="1:29" ht="24.95" customHeight="1">
      <c r="A167" s="183"/>
      <c r="B167" s="178"/>
      <c r="C167" s="66">
        <v>13</v>
      </c>
      <c r="D167" s="70" t="s">
        <v>451</v>
      </c>
      <c r="E167" s="70">
        <v>12420617.553200001</v>
      </c>
      <c r="F167" s="70">
        <v>0</v>
      </c>
      <c r="G167" s="70">
        <v>129559052.02869999</v>
      </c>
      <c r="H167" s="70">
        <v>26296656.890700001</v>
      </c>
      <c r="I167" s="70">
        <v>7053188.6710000001</v>
      </c>
      <c r="J167" s="70">
        <v>5048289.7942000004</v>
      </c>
      <c r="K167" s="70">
        <v>0</v>
      </c>
      <c r="L167" s="70">
        <f t="shared" si="43"/>
        <v>5048289.7942000004</v>
      </c>
      <c r="M167" s="70">
        <v>244454769.6496</v>
      </c>
      <c r="N167" s="75">
        <f t="shared" si="44"/>
        <v>424832574.58740002</v>
      </c>
      <c r="O167" s="74"/>
      <c r="P167" s="178"/>
      <c r="Q167" s="78">
        <v>10</v>
      </c>
      <c r="R167" s="178"/>
      <c r="S167" s="70" t="s">
        <v>452</v>
      </c>
      <c r="T167" s="70">
        <v>11854076.2127</v>
      </c>
      <c r="U167" s="70">
        <v>0</v>
      </c>
      <c r="V167" s="70">
        <v>123649477.99259999</v>
      </c>
      <c r="W167" s="70">
        <v>25097188.089699998</v>
      </c>
      <c r="X167" s="70">
        <v>6459116.4588000001</v>
      </c>
      <c r="Y167" s="70">
        <v>4818022.2688999996</v>
      </c>
      <c r="Z167" s="70">
        <f t="shared" si="46"/>
        <v>2409011.1344499998</v>
      </c>
      <c r="AA167" s="70">
        <f t="shared" si="41"/>
        <v>2409011.1344499998</v>
      </c>
      <c r="AB167" s="70">
        <v>240010578.58750001</v>
      </c>
      <c r="AC167" s="75">
        <f t="shared" si="39"/>
        <v>409479448.47574997</v>
      </c>
    </row>
    <row r="168" spans="1:29" ht="24.95" customHeight="1">
      <c r="A168" s="183"/>
      <c r="B168" s="178"/>
      <c r="C168" s="66">
        <v>14</v>
      </c>
      <c r="D168" s="70" t="s">
        <v>453</v>
      </c>
      <c r="E168" s="70">
        <v>10979178.765000001</v>
      </c>
      <c r="F168" s="70">
        <v>0</v>
      </c>
      <c r="G168" s="70">
        <v>114523451.572</v>
      </c>
      <c r="H168" s="70">
        <v>23244874.555399999</v>
      </c>
      <c r="I168" s="70">
        <v>5497665.0566999996</v>
      </c>
      <c r="J168" s="70">
        <v>4462425.1468000002</v>
      </c>
      <c r="K168" s="70">
        <v>0</v>
      </c>
      <c r="L168" s="70">
        <f t="shared" si="43"/>
        <v>4462425.1468000002</v>
      </c>
      <c r="M168" s="70">
        <v>187881001.26339999</v>
      </c>
      <c r="N168" s="75">
        <f t="shared" si="44"/>
        <v>346588596.35930002</v>
      </c>
      <c r="O168" s="74"/>
      <c r="P168" s="178"/>
      <c r="Q168" s="78">
        <v>11</v>
      </c>
      <c r="R168" s="178"/>
      <c r="S168" s="70" t="s">
        <v>454</v>
      </c>
      <c r="T168" s="70">
        <v>11578998.890000001</v>
      </c>
      <c r="U168" s="70">
        <v>0</v>
      </c>
      <c r="V168" s="70">
        <v>120780155.5125</v>
      </c>
      <c r="W168" s="70">
        <v>24514800.463500001</v>
      </c>
      <c r="X168" s="70">
        <v>5922373.5944999997</v>
      </c>
      <c r="Y168" s="70">
        <v>4706218.6459999997</v>
      </c>
      <c r="Z168" s="70">
        <f t="shared" si="46"/>
        <v>2353109.3229999999</v>
      </c>
      <c r="AA168" s="70">
        <f t="shared" si="41"/>
        <v>2353109.3229999999</v>
      </c>
      <c r="AB168" s="70">
        <v>220489456.43450001</v>
      </c>
      <c r="AC168" s="75">
        <f t="shared" si="39"/>
        <v>385638894.21800005</v>
      </c>
    </row>
    <row r="169" spans="1:29" ht="24.95" customHeight="1">
      <c r="A169" s="183"/>
      <c r="B169" s="178"/>
      <c r="C169" s="66">
        <v>15</v>
      </c>
      <c r="D169" s="70" t="s">
        <v>455</v>
      </c>
      <c r="E169" s="70">
        <v>10103913.695499999</v>
      </c>
      <c r="F169" s="70">
        <v>0</v>
      </c>
      <c r="G169" s="70">
        <v>105393590.5016</v>
      </c>
      <c r="H169" s="70">
        <v>21391782.7007</v>
      </c>
      <c r="I169" s="70">
        <v>5122636.8860999998</v>
      </c>
      <c r="J169" s="70">
        <v>4106678.6069</v>
      </c>
      <c r="K169" s="70">
        <v>0</v>
      </c>
      <c r="L169" s="70">
        <f t="shared" si="43"/>
        <v>4106678.6069</v>
      </c>
      <c r="M169" s="70">
        <v>174241377.49630001</v>
      </c>
      <c r="N169" s="75">
        <f t="shared" si="44"/>
        <v>320359979.88709998</v>
      </c>
      <c r="O169" s="74"/>
      <c r="P169" s="178"/>
      <c r="Q169" s="78">
        <v>12</v>
      </c>
      <c r="R169" s="178"/>
      <c r="S169" s="70" t="s">
        <v>456</v>
      </c>
      <c r="T169" s="70">
        <v>13473564.2618</v>
      </c>
      <c r="U169" s="70">
        <v>0</v>
      </c>
      <c r="V169" s="70">
        <v>140542304.4179</v>
      </c>
      <c r="W169" s="70">
        <v>28525932.384</v>
      </c>
      <c r="X169" s="70">
        <v>7203229.9550000001</v>
      </c>
      <c r="Y169" s="70">
        <v>5476254.0318999998</v>
      </c>
      <c r="Z169" s="70">
        <f t="shared" si="46"/>
        <v>2738127.0159499999</v>
      </c>
      <c r="AA169" s="70">
        <f t="shared" si="41"/>
        <v>2738127.0159499999</v>
      </c>
      <c r="AB169" s="70">
        <v>267073687.2414</v>
      </c>
      <c r="AC169" s="75">
        <f t="shared" si="39"/>
        <v>459556845.27604997</v>
      </c>
    </row>
    <row r="170" spans="1:29" ht="24.95" customHeight="1">
      <c r="A170" s="183"/>
      <c r="B170" s="178"/>
      <c r="C170" s="66">
        <v>16</v>
      </c>
      <c r="D170" s="70" t="s">
        <v>457</v>
      </c>
      <c r="E170" s="70">
        <v>14805061.6305</v>
      </c>
      <c r="F170" s="70">
        <v>0</v>
      </c>
      <c r="G170" s="70">
        <v>154431109.553</v>
      </c>
      <c r="H170" s="70">
        <v>31344949.1763</v>
      </c>
      <c r="I170" s="70">
        <v>6351855.9568999996</v>
      </c>
      <c r="J170" s="70">
        <v>6017433.6107999999</v>
      </c>
      <c r="K170" s="70">
        <v>0</v>
      </c>
      <c r="L170" s="70">
        <f t="shared" si="43"/>
        <v>6017433.6107999999</v>
      </c>
      <c r="M170" s="70">
        <v>218947580.84020001</v>
      </c>
      <c r="N170" s="75">
        <f t="shared" si="44"/>
        <v>431897990.76769996</v>
      </c>
      <c r="O170" s="74"/>
      <c r="P170" s="178"/>
      <c r="Q170" s="78">
        <v>13</v>
      </c>
      <c r="R170" s="178"/>
      <c r="S170" s="70" t="s">
        <v>458</v>
      </c>
      <c r="T170" s="70">
        <v>13801929.353499999</v>
      </c>
      <c r="U170" s="70">
        <v>0</v>
      </c>
      <c r="V170" s="70">
        <v>143967469.85859999</v>
      </c>
      <c r="W170" s="70">
        <v>29221139.696699999</v>
      </c>
      <c r="X170" s="70">
        <v>6840446.8688000003</v>
      </c>
      <c r="Y170" s="70">
        <v>5609716.1672999999</v>
      </c>
      <c r="Z170" s="70">
        <f t="shared" si="46"/>
        <v>2804858.0836499999</v>
      </c>
      <c r="AA170" s="70">
        <f t="shared" si="41"/>
        <v>2804858.0836499999</v>
      </c>
      <c r="AB170" s="70">
        <v>253879412.2687</v>
      </c>
      <c r="AC170" s="75">
        <f t="shared" si="39"/>
        <v>450515256.12995005</v>
      </c>
    </row>
    <row r="171" spans="1:29" ht="24.95" customHeight="1">
      <c r="A171" s="183"/>
      <c r="B171" s="178"/>
      <c r="C171" s="66">
        <v>17</v>
      </c>
      <c r="D171" s="70" t="s">
        <v>459</v>
      </c>
      <c r="E171" s="70">
        <v>15258121.008400001</v>
      </c>
      <c r="F171" s="70">
        <v>0</v>
      </c>
      <c r="G171" s="70">
        <v>159156956.98179999</v>
      </c>
      <c r="H171" s="70">
        <v>32304156.475200001</v>
      </c>
      <c r="I171" s="70">
        <v>6958975.9674000004</v>
      </c>
      <c r="J171" s="70">
        <v>6201577.0340999998</v>
      </c>
      <c r="K171" s="70">
        <v>0</v>
      </c>
      <c r="L171" s="70">
        <f t="shared" si="43"/>
        <v>6201577.0340999998</v>
      </c>
      <c r="M171" s="70">
        <v>241028291.5043</v>
      </c>
      <c r="N171" s="75">
        <f t="shared" si="44"/>
        <v>460908078.97119999</v>
      </c>
      <c r="O171" s="74"/>
      <c r="P171" s="178"/>
      <c r="Q171" s="78">
        <v>14</v>
      </c>
      <c r="R171" s="178"/>
      <c r="S171" s="70" t="s">
        <v>460</v>
      </c>
      <c r="T171" s="70">
        <v>15282398.813899999</v>
      </c>
      <c r="U171" s="70">
        <v>0</v>
      </c>
      <c r="V171" s="70">
        <v>159410197.9693</v>
      </c>
      <c r="W171" s="70">
        <v>32355556.908199999</v>
      </c>
      <c r="X171" s="70">
        <v>7068623.8756999997</v>
      </c>
      <c r="Y171" s="70">
        <v>6211444.6107000001</v>
      </c>
      <c r="Z171" s="70">
        <f t="shared" si="46"/>
        <v>3105722.30535</v>
      </c>
      <c r="AA171" s="70">
        <f t="shared" si="41"/>
        <v>3105722.30535</v>
      </c>
      <c r="AB171" s="70">
        <v>262178118.26179999</v>
      </c>
      <c r="AC171" s="75">
        <f t="shared" si="39"/>
        <v>479400618.13424999</v>
      </c>
    </row>
    <row r="172" spans="1:29" ht="24.95" customHeight="1">
      <c r="A172" s="183"/>
      <c r="B172" s="178"/>
      <c r="C172" s="66">
        <v>18</v>
      </c>
      <c r="D172" s="70" t="s">
        <v>461</v>
      </c>
      <c r="E172" s="70">
        <v>8495729.2474000007</v>
      </c>
      <c r="F172" s="70">
        <v>0</v>
      </c>
      <c r="G172" s="70">
        <v>88618671.564899996</v>
      </c>
      <c r="H172" s="70">
        <v>17986970.1404</v>
      </c>
      <c r="I172" s="70">
        <v>5067482.6644000001</v>
      </c>
      <c r="J172" s="70">
        <v>3453041.1285000001</v>
      </c>
      <c r="K172" s="70">
        <v>0</v>
      </c>
      <c r="L172" s="70">
        <f t="shared" si="43"/>
        <v>3453041.1285000001</v>
      </c>
      <c r="M172" s="70">
        <v>172235440.63119999</v>
      </c>
      <c r="N172" s="75">
        <f t="shared" si="44"/>
        <v>295857335.37679994</v>
      </c>
      <c r="O172" s="74"/>
      <c r="P172" s="178"/>
      <c r="Q172" s="78">
        <v>15</v>
      </c>
      <c r="R172" s="178"/>
      <c r="S172" s="70" t="s">
        <v>462</v>
      </c>
      <c r="T172" s="70">
        <v>18032280.413899999</v>
      </c>
      <c r="U172" s="70">
        <v>0</v>
      </c>
      <c r="V172" s="70">
        <v>188094122.23969999</v>
      </c>
      <c r="W172" s="70">
        <v>38177545.437799998</v>
      </c>
      <c r="X172" s="70">
        <v>7268755.2753999997</v>
      </c>
      <c r="Y172" s="70">
        <v>7329118.4426999995</v>
      </c>
      <c r="Z172" s="70">
        <f t="shared" si="46"/>
        <v>3664559.2213499998</v>
      </c>
      <c r="AA172" s="70">
        <f t="shared" si="41"/>
        <v>3664559.2213499998</v>
      </c>
      <c r="AB172" s="70">
        <v>269456816.79610002</v>
      </c>
      <c r="AC172" s="75">
        <f t="shared" si="39"/>
        <v>524694079.38425004</v>
      </c>
    </row>
    <row r="173" spans="1:29" ht="24.95" customHeight="1">
      <c r="A173" s="183"/>
      <c r="B173" s="178"/>
      <c r="C173" s="66">
        <v>19</v>
      </c>
      <c r="D173" s="70" t="s">
        <v>463</v>
      </c>
      <c r="E173" s="70">
        <v>11445399.795700001</v>
      </c>
      <c r="F173" s="70">
        <v>0</v>
      </c>
      <c r="G173" s="70">
        <v>119386587.7666</v>
      </c>
      <c r="H173" s="70">
        <v>24231947.414700001</v>
      </c>
      <c r="I173" s="70">
        <v>5670983.0587999998</v>
      </c>
      <c r="J173" s="70">
        <v>4651918.0493000001</v>
      </c>
      <c r="K173" s="70">
        <v>0</v>
      </c>
      <c r="L173" s="70">
        <f t="shared" si="43"/>
        <v>4651918.0493000001</v>
      </c>
      <c r="M173" s="70">
        <v>194184507.31200001</v>
      </c>
      <c r="N173" s="75">
        <f t="shared" si="44"/>
        <v>359571343.39709997</v>
      </c>
      <c r="O173" s="74"/>
      <c r="P173" s="178"/>
      <c r="Q173" s="78">
        <v>16</v>
      </c>
      <c r="R173" s="178"/>
      <c r="S173" s="70" t="s">
        <v>464</v>
      </c>
      <c r="T173" s="70">
        <v>11420423.9274</v>
      </c>
      <c r="U173" s="70">
        <v>0</v>
      </c>
      <c r="V173" s="70">
        <v>119126065.3075</v>
      </c>
      <c r="W173" s="70">
        <v>24179069.058400001</v>
      </c>
      <c r="X173" s="70">
        <v>7094282.0766000003</v>
      </c>
      <c r="Y173" s="70">
        <v>4641766.7487000003</v>
      </c>
      <c r="Z173" s="70">
        <f t="shared" si="46"/>
        <v>2320883.3743500002</v>
      </c>
      <c r="AA173" s="70">
        <f t="shared" si="41"/>
        <v>2320883.3743500002</v>
      </c>
      <c r="AB173" s="70">
        <v>263111296.71039999</v>
      </c>
      <c r="AC173" s="75">
        <f t="shared" si="39"/>
        <v>427252020.45464998</v>
      </c>
    </row>
    <row r="174" spans="1:29" ht="24.95" customHeight="1">
      <c r="A174" s="183"/>
      <c r="B174" s="178"/>
      <c r="C174" s="66">
        <v>20</v>
      </c>
      <c r="D174" s="70" t="s">
        <v>465</v>
      </c>
      <c r="E174" s="70">
        <v>13544390.3662</v>
      </c>
      <c r="F174" s="70">
        <v>0</v>
      </c>
      <c r="G174" s="70">
        <v>141281089.17629999</v>
      </c>
      <c r="H174" s="70">
        <v>28675883.846299998</v>
      </c>
      <c r="I174" s="70">
        <v>6142213.4382999996</v>
      </c>
      <c r="J174" s="70">
        <v>5505040.9017000003</v>
      </c>
      <c r="K174" s="70">
        <v>0</v>
      </c>
      <c r="L174" s="70">
        <f t="shared" si="43"/>
        <v>5505040.9017000003</v>
      </c>
      <c r="M174" s="70">
        <v>211322966.73289999</v>
      </c>
      <c r="N174" s="75">
        <f t="shared" si="44"/>
        <v>406471584.46169996</v>
      </c>
      <c r="O174" s="74"/>
      <c r="P174" s="178"/>
      <c r="Q174" s="78">
        <v>17</v>
      </c>
      <c r="R174" s="178"/>
      <c r="S174" s="70" t="s">
        <v>466</v>
      </c>
      <c r="T174" s="70">
        <v>15500951.525800001</v>
      </c>
      <c r="U174" s="70">
        <v>0</v>
      </c>
      <c r="V174" s="70">
        <v>161689914.09909999</v>
      </c>
      <c r="W174" s="70">
        <v>32818271.878199998</v>
      </c>
      <c r="X174" s="70">
        <v>7652729.8021</v>
      </c>
      <c r="Y174" s="70">
        <v>6300274.1250999998</v>
      </c>
      <c r="Z174" s="70">
        <f t="shared" si="46"/>
        <v>3150137.0625499999</v>
      </c>
      <c r="AA174" s="70">
        <f t="shared" si="41"/>
        <v>3150137.0625499999</v>
      </c>
      <c r="AB174" s="70">
        <v>283421815.94019997</v>
      </c>
      <c r="AC174" s="75">
        <f t="shared" si="39"/>
        <v>504233820.30794996</v>
      </c>
    </row>
    <row r="175" spans="1:29" ht="24.95" customHeight="1">
      <c r="A175" s="183"/>
      <c r="B175" s="178"/>
      <c r="C175" s="66">
        <v>21</v>
      </c>
      <c r="D175" s="70" t="s">
        <v>467</v>
      </c>
      <c r="E175" s="70">
        <v>19723868.894299999</v>
      </c>
      <c r="F175" s="70">
        <v>0</v>
      </c>
      <c r="G175" s="70">
        <v>205739025.88499999</v>
      </c>
      <c r="H175" s="70">
        <v>41758939.171099998</v>
      </c>
      <c r="I175" s="70">
        <v>11035895.940199999</v>
      </c>
      <c r="J175" s="70">
        <v>8016655.0185000002</v>
      </c>
      <c r="K175" s="70">
        <v>0</v>
      </c>
      <c r="L175" s="70">
        <f t="shared" si="43"/>
        <v>8016655.0185000002</v>
      </c>
      <c r="M175" s="70">
        <v>389304231.60579997</v>
      </c>
      <c r="N175" s="75">
        <f t="shared" si="44"/>
        <v>675578616.51489997</v>
      </c>
      <c r="O175" s="74"/>
      <c r="P175" s="178"/>
      <c r="Q175" s="78">
        <v>18</v>
      </c>
      <c r="R175" s="178"/>
      <c r="S175" s="70" t="s">
        <v>468</v>
      </c>
      <c r="T175" s="70">
        <v>10470559.706</v>
      </c>
      <c r="U175" s="70">
        <v>0</v>
      </c>
      <c r="V175" s="70">
        <v>109218062.94320001</v>
      </c>
      <c r="W175" s="70">
        <v>22168037.528200001</v>
      </c>
      <c r="X175" s="70">
        <v>5839250.7786999997</v>
      </c>
      <c r="Y175" s="70">
        <v>4255699.8053000001</v>
      </c>
      <c r="Z175" s="70">
        <f t="shared" si="46"/>
        <v>2127849.9026500001</v>
      </c>
      <c r="AA175" s="70">
        <f t="shared" si="41"/>
        <v>2127849.9026500001</v>
      </c>
      <c r="AB175" s="70">
        <v>217466313.04629999</v>
      </c>
      <c r="AC175" s="75">
        <f t="shared" si="39"/>
        <v>367290073.90504998</v>
      </c>
    </row>
    <row r="176" spans="1:29" ht="24.95" customHeight="1">
      <c r="A176" s="183"/>
      <c r="B176" s="178"/>
      <c r="C176" s="66">
        <v>22</v>
      </c>
      <c r="D176" s="70" t="s">
        <v>469</v>
      </c>
      <c r="E176" s="70">
        <v>12316749.347100001</v>
      </c>
      <c r="F176" s="70">
        <v>0</v>
      </c>
      <c r="G176" s="70">
        <v>128475606.197</v>
      </c>
      <c r="H176" s="70">
        <v>26076749.421100002</v>
      </c>
      <c r="I176" s="70">
        <v>6002806.8751999997</v>
      </c>
      <c r="J176" s="70">
        <v>5006073.1489000004</v>
      </c>
      <c r="K176" s="70">
        <v>0</v>
      </c>
      <c r="L176" s="70">
        <f t="shared" si="43"/>
        <v>5006073.1489000004</v>
      </c>
      <c r="M176" s="70">
        <v>206252806.08759999</v>
      </c>
      <c r="N176" s="75">
        <f t="shared" si="44"/>
        <v>384130791.07690001</v>
      </c>
      <c r="O176" s="74"/>
      <c r="P176" s="178"/>
      <c r="Q176" s="78">
        <v>19</v>
      </c>
      <c r="R176" s="178"/>
      <c r="S176" s="70" t="s">
        <v>470</v>
      </c>
      <c r="T176" s="70">
        <v>12050408.263699999</v>
      </c>
      <c r="U176" s="70">
        <v>0</v>
      </c>
      <c r="V176" s="70">
        <v>125697411.1402</v>
      </c>
      <c r="W176" s="70">
        <v>25512857.967500001</v>
      </c>
      <c r="X176" s="70">
        <v>6537952.2115000002</v>
      </c>
      <c r="Y176" s="70">
        <v>4897820.3211000003</v>
      </c>
      <c r="Z176" s="70">
        <f t="shared" si="46"/>
        <v>2448910.1605500001</v>
      </c>
      <c r="AA176" s="70">
        <f t="shared" si="41"/>
        <v>2448910.1605500001</v>
      </c>
      <c r="AB176" s="70">
        <v>242877803.21540001</v>
      </c>
      <c r="AC176" s="75">
        <f t="shared" si="39"/>
        <v>415125342.95885003</v>
      </c>
    </row>
    <row r="177" spans="1:30" ht="24.95" customHeight="1">
      <c r="A177" s="183"/>
      <c r="B177" s="178"/>
      <c r="C177" s="66">
        <v>23</v>
      </c>
      <c r="D177" s="70" t="s">
        <v>471</v>
      </c>
      <c r="E177" s="70">
        <v>11469594.4331</v>
      </c>
      <c r="F177" s="70">
        <v>0</v>
      </c>
      <c r="G177" s="70">
        <v>119638961.2307</v>
      </c>
      <c r="H177" s="70">
        <v>24283171.765900001</v>
      </c>
      <c r="I177" s="70">
        <v>5839590.4258000003</v>
      </c>
      <c r="J177" s="70">
        <v>4661751.8229</v>
      </c>
      <c r="K177" s="70">
        <v>0</v>
      </c>
      <c r="L177" s="70">
        <f t="shared" si="43"/>
        <v>4661751.8229</v>
      </c>
      <c r="M177" s="70">
        <v>200316689.4533</v>
      </c>
      <c r="N177" s="75">
        <f t="shared" si="44"/>
        <v>366209759.13170004</v>
      </c>
      <c r="O177" s="74"/>
      <c r="P177" s="178"/>
      <c r="Q177" s="78">
        <v>20</v>
      </c>
      <c r="R177" s="178"/>
      <c r="S177" s="70" t="s">
        <v>472</v>
      </c>
      <c r="T177" s="70">
        <v>13898796.365499999</v>
      </c>
      <c r="U177" s="70">
        <v>0</v>
      </c>
      <c r="V177" s="70">
        <v>144977886.46520001</v>
      </c>
      <c r="W177" s="70">
        <v>29426224.3928</v>
      </c>
      <c r="X177" s="70">
        <v>6843989.4718000004</v>
      </c>
      <c r="Y177" s="70">
        <v>5649087.2167999996</v>
      </c>
      <c r="Z177" s="70">
        <f t="shared" si="46"/>
        <v>2824543.6083999998</v>
      </c>
      <c r="AA177" s="70">
        <f t="shared" si="41"/>
        <v>2824543.6083999998</v>
      </c>
      <c r="AB177" s="70">
        <v>254008255.3161</v>
      </c>
      <c r="AC177" s="75">
        <f t="shared" si="39"/>
        <v>451979695.61979997</v>
      </c>
    </row>
    <row r="178" spans="1:30" ht="24.95" customHeight="1">
      <c r="A178" s="183"/>
      <c r="B178" s="178"/>
      <c r="C178" s="66">
        <v>24</v>
      </c>
      <c r="D178" s="70" t="s">
        <v>473</v>
      </c>
      <c r="E178" s="70">
        <v>11195411.640000001</v>
      </c>
      <c r="F178" s="70">
        <v>0</v>
      </c>
      <c r="G178" s="70">
        <v>116778969.5589</v>
      </c>
      <c r="H178" s="70">
        <v>23702678.017900001</v>
      </c>
      <c r="I178" s="70">
        <v>5752270.3954999996</v>
      </c>
      <c r="J178" s="70">
        <v>4550311.7764999997</v>
      </c>
      <c r="K178" s="70">
        <v>0</v>
      </c>
      <c r="L178" s="70">
        <f t="shared" si="43"/>
        <v>4550311.7764999997</v>
      </c>
      <c r="M178" s="70">
        <v>197140895.0632</v>
      </c>
      <c r="N178" s="75">
        <f t="shared" si="44"/>
        <v>359120536.45200002</v>
      </c>
      <c r="O178" s="74"/>
      <c r="P178" s="178"/>
      <c r="Q178" s="78">
        <v>21</v>
      </c>
      <c r="R178" s="178"/>
      <c r="S178" s="70" t="s">
        <v>474</v>
      </c>
      <c r="T178" s="70">
        <v>13075021.685000001</v>
      </c>
      <c r="U178" s="70">
        <v>0</v>
      </c>
      <c r="V178" s="70">
        <v>136385119.9445</v>
      </c>
      <c r="W178" s="70">
        <v>27682146.851399999</v>
      </c>
      <c r="X178" s="70">
        <v>6768567.9669000003</v>
      </c>
      <c r="Y178" s="70">
        <v>5314268.6544000003</v>
      </c>
      <c r="Z178" s="70">
        <f t="shared" si="46"/>
        <v>2657134.3272000002</v>
      </c>
      <c r="AA178" s="70">
        <f t="shared" si="41"/>
        <v>2657134.3272000002</v>
      </c>
      <c r="AB178" s="70">
        <v>251265205.50929999</v>
      </c>
      <c r="AC178" s="75">
        <f t="shared" si="39"/>
        <v>437833196.28429997</v>
      </c>
    </row>
    <row r="179" spans="1:30" ht="24.95" customHeight="1">
      <c r="A179" s="183"/>
      <c r="B179" s="178"/>
      <c r="C179" s="66">
        <v>25</v>
      </c>
      <c r="D179" s="70" t="s">
        <v>475</v>
      </c>
      <c r="E179" s="70">
        <v>12803842.9717</v>
      </c>
      <c r="F179" s="70">
        <v>0</v>
      </c>
      <c r="G179" s="70">
        <v>133556463.7299</v>
      </c>
      <c r="H179" s="70">
        <v>27108013.274700001</v>
      </c>
      <c r="I179" s="70">
        <v>7385205.0201000003</v>
      </c>
      <c r="J179" s="70">
        <v>5204049.5992999999</v>
      </c>
      <c r="K179" s="70">
        <v>0</v>
      </c>
      <c r="L179" s="70">
        <f t="shared" si="43"/>
        <v>5204049.5992999999</v>
      </c>
      <c r="M179" s="70">
        <v>256530070.7647</v>
      </c>
      <c r="N179" s="75">
        <f t="shared" si="44"/>
        <v>442587645.36039996</v>
      </c>
      <c r="O179" s="74"/>
      <c r="P179" s="178"/>
      <c r="Q179" s="78">
        <v>22</v>
      </c>
      <c r="R179" s="178"/>
      <c r="S179" s="70" t="s">
        <v>476</v>
      </c>
      <c r="T179" s="70">
        <v>15456678.963300001</v>
      </c>
      <c r="U179" s="70">
        <v>0</v>
      </c>
      <c r="V179" s="70">
        <v>161228108.45950001</v>
      </c>
      <c r="W179" s="70">
        <v>32724538.987500001</v>
      </c>
      <c r="X179" s="70">
        <v>7530368.8071999997</v>
      </c>
      <c r="Y179" s="70">
        <v>6282279.7922999999</v>
      </c>
      <c r="Z179" s="70">
        <f t="shared" si="46"/>
        <v>3141139.8961499999</v>
      </c>
      <c r="AA179" s="70">
        <f t="shared" si="41"/>
        <v>3141139.8961499999</v>
      </c>
      <c r="AB179" s="70">
        <v>278971595.755</v>
      </c>
      <c r="AC179" s="75">
        <f t="shared" si="39"/>
        <v>499052430.86865002</v>
      </c>
    </row>
    <row r="180" spans="1:30" ht="24.95" customHeight="1">
      <c r="A180" s="183"/>
      <c r="B180" s="178"/>
      <c r="C180" s="66">
        <v>26</v>
      </c>
      <c r="D180" s="70" t="s">
        <v>477</v>
      </c>
      <c r="E180" s="70">
        <v>11129728.1324</v>
      </c>
      <c r="F180" s="70">
        <v>0</v>
      </c>
      <c r="G180" s="70">
        <v>116093827.05850001</v>
      </c>
      <c r="H180" s="70">
        <v>23563614.348000001</v>
      </c>
      <c r="I180" s="70">
        <v>5623247.7666999996</v>
      </c>
      <c r="J180" s="70">
        <v>4523615.0861999998</v>
      </c>
      <c r="K180" s="70">
        <v>0</v>
      </c>
      <c r="L180" s="70">
        <f t="shared" si="43"/>
        <v>4523615.0861999998</v>
      </c>
      <c r="M180" s="70">
        <v>192448393.93020001</v>
      </c>
      <c r="N180" s="75">
        <f t="shared" si="44"/>
        <v>353382426.32200003</v>
      </c>
      <c r="O180" s="74"/>
      <c r="P180" s="178"/>
      <c r="Q180" s="78">
        <v>23</v>
      </c>
      <c r="R180" s="178"/>
      <c r="S180" s="70" t="s">
        <v>478</v>
      </c>
      <c r="T180" s="70">
        <v>11303857.453</v>
      </c>
      <c r="U180" s="70">
        <v>0</v>
      </c>
      <c r="V180" s="70">
        <v>117910164.258</v>
      </c>
      <c r="W180" s="70">
        <v>23932277.095800001</v>
      </c>
      <c r="X180" s="70">
        <v>7288727.3416999998</v>
      </c>
      <c r="Y180" s="70">
        <v>4594388.9642000003</v>
      </c>
      <c r="Z180" s="70">
        <f t="shared" si="46"/>
        <v>2297194.4821000001</v>
      </c>
      <c r="AA180" s="70">
        <f t="shared" si="41"/>
        <v>2297194.4821000001</v>
      </c>
      <c r="AB180" s="70">
        <v>270183192.81709999</v>
      </c>
      <c r="AC180" s="75">
        <f t="shared" si="39"/>
        <v>432915413.44770002</v>
      </c>
    </row>
    <row r="181" spans="1:30" ht="24.95" customHeight="1">
      <c r="A181" s="183"/>
      <c r="B181" s="179"/>
      <c r="C181" s="66">
        <v>27</v>
      </c>
      <c r="D181" s="70" t="s">
        <v>479</v>
      </c>
      <c r="E181" s="70">
        <v>10794342.783600001</v>
      </c>
      <c r="F181" s="70">
        <v>0</v>
      </c>
      <c r="G181" s="70">
        <v>112595433.5466</v>
      </c>
      <c r="H181" s="70">
        <v>22853543.901900001</v>
      </c>
      <c r="I181" s="70">
        <v>5655567.6014999999</v>
      </c>
      <c r="J181" s="70">
        <v>4387299.6069999998</v>
      </c>
      <c r="K181" s="70">
        <v>0</v>
      </c>
      <c r="L181" s="70">
        <f t="shared" si="43"/>
        <v>4387299.6069999998</v>
      </c>
      <c r="M181" s="70">
        <v>193623853.32659999</v>
      </c>
      <c r="N181" s="75">
        <f t="shared" si="44"/>
        <v>349910040.76719999</v>
      </c>
      <c r="O181" s="74"/>
      <c r="P181" s="178"/>
      <c r="Q181" s="78">
        <v>24</v>
      </c>
      <c r="R181" s="178"/>
      <c r="S181" s="70" t="s">
        <v>480</v>
      </c>
      <c r="T181" s="70">
        <v>9199545.7350999992</v>
      </c>
      <c r="U181" s="70">
        <v>0</v>
      </c>
      <c r="V181" s="70">
        <v>95960158.135100007</v>
      </c>
      <c r="W181" s="70">
        <v>19477074.8484</v>
      </c>
      <c r="X181" s="70">
        <v>5581167.0143999998</v>
      </c>
      <c r="Y181" s="70">
        <v>3739103.3616999998</v>
      </c>
      <c r="Z181" s="70">
        <f t="shared" si="46"/>
        <v>1869551.6808499999</v>
      </c>
      <c r="AA181" s="70">
        <f t="shared" si="41"/>
        <v>1869551.6808499999</v>
      </c>
      <c r="AB181" s="70">
        <v>208079910.31220001</v>
      </c>
      <c r="AC181" s="75">
        <f t="shared" si="39"/>
        <v>340167407.72605002</v>
      </c>
    </row>
    <row r="182" spans="1:30" ht="24.95" customHeight="1">
      <c r="A182" s="66"/>
      <c r="B182" s="190" t="s">
        <v>481</v>
      </c>
      <c r="C182" s="191"/>
      <c r="D182" s="71"/>
      <c r="E182" s="71">
        <f t="shared" ref="E182:N182" si="47">SUM(E155:E181)</f>
        <v>333480583.93709999</v>
      </c>
      <c r="F182" s="71">
        <f t="shared" si="47"/>
        <v>0</v>
      </c>
      <c r="G182" s="71">
        <f t="shared" si="47"/>
        <v>3478524971.8806996</v>
      </c>
      <c r="H182" s="71">
        <f t="shared" si="47"/>
        <v>706037719.78100014</v>
      </c>
      <c r="I182" s="71">
        <f t="shared" si="47"/>
        <v>170524162.21069998</v>
      </c>
      <c r="J182" s="71">
        <f t="shared" si="47"/>
        <v>135541298.26820001</v>
      </c>
      <c r="K182" s="71">
        <f t="shared" si="47"/>
        <v>0</v>
      </c>
      <c r="L182" s="71">
        <f t="shared" si="47"/>
        <v>135541298.26820001</v>
      </c>
      <c r="M182" s="71">
        <f t="shared" si="47"/>
        <v>5876089823.5874996</v>
      </c>
      <c r="N182" s="71">
        <f t="shared" si="47"/>
        <v>10700198559.665201</v>
      </c>
      <c r="O182" s="74"/>
      <c r="P182" s="179"/>
      <c r="Q182" s="78">
        <v>25</v>
      </c>
      <c r="R182" s="179"/>
      <c r="S182" s="70" t="s">
        <v>482</v>
      </c>
      <c r="T182" s="70">
        <v>10254648.039899999</v>
      </c>
      <c r="U182" s="70">
        <v>0</v>
      </c>
      <c r="V182" s="70">
        <v>106965895.47570001</v>
      </c>
      <c r="W182" s="70">
        <v>21710914.122000001</v>
      </c>
      <c r="X182" s="70">
        <v>5558563.6667999998</v>
      </c>
      <c r="Y182" s="70">
        <v>4167943.7291999999</v>
      </c>
      <c r="Z182" s="70">
        <f t="shared" si="46"/>
        <v>2083971.8646</v>
      </c>
      <c r="AA182" s="70">
        <f t="shared" si="41"/>
        <v>2083971.8646</v>
      </c>
      <c r="AB182" s="70">
        <v>207257835.65099999</v>
      </c>
      <c r="AC182" s="75">
        <f t="shared" si="39"/>
        <v>353831828.81999999</v>
      </c>
    </row>
    <row r="183" spans="1:30" ht="24.95" customHeight="1">
      <c r="A183" s="183">
        <v>9</v>
      </c>
      <c r="B183" s="177" t="s">
        <v>483</v>
      </c>
      <c r="C183" s="66">
        <v>1</v>
      </c>
      <c r="D183" s="70" t="s">
        <v>484</v>
      </c>
      <c r="E183" s="70">
        <v>11443437.005000001</v>
      </c>
      <c r="F183" s="70">
        <v>0</v>
      </c>
      <c r="G183" s="70">
        <v>119366113.9619</v>
      </c>
      <c r="H183" s="70">
        <v>24227791.837699998</v>
      </c>
      <c r="I183" s="70">
        <v>6511463.0153999999</v>
      </c>
      <c r="J183" s="70">
        <v>4651120.2841999996</v>
      </c>
      <c r="K183" s="70">
        <f t="shared" ref="K183:K200" si="48">J183/2</f>
        <v>2325560.1420999998</v>
      </c>
      <c r="L183" s="70">
        <f t="shared" ref="L183:L200" si="49">J183-K183</f>
        <v>2325560.1420999998</v>
      </c>
      <c r="M183" s="70">
        <v>211292667.41080001</v>
      </c>
      <c r="N183" s="75">
        <f t="shared" ref="N183:N200" si="50">E183+F183+G183+H183+I183+L183+M183</f>
        <v>375167033.37290001</v>
      </c>
      <c r="O183" s="74"/>
      <c r="P183" s="66"/>
      <c r="Q183" s="190" t="s">
        <v>485</v>
      </c>
      <c r="R183" s="192"/>
      <c r="S183" s="71"/>
      <c r="T183" s="71">
        <f t="shared" ref="T183:Z183" si="51">SUM(T158:T182)</f>
        <v>313276290.19599998</v>
      </c>
      <c r="U183" s="70">
        <v>0</v>
      </c>
      <c r="V183" s="71">
        <f t="shared" si="51"/>
        <v>3267774650.2651997</v>
      </c>
      <c r="W183" s="71">
        <f t="shared" si="51"/>
        <v>663261635.74609995</v>
      </c>
      <c r="X183" s="71">
        <f t="shared" si="51"/>
        <v>163424404.96789998</v>
      </c>
      <c r="Y183" s="71">
        <f t="shared" si="51"/>
        <v>127329377.2863</v>
      </c>
      <c r="Z183" s="71">
        <f t="shared" si="51"/>
        <v>63664688.643150002</v>
      </c>
      <c r="AA183" s="71">
        <f t="shared" si="41"/>
        <v>63664688.643150002</v>
      </c>
      <c r="AB183" s="71">
        <f>SUM(AB158:AB182)</f>
        <v>6071057650.5550003</v>
      </c>
      <c r="AC183" s="71">
        <f>SUM(AC158:AC182)</f>
        <v>10542459320.373348</v>
      </c>
      <c r="AD183" s="84"/>
    </row>
    <row r="184" spans="1:30" ht="24.95" customHeight="1">
      <c r="A184" s="183"/>
      <c r="B184" s="178"/>
      <c r="C184" s="66">
        <v>2</v>
      </c>
      <c r="D184" s="70" t="s">
        <v>486</v>
      </c>
      <c r="E184" s="70">
        <v>14384261.49</v>
      </c>
      <c r="F184" s="70">
        <v>0</v>
      </c>
      <c r="G184" s="70">
        <v>150041757.16710001</v>
      </c>
      <c r="H184" s="70">
        <v>30454040.421799999</v>
      </c>
      <c r="I184" s="70">
        <v>6592621.9968999997</v>
      </c>
      <c r="J184" s="70">
        <v>5846401.7724000001</v>
      </c>
      <c r="K184" s="70">
        <f t="shared" si="48"/>
        <v>2923200.8862000001</v>
      </c>
      <c r="L184" s="70">
        <f t="shared" si="49"/>
        <v>2923200.8862000001</v>
      </c>
      <c r="M184" s="70">
        <v>214244386.9357</v>
      </c>
      <c r="N184" s="75">
        <f t="shared" si="50"/>
        <v>418640268.89770001</v>
      </c>
      <c r="O184" s="74"/>
      <c r="P184" s="177">
        <v>27</v>
      </c>
      <c r="Q184" s="78">
        <v>1</v>
      </c>
      <c r="R184" s="177" t="s">
        <v>112</v>
      </c>
      <c r="S184" s="70" t="s">
        <v>487</v>
      </c>
      <c r="T184" s="70">
        <v>11513044.607100001</v>
      </c>
      <c r="U184" s="70">
        <v>0</v>
      </c>
      <c r="V184" s="70">
        <v>120092188.56200001</v>
      </c>
      <c r="W184" s="70">
        <v>24375163.513700001</v>
      </c>
      <c r="X184" s="70">
        <v>8634313.1883000005</v>
      </c>
      <c r="Y184" s="70">
        <v>4679411.9005000005</v>
      </c>
      <c r="Z184" s="70">
        <v>0</v>
      </c>
      <c r="AA184" s="70">
        <f t="shared" si="41"/>
        <v>4679411.9005000005</v>
      </c>
      <c r="AB184" s="70">
        <v>247408488.26300001</v>
      </c>
      <c r="AC184" s="75">
        <f t="shared" si="39"/>
        <v>416702610.03460002</v>
      </c>
    </row>
    <row r="185" spans="1:30" ht="24.95" customHeight="1">
      <c r="A185" s="183"/>
      <c r="B185" s="178"/>
      <c r="C185" s="66">
        <v>3</v>
      </c>
      <c r="D185" s="70" t="s">
        <v>488</v>
      </c>
      <c r="E185" s="70">
        <v>13769973.972899999</v>
      </c>
      <c r="F185" s="70">
        <v>0</v>
      </c>
      <c r="G185" s="70">
        <v>143634144.3373</v>
      </c>
      <c r="H185" s="70">
        <v>29153484.471299998</v>
      </c>
      <c r="I185" s="70">
        <v>8136349.7699999996</v>
      </c>
      <c r="J185" s="70">
        <v>5596728.0833999999</v>
      </c>
      <c r="K185" s="70">
        <f t="shared" si="48"/>
        <v>2798364.0416999999</v>
      </c>
      <c r="L185" s="70">
        <f t="shared" si="49"/>
        <v>2798364.0416999999</v>
      </c>
      <c r="M185" s="70">
        <v>270389145.3197</v>
      </c>
      <c r="N185" s="75">
        <f t="shared" si="50"/>
        <v>467881461.91290003</v>
      </c>
      <c r="O185" s="74"/>
      <c r="P185" s="178"/>
      <c r="Q185" s="78">
        <v>2</v>
      </c>
      <c r="R185" s="178"/>
      <c r="S185" s="70" t="s">
        <v>489</v>
      </c>
      <c r="T185" s="70">
        <v>11885456.935000001</v>
      </c>
      <c r="U185" s="70">
        <v>0</v>
      </c>
      <c r="V185" s="70">
        <v>123976809.27169999</v>
      </c>
      <c r="W185" s="70">
        <v>25163626.661200002</v>
      </c>
      <c r="X185" s="70">
        <v>9262598.9682999998</v>
      </c>
      <c r="Y185" s="70">
        <v>4830776.7861000001</v>
      </c>
      <c r="Z185" s="70">
        <v>0</v>
      </c>
      <c r="AA185" s="70">
        <f t="shared" si="41"/>
        <v>4830776.7861000001</v>
      </c>
      <c r="AB185" s="70">
        <v>270258989.45319998</v>
      </c>
      <c r="AC185" s="75">
        <f t="shared" si="39"/>
        <v>445378258.07550001</v>
      </c>
    </row>
    <row r="186" spans="1:30" ht="24.95" customHeight="1">
      <c r="A186" s="183"/>
      <c r="B186" s="178"/>
      <c r="C186" s="66">
        <v>4</v>
      </c>
      <c r="D186" s="70" t="s">
        <v>490</v>
      </c>
      <c r="E186" s="70">
        <v>8884628.3301999997</v>
      </c>
      <c r="F186" s="70">
        <v>0</v>
      </c>
      <c r="G186" s="70">
        <v>92675265.071199998</v>
      </c>
      <c r="H186" s="70">
        <v>18810338.6809</v>
      </c>
      <c r="I186" s="70">
        <v>5068532.5665999996</v>
      </c>
      <c r="J186" s="70">
        <v>3611106.9624000001</v>
      </c>
      <c r="K186" s="70">
        <f t="shared" si="48"/>
        <v>1805553.4812</v>
      </c>
      <c r="L186" s="70">
        <f t="shared" si="49"/>
        <v>1805553.4812</v>
      </c>
      <c r="M186" s="70">
        <v>158813867.1841</v>
      </c>
      <c r="N186" s="75">
        <f t="shared" si="50"/>
        <v>286058185.31419998</v>
      </c>
      <c r="O186" s="74"/>
      <c r="P186" s="178"/>
      <c r="Q186" s="78">
        <v>3</v>
      </c>
      <c r="R186" s="178"/>
      <c r="S186" s="70" t="s">
        <v>491</v>
      </c>
      <c r="T186" s="70">
        <v>18268340.771499999</v>
      </c>
      <c r="U186" s="70">
        <v>0</v>
      </c>
      <c r="V186" s="70">
        <v>190556460.04319999</v>
      </c>
      <c r="W186" s="70">
        <v>38677327.207999997</v>
      </c>
      <c r="X186" s="70">
        <v>12808885.783399999</v>
      </c>
      <c r="Y186" s="70">
        <v>7425063.8405999998</v>
      </c>
      <c r="Z186" s="70">
        <v>0</v>
      </c>
      <c r="AA186" s="70">
        <f t="shared" si="41"/>
        <v>7425063.8405999998</v>
      </c>
      <c r="AB186" s="70">
        <v>399236014.97619998</v>
      </c>
      <c r="AC186" s="75">
        <f t="shared" si="39"/>
        <v>666972092.62290001</v>
      </c>
    </row>
    <row r="187" spans="1:30" ht="24.95" customHeight="1">
      <c r="A187" s="183"/>
      <c r="B187" s="178"/>
      <c r="C187" s="66">
        <v>5</v>
      </c>
      <c r="D187" s="70" t="s">
        <v>492</v>
      </c>
      <c r="E187" s="70">
        <v>10613324.6165</v>
      </c>
      <c r="F187" s="70">
        <v>0</v>
      </c>
      <c r="G187" s="70">
        <v>110707239.016</v>
      </c>
      <c r="H187" s="70">
        <v>22470296.240499999</v>
      </c>
      <c r="I187" s="70">
        <v>6011134.5162000004</v>
      </c>
      <c r="J187" s="70">
        <v>4313725.7961999997</v>
      </c>
      <c r="K187" s="70">
        <f t="shared" si="48"/>
        <v>2156862.8980999999</v>
      </c>
      <c r="L187" s="70">
        <f t="shared" si="49"/>
        <v>2156862.8980999999</v>
      </c>
      <c r="M187" s="70">
        <v>193095921.0749</v>
      </c>
      <c r="N187" s="75">
        <f t="shared" si="50"/>
        <v>345054778.36220002</v>
      </c>
      <c r="O187" s="74"/>
      <c r="P187" s="178"/>
      <c r="Q187" s="78">
        <v>4</v>
      </c>
      <c r="R187" s="178"/>
      <c r="S187" s="70" t="s">
        <v>493</v>
      </c>
      <c r="T187" s="70">
        <v>12011587.416099999</v>
      </c>
      <c r="U187" s="70">
        <v>0</v>
      </c>
      <c r="V187" s="70">
        <v>125292472.1596</v>
      </c>
      <c r="W187" s="70">
        <v>25430667.327199999</v>
      </c>
      <c r="X187" s="70">
        <v>8383982.0768999998</v>
      </c>
      <c r="Y187" s="70">
        <v>4882041.8070999999</v>
      </c>
      <c r="Z187" s="70">
        <v>0</v>
      </c>
      <c r="AA187" s="70">
        <f t="shared" si="41"/>
        <v>4882041.8070999999</v>
      </c>
      <c r="AB187" s="70">
        <v>238304046.40079999</v>
      </c>
      <c r="AC187" s="75">
        <f t="shared" si="39"/>
        <v>414304797.18770003</v>
      </c>
    </row>
    <row r="188" spans="1:30" ht="24.95" customHeight="1">
      <c r="A188" s="183"/>
      <c r="B188" s="178"/>
      <c r="C188" s="66">
        <v>6</v>
      </c>
      <c r="D188" s="70" t="s">
        <v>494</v>
      </c>
      <c r="E188" s="70">
        <v>12209842.74</v>
      </c>
      <c r="F188" s="70">
        <v>0</v>
      </c>
      <c r="G188" s="70">
        <v>127360466.9049</v>
      </c>
      <c r="H188" s="70">
        <v>25850409.116099998</v>
      </c>
      <c r="I188" s="70">
        <v>6824405.7844000002</v>
      </c>
      <c r="J188" s="70">
        <v>4962621.5628000004</v>
      </c>
      <c r="K188" s="70">
        <f t="shared" si="48"/>
        <v>2481310.7814000002</v>
      </c>
      <c r="L188" s="70">
        <f t="shared" si="49"/>
        <v>2481310.7814000002</v>
      </c>
      <c r="M188" s="70">
        <v>222674270.08939999</v>
      </c>
      <c r="N188" s="75">
        <f t="shared" si="50"/>
        <v>397400705.41619992</v>
      </c>
      <c r="O188" s="74"/>
      <c r="P188" s="178"/>
      <c r="Q188" s="78">
        <v>5</v>
      </c>
      <c r="R188" s="178"/>
      <c r="S188" s="70" t="s">
        <v>495</v>
      </c>
      <c r="T188" s="70">
        <v>10764528.3651</v>
      </c>
      <c r="U188" s="70">
        <v>0</v>
      </c>
      <c r="V188" s="70">
        <v>112284440.33140001</v>
      </c>
      <c r="W188" s="70">
        <v>22790421.4745</v>
      </c>
      <c r="X188" s="70">
        <v>8217428.3929000003</v>
      </c>
      <c r="Y188" s="70">
        <v>4375181.7050999999</v>
      </c>
      <c r="Z188" s="70">
        <v>0</v>
      </c>
      <c r="AA188" s="70">
        <f t="shared" si="41"/>
        <v>4375181.7050999999</v>
      </c>
      <c r="AB188" s="70">
        <v>232246555.88119999</v>
      </c>
      <c r="AC188" s="75">
        <f t="shared" si="39"/>
        <v>390678556.15020001</v>
      </c>
    </row>
    <row r="189" spans="1:30" ht="24.95" customHeight="1">
      <c r="A189" s="183"/>
      <c r="B189" s="178"/>
      <c r="C189" s="66">
        <v>7</v>
      </c>
      <c r="D189" s="70" t="s">
        <v>496</v>
      </c>
      <c r="E189" s="70">
        <v>13997940.871200001</v>
      </c>
      <c r="F189" s="70">
        <v>0</v>
      </c>
      <c r="G189" s="70">
        <v>146012059.53380001</v>
      </c>
      <c r="H189" s="70">
        <v>29636130.9483</v>
      </c>
      <c r="I189" s="70">
        <v>7042070.5018999996</v>
      </c>
      <c r="J189" s="70">
        <v>5689383.9406000003</v>
      </c>
      <c r="K189" s="70">
        <f t="shared" si="48"/>
        <v>2844691.9703000002</v>
      </c>
      <c r="L189" s="70">
        <f t="shared" si="49"/>
        <v>2844691.9703000002</v>
      </c>
      <c r="M189" s="70">
        <v>230590648.34400001</v>
      </c>
      <c r="N189" s="75">
        <f t="shared" si="50"/>
        <v>430123542.16949999</v>
      </c>
      <c r="O189" s="74"/>
      <c r="P189" s="178"/>
      <c r="Q189" s="78">
        <v>6</v>
      </c>
      <c r="R189" s="178"/>
      <c r="S189" s="70" t="s">
        <v>497</v>
      </c>
      <c r="T189" s="70">
        <v>8188305.3630999997</v>
      </c>
      <c r="U189" s="70">
        <v>0</v>
      </c>
      <c r="V189" s="70">
        <v>85411943.167799994</v>
      </c>
      <c r="W189" s="70">
        <v>17336099.089000002</v>
      </c>
      <c r="X189" s="70">
        <v>6758106.9874</v>
      </c>
      <c r="Y189" s="70">
        <v>3328090.4286000002</v>
      </c>
      <c r="Z189" s="70">
        <v>0</v>
      </c>
      <c r="AA189" s="70">
        <f t="shared" si="41"/>
        <v>3328090.4286000002</v>
      </c>
      <c r="AB189" s="70">
        <v>179171623.1489</v>
      </c>
      <c r="AC189" s="75">
        <f t="shared" si="39"/>
        <v>300194168.18480003</v>
      </c>
    </row>
    <row r="190" spans="1:30" ht="24.95" customHeight="1">
      <c r="A190" s="183"/>
      <c r="B190" s="178"/>
      <c r="C190" s="66">
        <v>8</v>
      </c>
      <c r="D190" s="70" t="s">
        <v>498</v>
      </c>
      <c r="E190" s="70">
        <v>11088524.013599999</v>
      </c>
      <c r="F190" s="70">
        <v>0</v>
      </c>
      <c r="G190" s="70">
        <v>115664028.2542</v>
      </c>
      <c r="H190" s="70">
        <v>23476377.898499999</v>
      </c>
      <c r="I190" s="70">
        <v>6955443.5897000004</v>
      </c>
      <c r="J190" s="70">
        <v>4506867.9050000003</v>
      </c>
      <c r="K190" s="70">
        <f t="shared" si="48"/>
        <v>2253433.9525000001</v>
      </c>
      <c r="L190" s="70">
        <f t="shared" si="49"/>
        <v>2253433.9525000001</v>
      </c>
      <c r="M190" s="70">
        <v>227440062.37630001</v>
      </c>
      <c r="N190" s="75">
        <f t="shared" si="50"/>
        <v>386877870.0848</v>
      </c>
      <c r="O190" s="74"/>
      <c r="P190" s="178"/>
      <c r="Q190" s="78">
        <v>7</v>
      </c>
      <c r="R190" s="178"/>
      <c r="S190" s="70" t="s">
        <v>499</v>
      </c>
      <c r="T190" s="70">
        <v>7976856.3981999997</v>
      </c>
      <c r="U190" s="70">
        <v>0</v>
      </c>
      <c r="V190" s="70">
        <v>83206325.989299998</v>
      </c>
      <c r="W190" s="70">
        <v>16888424.0152</v>
      </c>
      <c r="X190" s="70">
        <v>6819139.8764000004</v>
      </c>
      <c r="Y190" s="70">
        <v>3242148.1921000001</v>
      </c>
      <c r="Z190" s="70">
        <v>0</v>
      </c>
      <c r="AA190" s="70">
        <f t="shared" si="41"/>
        <v>3242148.1921000001</v>
      </c>
      <c r="AB190" s="70">
        <v>181391364.78119999</v>
      </c>
      <c r="AC190" s="75">
        <f t="shared" si="39"/>
        <v>299524259.25239998</v>
      </c>
    </row>
    <row r="191" spans="1:30" ht="24.95" customHeight="1">
      <c r="A191" s="183"/>
      <c r="B191" s="178"/>
      <c r="C191" s="66">
        <v>9</v>
      </c>
      <c r="D191" s="70" t="s">
        <v>500</v>
      </c>
      <c r="E191" s="70">
        <v>11818999.824200001</v>
      </c>
      <c r="F191" s="70">
        <v>0</v>
      </c>
      <c r="G191" s="70">
        <v>123283597.3407</v>
      </c>
      <c r="H191" s="70">
        <v>25022925.135299999</v>
      </c>
      <c r="I191" s="70">
        <v>7112524.6612999998</v>
      </c>
      <c r="J191" s="70">
        <v>4803765.6689999998</v>
      </c>
      <c r="K191" s="70">
        <f t="shared" si="48"/>
        <v>2401882.8344999999</v>
      </c>
      <c r="L191" s="70">
        <f t="shared" si="49"/>
        <v>2401882.8344999999</v>
      </c>
      <c r="M191" s="70">
        <v>233153037.79080001</v>
      </c>
      <c r="N191" s="75">
        <f t="shared" si="50"/>
        <v>402792967.58679998</v>
      </c>
      <c r="O191" s="74"/>
      <c r="P191" s="178"/>
      <c r="Q191" s="78">
        <v>8</v>
      </c>
      <c r="R191" s="178"/>
      <c r="S191" s="70" t="s">
        <v>501</v>
      </c>
      <c r="T191" s="70">
        <v>17911692.992400002</v>
      </c>
      <c r="U191" s="70">
        <v>0</v>
      </c>
      <c r="V191" s="70">
        <v>186836278.82390001</v>
      </c>
      <c r="W191" s="70">
        <v>37922240.414999999</v>
      </c>
      <c r="X191" s="70">
        <v>12786706.0079</v>
      </c>
      <c r="Y191" s="70">
        <v>7280106.3668999998</v>
      </c>
      <c r="Z191" s="70">
        <v>0</v>
      </c>
      <c r="AA191" s="70">
        <f t="shared" si="41"/>
        <v>7280106.3668999998</v>
      </c>
      <c r="AB191" s="70">
        <v>398429345.4619</v>
      </c>
      <c r="AC191" s="75">
        <f t="shared" si="39"/>
        <v>661166370.06799996</v>
      </c>
    </row>
    <row r="192" spans="1:30" ht="24.95" customHeight="1">
      <c r="A192" s="183"/>
      <c r="B192" s="178"/>
      <c r="C192" s="66">
        <v>10</v>
      </c>
      <c r="D192" s="70" t="s">
        <v>502</v>
      </c>
      <c r="E192" s="70">
        <v>9254737.4649</v>
      </c>
      <c r="F192" s="70">
        <v>0</v>
      </c>
      <c r="G192" s="70">
        <v>96535861.247500002</v>
      </c>
      <c r="H192" s="70">
        <v>19593925.558400001</v>
      </c>
      <c r="I192" s="70">
        <v>5682211.5269999998</v>
      </c>
      <c r="J192" s="70">
        <v>3761535.7280999999</v>
      </c>
      <c r="K192" s="70">
        <f t="shared" si="48"/>
        <v>1880767.86405</v>
      </c>
      <c r="L192" s="70">
        <f t="shared" si="49"/>
        <v>1880767.86405</v>
      </c>
      <c r="M192" s="70">
        <v>181133124.21489999</v>
      </c>
      <c r="N192" s="75">
        <f t="shared" si="50"/>
        <v>314080627.87674999</v>
      </c>
      <c r="O192" s="74"/>
      <c r="P192" s="178"/>
      <c r="Q192" s="78">
        <v>9</v>
      </c>
      <c r="R192" s="178"/>
      <c r="S192" s="70" t="s">
        <v>503</v>
      </c>
      <c r="T192" s="70">
        <v>10659684.612199999</v>
      </c>
      <c r="U192" s="70">
        <v>0</v>
      </c>
      <c r="V192" s="70">
        <v>111190818.6021</v>
      </c>
      <c r="W192" s="70">
        <v>22568448.5984</v>
      </c>
      <c r="X192" s="70">
        <v>7464573.9086999996</v>
      </c>
      <c r="Y192" s="70">
        <v>4332568.5544999996</v>
      </c>
      <c r="Z192" s="70">
        <v>0</v>
      </c>
      <c r="AA192" s="70">
        <f t="shared" si="41"/>
        <v>4332568.5544999996</v>
      </c>
      <c r="AB192" s="70">
        <v>204865541.01249999</v>
      </c>
      <c r="AC192" s="75">
        <f t="shared" si="39"/>
        <v>361081635.28839999</v>
      </c>
    </row>
    <row r="193" spans="1:29" ht="24.95" customHeight="1">
      <c r="A193" s="183"/>
      <c r="B193" s="178"/>
      <c r="C193" s="66">
        <v>11</v>
      </c>
      <c r="D193" s="70" t="s">
        <v>504</v>
      </c>
      <c r="E193" s="70">
        <v>12627958.774700001</v>
      </c>
      <c r="F193" s="70">
        <v>0</v>
      </c>
      <c r="G193" s="70">
        <v>131721821.471</v>
      </c>
      <c r="H193" s="70">
        <v>26735635.140900001</v>
      </c>
      <c r="I193" s="70">
        <v>6737124.2607000005</v>
      </c>
      <c r="J193" s="70">
        <v>5132562.4615000002</v>
      </c>
      <c r="K193" s="70">
        <f t="shared" si="48"/>
        <v>2566281.2307500001</v>
      </c>
      <c r="L193" s="70">
        <f t="shared" si="49"/>
        <v>2566281.2307500001</v>
      </c>
      <c r="M193" s="70">
        <v>219499876.16729999</v>
      </c>
      <c r="N193" s="75">
        <f t="shared" si="50"/>
        <v>399888697.04534996</v>
      </c>
      <c r="O193" s="74"/>
      <c r="P193" s="178"/>
      <c r="Q193" s="78">
        <v>10</v>
      </c>
      <c r="R193" s="178"/>
      <c r="S193" s="70" t="s">
        <v>505</v>
      </c>
      <c r="T193" s="70">
        <v>13318233.6074</v>
      </c>
      <c r="U193" s="70">
        <v>0</v>
      </c>
      <c r="V193" s="70">
        <v>138922055.48379999</v>
      </c>
      <c r="W193" s="70">
        <v>28197069.756299999</v>
      </c>
      <c r="X193" s="70">
        <v>9699751.0469000004</v>
      </c>
      <c r="Y193" s="70">
        <v>5413120.7653999999</v>
      </c>
      <c r="Z193" s="70">
        <v>0</v>
      </c>
      <c r="AA193" s="70">
        <f t="shared" si="41"/>
        <v>5413120.7653999999</v>
      </c>
      <c r="AB193" s="70">
        <v>286158034.7766</v>
      </c>
      <c r="AC193" s="75">
        <f t="shared" si="39"/>
        <v>481708265.4364</v>
      </c>
    </row>
    <row r="194" spans="1:29" ht="24.95" customHeight="1">
      <c r="A194" s="183"/>
      <c r="B194" s="178"/>
      <c r="C194" s="66">
        <v>12</v>
      </c>
      <c r="D194" s="70" t="s">
        <v>506</v>
      </c>
      <c r="E194" s="70">
        <v>10897673.577199999</v>
      </c>
      <c r="F194" s="70">
        <v>0</v>
      </c>
      <c r="G194" s="70">
        <v>113673273.6468</v>
      </c>
      <c r="H194" s="70">
        <v>23072313.573800001</v>
      </c>
      <c r="I194" s="70">
        <v>6068920.0191000002</v>
      </c>
      <c r="J194" s="70">
        <v>4429297.8239000002</v>
      </c>
      <c r="K194" s="70">
        <f t="shared" si="48"/>
        <v>2214648.9119500001</v>
      </c>
      <c r="L194" s="70">
        <f t="shared" si="49"/>
        <v>2214648.9119500001</v>
      </c>
      <c r="M194" s="70">
        <v>195197556.58039999</v>
      </c>
      <c r="N194" s="75">
        <f t="shared" si="50"/>
        <v>351124386.30925</v>
      </c>
      <c r="O194" s="74"/>
      <c r="P194" s="178"/>
      <c r="Q194" s="78">
        <v>11</v>
      </c>
      <c r="R194" s="178"/>
      <c r="S194" s="70" t="s">
        <v>507</v>
      </c>
      <c r="T194" s="70">
        <v>10275023.0562</v>
      </c>
      <c r="U194" s="70">
        <v>0</v>
      </c>
      <c r="V194" s="70">
        <v>107178426.59909999</v>
      </c>
      <c r="W194" s="70">
        <v>21754051.656199999</v>
      </c>
      <c r="X194" s="70">
        <v>8027231.6842999998</v>
      </c>
      <c r="Y194" s="70">
        <v>4176225.0394000001</v>
      </c>
      <c r="Z194" s="70">
        <v>0</v>
      </c>
      <c r="AA194" s="70">
        <f t="shared" si="41"/>
        <v>4176225.0394000001</v>
      </c>
      <c r="AB194" s="70">
        <v>225329178.06690001</v>
      </c>
      <c r="AC194" s="75">
        <f t="shared" si="39"/>
        <v>376740136.10210001</v>
      </c>
    </row>
    <row r="195" spans="1:29" ht="24.95" customHeight="1">
      <c r="A195" s="183"/>
      <c r="B195" s="178"/>
      <c r="C195" s="66">
        <v>13</v>
      </c>
      <c r="D195" s="70" t="s">
        <v>508</v>
      </c>
      <c r="E195" s="70">
        <v>12010882.9058</v>
      </c>
      <c r="F195" s="70">
        <v>0</v>
      </c>
      <c r="G195" s="70">
        <v>125285123.43619999</v>
      </c>
      <c r="H195" s="70">
        <v>25429175.753699999</v>
      </c>
      <c r="I195" s="70">
        <v>6866262.4093000004</v>
      </c>
      <c r="J195" s="70">
        <v>4881755.4628999997</v>
      </c>
      <c r="K195" s="70">
        <f t="shared" si="48"/>
        <v>2440877.7314499998</v>
      </c>
      <c r="L195" s="70">
        <f t="shared" si="49"/>
        <v>2440877.7314499998</v>
      </c>
      <c r="M195" s="70">
        <v>224196578.70410001</v>
      </c>
      <c r="N195" s="75">
        <f t="shared" si="50"/>
        <v>396228900.94054997</v>
      </c>
      <c r="O195" s="74"/>
      <c r="P195" s="178"/>
      <c r="Q195" s="78">
        <v>12</v>
      </c>
      <c r="R195" s="178"/>
      <c r="S195" s="70" t="s">
        <v>509</v>
      </c>
      <c r="T195" s="70">
        <v>9283033.8707999997</v>
      </c>
      <c r="U195" s="70">
        <v>0</v>
      </c>
      <c r="V195" s="70">
        <v>96831020.124300003</v>
      </c>
      <c r="W195" s="70">
        <v>19653834.083500002</v>
      </c>
      <c r="X195" s="70">
        <v>7574176.3986</v>
      </c>
      <c r="Y195" s="70">
        <v>3773036.6422999999</v>
      </c>
      <c r="Z195" s="70">
        <v>0</v>
      </c>
      <c r="AA195" s="70">
        <f t="shared" si="41"/>
        <v>3773036.6422999999</v>
      </c>
      <c r="AB195" s="70">
        <v>208851739.498</v>
      </c>
      <c r="AC195" s="75">
        <f t="shared" si="39"/>
        <v>345966840.61750001</v>
      </c>
    </row>
    <row r="196" spans="1:29" ht="24.95" customHeight="1">
      <c r="A196" s="183"/>
      <c r="B196" s="178"/>
      <c r="C196" s="66">
        <v>14</v>
      </c>
      <c r="D196" s="70" t="s">
        <v>510</v>
      </c>
      <c r="E196" s="70">
        <v>11371140.2674</v>
      </c>
      <c r="F196" s="70">
        <v>0</v>
      </c>
      <c r="G196" s="70">
        <v>118611989.0759</v>
      </c>
      <c r="H196" s="70">
        <v>24074726.783</v>
      </c>
      <c r="I196" s="70">
        <v>6707897.7857999997</v>
      </c>
      <c r="J196" s="70">
        <v>4621735.6837999998</v>
      </c>
      <c r="K196" s="70">
        <f t="shared" si="48"/>
        <v>2310867.8418999999</v>
      </c>
      <c r="L196" s="70">
        <f t="shared" si="49"/>
        <v>2310867.8418999999</v>
      </c>
      <c r="M196" s="70">
        <v>218436921.02599999</v>
      </c>
      <c r="N196" s="75">
        <f t="shared" si="50"/>
        <v>381513542.77999997</v>
      </c>
      <c r="O196" s="74"/>
      <c r="P196" s="178"/>
      <c r="Q196" s="78">
        <v>13</v>
      </c>
      <c r="R196" s="178"/>
      <c r="S196" s="70" t="s">
        <v>511</v>
      </c>
      <c r="T196" s="70">
        <v>8371049.8685999997</v>
      </c>
      <c r="U196" s="70">
        <v>0</v>
      </c>
      <c r="V196" s="70">
        <v>87318145.077999994</v>
      </c>
      <c r="W196" s="70">
        <v>17723001.7161</v>
      </c>
      <c r="X196" s="70">
        <v>6918268.5833999999</v>
      </c>
      <c r="Y196" s="70">
        <v>3402365.8999000001</v>
      </c>
      <c r="Z196" s="70">
        <v>0</v>
      </c>
      <c r="AA196" s="70">
        <f t="shared" si="41"/>
        <v>3402365.8999000001</v>
      </c>
      <c r="AB196" s="70">
        <v>184996635.99599999</v>
      </c>
      <c r="AC196" s="75">
        <f t="shared" si="39"/>
        <v>308729467.14199996</v>
      </c>
    </row>
    <row r="197" spans="1:29" ht="24.95" customHeight="1">
      <c r="A197" s="183"/>
      <c r="B197" s="178"/>
      <c r="C197" s="66">
        <v>15</v>
      </c>
      <c r="D197" s="70" t="s">
        <v>512</v>
      </c>
      <c r="E197" s="70">
        <v>12898229.7699</v>
      </c>
      <c r="F197" s="70">
        <v>0</v>
      </c>
      <c r="G197" s="70">
        <v>134541009.30829999</v>
      </c>
      <c r="H197" s="70">
        <v>27307846.916999999</v>
      </c>
      <c r="I197" s="70">
        <v>7122972.7730999999</v>
      </c>
      <c r="J197" s="70">
        <v>5242412.5798000004</v>
      </c>
      <c r="K197" s="70">
        <f t="shared" si="48"/>
        <v>2621206.2899000002</v>
      </c>
      <c r="L197" s="70">
        <f t="shared" si="49"/>
        <v>2621206.2899000002</v>
      </c>
      <c r="M197" s="70">
        <v>233533031.41620001</v>
      </c>
      <c r="N197" s="75">
        <f t="shared" si="50"/>
        <v>418024296.47439998</v>
      </c>
      <c r="O197" s="74"/>
      <c r="P197" s="178"/>
      <c r="Q197" s="78">
        <v>14</v>
      </c>
      <c r="R197" s="178"/>
      <c r="S197" s="70" t="s">
        <v>513</v>
      </c>
      <c r="T197" s="70">
        <v>9623584.8992999997</v>
      </c>
      <c r="U197" s="70">
        <v>0</v>
      </c>
      <c r="V197" s="70">
        <v>100383296.67030001</v>
      </c>
      <c r="W197" s="70">
        <v>20374841.192200001</v>
      </c>
      <c r="X197" s="70">
        <v>7105448.9452</v>
      </c>
      <c r="Y197" s="70">
        <v>3911451.6828999999</v>
      </c>
      <c r="Z197" s="70">
        <v>0</v>
      </c>
      <c r="AA197" s="70">
        <f t="shared" si="41"/>
        <v>3911451.6828999999</v>
      </c>
      <c r="AB197" s="70">
        <v>191804310.491</v>
      </c>
      <c r="AC197" s="75">
        <f t="shared" si="39"/>
        <v>333202933.88090003</v>
      </c>
    </row>
    <row r="198" spans="1:29" ht="24.95" customHeight="1">
      <c r="A198" s="183"/>
      <c r="B198" s="178"/>
      <c r="C198" s="66">
        <v>16</v>
      </c>
      <c r="D198" s="70" t="s">
        <v>514</v>
      </c>
      <c r="E198" s="70">
        <v>12122123.3016</v>
      </c>
      <c r="F198" s="70">
        <v>1E-4</v>
      </c>
      <c r="G198" s="70">
        <v>126445468.33679999</v>
      </c>
      <c r="H198" s="70">
        <v>25664691.4606</v>
      </c>
      <c r="I198" s="70">
        <v>6859292.7229000004</v>
      </c>
      <c r="J198" s="70">
        <v>4926968.4929999998</v>
      </c>
      <c r="K198" s="70">
        <f t="shared" si="48"/>
        <v>2463484.2464999999</v>
      </c>
      <c r="L198" s="70">
        <f t="shared" si="49"/>
        <v>2463484.2464999999</v>
      </c>
      <c r="M198" s="70">
        <v>223943094.01300001</v>
      </c>
      <c r="N198" s="75">
        <f t="shared" si="50"/>
        <v>397498154.08149999</v>
      </c>
      <c r="O198" s="74"/>
      <c r="P198" s="178"/>
      <c r="Q198" s="78">
        <v>15</v>
      </c>
      <c r="R198" s="178"/>
      <c r="S198" s="70" t="s">
        <v>515</v>
      </c>
      <c r="T198" s="70">
        <v>10079917.379699999</v>
      </c>
      <c r="U198" s="70">
        <v>0</v>
      </c>
      <c r="V198" s="70">
        <v>105143285.72229999</v>
      </c>
      <c r="W198" s="70">
        <v>21340978.2313</v>
      </c>
      <c r="X198" s="70">
        <v>7980946.8057000004</v>
      </c>
      <c r="Y198" s="70">
        <v>4096925.44</v>
      </c>
      <c r="Z198" s="70">
        <v>0</v>
      </c>
      <c r="AA198" s="70">
        <f t="shared" si="41"/>
        <v>4096925.44</v>
      </c>
      <c r="AB198" s="70">
        <v>223645815.64289999</v>
      </c>
      <c r="AC198" s="75">
        <f t="shared" si="39"/>
        <v>372287869.22189999</v>
      </c>
    </row>
    <row r="199" spans="1:29" ht="24.95" customHeight="1">
      <c r="A199" s="183"/>
      <c r="B199" s="178"/>
      <c r="C199" s="66">
        <v>17</v>
      </c>
      <c r="D199" s="70" t="s">
        <v>516</v>
      </c>
      <c r="E199" s="70">
        <v>12169911.458900001</v>
      </c>
      <c r="F199" s="70">
        <v>0</v>
      </c>
      <c r="G199" s="70">
        <v>126943945.02850001</v>
      </c>
      <c r="H199" s="70">
        <v>25765867.490499999</v>
      </c>
      <c r="I199" s="70">
        <v>7174391.8590000002</v>
      </c>
      <c r="J199" s="70">
        <v>4946391.7193999998</v>
      </c>
      <c r="K199" s="70">
        <f t="shared" si="48"/>
        <v>2473195.8596999999</v>
      </c>
      <c r="L199" s="70">
        <f t="shared" si="49"/>
        <v>2473195.8596999999</v>
      </c>
      <c r="M199" s="70">
        <v>235403122.8944</v>
      </c>
      <c r="N199" s="75">
        <f t="shared" si="50"/>
        <v>409930434.59099996</v>
      </c>
      <c r="O199" s="74"/>
      <c r="P199" s="178"/>
      <c r="Q199" s="78">
        <v>16</v>
      </c>
      <c r="R199" s="178"/>
      <c r="S199" s="70" t="s">
        <v>517</v>
      </c>
      <c r="T199" s="70">
        <v>12221930.1425</v>
      </c>
      <c r="U199" s="70">
        <v>0</v>
      </c>
      <c r="V199" s="70">
        <v>127486550.2017</v>
      </c>
      <c r="W199" s="70">
        <v>25876000.297499999</v>
      </c>
      <c r="X199" s="70">
        <v>8987572.3200000003</v>
      </c>
      <c r="Y199" s="70">
        <v>4967534.4193000002</v>
      </c>
      <c r="Z199" s="70">
        <v>0</v>
      </c>
      <c r="AA199" s="70">
        <f t="shared" si="41"/>
        <v>4967534.4193000002</v>
      </c>
      <c r="AB199" s="70">
        <v>260256380.84009999</v>
      </c>
      <c r="AC199" s="75">
        <f t="shared" ref="AC199:AC262" si="52">T199+U199+V199+W199+X199+AA199+AB199</f>
        <v>439795968.22109997</v>
      </c>
    </row>
    <row r="200" spans="1:29" ht="24.95" customHeight="1">
      <c r="A200" s="183"/>
      <c r="B200" s="179"/>
      <c r="C200" s="66">
        <v>18</v>
      </c>
      <c r="D200" s="70" t="s">
        <v>518</v>
      </c>
      <c r="E200" s="70">
        <v>13420838.8071</v>
      </c>
      <c r="F200" s="70">
        <v>0</v>
      </c>
      <c r="G200" s="70">
        <v>139992326.9382</v>
      </c>
      <c r="H200" s="70">
        <v>28414303.216800001</v>
      </c>
      <c r="I200" s="70">
        <v>7359133.4724000003</v>
      </c>
      <c r="J200" s="70">
        <v>5454824.0687999995</v>
      </c>
      <c r="K200" s="70">
        <f t="shared" si="48"/>
        <v>2727412.0343999998</v>
      </c>
      <c r="L200" s="70">
        <f t="shared" si="49"/>
        <v>2727412.0343999998</v>
      </c>
      <c r="M200" s="70">
        <v>242122101.0887</v>
      </c>
      <c r="N200" s="75">
        <f t="shared" si="50"/>
        <v>434036115.55760002</v>
      </c>
      <c r="O200" s="74"/>
      <c r="P200" s="178"/>
      <c r="Q200" s="78">
        <v>17</v>
      </c>
      <c r="R200" s="178"/>
      <c r="S200" s="70" t="s">
        <v>519</v>
      </c>
      <c r="T200" s="70">
        <v>10260066.272299999</v>
      </c>
      <c r="U200" s="70">
        <v>0</v>
      </c>
      <c r="V200" s="70">
        <v>107022412.8795</v>
      </c>
      <c r="W200" s="70">
        <v>21722385.484000001</v>
      </c>
      <c r="X200" s="70">
        <v>7454985.7766000004</v>
      </c>
      <c r="Y200" s="70">
        <v>4170145.9391000001</v>
      </c>
      <c r="Z200" s="70">
        <v>0</v>
      </c>
      <c r="AA200" s="70">
        <f t="shared" si="41"/>
        <v>4170145.9391000001</v>
      </c>
      <c r="AB200" s="70">
        <v>204516824.50369999</v>
      </c>
      <c r="AC200" s="75">
        <f t="shared" si="52"/>
        <v>355146820.85519999</v>
      </c>
    </row>
    <row r="201" spans="1:29" ht="24.95" customHeight="1">
      <c r="A201" s="66"/>
      <c r="B201" s="190" t="s">
        <v>520</v>
      </c>
      <c r="C201" s="191"/>
      <c r="D201" s="71"/>
      <c r="E201" s="71">
        <f t="shared" ref="E201:N201" si="53">SUM(E183:E200)</f>
        <v>214984429.1911</v>
      </c>
      <c r="F201" s="71">
        <f t="shared" si="53"/>
        <v>1E-4</v>
      </c>
      <c r="G201" s="71">
        <f t="shared" si="53"/>
        <v>2242495490.0763001</v>
      </c>
      <c r="H201" s="71">
        <f t="shared" si="53"/>
        <v>455160280.6451</v>
      </c>
      <c r="I201" s="71">
        <f t="shared" si="53"/>
        <v>120832753.23169999</v>
      </c>
      <c r="J201" s="71">
        <f t="shared" si="53"/>
        <v>87379205.997199997</v>
      </c>
      <c r="K201" s="71">
        <f t="shared" si="53"/>
        <v>43689602.998599999</v>
      </c>
      <c r="L201" s="71">
        <f t="shared" si="53"/>
        <v>43689602.998599999</v>
      </c>
      <c r="M201" s="71">
        <f t="shared" si="53"/>
        <v>3935159412.6307006</v>
      </c>
      <c r="N201" s="71">
        <f t="shared" si="53"/>
        <v>7012321968.7735996</v>
      </c>
      <c r="O201" s="74"/>
      <c r="P201" s="178"/>
      <c r="Q201" s="78">
        <v>18</v>
      </c>
      <c r="R201" s="178"/>
      <c r="S201" s="70" t="s">
        <v>521</v>
      </c>
      <c r="T201" s="70">
        <v>9535664.2737000007</v>
      </c>
      <c r="U201" s="70">
        <v>0</v>
      </c>
      <c r="V201" s="70">
        <v>99466199.524200007</v>
      </c>
      <c r="W201" s="70">
        <v>20188697.587400001</v>
      </c>
      <c r="X201" s="70">
        <v>7681840.7252000002</v>
      </c>
      <c r="Y201" s="70">
        <v>3875716.8415000001</v>
      </c>
      <c r="Z201" s="70">
        <v>0</v>
      </c>
      <c r="AA201" s="70">
        <f t="shared" si="41"/>
        <v>3875716.8415000001</v>
      </c>
      <c r="AB201" s="70">
        <v>212767447.76539999</v>
      </c>
      <c r="AC201" s="75">
        <f t="shared" si="52"/>
        <v>353515566.71740001</v>
      </c>
    </row>
    <row r="202" spans="1:29" ht="24.95" customHeight="1">
      <c r="A202" s="183">
        <v>10</v>
      </c>
      <c r="B202" s="177" t="s">
        <v>522</v>
      </c>
      <c r="C202" s="66">
        <v>1</v>
      </c>
      <c r="D202" s="70" t="s">
        <v>523</v>
      </c>
      <c r="E202" s="70">
        <v>9398092.5096000005</v>
      </c>
      <c r="F202" s="70">
        <v>0</v>
      </c>
      <c r="G202" s="70">
        <v>98031192.991099998</v>
      </c>
      <c r="H202" s="70">
        <v>19897433.6899</v>
      </c>
      <c r="I202" s="70">
        <v>7415915.6579999998</v>
      </c>
      <c r="J202" s="70">
        <v>3819801.5756999999</v>
      </c>
      <c r="K202" s="70">
        <f t="shared" ref="K202:K226" si="54">J202/2</f>
        <v>1909900.78785</v>
      </c>
      <c r="L202" s="70">
        <f t="shared" ref="L202:L226" si="55">J202-K202</f>
        <v>1909900.78785</v>
      </c>
      <c r="M202" s="85">
        <v>213844571.30689999</v>
      </c>
      <c r="N202" s="75">
        <f t="shared" ref="N202:N226" si="56">E202+F202+G202+H202+I202+L202+M202</f>
        <v>350497106.94334996</v>
      </c>
      <c r="O202" s="74"/>
      <c r="P202" s="178"/>
      <c r="Q202" s="78">
        <v>19</v>
      </c>
      <c r="R202" s="178"/>
      <c r="S202" s="70" t="s">
        <v>524</v>
      </c>
      <c r="T202" s="70">
        <v>9057376.3202999998</v>
      </c>
      <c r="U202" s="70">
        <v>0</v>
      </c>
      <c r="V202" s="70">
        <v>94477193.658199996</v>
      </c>
      <c r="W202" s="70">
        <v>19176076.906399999</v>
      </c>
      <c r="X202" s="70">
        <v>6986309.6653000005</v>
      </c>
      <c r="Y202" s="70">
        <v>3681319.4065</v>
      </c>
      <c r="Z202" s="70">
        <v>0</v>
      </c>
      <c r="AA202" s="70">
        <f t="shared" si="41"/>
        <v>3681319.4065</v>
      </c>
      <c r="AB202" s="70">
        <v>187471262.78729999</v>
      </c>
      <c r="AC202" s="75">
        <f t="shared" si="52"/>
        <v>320849538.74399996</v>
      </c>
    </row>
    <row r="203" spans="1:29" ht="24.95" customHeight="1">
      <c r="A203" s="183"/>
      <c r="B203" s="178"/>
      <c r="C203" s="66">
        <v>2</v>
      </c>
      <c r="D203" s="70" t="s">
        <v>525</v>
      </c>
      <c r="E203" s="70">
        <v>10243547.946599999</v>
      </c>
      <c r="F203" s="70">
        <v>0</v>
      </c>
      <c r="G203" s="70">
        <v>106850110.76880001</v>
      </c>
      <c r="H203" s="70">
        <v>21687413.25</v>
      </c>
      <c r="I203" s="70">
        <v>7876620.9124999996</v>
      </c>
      <c r="J203" s="70">
        <v>4163432.159</v>
      </c>
      <c r="K203" s="70">
        <f t="shared" si="54"/>
        <v>2081716.0795</v>
      </c>
      <c r="L203" s="70">
        <f t="shared" si="55"/>
        <v>2081716.0795</v>
      </c>
      <c r="M203" s="85">
        <v>230600236.16670001</v>
      </c>
      <c r="N203" s="75">
        <f t="shared" si="56"/>
        <v>379339645.12409997</v>
      </c>
      <c r="O203" s="74"/>
      <c r="P203" s="179"/>
      <c r="Q203" s="78">
        <v>20</v>
      </c>
      <c r="R203" s="179"/>
      <c r="S203" s="70" t="s">
        <v>526</v>
      </c>
      <c r="T203" s="70">
        <v>12284795.581700001</v>
      </c>
      <c r="U203" s="70">
        <v>0</v>
      </c>
      <c r="V203" s="70">
        <v>128142297.5235</v>
      </c>
      <c r="W203" s="70">
        <v>26009097.6153</v>
      </c>
      <c r="X203" s="70">
        <v>9302825.4823000003</v>
      </c>
      <c r="Y203" s="70">
        <v>4993085.7215999998</v>
      </c>
      <c r="Z203" s="70">
        <v>0</v>
      </c>
      <c r="AA203" s="70">
        <f t="shared" si="41"/>
        <v>4993085.7215999998</v>
      </c>
      <c r="AB203" s="70">
        <v>271722011.59320003</v>
      </c>
      <c r="AC203" s="75">
        <f t="shared" si="52"/>
        <v>452454113.51760006</v>
      </c>
    </row>
    <row r="204" spans="1:29" ht="24.95" customHeight="1">
      <c r="A204" s="183"/>
      <c r="B204" s="178"/>
      <c r="C204" s="66">
        <v>3</v>
      </c>
      <c r="D204" s="70" t="s">
        <v>527</v>
      </c>
      <c r="E204" s="70">
        <v>8756545.4405000005</v>
      </c>
      <c r="F204" s="70">
        <v>0</v>
      </c>
      <c r="G204" s="70">
        <v>91339236.672800004</v>
      </c>
      <c r="H204" s="70">
        <v>18539164.418299999</v>
      </c>
      <c r="I204" s="70">
        <v>7184016.3508000001</v>
      </c>
      <c r="J204" s="70">
        <v>3559048.3960000002</v>
      </c>
      <c r="K204" s="70">
        <f t="shared" si="54"/>
        <v>1779524.1980000001</v>
      </c>
      <c r="L204" s="70">
        <f t="shared" si="55"/>
        <v>1779524.1980000001</v>
      </c>
      <c r="M204" s="85">
        <v>205410486.74950001</v>
      </c>
      <c r="N204" s="75">
        <f t="shared" si="56"/>
        <v>333008973.82990003</v>
      </c>
      <c r="O204" s="74"/>
      <c r="P204" s="66"/>
      <c r="Q204" s="191" t="s">
        <v>528</v>
      </c>
      <c r="R204" s="192"/>
      <c r="S204" s="71"/>
      <c r="T204" s="71">
        <f t="shared" ref="T204:Z204" si="57">SUM(T184:T203)</f>
        <v>223490172.73320004</v>
      </c>
      <c r="U204" s="71">
        <f t="shared" si="57"/>
        <v>0</v>
      </c>
      <c r="V204" s="71">
        <f t="shared" si="57"/>
        <v>2331218620.4158998</v>
      </c>
      <c r="W204" s="71">
        <f t="shared" si="57"/>
        <v>473168452.82840008</v>
      </c>
      <c r="X204" s="71">
        <f t="shared" si="57"/>
        <v>168855092.62370002</v>
      </c>
      <c r="Y204" s="71">
        <f t="shared" si="57"/>
        <v>90836317.379399985</v>
      </c>
      <c r="Z204" s="71">
        <f t="shared" si="57"/>
        <v>0</v>
      </c>
      <c r="AA204" s="71">
        <f t="shared" si="41"/>
        <v>90836317.379399985</v>
      </c>
      <c r="AB204" s="71">
        <f>SUM(AB184:AB203)</f>
        <v>4808831611.3399992</v>
      </c>
      <c r="AC204" s="71">
        <f>SUM(AC184:AC203)</f>
        <v>8096400267.3206015</v>
      </c>
    </row>
    <row r="205" spans="1:29" ht="33.75" customHeight="1">
      <c r="A205" s="183"/>
      <c r="B205" s="178"/>
      <c r="C205" s="66">
        <v>4</v>
      </c>
      <c r="D205" s="70" t="s">
        <v>529</v>
      </c>
      <c r="E205" s="70">
        <v>12584739.153000001</v>
      </c>
      <c r="F205" s="70">
        <v>0</v>
      </c>
      <c r="G205" s="70">
        <v>131270999.0238</v>
      </c>
      <c r="H205" s="70">
        <v>26644131.513599999</v>
      </c>
      <c r="I205" s="70">
        <v>8763067.4699000008</v>
      </c>
      <c r="J205" s="70">
        <v>5114996.0906999996</v>
      </c>
      <c r="K205" s="70">
        <f t="shared" si="54"/>
        <v>2557498.0453499998</v>
      </c>
      <c r="L205" s="70">
        <f t="shared" si="55"/>
        <v>2557498.0453499998</v>
      </c>
      <c r="M205" s="85">
        <v>262839941.02669999</v>
      </c>
      <c r="N205" s="75">
        <f t="shared" si="56"/>
        <v>444660376.23234999</v>
      </c>
      <c r="O205" s="74"/>
      <c r="P205" s="177">
        <v>28</v>
      </c>
      <c r="Q205" s="78">
        <v>1</v>
      </c>
      <c r="R205" s="184" t="s">
        <v>113</v>
      </c>
      <c r="S205" s="79" t="s">
        <v>530</v>
      </c>
      <c r="T205" s="70">
        <v>11841555.322799999</v>
      </c>
      <c r="U205" s="70">
        <v>0</v>
      </c>
      <c r="V205" s="70">
        <v>123518873.0029</v>
      </c>
      <c r="W205" s="70">
        <v>25070679.138300002</v>
      </c>
      <c r="X205" s="70">
        <v>7373346.6335000005</v>
      </c>
      <c r="Y205" s="70">
        <v>4812933.2240000004</v>
      </c>
      <c r="Z205" s="70">
        <f t="shared" ref="Z205:Z222" si="58">Y205/2</f>
        <v>2406466.6120000002</v>
      </c>
      <c r="AA205" s="70">
        <f t="shared" si="41"/>
        <v>2406466.6120000002</v>
      </c>
      <c r="AB205" s="70">
        <v>230020355.41800001</v>
      </c>
      <c r="AC205" s="75">
        <f t="shared" si="52"/>
        <v>400231276.12750006</v>
      </c>
    </row>
    <row r="206" spans="1:29" ht="24.95" customHeight="1">
      <c r="A206" s="183"/>
      <c r="B206" s="178"/>
      <c r="C206" s="66">
        <v>5</v>
      </c>
      <c r="D206" s="70" t="s">
        <v>531</v>
      </c>
      <c r="E206" s="70">
        <v>11450157.1073</v>
      </c>
      <c r="F206" s="70">
        <v>0</v>
      </c>
      <c r="G206" s="70">
        <v>119436211.1258</v>
      </c>
      <c r="H206" s="70">
        <v>24242019.489300001</v>
      </c>
      <c r="I206" s="70">
        <v>8649165.0814999994</v>
      </c>
      <c r="J206" s="70">
        <v>4653851.6316999998</v>
      </c>
      <c r="K206" s="70">
        <f t="shared" si="54"/>
        <v>2326925.8158499999</v>
      </c>
      <c r="L206" s="70">
        <f t="shared" si="55"/>
        <v>2326925.8158499999</v>
      </c>
      <c r="M206" s="85">
        <v>258697356.95840001</v>
      </c>
      <c r="N206" s="75">
        <f t="shared" si="56"/>
        <v>424801835.57815003</v>
      </c>
      <c r="O206" s="74"/>
      <c r="P206" s="178"/>
      <c r="Q206" s="78">
        <v>2</v>
      </c>
      <c r="R206" s="185"/>
      <c r="S206" s="79" t="s">
        <v>532</v>
      </c>
      <c r="T206" s="70">
        <v>12526466.423</v>
      </c>
      <c r="U206" s="70">
        <v>0</v>
      </c>
      <c r="V206" s="70">
        <v>130663158.0987</v>
      </c>
      <c r="W206" s="70">
        <v>26520757.777899999</v>
      </c>
      <c r="X206" s="70">
        <v>7866012.3283000002</v>
      </c>
      <c r="Y206" s="70">
        <v>5091311.4689999996</v>
      </c>
      <c r="Z206" s="70">
        <f t="shared" si="58"/>
        <v>2545655.7344999998</v>
      </c>
      <c r="AA206" s="70">
        <f t="shared" si="41"/>
        <v>2545655.7344999998</v>
      </c>
      <c r="AB206" s="70">
        <v>247938408.64030001</v>
      </c>
      <c r="AC206" s="75">
        <f t="shared" si="52"/>
        <v>428060459.00269997</v>
      </c>
    </row>
    <row r="207" spans="1:29" ht="24.95" customHeight="1">
      <c r="A207" s="183"/>
      <c r="B207" s="178"/>
      <c r="C207" s="66">
        <v>6</v>
      </c>
      <c r="D207" s="70" t="s">
        <v>533</v>
      </c>
      <c r="E207" s="70">
        <v>11728862.243899999</v>
      </c>
      <c r="F207" s="70">
        <v>0</v>
      </c>
      <c r="G207" s="70">
        <v>122343375.21340001</v>
      </c>
      <c r="H207" s="70">
        <v>24832087.842999998</v>
      </c>
      <c r="I207" s="70">
        <v>8685104.5324000008</v>
      </c>
      <c r="J207" s="70">
        <v>4767129.7589999996</v>
      </c>
      <c r="K207" s="70">
        <f t="shared" si="54"/>
        <v>2383564.8794999998</v>
      </c>
      <c r="L207" s="70">
        <f t="shared" si="55"/>
        <v>2383564.8794999998</v>
      </c>
      <c r="M207" s="85">
        <v>260004460.33809999</v>
      </c>
      <c r="N207" s="75">
        <f t="shared" si="56"/>
        <v>429977455.0503</v>
      </c>
      <c r="O207" s="74"/>
      <c r="P207" s="178"/>
      <c r="Q207" s="78">
        <v>3</v>
      </c>
      <c r="R207" s="185"/>
      <c r="S207" s="79" t="s">
        <v>534</v>
      </c>
      <c r="T207" s="70">
        <v>12752973.888</v>
      </c>
      <c r="U207" s="70">
        <v>0</v>
      </c>
      <c r="V207" s="70">
        <v>133025849.995</v>
      </c>
      <c r="W207" s="70">
        <v>27000314.375100002</v>
      </c>
      <c r="X207" s="70">
        <v>8067452.9507999998</v>
      </c>
      <c r="Y207" s="70">
        <v>5183374.1478000004</v>
      </c>
      <c r="Z207" s="70">
        <f t="shared" si="58"/>
        <v>2591687.0739000002</v>
      </c>
      <c r="AA207" s="70">
        <f t="shared" si="41"/>
        <v>2591687.0739000002</v>
      </c>
      <c r="AB207" s="70">
        <v>255264723.0835</v>
      </c>
      <c r="AC207" s="75">
        <f t="shared" si="52"/>
        <v>438703001.36630005</v>
      </c>
    </row>
    <row r="208" spans="1:29" ht="24.95" customHeight="1">
      <c r="A208" s="183"/>
      <c r="B208" s="178"/>
      <c r="C208" s="66">
        <v>7</v>
      </c>
      <c r="D208" s="70" t="s">
        <v>535</v>
      </c>
      <c r="E208" s="70">
        <v>12434758.229900001</v>
      </c>
      <c r="F208" s="70">
        <v>0</v>
      </c>
      <c r="G208" s="70">
        <v>129706552.9611</v>
      </c>
      <c r="H208" s="70">
        <v>26326595.218800001</v>
      </c>
      <c r="I208" s="70">
        <v>8429228.4772999994</v>
      </c>
      <c r="J208" s="70">
        <v>5054037.1923000002</v>
      </c>
      <c r="K208" s="70">
        <f t="shared" si="54"/>
        <v>2527018.5961500001</v>
      </c>
      <c r="L208" s="70">
        <f t="shared" si="55"/>
        <v>2527018.5961500001</v>
      </c>
      <c r="M208" s="85">
        <v>250698351.09729999</v>
      </c>
      <c r="N208" s="75">
        <f t="shared" si="56"/>
        <v>430122504.58054996</v>
      </c>
      <c r="O208" s="74"/>
      <c r="P208" s="178"/>
      <c r="Q208" s="78">
        <v>4</v>
      </c>
      <c r="R208" s="185"/>
      <c r="S208" s="79" t="s">
        <v>536</v>
      </c>
      <c r="T208" s="70">
        <v>9459099.5435000006</v>
      </c>
      <c r="U208" s="70">
        <v>0</v>
      </c>
      <c r="V208" s="70">
        <v>98667555.349099994</v>
      </c>
      <c r="W208" s="70">
        <v>20026596.4333</v>
      </c>
      <c r="X208" s="70">
        <v>6179861.6453</v>
      </c>
      <c r="Y208" s="70">
        <v>3844597.5397999999</v>
      </c>
      <c r="Z208" s="70">
        <f t="shared" si="58"/>
        <v>1922298.7699</v>
      </c>
      <c r="AA208" s="70">
        <f t="shared" ref="AA208:AA271" si="59">Y208-Z208</f>
        <v>1922298.7699</v>
      </c>
      <c r="AB208" s="70">
        <v>186613786.29159999</v>
      </c>
      <c r="AC208" s="75">
        <f t="shared" si="52"/>
        <v>322869198.03269994</v>
      </c>
    </row>
    <row r="209" spans="1:29" ht="24.95" customHeight="1">
      <c r="A209" s="183"/>
      <c r="B209" s="178"/>
      <c r="C209" s="66">
        <v>8</v>
      </c>
      <c r="D209" s="70" t="s">
        <v>537</v>
      </c>
      <c r="E209" s="70">
        <v>11695072.033299999</v>
      </c>
      <c r="F209" s="70">
        <v>0</v>
      </c>
      <c r="G209" s="70">
        <v>121990910.6416</v>
      </c>
      <c r="H209" s="70">
        <v>24760547.956300002</v>
      </c>
      <c r="I209" s="70">
        <v>8158873.9574999996</v>
      </c>
      <c r="J209" s="70">
        <v>4753395.9188999999</v>
      </c>
      <c r="K209" s="70">
        <f t="shared" si="54"/>
        <v>2376697.95945</v>
      </c>
      <c r="L209" s="70">
        <f t="shared" si="55"/>
        <v>2376697.95945</v>
      </c>
      <c r="M209" s="85">
        <v>240865665.92359999</v>
      </c>
      <c r="N209" s="75">
        <f t="shared" si="56"/>
        <v>409847768.47175002</v>
      </c>
      <c r="O209" s="74"/>
      <c r="P209" s="178"/>
      <c r="Q209" s="78">
        <v>5</v>
      </c>
      <c r="R209" s="185"/>
      <c r="S209" s="70" t="s">
        <v>538</v>
      </c>
      <c r="T209" s="70">
        <v>9911991.5612000003</v>
      </c>
      <c r="U209" s="70">
        <v>0</v>
      </c>
      <c r="V209" s="70">
        <v>103391657.0483</v>
      </c>
      <c r="W209" s="70">
        <v>20985449.400800001</v>
      </c>
      <c r="X209" s="70">
        <v>6810868.5552000003</v>
      </c>
      <c r="Y209" s="70">
        <v>4028672.9402000001</v>
      </c>
      <c r="Z209" s="70">
        <f t="shared" si="58"/>
        <v>2014336.4701</v>
      </c>
      <c r="AA209" s="70">
        <f t="shared" si="59"/>
        <v>2014336.4701</v>
      </c>
      <c r="AB209" s="70">
        <v>209563253.88049999</v>
      </c>
      <c r="AC209" s="75">
        <f t="shared" si="52"/>
        <v>352677556.91609997</v>
      </c>
    </row>
    <row r="210" spans="1:29" ht="24.95" customHeight="1">
      <c r="A210" s="183"/>
      <c r="B210" s="178"/>
      <c r="C210" s="66">
        <v>9</v>
      </c>
      <c r="D210" s="70" t="s">
        <v>539</v>
      </c>
      <c r="E210" s="70">
        <v>11004200.9308</v>
      </c>
      <c r="F210" s="70">
        <v>0</v>
      </c>
      <c r="G210" s="70">
        <v>114784456.95819999</v>
      </c>
      <c r="H210" s="70">
        <v>23297850.931600001</v>
      </c>
      <c r="I210" s="70">
        <v>7922199.8376000002</v>
      </c>
      <c r="J210" s="70">
        <v>4472595.2646000003</v>
      </c>
      <c r="K210" s="70">
        <f t="shared" si="54"/>
        <v>2236297.6323000002</v>
      </c>
      <c r="L210" s="70">
        <f t="shared" si="55"/>
        <v>2236297.6323000002</v>
      </c>
      <c r="M210" s="85">
        <v>232257923.3457</v>
      </c>
      <c r="N210" s="75">
        <f t="shared" si="56"/>
        <v>391502929.63619995</v>
      </c>
      <c r="O210" s="74"/>
      <c r="P210" s="178"/>
      <c r="Q210" s="78">
        <v>6</v>
      </c>
      <c r="R210" s="185"/>
      <c r="S210" s="70" t="s">
        <v>540</v>
      </c>
      <c r="T210" s="70">
        <v>15232400.0998</v>
      </c>
      <c r="U210" s="70">
        <v>0</v>
      </c>
      <c r="V210" s="70">
        <v>158888663.03150001</v>
      </c>
      <c r="W210" s="70">
        <v>32249700.736000001</v>
      </c>
      <c r="X210" s="70">
        <v>9655527.4393000007</v>
      </c>
      <c r="Y210" s="70">
        <v>6191122.9160000002</v>
      </c>
      <c r="Z210" s="70">
        <f t="shared" si="58"/>
        <v>3095561.4580000001</v>
      </c>
      <c r="AA210" s="70">
        <f t="shared" si="59"/>
        <v>3095561.4580000001</v>
      </c>
      <c r="AB210" s="70">
        <v>313022353.67360002</v>
      </c>
      <c r="AC210" s="75">
        <f t="shared" si="52"/>
        <v>532144206.4382</v>
      </c>
    </row>
    <row r="211" spans="1:29" ht="24.95" customHeight="1">
      <c r="A211" s="183"/>
      <c r="B211" s="178"/>
      <c r="C211" s="66">
        <v>10</v>
      </c>
      <c r="D211" s="70" t="s">
        <v>541</v>
      </c>
      <c r="E211" s="70">
        <v>12305152.7294</v>
      </c>
      <c r="F211" s="70">
        <v>0</v>
      </c>
      <c r="G211" s="70">
        <v>128354642.2607</v>
      </c>
      <c r="H211" s="70">
        <v>26052197.318500001</v>
      </c>
      <c r="I211" s="70">
        <v>8994697.2313000001</v>
      </c>
      <c r="J211" s="70">
        <v>5001359.7692999998</v>
      </c>
      <c r="K211" s="70">
        <f t="shared" si="54"/>
        <v>2500679.8846499999</v>
      </c>
      <c r="L211" s="70">
        <f t="shared" si="55"/>
        <v>2500679.8846499999</v>
      </c>
      <c r="M211" s="85">
        <v>271264222.30879998</v>
      </c>
      <c r="N211" s="75">
        <f t="shared" si="56"/>
        <v>449471591.73334998</v>
      </c>
      <c r="O211" s="74"/>
      <c r="P211" s="178"/>
      <c r="Q211" s="78">
        <v>7</v>
      </c>
      <c r="R211" s="185"/>
      <c r="S211" s="70" t="s">
        <v>542</v>
      </c>
      <c r="T211" s="70">
        <v>10727898.665200001</v>
      </c>
      <c r="U211" s="70">
        <v>0</v>
      </c>
      <c r="V211" s="70">
        <v>111902357.1393</v>
      </c>
      <c r="W211" s="70">
        <v>22712869.883499999</v>
      </c>
      <c r="X211" s="70">
        <v>6777971.1221000003</v>
      </c>
      <c r="Y211" s="70">
        <v>4360293.7707000002</v>
      </c>
      <c r="Z211" s="70">
        <f t="shared" si="58"/>
        <v>2180146.8853500001</v>
      </c>
      <c r="AA211" s="70">
        <f t="shared" si="59"/>
        <v>2180146.8853500001</v>
      </c>
      <c r="AB211" s="70">
        <v>208366787.4655</v>
      </c>
      <c r="AC211" s="75">
        <f t="shared" si="52"/>
        <v>362668031.16094995</v>
      </c>
    </row>
    <row r="212" spans="1:29" ht="24.95" customHeight="1">
      <c r="A212" s="183"/>
      <c r="B212" s="178"/>
      <c r="C212" s="66">
        <v>11</v>
      </c>
      <c r="D212" s="70" t="s">
        <v>543</v>
      </c>
      <c r="E212" s="70">
        <v>10340120.876399999</v>
      </c>
      <c r="F212" s="70">
        <v>0</v>
      </c>
      <c r="G212" s="70">
        <v>107857459.814</v>
      </c>
      <c r="H212" s="70">
        <v>21891875.321800001</v>
      </c>
      <c r="I212" s="70">
        <v>7396148.9599000001</v>
      </c>
      <c r="J212" s="70">
        <v>4202683.6804</v>
      </c>
      <c r="K212" s="70">
        <f t="shared" si="54"/>
        <v>2101341.8402</v>
      </c>
      <c r="L212" s="70">
        <f t="shared" si="55"/>
        <v>2101341.8402</v>
      </c>
      <c r="M212" s="85">
        <v>213125664.4481</v>
      </c>
      <c r="N212" s="75">
        <f t="shared" si="56"/>
        <v>362712611.2604</v>
      </c>
      <c r="O212" s="74"/>
      <c r="P212" s="178"/>
      <c r="Q212" s="78">
        <v>8</v>
      </c>
      <c r="R212" s="185"/>
      <c r="S212" s="70" t="s">
        <v>544</v>
      </c>
      <c r="T212" s="70">
        <v>10808407.037799999</v>
      </c>
      <c r="U212" s="70">
        <v>0</v>
      </c>
      <c r="V212" s="70">
        <v>112742137.31820001</v>
      </c>
      <c r="W212" s="70">
        <v>22883320.43</v>
      </c>
      <c r="X212" s="70">
        <v>7385129.6392000001</v>
      </c>
      <c r="Y212" s="70">
        <v>4393015.9435000001</v>
      </c>
      <c r="Z212" s="70">
        <f t="shared" si="58"/>
        <v>2196507.97175</v>
      </c>
      <c r="AA212" s="70">
        <f t="shared" si="59"/>
        <v>2196507.97175</v>
      </c>
      <c r="AB212" s="70">
        <v>230448898.59740001</v>
      </c>
      <c r="AC212" s="75">
        <f t="shared" si="52"/>
        <v>386464400.99435002</v>
      </c>
    </row>
    <row r="213" spans="1:29" ht="24.95" customHeight="1">
      <c r="A213" s="183"/>
      <c r="B213" s="178"/>
      <c r="C213" s="66">
        <v>12</v>
      </c>
      <c r="D213" s="70" t="s">
        <v>545</v>
      </c>
      <c r="E213" s="70">
        <v>10664270.8936</v>
      </c>
      <c r="F213" s="70">
        <v>0</v>
      </c>
      <c r="G213" s="70">
        <v>111238657.9517</v>
      </c>
      <c r="H213" s="70">
        <v>22578158.571899999</v>
      </c>
      <c r="I213" s="70">
        <v>7988559.4665999999</v>
      </c>
      <c r="J213" s="70">
        <v>4334432.6224999996</v>
      </c>
      <c r="K213" s="70">
        <f t="shared" si="54"/>
        <v>2167216.3112499998</v>
      </c>
      <c r="L213" s="70">
        <f t="shared" si="55"/>
        <v>2167216.3112499998</v>
      </c>
      <c r="M213" s="85">
        <v>234671396.37180001</v>
      </c>
      <c r="N213" s="75">
        <f t="shared" si="56"/>
        <v>389308259.56685001</v>
      </c>
      <c r="O213" s="74"/>
      <c r="P213" s="178"/>
      <c r="Q213" s="78">
        <v>9</v>
      </c>
      <c r="R213" s="185"/>
      <c r="S213" s="70" t="s">
        <v>546</v>
      </c>
      <c r="T213" s="70">
        <v>12994344.475400001</v>
      </c>
      <c r="U213" s="70">
        <v>0</v>
      </c>
      <c r="V213" s="70">
        <v>135543578.63139999</v>
      </c>
      <c r="W213" s="70">
        <v>27511338.8466</v>
      </c>
      <c r="X213" s="70">
        <v>8119809.0295000002</v>
      </c>
      <c r="Y213" s="70">
        <v>5281477.8585999999</v>
      </c>
      <c r="Z213" s="70">
        <f t="shared" si="58"/>
        <v>2640738.9293</v>
      </c>
      <c r="AA213" s="70">
        <f t="shared" si="59"/>
        <v>2640738.9293</v>
      </c>
      <c r="AB213" s="70">
        <v>257168892.61410001</v>
      </c>
      <c r="AC213" s="75">
        <f t="shared" si="52"/>
        <v>443978702.52630001</v>
      </c>
    </row>
    <row r="214" spans="1:29" ht="24.95" customHeight="1">
      <c r="A214" s="183"/>
      <c r="B214" s="178"/>
      <c r="C214" s="66">
        <v>13</v>
      </c>
      <c r="D214" s="70" t="s">
        <v>547</v>
      </c>
      <c r="E214" s="70">
        <v>9768241.9929000009</v>
      </c>
      <c r="F214" s="70">
        <v>0</v>
      </c>
      <c r="G214" s="70">
        <v>101892210.0424</v>
      </c>
      <c r="H214" s="70">
        <v>20681105.992699999</v>
      </c>
      <c r="I214" s="70">
        <v>7740885.3075999999</v>
      </c>
      <c r="J214" s="70">
        <v>3970246.7409000001</v>
      </c>
      <c r="K214" s="70">
        <f t="shared" si="54"/>
        <v>1985123.37045</v>
      </c>
      <c r="L214" s="70">
        <f t="shared" si="55"/>
        <v>1985123.37045</v>
      </c>
      <c r="M214" s="85">
        <v>225663586.79519999</v>
      </c>
      <c r="N214" s="75">
        <f t="shared" si="56"/>
        <v>367731153.50124997</v>
      </c>
      <c r="O214" s="74"/>
      <c r="P214" s="178"/>
      <c r="Q214" s="78">
        <v>10</v>
      </c>
      <c r="R214" s="185"/>
      <c r="S214" s="70" t="s">
        <v>548</v>
      </c>
      <c r="T214" s="70">
        <v>14100458.3706</v>
      </c>
      <c r="U214" s="70">
        <v>0</v>
      </c>
      <c r="V214" s="70">
        <v>147081416.18889999</v>
      </c>
      <c r="W214" s="70">
        <v>29853178.731600001</v>
      </c>
      <c r="X214" s="70">
        <v>8852075.3424999993</v>
      </c>
      <c r="Y214" s="70">
        <v>5731051.5987999998</v>
      </c>
      <c r="Z214" s="70">
        <f t="shared" si="58"/>
        <v>2865525.7993999999</v>
      </c>
      <c r="AA214" s="70">
        <f t="shared" si="59"/>
        <v>2865525.7993999999</v>
      </c>
      <c r="AB214" s="70">
        <v>283801123.97530001</v>
      </c>
      <c r="AC214" s="75">
        <f t="shared" si="52"/>
        <v>486553778.40829998</v>
      </c>
    </row>
    <row r="215" spans="1:29" ht="24.95" customHeight="1">
      <c r="A215" s="183"/>
      <c r="B215" s="178"/>
      <c r="C215" s="66">
        <v>14</v>
      </c>
      <c r="D215" s="70" t="s">
        <v>549</v>
      </c>
      <c r="E215" s="70">
        <v>9566674.8087000009</v>
      </c>
      <c r="F215" s="70">
        <v>0</v>
      </c>
      <c r="G215" s="70">
        <v>99789669.392700002</v>
      </c>
      <c r="H215" s="70">
        <v>20254352.406599998</v>
      </c>
      <c r="I215" s="70">
        <v>7552036.3284</v>
      </c>
      <c r="J215" s="70">
        <v>3888320.8983</v>
      </c>
      <c r="K215" s="70">
        <f t="shared" si="54"/>
        <v>1944160.44915</v>
      </c>
      <c r="L215" s="70">
        <f t="shared" si="55"/>
        <v>1944160.44915</v>
      </c>
      <c r="M215" s="85">
        <v>218795225.35749999</v>
      </c>
      <c r="N215" s="75">
        <f t="shared" si="56"/>
        <v>357902118.74304998</v>
      </c>
      <c r="O215" s="74"/>
      <c r="P215" s="178"/>
      <c r="Q215" s="78">
        <v>11</v>
      </c>
      <c r="R215" s="185"/>
      <c r="S215" s="70" t="s">
        <v>550</v>
      </c>
      <c r="T215" s="70">
        <v>10788955.526799999</v>
      </c>
      <c r="U215" s="70">
        <v>0</v>
      </c>
      <c r="V215" s="70">
        <v>112539239.2484</v>
      </c>
      <c r="W215" s="70">
        <v>22842138.120900001</v>
      </c>
      <c r="X215" s="70">
        <v>7111104.1612999998</v>
      </c>
      <c r="Y215" s="70">
        <v>4385109.9868000001</v>
      </c>
      <c r="Z215" s="70">
        <f t="shared" si="58"/>
        <v>2192554.9934</v>
      </c>
      <c r="AA215" s="70">
        <f t="shared" si="59"/>
        <v>2192554.9934</v>
      </c>
      <c r="AB215" s="70">
        <v>220482702.14989999</v>
      </c>
      <c r="AC215" s="75">
        <f t="shared" si="52"/>
        <v>375956694.20070004</v>
      </c>
    </row>
    <row r="216" spans="1:29" ht="24.95" customHeight="1">
      <c r="A216" s="183"/>
      <c r="B216" s="178"/>
      <c r="C216" s="66">
        <v>15</v>
      </c>
      <c r="D216" s="70" t="s">
        <v>551</v>
      </c>
      <c r="E216" s="70">
        <v>10380945.596899999</v>
      </c>
      <c r="F216" s="70">
        <v>0</v>
      </c>
      <c r="G216" s="70">
        <v>108283301.1276</v>
      </c>
      <c r="H216" s="70">
        <v>21978308.517700002</v>
      </c>
      <c r="I216" s="70">
        <v>7992127.7407</v>
      </c>
      <c r="J216" s="70">
        <v>4219276.6572000002</v>
      </c>
      <c r="K216" s="70">
        <f t="shared" si="54"/>
        <v>2109638.3286000001</v>
      </c>
      <c r="L216" s="70">
        <f t="shared" si="55"/>
        <v>2109638.3286000001</v>
      </c>
      <c r="M216" s="85">
        <v>234801173.0645</v>
      </c>
      <c r="N216" s="75">
        <f t="shared" si="56"/>
        <v>385545494.37600005</v>
      </c>
      <c r="O216" s="74"/>
      <c r="P216" s="178"/>
      <c r="Q216" s="78">
        <v>12</v>
      </c>
      <c r="R216" s="185"/>
      <c r="S216" s="70" t="s">
        <v>552</v>
      </c>
      <c r="T216" s="70">
        <v>11167276.168299999</v>
      </c>
      <c r="U216" s="70">
        <v>0</v>
      </c>
      <c r="V216" s="70">
        <v>116485489.3818</v>
      </c>
      <c r="W216" s="70">
        <v>23643110.219300002</v>
      </c>
      <c r="X216" s="70">
        <v>7340757.2527999999</v>
      </c>
      <c r="Y216" s="70">
        <v>4538876.2730999999</v>
      </c>
      <c r="Z216" s="70">
        <f t="shared" si="58"/>
        <v>2269438.1365499999</v>
      </c>
      <c r="AA216" s="70">
        <f t="shared" si="59"/>
        <v>2269438.1365499999</v>
      </c>
      <c r="AB216" s="70">
        <v>228835092.7462</v>
      </c>
      <c r="AC216" s="75">
        <f t="shared" si="52"/>
        <v>389741163.90495002</v>
      </c>
    </row>
    <row r="217" spans="1:29" ht="24.95" customHeight="1">
      <c r="A217" s="183"/>
      <c r="B217" s="178"/>
      <c r="C217" s="66">
        <v>16</v>
      </c>
      <c r="D217" s="70" t="s">
        <v>553</v>
      </c>
      <c r="E217" s="70">
        <v>8573027.0238000005</v>
      </c>
      <c r="F217" s="70">
        <v>0</v>
      </c>
      <c r="G217" s="70">
        <v>89424962.121999994</v>
      </c>
      <c r="H217" s="70">
        <v>18150623.2839</v>
      </c>
      <c r="I217" s="70">
        <v>6940950.1426999997</v>
      </c>
      <c r="J217" s="70">
        <v>3484458.3728999998</v>
      </c>
      <c r="K217" s="70">
        <f t="shared" si="54"/>
        <v>1742229.1864499999</v>
      </c>
      <c r="L217" s="70">
        <f t="shared" si="55"/>
        <v>1742229.1864499999</v>
      </c>
      <c r="M217" s="85">
        <v>196570266.4991</v>
      </c>
      <c r="N217" s="75">
        <f t="shared" si="56"/>
        <v>321402058.25795001</v>
      </c>
      <c r="O217" s="74"/>
      <c r="P217" s="178"/>
      <c r="Q217" s="78">
        <v>13</v>
      </c>
      <c r="R217" s="185"/>
      <c r="S217" s="70" t="s">
        <v>554</v>
      </c>
      <c r="T217" s="70">
        <v>10377932.7903</v>
      </c>
      <c r="U217" s="70">
        <v>0</v>
      </c>
      <c r="V217" s="70">
        <v>108251874.6406</v>
      </c>
      <c r="W217" s="70">
        <v>21971929.870000001</v>
      </c>
      <c r="X217" s="70">
        <v>6985162.0568000004</v>
      </c>
      <c r="Y217" s="70">
        <v>4218052.1189999999</v>
      </c>
      <c r="Z217" s="70">
        <f t="shared" si="58"/>
        <v>2109026.0595</v>
      </c>
      <c r="AA217" s="70">
        <f t="shared" si="59"/>
        <v>2109026.0595</v>
      </c>
      <c r="AB217" s="70">
        <v>215902238.44940001</v>
      </c>
      <c r="AC217" s="75">
        <f t="shared" si="52"/>
        <v>365598163.86660004</v>
      </c>
    </row>
    <row r="218" spans="1:29" ht="24.95" customHeight="1">
      <c r="A218" s="183"/>
      <c r="B218" s="178"/>
      <c r="C218" s="66">
        <v>17</v>
      </c>
      <c r="D218" s="70" t="s">
        <v>555</v>
      </c>
      <c r="E218" s="70">
        <v>10798390.297499999</v>
      </c>
      <c r="F218" s="70">
        <v>0</v>
      </c>
      <c r="G218" s="70">
        <v>112637653.0306</v>
      </c>
      <c r="H218" s="70">
        <v>22862113.208900001</v>
      </c>
      <c r="I218" s="70">
        <v>8278167.2636000002</v>
      </c>
      <c r="J218" s="70">
        <v>4388944.6961000003</v>
      </c>
      <c r="K218" s="70">
        <f t="shared" si="54"/>
        <v>2194472.3480500001</v>
      </c>
      <c r="L218" s="70">
        <f t="shared" si="55"/>
        <v>2194472.3480500001</v>
      </c>
      <c r="M218" s="85">
        <v>245204315.4989</v>
      </c>
      <c r="N218" s="75">
        <f t="shared" si="56"/>
        <v>401975111.64754999</v>
      </c>
      <c r="O218" s="74"/>
      <c r="P218" s="178"/>
      <c r="Q218" s="78">
        <v>14</v>
      </c>
      <c r="R218" s="185"/>
      <c r="S218" s="70" t="s">
        <v>556</v>
      </c>
      <c r="T218" s="70">
        <v>12979021.1248</v>
      </c>
      <c r="U218" s="70">
        <v>0</v>
      </c>
      <c r="V218" s="70">
        <v>135383741.26640001</v>
      </c>
      <c r="W218" s="70">
        <v>27478896.587499999</v>
      </c>
      <c r="X218" s="70">
        <v>8078555.6741000004</v>
      </c>
      <c r="Y218" s="70">
        <v>5275249.7692999998</v>
      </c>
      <c r="Z218" s="70">
        <f t="shared" si="58"/>
        <v>2637624.8846499999</v>
      </c>
      <c r="AA218" s="70">
        <f t="shared" si="59"/>
        <v>2637624.8846499999</v>
      </c>
      <c r="AB218" s="70">
        <v>255668524.66330001</v>
      </c>
      <c r="AC218" s="75">
        <f t="shared" si="52"/>
        <v>442226364.20074999</v>
      </c>
    </row>
    <row r="219" spans="1:29" ht="24.95" customHeight="1">
      <c r="A219" s="183"/>
      <c r="B219" s="178"/>
      <c r="C219" s="66">
        <v>18</v>
      </c>
      <c r="D219" s="70" t="s">
        <v>557</v>
      </c>
      <c r="E219" s="70">
        <v>11353389.049900001</v>
      </c>
      <c r="F219" s="70">
        <v>0</v>
      </c>
      <c r="G219" s="70">
        <v>118426826.7112</v>
      </c>
      <c r="H219" s="70">
        <v>24037144.297699999</v>
      </c>
      <c r="I219" s="70">
        <v>7912008.4360999996</v>
      </c>
      <c r="J219" s="70">
        <v>4614520.8016999997</v>
      </c>
      <c r="K219" s="70">
        <f t="shared" si="54"/>
        <v>2307260.4008499999</v>
      </c>
      <c r="L219" s="70">
        <f t="shared" si="55"/>
        <v>2307260.4008499999</v>
      </c>
      <c r="M219" s="85">
        <v>231887266.17300001</v>
      </c>
      <c r="N219" s="75">
        <f t="shared" si="56"/>
        <v>395923895.06875002</v>
      </c>
      <c r="O219" s="74"/>
      <c r="P219" s="178"/>
      <c r="Q219" s="78">
        <v>15</v>
      </c>
      <c r="R219" s="185"/>
      <c r="S219" s="70" t="s">
        <v>558</v>
      </c>
      <c r="T219" s="70">
        <v>8613767.3094999995</v>
      </c>
      <c r="U219" s="70">
        <v>0</v>
      </c>
      <c r="V219" s="70">
        <v>89849922.697999999</v>
      </c>
      <c r="W219" s="70">
        <v>18236877.715999998</v>
      </c>
      <c r="X219" s="70">
        <v>6081438.8918000003</v>
      </c>
      <c r="Y219" s="70">
        <v>3501017.0317000002</v>
      </c>
      <c r="Z219" s="70">
        <f t="shared" si="58"/>
        <v>1750508.5158500001</v>
      </c>
      <c r="AA219" s="70">
        <f t="shared" si="59"/>
        <v>1750508.5158500001</v>
      </c>
      <c r="AB219" s="70">
        <v>183034190.32179999</v>
      </c>
      <c r="AC219" s="75">
        <f t="shared" si="52"/>
        <v>307566705.45295</v>
      </c>
    </row>
    <row r="220" spans="1:29" ht="24.95" customHeight="1">
      <c r="A220" s="183"/>
      <c r="B220" s="178"/>
      <c r="C220" s="66">
        <v>19</v>
      </c>
      <c r="D220" s="70" t="s">
        <v>559</v>
      </c>
      <c r="E220" s="70">
        <v>14827195.642999999</v>
      </c>
      <c r="F220" s="70">
        <v>0</v>
      </c>
      <c r="G220" s="70">
        <v>154661988.70770001</v>
      </c>
      <c r="H220" s="70">
        <v>31391810.818300001</v>
      </c>
      <c r="I220" s="70">
        <v>10192456.447000001</v>
      </c>
      <c r="J220" s="70">
        <v>6026429.8550000004</v>
      </c>
      <c r="K220" s="70">
        <f t="shared" si="54"/>
        <v>3013214.9275000002</v>
      </c>
      <c r="L220" s="70">
        <f t="shared" si="55"/>
        <v>3013214.9275000002</v>
      </c>
      <c r="M220" s="85">
        <v>314826243.37279999</v>
      </c>
      <c r="N220" s="75">
        <f t="shared" si="56"/>
        <v>528912909.91630006</v>
      </c>
      <c r="O220" s="74"/>
      <c r="P220" s="178"/>
      <c r="Q220" s="78">
        <v>16</v>
      </c>
      <c r="R220" s="185"/>
      <c r="S220" s="70" t="s">
        <v>560</v>
      </c>
      <c r="T220" s="70">
        <v>14236212.796700001</v>
      </c>
      <c r="U220" s="70">
        <v>0</v>
      </c>
      <c r="V220" s="70">
        <v>148497466.13049999</v>
      </c>
      <c r="W220" s="70">
        <v>30140595.001499999</v>
      </c>
      <c r="X220" s="70">
        <v>8762958.3396000005</v>
      </c>
      <c r="Y220" s="70">
        <v>5786228.2177999998</v>
      </c>
      <c r="Z220" s="70">
        <f t="shared" si="58"/>
        <v>2893114.1088999999</v>
      </c>
      <c r="AA220" s="70">
        <f t="shared" si="59"/>
        <v>2893114.1088999999</v>
      </c>
      <c r="AB220" s="70">
        <v>280559974.4163</v>
      </c>
      <c r="AC220" s="75">
        <f t="shared" si="52"/>
        <v>485090320.79350001</v>
      </c>
    </row>
    <row r="221" spans="1:29" ht="24.95" customHeight="1">
      <c r="A221" s="183"/>
      <c r="B221" s="178"/>
      <c r="C221" s="66">
        <v>20</v>
      </c>
      <c r="D221" s="70" t="s">
        <v>561</v>
      </c>
      <c r="E221" s="70">
        <v>11753747.101500001</v>
      </c>
      <c r="F221" s="70">
        <v>0</v>
      </c>
      <c r="G221" s="70">
        <v>122602948.3423</v>
      </c>
      <c r="H221" s="70">
        <v>24884773.5134</v>
      </c>
      <c r="I221" s="70">
        <v>8813254.3461000007</v>
      </c>
      <c r="J221" s="70">
        <v>4777244.0686999997</v>
      </c>
      <c r="K221" s="70">
        <f t="shared" si="54"/>
        <v>2388622.0343499999</v>
      </c>
      <c r="L221" s="70">
        <f t="shared" si="55"/>
        <v>2388622.0343499999</v>
      </c>
      <c r="M221" s="85">
        <v>264665217.53189999</v>
      </c>
      <c r="N221" s="75">
        <f t="shared" si="56"/>
        <v>435108562.86954999</v>
      </c>
      <c r="O221" s="74"/>
      <c r="P221" s="178"/>
      <c r="Q221" s="78">
        <v>17</v>
      </c>
      <c r="R221" s="185"/>
      <c r="S221" s="70" t="s">
        <v>562</v>
      </c>
      <c r="T221" s="70">
        <v>11470525.337099999</v>
      </c>
      <c r="U221" s="70">
        <v>0</v>
      </c>
      <c r="V221" s="70">
        <v>119648671.45999999</v>
      </c>
      <c r="W221" s="70">
        <v>24285142.655400001</v>
      </c>
      <c r="X221" s="70">
        <v>6981760.6443999996</v>
      </c>
      <c r="Y221" s="70">
        <v>4662130.1836000001</v>
      </c>
      <c r="Z221" s="70">
        <f t="shared" si="58"/>
        <v>2331065.0918000001</v>
      </c>
      <c r="AA221" s="70">
        <f t="shared" si="59"/>
        <v>2331065.0918000001</v>
      </c>
      <c r="AB221" s="70">
        <v>215778530.45100001</v>
      </c>
      <c r="AC221" s="75">
        <f t="shared" si="52"/>
        <v>380495695.6397</v>
      </c>
    </row>
    <row r="222" spans="1:29" ht="24.95" customHeight="1">
      <c r="A222" s="183"/>
      <c r="B222" s="178"/>
      <c r="C222" s="66">
        <v>21</v>
      </c>
      <c r="D222" s="70" t="s">
        <v>563</v>
      </c>
      <c r="E222" s="70">
        <v>9321765.2346999999</v>
      </c>
      <c r="F222" s="70">
        <v>0</v>
      </c>
      <c r="G222" s="70">
        <v>97235025.703500003</v>
      </c>
      <c r="H222" s="70">
        <v>19735835.2709</v>
      </c>
      <c r="I222" s="70">
        <v>7617163.7477000002</v>
      </c>
      <c r="J222" s="70">
        <v>3788778.7862</v>
      </c>
      <c r="K222" s="70">
        <f t="shared" si="54"/>
        <v>1894389.3931</v>
      </c>
      <c r="L222" s="70">
        <f t="shared" si="55"/>
        <v>1894389.3931</v>
      </c>
      <c r="M222" s="85">
        <v>221163883.41060001</v>
      </c>
      <c r="N222" s="75">
        <f t="shared" si="56"/>
        <v>356968062.76050001</v>
      </c>
      <c r="O222" s="74"/>
      <c r="P222" s="179"/>
      <c r="Q222" s="78">
        <v>18</v>
      </c>
      <c r="R222" s="186"/>
      <c r="S222" s="70" t="s">
        <v>564</v>
      </c>
      <c r="T222" s="70">
        <v>13457965.264699999</v>
      </c>
      <c r="U222" s="70">
        <v>0</v>
      </c>
      <c r="V222" s="70">
        <v>140379591.7922</v>
      </c>
      <c r="W222" s="70">
        <v>28492906.5319</v>
      </c>
      <c r="X222" s="70">
        <v>7931396.4579999996</v>
      </c>
      <c r="Y222" s="70">
        <v>5469913.9077000003</v>
      </c>
      <c r="Z222" s="70">
        <f t="shared" si="58"/>
        <v>2734956.9538500002</v>
      </c>
      <c r="AA222" s="70">
        <f t="shared" si="59"/>
        <v>2734956.9538500002</v>
      </c>
      <c r="AB222" s="70">
        <v>250316403.14610001</v>
      </c>
      <c r="AC222" s="75">
        <f t="shared" si="52"/>
        <v>443313220.14674997</v>
      </c>
    </row>
    <row r="223" spans="1:29" ht="24.95" customHeight="1">
      <c r="A223" s="183"/>
      <c r="B223" s="178"/>
      <c r="C223" s="66">
        <v>22</v>
      </c>
      <c r="D223" s="70" t="s">
        <v>565</v>
      </c>
      <c r="E223" s="70">
        <v>10952950.028999999</v>
      </c>
      <c r="F223" s="70">
        <v>0</v>
      </c>
      <c r="G223" s="70">
        <v>114249860.4923</v>
      </c>
      <c r="H223" s="70">
        <v>23189343.655499998</v>
      </c>
      <c r="I223" s="70">
        <v>8529538.0518999994</v>
      </c>
      <c r="J223" s="70">
        <v>4451764.6254000003</v>
      </c>
      <c r="K223" s="70">
        <f t="shared" si="54"/>
        <v>2225882.3127000001</v>
      </c>
      <c r="L223" s="70">
        <f t="shared" si="55"/>
        <v>2225882.3127000001</v>
      </c>
      <c r="M223" s="85">
        <v>254346569.9946</v>
      </c>
      <c r="N223" s="75">
        <f t="shared" si="56"/>
        <v>413494144.53600001</v>
      </c>
      <c r="O223" s="74"/>
      <c r="P223" s="66"/>
      <c r="Q223" s="191" t="s">
        <v>566</v>
      </c>
      <c r="R223" s="192"/>
      <c r="S223" s="71"/>
      <c r="T223" s="71">
        <f t="shared" ref="T223:Z223" si="60">SUM(T205:T222)</f>
        <v>213447251.70550001</v>
      </c>
      <c r="U223" s="71">
        <f t="shared" si="60"/>
        <v>0</v>
      </c>
      <c r="V223" s="71">
        <f t="shared" si="60"/>
        <v>2226461242.4211998</v>
      </c>
      <c r="W223" s="71">
        <f t="shared" si="60"/>
        <v>451905802.45559996</v>
      </c>
      <c r="X223" s="71">
        <f t="shared" si="60"/>
        <v>136361188.16450003</v>
      </c>
      <c r="Y223" s="71">
        <f t="shared" si="60"/>
        <v>86754428.897400007</v>
      </c>
      <c r="Z223" s="71">
        <f t="shared" si="60"/>
        <v>43377214.448700003</v>
      </c>
      <c r="AA223" s="71">
        <f t="shared" si="59"/>
        <v>43377214.448700003</v>
      </c>
      <c r="AB223" s="71">
        <f>SUM(AB205:AB222)</f>
        <v>4272786239.9837999</v>
      </c>
      <c r="AC223" s="71">
        <f>SUM(AC205:AC222)</f>
        <v>7344338939.1793003</v>
      </c>
    </row>
    <row r="224" spans="1:29" ht="24.95" customHeight="1">
      <c r="A224" s="183"/>
      <c r="B224" s="178"/>
      <c r="C224" s="66">
        <v>23</v>
      </c>
      <c r="D224" s="70" t="s">
        <v>567</v>
      </c>
      <c r="E224" s="70">
        <v>13611367.4936</v>
      </c>
      <c r="F224" s="70">
        <v>0</v>
      </c>
      <c r="G224" s="70">
        <v>141979725.3827</v>
      </c>
      <c r="H224" s="70">
        <v>28817686.339600001</v>
      </c>
      <c r="I224" s="70">
        <v>9966410.1360999998</v>
      </c>
      <c r="J224" s="70">
        <v>5532263.3765000002</v>
      </c>
      <c r="K224" s="70">
        <f t="shared" si="54"/>
        <v>2766131.6882500001</v>
      </c>
      <c r="L224" s="70">
        <f t="shared" si="55"/>
        <v>2766131.6882500001</v>
      </c>
      <c r="M224" s="85">
        <v>306605029.93720001</v>
      </c>
      <c r="N224" s="75">
        <f t="shared" si="56"/>
        <v>503746350.97745001</v>
      </c>
      <c r="O224" s="74"/>
      <c r="P224" s="177">
        <v>29</v>
      </c>
      <c r="Q224" s="78">
        <v>1</v>
      </c>
      <c r="R224" s="177" t="s">
        <v>114</v>
      </c>
      <c r="S224" s="70" t="s">
        <v>568</v>
      </c>
      <c r="T224" s="70">
        <v>8410598.7699999996</v>
      </c>
      <c r="U224" s="70">
        <v>0</v>
      </c>
      <c r="V224" s="70">
        <v>87730678.400000006</v>
      </c>
      <c r="W224" s="70">
        <v>17806733.780000001</v>
      </c>
      <c r="X224" s="70">
        <v>5558195.0199999996</v>
      </c>
      <c r="Y224" s="70">
        <v>3418440.3287999998</v>
      </c>
      <c r="Z224" s="70">
        <v>0</v>
      </c>
      <c r="AA224" s="70">
        <f t="shared" si="59"/>
        <v>3418440.3287999998</v>
      </c>
      <c r="AB224" s="70">
        <v>192767962</v>
      </c>
      <c r="AC224" s="75">
        <f t="shared" si="52"/>
        <v>315692608.29879999</v>
      </c>
    </row>
    <row r="225" spans="1:29" ht="24.95" customHeight="1">
      <c r="A225" s="183"/>
      <c r="B225" s="178"/>
      <c r="C225" s="66">
        <v>24</v>
      </c>
      <c r="D225" s="70" t="s">
        <v>569</v>
      </c>
      <c r="E225" s="70">
        <v>11201357.8135</v>
      </c>
      <c r="F225" s="70">
        <v>0</v>
      </c>
      <c r="G225" s="70">
        <v>116840993.8988</v>
      </c>
      <c r="H225" s="70">
        <v>23715267.125</v>
      </c>
      <c r="I225" s="70">
        <v>7834212.3603999997</v>
      </c>
      <c r="J225" s="70">
        <v>4552728.5652000001</v>
      </c>
      <c r="K225" s="70">
        <f t="shared" si="54"/>
        <v>2276364.2826</v>
      </c>
      <c r="L225" s="70">
        <f t="shared" si="55"/>
        <v>2276364.2826</v>
      </c>
      <c r="M225" s="85">
        <v>229057854.17860001</v>
      </c>
      <c r="N225" s="75">
        <f t="shared" si="56"/>
        <v>390926049.65890002</v>
      </c>
      <c r="O225" s="74"/>
      <c r="P225" s="178"/>
      <c r="Q225" s="78">
        <v>2</v>
      </c>
      <c r="R225" s="178"/>
      <c r="S225" s="70" t="s">
        <v>570</v>
      </c>
      <c r="T225" s="70">
        <v>8434191.6699999999</v>
      </c>
      <c r="U225" s="70">
        <v>0</v>
      </c>
      <c r="V225" s="70">
        <v>87976775.099999994</v>
      </c>
      <c r="W225" s="70">
        <v>17856684.140000001</v>
      </c>
      <c r="X225" s="70">
        <v>5461235.5099999998</v>
      </c>
      <c r="Y225" s="70">
        <v>3428029.5271000001</v>
      </c>
      <c r="Z225" s="70">
        <v>0</v>
      </c>
      <c r="AA225" s="70">
        <f t="shared" si="59"/>
        <v>3428029.5271000001</v>
      </c>
      <c r="AB225" s="70">
        <v>189241583.81</v>
      </c>
      <c r="AC225" s="75">
        <f t="shared" si="52"/>
        <v>312398499.75709999</v>
      </c>
    </row>
    <row r="226" spans="1:29" ht="24.95" customHeight="1">
      <c r="A226" s="183"/>
      <c r="B226" s="179"/>
      <c r="C226" s="66">
        <v>25</v>
      </c>
      <c r="D226" s="70" t="s">
        <v>571</v>
      </c>
      <c r="E226" s="70">
        <v>10757140.3399</v>
      </c>
      <c r="F226" s="70">
        <v>0</v>
      </c>
      <c r="G226" s="70">
        <v>112207376.0839</v>
      </c>
      <c r="H226" s="70">
        <v>22774779.7108</v>
      </c>
      <c r="I226" s="70">
        <v>7569556.8107000003</v>
      </c>
      <c r="J226" s="70">
        <v>4372178.8839999996</v>
      </c>
      <c r="K226" s="70">
        <f t="shared" si="54"/>
        <v>2186089.4419999998</v>
      </c>
      <c r="L226" s="70">
        <f t="shared" si="55"/>
        <v>2186089.4419999998</v>
      </c>
      <c r="M226" s="85">
        <v>219432438.25510001</v>
      </c>
      <c r="N226" s="75">
        <f t="shared" si="56"/>
        <v>374927380.64240003</v>
      </c>
      <c r="O226" s="74"/>
      <c r="P226" s="178"/>
      <c r="Q226" s="78">
        <v>3</v>
      </c>
      <c r="R226" s="178"/>
      <c r="S226" s="70" t="s">
        <v>572</v>
      </c>
      <c r="T226" s="70">
        <v>10507586.09</v>
      </c>
      <c r="U226" s="70">
        <v>0</v>
      </c>
      <c r="V226" s="70">
        <v>109604283.97</v>
      </c>
      <c r="W226" s="70">
        <v>22246428.98</v>
      </c>
      <c r="X226" s="70">
        <v>6510526.29</v>
      </c>
      <c r="Y226" s="70">
        <v>4270748.9710999997</v>
      </c>
      <c r="Z226" s="70">
        <v>0</v>
      </c>
      <c r="AA226" s="70">
        <f t="shared" si="59"/>
        <v>4270748.9710999997</v>
      </c>
      <c r="AB226" s="70">
        <v>227403867.44999999</v>
      </c>
      <c r="AC226" s="75">
        <f t="shared" si="52"/>
        <v>380543441.75109994</v>
      </c>
    </row>
    <row r="227" spans="1:29" ht="24.95" customHeight="1">
      <c r="A227" s="66"/>
      <c r="B227" s="190" t="s">
        <v>573</v>
      </c>
      <c r="C227" s="191"/>
      <c r="D227" s="71"/>
      <c r="E227" s="71">
        <f t="shared" ref="E227:N227" si="61">SUM(E202:E226)</f>
        <v>275471712.51920003</v>
      </c>
      <c r="F227" s="71">
        <f t="shared" si="61"/>
        <v>0</v>
      </c>
      <c r="G227" s="71">
        <f t="shared" si="61"/>
        <v>2873436347.4206991</v>
      </c>
      <c r="H227" s="71">
        <f t="shared" si="61"/>
        <v>583222619.66400015</v>
      </c>
      <c r="I227" s="71">
        <f t="shared" si="61"/>
        <v>204402365.05430001</v>
      </c>
      <c r="J227" s="71">
        <f t="shared" si="61"/>
        <v>111963920.38820001</v>
      </c>
      <c r="K227" s="71">
        <f t="shared" si="61"/>
        <v>55981960.194100007</v>
      </c>
      <c r="L227" s="71">
        <f t="shared" si="61"/>
        <v>55981960.194100007</v>
      </c>
      <c r="M227" s="71">
        <f t="shared" si="61"/>
        <v>6037299346.1106005</v>
      </c>
      <c r="N227" s="71">
        <f t="shared" si="61"/>
        <v>10029814350.962898</v>
      </c>
      <c r="O227" s="74"/>
      <c r="P227" s="178"/>
      <c r="Q227" s="78">
        <v>4</v>
      </c>
      <c r="R227" s="178"/>
      <c r="S227" s="70" t="s">
        <v>574</v>
      </c>
      <c r="T227" s="70">
        <v>9288473.8499999996</v>
      </c>
      <c r="U227" s="70">
        <v>0</v>
      </c>
      <c r="V227" s="70">
        <v>96887764.420000002</v>
      </c>
      <c r="W227" s="70">
        <v>19665351.5</v>
      </c>
      <c r="X227" s="70">
        <v>5553689.75</v>
      </c>
      <c r="Y227" s="70">
        <v>3775247.693</v>
      </c>
      <c r="Z227" s="70">
        <v>0</v>
      </c>
      <c r="AA227" s="70">
        <f t="shared" si="59"/>
        <v>3775247.693</v>
      </c>
      <c r="AB227" s="70">
        <v>192604107.25</v>
      </c>
      <c r="AC227" s="75">
        <f t="shared" si="52"/>
        <v>327774634.463</v>
      </c>
    </row>
    <row r="228" spans="1:29" ht="24.95" customHeight="1">
      <c r="A228" s="183"/>
      <c r="B228" s="177" t="s">
        <v>575</v>
      </c>
      <c r="C228" s="66">
        <v>1</v>
      </c>
      <c r="D228" s="70" t="s">
        <v>576</v>
      </c>
      <c r="E228" s="70">
        <v>12215453.2816</v>
      </c>
      <c r="F228" s="70">
        <v>0</v>
      </c>
      <c r="G228" s="70">
        <v>127418990.2781</v>
      </c>
      <c r="H228" s="70">
        <v>25862287.6305</v>
      </c>
      <c r="I228" s="70">
        <v>6449630.9693</v>
      </c>
      <c r="J228" s="70">
        <v>4964901.9356000004</v>
      </c>
      <c r="K228" s="70">
        <v>0</v>
      </c>
      <c r="L228" s="70">
        <f t="shared" ref="L228:L240" si="62">J228-K228</f>
        <v>4964901.9356000004</v>
      </c>
      <c r="M228" s="85">
        <v>226407668.2078</v>
      </c>
      <c r="N228" s="75">
        <f t="shared" ref="N228:N240" si="63">E228+F228+G228+H228+I228+L228+M228</f>
        <v>403318932.30290002</v>
      </c>
      <c r="O228" s="74"/>
      <c r="P228" s="178"/>
      <c r="Q228" s="78">
        <v>5</v>
      </c>
      <c r="R228" s="178"/>
      <c r="S228" s="70" t="s">
        <v>577</v>
      </c>
      <c r="T228" s="70">
        <v>8789810.6600000001</v>
      </c>
      <c r="U228" s="70">
        <v>0</v>
      </c>
      <c r="V228" s="70">
        <v>91686225.060000002</v>
      </c>
      <c r="W228" s="70">
        <v>18609592.800000001</v>
      </c>
      <c r="X228" s="70">
        <v>5488600.8399999999</v>
      </c>
      <c r="Y228" s="70">
        <v>3572568.8558</v>
      </c>
      <c r="Z228" s="70">
        <v>0</v>
      </c>
      <c r="AA228" s="70">
        <f t="shared" si="59"/>
        <v>3572568.8558</v>
      </c>
      <c r="AB228" s="70">
        <v>190236849.66999999</v>
      </c>
      <c r="AC228" s="75">
        <f t="shared" si="52"/>
        <v>318383647.8858</v>
      </c>
    </row>
    <row r="229" spans="1:29" ht="24.95" customHeight="1">
      <c r="A229" s="183"/>
      <c r="B229" s="178"/>
      <c r="C229" s="66">
        <v>2</v>
      </c>
      <c r="D229" s="70" t="s">
        <v>578</v>
      </c>
      <c r="E229" s="70">
        <v>11470291.437200001</v>
      </c>
      <c r="F229" s="70">
        <v>0</v>
      </c>
      <c r="G229" s="70">
        <v>119646231.65710001</v>
      </c>
      <c r="H229" s="70">
        <v>24284647.4476</v>
      </c>
      <c r="I229" s="70">
        <v>6512370.9822000004</v>
      </c>
      <c r="J229" s="70">
        <v>4662035.1162</v>
      </c>
      <c r="K229" s="70">
        <v>0</v>
      </c>
      <c r="L229" s="70">
        <f t="shared" si="62"/>
        <v>4662035.1162</v>
      </c>
      <c r="M229" s="85">
        <v>228689497.2507</v>
      </c>
      <c r="N229" s="75">
        <f t="shared" si="63"/>
        <v>395265073.89100003</v>
      </c>
      <c r="O229" s="74"/>
      <c r="P229" s="178"/>
      <c r="Q229" s="78">
        <v>6</v>
      </c>
      <c r="R229" s="178"/>
      <c r="S229" s="70" t="s">
        <v>579</v>
      </c>
      <c r="T229" s="70">
        <v>10011162.609999999</v>
      </c>
      <c r="U229" s="70">
        <v>0</v>
      </c>
      <c r="V229" s="70">
        <v>104426106.98999999</v>
      </c>
      <c r="W229" s="70">
        <v>21195412.149999999</v>
      </c>
      <c r="X229" s="70">
        <v>6368899.1799999997</v>
      </c>
      <c r="Y229" s="70">
        <v>4068980.4525000001</v>
      </c>
      <c r="Z229" s="70">
        <v>0</v>
      </c>
      <c r="AA229" s="70">
        <f t="shared" si="59"/>
        <v>4068980.4525000001</v>
      </c>
      <c r="AB229" s="70">
        <v>222252946.49000001</v>
      </c>
      <c r="AC229" s="75">
        <f t="shared" si="52"/>
        <v>368323507.8725</v>
      </c>
    </row>
    <row r="230" spans="1:29" ht="24.95" customHeight="1">
      <c r="A230" s="183"/>
      <c r="B230" s="178"/>
      <c r="C230" s="66">
        <v>3</v>
      </c>
      <c r="D230" s="70" t="s">
        <v>580</v>
      </c>
      <c r="E230" s="70">
        <v>11569034.7414</v>
      </c>
      <c r="F230" s="70">
        <v>0</v>
      </c>
      <c r="G230" s="70">
        <v>120676219.8063</v>
      </c>
      <c r="H230" s="70">
        <v>24493704.588199999</v>
      </c>
      <c r="I230" s="70">
        <v>6518288.1561000003</v>
      </c>
      <c r="J230" s="70">
        <v>4702168.7740000002</v>
      </c>
      <c r="K230" s="70">
        <v>0</v>
      </c>
      <c r="L230" s="70">
        <f t="shared" si="62"/>
        <v>4702168.7740000002</v>
      </c>
      <c r="M230" s="85">
        <v>228904702.48570001</v>
      </c>
      <c r="N230" s="75">
        <f t="shared" si="63"/>
        <v>396864118.5517</v>
      </c>
      <c r="O230" s="74"/>
      <c r="P230" s="178"/>
      <c r="Q230" s="78">
        <v>7</v>
      </c>
      <c r="R230" s="178"/>
      <c r="S230" s="70" t="s">
        <v>581</v>
      </c>
      <c r="T230" s="70">
        <v>8390841.6899999995</v>
      </c>
      <c r="U230" s="70">
        <v>0</v>
      </c>
      <c r="V230" s="70">
        <v>87524592.920000002</v>
      </c>
      <c r="W230" s="70">
        <v>17764904.52</v>
      </c>
      <c r="X230" s="70">
        <v>5656181.3600000003</v>
      </c>
      <c r="Y230" s="70">
        <v>3410410.1740000001</v>
      </c>
      <c r="Z230" s="70">
        <v>0</v>
      </c>
      <c r="AA230" s="70">
        <f t="shared" si="59"/>
        <v>3410410.1740000001</v>
      </c>
      <c r="AB230" s="70">
        <v>196331686</v>
      </c>
      <c r="AC230" s="75">
        <f t="shared" si="52"/>
        <v>319078616.66399997</v>
      </c>
    </row>
    <row r="231" spans="1:29" ht="24.95" customHeight="1">
      <c r="A231" s="183"/>
      <c r="B231" s="178"/>
      <c r="C231" s="66">
        <v>4</v>
      </c>
      <c r="D231" s="70" t="s">
        <v>96</v>
      </c>
      <c r="E231" s="70">
        <v>11155782.192299999</v>
      </c>
      <c r="F231" s="70">
        <v>0</v>
      </c>
      <c r="G231" s="70">
        <v>116365596.09739999</v>
      </c>
      <c r="H231" s="70">
        <v>23618775.427499998</v>
      </c>
      <c r="I231" s="70">
        <v>6130206.2635000004</v>
      </c>
      <c r="J231" s="70">
        <v>4534204.6114999996</v>
      </c>
      <c r="K231" s="70">
        <v>0</v>
      </c>
      <c r="L231" s="70">
        <f t="shared" si="62"/>
        <v>4534204.6114999996</v>
      </c>
      <c r="M231" s="85">
        <v>214790320.09819999</v>
      </c>
      <c r="N231" s="75">
        <f t="shared" si="63"/>
        <v>376594884.6904</v>
      </c>
      <c r="O231" s="74"/>
      <c r="P231" s="178"/>
      <c r="Q231" s="78">
        <v>8</v>
      </c>
      <c r="R231" s="178"/>
      <c r="S231" s="70" t="s">
        <v>582</v>
      </c>
      <c r="T231" s="70">
        <v>8714319.8699999992</v>
      </c>
      <c r="U231" s="70">
        <v>0</v>
      </c>
      <c r="V231" s="70">
        <v>90898783.090000004</v>
      </c>
      <c r="W231" s="70">
        <v>18449765.359999999</v>
      </c>
      <c r="X231" s="70">
        <v>5556115.6600000001</v>
      </c>
      <c r="Y231" s="70">
        <v>3541886.0496</v>
      </c>
      <c r="Z231" s="70">
        <v>0</v>
      </c>
      <c r="AA231" s="70">
        <f t="shared" si="59"/>
        <v>3541886.0496</v>
      </c>
      <c r="AB231" s="70">
        <v>192692336.72999999</v>
      </c>
      <c r="AC231" s="75">
        <f t="shared" si="52"/>
        <v>319853206.75959998</v>
      </c>
    </row>
    <row r="232" spans="1:29" ht="24.95" customHeight="1">
      <c r="A232" s="183"/>
      <c r="B232" s="178"/>
      <c r="C232" s="66">
        <v>5</v>
      </c>
      <c r="D232" s="70" t="s">
        <v>583</v>
      </c>
      <c r="E232" s="70">
        <v>11119581.064999999</v>
      </c>
      <c r="F232" s="70">
        <v>0</v>
      </c>
      <c r="G232" s="70">
        <v>115987983.33239999</v>
      </c>
      <c r="H232" s="70">
        <v>23542131.201000001</v>
      </c>
      <c r="I232" s="70">
        <v>6371282.9663000004</v>
      </c>
      <c r="J232" s="70">
        <v>4519490.8679</v>
      </c>
      <c r="K232" s="70">
        <v>0</v>
      </c>
      <c r="L232" s="70">
        <f t="shared" si="62"/>
        <v>4519490.8679</v>
      </c>
      <c r="M232" s="85">
        <v>223558182.84009999</v>
      </c>
      <c r="N232" s="75">
        <f t="shared" si="63"/>
        <v>385098652.27270001</v>
      </c>
      <c r="O232" s="74"/>
      <c r="P232" s="178"/>
      <c r="Q232" s="78">
        <v>9</v>
      </c>
      <c r="R232" s="178"/>
      <c r="S232" s="70" t="s">
        <v>584</v>
      </c>
      <c r="T232" s="70">
        <v>8570965.9800000004</v>
      </c>
      <c r="U232" s="70">
        <v>0</v>
      </c>
      <c r="V232" s="70">
        <v>89403463.439999998</v>
      </c>
      <c r="W232" s="70">
        <v>18146259.690000001</v>
      </c>
      <c r="X232" s="70">
        <v>5535578.8399999999</v>
      </c>
      <c r="Y232" s="70">
        <v>3483620.6732000001</v>
      </c>
      <c r="Z232" s="70">
        <v>0</v>
      </c>
      <c r="AA232" s="70">
        <f t="shared" si="59"/>
        <v>3483620.6732000001</v>
      </c>
      <c r="AB232" s="70">
        <v>191945420.52000001</v>
      </c>
      <c r="AC232" s="75">
        <f t="shared" si="52"/>
        <v>317085309.14320004</v>
      </c>
    </row>
    <row r="233" spans="1:29" ht="24.95" customHeight="1">
      <c r="A233" s="183"/>
      <c r="B233" s="178"/>
      <c r="C233" s="66">
        <v>6</v>
      </c>
      <c r="D233" s="70" t="s">
        <v>585</v>
      </c>
      <c r="E233" s="70">
        <v>11557603.3334</v>
      </c>
      <c r="F233" s="70">
        <v>0</v>
      </c>
      <c r="G233" s="70">
        <v>120556979.1666</v>
      </c>
      <c r="H233" s="70">
        <v>24469502.263900001</v>
      </c>
      <c r="I233" s="70">
        <v>6211942.8433999997</v>
      </c>
      <c r="J233" s="70">
        <v>4697522.5428999998</v>
      </c>
      <c r="K233" s="70">
        <v>0</v>
      </c>
      <c r="L233" s="70">
        <f t="shared" si="62"/>
        <v>4697522.5428999998</v>
      </c>
      <c r="M233" s="85">
        <v>217763046.6417</v>
      </c>
      <c r="N233" s="75">
        <f t="shared" si="63"/>
        <v>385256596.79190004</v>
      </c>
      <c r="O233" s="74"/>
      <c r="P233" s="178"/>
      <c r="Q233" s="78">
        <v>10</v>
      </c>
      <c r="R233" s="178"/>
      <c r="S233" s="70" t="s">
        <v>586</v>
      </c>
      <c r="T233" s="70">
        <v>9729740.0700000003</v>
      </c>
      <c r="U233" s="70">
        <v>0</v>
      </c>
      <c r="V233" s="70">
        <v>101490597.78</v>
      </c>
      <c r="W233" s="70">
        <v>20599590.579999998</v>
      </c>
      <c r="X233" s="70">
        <v>6282683.0099999998</v>
      </c>
      <c r="Y233" s="70">
        <v>3954597.8528999998</v>
      </c>
      <c r="Z233" s="70">
        <v>0</v>
      </c>
      <c r="AA233" s="70">
        <f t="shared" si="59"/>
        <v>3954597.8528999998</v>
      </c>
      <c r="AB233" s="70">
        <v>219117298.84</v>
      </c>
      <c r="AC233" s="75">
        <f t="shared" si="52"/>
        <v>361174508.1329</v>
      </c>
    </row>
    <row r="234" spans="1:29" ht="24.95" customHeight="1">
      <c r="A234" s="183"/>
      <c r="B234" s="178"/>
      <c r="C234" s="66">
        <v>7</v>
      </c>
      <c r="D234" s="70" t="s">
        <v>587</v>
      </c>
      <c r="E234" s="70">
        <v>13504179.0392</v>
      </c>
      <c r="F234" s="70">
        <v>0</v>
      </c>
      <c r="G234" s="70">
        <v>140861646.15059999</v>
      </c>
      <c r="H234" s="70">
        <v>28590749.3138</v>
      </c>
      <c r="I234" s="70">
        <v>7256741.1887999997</v>
      </c>
      <c r="J234" s="70">
        <v>5488697.2351000002</v>
      </c>
      <c r="K234" s="70">
        <v>0</v>
      </c>
      <c r="L234" s="70">
        <f t="shared" si="62"/>
        <v>5488697.2351000002</v>
      </c>
      <c r="M234" s="85">
        <v>255761942.3572</v>
      </c>
      <c r="N234" s="75">
        <f t="shared" si="63"/>
        <v>451463955.28470004</v>
      </c>
      <c r="O234" s="74"/>
      <c r="P234" s="178"/>
      <c r="Q234" s="78">
        <v>11</v>
      </c>
      <c r="R234" s="178"/>
      <c r="S234" s="70" t="s">
        <v>588</v>
      </c>
      <c r="T234" s="70">
        <v>10302146.68</v>
      </c>
      <c r="U234" s="70">
        <v>0</v>
      </c>
      <c r="V234" s="70">
        <v>107461352.23</v>
      </c>
      <c r="W234" s="70">
        <v>21811477.190000001</v>
      </c>
      <c r="X234" s="70">
        <v>6726958.7999999998</v>
      </c>
      <c r="Y234" s="70">
        <v>4187249.2831999999</v>
      </c>
      <c r="Z234" s="70">
        <v>0</v>
      </c>
      <c r="AA234" s="70">
        <f t="shared" si="59"/>
        <v>4187249.2831999999</v>
      </c>
      <c r="AB234" s="70">
        <v>235275430.72999999</v>
      </c>
      <c r="AC234" s="75">
        <f t="shared" si="52"/>
        <v>385764614.91320002</v>
      </c>
    </row>
    <row r="235" spans="1:29" ht="24.95" customHeight="1">
      <c r="A235" s="183"/>
      <c r="B235" s="178"/>
      <c r="C235" s="66">
        <v>8</v>
      </c>
      <c r="D235" s="70" t="s">
        <v>589</v>
      </c>
      <c r="E235" s="70">
        <v>11961642.005899999</v>
      </c>
      <c r="F235" s="70">
        <v>0</v>
      </c>
      <c r="G235" s="70">
        <v>124771493.23360001</v>
      </c>
      <c r="H235" s="70">
        <v>25324924.009</v>
      </c>
      <c r="I235" s="70">
        <v>6440966.9945</v>
      </c>
      <c r="J235" s="70">
        <v>4861741.7774999999</v>
      </c>
      <c r="K235" s="70">
        <v>0</v>
      </c>
      <c r="L235" s="70">
        <f t="shared" si="62"/>
        <v>4861741.7774999999</v>
      </c>
      <c r="M235" s="85">
        <v>226092562.92879999</v>
      </c>
      <c r="N235" s="75">
        <f t="shared" si="63"/>
        <v>399453330.94930005</v>
      </c>
      <c r="O235" s="74"/>
      <c r="P235" s="178"/>
      <c r="Q235" s="78">
        <v>12</v>
      </c>
      <c r="R235" s="178"/>
      <c r="S235" s="70" t="s">
        <v>590</v>
      </c>
      <c r="T235" s="70">
        <v>11906907.460000001</v>
      </c>
      <c r="U235" s="70">
        <v>0</v>
      </c>
      <c r="V235" s="70">
        <v>124200559.02</v>
      </c>
      <c r="W235" s="70">
        <v>25209041.25</v>
      </c>
      <c r="X235" s="70">
        <v>6994361.1500000004</v>
      </c>
      <c r="Y235" s="70">
        <v>4839495.2319</v>
      </c>
      <c r="Z235" s="70">
        <v>0</v>
      </c>
      <c r="AA235" s="70">
        <f t="shared" si="59"/>
        <v>4839495.2319</v>
      </c>
      <c r="AB235" s="70">
        <v>245000746.69999999</v>
      </c>
      <c r="AC235" s="75">
        <f t="shared" si="52"/>
        <v>418151110.81190002</v>
      </c>
    </row>
    <row r="236" spans="1:29" ht="24.95" customHeight="1">
      <c r="A236" s="183"/>
      <c r="B236" s="178"/>
      <c r="C236" s="66">
        <v>9</v>
      </c>
      <c r="D236" s="70" t="s">
        <v>591</v>
      </c>
      <c r="E236" s="70">
        <v>10822420.2163</v>
      </c>
      <c r="F236" s="70">
        <v>0</v>
      </c>
      <c r="G236" s="70">
        <v>112888308.3215</v>
      </c>
      <c r="H236" s="70">
        <v>22912988.821800001</v>
      </c>
      <c r="I236" s="70">
        <v>6054245.6668999996</v>
      </c>
      <c r="J236" s="70">
        <v>4398711.5208000001</v>
      </c>
      <c r="K236" s="70">
        <v>0</v>
      </c>
      <c r="L236" s="70">
        <f t="shared" si="62"/>
        <v>4398711.5208000001</v>
      </c>
      <c r="M236" s="85">
        <v>212027663.74070001</v>
      </c>
      <c r="N236" s="75">
        <f t="shared" si="63"/>
        <v>369104338.28799999</v>
      </c>
      <c r="O236" s="74"/>
      <c r="P236" s="178"/>
      <c r="Q236" s="78">
        <v>13</v>
      </c>
      <c r="R236" s="178"/>
      <c r="S236" s="70" t="s">
        <v>592</v>
      </c>
      <c r="T236" s="70">
        <v>11098955.220000001</v>
      </c>
      <c r="U236" s="70">
        <v>0</v>
      </c>
      <c r="V236" s="70">
        <v>115772835.87</v>
      </c>
      <c r="W236" s="70">
        <v>23498462.629999999</v>
      </c>
      <c r="X236" s="70">
        <v>6552909.1699999999</v>
      </c>
      <c r="Y236" s="70">
        <v>4511107.6114999996</v>
      </c>
      <c r="Z236" s="70">
        <v>0</v>
      </c>
      <c r="AA236" s="70">
        <f t="shared" si="59"/>
        <v>4511107.6114999996</v>
      </c>
      <c r="AB236" s="70">
        <v>228945315.78999999</v>
      </c>
      <c r="AC236" s="75">
        <f t="shared" si="52"/>
        <v>390379586.29149997</v>
      </c>
    </row>
    <row r="237" spans="1:29" ht="24.95" customHeight="1">
      <c r="A237" s="183"/>
      <c r="B237" s="178"/>
      <c r="C237" s="66">
        <v>10</v>
      </c>
      <c r="D237" s="70" t="s">
        <v>593</v>
      </c>
      <c r="E237" s="70">
        <v>15032294.8638</v>
      </c>
      <c r="F237" s="70">
        <v>0</v>
      </c>
      <c r="G237" s="70">
        <v>156801371.9149</v>
      </c>
      <c r="H237" s="70">
        <v>31826042.354200002</v>
      </c>
      <c r="I237" s="70">
        <v>7506623.057</v>
      </c>
      <c r="J237" s="70">
        <v>6109791.2739000004</v>
      </c>
      <c r="K237" s="70">
        <v>0</v>
      </c>
      <c r="L237" s="70">
        <f t="shared" si="62"/>
        <v>6109791.2739000004</v>
      </c>
      <c r="M237" s="85">
        <v>264850045.42719999</v>
      </c>
      <c r="N237" s="75">
        <f t="shared" si="63"/>
        <v>482126168.89100003</v>
      </c>
      <c r="O237" s="74"/>
      <c r="P237" s="178"/>
      <c r="Q237" s="78">
        <v>14</v>
      </c>
      <c r="R237" s="178"/>
      <c r="S237" s="70" t="s">
        <v>594</v>
      </c>
      <c r="T237" s="70">
        <v>9674851.4499999993</v>
      </c>
      <c r="U237" s="70">
        <v>0</v>
      </c>
      <c r="V237" s="70">
        <v>100918056.41</v>
      </c>
      <c r="W237" s="70">
        <v>20483381.609999999</v>
      </c>
      <c r="X237" s="70">
        <v>6317300.4000000004</v>
      </c>
      <c r="Y237" s="70">
        <v>3932288.6842999998</v>
      </c>
      <c r="Z237" s="70">
        <v>0</v>
      </c>
      <c r="AA237" s="70">
        <f t="shared" si="59"/>
        <v>3932288.6842999998</v>
      </c>
      <c r="AB237" s="70">
        <v>220376319.49000001</v>
      </c>
      <c r="AC237" s="75">
        <f t="shared" si="52"/>
        <v>361702198.04430002</v>
      </c>
    </row>
    <row r="238" spans="1:29" ht="24.95" customHeight="1">
      <c r="A238" s="183"/>
      <c r="B238" s="178"/>
      <c r="C238" s="66">
        <v>11</v>
      </c>
      <c r="D238" s="70" t="s">
        <v>595</v>
      </c>
      <c r="E238" s="70">
        <v>11661829.884500001</v>
      </c>
      <c r="F238" s="70">
        <v>0</v>
      </c>
      <c r="G238" s="70">
        <v>121644162.8838</v>
      </c>
      <c r="H238" s="70">
        <v>24690168.413800001</v>
      </c>
      <c r="I238" s="70">
        <v>6409879.3695</v>
      </c>
      <c r="J238" s="70">
        <v>4739884.8354000002</v>
      </c>
      <c r="K238" s="70">
        <v>0</v>
      </c>
      <c r="L238" s="70">
        <f t="shared" si="62"/>
        <v>4739884.8354000002</v>
      </c>
      <c r="M238" s="85">
        <v>224961918.5054</v>
      </c>
      <c r="N238" s="75">
        <f t="shared" si="63"/>
        <v>394107843.89240003</v>
      </c>
      <c r="O238" s="74"/>
      <c r="P238" s="178"/>
      <c r="Q238" s="78">
        <v>15</v>
      </c>
      <c r="R238" s="178"/>
      <c r="S238" s="70" t="s">
        <v>596</v>
      </c>
      <c r="T238" s="70">
        <v>7602703.9199999999</v>
      </c>
      <c r="U238" s="70">
        <v>0</v>
      </c>
      <c r="V238" s="70">
        <v>79303553.810000002</v>
      </c>
      <c r="W238" s="70">
        <v>16096276.66</v>
      </c>
      <c r="X238" s="70">
        <v>5055825.67</v>
      </c>
      <c r="Y238" s="70">
        <v>3090076.0315</v>
      </c>
      <c r="Z238" s="70">
        <v>0</v>
      </c>
      <c r="AA238" s="70">
        <f t="shared" si="59"/>
        <v>3090076.0315</v>
      </c>
      <c r="AB238" s="70">
        <v>174496990.86000001</v>
      </c>
      <c r="AC238" s="75">
        <f t="shared" si="52"/>
        <v>285645426.9515</v>
      </c>
    </row>
    <row r="239" spans="1:29" ht="24.95" customHeight="1">
      <c r="A239" s="183"/>
      <c r="B239" s="178"/>
      <c r="C239" s="66">
        <v>12</v>
      </c>
      <c r="D239" s="70" t="s">
        <v>597</v>
      </c>
      <c r="E239" s="70">
        <v>12867933.4713</v>
      </c>
      <c r="F239" s="70">
        <v>0</v>
      </c>
      <c r="G239" s="70">
        <v>134224989.616</v>
      </c>
      <c r="H239" s="70">
        <v>27243704.2632</v>
      </c>
      <c r="I239" s="70">
        <v>7022274.7779999999</v>
      </c>
      <c r="J239" s="70">
        <v>5230098.8205000004</v>
      </c>
      <c r="K239" s="70">
        <v>0</v>
      </c>
      <c r="L239" s="70">
        <f t="shared" si="62"/>
        <v>5230098.8205000004</v>
      </c>
      <c r="M239" s="85">
        <v>247234493.27270001</v>
      </c>
      <c r="N239" s="75">
        <f t="shared" si="63"/>
        <v>433823494.22169995</v>
      </c>
      <c r="O239" s="74"/>
      <c r="P239" s="178"/>
      <c r="Q239" s="78">
        <v>16</v>
      </c>
      <c r="R239" s="178"/>
      <c r="S239" s="70" t="s">
        <v>336</v>
      </c>
      <c r="T239" s="70">
        <v>9796803.5299999993</v>
      </c>
      <c r="U239" s="70">
        <v>0</v>
      </c>
      <c r="V239" s="70">
        <v>102190134.54000001</v>
      </c>
      <c r="W239" s="70">
        <v>20741575.859999999</v>
      </c>
      <c r="X239" s="70">
        <v>5821977.75</v>
      </c>
      <c r="Y239" s="70">
        <v>3981855.4177999999</v>
      </c>
      <c r="Z239" s="70">
        <v>0</v>
      </c>
      <c r="AA239" s="70">
        <f t="shared" si="59"/>
        <v>3981855.4177999999</v>
      </c>
      <c r="AB239" s="70">
        <v>202361633.97999999</v>
      </c>
      <c r="AC239" s="75">
        <f t="shared" si="52"/>
        <v>344893981.07780004</v>
      </c>
    </row>
    <row r="240" spans="1:29" ht="24.95" customHeight="1">
      <c r="A240" s="183"/>
      <c r="B240" s="179"/>
      <c r="C240" s="66">
        <v>13</v>
      </c>
      <c r="D240" s="70" t="s">
        <v>598</v>
      </c>
      <c r="E240" s="70">
        <v>14093580.0042</v>
      </c>
      <c r="F240" s="70">
        <v>0</v>
      </c>
      <c r="G240" s="70">
        <v>147009668.1758</v>
      </c>
      <c r="H240" s="70">
        <v>29838616.0064</v>
      </c>
      <c r="I240" s="70">
        <v>7541997.7450999999</v>
      </c>
      <c r="J240" s="70">
        <v>5728255.9255999997</v>
      </c>
      <c r="K240" s="70">
        <v>0</v>
      </c>
      <c r="L240" s="70">
        <f t="shared" si="62"/>
        <v>5728255.9255999997</v>
      </c>
      <c r="M240" s="85">
        <v>266136608.61090001</v>
      </c>
      <c r="N240" s="75">
        <f t="shared" si="63"/>
        <v>470348726.46799999</v>
      </c>
      <c r="O240" s="74"/>
      <c r="P240" s="178"/>
      <c r="Q240" s="78">
        <v>17</v>
      </c>
      <c r="R240" s="178"/>
      <c r="S240" s="70" t="s">
        <v>599</v>
      </c>
      <c r="T240" s="70">
        <v>8637221.7799999993</v>
      </c>
      <c r="U240" s="70">
        <v>0</v>
      </c>
      <c r="V240" s="70">
        <v>90094575.549999997</v>
      </c>
      <c r="W240" s="70">
        <v>18286535.010000002</v>
      </c>
      <c r="X240" s="70">
        <v>5376598.1100000003</v>
      </c>
      <c r="Y240" s="70">
        <v>3510549.9703000002</v>
      </c>
      <c r="Z240" s="70">
        <v>0</v>
      </c>
      <c r="AA240" s="70">
        <f t="shared" si="59"/>
        <v>3510549.9703000002</v>
      </c>
      <c r="AB240" s="70">
        <v>186163355.34999999</v>
      </c>
      <c r="AC240" s="75">
        <f t="shared" si="52"/>
        <v>312068835.77030003</v>
      </c>
    </row>
    <row r="241" spans="1:29" ht="24.95" customHeight="1">
      <c r="A241" s="66"/>
      <c r="B241" s="190" t="s">
        <v>600</v>
      </c>
      <c r="C241" s="191"/>
      <c r="D241" s="71"/>
      <c r="E241" s="71">
        <f t="shared" ref="E241:N241" si="64">SUM(E228:E240)</f>
        <v>159031625.5361</v>
      </c>
      <c r="F241" s="71">
        <f t="shared" si="64"/>
        <v>0</v>
      </c>
      <c r="G241" s="71">
        <f t="shared" si="64"/>
        <v>1658853640.6341002</v>
      </c>
      <c r="H241" s="71">
        <f t="shared" si="64"/>
        <v>336698241.74089998</v>
      </c>
      <c r="I241" s="71">
        <f t="shared" si="64"/>
        <v>86426450.980599999</v>
      </c>
      <c r="J241" s="71">
        <f t="shared" si="64"/>
        <v>64637505.236900002</v>
      </c>
      <c r="K241" s="71">
        <f t="shared" si="64"/>
        <v>0</v>
      </c>
      <c r="L241" s="71">
        <f t="shared" si="64"/>
        <v>64637505.236900002</v>
      </c>
      <c r="M241" s="71">
        <f t="shared" si="64"/>
        <v>3037178652.3670998</v>
      </c>
      <c r="N241" s="71">
        <f t="shared" si="64"/>
        <v>5342826116.4956999</v>
      </c>
      <c r="O241" s="74"/>
      <c r="P241" s="178"/>
      <c r="Q241" s="78">
        <v>18</v>
      </c>
      <c r="R241" s="178"/>
      <c r="S241" s="70" t="s">
        <v>601</v>
      </c>
      <c r="T241" s="70">
        <v>9004397.2200000007</v>
      </c>
      <c r="U241" s="70">
        <v>0</v>
      </c>
      <c r="V241" s="70">
        <v>93924570.379999995</v>
      </c>
      <c r="W241" s="70">
        <v>19063910.719999999</v>
      </c>
      <c r="X241" s="70">
        <v>5948253.5800000001</v>
      </c>
      <c r="Y241" s="70">
        <v>3659786.3495999998</v>
      </c>
      <c r="Z241" s="70">
        <v>0</v>
      </c>
      <c r="AA241" s="70">
        <f t="shared" si="59"/>
        <v>3659786.3495999998</v>
      </c>
      <c r="AB241" s="70">
        <v>206954235.06999999</v>
      </c>
      <c r="AC241" s="75">
        <f t="shared" si="52"/>
        <v>338555153.31959999</v>
      </c>
    </row>
    <row r="242" spans="1:29" ht="24.95" customHeight="1">
      <c r="A242" s="183">
        <v>12</v>
      </c>
      <c r="B242" s="177" t="s">
        <v>602</v>
      </c>
      <c r="C242" s="66">
        <v>1</v>
      </c>
      <c r="D242" s="70" t="s">
        <v>603</v>
      </c>
      <c r="E242" s="70">
        <v>14632131.296499999</v>
      </c>
      <c r="F242" s="70">
        <v>0</v>
      </c>
      <c r="G242" s="70">
        <v>152627278.94299999</v>
      </c>
      <c r="H242" s="70">
        <v>30978824.896299999</v>
      </c>
      <c r="I242" s="70">
        <v>9762576.9991999995</v>
      </c>
      <c r="J242" s="70">
        <v>5947147.0541000003</v>
      </c>
      <c r="K242" s="70">
        <f t="shared" ref="K242:K259" si="65">J242/2</f>
        <v>2973573.5270500001</v>
      </c>
      <c r="L242" s="70">
        <f t="shared" ref="L242:L259" si="66">J242-K242</f>
        <v>2973573.5270500001</v>
      </c>
      <c r="M242" s="85">
        <v>336624215.9612</v>
      </c>
      <c r="N242" s="75">
        <f t="shared" ref="N242:N259" si="67">E242+F242+G242+H242+I242+L242+M242</f>
        <v>547598601.62325001</v>
      </c>
      <c r="O242" s="74"/>
      <c r="P242" s="178"/>
      <c r="Q242" s="78">
        <v>19</v>
      </c>
      <c r="R242" s="178"/>
      <c r="S242" s="70" t="s">
        <v>604</v>
      </c>
      <c r="T242" s="70">
        <v>9541909.2200000007</v>
      </c>
      <c r="U242" s="70">
        <v>0</v>
      </c>
      <c r="V242" s="70">
        <v>99531340.359999999</v>
      </c>
      <c r="W242" s="70">
        <v>20201919.25</v>
      </c>
      <c r="X242" s="70">
        <v>5909349.1299999999</v>
      </c>
      <c r="Y242" s="70">
        <v>3878255.0649000001</v>
      </c>
      <c r="Z242" s="70">
        <v>0</v>
      </c>
      <c r="AA242" s="70">
        <f t="shared" si="59"/>
        <v>3878255.0649000001</v>
      </c>
      <c r="AB242" s="70">
        <v>205539295.66</v>
      </c>
      <c r="AC242" s="75">
        <f t="shared" si="52"/>
        <v>344602068.68490005</v>
      </c>
    </row>
    <row r="243" spans="1:29" ht="24.95" customHeight="1">
      <c r="A243" s="183"/>
      <c r="B243" s="178"/>
      <c r="C243" s="66">
        <v>2</v>
      </c>
      <c r="D243" s="70" t="s">
        <v>605</v>
      </c>
      <c r="E243" s="70">
        <v>13897340.8028</v>
      </c>
      <c r="F243" s="70">
        <v>0</v>
      </c>
      <c r="G243" s="70">
        <v>144962703.5386</v>
      </c>
      <c r="H243" s="70">
        <v>29423142.707699999</v>
      </c>
      <c r="I243" s="70">
        <v>10761039.1239</v>
      </c>
      <c r="J243" s="70">
        <v>5648495.6114999996</v>
      </c>
      <c r="K243" s="70">
        <f t="shared" si="65"/>
        <v>2824247.8057499998</v>
      </c>
      <c r="L243" s="70">
        <f t="shared" si="66"/>
        <v>2824247.8057499998</v>
      </c>
      <c r="M243" s="85">
        <v>372937881.96219999</v>
      </c>
      <c r="N243" s="75">
        <f t="shared" si="67"/>
        <v>574806355.94094992</v>
      </c>
      <c r="O243" s="74"/>
      <c r="P243" s="178"/>
      <c r="Q243" s="78">
        <v>20</v>
      </c>
      <c r="R243" s="178"/>
      <c r="S243" s="70" t="s">
        <v>344</v>
      </c>
      <c r="T243" s="70">
        <v>9443129.2400000002</v>
      </c>
      <c r="U243" s="70">
        <v>0</v>
      </c>
      <c r="V243" s="70">
        <v>98500969.640000001</v>
      </c>
      <c r="W243" s="70">
        <v>19992784.460000001</v>
      </c>
      <c r="X243" s="70">
        <v>6113972.96</v>
      </c>
      <c r="Y243" s="70">
        <v>3838106.5002000001</v>
      </c>
      <c r="Z243" s="70">
        <v>0</v>
      </c>
      <c r="AA243" s="70">
        <f t="shared" si="59"/>
        <v>3838106.5002000001</v>
      </c>
      <c r="AB243" s="70">
        <v>212981382.12</v>
      </c>
      <c r="AC243" s="75">
        <f t="shared" si="52"/>
        <v>350870344.92019999</v>
      </c>
    </row>
    <row r="244" spans="1:29" ht="24.95" customHeight="1">
      <c r="A244" s="183"/>
      <c r="B244" s="178"/>
      <c r="C244" s="66">
        <v>3</v>
      </c>
      <c r="D244" s="70" t="s">
        <v>606</v>
      </c>
      <c r="E244" s="70">
        <v>9196124.9520999994</v>
      </c>
      <c r="F244" s="70">
        <v>0</v>
      </c>
      <c r="G244" s="70">
        <v>95924476.060399994</v>
      </c>
      <c r="H244" s="70">
        <v>19469832.442299999</v>
      </c>
      <c r="I244" s="70">
        <v>7749967.7465000004</v>
      </c>
      <c r="J244" s="70">
        <v>3737713.0036999998</v>
      </c>
      <c r="K244" s="70">
        <f t="shared" si="65"/>
        <v>1868856.5018499999</v>
      </c>
      <c r="L244" s="70">
        <f t="shared" si="66"/>
        <v>1868856.5018499999</v>
      </c>
      <c r="M244" s="85">
        <v>263426426.69850001</v>
      </c>
      <c r="N244" s="75">
        <f t="shared" si="67"/>
        <v>397635684.40164995</v>
      </c>
      <c r="O244" s="74"/>
      <c r="P244" s="178"/>
      <c r="Q244" s="78">
        <v>21</v>
      </c>
      <c r="R244" s="178"/>
      <c r="S244" s="70" t="s">
        <v>607</v>
      </c>
      <c r="T244" s="70">
        <v>10217109.939999999</v>
      </c>
      <c r="U244" s="70">
        <v>0</v>
      </c>
      <c r="V244" s="70">
        <v>106574336.84</v>
      </c>
      <c r="W244" s="70">
        <v>21631439.300000001</v>
      </c>
      <c r="X244" s="70">
        <v>6423334.6200000001</v>
      </c>
      <c r="Y244" s="70">
        <v>4152686.5824000002</v>
      </c>
      <c r="Z244" s="70">
        <v>0</v>
      </c>
      <c r="AA244" s="70">
        <f t="shared" si="59"/>
        <v>4152686.5824000002</v>
      </c>
      <c r="AB244" s="70">
        <v>224232741.28</v>
      </c>
      <c r="AC244" s="75">
        <f t="shared" si="52"/>
        <v>373231648.56239998</v>
      </c>
    </row>
    <row r="245" spans="1:29" ht="24.95" customHeight="1">
      <c r="A245" s="183"/>
      <c r="B245" s="178"/>
      <c r="C245" s="66">
        <v>4</v>
      </c>
      <c r="D245" s="70" t="s">
        <v>608</v>
      </c>
      <c r="E245" s="70">
        <v>9467681.5875000004</v>
      </c>
      <c r="F245" s="70">
        <v>0</v>
      </c>
      <c r="G245" s="70">
        <v>98757074.367400005</v>
      </c>
      <c r="H245" s="70">
        <v>20044766.1472</v>
      </c>
      <c r="I245" s="70">
        <v>7930127.0798000004</v>
      </c>
      <c r="J245" s="70">
        <v>3848085.6630000002</v>
      </c>
      <c r="K245" s="70">
        <f t="shared" si="65"/>
        <v>1924042.8315000001</v>
      </c>
      <c r="L245" s="70">
        <f t="shared" si="66"/>
        <v>1924042.8315000001</v>
      </c>
      <c r="M245" s="85">
        <v>269978749.2119</v>
      </c>
      <c r="N245" s="75">
        <f t="shared" si="67"/>
        <v>408102441.22530001</v>
      </c>
      <c r="O245" s="74"/>
      <c r="P245" s="178"/>
      <c r="Q245" s="78">
        <v>22</v>
      </c>
      <c r="R245" s="178"/>
      <c r="S245" s="70" t="s">
        <v>609</v>
      </c>
      <c r="T245" s="70">
        <v>9273721.8300000001</v>
      </c>
      <c r="U245" s="70">
        <v>0</v>
      </c>
      <c r="V245" s="70">
        <v>96733886.560000002</v>
      </c>
      <c r="W245" s="70">
        <v>19634118.84</v>
      </c>
      <c r="X245" s="70">
        <v>5904497.2999999998</v>
      </c>
      <c r="Y245" s="70">
        <v>3769251.8169999998</v>
      </c>
      <c r="Z245" s="70">
        <v>0</v>
      </c>
      <c r="AA245" s="70">
        <f t="shared" si="59"/>
        <v>3769251.8169999998</v>
      </c>
      <c r="AB245" s="70">
        <v>205362836.71000001</v>
      </c>
      <c r="AC245" s="75">
        <f t="shared" si="52"/>
        <v>340678313.05700004</v>
      </c>
    </row>
    <row r="246" spans="1:29" ht="24.95" customHeight="1">
      <c r="A246" s="183"/>
      <c r="B246" s="178"/>
      <c r="C246" s="66">
        <v>5</v>
      </c>
      <c r="D246" s="70" t="s">
        <v>610</v>
      </c>
      <c r="E246" s="70">
        <v>11336080.2982</v>
      </c>
      <c r="F246" s="70">
        <v>0</v>
      </c>
      <c r="G246" s="70">
        <v>118246279.69230001</v>
      </c>
      <c r="H246" s="70">
        <v>24000498.5911</v>
      </c>
      <c r="I246" s="70">
        <v>8551045.2723999992</v>
      </c>
      <c r="J246" s="70">
        <v>4607485.7573999995</v>
      </c>
      <c r="K246" s="70">
        <f t="shared" si="65"/>
        <v>2303742.8786999998</v>
      </c>
      <c r="L246" s="70">
        <f t="shared" si="66"/>
        <v>2303742.8786999998</v>
      </c>
      <c r="M246" s="85">
        <v>292561294.20920002</v>
      </c>
      <c r="N246" s="75">
        <f t="shared" si="67"/>
        <v>456998940.94190001</v>
      </c>
      <c r="O246" s="74"/>
      <c r="P246" s="178"/>
      <c r="Q246" s="78">
        <v>23</v>
      </c>
      <c r="R246" s="178"/>
      <c r="S246" s="70" t="s">
        <v>611</v>
      </c>
      <c r="T246" s="70">
        <v>11403342.380000001</v>
      </c>
      <c r="U246" s="70">
        <v>0</v>
      </c>
      <c r="V246" s="70">
        <v>118947888.26000001</v>
      </c>
      <c r="W246" s="70">
        <v>24142904.390000001</v>
      </c>
      <c r="X246" s="70">
        <v>7036590</v>
      </c>
      <c r="Y246" s="70">
        <v>4634824.0508000003</v>
      </c>
      <c r="Z246" s="70">
        <v>0</v>
      </c>
      <c r="AA246" s="70">
        <f t="shared" si="59"/>
        <v>4634824.0508000003</v>
      </c>
      <c r="AB246" s="70">
        <v>246536593.16999999</v>
      </c>
      <c r="AC246" s="75">
        <f t="shared" si="52"/>
        <v>412702142.25080001</v>
      </c>
    </row>
    <row r="247" spans="1:29" ht="24.95" customHeight="1">
      <c r="A247" s="183"/>
      <c r="B247" s="178"/>
      <c r="C247" s="66">
        <v>6</v>
      </c>
      <c r="D247" s="70" t="s">
        <v>612</v>
      </c>
      <c r="E247" s="70">
        <v>9635258.4302999992</v>
      </c>
      <c r="F247" s="70">
        <v>0</v>
      </c>
      <c r="G247" s="70">
        <v>100505062.8876</v>
      </c>
      <c r="H247" s="70">
        <v>20399556.134100001</v>
      </c>
      <c r="I247" s="70">
        <v>8013506.6059999997</v>
      </c>
      <c r="J247" s="70">
        <v>3916196.3234999999</v>
      </c>
      <c r="K247" s="70">
        <f t="shared" si="65"/>
        <v>1958098.16175</v>
      </c>
      <c r="L247" s="70">
        <f t="shared" si="66"/>
        <v>1958098.16175</v>
      </c>
      <c r="M247" s="85">
        <v>273011229.0528</v>
      </c>
      <c r="N247" s="75">
        <f t="shared" si="67"/>
        <v>413522711.27254999</v>
      </c>
      <c r="O247" s="74"/>
      <c r="P247" s="178"/>
      <c r="Q247" s="78">
        <v>24</v>
      </c>
      <c r="R247" s="178"/>
      <c r="S247" s="70" t="s">
        <v>613</v>
      </c>
      <c r="T247" s="70">
        <v>9456375.6799999997</v>
      </c>
      <c r="U247" s="70">
        <v>0</v>
      </c>
      <c r="V247" s="70">
        <v>98639142.790000007</v>
      </c>
      <c r="W247" s="70">
        <v>20020829.52</v>
      </c>
      <c r="X247" s="70">
        <v>6075646.0999999996</v>
      </c>
      <c r="Y247" s="70">
        <v>3843490.4396000002</v>
      </c>
      <c r="Z247" s="70">
        <v>0</v>
      </c>
      <c r="AA247" s="70">
        <f t="shared" si="59"/>
        <v>3843490.4396000002</v>
      </c>
      <c r="AB247" s="70">
        <v>211587449.72999999</v>
      </c>
      <c r="AC247" s="75">
        <f t="shared" si="52"/>
        <v>349622934.25959998</v>
      </c>
    </row>
    <row r="248" spans="1:29" ht="24.95" customHeight="1">
      <c r="A248" s="183"/>
      <c r="B248" s="178"/>
      <c r="C248" s="66">
        <v>7</v>
      </c>
      <c r="D248" s="70" t="s">
        <v>614</v>
      </c>
      <c r="E248" s="70">
        <v>9644120.7764999997</v>
      </c>
      <c r="F248" s="70">
        <v>0</v>
      </c>
      <c r="G248" s="70">
        <v>100597505.7281</v>
      </c>
      <c r="H248" s="70">
        <v>20418319.297400001</v>
      </c>
      <c r="I248" s="70">
        <v>7612178.4587000003</v>
      </c>
      <c r="J248" s="70">
        <v>3919798.3739999998</v>
      </c>
      <c r="K248" s="70">
        <f t="shared" si="65"/>
        <v>1959899.1869999999</v>
      </c>
      <c r="L248" s="70">
        <f t="shared" si="66"/>
        <v>1959899.1869999999</v>
      </c>
      <c r="M248" s="85">
        <v>258415085.7053</v>
      </c>
      <c r="N248" s="75">
        <f t="shared" si="67"/>
        <v>398647109.153</v>
      </c>
      <c r="O248" s="74"/>
      <c r="P248" s="178"/>
      <c r="Q248" s="78">
        <v>25</v>
      </c>
      <c r="R248" s="178"/>
      <c r="S248" s="70" t="s">
        <v>615</v>
      </c>
      <c r="T248" s="70">
        <v>12458657.279999999</v>
      </c>
      <c r="U248" s="70">
        <v>0</v>
      </c>
      <c r="V248" s="70">
        <v>129955843.19</v>
      </c>
      <c r="W248" s="70">
        <v>26377193.77</v>
      </c>
      <c r="X248" s="70">
        <v>6301538.3799999999</v>
      </c>
      <c r="Y248" s="70">
        <v>5063750.8273</v>
      </c>
      <c r="Z248" s="70">
        <v>0</v>
      </c>
      <c r="AA248" s="70">
        <f t="shared" si="59"/>
        <v>5063750.8273</v>
      </c>
      <c r="AB248" s="70">
        <v>219803061.30000001</v>
      </c>
      <c r="AC248" s="75">
        <f t="shared" si="52"/>
        <v>399960044.74730003</v>
      </c>
    </row>
    <row r="249" spans="1:29" ht="24.95" customHeight="1">
      <c r="A249" s="183"/>
      <c r="B249" s="178"/>
      <c r="C249" s="66">
        <v>8</v>
      </c>
      <c r="D249" s="70" t="s">
        <v>616</v>
      </c>
      <c r="E249" s="70">
        <v>11187984.111199999</v>
      </c>
      <c r="F249" s="70">
        <v>0</v>
      </c>
      <c r="G249" s="70">
        <v>116701493.2507</v>
      </c>
      <c r="H249" s="70">
        <v>23686952.618099999</v>
      </c>
      <c r="I249" s="70">
        <v>8272193.6397000002</v>
      </c>
      <c r="J249" s="70">
        <v>4547292.8992999997</v>
      </c>
      <c r="K249" s="70">
        <f t="shared" si="65"/>
        <v>2273646.4496499998</v>
      </c>
      <c r="L249" s="70">
        <f t="shared" si="66"/>
        <v>2273646.4496499998</v>
      </c>
      <c r="M249" s="85">
        <v>282419572.45069999</v>
      </c>
      <c r="N249" s="75">
        <f t="shared" si="67"/>
        <v>444541842.52004993</v>
      </c>
      <c r="O249" s="74"/>
      <c r="P249" s="178"/>
      <c r="Q249" s="78">
        <v>26</v>
      </c>
      <c r="R249" s="178"/>
      <c r="S249" s="70" t="s">
        <v>617</v>
      </c>
      <c r="T249" s="70">
        <v>8527660.4199999999</v>
      </c>
      <c r="U249" s="70">
        <v>0</v>
      </c>
      <c r="V249" s="70">
        <v>88951744.540000007</v>
      </c>
      <c r="W249" s="70">
        <v>18054574.109999999</v>
      </c>
      <c r="X249" s="70">
        <v>5563277.8799999999</v>
      </c>
      <c r="Y249" s="70">
        <v>3466019.372</v>
      </c>
      <c r="Z249" s="70">
        <v>0</v>
      </c>
      <c r="AA249" s="70">
        <f t="shared" si="59"/>
        <v>3466019.372</v>
      </c>
      <c r="AB249" s="70">
        <v>192952823.75999999</v>
      </c>
      <c r="AC249" s="75">
        <f t="shared" si="52"/>
        <v>317516100.08200002</v>
      </c>
    </row>
    <row r="250" spans="1:29" ht="24.95" customHeight="1">
      <c r="A250" s="183"/>
      <c r="B250" s="178"/>
      <c r="C250" s="66">
        <v>9</v>
      </c>
      <c r="D250" s="70" t="s">
        <v>618</v>
      </c>
      <c r="E250" s="70">
        <v>12313749.741699999</v>
      </c>
      <c r="F250" s="70">
        <v>0</v>
      </c>
      <c r="G250" s="70">
        <v>128444317.413</v>
      </c>
      <c r="H250" s="70">
        <v>26070398.723099999</v>
      </c>
      <c r="I250" s="70">
        <v>8934673.2401999999</v>
      </c>
      <c r="J250" s="70">
        <v>5004853.9764</v>
      </c>
      <c r="K250" s="70">
        <f t="shared" si="65"/>
        <v>2502426.9882</v>
      </c>
      <c r="L250" s="70">
        <f t="shared" si="66"/>
        <v>2502426.9882</v>
      </c>
      <c r="M250" s="85">
        <v>306513689.14209998</v>
      </c>
      <c r="N250" s="75">
        <f t="shared" si="67"/>
        <v>484779255.24830002</v>
      </c>
      <c r="O250" s="74"/>
      <c r="P250" s="178"/>
      <c r="Q250" s="78">
        <v>27</v>
      </c>
      <c r="R250" s="178"/>
      <c r="S250" s="70" t="s">
        <v>619</v>
      </c>
      <c r="T250" s="70">
        <v>10314611.880000001</v>
      </c>
      <c r="U250" s="70">
        <v>0</v>
      </c>
      <c r="V250" s="70">
        <v>107591376.31999999</v>
      </c>
      <c r="W250" s="70">
        <v>21837868.239999998</v>
      </c>
      <c r="X250" s="70">
        <v>6271387.75</v>
      </c>
      <c r="Y250" s="70">
        <v>4192315.6932000001</v>
      </c>
      <c r="Z250" s="70">
        <v>0</v>
      </c>
      <c r="AA250" s="70">
        <f t="shared" si="59"/>
        <v>4192315.6932000001</v>
      </c>
      <c r="AB250" s="70">
        <v>218706494.91999999</v>
      </c>
      <c r="AC250" s="75">
        <f t="shared" si="52"/>
        <v>368914054.80320001</v>
      </c>
    </row>
    <row r="251" spans="1:29" ht="24.95" customHeight="1">
      <c r="A251" s="183"/>
      <c r="B251" s="178"/>
      <c r="C251" s="66">
        <v>10</v>
      </c>
      <c r="D251" s="70" t="s">
        <v>620</v>
      </c>
      <c r="E251" s="70">
        <v>8960059.9112</v>
      </c>
      <c r="F251" s="70">
        <v>0</v>
      </c>
      <c r="G251" s="70">
        <v>93462089.404100001</v>
      </c>
      <c r="H251" s="70">
        <v>18970040.7564</v>
      </c>
      <c r="I251" s="70">
        <v>7292111.977</v>
      </c>
      <c r="J251" s="70">
        <v>3641765.7020999999</v>
      </c>
      <c r="K251" s="70">
        <f t="shared" si="65"/>
        <v>1820882.8510499999</v>
      </c>
      <c r="L251" s="70">
        <f t="shared" si="66"/>
        <v>1820882.8510499999</v>
      </c>
      <c r="M251" s="85">
        <v>246774396.4639</v>
      </c>
      <c r="N251" s="75">
        <f t="shared" si="67"/>
        <v>377279581.36365002</v>
      </c>
      <c r="O251" s="74"/>
      <c r="P251" s="178"/>
      <c r="Q251" s="78">
        <v>28</v>
      </c>
      <c r="R251" s="178"/>
      <c r="S251" s="70" t="s">
        <v>621</v>
      </c>
      <c r="T251" s="70">
        <v>10347684.189999999</v>
      </c>
      <c r="U251" s="70">
        <v>0</v>
      </c>
      <c r="V251" s="70">
        <v>107936352.45999999</v>
      </c>
      <c r="W251" s="70">
        <v>21907888.199999999</v>
      </c>
      <c r="X251" s="70">
        <v>6487743.25</v>
      </c>
      <c r="Y251" s="70">
        <v>4205757.7451999998</v>
      </c>
      <c r="Z251" s="70">
        <v>0</v>
      </c>
      <c r="AA251" s="70">
        <f t="shared" si="59"/>
        <v>4205757.7451999998</v>
      </c>
      <c r="AB251" s="70">
        <v>226575257.27000001</v>
      </c>
      <c r="AC251" s="75">
        <f t="shared" si="52"/>
        <v>377460683.11520004</v>
      </c>
    </row>
    <row r="252" spans="1:29" ht="24.95" customHeight="1">
      <c r="A252" s="183"/>
      <c r="B252" s="178"/>
      <c r="C252" s="66">
        <v>11</v>
      </c>
      <c r="D252" s="70" t="s">
        <v>622</v>
      </c>
      <c r="E252" s="70">
        <v>15374463.552300001</v>
      </c>
      <c r="F252" s="70">
        <v>0</v>
      </c>
      <c r="G252" s="70">
        <v>160370522.21990001</v>
      </c>
      <c r="H252" s="70">
        <v>32550474.337099999</v>
      </c>
      <c r="I252" s="70">
        <v>11161597.1402</v>
      </c>
      <c r="J252" s="70">
        <v>6248863.8032999998</v>
      </c>
      <c r="K252" s="70">
        <f t="shared" si="65"/>
        <v>3124431.9016499999</v>
      </c>
      <c r="L252" s="70">
        <f t="shared" si="66"/>
        <v>3124431.9016499999</v>
      </c>
      <c r="M252" s="85">
        <v>387506015.9515</v>
      </c>
      <c r="N252" s="75">
        <f t="shared" si="67"/>
        <v>610087505.10265005</v>
      </c>
      <c r="O252" s="74"/>
      <c r="P252" s="178"/>
      <c r="Q252" s="78">
        <v>29</v>
      </c>
      <c r="R252" s="178"/>
      <c r="S252" s="70" t="s">
        <v>623</v>
      </c>
      <c r="T252" s="70">
        <v>9118644.1300000008</v>
      </c>
      <c r="U252" s="70">
        <v>0</v>
      </c>
      <c r="V252" s="70">
        <v>95116276.180000007</v>
      </c>
      <c r="W252" s="70">
        <v>19305791.760000002</v>
      </c>
      <c r="X252" s="70">
        <v>5903213.75</v>
      </c>
      <c r="Y252" s="70">
        <v>3706221.3623000002</v>
      </c>
      <c r="Z252" s="70">
        <v>0</v>
      </c>
      <c r="AA252" s="70">
        <f t="shared" si="59"/>
        <v>3706221.3623000002</v>
      </c>
      <c r="AB252" s="70">
        <v>205316154.44</v>
      </c>
      <c r="AC252" s="75">
        <f t="shared" si="52"/>
        <v>338466301.62230003</v>
      </c>
    </row>
    <row r="253" spans="1:29" ht="24.95" customHeight="1">
      <c r="A253" s="183"/>
      <c r="B253" s="178"/>
      <c r="C253" s="66">
        <v>12</v>
      </c>
      <c r="D253" s="70" t="s">
        <v>624</v>
      </c>
      <c r="E253" s="70">
        <v>15822768.970100001</v>
      </c>
      <c r="F253" s="70">
        <v>0</v>
      </c>
      <c r="G253" s="70">
        <v>165046781.2455</v>
      </c>
      <c r="H253" s="70">
        <v>33499616.656399999</v>
      </c>
      <c r="I253" s="70">
        <v>11207355.762499999</v>
      </c>
      <c r="J253" s="70">
        <v>6431075.0061999997</v>
      </c>
      <c r="K253" s="70">
        <f t="shared" si="65"/>
        <v>3215537.5030999999</v>
      </c>
      <c r="L253" s="70">
        <f t="shared" si="66"/>
        <v>3215537.5030999999</v>
      </c>
      <c r="M253" s="85">
        <v>389170238.64740002</v>
      </c>
      <c r="N253" s="75">
        <f t="shared" si="67"/>
        <v>617962298.78500009</v>
      </c>
      <c r="O253" s="74"/>
      <c r="P253" s="179"/>
      <c r="Q253" s="78">
        <v>30</v>
      </c>
      <c r="R253" s="179"/>
      <c r="S253" s="70" t="s">
        <v>625</v>
      </c>
      <c r="T253" s="70">
        <v>10145174.33</v>
      </c>
      <c r="U253" s="70">
        <v>0</v>
      </c>
      <c r="V253" s="70">
        <v>105823978.83</v>
      </c>
      <c r="W253" s="70">
        <v>21479138.809999999</v>
      </c>
      <c r="X253" s="70">
        <v>6591415.7300000004</v>
      </c>
      <c r="Y253" s="70">
        <v>4123448.7590999999</v>
      </c>
      <c r="Z253" s="70">
        <v>0</v>
      </c>
      <c r="AA253" s="70">
        <f t="shared" si="59"/>
        <v>4123448.7590999999</v>
      </c>
      <c r="AB253" s="70">
        <v>230345783.69999999</v>
      </c>
      <c r="AC253" s="75">
        <f t="shared" si="52"/>
        <v>378508940.15909994</v>
      </c>
    </row>
    <row r="254" spans="1:29" ht="24.95" customHeight="1">
      <c r="A254" s="183"/>
      <c r="B254" s="178"/>
      <c r="C254" s="66">
        <v>13</v>
      </c>
      <c r="D254" s="70" t="s">
        <v>626</v>
      </c>
      <c r="E254" s="70">
        <v>12402001.342800001</v>
      </c>
      <c r="F254" s="70">
        <v>0</v>
      </c>
      <c r="G254" s="70">
        <v>129364866.9525</v>
      </c>
      <c r="H254" s="70">
        <v>26257243.061700001</v>
      </c>
      <c r="I254" s="70">
        <v>8743526.7032999992</v>
      </c>
      <c r="J254" s="70">
        <v>5040723.3408000004</v>
      </c>
      <c r="K254" s="70">
        <f t="shared" si="65"/>
        <v>2520361.6704000002</v>
      </c>
      <c r="L254" s="70">
        <f t="shared" si="66"/>
        <v>2520361.6704000002</v>
      </c>
      <c r="M254" s="85">
        <v>299561766.45270002</v>
      </c>
      <c r="N254" s="75">
        <f t="shared" si="67"/>
        <v>478849766.18340003</v>
      </c>
      <c r="O254" s="74"/>
      <c r="P254" s="66"/>
      <c r="Q254" s="191" t="s">
        <v>627</v>
      </c>
      <c r="R254" s="192"/>
      <c r="S254" s="71"/>
      <c r="T254" s="71">
        <f>SUM(T224:T253)</f>
        <v>289119699.04000002</v>
      </c>
      <c r="U254" s="71">
        <f t="shared" ref="U254:AC254" si="68">SUM(U224:U253)</f>
        <v>0</v>
      </c>
      <c r="V254" s="71">
        <f t="shared" si="68"/>
        <v>3015798044.9500003</v>
      </c>
      <c r="W254" s="71">
        <f t="shared" si="68"/>
        <v>612117835.07999992</v>
      </c>
      <c r="X254" s="71">
        <f t="shared" si="68"/>
        <v>181347856.93999997</v>
      </c>
      <c r="Y254" s="71">
        <f t="shared" si="68"/>
        <v>117511067.3721</v>
      </c>
      <c r="Z254" s="71">
        <f t="shared" si="68"/>
        <v>0</v>
      </c>
      <c r="AA254" s="71">
        <f t="shared" si="68"/>
        <v>117511067.3721</v>
      </c>
      <c r="AB254" s="71">
        <f t="shared" si="68"/>
        <v>6314107960.789999</v>
      </c>
      <c r="AC254" s="71">
        <f t="shared" si="68"/>
        <v>10530002464.172098</v>
      </c>
    </row>
    <row r="255" spans="1:29" ht="24.95" customHeight="1">
      <c r="A255" s="183"/>
      <c r="B255" s="178"/>
      <c r="C255" s="66">
        <v>14</v>
      </c>
      <c r="D255" s="70" t="s">
        <v>628</v>
      </c>
      <c r="E255" s="70">
        <v>11827481.2535</v>
      </c>
      <c r="F255" s="70">
        <v>0</v>
      </c>
      <c r="G255" s="70">
        <v>123372066.84999999</v>
      </c>
      <c r="H255" s="70">
        <v>25040881.829999998</v>
      </c>
      <c r="I255" s="70">
        <v>8372990.9641000004</v>
      </c>
      <c r="J255" s="70">
        <v>4807212.898</v>
      </c>
      <c r="K255" s="70">
        <f t="shared" si="65"/>
        <v>2403606.449</v>
      </c>
      <c r="L255" s="70">
        <f t="shared" si="66"/>
        <v>2403606.449</v>
      </c>
      <c r="M255" s="85">
        <v>286085530.6081</v>
      </c>
      <c r="N255" s="75">
        <f t="shared" si="67"/>
        <v>457102557.95469999</v>
      </c>
      <c r="O255" s="74"/>
      <c r="P255" s="177">
        <v>30</v>
      </c>
      <c r="Q255" s="78">
        <v>1</v>
      </c>
      <c r="R255" s="177" t="s">
        <v>115</v>
      </c>
      <c r="S255" s="70" t="s">
        <v>629</v>
      </c>
      <c r="T255" s="70">
        <v>9984780.1799999997</v>
      </c>
      <c r="U255" s="70"/>
      <c r="V255" s="70">
        <v>104150912.75</v>
      </c>
      <c r="W255" s="70">
        <v>21139555.859999999</v>
      </c>
      <c r="X255" s="70">
        <v>8112774.7199999997</v>
      </c>
      <c r="Y255" s="70">
        <v>4694511.1520999996</v>
      </c>
      <c r="Z255" s="70">
        <v>0</v>
      </c>
      <c r="AA255" s="70">
        <f t="shared" si="59"/>
        <v>4694511.1520999996</v>
      </c>
      <c r="AB255" s="70">
        <v>273323751.52640003</v>
      </c>
      <c r="AC255" s="75">
        <f t="shared" si="52"/>
        <v>421406286.18850005</v>
      </c>
    </row>
    <row r="256" spans="1:29" ht="24.95" customHeight="1">
      <c r="A256" s="183"/>
      <c r="B256" s="178"/>
      <c r="C256" s="66">
        <v>15</v>
      </c>
      <c r="D256" s="70" t="s">
        <v>630</v>
      </c>
      <c r="E256" s="70">
        <v>12908722.620999999</v>
      </c>
      <c r="F256" s="70">
        <v>0</v>
      </c>
      <c r="G256" s="70">
        <v>134650459.89179999</v>
      </c>
      <c r="H256" s="70">
        <v>27330062.149300002</v>
      </c>
      <c r="I256" s="70">
        <v>8135623.7260999996</v>
      </c>
      <c r="J256" s="70">
        <v>5246677.3399</v>
      </c>
      <c r="K256" s="70">
        <f t="shared" si="65"/>
        <v>2623338.66995</v>
      </c>
      <c r="L256" s="70">
        <f t="shared" si="66"/>
        <v>2623338.66995</v>
      </c>
      <c r="M256" s="85">
        <v>277452579.60790002</v>
      </c>
      <c r="N256" s="75">
        <f t="shared" si="67"/>
        <v>463100786.66605002</v>
      </c>
      <c r="O256" s="74"/>
      <c r="P256" s="178"/>
      <c r="Q256" s="78">
        <v>2</v>
      </c>
      <c r="R256" s="178"/>
      <c r="S256" s="70" t="s">
        <v>631</v>
      </c>
      <c r="T256" s="70">
        <v>11595308.449999999</v>
      </c>
      <c r="U256" s="70"/>
      <c r="V256" s="70">
        <v>120950279.95</v>
      </c>
      <c r="W256" s="70">
        <v>24549330.690000001</v>
      </c>
      <c r="X256" s="70">
        <v>9103497.0299999993</v>
      </c>
      <c r="Y256" s="70">
        <v>5029616.3645000001</v>
      </c>
      <c r="Z256" s="70">
        <v>0</v>
      </c>
      <c r="AA256" s="70">
        <f t="shared" si="59"/>
        <v>5029616.3645000001</v>
      </c>
      <c r="AB256" s="70">
        <v>309355923.4781</v>
      </c>
      <c r="AC256" s="75">
        <f t="shared" si="52"/>
        <v>480583955.96259999</v>
      </c>
    </row>
    <row r="257" spans="1:29" ht="24.95" customHeight="1">
      <c r="A257" s="183"/>
      <c r="B257" s="178"/>
      <c r="C257" s="66">
        <v>16</v>
      </c>
      <c r="D257" s="70" t="s">
        <v>632</v>
      </c>
      <c r="E257" s="70">
        <v>11323631.316099999</v>
      </c>
      <c r="F257" s="70">
        <v>0</v>
      </c>
      <c r="G257" s="70">
        <v>118116424.77159999</v>
      </c>
      <c r="H257" s="70">
        <v>23974141.8816</v>
      </c>
      <c r="I257" s="70">
        <v>8379870.8017999995</v>
      </c>
      <c r="J257" s="70">
        <v>4602425.9390000002</v>
      </c>
      <c r="K257" s="70">
        <f t="shared" si="65"/>
        <v>2301212.9695000001</v>
      </c>
      <c r="L257" s="70">
        <f t="shared" si="66"/>
        <v>2301212.9695000001</v>
      </c>
      <c r="M257" s="85">
        <v>286335747.54079998</v>
      </c>
      <c r="N257" s="75">
        <f t="shared" si="67"/>
        <v>450431029.28139997</v>
      </c>
      <c r="O257" s="74"/>
      <c r="P257" s="178"/>
      <c r="Q257" s="78">
        <v>3</v>
      </c>
      <c r="R257" s="178"/>
      <c r="S257" s="70" t="s">
        <v>633</v>
      </c>
      <c r="T257" s="70">
        <v>11550194.220000001</v>
      </c>
      <c r="U257" s="70"/>
      <c r="V257" s="70">
        <v>120479694.98999999</v>
      </c>
      <c r="W257" s="70">
        <v>24453815.859999999</v>
      </c>
      <c r="X257" s="70">
        <v>8568807.8499999996</v>
      </c>
      <c r="Y257" s="70">
        <v>5103050.3505999995</v>
      </c>
      <c r="Z257" s="70">
        <v>0</v>
      </c>
      <c r="AA257" s="70">
        <f t="shared" si="59"/>
        <v>5103050.3505999995</v>
      </c>
      <c r="AB257" s="70">
        <v>289909492.94669998</v>
      </c>
      <c r="AC257" s="75">
        <f t="shared" si="52"/>
        <v>460065056.21729994</v>
      </c>
    </row>
    <row r="258" spans="1:29" ht="24.95" customHeight="1">
      <c r="A258" s="183"/>
      <c r="B258" s="178"/>
      <c r="C258" s="66">
        <v>17</v>
      </c>
      <c r="D258" s="70" t="s">
        <v>634</v>
      </c>
      <c r="E258" s="70">
        <v>9286915.2826000005</v>
      </c>
      <c r="F258" s="70">
        <v>0</v>
      </c>
      <c r="G258" s="70">
        <v>96871507.003700003</v>
      </c>
      <c r="H258" s="70">
        <v>19662051.722899999</v>
      </c>
      <c r="I258" s="70">
        <v>7648284.7713000001</v>
      </c>
      <c r="J258" s="70">
        <v>3774614.2203000002</v>
      </c>
      <c r="K258" s="70">
        <f t="shared" si="65"/>
        <v>1887307.1101500001</v>
      </c>
      <c r="L258" s="70">
        <f t="shared" si="66"/>
        <v>1887307.1101500001</v>
      </c>
      <c r="M258" s="85">
        <v>259728257.7793</v>
      </c>
      <c r="N258" s="75">
        <f t="shared" si="67"/>
        <v>395084323.66995001</v>
      </c>
      <c r="O258" s="74"/>
      <c r="P258" s="178"/>
      <c r="Q258" s="78">
        <v>4</v>
      </c>
      <c r="R258" s="178"/>
      <c r="S258" s="70" t="s">
        <v>635</v>
      </c>
      <c r="T258" s="70">
        <v>12374674.17</v>
      </c>
      <c r="U258" s="70"/>
      <c r="V258" s="70">
        <v>129079818.08</v>
      </c>
      <c r="W258" s="70">
        <v>26199386.57</v>
      </c>
      <c r="X258" s="70">
        <v>7812667.4699999997</v>
      </c>
      <c r="Y258" s="70">
        <v>5244897.0273000002</v>
      </c>
      <c r="Z258" s="70">
        <v>0</v>
      </c>
      <c r="AA258" s="70">
        <f t="shared" si="59"/>
        <v>5244897.0273000002</v>
      </c>
      <c r="AB258" s="70">
        <v>262408971.4833</v>
      </c>
      <c r="AC258" s="75">
        <f t="shared" si="52"/>
        <v>443120414.80059999</v>
      </c>
    </row>
    <row r="259" spans="1:29" ht="24.95" customHeight="1">
      <c r="A259" s="183"/>
      <c r="B259" s="179"/>
      <c r="C259" s="66">
        <v>18</v>
      </c>
      <c r="D259" s="70" t="s">
        <v>636</v>
      </c>
      <c r="E259" s="70">
        <v>11556629.147700001</v>
      </c>
      <c r="F259" s="70">
        <v>0</v>
      </c>
      <c r="G259" s="70">
        <v>120546817.4676</v>
      </c>
      <c r="H259" s="70">
        <v>24467439.739399999</v>
      </c>
      <c r="I259" s="70">
        <v>7948956.7850000001</v>
      </c>
      <c r="J259" s="70">
        <v>4697126.5905999998</v>
      </c>
      <c r="K259" s="70">
        <f t="shared" si="65"/>
        <v>2348563.2952999999</v>
      </c>
      <c r="L259" s="70">
        <f t="shared" si="66"/>
        <v>2348563.2952999999</v>
      </c>
      <c r="M259" s="85">
        <v>270663578.0183</v>
      </c>
      <c r="N259" s="75">
        <f t="shared" si="67"/>
        <v>437531984.4533</v>
      </c>
      <c r="O259" s="74"/>
      <c r="P259" s="178"/>
      <c r="Q259" s="78">
        <v>5</v>
      </c>
      <c r="R259" s="178"/>
      <c r="S259" s="70" t="s">
        <v>637</v>
      </c>
      <c r="T259" s="70">
        <v>12555348.310000001</v>
      </c>
      <c r="U259" s="70"/>
      <c r="V259" s="70">
        <v>130964424.16</v>
      </c>
      <c r="W259" s="70">
        <v>26581905.879999999</v>
      </c>
      <c r="X259" s="70">
        <v>10004730.109999999</v>
      </c>
      <c r="Y259" s="70">
        <v>5686204.4555000002</v>
      </c>
      <c r="Z259" s="70">
        <v>0</v>
      </c>
      <c r="AA259" s="70">
        <f t="shared" si="59"/>
        <v>5686204.4555000002</v>
      </c>
      <c r="AB259" s="70">
        <v>342133408.01440001</v>
      </c>
      <c r="AC259" s="75">
        <f t="shared" si="52"/>
        <v>527926020.92989999</v>
      </c>
    </row>
    <row r="260" spans="1:29" ht="24.95" customHeight="1">
      <c r="A260" s="66"/>
      <c r="B260" s="190" t="s">
        <v>602</v>
      </c>
      <c r="C260" s="191"/>
      <c r="D260" s="71"/>
      <c r="E260" s="71">
        <f t="shared" ref="E260:N260" si="69">SUM(E242:E259)</f>
        <v>210773145.39410001</v>
      </c>
      <c r="F260" s="71">
        <f t="shared" si="69"/>
        <v>0</v>
      </c>
      <c r="G260" s="71">
        <f t="shared" si="69"/>
        <v>2198567727.6878004</v>
      </c>
      <c r="H260" s="71">
        <f t="shared" si="69"/>
        <v>446244243.69209993</v>
      </c>
      <c r="I260" s="71">
        <f t="shared" si="69"/>
        <v>156477626.79769999</v>
      </c>
      <c r="J260" s="71">
        <f t="shared" si="69"/>
        <v>85667553.503100008</v>
      </c>
      <c r="K260" s="71">
        <f t="shared" si="69"/>
        <v>42833776.751550004</v>
      </c>
      <c r="L260" s="71">
        <f t="shared" si="69"/>
        <v>42833776.751550004</v>
      </c>
      <c r="M260" s="71">
        <f t="shared" si="69"/>
        <v>5359166255.4637995</v>
      </c>
      <c r="N260" s="71">
        <f t="shared" si="69"/>
        <v>8414062775.7870502</v>
      </c>
      <c r="O260" s="74"/>
      <c r="P260" s="178"/>
      <c r="Q260" s="78">
        <v>6</v>
      </c>
      <c r="R260" s="178"/>
      <c r="S260" s="70" t="s">
        <v>638</v>
      </c>
      <c r="T260" s="70">
        <v>12904342.41</v>
      </c>
      <c r="U260" s="70"/>
      <c r="V260" s="70">
        <v>134604770.03999999</v>
      </c>
      <c r="W260" s="70">
        <v>27320788.460000001</v>
      </c>
      <c r="X260" s="70">
        <v>10328467.550000001</v>
      </c>
      <c r="Y260" s="70">
        <v>4184837.8026999999</v>
      </c>
      <c r="Z260" s="70">
        <v>0</v>
      </c>
      <c r="AA260" s="70">
        <f t="shared" si="59"/>
        <v>4184837.8026999999</v>
      </c>
      <c r="AB260" s="70">
        <v>353907608.52960002</v>
      </c>
      <c r="AC260" s="75">
        <f t="shared" si="52"/>
        <v>543250814.79229999</v>
      </c>
    </row>
    <row r="261" spans="1:29" ht="24.95" customHeight="1">
      <c r="A261" s="183">
        <v>13</v>
      </c>
      <c r="B261" s="177" t="s">
        <v>639</v>
      </c>
      <c r="C261" s="66">
        <v>1</v>
      </c>
      <c r="D261" s="70" t="s">
        <v>640</v>
      </c>
      <c r="E261" s="70">
        <v>13579285.1523</v>
      </c>
      <c r="F261" s="70">
        <v>0</v>
      </c>
      <c r="G261" s="70">
        <v>141645075.53909999</v>
      </c>
      <c r="H261" s="70">
        <v>28749762.316</v>
      </c>
      <c r="I261" s="70">
        <v>8509155.5817000009</v>
      </c>
      <c r="J261" s="70">
        <v>5519223.6902999999</v>
      </c>
      <c r="K261" s="70">
        <v>0</v>
      </c>
      <c r="L261" s="70">
        <f t="shared" ref="L261:L276" si="70">J261-K261</f>
        <v>5519223.6902999999</v>
      </c>
      <c r="M261" s="85">
        <v>309325081.8933</v>
      </c>
      <c r="N261" s="75">
        <f t="shared" ref="N261:N276" si="71">E261+F261+G261+H261+I261+L261+M261</f>
        <v>507327584.17269993</v>
      </c>
      <c r="O261" s="74"/>
      <c r="P261" s="178"/>
      <c r="Q261" s="78">
        <v>7</v>
      </c>
      <c r="R261" s="178"/>
      <c r="S261" s="70" t="s">
        <v>641</v>
      </c>
      <c r="T261" s="70">
        <v>13990118.189999999</v>
      </c>
      <c r="U261" s="70"/>
      <c r="V261" s="70">
        <v>145930461.38999999</v>
      </c>
      <c r="W261" s="70">
        <v>29619568.940000001</v>
      </c>
      <c r="X261" s="70">
        <v>10631437.119999999</v>
      </c>
      <c r="Y261" s="70">
        <v>4966519.3016999997</v>
      </c>
      <c r="Z261" s="70">
        <v>0</v>
      </c>
      <c r="AA261" s="70">
        <f t="shared" si="59"/>
        <v>4966519.3016999997</v>
      </c>
      <c r="AB261" s="70">
        <v>364926490.02029997</v>
      </c>
      <c r="AC261" s="75">
        <f t="shared" si="52"/>
        <v>570064594.96199989</v>
      </c>
    </row>
    <row r="262" spans="1:29" ht="24.95" customHeight="1">
      <c r="A262" s="183"/>
      <c r="B262" s="178"/>
      <c r="C262" s="66">
        <v>2</v>
      </c>
      <c r="D262" s="70" t="s">
        <v>642</v>
      </c>
      <c r="E262" s="70">
        <v>10332918.400900001</v>
      </c>
      <c r="F262" s="70">
        <v>0</v>
      </c>
      <c r="G262" s="70">
        <v>107782331.0291</v>
      </c>
      <c r="H262" s="70">
        <v>21876626.399900001</v>
      </c>
      <c r="I262" s="70">
        <v>6449979.0690000001</v>
      </c>
      <c r="J262" s="70">
        <v>4199756.2748999996</v>
      </c>
      <c r="K262" s="70">
        <v>0</v>
      </c>
      <c r="L262" s="70">
        <f t="shared" si="70"/>
        <v>4199756.2748999996</v>
      </c>
      <c r="M262" s="85">
        <v>234433660.10859999</v>
      </c>
      <c r="N262" s="75">
        <f t="shared" si="71"/>
        <v>385075271.28240001</v>
      </c>
      <c r="O262" s="74"/>
      <c r="P262" s="178"/>
      <c r="Q262" s="78">
        <v>8</v>
      </c>
      <c r="R262" s="178"/>
      <c r="S262" s="70" t="s">
        <v>643</v>
      </c>
      <c r="T262" s="70">
        <v>10296213.57</v>
      </c>
      <c r="U262" s="70"/>
      <c r="V262" s="70">
        <v>107399464.12</v>
      </c>
      <c r="W262" s="70">
        <v>21798915.739999998</v>
      </c>
      <c r="X262" s="70">
        <v>8352298.3300000001</v>
      </c>
      <c r="Y262" s="70">
        <v>5199717.4867000002</v>
      </c>
      <c r="Z262" s="70">
        <v>0</v>
      </c>
      <c r="AA262" s="70">
        <f t="shared" si="59"/>
        <v>5199717.4867000002</v>
      </c>
      <c r="AB262" s="70">
        <v>282035128.72939998</v>
      </c>
      <c r="AC262" s="75">
        <f t="shared" si="52"/>
        <v>435081737.97609997</v>
      </c>
    </row>
    <row r="263" spans="1:29" ht="24.95" customHeight="1">
      <c r="A263" s="183"/>
      <c r="B263" s="178"/>
      <c r="C263" s="66">
        <v>3</v>
      </c>
      <c r="D263" s="70" t="s">
        <v>644</v>
      </c>
      <c r="E263" s="70">
        <v>9852292.4082999993</v>
      </c>
      <c r="F263" s="70">
        <v>0</v>
      </c>
      <c r="G263" s="70">
        <v>102768937.1543</v>
      </c>
      <c r="H263" s="70">
        <v>20859055.6743</v>
      </c>
      <c r="I263" s="70">
        <v>5663777.9085999997</v>
      </c>
      <c r="J263" s="70">
        <v>4004408.5570999999</v>
      </c>
      <c r="K263" s="70">
        <v>0</v>
      </c>
      <c r="L263" s="70">
        <f t="shared" si="70"/>
        <v>4004408.5570999999</v>
      </c>
      <c r="M263" s="85">
        <v>205839840.03259999</v>
      </c>
      <c r="N263" s="75">
        <f t="shared" si="71"/>
        <v>348988311.73519999</v>
      </c>
      <c r="O263" s="74"/>
      <c r="P263" s="178"/>
      <c r="Q263" s="78">
        <v>9</v>
      </c>
      <c r="R263" s="178"/>
      <c r="S263" s="70" t="s">
        <v>645</v>
      </c>
      <c r="T263" s="70">
        <v>12219432.59</v>
      </c>
      <c r="U263" s="70"/>
      <c r="V263" s="70">
        <v>127460498.28</v>
      </c>
      <c r="W263" s="70">
        <v>25870712.530000001</v>
      </c>
      <c r="X263" s="70">
        <v>9805433.0099999998</v>
      </c>
      <c r="Y263" s="70">
        <v>3760621.7738999999</v>
      </c>
      <c r="Z263" s="70">
        <v>0</v>
      </c>
      <c r="AA263" s="70">
        <f t="shared" si="59"/>
        <v>3760621.7738999999</v>
      </c>
      <c r="AB263" s="70">
        <v>334885052.95130002</v>
      </c>
      <c r="AC263" s="75">
        <f t="shared" ref="AC263:AC326" si="72">T263+U263+V263+W263+X263+AA263+AB263</f>
        <v>514001751.13520002</v>
      </c>
    </row>
    <row r="264" spans="1:29" ht="24.95" customHeight="1">
      <c r="A264" s="183"/>
      <c r="B264" s="178"/>
      <c r="C264" s="66">
        <v>4</v>
      </c>
      <c r="D264" s="70" t="s">
        <v>646</v>
      </c>
      <c r="E264" s="70">
        <v>10173026.7795</v>
      </c>
      <c r="F264" s="70">
        <v>0</v>
      </c>
      <c r="G264" s="70">
        <v>106114506.8012</v>
      </c>
      <c r="H264" s="70">
        <v>21538107.394200001</v>
      </c>
      <c r="I264" s="70">
        <v>6318569.0336999996</v>
      </c>
      <c r="J264" s="70">
        <v>4134769.2291999999</v>
      </c>
      <c r="K264" s="70">
        <v>0</v>
      </c>
      <c r="L264" s="70">
        <f t="shared" si="70"/>
        <v>4134769.2291999999</v>
      </c>
      <c r="M264" s="85">
        <v>229654329.96529999</v>
      </c>
      <c r="N264" s="75">
        <f t="shared" si="71"/>
        <v>377933309.20309997</v>
      </c>
      <c r="O264" s="74"/>
      <c r="P264" s="178"/>
      <c r="Q264" s="78">
        <v>10</v>
      </c>
      <c r="R264" s="178"/>
      <c r="S264" s="70" t="s">
        <v>647</v>
      </c>
      <c r="T264" s="70">
        <v>12793184.41</v>
      </c>
      <c r="U264" s="70"/>
      <c r="V264" s="70">
        <v>133445284.61</v>
      </c>
      <c r="W264" s="70">
        <v>27085447.199999999</v>
      </c>
      <c r="X264" s="70">
        <v>10017719.65</v>
      </c>
      <c r="Y264" s="70">
        <v>3921878.7165000001</v>
      </c>
      <c r="Z264" s="70">
        <v>0</v>
      </c>
      <c r="AA264" s="70">
        <f t="shared" si="59"/>
        <v>3921878.7165000001</v>
      </c>
      <c r="AB264" s="70">
        <v>342605832.52160001</v>
      </c>
      <c r="AC264" s="75">
        <f t="shared" si="72"/>
        <v>529869347.10810006</v>
      </c>
    </row>
    <row r="265" spans="1:29" ht="24.95" customHeight="1">
      <c r="A265" s="183"/>
      <c r="B265" s="178"/>
      <c r="C265" s="66">
        <v>5</v>
      </c>
      <c r="D265" s="70" t="s">
        <v>648</v>
      </c>
      <c r="E265" s="70">
        <v>10775217.786599999</v>
      </c>
      <c r="F265" s="70">
        <v>0</v>
      </c>
      <c r="G265" s="70">
        <v>112395941.3338</v>
      </c>
      <c r="H265" s="70">
        <v>22813052.881200001</v>
      </c>
      <c r="I265" s="70">
        <v>6669261.0618000003</v>
      </c>
      <c r="J265" s="70">
        <v>4379526.3600000003</v>
      </c>
      <c r="K265" s="70">
        <v>0</v>
      </c>
      <c r="L265" s="70">
        <f t="shared" si="70"/>
        <v>4379526.3600000003</v>
      </c>
      <c r="M265" s="85">
        <v>242408858.01530001</v>
      </c>
      <c r="N265" s="75">
        <f t="shared" si="71"/>
        <v>399441857.43870002</v>
      </c>
      <c r="O265" s="74"/>
      <c r="P265" s="178"/>
      <c r="Q265" s="78">
        <v>11</v>
      </c>
      <c r="R265" s="178"/>
      <c r="S265" s="70" t="s">
        <v>649</v>
      </c>
      <c r="T265" s="70">
        <v>9252488.8100000005</v>
      </c>
      <c r="U265" s="70"/>
      <c r="V265" s="70">
        <v>96512405.569999993</v>
      </c>
      <c r="W265" s="70">
        <v>19589164.75</v>
      </c>
      <c r="X265" s="70">
        <v>7712383.5700000003</v>
      </c>
      <c r="Y265" s="70">
        <v>3844630.1924999999</v>
      </c>
      <c r="Z265" s="70">
        <v>0</v>
      </c>
      <c r="AA265" s="70">
        <f t="shared" si="59"/>
        <v>3844630.1924999999</v>
      </c>
      <c r="AB265" s="70">
        <v>258761686.23140001</v>
      </c>
      <c r="AC265" s="75">
        <f t="shared" si="72"/>
        <v>395672759.1239</v>
      </c>
    </row>
    <row r="266" spans="1:29" ht="24.95" customHeight="1">
      <c r="A266" s="183"/>
      <c r="B266" s="178"/>
      <c r="C266" s="66">
        <v>6</v>
      </c>
      <c r="D266" s="70" t="s">
        <v>650</v>
      </c>
      <c r="E266" s="70">
        <v>10984346.0635</v>
      </c>
      <c r="F266" s="70">
        <v>0</v>
      </c>
      <c r="G266" s="70">
        <v>114577351.492</v>
      </c>
      <c r="H266" s="70">
        <v>23255814.645500001</v>
      </c>
      <c r="I266" s="70">
        <v>6856852.1601999998</v>
      </c>
      <c r="J266" s="70">
        <v>4464525.3661000002</v>
      </c>
      <c r="K266" s="70">
        <v>0</v>
      </c>
      <c r="L266" s="70">
        <f t="shared" si="70"/>
        <v>4464525.3661000002</v>
      </c>
      <c r="M266" s="85">
        <v>249231470.8346</v>
      </c>
      <c r="N266" s="75">
        <f t="shared" si="71"/>
        <v>409370360.56190002</v>
      </c>
      <c r="O266" s="74"/>
      <c r="P266" s="178"/>
      <c r="Q266" s="78">
        <v>12</v>
      </c>
      <c r="R266" s="178"/>
      <c r="S266" s="70" t="s">
        <v>651</v>
      </c>
      <c r="T266" s="70">
        <v>9580363.9199999999</v>
      </c>
      <c r="U266" s="70"/>
      <c r="V266" s="70">
        <v>100650895.53</v>
      </c>
      <c r="W266" s="70">
        <v>20429155.850000001</v>
      </c>
      <c r="X266" s="70">
        <v>7688162.9500000002</v>
      </c>
      <c r="Y266" s="70">
        <v>5710290.665</v>
      </c>
      <c r="Z266" s="70">
        <v>0</v>
      </c>
      <c r="AA266" s="70">
        <f t="shared" si="59"/>
        <v>5710290.665</v>
      </c>
      <c r="AB266" s="70">
        <v>257880791.91800001</v>
      </c>
      <c r="AC266" s="75">
        <f t="shared" si="72"/>
        <v>401939660.833</v>
      </c>
    </row>
    <row r="267" spans="1:29" ht="24.95" customHeight="1">
      <c r="A267" s="183"/>
      <c r="B267" s="178"/>
      <c r="C267" s="66">
        <v>7</v>
      </c>
      <c r="D267" s="70" t="s">
        <v>652</v>
      </c>
      <c r="E267" s="70">
        <v>9051169.3640999999</v>
      </c>
      <c r="F267" s="70">
        <v>0</v>
      </c>
      <c r="G267" s="70">
        <v>94412449.102500007</v>
      </c>
      <c r="H267" s="70">
        <v>19162935.675900001</v>
      </c>
      <c r="I267" s="70">
        <v>5752894.9115000004</v>
      </c>
      <c r="J267" s="70">
        <v>3678796.6242999998</v>
      </c>
      <c r="K267" s="70">
        <v>0</v>
      </c>
      <c r="L267" s="70">
        <f t="shared" si="70"/>
        <v>3678796.6242999998</v>
      </c>
      <c r="M267" s="85">
        <v>209080989.5916</v>
      </c>
      <c r="N267" s="75">
        <f t="shared" si="71"/>
        <v>341139235.26990002</v>
      </c>
      <c r="O267" s="74"/>
      <c r="P267" s="178"/>
      <c r="Q267" s="78">
        <v>13</v>
      </c>
      <c r="R267" s="178"/>
      <c r="S267" s="70" t="s">
        <v>653</v>
      </c>
      <c r="T267" s="70">
        <v>9649239.1699999999</v>
      </c>
      <c r="U267" s="70"/>
      <c r="V267" s="70">
        <v>98668393.349999994</v>
      </c>
      <c r="W267" s="70">
        <v>20026766.52</v>
      </c>
      <c r="X267" s="70">
        <v>7716003.1900000004</v>
      </c>
      <c r="Y267" s="70">
        <v>3893884.7620999999</v>
      </c>
      <c r="Z267" s="70">
        <v>0</v>
      </c>
      <c r="AA267" s="70">
        <f t="shared" si="59"/>
        <v>3893884.7620999999</v>
      </c>
      <c r="AB267" s="70">
        <v>258893330.2146</v>
      </c>
      <c r="AC267" s="75">
        <f t="shared" si="72"/>
        <v>398847617.20669997</v>
      </c>
    </row>
    <row r="268" spans="1:29" ht="24.95" customHeight="1">
      <c r="A268" s="183"/>
      <c r="B268" s="178"/>
      <c r="C268" s="66">
        <v>8</v>
      </c>
      <c r="D268" s="70" t="s">
        <v>654</v>
      </c>
      <c r="E268" s="70">
        <v>11150316.597200001</v>
      </c>
      <c r="F268" s="70">
        <v>0</v>
      </c>
      <c r="G268" s="70">
        <v>116308584.65539999</v>
      </c>
      <c r="H268" s="70">
        <v>23607203.790399998</v>
      </c>
      <c r="I268" s="70">
        <v>6590155.7631999999</v>
      </c>
      <c r="J268" s="70">
        <v>4531983.1513</v>
      </c>
      <c r="K268" s="70">
        <v>0</v>
      </c>
      <c r="L268" s="70">
        <f t="shared" si="70"/>
        <v>4531983.1513</v>
      </c>
      <c r="M268" s="85">
        <v>239531830.11210001</v>
      </c>
      <c r="N268" s="75">
        <f t="shared" si="71"/>
        <v>401720074.06959999</v>
      </c>
      <c r="O268" s="74"/>
      <c r="P268" s="178"/>
      <c r="Q268" s="78">
        <v>14</v>
      </c>
      <c r="R268" s="178"/>
      <c r="S268" s="70" t="s">
        <v>655</v>
      </c>
      <c r="T268" s="70">
        <v>9459179.8800000008</v>
      </c>
      <c r="U268" s="70"/>
      <c r="V268" s="70">
        <v>146548608.63999999</v>
      </c>
      <c r="W268" s="70">
        <v>23928094.32</v>
      </c>
      <c r="X268" s="70">
        <v>9958894.4700000007</v>
      </c>
      <c r="Y268" s="70">
        <v>4086079.3528999998</v>
      </c>
      <c r="Z268" s="70">
        <v>0</v>
      </c>
      <c r="AA268" s="70">
        <f t="shared" si="59"/>
        <v>4086079.3528999998</v>
      </c>
      <c r="AB268" s="70">
        <v>340466384.38260001</v>
      </c>
      <c r="AC268" s="75">
        <f t="shared" si="72"/>
        <v>534447241.04549998</v>
      </c>
    </row>
    <row r="269" spans="1:29" ht="24.95" customHeight="1">
      <c r="A269" s="183"/>
      <c r="B269" s="178"/>
      <c r="C269" s="66">
        <v>9</v>
      </c>
      <c r="D269" s="70" t="s">
        <v>656</v>
      </c>
      <c r="E269" s="70">
        <v>11930395.556</v>
      </c>
      <c r="F269" s="70">
        <v>0</v>
      </c>
      <c r="G269" s="70">
        <v>124445562.5456</v>
      </c>
      <c r="H269" s="70">
        <v>25258769.7161</v>
      </c>
      <c r="I269" s="70">
        <v>7389693.0269999998</v>
      </c>
      <c r="J269" s="70">
        <v>4849041.8345999997</v>
      </c>
      <c r="K269" s="70">
        <v>0</v>
      </c>
      <c r="L269" s="70">
        <f t="shared" si="70"/>
        <v>4849041.8345999997</v>
      </c>
      <c r="M269" s="85">
        <v>268610678.90649998</v>
      </c>
      <c r="N269" s="75">
        <f t="shared" si="71"/>
        <v>442484141.58579999</v>
      </c>
      <c r="O269" s="74"/>
      <c r="P269" s="178"/>
      <c r="Q269" s="78">
        <v>15</v>
      </c>
      <c r="R269" s="178"/>
      <c r="S269" s="70" t="s">
        <v>657</v>
      </c>
      <c r="T269" s="70">
        <v>11301881.810000001</v>
      </c>
      <c r="U269" s="70"/>
      <c r="V269" s="70">
        <v>99932460.109999999</v>
      </c>
      <c r="W269" s="70">
        <v>20283334.699999999</v>
      </c>
      <c r="X269" s="70">
        <v>7908086.7199999997</v>
      </c>
      <c r="Y269" s="70">
        <v>5338531.591</v>
      </c>
      <c r="Z269" s="70">
        <v>0</v>
      </c>
      <c r="AA269" s="70">
        <f t="shared" si="59"/>
        <v>5338531.591</v>
      </c>
      <c r="AB269" s="70">
        <v>265879330.95640001</v>
      </c>
      <c r="AC269" s="75">
        <f t="shared" si="72"/>
        <v>410643625.88740003</v>
      </c>
    </row>
    <row r="270" spans="1:29" ht="24.95" customHeight="1">
      <c r="A270" s="183"/>
      <c r="B270" s="178"/>
      <c r="C270" s="66">
        <v>10</v>
      </c>
      <c r="D270" s="70" t="s">
        <v>658</v>
      </c>
      <c r="E270" s="70">
        <v>10417855.253</v>
      </c>
      <c r="F270" s="70">
        <v>0</v>
      </c>
      <c r="G270" s="70">
        <v>108668304.5325</v>
      </c>
      <c r="H270" s="70">
        <v>22056452.8255</v>
      </c>
      <c r="I270" s="70">
        <v>6439222.9047999997</v>
      </c>
      <c r="J270" s="70">
        <v>4234278.3783999998</v>
      </c>
      <c r="K270" s="70">
        <v>0</v>
      </c>
      <c r="L270" s="70">
        <f t="shared" si="70"/>
        <v>4234278.3783999998</v>
      </c>
      <c r="M270" s="85">
        <v>234042462.74000001</v>
      </c>
      <c r="N270" s="75">
        <f t="shared" si="71"/>
        <v>385858576.63419998</v>
      </c>
      <c r="O270" s="74"/>
      <c r="P270" s="178"/>
      <c r="Q270" s="78">
        <v>16</v>
      </c>
      <c r="R270" s="178"/>
      <c r="S270" s="70" t="s">
        <v>659</v>
      </c>
      <c r="T270" s="70">
        <v>10053232.09</v>
      </c>
      <c r="U270" s="70"/>
      <c r="V270" s="70">
        <v>104864932.29000001</v>
      </c>
      <c r="W270" s="70">
        <v>21284480.719999999</v>
      </c>
      <c r="X270" s="70">
        <v>7963626</v>
      </c>
      <c r="Y270" s="70">
        <v>4616095.7944999998</v>
      </c>
      <c r="Z270" s="70">
        <v>0</v>
      </c>
      <c r="AA270" s="70">
        <f t="shared" si="59"/>
        <v>4616095.7944999998</v>
      </c>
      <c r="AB270" s="70">
        <v>267899272.5007</v>
      </c>
      <c r="AC270" s="75">
        <f t="shared" si="72"/>
        <v>416681639.39520001</v>
      </c>
    </row>
    <row r="271" spans="1:29" ht="24.95" customHeight="1">
      <c r="A271" s="183"/>
      <c r="B271" s="178"/>
      <c r="C271" s="66">
        <v>11</v>
      </c>
      <c r="D271" s="70" t="s">
        <v>660</v>
      </c>
      <c r="E271" s="70">
        <v>11164449.623199999</v>
      </c>
      <c r="F271" s="70">
        <v>0</v>
      </c>
      <c r="G271" s="70">
        <v>116456005.7835</v>
      </c>
      <c r="H271" s="70">
        <v>23637125.920600001</v>
      </c>
      <c r="I271" s="70">
        <v>6709808.4638</v>
      </c>
      <c r="J271" s="70">
        <v>4537727.4397999998</v>
      </c>
      <c r="K271" s="70">
        <v>0</v>
      </c>
      <c r="L271" s="70">
        <f t="shared" si="70"/>
        <v>4537727.4397999998</v>
      </c>
      <c r="M271" s="85">
        <v>243883550.72119999</v>
      </c>
      <c r="N271" s="75">
        <f t="shared" si="71"/>
        <v>406388667.95210004</v>
      </c>
      <c r="O271" s="74"/>
      <c r="P271" s="178"/>
      <c r="Q271" s="78">
        <v>17</v>
      </c>
      <c r="R271" s="178"/>
      <c r="S271" s="70" t="s">
        <v>661</v>
      </c>
      <c r="T271" s="70">
        <v>13134717.279999999</v>
      </c>
      <c r="U271" s="70"/>
      <c r="V271" s="70">
        <v>137007802.71000001</v>
      </c>
      <c r="W271" s="70">
        <v>27808533.039999999</v>
      </c>
      <c r="X271" s="70">
        <v>9688373.0899999999</v>
      </c>
      <c r="Y271" s="70">
        <v>4237643.4314000001</v>
      </c>
      <c r="Z271" s="70">
        <v>0</v>
      </c>
      <c r="AA271" s="70">
        <f t="shared" si="59"/>
        <v>4237643.4314000001</v>
      </c>
      <c r="AB271" s="70">
        <v>330627630.51459998</v>
      </c>
      <c r="AC271" s="75">
        <f t="shared" si="72"/>
        <v>522504700.06599998</v>
      </c>
    </row>
    <row r="272" spans="1:29" ht="24.95" customHeight="1">
      <c r="A272" s="183"/>
      <c r="B272" s="178"/>
      <c r="C272" s="66">
        <v>12</v>
      </c>
      <c r="D272" s="70" t="s">
        <v>662</v>
      </c>
      <c r="E272" s="70">
        <v>7834767.3683000002</v>
      </c>
      <c r="F272" s="70">
        <v>0</v>
      </c>
      <c r="G272" s="70">
        <v>81724200.005700007</v>
      </c>
      <c r="H272" s="70">
        <v>16587596.262599999</v>
      </c>
      <c r="I272" s="70">
        <v>5106575.2282999996</v>
      </c>
      <c r="J272" s="70">
        <v>3184396.9092000001</v>
      </c>
      <c r="K272" s="70">
        <v>0</v>
      </c>
      <c r="L272" s="70">
        <f t="shared" si="70"/>
        <v>3184396.9092000001</v>
      </c>
      <c r="M272" s="85">
        <v>185574602.59850001</v>
      </c>
      <c r="N272" s="75">
        <f t="shared" si="71"/>
        <v>300012138.37260002</v>
      </c>
      <c r="O272" s="74"/>
      <c r="P272" s="178"/>
      <c r="Q272" s="78">
        <v>18</v>
      </c>
      <c r="R272" s="178"/>
      <c r="S272" s="70" t="s">
        <v>663</v>
      </c>
      <c r="T272" s="70">
        <v>11357264.1</v>
      </c>
      <c r="U272" s="70"/>
      <c r="V272" s="70">
        <v>118467247.25</v>
      </c>
      <c r="W272" s="70">
        <v>24045348.469999999</v>
      </c>
      <c r="X272" s="70">
        <v>8041909.8300000001</v>
      </c>
      <c r="Y272" s="70">
        <v>3826350.3848999999</v>
      </c>
      <c r="Z272" s="70">
        <v>0</v>
      </c>
      <c r="AA272" s="70">
        <f t="shared" ref="AA272:AA335" si="73">Y272-Z272</f>
        <v>3826350.3848999999</v>
      </c>
      <c r="AB272" s="70">
        <v>270746423.75520003</v>
      </c>
      <c r="AC272" s="75">
        <f t="shared" si="72"/>
        <v>436484543.79010004</v>
      </c>
    </row>
    <row r="273" spans="1:29" ht="24.95" customHeight="1">
      <c r="A273" s="183"/>
      <c r="B273" s="178"/>
      <c r="C273" s="66">
        <v>13</v>
      </c>
      <c r="D273" s="70" t="s">
        <v>664</v>
      </c>
      <c r="E273" s="70">
        <v>9930038.9539000001</v>
      </c>
      <c r="F273" s="70">
        <v>0</v>
      </c>
      <c r="G273" s="70">
        <v>103579908.80589999</v>
      </c>
      <c r="H273" s="70">
        <v>21023658.941599999</v>
      </c>
      <c r="I273" s="70">
        <v>6205539.4605</v>
      </c>
      <c r="J273" s="70">
        <v>4036008.2009999999</v>
      </c>
      <c r="K273" s="70">
        <v>0</v>
      </c>
      <c r="L273" s="70">
        <f t="shared" si="70"/>
        <v>4036008.2009999999</v>
      </c>
      <c r="M273" s="85">
        <v>225543489.8362</v>
      </c>
      <c r="N273" s="75">
        <f t="shared" si="71"/>
        <v>370318644.19910002</v>
      </c>
      <c r="O273" s="74"/>
      <c r="P273" s="178"/>
      <c r="Q273" s="78">
        <v>19</v>
      </c>
      <c r="R273" s="178"/>
      <c r="S273" s="70" t="s">
        <v>665</v>
      </c>
      <c r="T273" s="70">
        <v>10426134.5</v>
      </c>
      <c r="U273" s="70"/>
      <c r="V273" s="70">
        <v>108754665.09</v>
      </c>
      <c r="W273" s="70">
        <v>22073981.460000001</v>
      </c>
      <c r="X273" s="70">
        <v>7712396.4100000001</v>
      </c>
      <c r="Y273" s="70">
        <v>4725520.1898999996</v>
      </c>
      <c r="Z273" s="70">
        <v>0</v>
      </c>
      <c r="AA273" s="70">
        <f t="shared" si="73"/>
        <v>4725520.1898999996</v>
      </c>
      <c r="AB273" s="70">
        <v>258762153.05399999</v>
      </c>
      <c r="AC273" s="75">
        <f t="shared" si="72"/>
        <v>412454850.70389998</v>
      </c>
    </row>
    <row r="274" spans="1:29" ht="24.95" customHeight="1">
      <c r="A274" s="183"/>
      <c r="B274" s="178"/>
      <c r="C274" s="66">
        <v>14</v>
      </c>
      <c r="D274" s="70" t="s">
        <v>666</v>
      </c>
      <c r="E274" s="70">
        <v>9690100.8121000007</v>
      </c>
      <c r="F274" s="70">
        <v>0</v>
      </c>
      <c r="G274" s="70">
        <v>101077121.96340001</v>
      </c>
      <c r="H274" s="70">
        <v>20515667.212299999</v>
      </c>
      <c r="I274" s="70">
        <v>6007936.6579999998</v>
      </c>
      <c r="J274" s="70">
        <v>3938486.6997000002</v>
      </c>
      <c r="K274" s="70">
        <v>0</v>
      </c>
      <c r="L274" s="70">
        <f t="shared" si="70"/>
        <v>3938486.6997000002</v>
      </c>
      <c r="M274" s="85">
        <v>218356755.36109999</v>
      </c>
      <c r="N274" s="75">
        <f t="shared" si="71"/>
        <v>359586068.70659995</v>
      </c>
      <c r="O274" s="74"/>
      <c r="P274" s="178"/>
      <c r="Q274" s="78">
        <v>20</v>
      </c>
      <c r="R274" s="178"/>
      <c r="S274" s="70" t="s">
        <v>667</v>
      </c>
      <c r="T274" s="70">
        <v>9414204.9499999993</v>
      </c>
      <c r="U274" s="70"/>
      <c r="V274" s="70">
        <v>98199261.299999997</v>
      </c>
      <c r="W274" s="70">
        <v>24615342.649999999</v>
      </c>
      <c r="X274" s="70">
        <v>7440013.8700000001</v>
      </c>
      <c r="Y274" s="70">
        <v>4377082.2041999996</v>
      </c>
      <c r="Z274" s="70">
        <v>0</v>
      </c>
      <c r="AA274" s="70">
        <f t="shared" si="73"/>
        <v>4377082.2041999996</v>
      </c>
      <c r="AB274" s="70">
        <v>248855709.9039</v>
      </c>
      <c r="AC274" s="75">
        <f t="shared" si="72"/>
        <v>392901614.87810004</v>
      </c>
    </row>
    <row r="275" spans="1:29" ht="24.95" customHeight="1">
      <c r="A275" s="183"/>
      <c r="B275" s="178"/>
      <c r="C275" s="66">
        <v>15</v>
      </c>
      <c r="D275" s="70" t="s">
        <v>668</v>
      </c>
      <c r="E275" s="70">
        <v>10392763.830700001</v>
      </c>
      <c r="F275" s="70">
        <v>0</v>
      </c>
      <c r="G275" s="70">
        <v>108406576.73370001</v>
      </c>
      <c r="H275" s="70">
        <v>22003329.820900001</v>
      </c>
      <c r="I275" s="70">
        <v>6428197.1946</v>
      </c>
      <c r="J275" s="70">
        <v>4224080.1114999996</v>
      </c>
      <c r="K275" s="70">
        <v>0</v>
      </c>
      <c r="L275" s="70">
        <f t="shared" si="70"/>
        <v>4224080.1114999996</v>
      </c>
      <c r="M275" s="85">
        <v>233641462.09599999</v>
      </c>
      <c r="N275" s="75">
        <f t="shared" si="71"/>
        <v>385096409.78740001</v>
      </c>
      <c r="O275" s="74"/>
      <c r="P275" s="178"/>
      <c r="Q275" s="78">
        <v>21</v>
      </c>
      <c r="R275" s="178"/>
      <c r="S275" s="70" t="s">
        <v>669</v>
      </c>
      <c r="T275" s="70">
        <v>11626487.66</v>
      </c>
      <c r="U275" s="70"/>
      <c r="V275" s="70">
        <v>121275509.34999999</v>
      </c>
      <c r="W275" s="70">
        <v>22800321.219999999</v>
      </c>
      <c r="X275" s="70">
        <v>8970495.3900000006</v>
      </c>
      <c r="Y275" s="70">
        <v>4531379.6622000001</v>
      </c>
      <c r="Z275" s="70">
        <v>0</v>
      </c>
      <c r="AA275" s="70">
        <f t="shared" si="73"/>
        <v>4531379.6622000001</v>
      </c>
      <c r="AB275" s="70">
        <v>304518707.32800001</v>
      </c>
      <c r="AC275" s="75">
        <f t="shared" si="72"/>
        <v>473722900.61020005</v>
      </c>
    </row>
    <row r="276" spans="1:29" ht="24.95" customHeight="1">
      <c r="A276" s="183"/>
      <c r="B276" s="179"/>
      <c r="C276" s="66">
        <v>16</v>
      </c>
      <c r="D276" s="70" t="s">
        <v>670</v>
      </c>
      <c r="E276" s="70">
        <v>10102577.0441</v>
      </c>
      <c r="F276" s="70">
        <v>0</v>
      </c>
      <c r="G276" s="70">
        <v>105379647.93440001</v>
      </c>
      <c r="H276" s="70">
        <v>21388952.771699999</v>
      </c>
      <c r="I276" s="70">
        <v>6270500.0181</v>
      </c>
      <c r="J276" s="70">
        <v>4106135.3325</v>
      </c>
      <c r="K276" s="70">
        <v>0</v>
      </c>
      <c r="L276" s="70">
        <f t="shared" si="70"/>
        <v>4106135.3325</v>
      </c>
      <c r="M276" s="85">
        <v>227906079.19499999</v>
      </c>
      <c r="N276" s="75">
        <f t="shared" si="71"/>
        <v>375153892.29579997</v>
      </c>
      <c r="O276" s="74"/>
      <c r="P276" s="178"/>
      <c r="Q276" s="78">
        <v>22</v>
      </c>
      <c r="R276" s="178"/>
      <c r="S276" s="70" t="s">
        <v>671</v>
      </c>
      <c r="T276" s="70">
        <v>10769204.279999999</v>
      </c>
      <c r="U276" s="70"/>
      <c r="V276" s="70">
        <v>112333214.64</v>
      </c>
      <c r="W276" s="70">
        <v>23604060.199999999</v>
      </c>
      <c r="X276" s="70">
        <v>8289699.5099999998</v>
      </c>
      <c r="Y276" s="70">
        <v>3879191.4547000001</v>
      </c>
      <c r="Z276" s="70">
        <v>0</v>
      </c>
      <c r="AA276" s="70">
        <f t="shared" si="73"/>
        <v>3879191.4547000001</v>
      </c>
      <c r="AB276" s="70">
        <v>279758434.73549998</v>
      </c>
      <c r="AC276" s="75">
        <f t="shared" si="72"/>
        <v>438633804.82019997</v>
      </c>
    </row>
    <row r="277" spans="1:29" ht="24.95" customHeight="1">
      <c r="A277" s="66"/>
      <c r="B277" s="190" t="s">
        <v>672</v>
      </c>
      <c r="C277" s="191"/>
      <c r="D277" s="71"/>
      <c r="E277" s="71">
        <f t="shared" ref="E277:N277" si="74">SUM(E261:E276)</f>
        <v>167361520.9937</v>
      </c>
      <c r="F277" s="71">
        <f t="shared" si="74"/>
        <v>0</v>
      </c>
      <c r="G277" s="71">
        <f t="shared" si="74"/>
        <v>1745742505.4121001</v>
      </c>
      <c r="H277" s="71">
        <f t="shared" si="74"/>
        <v>354334112.24870008</v>
      </c>
      <c r="I277" s="71">
        <f t="shared" si="74"/>
        <v>103368118.4448</v>
      </c>
      <c r="J277" s="71">
        <f t="shared" si="74"/>
        <v>68023144.159899995</v>
      </c>
      <c r="K277" s="71">
        <f t="shared" si="74"/>
        <v>0</v>
      </c>
      <c r="L277" s="71">
        <f t="shared" si="74"/>
        <v>68023144.159899995</v>
      </c>
      <c r="M277" s="71">
        <f t="shared" si="74"/>
        <v>3757065142.0079002</v>
      </c>
      <c r="N277" s="71">
        <f t="shared" si="74"/>
        <v>6195894543.2671013</v>
      </c>
      <c r="O277" s="74"/>
      <c r="P277" s="178"/>
      <c r="Q277" s="78">
        <v>23</v>
      </c>
      <c r="R277" s="178"/>
      <c r="S277" s="70" t="s">
        <v>673</v>
      </c>
      <c r="T277" s="70">
        <v>11148831.800000001</v>
      </c>
      <c r="U277" s="70"/>
      <c r="V277" s="70">
        <v>116293096.73999999</v>
      </c>
      <c r="W277" s="70">
        <v>20206796.93</v>
      </c>
      <c r="X277" s="70">
        <v>8941268.9199999999</v>
      </c>
      <c r="Y277" s="70">
        <v>3549842.2327000001</v>
      </c>
      <c r="Z277" s="70">
        <v>0</v>
      </c>
      <c r="AA277" s="70">
        <f t="shared" si="73"/>
        <v>3549842.2327000001</v>
      </c>
      <c r="AB277" s="70">
        <v>303455752.18669999</v>
      </c>
      <c r="AC277" s="75">
        <f t="shared" si="72"/>
        <v>463595588.80939996</v>
      </c>
    </row>
    <row r="278" spans="1:29" ht="24.95" customHeight="1">
      <c r="A278" s="183">
        <v>14</v>
      </c>
      <c r="B278" s="177" t="s">
        <v>99</v>
      </c>
      <c r="C278" s="66">
        <v>1</v>
      </c>
      <c r="D278" s="70" t="s">
        <v>674</v>
      </c>
      <c r="E278" s="70">
        <v>12655217.4901</v>
      </c>
      <c r="F278" s="70">
        <v>0</v>
      </c>
      <c r="G278" s="70">
        <v>132006156.2332</v>
      </c>
      <c r="H278" s="70">
        <v>26793346.690699998</v>
      </c>
      <c r="I278" s="70">
        <v>8240509.5581999999</v>
      </c>
      <c r="J278" s="70">
        <v>5143641.6124</v>
      </c>
      <c r="K278" s="70">
        <v>0</v>
      </c>
      <c r="L278" s="70">
        <f t="shared" ref="L278:L294" si="75">J278-K278</f>
        <v>5143641.6124</v>
      </c>
      <c r="M278" s="85">
        <v>241223928.68450001</v>
      </c>
      <c r="N278" s="75">
        <f t="shared" ref="N278:N294" si="76">E278+F278+G278+H278+I278+L278+M278</f>
        <v>426062800.26910001</v>
      </c>
      <c r="O278" s="74"/>
      <c r="P278" s="178"/>
      <c r="Q278" s="78">
        <v>24</v>
      </c>
      <c r="R278" s="178"/>
      <c r="S278" s="70" t="s">
        <v>675</v>
      </c>
      <c r="T278" s="70">
        <v>9544213.0800000001</v>
      </c>
      <c r="U278" s="70"/>
      <c r="V278" s="70">
        <v>99555371.819999993</v>
      </c>
      <c r="W278" s="70">
        <v>18491209.300000001</v>
      </c>
      <c r="X278" s="70">
        <v>7684607.5099999998</v>
      </c>
      <c r="Y278" s="70">
        <v>4705518.0712000001</v>
      </c>
      <c r="Z278" s="70">
        <v>0</v>
      </c>
      <c r="AA278" s="70">
        <f t="shared" si="73"/>
        <v>4705518.0712000001</v>
      </c>
      <c r="AB278" s="70">
        <v>257751482.04789999</v>
      </c>
      <c r="AC278" s="75">
        <f t="shared" si="72"/>
        <v>397732401.82910001</v>
      </c>
    </row>
    <row r="279" spans="1:29" ht="24.95" customHeight="1">
      <c r="A279" s="183"/>
      <c r="B279" s="178"/>
      <c r="C279" s="66">
        <v>2</v>
      </c>
      <c r="D279" s="70" t="s">
        <v>676</v>
      </c>
      <c r="E279" s="70">
        <v>10662930.2292</v>
      </c>
      <c r="F279" s="70">
        <v>0</v>
      </c>
      <c r="G279" s="70">
        <v>111224673.5264</v>
      </c>
      <c r="H279" s="70">
        <v>22575320.147100002</v>
      </c>
      <c r="I279" s="70">
        <v>7413760.9957999997</v>
      </c>
      <c r="J279" s="70">
        <v>4333887.7171</v>
      </c>
      <c r="K279" s="70">
        <v>0</v>
      </c>
      <c r="L279" s="70">
        <f t="shared" si="75"/>
        <v>4333887.7171</v>
      </c>
      <c r="M279" s="85">
        <v>211155415.90270001</v>
      </c>
      <c r="N279" s="75">
        <f t="shared" si="76"/>
        <v>367365988.5183</v>
      </c>
      <c r="O279" s="74"/>
      <c r="P279" s="178"/>
      <c r="Q279" s="78">
        <v>25</v>
      </c>
      <c r="R279" s="178"/>
      <c r="S279" s="70" t="s">
        <v>677</v>
      </c>
      <c r="T279" s="70">
        <v>8733894.9499999993</v>
      </c>
      <c r="U279" s="70"/>
      <c r="V279" s="70">
        <v>91102970.170000002</v>
      </c>
      <c r="W279" s="70">
        <v>19931546.59</v>
      </c>
      <c r="X279" s="70">
        <v>7227265.1600000001</v>
      </c>
      <c r="Y279" s="70">
        <v>5126793.4566000002</v>
      </c>
      <c r="Z279" s="70">
        <v>0</v>
      </c>
      <c r="AA279" s="70">
        <f t="shared" si="73"/>
        <v>5126793.4566000002</v>
      </c>
      <c r="AB279" s="70">
        <v>241118124.71869999</v>
      </c>
      <c r="AC279" s="75">
        <f t="shared" si="72"/>
        <v>373240595.04530001</v>
      </c>
    </row>
    <row r="280" spans="1:29" ht="24.95" customHeight="1">
      <c r="A280" s="183"/>
      <c r="B280" s="178"/>
      <c r="C280" s="66">
        <v>3</v>
      </c>
      <c r="D280" s="70" t="s">
        <v>678</v>
      </c>
      <c r="E280" s="70">
        <v>14433406.220899999</v>
      </c>
      <c r="F280" s="70">
        <v>0</v>
      </c>
      <c r="G280" s="70">
        <v>150554384.23370001</v>
      </c>
      <c r="H280" s="70">
        <v>30558088.559500001</v>
      </c>
      <c r="I280" s="70">
        <v>9279608.9334999993</v>
      </c>
      <c r="J280" s="70">
        <v>5866376.3704000004</v>
      </c>
      <c r="K280" s="70">
        <v>0</v>
      </c>
      <c r="L280" s="70">
        <f t="shared" si="75"/>
        <v>5866376.3704000004</v>
      </c>
      <c r="M280" s="85">
        <v>279015555.1498</v>
      </c>
      <c r="N280" s="75">
        <f t="shared" si="76"/>
        <v>489707419.46780002</v>
      </c>
      <c r="O280" s="74"/>
      <c r="P280" s="178"/>
      <c r="Q280" s="78">
        <v>26</v>
      </c>
      <c r="R280" s="178"/>
      <c r="S280" s="70" t="s">
        <v>679</v>
      </c>
      <c r="T280" s="70">
        <v>11577275.220000001</v>
      </c>
      <c r="U280" s="70"/>
      <c r="V280" s="70">
        <v>120762176</v>
      </c>
      <c r="W280" s="70">
        <v>24511151.149999999</v>
      </c>
      <c r="X280" s="70">
        <v>8992675.1699999999</v>
      </c>
      <c r="Y280" s="70">
        <v>3926636.375</v>
      </c>
      <c r="Z280" s="70">
        <v>0</v>
      </c>
      <c r="AA280" s="70">
        <f t="shared" si="73"/>
        <v>3926636.375</v>
      </c>
      <c r="AB280" s="70">
        <v>305325376.8423</v>
      </c>
      <c r="AC280" s="75">
        <f t="shared" si="72"/>
        <v>475095290.75730002</v>
      </c>
    </row>
    <row r="281" spans="1:29" ht="24.95" customHeight="1">
      <c r="A281" s="183"/>
      <c r="B281" s="178"/>
      <c r="C281" s="66">
        <v>4</v>
      </c>
      <c r="D281" s="70" t="s">
        <v>680</v>
      </c>
      <c r="E281" s="70">
        <v>13567932.0474</v>
      </c>
      <c r="F281" s="70">
        <v>0</v>
      </c>
      <c r="G281" s="70">
        <v>141526651.67570001</v>
      </c>
      <c r="H281" s="70">
        <v>28725725.773200002</v>
      </c>
      <c r="I281" s="70">
        <v>8840159.2971000001</v>
      </c>
      <c r="J281" s="70">
        <v>5514609.2849000003</v>
      </c>
      <c r="K281" s="70">
        <v>0</v>
      </c>
      <c r="L281" s="70">
        <f t="shared" si="75"/>
        <v>5514609.2849000003</v>
      </c>
      <c r="M281" s="85">
        <v>263032948.5747</v>
      </c>
      <c r="N281" s="75">
        <f t="shared" si="76"/>
        <v>461208026.653</v>
      </c>
      <c r="O281" s="74"/>
      <c r="P281" s="178"/>
      <c r="Q281" s="78">
        <v>27</v>
      </c>
      <c r="R281" s="178"/>
      <c r="S281" s="70" t="s">
        <v>681</v>
      </c>
      <c r="T281" s="70">
        <v>12613764.939999999</v>
      </c>
      <c r="U281" s="70"/>
      <c r="V281" s="70">
        <v>131573766.02</v>
      </c>
      <c r="W281" s="70">
        <v>26705584.260000002</v>
      </c>
      <c r="X281" s="70">
        <v>9792764.3599999994</v>
      </c>
      <c r="Y281" s="70">
        <v>4722235.3011999996</v>
      </c>
      <c r="Z281" s="70">
        <v>0</v>
      </c>
      <c r="AA281" s="70">
        <f t="shared" si="73"/>
        <v>4722235.3011999996</v>
      </c>
      <c r="AB281" s="70">
        <v>334424299.00999999</v>
      </c>
      <c r="AC281" s="75">
        <f t="shared" si="72"/>
        <v>519832413.89119995</v>
      </c>
    </row>
    <row r="282" spans="1:29" ht="24.95" customHeight="1">
      <c r="A282" s="183"/>
      <c r="B282" s="178"/>
      <c r="C282" s="66">
        <v>5</v>
      </c>
      <c r="D282" s="70" t="s">
        <v>682</v>
      </c>
      <c r="E282" s="70">
        <v>13118627.770099999</v>
      </c>
      <c r="F282" s="70">
        <v>0</v>
      </c>
      <c r="G282" s="70">
        <v>136839973.57890001</v>
      </c>
      <c r="H282" s="70">
        <v>27774468.690499999</v>
      </c>
      <c r="I282" s="70">
        <v>8248069.6783999996</v>
      </c>
      <c r="J282" s="70">
        <v>5331992.1012000004</v>
      </c>
      <c r="K282" s="70">
        <v>0</v>
      </c>
      <c r="L282" s="70">
        <f t="shared" si="75"/>
        <v>5331992.1012000004</v>
      </c>
      <c r="M282" s="85">
        <v>241498887.21689999</v>
      </c>
      <c r="N282" s="75">
        <f t="shared" si="76"/>
        <v>432812019.03600001</v>
      </c>
      <c r="O282" s="74"/>
      <c r="P282" s="178"/>
      <c r="Q282" s="78">
        <v>28</v>
      </c>
      <c r="R282" s="178"/>
      <c r="S282" s="70" t="s">
        <v>683</v>
      </c>
      <c r="T282" s="70">
        <v>9660944.7300000004</v>
      </c>
      <c r="U282" s="70"/>
      <c r="V282" s="70">
        <v>100772995.84</v>
      </c>
      <c r="W282" s="70">
        <v>20453938.600000001</v>
      </c>
      <c r="X282" s="70">
        <v>7731149.0999999996</v>
      </c>
      <c r="Y282" s="70">
        <v>3987142.2337000002</v>
      </c>
      <c r="Z282" s="70">
        <v>0</v>
      </c>
      <c r="AA282" s="70">
        <f t="shared" si="73"/>
        <v>3987142.2337000002</v>
      </c>
      <c r="AB282" s="70">
        <v>259444180.92460001</v>
      </c>
      <c r="AC282" s="75">
        <f t="shared" si="72"/>
        <v>402050351.42830002</v>
      </c>
    </row>
    <row r="283" spans="1:29" ht="24.95" customHeight="1">
      <c r="A283" s="183"/>
      <c r="B283" s="178"/>
      <c r="C283" s="66">
        <v>6</v>
      </c>
      <c r="D283" s="70" t="s">
        <v>684</v>
      </c>
      <c r="E283" s="70">
        <v>12613144.483899999</v>
      </c>
      <c r="F283" s="70">
        <v>0</v>
      </c>
      <c r="G283" s="70">
        <v>131567294.09289999</v>
      </c>
      <c r="H283" s="70">
        <v>26704270.651999999</v>
      </c>
      <c r="I283" s="70">
        <v>7875775.4731999999</v>
      </c>
      <c r="J283" s="70">
        <v>5126541.2768999999</v>
      </c>
      <c r="K283" s="70">
        <v>0</v>
      </c>
      <c r="L283" s="70">
        <f t="shared" si="75"/>
        <v>5126541.2768999999</v>
      </c>
      <c r="M283" s="85">
        <v>227958696.67120001</v>
      </c>
      <c r="N283" s="75">
        <f t="shared" si="76"/>
        <v>411845722.65009999</v>
      </c>
      <c r="O283" s="74"/>
      <c r="P283" s="178"/>
      <c r="Q283" s="78">
        <v>29</v>
      </c>
      <c r="R283" s="178"/>
      <c r="S283" s="70" t="s">
        <v>685</v>
      </c>
      <c r="T283" s="70">
        <v>11618405.65</v>
      </c>
      <c r="U283" s="70"/>
      <c r="V283" s="70">
        <v>121191206.14</v>
      </c>
      <c r="W283" s="70">
        <v>24598231.59</v>
      </c>
      <c r="X283" s="70">
        <v>8323983.1799999997</v>
      </c>
      <c r="Y283" s="70">
        <v>4004547.8909</v>
      </c>
      <c r="Z283" s="70">
        <v>0</v>
      </c>
      <c r="AA283" s="70">
        <f t="shared" si="73"/>
        <v>4004547.8909</v>
      </c>
      <c r="AB283" s="70">
        <v>281005317.99519998</v>
      </c>
      <c r="AC283" s="75">
        <f t="shared" si="72"/>
        <v>450741692.4461</v>
      </c>
    </row>
    <row r="284" spans="1:29" ht="24.95" customHeight="1">
      <c r="A284" s="183"/>
      <c r="B284" s="178"/>
      <c r="C284" s="66">
        <v>7</v>
      </c>
      <c r="D284" s="70" t="s">
        <v>686</v>
      </c>
      <c r="E284" s="70">
        <v>12735314.3331</v>
      </c>
      <c r="F284" s="70">
        <v>0</v>
      </c>
      <c r="G284" s="70">
        <v>132841643.76019999</v>
      </c>
      <c r="H284" s="70">
        <v>26962925.955800001</v>
      </c>
      <c r="I284" s="70">
        <v>8383163.5073999995</v>
      </c>
      <c r="J284" s="70">
        <v>5176196.5214999998</v>
      </c>
      <c r="K284" s="70">
        <v>0</v>
      </c>
      <c r="L284" s="70">
        <f t="shared" si="75"/>
        <v>5176196.5214999998</v>
      </c>
      <c r="M284" s="85">
        <v>246412195.45660001</v>
      </c>
      <c r="N284" s="75">
        <f t="shared" si="76"/>
        <v>432511439.53460002</v>
      </c>
      <c r="O284" s="74"/>
      <c r="P284" s="178"/>
      <c r="Q284" s="78">
        <v>30</v>
      </c>
      <c r="R284" s="178"/>
      <c r="S284" s="70" t="s">
        <v>687</v>
      </c>
      <c r="T284" s="70">
        <v>9809811.0099999998</v>
      </c>
      <c r="U284" s="70"/>
      <c r="V284" s="70">
        <v>102325815.11</v>
      </c>
      <c r="W284" s="70">
        <v>20769115</v>
      </c>
      <c r="X284" s="70">
        <v>7980222.3300000001</v>
      </c>
      <c r="Y284" s="70">
        <v>3985102.0767000001</v>
      </c>
      <c r="Z284" s="70">
        <v>0</v>
      </c>
      <c r="AA284" s="70">
        <f t="shared" si="73"/>
        <v>3985102.0767000001</v>
      </c>
      <c r="AB284" s="70">
        <v>268502874.16850001</v>
      </c>
      <c r="AC284" s="75">
        <f t="shared" si="72"/>
        <v>413372939.69520003</v>
      </c>
    </row>
    <row r="285" spans="1:29" ht="24.95" customHeight="1">
      <c r="A285" s="183"/>
      <c r="B285" s="178"/>
      <c r="C285" s="66">
        <v>8</v>
      </c>
      <c r="D285" s="70" t="s">
        <v>688</v>
      </c>
      <c r="E285" s="70">
        <v>13783650.741699999</v>
      </c>
      <c r="F285" s="70">
        <v>0</v>
      </c>
      <c r="G285" s="70">
        <v>143776806.26199999</v>
      </c>
      <c r="H285" s="70">
        <v>29182440.6239</v>
      </c>
      <c r="I285" s="70">
        <v>9027288.3169</v>
      </c>
      <c r="J285" s="70">
        <v>5602286.9288999997</v>
      </c>
      <c r="K285" s="70">
        <v>0</v>
      </c>
      <c r="L285" s="70">
        <f t="shared" si="75"/>
        <v>5602286.9288999997</v>
      </c>
      <c r="M285" s="85">
        <v>269838755.7791</v>
      </c>
      <c r="N285" s="75">
        <f t="shared" si="76"/>
        <v>471211228.65249997</v>
      </c>
      <c r="O285" s="74"/>
      <c r="P285" s="178"/>
      <c r="Q285" s="78">
        <v>31</v>
      </c>
      <c r="R285" s="178"/>
      <c r="S285" s="70" t="s">
        <v>689</v>
      </c>
      <c r="T285" s="70">
        <v>9852635.2200000007</v>
      </c>
      <c r="U285" s="70"/>
      <c r="V285" s="70">
        <v>102772513.01000001</v>
      </c>
      <c r="W285" s="70">
        <v>20859781.469999999</v>
      </c>
      <c r="X285" s="70">
        <v>8139254.4000000004</v>
      </c>
      <c r="Y285" s="70">
        <v>4593585.9767000005</v>
      </c>
      <c r="Z285" s="70">
        <v>0</v>
      </c>
      <c r="AA285" s="70">
        <f t="shared" si="73"/>
        <v>4593585.9767000005</v>
      </c>
      <c r="AB285" s="70">
        <v>274286806.62360001</v>
      </c>
      <c r="AC285" s="75">
        <f t="shared" si="72"/>
        <v>420504576.70029998</v>
      </c>
    </row>
    <row r="286" spans="1:29" ht="24.95" customHeight="1">
      <c r="A286" s="183"/>
      <c r="B286" s="178"/>
      <c r="C286" s="66">
        <v>9</v>
      </c>
      <c r="D286" s="70" t="s">
        <v>690</v>
      </c>
      <c r="E286" s="70">
        <v>12542106.9474</v>
      </c>
      <c r="F286" s="70">
        <v>0</v>
      </c>
      <c r="G286" s="70">
        <v>130826303.8925</v>
      </c>
      <c r="H286" s="70">
        <v>26553871.550299998</v>
      </c>
      <c r="I286" s="70">
        <v>7588388.2208000002</v>
      </c>
      <c r="J286" s="70">
        <v>5097668.4716999996</v>
      </c>
      <c r="K286" s="70">
        <v>0</v>
      </c>
      <c r="L286" s="70">
        <f t="shared" si="75"/>
        <v>5097668.4716999996</v>
      </c>
      <c r="M286" s="85">
        <v>217506537.8601</v>
      </c>
      <c r="N286" s="75">
        <f t="shared" si="76"/>
        <v>400114876.94280005</v>
      </c>
      <c r="O286" s="74"/>
      <c r="P286" s="178"/>
      <c r="Q286" s="78">
        <v>32</v>
      </c>
      <c r="R286" s="178"/>
      <c r="S286" s="70" t="s">
        <v>691</v>
      </c>
      <c r="T286" s="70">
        <v>9804791.4900000002</v>
      </c>
      <c r="U286" s="70"/>
      <c r="V286" s="70">
        <v>102273456.62</v>
      </c>
      <c r="W286" s="70">
        <v>20758487.780000001</v>
      </c>
      <c r="X286" s="70">
        <v>7805364.0599999996</v>
      </c>
      <c r="Y286" s="70">
        <v>5418533.0969000002</v>
      </c>
      <c r="Z286" s="70">
        <v>0</v>
      </c>
      <c r="AA286" s="70">
        <f t="shared" si="73"/>
        <v>5418533.0969000002</v>
      </c>
      <c r="AB286" s="70">
        <v>262143349.40369999</v>
      </c>
      <c r="AC286" s="75">
        <f t="shared" si="72"/>
        <v>408203982.45059997</v>
      </c>
    </row>
    <row r="287" spans="1:29" ht="24.95" customHeight="1">
      <c r="A287" s="183"/>
      <c r="B287" s="178"/>
      <c r="C287" s="66">
        <v>10</v>
      </c>
      <c r="D287" s="70" t="s">
        <v>692</v>
      </c>
      <c r="E287" s="70">
        <v>11728970.9133</v>
      </c>
      <c r="F287" s="70">
        <v>0</v>
      </c>
      <c r="G287" s="70">
        <v>122344508.741</v>
      </c>
      <c r="H287" s="70">
        <v>24832317.915600002</v>
      </c>
      <c r="I287" s="70">
        <v>7602340.4291000003</v>
      </c>
      <c r="J287" s="70">
        <v>4767173.9271</v>
      </c>
      <c r="K287" s="70">
        <v>0</v>
      </c>
      <c r="L287" s="70">
        <f t="shared" si="75"/>
        <v>4767173.9271</v>
      </c>
      <c r="M287" s="85">
        <v>218013974.065</v>
      </c>
      <c r="N287" s="75">
        <f t="shared" si="76"/>
        <v>389289285.99110001</v>
      </c>
      <c r="O287" s="74"/>
      <c r="P287" s="179"/>
      <c r="Q287" s="78">
        <v>33</v>
      </c>
      <c r="R287" s="179"/>
      <c r="S287" s="70" t="s">
        <v>693</v>
      </c>
      <c r="T287" s="70">
        <v>14049378.970000001</v>
      </c>
      <c r="U287" s="70"/>
      <c r="V287" s="70">
        <v>117889556.43000001</v>
      </c>
      <c r="W287" s="70">
        <v>29745034.550000001</v>
      </c>
      <c r="X287" s="70">
        <v>8214136.8099999996</v>
      </c>
      <c r="Y287" s="70">
        <v>5465965.7995999996</v>
      </c>
      <c r="Z287" s="70">
        <v>0</v>
      </c>
      <c r="AA287" s="70">
        <f t="shared" si="73"/>
        <v>5465965.7995999996</v>
      </c>
      <c r="AB287" s="70">
        <v>277010249.87970001</v>
      </c>
      <c r="AC287" s="75">
        <f t="shared" si="72"/>
        <v>452374322.43930006</v>
      </c>
    </row>
    <row r="288" spans="1:29" ht="24.95" customHeight="1">
      <c r="A288" s="183"/>
      <c r="B288" s="178"/>
      <c r="C288" s="66">
        <v>11</v>
      </c>
      <c r="D288" s="70" t="s">
        <v>694</v>
      </c>
      <c r="E288" s="70">
        <v>12279444.127599999</v>
      </c>
      <c r="F288" s="70">
        <v>0</v>
      </c>
      <c r="G288" s="70">
        <v>128086476.6823</v>
      </c>
      <c r="H288" s="70">
        <v>25997767.635000002</v>
      </c>
      <c r="I288" s="70">
        <v>7606948.3801999995</v>
      </c>
      <c r="J288" s="70">
        <v>4990910.6534000002</v>
      </c>
      <c r="K288" s="70">
        <v>0</v>
      </c>
      <c r="L288" s="70">
        <f t="shared" si="75"/>
        <v>4990910.6534000002</v>
      </c>
      <c r="M288" s="85">
        <v>218181563.39109999</v>
      </c>
      <c r="N288" s="75">
        <f t="shared" si="76"/>
        <v>397143110.86959994</v>
      </c>
      <c r="O288" s="74"/>
      <c r="P288" s="66"/>
      <c r="Q288" s="191" t="s">
        <v>695</v>
      </c>
      <c r="R288" s="192"/>
      <c r="S288" s="71"/>
      <c r="T288" s="71">
        <f t="shared" ref="T288:Z288" si="77">SUM(T255:T287)</f>
        <v>364701942.01000005</v>
      </c>
      <c r="U288" s="71">
        <f t="shared" si="77"/>
        <v>0</v>
      </c>
      <c r="V288" s="71">
        <f t="shared" si="77"/>
        <v>3804193928.0999999</v>
      </c>
      <c r="W288" s="71">
        <f t="shared" si="77"/>
        <v>772138888.8499999</v>
      </c>
      <c r="X288" s="71">
        <f t="shared" si="77"/>
        <v>282660568.83999997</v>
      </c>
      <c r="Y288" s="71">
        <f t="shared" si="77"/>
        <v>150344436.62799999</v>
      </c>
      <c r="Z288" s="71">
        <f t="shared" si="77"/>
        <v>0</v>
      </c>
      <c r="AA288" s="71">
        <f t="shared" si="73"/>
        <v>150344436.62799999</v>
      </c>
      <c r="AB288" s="71">
        <f>SUM(AB255:AB287)</f>
        <v>9563009329.4969025</v>
      </c>
      <c r="AC288" s="71">
        <f>SUM(AC255:AC287)</f>
        <v>14937049093.9249</v>
      </c>
    </row>
    <row r="289" spans="1:29" ht="24.95" customHeight="1">
      <c r="A289" s="183"/>
      <c r="B289" s="178"/>
      <c r="C289" s="66">
        <v>12</v>
      </c>
      <c r="D289" s="70" t="s">
        <v>696</v>
      </c>
      <c r="E289" s="70">
        <v>11922479.4198</v>
      </c>
      <c r="F289" s="70">
        <v>0</v>
      </c>
      <c r="G289" s="70">
        <v>124362989.58930001</v>
      </c>
      <c r="H289" s="70">
        <v>25242009.8475</v>
      </c>
      <c r="I289" s="70">
        <v>7580263.3377999999</v>
      </c>
      <c r="J289" s="70">
        <v>4845824.3657</v>
      </c>
      <c r="K289" s="70">
        <v>0</v>
      </c>
      <c r="L289" s="70">
        <f t="shared" si="75"/>
        <v>4845824.3657</v>
      </c>
      <c r="M289" s="85">
        <v>217211039.13170001</v>
      </c>
      <c r="N289" s="75">
        <f t="shared" si="76"/>
        <v>391164605.6918</v>
      </c>
      <c r="O289" s="74"/>
      <c r="P289" s="177">
        <v>31</v>
      </c>
      <c r="Q289" s="78">
        <v>1</v>
      </c>
      <c r="R289" s="177" t="s">
        <v>116</v>
      </c>
      <c r="S289" s="70" t="s">
        <v>697</v>
      </c>
      <c r="T289" s="70">
        <v>13331549.9</v>
      </c>
      <c r="U289" s="70"/>
      <c r="V289" s="70">
        <v>139060957.28</v>
      </c>
      <c r="W289" s="70">
        <v>28225262.719999999</v>
      </c>
      <c r="X289" s="70">
        <v>7178381.71</v>
      </c>
      <c r="Y289" s="70">
        <v>5442147.2605999997</v>
      </c>
      <c r="Z289" s="70">
        <f t="shared" ref="Z289:Z305" si="78">Y289/2</f>
        <v>2721073.6302999998</v>
      </c>
      <c r="AA289" s="70">
        <f t="shared" si="73"/>
        <v>2721073.6302999998</v>
      </c>
      <c r="AB289" s="70">
        <v>234040970.98879999</v>
      </c>
      <c r="AC289" s="75">
        <f t="shared" si="72"/>
        <v>424558196.22909999</v>
      </c>
    </row>
    <row r="290" spans="1:29" ht="24.95" customHeight="1">
      <c r="A290" s="183"/>
      <c r="B290" s="178"/>
      <c r="C290" s="66">
        <v>13</v>
      </c>
      <c r="D290" s="70" t="s">
        <v>698</v>
      </c>
      <c r="E290" s="70">
        <v>15441170.521299999</v>
      </c>
      <c r="F290" s="70">
        <v>0</v>
      </c>
      <c r="G290" s="70">
        <v>161066340.4122</v>
      </c>
      <c r="H290" s="70">
        <v>32691704.856899999</v>
      </c>
      <c r="I290" s="70">
        <v>9671657.0011999998</v>
      </c>
      <c r="J290" s="70">
        <v>6275976.4737</v>
      </c>
      <c r="K290" s="70">
        <v>0</v>
      </c>
      <c r="L290" s="70">
        <f t="shared" si="75"/>
        <v>6275976.4737</v>
      </c>
      <c r="M290" s="85">
        <v>293274185.7317</v>
      </c>
      <c r="N290" s="75">
        <f t="shared" si="76"/>
        <v>518421034.99699998</v>
      </c>
      <c r="O290" s="74"/>
      <c r="P290" s="178"/>
      <c r="Q290" s="78">
        <v>2</v>
      </c>
      <c r="R290" s="178"/>
      <c r="S290" s="70" t="s">
        <v>292</v>
      </c>
      <c r="T290" s="70">
        <v>13448251.49</v>
      </c>
      <c r="U290" s="70"/>
      <c r="V290" s="70">
        <v>140278267.75</v>
      </c>
      <c r="W290" s="70">
        <v>28472340.75</v>
      </c>
      <c r="X290" s="70">
        <v>7327171.04</v>
      </c>
      <c r="Y290" s="70">
        <v>4131637.4752000002</v>
      </c>
      <c r="Z290" s="70">
        <f t="shared" si="78"/>
        <v>2065818.7376000001</v>
      </c>
      <c r="AA290" s="70">
        <f t="shared" si="73"/>
        <v>2065818.7376000001</v>
      </c>
      <c r="AB290" s="70">
        <v>239452378.98069999</v>
      </c>
      <c r="AC290" s="75">
        <f t="shared" si="72"/>
        <v>431044228.74829996</v>
      </c>
    </row>
    <row r="291" spans="1:29" ht="24.95" customHeight="1">
      <c r="A291" s="183"/>
      <c r="B291" s="178"/>
      <c r="C291" s="66">
        <v>14</v>
      </c>
      <c r="D291" s="70" t="s">
        <v>699</v>
      </c>
      <c r="E291" s="70">
        <v>10594814.932</v>
      </c>
      <c r="F291" s="70">
        <v>0</v>
      </c>
      <c r="G291" s="70">
        <v>110514165.1084</v>
      </c>
      <c r="H291" s="70">
        <v>22431107.945799999</v>
      </c>
      <c r="I291" s="70">
        <v>7322166.7379999999</v>
      </c>
      <c r="J291" s="70">
        <v>4306202.6397000002</v>
      </c>
      <c r="K291" s="70">
        <v>0</v>
      </c>
      <c r="L291" s="70">
        <f t="shared" si="75"/>
        <v>4306202.6397000002</v>
      </c>
      <c r="M291" s="85">
        <v>207824169.57499999</v>
      </c>
      <c r="N291" s="75">
        <f t="shared" si="76"/>
        <v>362992626.93889999</v>
      </c>
      <c r="O291" s="74"/>
      <c r="P291" s="178"/>
      <c r="Q291" s="78">
        <v>3</v>
      </c>
      <c r="R291" s="178"/>
      <c r="S291" s="70" t="s">
        <v>700</v>
      </c>
      <c r="T291" s="70">
        <v>13389649.279999999</v>
      </c>
      <c r="U291" s="70"/>
      <c r="V291" s="70">
        <v>139666989.97999999</v>
      </c>
      <c r="W291" s="70">
        <v>28348269.43</v>
      </c>
      <c r="X291" s="70">
        <v>7219288.5099999998</v>
      </c>
      <c r="Y291" s="70">
        <v>7188485.3333000001</v>
      </c>
      <c r="Z291" s="70">
        <f t="shared" si="78"/>
        <v>3594242.66665</v>
      </c>
      <c r="AA291" s="70">
        <f t="shared" si="73"/>
        <v>3594242.66665</v>
      </c>
      <c r="AB291" s="70">
        <v>235528734.72839999</v>
      </c>
      <c r="AC291" s="75">
        <f t="shared" si="72"/>
        <v>427747174.59504998</v>
      </c>
    </row>
    <row r="292" spans="1:29" ht="24.95" customHeight="1">
      <c r="A292" s="183"/>
      <c r="B292" s="178"/>
      <c r="C292" s="66">
        <v>15</v>
      </c>
      <c r="D292" s="70" t="s">
        <v>701</v>
      </c>
      <c r="E292" s="70">
        <v>11726746.7564</v>
      </c>
      <c r="F292" s="70">
        <v>0</v>
      </c>
      <c r="G292" s="70">
        <v>122321308.63349999</v>
      </c>
      <c r="H292" s="70">
        <v>24827608.979800001</v>
      </c>
      <c r="I292" s="70">
        <v>7988060.5862999996</v>
      </c>
      <c r="J292" s="70">
        <v>4766269.9310999997</v>
      </c>
      <c r="K292" s="70">
        <v>0</v>
      </c>
      <c r="L292" s="70">
        <f t="shared" si="75"/>
        <v>4766269.9310999997</v>
      </c>
      <c r="M292" s="85">
        <v>232042461.08750001</v>
      </c>
      <c r="N292" s="75">
        <f t="shared" si="76"/>
        <v>403672455.97460002</v>
      </c>
      <c r="O292" s="74"/>
      <c r="P292" s="178"/>
      <c r="Q292" s="78">
        <v>4</v>
      </c>
      <c r="R292" s="178"/>
      <c r="S292" s="70" t="s">
        <v>702</v>
      </c>
      <c r="T292" s="70">
        <v>10165321.529999999</v>
      </c>
      <c r="U292" s="70"/>
      <c r="V292" s="70">
        <v>106034133.62</v>
      </c>
      <c r="W292" s="70">
        <v>21521794.02</v>
      </c>
      <c r="X292" s="70">
        <v>6027484.9699999997</v>
      </c>
      <c r="Y292" s="70">
        <v>6216210.8861999996</v>
      </c>
      <c r="Z292" s="70">
        <f t="shared" si="78"/>
        <v>3108105.4430999998</v>
      </c>
      <c r="AA292" s="70">
        <f t="shared" si="73"/>
        <v>3108105.4430999998</v>
      </c>
      <c r="AB292" s="70">
        <v>192183319.36739999</v>
      </c>
      <c r="AC292" s="75">
        <f t="shared" si="72"/>
        <v>339040158.95050001</v>
      </c>
    </row>
    <row r="293" spans="1:29" ht="24.95" customHeight="1">
      <c r="A293" s="183"/>
      <c r="B293" s="178"/>
      <c r="C293" s="66">
        <v>16</v>
      </c>
      <c r="D293" s="70" t="s">
        <v>703</v>
      </c>
      <c r="E293" s="70">
        <v>13315564.5812</v>
      </c>
      <c r="F293" s="70">
        <v>0</v>
      </c>
      <c r="G293" s="70">
        <v>138894214.9596</v>
      </c>
      <c r="H293" s="70">
        <v>28191418.953000002</v>
      </c>
      <c r="I293" s="70">
        <v>8700893.9246999994</v>
      </c>
      <c r="J293" s="70">
        <v>5412035.9548000004</v>
      </c>
      <c r="K293" s="70">
        <v>0</v>
      </c>
      <c r="L293" s="70">
        <f t="shared" si="75"/>
        <v>5412035.9548000004</v>
      </c>
      <c r="M293" s="85">
        <v>257967922.97839999</v>
      </c>
      <c r="N293" s="75">
        <f t="shared" si="76"/>
        <v>452482051.35170001</v>
      </c>
      <c r="O293" s="74"/>
      <c r="P293" s="178"/>
      <c r="Q293" s="78">
        <v>5</v>
      </c>
      <c r="R293" s="178"/>
      <c r="S293" s="70" t="s">
        <v>704</v>
      </c>
      <c r="T293" s="70">
        <v>17686272.129999999</v>
      </c>
      <c r="U293" s="70"/>
      <c r="V293" s="70">
        <v>184484921.28999999</v>
      </c>
      <c r="W293" s="70">
        <v>37444984.359999999</v>
      </c>
      <c r="X293" s="70">
        <v>10439026.9</v>
      </c>
      <c r="Y293" s="70">
        <v>5456860.3221000005</v>
      </c>
      <c r="Z293" s="70">
        <f t="shared" si="78"/>
        <v>2728430.1610500002</v>
      </c>
      <c r="AA293" s="70">
        <f t="shared" si="73"/>
        <v>2728430.1610500002</v>
      </c>
      <c r="AB293" s="70">
        <v>352629325.57910001</v>
      </c>
      <c r="AC293" s="75">
        <f t="shared" si="72"/>
        <v>605412960.42015004</v>
      </c>
    </row>
    <row r="294" spans="1:29" ht="24.95" customHeight="1">
      <c r="A294" s="183"/>
      <c r="B294" s="179"/>
      <c r="C294" s="66">
        <v>17</v>
      </c>
      <c r="D294" s="70" t="s">
        <v>705</v>
      </c>
      <c r="E294" s="70">
        <v>11027127.7698</v>
      </c>
      <c r="F294" s="70">
        <v>0</v>
      </c>
      <c r="G294" s="70">
        <v>115023606.0598</v>
      </c>
      <c r="H294" s="70">
        <v>23346391.128400002</v>
      </c>
      <c r="I294" s="70">
        <v>7295122.3011999996</v>
      </c>
      <c r="J294" s="70">
        <v>4481913.7488000002</v>
      </c>
      <c r="K294" s="70">
        <v>0</v>
      </c>
      <c r="L294" s="70">
        <f t="shared" si="75"/>
        <v>4481913.7488000002</v>
      </c>
      <c r="M294" s="85">
        <v>206840574.2818</v>
      </c>
      <c r="N294" s="75">
        <f t="shared" si="76"/>
        <v>368014735.28980005</v>
      </c>
      <c r="O294" s="74"/>
      <c r="P294" s="178"/>
      <c r="Q294" s="78">
        <v>6</v>
      </c>
      <c r="R294" s="178"/>
      <c r="S294" s="70" t="s">
        <v>706</v>
      </c>
      <c r="T294" s="70">
        <v>15294125.57</v>
      </c>
      <c r="U294" s="70"/>
      <c r="V294" s="70">
        <v>159532519.41999999</v>
      </c>
      <c r="W294" s="70">
        <v>32380384.550000001</v>
      </c>
      <c r="X294" s="70">
        <v>8865597.7400000002</v>
      </c>
      <c r="Y294" s="70">
        <v>4819287.9264000002</v>
      </c>
      <c r="Z294" s="70">
        <f t="shared" si="78"/>
        <v>2409643.9632000001</v>
      </c>
      <c r="AA294" s="70">
        <f t="shared" si="73"/>
        <v>2409643.9632000001</v>
      </c>
      <c r="AB294" s="70">
        <v>295404339.61619997</v>
      </c>
      <c r="AC294" s="75">
        <f t="shared" si="72"/>
        <v>513886610.85939997</v>
      </c>
    </row>
    <row r="295" spans="1:29" ht="24.95" customHeight="1">
      <c r="A295" s="66"/>
      <c r="B295" s="190" t="s">
        <v>707</v>
      </c>
      <c r="C295" s="191"/>
      <c r="D295" s="71"/>
      <c r="E295" s="71">
        <f t="shared" ref="E295:N295" si="79">SUM(E278:E294)</f>
        <v>214148649.28520003</v>
      </c>
      <c r="F295" s="71">
        <f t="shared" si="79"/>
        <v>0</v>
      </c>
      <c r="G295" s="71">
        <f t="shared" si="79"/>
        <v>2233777497.4416003</v>
      </c>
      <c r="H295" s="71">
        <f t="shared" si="79"/>
        <v>453390785.90500003</v>
      </c>
      <c r="I295" s="71">
        <f t="shared" si="79"/>
        <v>138664176.6798</v>
      </c>
      <c r="J295" s="71">
        <f t="shared" si="79"/>
        <v>87039507.979299977</v>
      </c>
      <c r="K295" s="71">
        <f t="shared" si="79"/>
        <v>0</v>
      </c>
      <c r="L295" s="71">
        <f t="shared" si="79"/>
        <v>87039507.979299977</v>
      </c>
      <c r="M295" s="71">
        <f t="shared" si="79"/>
        <v>4048998811.5377994</v>
      </c>
      <c r="N295" s="71">
        <f t="shared" si="79"/>
        <v>7176019428.8286991</v>
      </c>
      <c r="O295" s="74"/>
      <c r="P295" s="178"/>
      <c r="Q295" s="78">
        <v>7</v>
      </c>
      <c r="R295" s="178"/>
      <c r="S295" s="70" t="s">
        <v>708</v>
      </c>
      <c r="T295" s="70">
        <v>13425848.73</v>
      </c>
      <c r="U295" s="70"/>
      <c r="V295" s="70">
        <v>140044585.24000001</v>
      </c>
      <c r="W295" s="70">
        <v>28424910.109999999</v>
      </c>
      <c r="X295" s="70">
        <v>7058125.7400000002</v>
      </c>
      <c r="Y295" s="70">
        <v>4943026.63</v>
      </c>
      <c r="Z295" s="70">
        <f t="shared" si="78"/>
        <v>2471513.3149999999</v>
      </c>
      <c r="AA295" s="70">
        <f t="shared" si="73"/>
        <v>2471513.3149999999</v>
      </c>
      <c r="AB295" s="70">
        <v>229667309.71579999</v>
      </c>
      <c r="AC295" s="75">
        <f t="shared" si="72"/>
        <v>421092292.85079998</v>
      </c>
    </row>
    <row r="296" spans="1:29" ht="24.95" customHeight="1">
      <c r="A296" s="183">
        <v>15</v>
      </c>
      <c r="B296" s="177" t="s">
        <v>709</v>
      </c>
      <c r="C296" s="66">
        <v>1</v>
      </c>
      <c r="D296" s="70" t="s">
        <v>710</v>
      </c>
      <c r="E296" s="70">
        <v>17593976.5451</v>
      </c>
      <c r="F296" s="70">
        <v>0</v>
      </c>
      <c r="G296" s="70">
        <v>183522189.04100001</v>
      </c>
      <c r="H296" s="70">
        <v>37249578.176700003</v>
      </c>
      <c r="I296" s="70">
        <v>8863949.3714000005</v>
      </c>
      <c r="J296" s="70">
        <v>7150972.3129000003</v>
      </c>
      <c r="K296" s="70">
        <v>0</v>
      </c>
      <c r="L296" s="70">
        <f t="shared" ref="L296:L306" si="80">J296-K296</f>
        <v>7150972.3129000003</v>
      </c>
      <c r="M296" s="85">
        <v>354208322.92460001</v>
      </c>
      <c r="N296" s="75">
        <f t="shared" ref="N296:N334" si="81">E296+F296+G296+H296+I296+L296+M296</f>
        <v>608588988.37170005</v>
      </c>
      <c r="O296" s="74"/>
      <c r="P296" s="178"/>
      <c r="Q296" s="78">
        <v>8</v>
      </c>
      <c r="R296" s="178"/>
      <c r="S296" s="70" t="s">
        <v>711</v>
      </c>
      <c r="T296" s="70">
        <v>11857190.189999999</v>
      </c>
      <c r="U296" s="70"/>
      <c r="V296" s="70">
        <v>123681959.76000001</v>
      </c>
      <c r="W296" s="70">
        <v>25103780.93</v>
      </c>
      <c r="X296" s="70">
        <v>6487278.9000000004</v>
      </c>
      <c r="Y296" s="70">
        <v>4689177.1172000002</v>
      </c>
      <c r="Z296" s="70">
        <f t="shared" si="78"/>
        <v>2344588.5586000001</v>
      </c>
      <c r="AA296" s="70">
        <f t="shared" si="73"/>
        <v>2344588.5586000001</v>
      </c>
      <c r="AB296" s="70">
        <v>208905839.81999999</v>
      </c>
      <c r="AC296" s="75">
        <f t="shared" si="72"/>
        <v>378380638.15860003</v>
      </c>
    </row>
    <row r="297" spans="1:29" ht="24.95" customHeight="1">
      <c r="A297" s="183"/>
      <c r="B297" s="178"/>
      <c r="C297" s="66">
        <v>2</v>
      </c>
      <c r="D297" s="70" t="s">
        <v>712</v>
      </c>
      <c r="E297" s="70">
        <v>12777317.4771</v>
      </c>
      <c r="F297" s="70">
        <v>0</v>
      </c>
      <c r="G297" s="70">
        <v>133279777.17039999</v>
      </c>
      <c r="H297" s="70">
        <v>27051854.083900001</v>
      </c>
      <c r="I297" s="70">
        <v>7255607.5997000001</v>
      </c>
      <c r="J297" s="70">
        <v>5193268.4619000005</v>
      </c>
      <c r="K297" s="70">
        <v>0</v>
      </c>
      <c r="L297" s="70">
        <f t="shared" si="80"/>
        <v>5193268.4619000005</v>
      </c>
      <c r="M297" s="85">
        <v>295713579.39300001</v>
      </c>
      <c r="N297" s="75">
        <f t="shared" si="81"/>
        <v>481271404.18599999</v>
      </c>
      <c r="O297" s="74"/>
      <c r="P297" s="178"/>
      <c r="Q297" s="78">
        <v>9</v>
      </c>
      <c r="R297" s="178"/>
      <c r="S297" s="70" t="s">
        <v>713</v>
      </c>
      <c r="T297" s="70">
        <v>12161632.119999999</v>
      </c>
      <c r="U297" s="70"/>
      <c r="V297" s="70">
        <v>126857583.55</v>
      </c>
      <c r="W297" s="70">
        <v>25748338.66</v>
      </c>
      <c r="X297" s="70">
        <v>6733964.7300000004</v>
      </c>
      <c r="Y297" s="70">
        <v>6478706.3377999999</v>
      </c>
      <c r="Z297" s="70">
        <f t="shared" si="78"/>
        <v>3239353.1688999999</v>
      </c>
      <c r="AA297" s="70">
        <f t="shared" si="73"/>
        <v>3239353.1688999999</v>
      </c>
      <c r="AB297" s="70">
        <v>217877704.05360001</v>
      </c>
      <c r="AC297" s="75">
        <f t="shared" si="72"/>
        <v>392618576.28250003</v>
      </c>
    </row>
    <row r="298" spans="1:29" ht="24.95" customHeight="1">
      <c r="A298" s="183"/>
      <c r="B298" s="178"/>
      <c r="C298" s="66">
        <v>3</v>
      </c>
      <c r="D298" s="70" t="s">
        <v>714</v>
      </c>
      <c r="E298" s="70">
        <v>12860089.312799999</v>
      </c>
      <c r="F298" s="70">
        <v>0</v>
      </c>
      <c r="G298" s="70">
        <v>134143167.4585</v>
      </c>
      <c r="H298" s="70">
        <v>27227096.784499999</v>
      </c>
      <c r="I298" s="70">
        <v>7122054.0329</v>
      </c>
      <c r="J298" s="70">
        <v>5226910.6067000004</v>
      </c>
      <c r="K298" s="70">
        <v>0</v>
      </c>
      <c r="L298" s="70">
        <f t="shared" si="80"/>
        <v>5226910.6067000004</v>
      </c>
      <c r="M298" s="85">
        <v>290856289.86949998</v>
      </c>
      <c r="N298" s="75">
        <f t="shared" si="81"/>
        <v>477435608.06489998</v>
      </c>
      <c r="O298" s="74"/>
      <c r="P298" s="178"/>
      <c r="Q298" s="78">
        <v>10</v>
      </c>
      <c r="R298" s="178"/>
      <c r="S298" s="70" t="s">
        <v>715</v>
      </c>
      <c r="T298" s="70">
        <v>11537070.57</v>
      </c>
      <c r="U298" s="70"/>
      <c r="V298" s="70">
        <v>120342802.59</v>
      </c>
      <c r="W298" s="70">
        <v>24426030.75</v>
      </c>
      <c r="X298" s="70">
        <v>6293218.7000000002</v>
      </c>
      <c r="Y298" s="70">
        <v>4361804.1721999999</v>
      </c>
      <c r="Z298" s="70">
        <f t="shared" si="78"/>
        <v>2180902.0861</v>
      </c>
      <c r="AA298" s="70">
        <f t="shared" si="73"/>
        <v>2180902.0861</v>
      </c>
      <c r="AB298" s="70">
        <v>201847948.39230001</v>
      </c>
      <c r="AC298" s="75">
        <f t="shared" si="72"/>
        <v>366627973.08840001</v>
      </c>
    </row>
    <row r="299" spans="1:29" ht="24.95" customHeight="1">
      <c r="A299" s="183"/>
      <c r="B299" s="178"/>
      <c r="C299" s="66">
        <v>4</v>
      </c>
      <c r="D299" s="70" t="s">
        <v>716</v>
      </c>
      <c r="E299" s="70">
        <v>14012802.626399999</v>
      </c>
      <c r="F299" s="70">
        <v>0</v>
      </c>
      <c r="G299" s="70">
        <v>146167082.01300001</v>
      </c>
      <c r="H299" s="70">
        <v>29667595.928100001</v>
      </c>
      <c r="I299" s="70">
        <v>7186822.0576999998</v>
      </c>
      <c r="J299" s="70">
        <v>5695424.4170000004</v>
      </c>
      <c r="K299" s="70">
        <v>0</v>
      </c>
      <c r="L299" s="70">
        <f t="shared" si="80"/>
        <v>5695424.4170000004</v>
      </c>
      <c r="M299" s="85">
        <v>293211876.88880002</v>
      </c>
      <c r="N299" s="75">
        <f t="shared" si="81"/>
        <v>495941603.93099999</v>
      </c>
      <c r="O299" s="74"/>
      <c r="P299" s="178"/>
      <c r="Q299" s="78">
        <v>11</v>
      </c>
      <c r="R299" s="178"/>
      <c r="S299" s="70" t="s">
        <v>717</v>
      </c>
      <c r="T299" s="70">
        <v>15939959.26</v>
      </c>
      <c r="U299" s="70"/>
      <c r="V299" s="70">
        <v>166269189.31</v>
      </c>
      <c r="W299" s="70">
        <v>33747729.350000001</v>
      </c>
      <c r="X299" s="70">
        <v>8714331.1600000001</v>
      </c>
      <c r="Y299" s="70">
        <v>5823092.9724000003</v>
      </c>
      <c r="Z299" s="70">
        <f t="shared" si="78"/>
        <v>2911546.4862000002</v>
      </c>
      <c r="AA299" s="70">
        <f t="shared" si="73"/>
        <v>2911546.4862000002</v>
      </c>
      <c r="AB299" s="70">
        <v>289902834.8556</v>
      </c>
      <c r="AC299" s="75">
        <f t="shared" si="72"/>
        <v>517485590.42180002</v>
      </c>
    </row>
    <row r="300" spans="1:29" ht="24.95" customHeight="1">
      <c r="A300" s="183"/>
      <c r="B300" s="178"/>
      <c r="C300" s="66">
        <v>5</v>
      </c>
      <c r="D300" s="70" t="s">
        <v>718</v>
      </c>
      <c r="E300" s="70">
        <v>13629368.317</v>
      </c>
      <c r="F300" s="70">
        <v>0</v>
      </c>
      <c r="G300" s="70">
        <v>142167491.3779</v>
      </c>
      <c r="H300" s="70">
        <v>28855797.285</v>
      </c>
      <c r="I300" s="70">
        <v>7557730.0269999998</v>
      </c>
      <c r="J300" s="70">
        <v>5539579.7094000001</v>
      </c>
      <c r="K300" s="70">
        <v>0</v>
      </c>
      <c r="L300" s="70">
        <f t="shared" si="80"/>
        <v>5539579.7094000001</v>
      </c>
      <c r="M300" s="85">
        <v>306701650.5898</v>
      </c>
      <c r="N300" s="75">
        <f t="shared" si="81"/>
        <v>504451617.30610001</v>
      </c>
      <c r="O300" s="74"/>
      <c r="P300" s="178"/>
      <c r="Q300" s="78">
        <v>12</v>
      </c>
      <c r="R300" s="178"/>
      <c r="S300" s="70" t="s">
        <v>719</v>
      </c>
      <c r="T300" s="70">
        <v>10731614.800000001</v>
      </c>
      <c r="U300" s="70"/>
      <c r="V300" s="70">
        <v>111941120.01000001</v>
      </c>
      <c r="W300" s="70">
        <v>22720737.600000001</v>
      </c>
      <c r="X300" s="70">
        <v>6179059.6100000003</v>
      </c>
      <c r="Y300" s="70">
        <v>5814670.8542999998</v>
      </c>
      <c r="Z300" s="70">
        <f t="shared" si="78"/>
        <v>2907335.4271499999</v>
      </c>
      <c r="AA300" s="70">
        <f t="shared" si="73"/>
        <v>2907335.4271499999</v>
      </c>
      <c r="AB300" s="70">
        <v>197696027.8712</v>
      </c>
      <c r="AC300" s="75">
        <f t="shared" si="72"/>
        <v>352175895.31835002</v>
      </c>
    </row>
    <row r="301" spans="1:29" ht="24.95" customHeight="1">
      <c r="A301" s="183"/>
      <c r="B301" s="178"/>
      <c r="C301" s="66">
        <v>6</v>
      </c>
      <c r="D301" s="70" t="s">
        <v>100</v>
      </c>
      <c r="E301" s="70">
        <v>14840650.7717</v>
      </c>
      <c r="F301" s="70">
        <v>0</v>
      </c>
      <c r="G301" s="70">
        <v>154802338.71160001</v>
      </c>
      <c r="H301" s="70">
        <v>31420297.7194</v>
      </c>
      <c r="I301" s="70">
        <v>7967349.9190999996</v>
      </c>
      <c r="J301" s="70">
        <v>6031898.6162</v>
      </c>
      <c r="K301" s="70">
        <v>0</v>
      </c>
      <c r="L301" s="70">
        <f t="shared" si="80"/>
        <v>6031898.6162</v>
      </c>
      <c r="M301" s="85">
        <v>321599361.35979998</v>
      </c>
      <c r="N301" s="75">
        <f t="shared" si="81"/>
        <v>536661897.09779996</v>
      </c>
      <c r="O301" s="74"/>
      <c r="P301" s="178"/>
      <c r="Q301" s="78">
        <v>13</v>
      </c>
      <c r="R301" s="178"/>
      <c r="S301" s="70" t="s">
        <v>720</v>
      </c>
      <c r="T301" s="70">
        <v>14326913.42</v>
      </c>
      <c r="U301" s="70"/>
      <c r="V301" s="70">
        <v>149443561.31</v>
      </c>
      <c r="W301" s="70">
        <v>30332624.350000001</v>
      </c>
      <c r="X301" s="70">
        <v>7389115.25</v>
      </c>
      <c r="Y301" s="70">
        <v>4595196.3885000004</v>
      </c>
      <c r="Z301" s="70">
        <f t="shared" si="78"/>
        <v>2297598.1942500002</v>
      </c>
      <c r="AA301" s="70">
        <f t="shared" si="73"/>
        <v>2297598.1942500002</v>
      </c>
      <c r="AB301" s="70">
        <v>241705265.0201</v>
      </c>
      <c r="AC301" s="75">
        <f t="shared" si="72"/>
        <v>445495077.54434997</v>
      </c>
    </row>
    <row r="302" spans="1:29" ht="24.95" customHeight="1">
      <c r="A302" s="183"/>
      <c r="B302" s="178"/>
      <c r="C302" s="66">
        <v>7</v>
      </c>
      <c r="D302" s="70" t="s">
        <v>721</v>
      </c>
      <c r="E302" s="70">
        <v>11636441.5886</v>
      </c>
      <c r="F302" s="70">
        <v>0</v>
      </c>
      <c r="G302" s="70">
        <v>121379338.4067</v>
      </c>
      <c r="H302" s="70">
        <v>24636416.875</v>
      </c>
      <c r="I302" s="70">
        <v>6450255.8461999996</v>
      </c>
      <c r="J302" s="70">
        <v>4729565.9061000003</v>
      </c>
      <c r="K302" s="70">
        <v>0</v>
      </c>
      <c r="L302" s="70">
        <f t="shared" si="80"/>
        <v>4729565.9061000003</v>
      </c>
      <c r="M302" s="85">
        <v>266423259.94459999</v>
      </c>
      <c r="N302" s="75">
        <f t="shared" si="81"/>
        <v>435255278.56719995</v>
      </c>
      <c r="O302" s="74"/>
      <c r="P302" s="178"/>
      <c r="Q302" s="78">
        <v>14</v>
      </c>
      <c r="R302" s="178"/>
      <c r="S302" s="70" t="s">
        <v>722</v>
      </c>
      <c r="T302" s="70">
        <v>14306191.960000001</v>
      </c>
      <c r="U302" s="70"/>
      <c r="V302" s="70">
        <v>149227416.5</v>
      </c>
      <c r="W302" s="70">
        <v>30288753.34</v>
      </c>
      <c r="X302" s="70">
        <v>7456424.71</v>
      </c>
      <c r="Y302" s="70">
        <v>5855114.8130000001</v>
      </c>
      <c r="Z302" s="70">
        <f t="shared" si="78"/>
        <v>2927557.4065</v>
      </c>
      <c r="AA302" s="70">
        <f t="shared" si="73"/>
        <v>2927557.4065</v>
      </c>
      <c r="AB302" s="70">
        <v>244153282.92120001</v>
      </c>
      <c r="AC302" s="75">
        <f t="shared" si="72"/>
        <v>448359626.83770001</v>
      </c>
    </row>
    <row r="303" spans="1:29" ht="24.95" customHeight="1">
      <c r="A303" s="183"/>
      <c r="B303" s="178"/>
      <c r="C303" s="66">
        <v>8</v>
      </c>
      <c r="D303" s="70" t="s">
        <v>723</v>
      </c>
      <c r="E303" s="70">
        <v>12482227.0535</v>
      </c>
      <c r="F303" s="70">
        <v>0</v>
      </c>
      <c r="G303" s="70">
        <v>130201698.6943</v>
      </c>
      <c r="H303" s="70">
        <v>26427095.162700001</v>
      </c>
      <c r="I303" s="70">
        <v>7034182.0754000004</v>
      </c>
      <c r="J303" s="70">
        <v>5073330.6272999998</v>
      </c>
      <c r="K303" s="70">
        <v>0</v>
      </c>
      <c r="L303" s="70">
        <f t="shared" si="80"/>
        <v>5073330.6272999998</v>
      </c>
      <c r="M303" s="85">
        <v>287660422.10619998</v>
      </c>
      <c r="N303" s="75">
        <f t="shared" si="81"/>
        <v>468878955.71939993</v>
      </c>
      <c r="O303" s="74"/>
      <c r="P303" s="178"/>
      <c r="Q303" s="78">
        <v>15</v>
      </c>
      <c r="R303" s="178"/>
      <c r="S303" s="70" t="s">
        <v>724</v>
      </c>
      <c r="T303" s="70">
        <v>11305844.01</v>
      </c>
      <c r="U303" s="70"/>
      <c r="V303" s="70">
        <v>117930885.95</v>
      </c>
      <c r="W303" s="70">
        <v>23936482.989999998</v>
      </c>
      <c r="X303" s="70">
        <v>6617341.21</v>
      </c>
      <c r="Y303" s="70">
        <v>6221085.5532</v>
      </c>
      <c r="Z303" s="70">
        <f t="shared" si="78"/>
        <v>3110542.7766</v>
      </c>
      <c r="AA303" s="70">
        <f t="shared" si="73"/>
        <v>3110542.7766</v>
      </c>
      <c r="AB303" s="70">
        <v>213636153.58649999</v>
      </c>
      <c r="AC303" s="75">
        <f t="shared" si="72"/>
        <v>376537250.52310002</v>
      </c>
    </row>
    <row r="304" spans="1:29" ht="24.95" customHeight="1">
      <c r="A304" s="183"/>
      <c r="B304" s="178"/>
      <c r="C304" s="66">
        <v>9</v>
      </c>
      <c r="D304" s="70" t="s">
        <v>725</v>
      </c>
      <c r="E304" s="70">
        <v>11379828.3302</v>
      </c>
      <c r="F304" s="70">
        <v>0</v>
      </c>
      <c r="G304" s="70">
        <v>118702613.9725</v>
      </c>
      <c r="H304" s="70">
        <v>24093120.9575</v>
      </c>
      <c r="I304" s="70">
        <v>6301107.1248000003</v>
      </c>
      <c r="J304" s="70">
        <v>4625266.8978000004</v>
      </c>
      <c r="K304" s="70">
        <v>0</v>
      </c>
      <c r="L304" s="70">
        <f t="shared" si="80"/>
        <v>4625266.8978000004</v>
      </c>
      <c r="M304" s="85">
        <v>260998780.91890001</v>
      </c>
      <c r="N304" s="75">
        <f t="shared" si="81"/>
        <v>426100718.20169997</v>
      </c>
      <c r="O304" s="74"/>
      <c r="P304" s="178"/>
      <c r="Q304" s="78">
        <v>16</v>
      </c>
      <c r="R304" s="178"/>
      <c r="S304" s="70" t="s">
        <v>726</v>
      </c>
      <c r="T304" s="70">
        <v>14405698.720000001</v>
      </c>
      <c r="U304" s="70"/>
      <c r="V304" s="70">
        <v>150265368.19999999</v>
      </c>
      <c r="W304" s="70">
        <v>30499426.850000001</v>
      </c>
      <c r="X304" s="70">
        <v>7598744.9299999997</v>
      </c>
      <c r="Y304" s="70">
        <v>4314306.9480999997</v>
      </c>
      <c r="Z304" s="70">
        <f t="shared" si="78"/>
        <v>2157153.4740499998</v>
      </c>
      <c r="AA304" s="70">
        <f t="shared" si="73"/>
        <v>2157153.4740499998</v>
      </c>
      <c r="AB304" s="70">
        <v>249329412.3048</v>
      </c>
      <c r="AC304" s="75">
        <f t="shared" si="72"/>
        <v>454255804.47885001</v>
      </c>
    </row>
    <row r="305" spans="1:29" ht="24.95" customHeight="1">
      <c r="A305" s="183"/>
      <c r="B305" s="178"/>
      <c r="C305" s="66">
        <v>10</v>
      </c>
      <c r="D305" s="70" t="s">
        <v>727</v>
      </c>
      <c r="E305" s="70">
        <v>10792326.556399999</v>
      </c>
      <c r="F305" s="70">
        <v>0</v>
      </c>
      <c r="G305" s="70">
        <v>112574402.347</v>
      </c>
      <c r="H305" s="70">
        <v>22849275.190299999</v>
      </c>
      <c r="I305" s="70">
        <v>6472268.7598999999</v>
      </c>
      <c r="J305" s="70">
        <v>4386480.1228</v>
      </c>
      <c r="K305" s="70">
        <v>0</v>
      </c>
      <c r="L305" s="70">
        <f t="shared" si="80"/>
        <v>4386480.1228</v>
      </c>
      <c r="M305" s="85">
        <v>267223860.7647</v>
      </c>
      <c r="N305" s="75">
        <f t="shared" si="81"/>
        <v>424298613.74109995</v>
      </c>
      <c r="O305" s="74"/>
      <c r="P305" s="179"/>
      <c r="Q305" s="78">
        <v>17</v>
      </c>
      <c r="R305" s="179"/>
      <c r="S305" s="70" t="s">
        <v>728</v>
      </c>
      <c r="T305" s="70">
        <v>15306119.02</v>
      </c>
      <c r="U305" s="70"/>
      <c r="V305" s="70">
        <v>159657622.63</v>
      </c>
      <c r="W305" s="70">
        <v>32405776.800000001</v>
      </c>
      <c r="X305" s="70">
        <v>7004421.9299999997</v>
      </c>
      <c r="Y305" s="70">
        <v>4911126.9314000001</v>
      </c>
      <c r="Z305" s="70">
        <f t="shared" si="78"/>
        <v>2455563.4657000001</v>
      </c>
      <c r="AA305" s="70">
        <f t="shared" si="73"/>
        <v>2455563.4657000001</v>
      </c>
      <c r="AB305" s="70">
        <v>227714123.80840001</v>
      </c>
      <c r="AC305" s="75">
        <f t="shared" si="72"/>
        <v>444543627.65410006</v>
      </c>
    </row>
    <row r="306" spans="1:29" ht="24.95" customHeight="1">
      <c r="A306" s="183"/>
      <c r="B306" s="179"/>
      <c r="C306" s="66">
        <v>11</v>
      </c>
      <c r="D306" s="70" t="s">
        <v>729</v>
      </c>
      <c r="E306" s="70">
        <v>14729775.4783</v>
      </c>
      <c r="F306" s="70">
        <v>0</v>
      </c>
      <c r="G306" s="70">
        <v>153645802.18349999</v>
      </c>
      <c r="H306" s="70">
        <v>31185554.999400001</v>
      </c>
      <c r="I306" s="70">
        <v>7803671.3910999997</v>
      </c>
      <c r="J306" s="70">
        <v>5986833.9798999997</v>
      </c>
      <c r="K306" s="70">
        <v>0</v>
      </c>
      <c r="L306" s="70">
        <f t="shared" si="80"/>
        <v>5986833.9798999997</v>
      </c>
      <c r="M306" s="85">
        <v>315646439.11059999</v>
      </c>
      <c r="N306" s="75">
        <f t="shared" si="81"/>
        <v>528998077.14279997</v>
      </c>
      <c r="O306" s="74"/>
      <c r="P306" s="66"/>
      <c r="Q306" s="191" t="s">
        <v>730</v>
      </c>
      <c r="R306" s="192"/>
      <c r="S306" s="71"/>
      <c r="T306" s="71">
        <f t="shared" ref="T306:Z306" si="82">SUM(T289:T305)</f>
        <v>228619252.70000002</v>
      </c>
      <c r="U306" s="71">
        <f t="shared" si="82"/>
        <v>0</v>
      </c>
      <c r="V306" s="71">
        <f t="shared" si="82"/>
        <v>2384719884.3899999</v>
      </c>
      <c r="W306" s="71">
        <f t="shared" si="82"/>
        <v>484027627.56000006</v>
      </c>
      <c r="X306" s="71">
        <f t="shared" si="82"/>
        <v>124588977.73999998</v>
      </c>
      <c r="Y306" s="71">
        <f t="shared" si="82"/>
        <v>91261937.921900004</v>
      </c>
      <c r="Z306" s="71">
        <f t="shared" si="82"/>
        <v>45630968.960950002</v>
      </c>
      <c r="AA306" s="71">
        <f t="shared" si="73"/>
        <v>45630968.960950002</v>
      </c>
      <c r="AB306" s="71">
        <f>SUM(AB289:AB305)</f>
        <v>4071674971.6101003</v>
      </c>
      <c r="AC306" s="71">
        <f>SUM(AC289:AC305)</f>
        <v>7339261682.9610491</v>
      </c>
    </row>
    <row r="307" spans="1:29" ht="24.95" customHeight="1">
      <c r="A307" s="66"/>
      <c r="B307" s="190" t="s">
        <v>731</v>
      </c>
      <c r="C307" s="191"/>
      <c r="D307" s="71"/>
      <c r="E307" s="71">
        <f t="shared" ref="E307:M307" si="83">SUM(E296:E306)</f>
        <v>146734804.0571</v>
      </c>
      <c r="F307" s="71">
        <f t="shared" si="83"/>
        <v>0</v>
      </c>
      <c r="G307" s="71">
        <f t="shared" si="83"/>
        <v>1530585901.3764002</v>
      </c>
      <c r="H307" s="71">
        <f t="shared" si="83"/>
        <v>310663683.16250002</v>
      </c>
      <c r="I307" s="71">
        <f t="shared" si="83"/>
        <v>80014998.205200016</v>
      </c>
      <c r="J307" s="71">
        <f t="shared" si="83"/>
        <v>59639531.658</v>
      </c>
      <c r="K307" s="71">
        <f t="shared" si="83"/>
        <v>0</v>
      </c>
      <c r="L307" s="71">
        <f t="shared" si="83"/>
        <v>59639531.658</v>
      </c>
      <c r="M307" s="71">
        <f t="shared" si="83"/>
        <v>3260243843.8704996</v>
      </c>
      <c r="N307" s="75">
        <f t="shared" si="81"/>
        <v>5387882762.3296995</v>
      </c>
      <c r="O307" s="74"/>
      <c r="P307" s="177">
        <v>32</v>
      </c>
      <c r="Q307" s="78">
        <v>1</v>
      </c>
      <c r="R307" s="177" t="s">
        <v>117</v>
      </c>
      <c r="S307" s="70" t="s">
        <v>732</v>
      </c>
      <c r="T307" s="70">
        <v>10184026.9</v>
      </c>
      <c r="U307" s="70"/>
      <c r="V307" s="70">
        <v>106229248.64</v>
      </c>
      <c r="W307" s="70">
        <v>21561396.600000001</v>
      </c>
      <c r="X307" s="70">
        <v>8293628.6600000001</v>
      </c>
      <c r="Y307" s="70">
        <v>4139240.1678999998</v>
      </c>
      <c r="Z307" s="70">
        <f t="shared" ref="Z307:Z329" si="84">Y307/2</f>
        <v>2069620.0839499999</v>
      </c>
      <c r="AA307" s="70">
        <f t="shared" si="73"/>
        <v>2069620.0839499999</v>
      </c>
      <c r="AB307" s="70">
        <v>525434818.16460001</v>
      </c>
      <c r="AC307" s="75">
        <f t="shared" si="72"/>
        <v>673772739.04855001</v>
      </c>
    </row>
    <row r="308" spans="1:29" ht="24.95" customHeight="1">
      <c r="A308" s="183">
        <v>16</v>
      </c>
      <c r="B308" s="177" t="s">
        <v>733</v>
      </c>
      <c r="C308" s="66">
        <v>1</v>
      </c>
      <c r="D308" s="70" t="s">
        <v>734</v>
      </c>
      <c r="E308" s="70">
        <v>11514209.1523</v>
      </c>
      <c r="F308" s="70">
        <v>0</v>
      </c>
      <c r="G308" s="70">
        <v>120104335.8955</v>
      </c>
      <c r="H308" s="70">
        <v>24377629.063200001</v>
      </c>
      <c r="I308" s="70">
        <v>7415890.6582000004</v>
      </c>
      <c r="J308" s="70">
        <v>4679885.2233999996</v>
      </c>
      <c r="K308" s="70">
        <f t="shared" ref="K308:K334" si="85">J308/2</f>
        <v>2339942.6116999998</v>
      </c>
      <c r="L308" s="70">
        <f t="shared" ref="L308:L334" si="86">J308-K308</f>
        <v>2339942.6116999998</v>
      </c>
      <c r="M308" s="85">
        <v>234169726.30019999</v>
      </c>
      <c r="N308" s="75">
        <f t="shared" si="81"/>
        <v>399921733.68110001</v>
      </c>
      <c r="O308" s="74"/>
      <c r="P308" s="178"/>
      <c r="Q308" s="78">
        <v>2</v>
      </c>
      <c r="R308" s="178"/>
      <c r="S308" s="70" t="s">
        <v>735</v>
      </c>
      <c r="T308" s="70">
        <v>12724150.689999999</v>
      </c>
      <c r="U308" s="70"/>
      <c r="V308" s="70">
        <v>132725196.15000001</v>
      </c>
      <c r="W308" s="70">
        <v>26939290.530000001</v>
      </c>
      <c r="X308" s="70">
        <v>9354843.6400000006</v>
      </c>
      <c r="Y308" s="70">
        <v>5171659.1160000004</v>
      </c>
      <c r="Z308" s="70">
        <f t="shared" si="84"/>
        <v>2585829.5580000002</v>
      </c>
      <c r="AA308" s="70">
        <f t="shared" si="73"/>
        <v>2585829.5580000002</v>
      </c>
      <c r="AB308" s="70">
        <v>564030780.03100002</v>
      </c>
      <c r="AC308" s="75">
        <f t="shared" si="72"/>
        <v>748360090.59899998</v>
      </c>
    </row>
    <row r="309" spans="1:29" ht="24.95" customHeight="1">
      <c r="A309" s="183"/>
      <c r="B309" s="178"/>
      <c r="C309" s="66">
        <v>2</v>
      </c>
      <c r="D309" s="70" t="s">
        <v>736</v>
      </c>
      <c r="E309" s="70">
        <v>10835451.202</v>
      </c>
      <c r="F309" s="70">
        <v>0</v>
      </c>
      <c r="G309" s="70">
        <v>113024234.1039</v>
      </c>
      <c r="H309" s="70">
        <v>22940577.7368</v>
      </c>
      <c r="I309" s="70">
        <v>7098211.5828999998</v>
      </c>
      <c r="J309" s="70">
        <v>4404007.8913000003</v>
      </c>
      <c r="K309" s="70">
        <f t="shared" si="85"/>
        <v>2202003.9456500001</v>
      </c>
      <c r="L309" s="70">
        <f t="shared" si="86"/>
        <v>2202003.9456500001</v>
      </c>
      <c r="M309" s="85">
        <v>222615866.06909999</v>
      </c>
      <c r="N309" s="75">
        <f t="shared" si="81"/>
        <v>378716344.64034998</v>
      </c>
      <c r="O309" s="74"/>
      <c r="P309" s="178"/>
      <c r="Q309" s="78">
        <v>3</v>
      </c>
      <c r="R309" s="178"/>
      <c r="S309" s="70" t="s">
        <v>737</v>
      </c>
      <c r="T309" s="70">
        <v>11721611.77</v>
      </c>
      <c r="U309" s="70"/>
      <c r="V309" s="70">
        <v>122267745.77</v>
      </c>
      <c r="W309" s="70">
        <v>24816737.300000001</v>
      </c>
      <c r="X309" s="70">
        <v>8155762.3600000003</v>
      </c>
      <c r="Y309" s="70">
        <v>4764182.8391000004</v>
      </c>
      <c r="Z309" s="70">
        <f t="shared" si="84"/>
        <v>2382091.4195500002</v>
      </c>
      <c r="AA309" s="70">
        <f t="shared" si="73"/>
        <v>2382091.4195500002</v>
      </c>
      <c r="AB309" s="70">
        <v>520420676.23559999</v>
      </c>
      <c r="AC309" s="75">
        <f t="shared" si="72"/>
        <v>689764624.85514998</v>
      </c>
    </row>
    <row r="310" spans="1:29" ht="24.95" customHeight="1">
      <c r="A310" s="183"/>
      <c r="B310" s="178"/>
      <c r="C310" s="66">
        <v>3</v>
      </c>
      <c r="D310" s="70" t="s">
        <v>738</v>
      </c>
      <c r="E310" s="70">
        <v>9954416.0899</v>
      </c>
      <c r="F310" s="70">
        <v>0</v>
      </c>
      <c r="G310" s="70">
        <v>103834185.9082</v>
      </c>
      <c r="H310" s="70">
        <v>21075269.675000001</v>
      </c>
      <c r="I310" s="70">
        <v>6585163.0851999996</v>
      </c>
      <c r="J310" s="70">
        <v>4045916.1502</v>
      </c>
      <c r="K310" s="70">
        <f t="shared" si="85"/>
        <v>2022958.0751</v>
      </c>
      <c r="L310" s="70">
        <f t="shared" si="86"/>
        <v>2022958.0751</v>
      </c>
      <c r="M310" s="85">
        <v>203956498.50130001</v>
      </c>
      <c r="N310" s="75">
        <f t="shared" si="81"/>
        <v>347428491.33469999</v>
      </c>
      <c r="O310" s="74"/>
      <c r="P310" s="178"/>
      <c r="Q310" s="78">
        <v>4</v>
      </c>
      <c r="R310" s="178"/>
      <c r="S310" s="70" t="s">
        <v>739</v>
      </c>
      <c r="T310" s="70">
        <v>12512585.710000001</v>
      </c>
      <c r="U310" s="70"/>
      <c r="V310" s="70">
        <v>130518368.84</v>
      </c>
      <c r="W310" s="70">
        <v>26491369.84</v>
      </c>
      <c r="X310" s="70">
        <v>8861754.3699999992</v>
      </c>
      <c r="Y310" s="70">
        <v>5085669.7352</v>
      </c>
      <c r="Z310" s="70">
        <f t="shared" si="84"/>
        <v>2542834.8676</v>
      </c>
      <c r="AA310" s="70">
        <f t="shared" si="73"/>
        <v>2542834.8676</v>
      </c>
      <c r="AB310" s="70">
        <v>546097321.66170001</v>
      </c>
      <c r="AC310" s="75">
        <f t="shared" si="72"/>
        <v>727024235.28929996</v>
      </c>
    </row>
    <row r="311" spans="1:29" ht="24.95" customHeight="1">
      <c r="A311" s="183"/>
      <c r="B311" s="178"/>
      <c r="C311" s="66">
        <v>4</v>
      </c>
      <c r="D311" s="70" t="s">
        <v>740</v>
      </c>
      <c r="E311" s="70">
        <v>10587289.408399999</v>
      </c>
      <c r="F311" s="70">
        <v>0</v>
      </c>
      <c r="G311" s="70">
        <v>110435666.61939999</v>
      </c>
      <c r="H311" s="70">
        <v>22415175.073600002</v>
      </c>
      <c r="I311" s="70">
        <v>7030067.8168000001</v>
      </c>
      <c r="J311" s="70">
        <v>4303143.9331</v>
      </c>
      <c r="K311" s="70">
        <f t="shared" si="85"/>
        <v>2151571.96655</v>
      </c>
      <c r="L311" s="70">
        <f t="shared" si="86"/>
        <v>2151571.96655</v>
      </c>
      <c r="M311" s="85">
        <v>220137504.69659999</v>
      </c>
      <c r="N311" s="75">
        <f t="shared" si="81"/>
        <v>372757275.58134997</v>
      </c>
      <c r="O311" s="74"/>
      <c r="P311" s="178"/>
      <c r="Q311" s="78">
        <v>5</v>
      </c>
      <c r="R311" s="178"/>
      <c r="S311" s="70" t="s">
        <v>741</v>
      </c>
      <c r="T311" s="70">
        <v>11614809.960000001</v>
      </c>
      <c r="U311" s="70"/>
      <c r="V311" s="70">
        <v>121153699.59</v>
      </c>
      <c r="W311" s="70">
        <v>24590618.870000001</v>
      </c>
      <c r="X311" s="70">
        <v>8978442.0700000003</v>
      </c>
      <c r="Y311" s="70">
        <v>4720773.8559999997</v>
      </c>
      <c r="Z311" s="70">
        <f t="shared" si="84"/>
        <v>2360386.9279999998</v>
      </c>
      <c r="AA311" s="70">
        <f t="shared" si="73"/>
        <v>2360386.9279999998</v>
      </c>
      <c r="AB311" s="70">
        <v>550341206.24189997</v>
      </c>
      <c r="AC311" s="75">
        <f t="shared" si="72"/>
        <v>719039163.65989995</v>
      </c>
    </row>
    <row r="312" spans="1:29" ht="24.95" customHeight="1">
      <c r="A312" s="183"/>
      <c r="B312" s="178"/>
      <c r="C312" s="66">
        <v>5</v>
      </c>
      <c r="D312" s="70" t="s">
        <v>742</v>
      </c>
      <c r="E312" s="70">
        <v>11352817.230699999</v>
      </c>
      <c r="F312" s="70">
        <v>0</v>
      </c>
      <c r="G312" s="70">
        <v>118420862.0837</v>
      </c>
      <c r="H312" s="70">
        <v>24035933.6547</v>
      </c>
      <c r="I312" s="70">
        <v>6937818.9475999996</v>
      </c>
      <c r="J312" s="70">
        <v>4614288.3890000004</v>
      </c>
      <c r="K312" s="70">
        <f t="shared" si="85"/>
        <v>2307144.1945000002</v>
      </c>
      <c r="L312" s="70">
        <f t="shared" si="86"/>
        <v>2307144.1945000002</v>
      </c>
      <c r="M312" s="85">
        <v>216782450.41460001</v>
      </c>
      <c r="N312" s="75">
        <f t="shared" si="81"/>
        <v>379837026.52579999</v>
      </c>
      <c r="O312" s="74"/>
      <c r="P312" s="178"/>
      <c r="Q312" s="78">
        <v>6</v>
      </c>
      <c r="R312" s="178"/>
      <c r="S312" s="70" t="s">
        <v>743</v>
      </c>
      <c r="T312" s="70">
        <v>11612869.140000001</v>
      </c>
      <c r="U312" s="70"/>
      <c r="V312" s="70">
        <v>121133455.01000001</v>
      </c>
      <c r="W312" s="70">
        <v>24586509.809999999</v>
      </c>
      <c r="X312" s="70">
        <v>8917576.0399999991</v>
      </c>
      <c r="Y312" s="70">
        <v>4719985.0143999998</v>
      </c>
      <c r="Z312" s="70">
        <f t="shared" si="84"/>
        <v>2359992.5071999999</v>
      </c>
      <c r="AA312" s="70">
        <f t="shared" si="73"/>
        <v>2359992.5071999999</v>
      </c>
      <c r="AB312" s="70">
        <v>548127533.3039</v>
      </c>
      <c r="AC312" s="75">
        <f t="shared" si="72"/>
        <v>716737935.81110001</v>
      </c>
    </row>
    <row r="313" spans="1:29" ht="24.95" customHeight="1">
      <c r="A313" s="183"/>
      <c r="B313" s="178"/>
      <c r="C313" s="66">
        <v>6</v>
      </c>
      <c r="D313" s="70" t="s">
        <v>744</v>
      </c>
      <c r="E313" s="70">
        <v>11390831.835200001</v>
      </c>
      <c r="F313" s="70">
        <v>0</v>
      </c>
      <c r="G313" s="70">
        <v>118817391.1699</v>
      </c>
      <c r="H313" s="70">
        <v>24116417.335000001</v>
      </c>
      <c r="I313" s="70">
        <v>6956725.6659000004</v>
      </c>
      <c r="J313" s="70">
        <v>4629739.2101999996</v>
      </c>
      <c r="K313" s="70">
        <f t="shared" si="85"/>
        <v>2314869.6050999998</v>
      </c>
      <c r="L313" s="70">
        <f t="shared" si="86"/>
        <v>2314869.6050999998</v>
      </c>
      <c r="M313" s="85">
        <v>217470080.1568</v>
      </c>
      <c r="N313" s="75">
        <f t="shared" si="81"/>
        <v>381066315.76789999</v>
      </c>
      <c r="O313" s="74"/>
      <c r="P313" s="178"/>
      <c r="Q313" s="78">
        <v>7</v>
      </c>
      <c r="R313" s="178"/>
      <c r="S313" s="70" t="s">
        <v>745</v>
      </c>
      <c r="T313" s="70">
        <v>12585692.880000001</v>
      </c>
      <c r="U313" s="70"/>
      <c r="V313" s="70">
        <v>131280947.37</v>
      </c>
      <c r="W313" s="70">
        <v>26646150.73</v>
      </c>
      <c r="X313" s="70">
        <v>9359310.4000000004</v>
      </c>
      <c r="Y313" s="70">
        <v>5115383.7319999998</v>
      </c>
      <c r="Z313" s="70">
        <f t="shared" si="84"/>
        <v>2557691.8659999999</v>
      </c>
      <c r="AA313" s="70">
        <f t="shared" si="73"/>
        <v>2557691.8659999999</v>
      </c>
      <c r="AB313" s="70">
        <v>564193234.3082</v>
      </c>
      <c r="AC313" s="75">
        <f t="shared" si="72"/>
        <v>746623027.55419993</v>
      </c>
    </row>
    <row r="314" spans="1:29" ht="24.95" customHeight="1">
      <c r="A314" s="183"/>
      <c r="B314" s="178"/>
      <c r="C314" s="66">
        <v>7</v>
      </c>
      <c r="D314" s="70" t="s">
        <v>746</v>
      </c>
      <c r="E314" s="70">
        <v>10195395.2689</v>
      </c>
      <c r="F314" s="70">
        <v>0</v>
      </c>
      <c r="G314" s="70">
        <v>106347831.77590001</v>
      </c>
      <c r="H314" s="70">
        <v>21585465.465300001</v>
      </c>
      <c r="I314" s="70">
        <v>6454407.6613999996</v>
      </c>
      <c r="J314" s="70">
        <v>4143860.7754000002</v>
      </c>
      <c r="K314" s="70">
        <f t="shared" si="85"/>
        <v>2071930.3877000001</v>
      </c>
      <c r="L314" s="70">
        <f t="shared" si="86"/>
        <v>2071930.3877000001</v>
      </c>
      <c r="M314" s="85">
        <v>199200976.31240001</v>
      </c>
      <c r="N314" s="75">
        <f t="shared" si="81"/>
        <v>345856006.87160003</v>
      </c>
      <c r="O314" s="74"/>
      <c r="P314" s="178"/>
      <c r="Q314" s="78">
        <v>8</v>
      </c>
      <c r="R314" s="178"/>
      <c r="S314" s="70" t="s">
        <v>747</v>
      </c>
      <c r="T314" s="70">
        <v>12193155.68</v>
      </c>
      <c r="U314" s="70"/>
      <c r="V314" s="70">
        <v>127186404.72</v>
      </c>
      <c r="W314" s="70">
        <v>25815079.640000001</v>
      </c>
      <c r="X314" s="70">
        <v>8603439.5700000003</v>
      </c>
      <c r="Y314" s="70">
        <v>4955839.1991999997</v>
      </c>
      <c r="Z314" s="70">
        <f t="shared" si="84"/>
        <v>2477919.5995999998</v>
      </c>
      <c r="AA314" s="70">
        <f t="shared" si="73"/>
        <v>2477919.5995999998</v>
      </c>
      <c r="AB314" s="70">
        <v>536702516.12010002</v>
      </c>
      <c r="AC314" s="75">
        <f t="shared" si="72"/>
        <v>712978515.32969999</v>
      </c>
    </row>
    <row r="315" spans="1:29" ht="24.95" customHeight="1">
      <c r="A315" s="183"/>
      <c r="B315" s="178"/>
      <c r="C315" s="66">
        <v>8</v>
      </c>
      <c r="D315" s="70" t="s">
        <v>748</v>
      </c>
      <c r="E315" s="70">
        <v>10799035.1533</v>
      </c>
      <c r="F315" s="70">
        <v>0</v>
      </c>
      <c r="G315" s="70">
        <v>112644379.50030001</v>
      </c>
      <c r="H315" s="70">
        <v>22863478.483399998</v>
      </c>
      <c r="I315" s="70">
        <v>6821144.0872</v>
      </c>
      <c r="J315" s="70">
        <v>4389206.7940999996</v>
      </c>
      <c r="K315" s="70">
        <f t="shared" si="85"/>
        <v>2194603.3970499998</v>
      </c>
      <c r="L315" s="70">
        <f t="shared" si="86"/>
        <v>2194603.3970499998</v>
      </c>
      <c r="M315" s="85">
        <v>212539032.65689999</v>
      </c>
      <c r="N315" s="75">
        <f t="shared" si="81"/>
        <v>367861673.27814996</v>
      </c>
      <c r="O315" s="74"/>
      <c r="P315" s="178"/>
      <c r="Q315" s="78">
        <v>9</v>
      </c>
      <c r="R315" s="178"/>
      <c r="S315" s="70" t="s">
        <v>749</v>
      </c>
      <c r="T315" s="70">
        <v>11630157.689999999</v>
      </c>
      <c r="U315" s="70"/>
      <c r="V315" s="70">
        <v>121313791.29000001</v>
      </c>
      <c r="W315" s="70">
        <v>24623112.75</v>
      </c>
      <c r="X315" s="70">
        <v>8744848.4700000007</v>
      </c>
      <c r="Y315" s="70">
        <v>4727011.8524000002</v>
      </c>
      <c r="Z315" s="70">
        <f t="shared" si="84"/>
        <v>2363505.9262000001</v>
      </c>
      <c r="AA315" s="70">
        <f t="shared" si="73"/>
        <v>2363505.9262000001</v>
      </c>
      <c r="AB315" s="70">
        <v>541845501.09660006</v>
      </c>
      <c r="AC315" s="75">
        <f t="shared" si="72"/>
        <v>710520917.22280002</v>
      </c>
    </row>
    <row r="316" spans="1:29" ht="24.95" customHeight="1">
      <c r="A316" s="183"/>
      <c r="B316" s="178"/>
      <c r="C316" s="66">
        <v>9</v>
      </c>
      <c r="D316" s="70" t="s">
        <v>750</v>
      </c>
      <c r="E316" s="70">
        <v>12149787.9442</v>
      </c>
      <c r="F316" s="70">
        <v>0</v>
      </c>
      <c r="G316" s="70">
        <v>126734037.31039999</v>
      </c>
      <c r="H316" s="70">
        <v>25723262.430100001</v>
      </c>
      <c r="I316" s="70">
        <v>7455475.3963000001</v>
      </c>
      <c r="J316" s="70">
        <v>4938212.6305</v>
      </c>
      <c r="K316" s="70">
        <f t="shared" si="85"/>
        <v>2469106.31525</v>
      </c>
      <c r="L316" s="70">
        <f t="shared" si="86"/>
        <v>2469106.31525</v>
      </c>
      <c r="M316" s="85">
        <v>235609407.30840001</v>
      </c>
      <c r="N316" s="75">
        <f t="shared" si="81"/>
        <v>410141076.70464998</v>
      </c>
      <c r="O316" s="74"/>
      <c r="P316" s="178"/>
      <c r="Q316" s="78">
        <v>10</v>
      </c>
      <c r="R316" s="178"/>
      <c r="S316" s="70" t="s">
        <v>751</v>
      </c>
      <c r="T316" s="70">
        <v>13638231.73</v>
      </c>
      <c r="U316" s="70"/>
      <c r="V316" s="70">
        <v>142259945.36000001</v>
      </c>
      <c r="W316" s="70">
        <v>28874562.710000001</v>
      </c>
      <c r="X316" s="70">
        <v>9355215.8699999992</v>
      </c>
      <c r="Y316" s="70">
        <v>5543182.1913000001</v>
      </c>
      <c r="Z316" s="70">
        <f t="shared" si="84"/>
        <v>2771591.09565</v>
      </c>
      <c r="AA316" s="70">
        <f t="shared" si="73"/>
        <v>2771591.09565</v>
      </c>
      <c r="AB316" s="70">
        <v>564044317.88740003</v>
      </c>
      <c r="AC316" s="75">
        <f t="shared" si="72"/>
        <v>760943864.65305007</v>
      </c>
    </row>
    <row r="317" spans="1:29" ht="24.95" customHeight="1">
      <c r="A317" s="183"/>
      <c r="B317" s="178"/>
      <c r="C317" s="66">
        <v>10</v>
      </c>
      <c r="D317" s="70" t="s">
        <v>752</v>
      </c>
      <c r="E317" s="70">
        <v>10738712.1061</v>
      </c>
      <c r="F317" s="70">
        <v>0</v>
      </c>
      <c r="G317" s="70">
        <v>112015151.78489999</v>
      </c>
      <c r="H317" s="70">
        <v>22735763.8616</v>
      </c>
      <c r="I317" s="70">
        <v>7015627.8589000003</v>
      </c>
      <c r="J317" s="70">
        <v>4364688.8324999996</v>
      </c>
      <c r="K317" s="70">
        <f t="shared" si="85"/>
        <v>2182344.4162499998</v>
      </c>
      <c r="L317" s="70">
        <f t="shared" si="86"/>
        <v>2182344.4162499998</v>
      </c>
      <c r="M317" s="85">
        <v>219612329.23159999</v>
      </c>
      <c r="N317" s="75">
        <f t="shared" si="81"/>
        <v>374299929.25935</v>
      </c>
      <c r="O317" s="74"/>
      <c r="P317" s="178"/>
      <c r="Q317" s="78">
        <v>11</v>
      </c>
      <c r="R317" s="178"/>
      <c r="S317" s="70" t="s">
        <v>753</v>
      </c>
      <c r="T317" s="70">
        <v>12146213.15</v>
      </c>
      <c r="U317" s="70"/>
      <c r="V317" s="70">
        <v>126696748.78</v>
      </c>
      <c r="W317" s="70">
        <v>25715693.960000001</v>
      </c>
      <c r="X317" s="70">
        <v>9090470.4700000007</v>
      </c>
      <c r="Y317" s="70">
        <v>4936759.6688000001</v>
      </c>
      <c r="Z317" s="70">
        <f t="shared" si="84"/>
        <v>2468379.8344000001</v>
      </c>
      <c r="AA317" s="70">
        <f t="shared" si="73"/>
        <v>2468379.8344000001</v>
      </c>
      <c r="AB317" s="70">
        <v>554415634.20550001</v>
      </c>
      <c r="AC317" s="75">
        <f t="shared" si="72"/>
        <v>730533140.39989996</v>
      </c>
    </row>
    <row r="318" spans="1:29" ht="24.95" customHeight="1">
      <c r="A318" s="183"/>
      <c r="B318" s="178"/>
      <c r="C318" s="66">
        <v>11</v>
      </c>
      <c r="D318" s="70" t="s">
        <v>754</v>
      </c>
      <c r="E318" s="70">
        <v>13245750.684599999</v>
      </c>
      <c r="F318" s="70">
        <v>0</v>
      </c>
      <c r="G318" s="70">
        <v>138165988.50650001</v>
      </c>
      <c r="H318" s="70">
        <v>28043610.5145</v>
      </c>
      <c r="I318" s="70">
        <v>7953737.3771000002</v>
      </c>
      <c r="J318" s="70">
        <v>5383660.4911000002</v>
      </c>
      <c r="K318" s="70">
        <f t="shared" si="85"/>
        <v>2691830.2455500001</v>
      </c>
      <c r="L318" s="70">
        <f t="shared" si="86"/>
        <v>2691830.2455500001</v>
      </c>
      <c r="M318" s="85">
        <v>253730995.1999</v>
      </c>
      <c r="N318" s="75">
        <f t="shared" si="81"/>
        <v>443831912.52814996</v>
      </c>
      <c r="O318" s="74"/>
      <c r="P318" s="178"/>
      <c r="Q318" s="78">
        <v>12</v>
      </c>
      <c r="R318" s="178"/>
      <c r="S318" s="70" t="s">
        <v>755</v>
      </c>
      <c r="T318" s="70">
        <v>11624967.949999999</v>
      </c>
      <c r="U318" s="70"/>
      <c r="V318" s="70">
        <v>121259657.22</v>
      </c>
      <c r="W318" s="70">
        <v>24612125.129999999</v>
      </c>
      <c r="X318" s="70">
        <v>8588576.0399999991</v>
      </c>
      <c r="Y318" s="70">
        <v>4724902.5138999997</v>
      </c>
      <c r="Z318" s="70">
        <f t="shared" si="84"/>
        <v>2362451.2569499998</v>
      </c>
      <c r="AA318" s="70">
        <f t="shared" si="73"/>
        <v>2362451.2569499998</v>
      </c>
      <c r="AB318" s="70">
        <v>536161935.50809997</v>
      </c>
      <c r="AC318" s="75">
        <f t="shared" si="72"/>
        <v>704609713.10504997</v>
      </c>
    </row>
    <row r="319" spans="1:29" ht="24.95" customHeight="1">
      <c r="A319" s="183"/>
      <c r="B319" s="178"/>
      <c r="C319" s="66">
        <v>12</v>
      </c>
      <c r="D319" s="70" t="s">
        <v>756</v>
      </c>
      <c r="E319" s="70">
        <v>11249554.8994</v>
      </c>
      <c r="F319" s="70">
        <v>0</v>
      </c>
      <c r="G319" s="70">
        <v>117343736.1128</v>
      </c>
      <c r="H319" s="70">
        <v>23817308.929900002</v>
      </c>
      <c r="I319" s="70">
        <v>6957405.9483000003</v>
      </c>
      <c r="J319" s="70">
        <v>4572317.9983000001</v>
      </c>
      <c r="K319" s="70">
        <f t="shared" si="85"/>
        <v>2286158.99915</v>
      </c>
      <c r="L319" s="70">
        <f t="shared" si="86"/>
        <v>2286158.99915</v>
      </c>
      <c r="M319" s="85">
        <v>217494821.75650001</v>
      </c>
      <c r="N319" s="75">
        <f t="shared" si="81"/>
        <v>379148986.64604998</v>
      </c>
      <c r="O319" s="74"/>
      <c r="P319" s="178"/>
      <c r="Q319" s="78">
        <v>13</v>
      </c>
      <c r="R319" s="178"/>
      <c r="S319" s="70" t="s">
        <v>757</v>
      </c>
      <c r="T319" s="70">
        <v>13800857.529999999</v>
      </c>
      <c r="U319" s="70"/>
      <c r="V319" s="70">
        <v>143956289.72</v>
      </c>
      <c r="W319" s="70">
        <v>29218870.460000001</v>
      </c>
      <c r="X319" s="70">
        <v>9929772.1699999999</v>
      </c>
      <c r="Y319" s="70">
        <v>5609280.5336999996</v>
      </c>
      <c r="Z319" s="70">
        <f t="shared" si="84"/>
        <v>2804640.2668499998</v>
      </c>
      <c r="AA319" s="70">
        <f t="shared" si="73"/>
        <v>2804640.2668499998</v>
      </c>
      <c r="AB319" s="70">
        <v>584940699.52499998</v>
      </c>
      <c r="AC319" s="75">
        <f t="shared" si="72"/>
        <v>784651129.67184997</v>
      </c>
    </row>
    <row r="320" spans="1:29" ht="24.95" customHeight="1">
      <c r="A320" s="183"/>
      <c r="B320" s="178"/>
      <c r="C320" s="66">
        <v>13</v>
      </c>
      <c r="D320" s="70" t="s">
        <v>758</v>
      </c>
      <c r="E320" s="70">
        <v>10162556.629000001</v>
      </c>
      <c r="F320" s="70">
        <v>0</v>
      </c>
      <c r="G320" s="70">
        <v>106005293.0064</v>
      </c>
      <c r="H320" s="70">
        <v>21515940.222899999</v>
      </c>
      <c r="I320" s="70">
        <v>6767157.8976999996</v>
      </c>
      <c r="J320" s="70">
        <v>4130513.6957999999</v>
      </c>
      <c r="K320" s="70">
        <f t="shared" si="85"/>
        <v>2065256.8478999999</v>
      </c>
      <c r="L320" s="70">
        <f t="shared" si="86"/>
        <v>2065256.8478999999</v>
      </c>
      <c r="M320" s="85">
        <v>210575576.6516</v>
      </c>
      <c r="N320" s="75">
        <f t="shared" si="81"/>
        <v>357091781.25550002</v>
      </c>
      <c r="O320" s="74"/>
      <c r="P320" s="178"/>
      <c r="Q320" s="78">
        <v>14</v>
      </c>
      <c r="R320" s="178"/>
      <c r="S320" s="70" t="s">
        <v>759</v>
      </c>
      <c r="T320" s="70">
        <v>16900646.859999999</v>
      </c>
      <c r="U320" s="70"/>
      <c r="V320" s="70">
        <v>176290089.94</v>
      </c>
      <c r="W320" s="70">
        <v>35781675.890000001</v>
      </c>
      <c r="X320" s="70">
        <v>12119152.18</v>
      </c>
      <c r="Y320" s="70">
        <v>6869172.3866999997</v>
      </c>
      <c r="Z320" s="70">
        <f t="shared" si="84"/>
        <v>3434586.1933499998</v>
      </c>
      <c r="AA320" s="70">
        <f t="shared" si="73"/>
        <v>3434586.1933499998</v>
      </c>
      <c r="AB320" s="70">
        <v>664567570.12520003</v>
      </c>
      <c r="AC320" s="75">
        <f t="shared" si="72"/>
        <v>909093721.18855</v>
      </c>
    </row>
    <row r="321" spans="1:29" ht="24.95" customHeight="1">
      <c r="A321" s="183"/>
      <c r="B321" s="178"/>
      <c r="C321" s="66">
        <v>14</v>
      </c>
      <c r="D321" s="70" t="s">
        <v>760</v>
      </c>
      <c r="E321" s="70">
        <v>9889822.9012000002</v>
      </c>
      <c r="F321" s="70">
        <v>0</v>
      </c>
      <c r="G321" s="70">
        <v>103160416.48639999</v>
      </c>
      <c r="H321" s="70">
        <v>20938514.4038</v>
      </c>
      <c r="I321" s="70">
        <v>6553600.5460000001</v>
      </c>
      <c r="J321" s="70">
        <v>4019662.6137000001</v>
      </c>
      <c r="K321" s="70">
        <f t="shared" si="85"/>
        <v>2009831.3068500001</v>
      </c>
      <c r="L321" s="70">
        <f t="shared" si="86"/>
        <v>2009831.3068500001</v>
      </c>
      <c r="M321" s="85">
        <v>202808581.64039999</v>
      </c>
      <c r="N321" s="75">
        <f t="shared" si="81"/>
        <v>345360767.28464997</v>
      </c>
      <c r="O321" s="74"/>
      <c r="P321" s="178"/>
      <c r="Q321" s="78">
        <v>15</v>
      </c>
      <c r="R321" s="178"/>
      <c r="S321" s="70" t="s">
        <v>761</v>
      </c>
      <c r="T321" s="70">
        <v>13644623.74</v>
      </c>
      <c r="U321" s="70"/>
      <c r="V321" s="70">
        <v>142326620.18000001</v>
      </c>
      <c r="W321" s="70">
        <v>28888095.73</v>
      </c>
      <c r="X321" s="70">
        <v>9785642.1300000008</v>
      </c>
      <c r="Y321" s="70">
        <v>5545780.1918000001</v>
      </c>
      <c r="Z321" s="70">
        <f t="shared" si="84"/>
        <v>2772890.0959000001</v>
      </c>
      <c r="AA321" s="70">
        <f t="shared" si="73"/>
        <v>2772890.0959000001</v>
      </c>
      <c r="AB321" s="70">
        <v>579698748.14979994</v>
      </c>
      <c r="AC321" s="75">
        <f t="shared" si="72"/>
        <v>777116620.02569997</v>
      </c>
    </row>
    <row r="322" spans="1:29" ht="24.95" customHeight="1">
      <c r="A322" s="183"/>
      <c r="B322" s="178"/>
      <c r="C322" s="66">
        <v>15</v>
      </c>
      <c r="D322" s="70" t="s">
        <v>762</v>
      </c>
      <c r="E322" s="70">
        <v>8810264.5096000005</v>
      </c>
      <c r="F322" s="70">
        <v>0</v>
      </c>
      <c r="G322" s="70">
        <v>91899578.511600003</v>
      </c>
      <c r="H322" s="70">
        <v>18652897.243999999</v>
      </c>
      <c r="I322" s="70">
        <v>5933388.3069000002</v>
      </c>
      <c r="J322" s="70">
        <v>3580882.2078999998</v>
      </c>
      <c r="K322" s="70">
        <f t="shared" si="85"/>
        <v>1790441.1039499999</v>
      </c>
      <c r="L322" s="70">
        <f t="shared" si="86"/>
        <v>1790441.1039499999</v>
      </c>
      <c r="M322" s="85">
        <v>180251711.88800001</v>
      </c>
      <c r="N322" s="75">
        <f t="shared" si="81"/>
        <v>307338281.56405002</v>
      </c>
      <c r="O322" s="74"/>
      <c r="P322" s="178"/>
      <c r="Q322" s="78">
        <v>16</v>
      </c>
      <c r="R322" s="178"/>
      <c r="S322" s="70" t="s">
        <v>763</v>
      </c>
      <c r="T322" s="70">
        <v>13768621.720000001</v>
      </c>
      <c r="U322" s="70"/>
      <c r="V322" s="70">
        <v>143620039.03</v>
      </c>
      <c r="W322" s="70">
        <v>29150621.510000002</v>
      </c>
      <c r="X322" s="70">
        <v>9798760.0299999993</v>
      </c>
      <c r="Y322" s="70">
        <v>5596178.4653000003</v>
      </c>
      <c r="Z322" s="70">
        <f t="shared" si="84"/>
        <v>2798089.2326500001</v>
      </c>
      <c r="AA322" s="70">
        <f t="shared" si="73"/>
        <v>2798089.2326500001</v>
      </c>
      <c r="AB322" s="70">
        <v>580175840.88339996</v>
      </c>
      <c r="AC322" s="75">
        <f t="shared" si="72"/>
        <v>779311972.40604997</v>
      </c>
    </row>
    <row r="323" spans="1:29" ht="24.95" customHeight="1">
      <c r="A323" s="183"/>
      <c r="B323" s="178"/>
      <c r="C323" s="66">
        <v>16</v>
      </c>
      <c r="D323" s="70" t="s">
        <v>764</v>
      </c>
      <c r="E323" s="70">
        <v>9550211.6623</v>
      </c>
      <c r="F323" s="70">
        <v>0</v>
      </c>
      <c r="G323" s="70">
        <v>99617942.856099993</v>
      </c>
      <c r="H323" s="70">
        <v>20219496.997200001</v>
      </c>
      <c r="I323" s="70">
        <v>6420650.2484999998</v>
      </c>
      <c r="J323" s="70">
        <v>3881629.5455</v>
      </c>
      <c r="K323" s="70">
        <f t="shared" si="85"/>
        <v>1940814.77275</v>
      </c>
      <c r="L323" s="70">
        <f t="shared" si="86"/>
        <v>1940814.77275</v>
      </c>
      <c r="M323" s="85">
        <v>197973232.78080001</v>
      </c>
      <c r="N323" s="75">
        <f t="shared" si="81"/>
        <v>335722349.31764996</v>
      </c>
      <c r="O323" s="74"/>
      <c r="P323" s="178"/>
      <c r="Q323" s="78">
        <v>17</v>
      </c>
      <c r="R323" s="178"/>
      <c r="S323" s="70" t="s">
        <v>765</v>
      </c>
      <c r="T323" s="70">
        <v>9459658.1300000008</v>
      </c>
      <c r="U323" s="70"/>
      <c r="V323" s="70">
        <v>98673382</v>
      </c>
      <c r="W323" s="70">
        <v>20027779.07</v>
      </c>
      <c r="X323" s="70">
        <v>7111939.5199999996</v>
      </c>
      <c r="Y323" s="70">
        <v>3844824.5721</v>
      </c>
      <c r="Z323" s="70">
        <f t="shared" si="84"/>
        <v>1922412.28605</v>
      </c>
      <c r="AA323" s="70">
        <f t="shared" si="73"/>
        <v>1922412.28605</v>
      </c>
      <c r="AB323" s="70">
        <v>482457259.04040003</v>
      </c>
      <c r="AC323" s="75">
        <f t="shared" si="72"/>
        <v>619652430.04645002</v>
      </c>
    </row>
    <row r="324" spans="1:29" ht="24.95" customHeight="1">
      <c r="A324" s="183"/>
      <c r="B324" s="178"/>
      <c r="C324" s="66">
        <v>17</v>
      </c>
      <c r="D324" s="70" t="s">
        <v>766</v>
      </c>
      <c r="E324" s="70">
        <v>11211605.922800001</v>
      </c>
      <c r="F324" s="70">
        <v>0</v>
      </c>
      <c r="G324" s="70">
        <v>116947891.5895</v>
      </c>
      <c r="H324" s="70">
        <v>23736964.195599999</v>
      </c>
      <c r="I324" s="70">
        <v>6740177.6383999996</v>
      </c>
      <c r="J324" s="70">
        <v>4556893.8513000002</v>
      </c>
      <c r="K324" s="70">
        <f t="shared" si="85"/>
        <v>2278446.9256500001</v>
      </c>
      <c r="L324" s="70">
        <f t="shared" si="86"/>
        <v>2278446.9256500001</v>
      </c>
      <c r="M324" s="85">
        <v>209594315.47150001</v>
      </c>
      <c r="N324" s="75">
        <f t="shared" si="81"/>
        <v>370509401.74344999</v>
      </c>
      <c r="O324" s="74"/>
      <c r="P324" s="178"/>
      <c r="Q324" s="78">
        <v>18</v>
      </c>
      <c r="R324" s="178"/>
      <c r="S324" s="70" t="s">
        <v>767</v>
      </c>
      <c r="T324" s="70">
        <v>11640149.74</v>
      </c>
      <c r="U324" s="70"/>
      <c r="V324" s="70">
        <v>121418018.03</v>
      </c>
      <c r="W324" s="70">
        <v>24644267.690000001</v>
      </c>
      <c r="X324" s="70">
        <v>9003163.2699999996</v>
      </c>
      <c r="Y324" s="70">
        <v>4731073.0608000001</v>
      </c>
      <c r="Z324" s="70">
        <f t="shared" si="84"/>
        <v>2365536.5304</v>
      </c>
      <c r="AA324" s="70">
        <f t="shared" si="73"/>
        <v>2365536.5304</v>
      </c>
      <c r="AB324" s="70">
        <v>551240306.63810003</v>
      </c>
      <c r="AC324" s="75">
        <f t="shared" si="72"/>
        <v>720311441.89850008</v>
      </c>
    </row>
    <row r="325" spans="1:29" ht="24.95" customHeight="1">
      <c r="A325" s="183"/>
      <c r="B325" s="178"/>
      <c r="C325" s="66">
        <v>18</v>
      </c>
      <c r="D325" s="70" t="s">
        <v>768</v>
      </c>
      <c r="E325" s="70">
        <v>12135244.134500001</v>
      </c>
      <c r="F325" s="70">
        <v>0</v>
      </c>
      <c r="G325" s="70">
        <v>126582331.3109</v>
      </c>
      <c r="H325" s="70">
        <v>25692470.5977</v>
      </c>
      <c r="I325" s="70">
        <v>7247565.6726000002</v>
      </c>
      <c r="J325" s="70">
        <v>4932301.3811999997</v>
      </c>
      <c r="K325" s="70">
        <f t="shared" si="85"/>
        <v>2466150.6905999999</v>
      </c>
      <c r="L325" s="70">
        <f t="shared" si="86"/>
        <v>2466150.6905999999</v>
      </c>
      <c r="M325" s="85">
        <v>228047814.25690001</v>
      </c>
      <c r="N325" s="75">
        <f t="shared" si="81"/>
        <v>402171576.66320002</v>
      </c>
      <c r="O325" s="74"/>
      <c r="P325" s="178"/>
      <c r="Q325" s="78">
        <v>19</v>
      </c>
      <c r="R325" s="178"/>
      <c r="S325" s="70" t="s">
        <v>769</v>
      </c>
      <c r="T325" s="70">
        <v>9225966.3599999994</v>
      </c>
      <c r="U325" s="70"/>
      <c r="V325" s="70">
        <v>96235750.819999993</v>
      </c>
      <c r="W325" s="70">
        <v>19533012.02</v>
      </c>
      <c r="X325" s="70">
        <v>7441594.1299999999</v>
      </c>
      <c r="Y325" s="70">
        <v>3749841.8705000002</v>
      </c>
      <c r="Z325" s="70">
        <f t="shared" si="84"/>
        <v>1874920.9352500001</v>
      </c>
      <c r="AA325" s="70">
        <f t="shared" si="73"/>
        <v>1874920.9352500001</v>
      </c>
      <c r="AB325" s="70">
        <v>494446664.7906</v>
      </c>
      <c r="AC325" s="75">
        <f t="shared" si="72"/>
        <v>628757909.05585003</v>
      </c>
    </row>
    <row r="326" spans="1:29" ht="24.95" customHeight="1">
      <c r="A326" s="183"/>
      <c r="B326" s="178"/>
      <c r="C326" s="66">
        <v>19</v>
      </c>
      <c r="D326" s="70" t="s">
        <v>770</v>
      </c>
      <c r="E326" s="70">
        <v>10632249.5834</v>
      </c>
      <c r="F326" s="70">
        <v>0</v>
      </c>
      <c r="G326" s="70">
        <v>110904644.7216</v>
      </c>
      <c r="H326" s="70">
        <v>22510363.761999998</v>
      </c>
      <c r="I326" s="70">
        <v>6601926.2719999999</v>
      </c>
      <c r="J326" s="70">
        <v>4321417.7419999996</v>
      </c>
      <c r="K326" s="70">
        <f t="shared" si="85"/>
        <v>2160708.8709999998</v>
      </c>
      <c r="L326" s="70">
        <f t="shared" si="86"/>
        <v>2160708.8709999998</v>
      </c>
      <c r="M326" s="85">
        <v>204566168.86340001</v>
      </c>
      <c r="N326" s="75">
        <f t="shared" si="81"/>
        <v>357376062.07340002</v>
      </c>
      <c r="O326" s="74"/>
      <c r="P326" s="178"/>
      <c r="Q326" s="78">
        <v>20</v>
      </c>
      <c r="R326" s="178"/>
      <c r="S326" s="70" t="s">
        <v>771</v>
      </c>
      <c r="T326" s="70">
        <v>9979445.4900000002</v>
      </c>
      <c r="U326" s="70"/>
      <c r="V326" s="70">
        <v>104095266.73999999</v>
      </c>
      <c r="W326" s="70">
        <v>21128261.359999999</v>
      </c>
      <c r="X326" s="70">
        <v>8098066.71</v>
      </c>
      <c r="Y326" s="70">
        <v>4056089.2009000001</v>
      </c>
      <c r="Z326" s="70">
        <f t="shared" si="84"/>
        <v>2028044.60045</v>
      </c>
      <c r="AA326" s="70">
        <f t="shared" si="73"/>
        <v>2028044.60045</v>
      </c>
      <c r="AB326" s="70">
        <v>518322308.4885</v>
      </c>
      <c r="AC326" s="75">
        <f t="shared" si="72"/>
        <v>663651393.38894999</v>
      </c>
    </row>
    <row r="327" spans="1:29" ht="24.95" customHeight="1">
      <c r="A327" s="183"/>
      <c r="B327" s="178"/>
      <c r="C327" s="66">
        <v>20</v>
      </c>
      <c r="D327" s="70" t="s">
        <v>772</v>
      </c>
      <c r="E327" s="70">
        <v>9445640.0851000007</v>
      </c>
      <c r="F327" s="70">
        <v>0</v>
      </c>
      <c r="G327" s="70">
        <v>98527160.183200002</v>
      </c>
      <c r="H327" s="70">
        <v>19998100.365699999</v>
      </c>
      <c r="I327" s="70">
        <v>6178482.5268000001</v>
      </c>
      <c r="J327" s="70">
        <v>3839127.0191000002</v>
      </c>
      <c r="K327" s="70">
        <f t="shared" si="85"/>
        <v>1919563.5095500001</v>
      </c>
      <c r="L327" s="70">
        <f t="shared" si="86"/>
        <v>1919563.5095500001</v>
      </c>
      <c r="M327" s="85">
        <v>189165690.11489999</v>
      </c>
      <c r="N327" s="75">
        <f t="shared" si="81"/>
        <v>325234636.78525001</v>
      </c>
      <c r="O327" s="74"/>
      <c r="P327" s="178"/>
      <c r="Q327" s="78">
        <v>21</v>
      </c>
      <c r="R327" s="178"/>
      <c r="S327" s="70" t="s">
        <v>773</v>
      </c>
      <c r="T327" s="70">
        <v>10306950.810000001</v>
      </c>
      <c r="U327" s="70"/>
      <c r="V327" s="70">
        <v>107511463.95999999</v>
      </c>
      <c r="W327" s="70">
        <v>21821648.390000001</v>
      </c>
      <c r="X327" s="70">
        <v>7728095.7300000004</v>
      </c>
      <c r="Y327" s="70">
        <v>4189201.8917999999</v>
      </c>
      <c r="Z327" s="70">
        <f t="shared" si="84"/>
        <v>2094600.9458999999</v>
      </c>
      <c r="AA327" s="70">
        <f t="shared" si="73"/>
        <v>2094600.9458999999</v>
      </c>
      <c r="AB327" s="70">
        <v>504866612.83990002</v>
      </c>
      <c r="AC327" s="75">
        <f t="shared" ref="AC327:AC390" si="87">T327+U327+V327+W327+X327+AA327+AB327</f>
        <v>654329372.67579997</v>
      </c>
    </row>
    <row r="328" spans="1:29" ht="24.95" customHeight="1">
      <c r="A328" s="183"/>
      <c r="B328" s="178"/>
      <c r="C328" s="66">
        <v>21</v>
      </c>
      <c r="D328" s="70" t="s">
        <v>774</v>
      </c>
      <c r="E328" s="70">
        <v>10388906.1503</v>
      </c>
      <c r="F328" s="70">
        <v>0</v>
      </c>
      <c r="G328" s="70">
        <v>108366337.39740001</v>
      </c>
      <c r="H328" s="70">
        <v>21995162.425299998</v>
      </c>
      <c r="I328" s="70">
        <v>6736442.5026000002</v>
      </c>
      <c r="J328" s="70">
        <v>4222512.1792000001</v>
      </c>
      <c r="K328" s="70">
        <f t="shared" si="85"/>
        <v>2111256.0896000001</v>
      </c>
      <c r="L328" s="70">
        <f t="shared" si="86"/>
        <v>2111256.0896000001</v>
      </c>
      <c r="M328" s="85">
        <v>209458470.0846</v>
      </c>
      <c r="N328" s="75">
        <f t="shared" si="81"/>
        <v>359056574.6498</v>
      </c>
      <c r="O328" s="74"/>
      <c r="P328" s="178"/>
      <c r="Q328" s="78">
        <v>22</v>
      </c>
      <c r="R328" s="178"/>
      <c r="S328" s="70" t="s">
        <v>775</v>
      </c>
      <c r="T328" s="70">
        <v>19141345.920000002</v>
      </c>
      <c r="U328" s="70"/>
      <c r="V328" s="70">
        <v>199662747.97999999</v>
      </c>
      <c r="W328" s="70">
        <v>40525634.409999996</v>
      </c>
      <c r="X328" s="70">
        <v>13098835.939999999</v>
      </c>
      <c r="Y328" s="70">
        <v>7779891.8524000002</v>
      </c>
      <c r="Z328" s="70">
        <f t="shared" si="84"/>
        <v>3889945.9262000001</v>
      </c>
      <c r="AA328" s="70">
        <f t="shared" si="73"/>
        <v>3889945.9262000001</v>
      </c>
      <c r="AB328" s="70">
        <v>700198274.61020005</v>
      </c>
      <c r="AC328" s="75">
        <f t="shared" si="87"/>
        <v>976516784.78640008</v>
      </c>
    </row>
    <row r="329" spans="1:29" ht="24.95" customHeight="1">
      <c r="A329" s="183"/>
      <c r="B329" s="178"/>
      <c r="C329" s="66">
        <v>22</v>
      </c>
      <c r="D329" s="70" t="s">
        <v>776</v>
      </c>
      <c r="E329" s="70">
        <v>10106152.453</v>
      </c>
      <c r="F329" s="70">
        <v>0</v>
      </c>
      <c r="G329" s="70">
        <v>105416942.90710001</v>
      </c>
      <c r="H329" s="70">
        <v>21396522.548500001</v>
      </c>
      <c r="I329" s="70">
        <v>6444896.5423999997</v>
      </c>
      <c r="J329" s="70">
        <v>4107588.5373</v>
      </c>
      <c r="K329" s="70">
        <f t="shared" si="85"/>
        <v>2053794.26865</v>
      </c>
      <c r="L329" s="70">
        <f t="shared" si="86"/>
        <v>2053794.26865</v>
      </c>
      <c r="M329" s="85">
        <v>198855060.73949999</v>
      </c>
      <c r="N329" s="75">
        <f t="shared" si="81"/>
        <v>344273369.45914996</v>
      </c>
      <c r="O329" s="74"/>
      <c r="P329" s="179"/>
      <c r="Q329" s="78">
        <v>23</v>
      </c>
      <c r="R329" s="179"/>
      <c r="S329" s="70" t="s">
        <v>777</v>
      </c>
      <c r="T329" s="70">
        <v>11329498.1</v>
      </c>
      <c r="U329" s="70"/>
      <c r="V329" s="70">
        <v>118177621.05</v>
      </c>
      <c r="W329" s="70">
        <v>23986562.920000002</v>
      </c>
      <c r="X329" s="70">
        <v>7665330.0499999998</v>
      </c>
      <c r="Y329" s="70">
        <v>4604810.4574999996</v>
      </c>
      <c r="Z329" s="70">
        <f t="shared" si="84"/>
        <v>2302405.2287499998</v>
      </c>
      <c r="AA329" s="70">
        <f t="shared" si="73"/>
        <v>2302405.2287499998</v>
      </c>
      <c r="AB329" s="70">
        <v>502583850.15179998</v>
      </c>
      <c r="AC329" s="75">
        <f t="shared" si="87"/>
        <v>666045267.50055003</v>
      </c>
    </row>
    <row r="330" spans="1:29" ht="24.95" customHeight="1">
      <c r="A330" s="183"/>
      <c r="B330" s="178"/>
      <c r="C330" s="66">
        <v>23</v>
      </c>
      <c r="D330" s="70" t="s">
        <v>778</v>
      </c>
      <c r="E330" s="70">
        <v>9775257.3870000001</v>
      </c>
      <c r="F330" s="70">
        <v>0</v>
      </c>
      <c r="G330" s="70">
        <v>101965387.38689999</v>
      </c>
      <c r="H330" s="70">
        <v>20695958.829999998</v>
      </c>
      <c r="I330" s="70">
        <v>6339889.1681000004</v>
      </c>
      <c r="J330" s="70">
        <v>3973098.1080999998</v>
      </c>
      <c r="K330" s="70">
        <f t="shared" si="85"/>
        <v>1986549.0540499999</v>
      </c>
      <c r="L330" s="70">
        <f t="shared" si="86"/>
        <v>1986549.0540499999</v>
      </c>
      <c r="M330" s="85">
        <v>195035984.75760001</v>
      </c>
      <c r="N330" s="75">
        <f t="shared" si="81"/>
        <v>335799026.58364999</v>
      </c>
      <c r="O330" s="74"/>
      <c r="P330" s="66"/>
      <c r="Q330" s="191" t="s">
        <v>779</v>
      </c>
      <c r="R330" s="192"/>
      <c r="S330" s="71"/>
      <c r="T330" s="71">
        <f t="shared" ref="T330:Z330" si="88">SUM(T307:T329)</f>
        <v>283386237.65000004</v>
      </c>
      <c r="U330" s="71">
        <f t="shared" si="88"/>
        <v>0</v>
      </c>
      <c r="V330" s="71">
        <f t="shared" si="88"/>
        <v>2955992498.190001</v>
      </c>
      <c r="W330" s="71">
        <f t="shared" si="88"/>
        <v>599979077.31999993</v>
      </c>
      <c r="X330" s="71">
        <f t="shared" si="88"/>
        <v>208084219.82000002</v>
      </c>
      <c r="Y330" s="71">
        <f t="shared" si="88"/>
        <v>115180734.36969997</v>
      </c>
      <c r="Z330" s="71">
        <f t="shared" si="88"/>
        <v>57590367.184849985</v>
      </c>
      <c r="AA330" s="71">
        <f t="shared" si="73"/>
        <v>57590367.184849985</v>
      </c>
      <c r="AB330" s="71">
        <f>SUM(AB307:AB329)</f>
        <v>12715313610.0075</v>
      </c>
      <c r="AC330" s="71">
        <f>SUM(AC307:AC329)</f>
        <v>16820346010.172348</v>
      </c>
    </row>
    <row r="331" spans="1:29" ht="24.95" customHeight="1">
      <c r="A331" s="183"/>
      <c r="B331" s="178"/>
      <c r="C331" s="66">
        <v>24</v>
      </c>
      <c r="D331" s="70" t="s">
        <v>780</v>
      </c>
      <c r="E331" s="70">
        <v>10112375.061699999</v>
      </c>
      <c r="F331" s="70">
        <v>0</v>
      </c>
      <c r="G331" s="70">
        <v>105481850.7323</v>
      </c>
      <c r="H331" s="70">
        <v>21409696.9179</v>
      </c>
      <c r="I331" s="70">
        <v>6412666.5562000005</v>
      </c>
      <c r="J331" s="70">
        <v>4110117.6812999998</v>
      </c>
      <c r="K331" s="70">
        <f t="shared" si="85"/>
        <v>2055058.8406499999</v>
      </c>
      <c r="L331" s="70">
        <f t="shared" si="86"/>
        <v>2055058.8406499999</v>
      </c>
      <c r="M331" s="85">
        <v>197682869.1015</v>
      </c>
      <c r="N331" s="75">
        <f t="shared" si="81"/>
        <v>343154517.21025002</v>
      </c>
      <c r="O331" s="74"/>
      <c r="P331" s="177">
        <v>33</v>
      </c>
      <c r="Q331" s="78">
        <v>1</v>
      </c>
      <c r="R331" s="187" t="s">
        <v>118</v>
      </c>
      <c r="S331" s="70" t="s">
        <v>781</v>
      </c>
      <c r="T331" s="70">
        <v>10614754.460000001</v>
      </c>
      <c r="U331" s="70"/>
      <c r="V331" s="70">
        <v>110722153.67</v>
      </c>
      <c r="W331" s="70">
        <v>22473323.469999999</v>
      </c>
      <c r="X331" s="70">
        <v>5681481.4199999999</v>
      </c>
      <c r="Y331" s="70">
        <v>4314306.9441999998</v>
      </c>
      <c r="Z331" s="70">
        <v>0</v>
      </c>
      <c r="AA331" s="70">
        <f t="shared" si="73"/>
        <v>4314306.9441999998</v>
      </c>
      <c r="AB331" s="70">
        <v>208366475.8964</v>
      </c>
      <c r="AC331" s="75">
        <f t="shared" si="87"/>
        <v>362172495.86059999</v>
      </c>
    </row>
    <row r="332" spans="1:29" ht="24.95" customHeight="1">
      <c r="A332" s="183"/>
      <c r="B332" s="178"/>
      <c r="C332" s="66">
        <v>25</v>
      </c>
      <c r="D332" s="70" t="s">
        <v>782</v>
      </c>
      <c r="E332" s="70">
        <v>10204982.951199999</v>
      </c>
      <c r="F332" s="70">
        <v>0</v>
      </c>
      <c r="G332" s="70">
        <v>106447840.57359999</v>
      </c>
      <c r="H332" s="70">
        <v>21605764.294300001</v>
      </c>
      <c r="I332" s="70">
        <v>6537440.6286000004</v>
      </c>
      <c r="J332" s="70">
        <v>4147757.6345000002</v>
      </c>
      <c r="K332" s="70">
        <f t="shared" si="85"/>
        <v>2073878.8172500001</v>
      </c>
      <c r="L332" s="70">
        <f t="shared" si="86"/>
        <v>2073878.8172500001</v>
      </c>
      <c r="M332" s="85">
        <v>202220851.94220001</v>
      </c>
      <c r="N332" s="75">
        <f t="shared" si="81"/>
        <v>349090759.20714998</v>
      </c>
      <c r="O332" s="74"/>
      <c r="P332" s="178"/>
      <c r="Q332" s="78">
        <v>2</v>
      </c>
      <c r="R332" s="188"/>
      <c r="S332" s="70" t="s">
        <v>783</v>
      </c>
      <c r="T332" s="70">
        <v>12083147.33</v>
      </c>
      <c r="U332" s="70"/>
      <c r="V332" s="70">
        <v>126038911.31</v>
      </c>
      <c r="W332" s="70">
        <v>25582172.41</v>
      </c>
      <c r="X332" s="70">
        <v>6584832.3499999996</v>
      </c>
      <c r="Y332" s="70">
        <v>4911126.9320999999</v>
      </c>
      <c r="Z332" s="70">
        <v>0</v>
      </c>
      <c r="AA332" s="70">
        <f t="shared" si="73"/>
        <v>4911126.9320999999</v>
      </c>
      <c r="AB332" s="70">
        <v>241220986.16749999</v>
      </c>
      <c r="AC332" s="75">
        <f t="shared" si="87"/>
        <v>416421176.49959999</v>
      </c>
    </row>
    <row r="333" spans="1:29" ht="24.95" customHeight="1">
      <c r="A333" s="183"/>
      <c r="B333" s="178"/>
      <c r="C333" s="66">
        <v>26</v>
      </c>
      <c r="D333" s="70" t="s">
        <v>784</v>
      </c>
      <c r="E333" s="70">
        <v>10856367.1819</v>
      </c>
      <c r="F333" s="70">
        <v>0</v>
      </c>
      <c r="G333" s="70">
        <v>113242407.9998</v>
      </c>
      <c r="H333" s="70">
        <v>22984860.5869</v>
      </c>
      <c r="I333" s="70">
        <v>7155881.5662000002</v>
      </c>
      <c r="J333" s="70">
        <v>4412509.0730999997</v>
      </c>
      <c r="K333" s="70">
        <f t="shared" si="85"/>
        <v>2206254.5365499998</v>
      </c>
      <c r="L333" s="70">
        <f t="shared" si="86"/>
        <v>2206254.5365499998</v>
      </c>
      <c r="M333" s="85">
        <v>224713300.1708</v>
      </c>
      <c r="N333" s="75">
        <f t="shared" si="81"/>
        <v>381159072.04214996</v>
      </c>
      <c r="O333" s="74"/>
      <c r="P333" s="178"/>
      <c r="Q333" s="78">
        <v>3</v>
      </c>
      <c r="R333" s="188"/>
      <c r="S333" s="70" t="s">
        <v>785</v>
      </c>
      <c r="T333" s="70">
        <v>13021599.83</v>
      </c>
      <c r="U333" s="70"/>
      <c r="V333" s="70">
        <v>135827878.33000001</v>
      </c>
      <c r="W333" s="70">
        <v>27569043.280000001</v>
      </c>
      <c r="X333" s="70">
        <v>6830504.1699999999</v>
      </c>
      <c r="Y333" s="70">
        <v>5292555.6383999996</v>
      </c>
      <c r="Z333" s="70">
        <v>0</v>
      </c>
      <c r="AA333" s="70">
        <f t="shared" si="73"/>
        <v>5292555.6383999996</v>
      </c>
      <c r="AB333" s="70">
        <v>250155971.41299999</v>
      </c>
      <c r="AC333" s="75">
        <f t="shared" si="87"/>
        <v>438697552.66139996</v>
      </c>
    </row>
    <row r="334" spans="1:29" ht="24.95" customHeight="1">
      <c r="A334" s="183"/>
      <c r="B334" s="179"/>
      <c r="C334" s="66">
        <v>27</v>
      </c>
      <c r="D334" s="70" t="s">
        <v>786</v>
      </c>
      <c r="E334" s="70">
        <v>9711939.4230000004</v>
      </c>
      <c r="F334" s="70">
        <v>0</v>
      </c>
      <c r="G334" s="70">
        <v>101304919.79269999</v>
      </c>
      <c r="H334" s="70">
        <v>20561903.4364</v>
      </c>
      <c r="I334" s="70">
        <v>6178713.5661000004</v>
      </c>
      <c r="J334" s="70">
        <v>3947362.8796000001</v>
      </c>
      <c r="K334" s="70">
        <f t="shared" si="85"/>
        <v>1973681.4398000001</v>
      </c>
      <c r="L334" s="70">
        <f t="shared" si="86"/>
        <v>1973681.4398000001</v>
      </c>
      <c r="M334" s="85">
        <v>189174092.92230001</v>
      </c>
      <c r="N334" s="75">
        <f t="shared" si="81"/>
        <v>328905250.58029997</v>
      </c>
      <c r="O334" s="74"/>
      <c r="P334" s="178"/>
      <c r="Q334" s="78">
        <v>4</v>
      </c>
      <c r="R334" s="188"/>
      <c r="S334" s="70" t="s">
        <v>787</v>
      </c>
      <c r="T334" s="70">
        <v>14138362.369999999</v>
      </c>
      <c r="U334" s="70"/>
      <c r="V334" s="70">
        <v>147476791.56999999</v>
      </c>
      <c r="W334" s="70">
        <v>29933428.239999998</v>
      </c>
      <c r="X334" s="70">
        <v>7520041.04</v>
      </c>
      <c r="Y334" s="70">
        <v>5746457.4672999997</v>
      </c>
      <c r="Z334" s="70">
        <v>0</v>
      </c>
      <c r="AA334" s="70">
        <f t="shared" si="73"/>
        <v>5746457.4672999997</v>
      </c>
      <c r="AB334" s="70">
        <v>275234150.22030002</v>
      </c>
      <c r="AC334" s="75">
        <f t="shared" si="87"/>
        <v>480049230.90760005</v>
      </c>
    </row>
    <row r="335" spans="1:29" ht="24.95" customHeight="1">
      <c r="A335" s="66"/>
      <c r="B335" s="190" t="s">
        <v>788</v>
      </c>
      <c r="C335" s="191"/>
      <c r="D335" s="71"/>
      <c r="E335" s="71">
        <f t="shared" ref="E335:O335" si="89">SUM(E308:E334)</f>
        <v>287006827.01099998</v>
      </c>
      <c r="F335" s="71">
        <f t="shared" si="89"/>
        <v>0</v>
      </c>
      <c r="G335" s="71">
        <f t="shared" si="89"/>
        <v>2993758746.2268996</v>
      </c>
      <c r="H335" s="71">
        <f t="shared" si="89"/>
        <v>607644509.05129993</v>
      </c>
      <c r="I335" s="71">
        <f t="shared" si="89"/>
        <v>182930555.72490001</v>
      </c>
      <c r="J335" s="71">
        <f t="shared" si="89"/>
        <v>116652302.46869999</v>
      </c>
      <c r="K335" s="71">
        <f t="shared" si="89"/>
        <v>58326151.234349996</v>
      </c>
      <c r="L335" s="71">
        <f t="shared" si="89"/>
        <v>58326151.234349996</v>
      </c>
      <c r="M335" s="71">
        <f t="shared" si="89"/>
        <v>5693443409.9903002</v>
      </c>
      <c r="N335" s="71">
        <f t="shared" si="89"/>
        <v>9823110199.2387486</v>
      </c>
      <c r="O335" s="71">
        <f t="shared" si="89"/>
        <v>0</v>
      </c>
      <c r="P335" s="178"/>
      <c r="Q335" s="78">
        <v>5</v>
      </c>
      <c r="R335" s="188"/>
      <c r="S335" s="70" t="s">
        <v>789</v>
      </c>
      <c r="T335" s="70">
        <v>13300026.98</v>
      </c>
      <c r="U335" s="70"/>
      <c r="V335" s="70">
        <v>138732142.72</v>
      </c>
      <c r="W335" s="70">
        <v>28158523.079999998</v>
      </c>
      <c r="X335" s="70">
        <v>6673269.0700000003</v>
      </c>
      <c r="Y335" s="70">
        <v>5405720.7823999999</v>
      </c>
      <c r="Z335" s="70">
        <v>0</v>
      </c>
      <c r="AA335" s="70">
        <f t="shared" si="73"/>
        <v>5405720.7823999999</v>
      </c>
      <c r="AB335" s="70">
        <v>244437394.12689999</v>
      </c>
      <c r="AC335" s="75">
        <f t="shared" si="87"/>
        <v>436707076.75929999</v>
      </c>
    </row>
    <row r="336" spans="1:29" ht="24.95" customHeight="1">
      <c r="A336" s="183">
        <v>17</v>
      </c>
      <c r="B336" s="177" t="s">
        <v>790</v>
      </c>
      <c r="C336" s="66">
        <v>1</v>
      </c>
      <c r="D336" s="70" t="s">
        <v>791</v>
      </c>
      <c r="E336" s="70">
        <v>10141966.394099999</v>
      </c>
      <c r="F336" s="70">
        <v>0</v>
      </c>
      <c r="G336" s="70">
        <v>105790516.94509999</v>
      </c>
      <c r="H336" s="70">
        <v>21472347.0328</v>
      </c>
      <c r="I336" s="70">
        <v>5808236.5423999997</v>
      </c>
      <c r="J336" s="70">
        <v>4122144.9112</v>
      </c>
      <c r="K336" s="70">
        <v>0</v>
      </c>
      <c r="L336" s="70">
        <f t="shared" ref="L336:L362" si="90">J336-K336</f>
        <v>4122144.9112</v>
      </c>
      <c r="M336" s="85">
        <v>217916726.5819</v>
      </c>
      <c r="N336" s="75">
        <f t="shared" ref="N336:N362" si="91">E336+F336+G336+H336+I336+L336+M336</f>
        <v>365251938.40749997</v>
      </c>
      <c r="O336" s="74"/>
      <c r="P336" s="178"/>
      <c r="Q336" s="78">
        <v>6</v>
      </c>
      <c r="R336" s="188"/>
      <c r="S336" s="70" t="s">
        <v>792</v>
      </c>
      <c r="T336" s="70">
        <v>12051329.880000001</v>
      </c>
      <c r="U336" s="70"/>
      <c r="V336" s="70">
        <v>125707024.5</v>
      </c>
      <c r="W336" s="70">
        <v>25514809.199999999</v>
      </c>
      <c r="X336" s="70">
        <v>5559762.2000000002</v>
      </c>
      <c r="Y336" s="70">
        <v>4898194.9159000004</v>
      </c>
      <c r="Z336" s="70">
        <v>0</v>
      </c>
      <c r="AA336" s="70">
        <f t="shared" ref="AA336:AA399" si="92">Y336-Z336</f>
        <v>4898194.9159000004</v>
      </c>
      <c r="AB336" s="70">
        <v>203939596.84299999</v>
      </c>
      <c r="AC336" s="75">
        <f t="shared" si="87"/>
        <v>377670717.53889996</v>
      </c>
    </row>
    <row r="337" spans="1:29" ht="24.95" customHeight="1">
      <c r="A337" s="183"/>
      <c r="B337" s="178"/>
      <c r="C337" s="66">
        <v>2</v>
      </c>
      <c r="D337" s="70" t="s">
        <v>793</v>
      </c>
      <c r="E337" s="70">
        <v>11995017.5887</v>
      </c>
      <c r="F337" s="70">
        <v>0</v>
      </c>
      <c r="G337" s="70">
        <v>125119632.8372</v>
      </c>
      <c r="H337" s="70">
        <v>25395586.055100001</v>
      </c>
      <c r="I337" s="70">
        <v>6785019.4769000001</v>
      </c>
      <c r="J337" s="70">
        <v>4875307.0944999997</v>
      </c>
      <c r="K337" s="70">
        <v>0</v>
      </c>
      <c r="L337" s="70">
        <f t="shared" si="90"/>
        <v>4875307.0944999997</v>
      </c>
      <c r="M337" s="85">
        <v>253441929.1514</v>
      </c>
      <c r="N337" s="75">
        <f t="shared" si="91"/>
        <v>427612492.20380002</v>
      </c>
      <c r="O337" s="74"/>
      <c r="P337" s="178"/>
      <c r="Q337" s="78">
        <v>7</v>
      </c>
      <c r="R337" s="188"/>
      <c r="S337" s="70" t="s">
        <v>794</v>
      </c>
      <c r="T337" s="70">
        <v>13764338.369999999</v>
      </c>
      <c r="U337" s="70"/>
      <c r="V337" s="70">
        <v>143575359.55000001</v>
      </c>
      <c r="W337" s="70">
        <v>29141552.899999999</v>
      </c>
      <c r="X337" s="70">
        <v>7303005.2699999996</v>
      </c>
      <c r="Y337" s="70">
        <v>5594437.5268999999</v>
      </c>
      <c r="Z337" s="70">
        <v>0</v>
      </c>
      <c r="AA337" s="70">
        <f t="shared" si="92"/>
        <v>5594437.5268999999</v>
      </c>
      <c r="AB337" s="70">
        <v>267340646.2748</v>
      </c>
      <c r="AC337" s="75">
        <f t="shared" si="87"/>
        <v>466719339.89170003</v>
      </c>
    </row>
    <row r="338" spans="1:29" ht="24.95" customHeight="1">
      <c r="A338" s="183"/>
      <c r="B338" s="178"/>
      <c r="C338" s="66">
        <v>3</v>
      </c>
      <c r="D338" s="70" t="s">
        <v>795</v>
      </c>
      <c r="E338" s="70">
        <v>14886143.956499999</v>
      </c>
      <c r="F338" s="70">
        <v>0</v>
      </c>
      <c r="G338" s="70">
        <v>155276876.62169999</v>
      </c>
      <c r="H338" s="70">
        <v>31516614.884500001</v>
      </c>
      <c r="I338" s="70">
        <v>8136240.1480999999</v>
      </c>
      <c r="J338" s="70">
        <v>6050389.0639000004</v>
      </c>
      <c r="K338" s="70">
        <v>0</v>
      </c>
      <c r="L338" s="70">
        <f t="shared" si="90"/>
        <v>6050389.0639000004</v>
      </c>
      <c r="M338" s="85">
        <v>302585281.64660001</v>
      </c>
      <c r="N338" s="75">
        <f t="shared" si="91"/>
        <v>518451546.32129997</v>
      </c>
      <c r="O338" s="74"/>
      <c r="P338" s="178"/>
      <c r="Q338" s="78">
        <v>8</v>
      </c>
      <c r="R338" s="188"/>
      <c r="S338" s="70" t="s">
        <v>796</v>
      </c>
      <c r="T338" s="70">
        <v>11745257.5</v>
      </c>
      <c r="U338" s="70"/>
      <c r="V338" s="70">
        <v>122514393.61</v>
      </c>
      <c r="W338" s="70">
        <v>24866799.52</v>
      </c>
      <c r="X338" s="70">
        <v>6265009.75</v>
      </c>
      <c r="Y338" s="70">
        <v>4773793.5256000003</v>
      </c>
      <c r="Z338" s="70">
        <v>0</v>
      </c>
      <c r="AA338" s="70">
        <f t="shared" si="92"/>
        <v>4773793.5256000003</v>
      </c>
      <c r="AB338" s="70">
        <v>229589166.5562</v>
      </c>
      <c r="AC338" s="75">
        <f t="shared" si="87"/>
        <v>399754420.46179998</v>
      </c>
    </row>
    <row r="339" spans="1:29" ht="24.95" customHeight="1">
      <c r="A339" s="183"/>
      <c r="B339" s="178"/>
      <c r="C339" s="66">
        <v>4</v>
      </c>
      <c r="D339" s="70" t="s">
        <v>797</v>
      </c>
      <c r="E339" s="70">
        <v>11259627.7378</v>
      </c>
      <c r="F339" s="70">
        <v>0</v>
      </c>
      <c r="G339" s="70">
        <v>117448805.55679999</v>
      </c>
      <c r="H339" s="70">
        <v>23838634.920499999</v>
      </c>
      <c r="I339" s="70">
        <v>5940801.7742999997</v>
      </c>
      <c r="J339" s="70">
        <v>4576412.0464000003</v>
      </c>
      <c r="K339" s="70">
        <v>0</v>
      </c>
      <c r="L339" s="70">
        <f t="shared" si="90"/>
        <v>4576412.0464000003</v>
      </c>
      <c r="M339" s="85">
        <v>222738070.76249999</v>
      </c>
      <c r="N339" s="75">
        <f t="shared" si="91"/>
        <v>385802352.79830003</v>
      </c>
      <c r="O339" s="74"/>
      <c r="P339" s="178"/>
      <c r="Q339" s="78">
        <v>9</v>
      </c>
      <c r="R339" s="188"/>
      <c r="S339" s="70" t="s">
        <v>798</v>
      </c>
      <c r="T339" s="70">
        <v>13294756.640000001</v>
      </c>
      <c r="U339" s="70"/>
      <c r="V339" s="70">
        <v>138677168.06</v>
      </c>
      <c r="W339" s="70">
        <v>28147364.850000001</v>
      </c>
      <c r="X339" s="70">
        <v>6208713.1600000001</v>
      </c>
      <c r="Y339" s="70">
        <v>5403578.6854999997</v>
      </c>
      <c r="Z339" s="70">
        <v>0</v>
      </c>
      <c r="AA339" s="70">
        <f t="shared" si="92"/>
        <v>5403578.6854999997</v>
      </c>
      <c r="AB339" s="70">
        <v>227541682.4765</v>
      </c>
      <c r="AC339" s="75">
        <f t="shared" si="87"/>
        <v>419273263.87199998</v>
      </c>
    </row>
    <row r="340" spans="1:29" ht="24.95" customHeight="1">
      <c r="A340" s="183"/>
      <c r="B340" s="178"/>
      <c r="C340" s="66">
        <v>5</v>
      </c>
      <c r="D340" s="70" t="s">
        <v>799</v>
      </c>
      <c r="E340" s="70">
        <v>9661742.8178000003</v>
      </c>
      <c r="F340" s="70">
        <v>0</v>
      </c>
      <c r="G340" s="70">
        <v>100781320.65970001</v>
      </c>
      <c r="H340" s="70">
        <v>20455628.293699998</v>
      </c>
      <c r="I340" s="70">
        <v>5145833.9550000001</v>
      </c>
      <c r="J340" s="70">
        <v>3926960.7530999999</v>
      </c>
      <c r="K340" s="70">
        <v>0</v>
      </c>
      <c r="L340" s="70">
        <f t="shared" si="90"/>
        <v>3926960.7530999999</v>
      </c>
      <c r="M340" s="85">
        <v>193825410.8263</v>
      </c>
      <c r="N340" s="75">
        <f t="shared" si="91"/>
        <v>333796897.30560005</v>
      </c>
      <c r="O340" s="74"/>
      <c r="P340" s="178"/>
      <c r="Q340" s="78">
        <v>10</v>
      </c>
      <c r="R340" s="188"/>
      <c r="S340" s="70" t="s">
        <v>800</v>
      </c>
      <c r="T340" s="70">
        <v>12003314.34</v>
      </c>
      <c r="U340" s="70"/>
      <c r="V340" s="70">
        <v>125206175.95</v>
      </c>
      <c r="W340" s="70">
        <v>25413151.75</v>
      </c>
      <c r="X340" s="70">
        <v>5933455.4800000004</v>
      </c>
      <c r="Y340" s="70">
        <v>4878679.2624000004</v>
      </c>
      <c r="Z340" s="70">
        <v>0</v>
      </c>
      <c r="AA340" s="70">
        <f t="shared" si="92"/>
        <v>4878679.2624000004</v>
      </c>
      <c r="AB340" s="70">
        <v>217530671.05590001</v>
      </c>
      <c r="AC340" s="75">
        <f t="shared" si="87"/>
        <v>390965447.83829999</v>
      </c>
    </row>
    <row r="341" spans="1:29" ht="24.95" customHeight="1">
      <c r="A341" s="183"/>
      <c r="B341" s="178"/>
      <c r="C341" s="66">
        <v>6</v>
      </c>
      <c r="D341" s="70" t="s">
        <v>801</v>
      </c>
      <c r="E341" s="70">
        <v>9477913.1305999998</v>
      </c>
      <c r="F341" s="70">
        <v>0</v>
      </c>
      <c r="G341" s="70">
        <v>98863799.256099999</v>
      </c>
      <c r="H341" s="70">
        <v>20066428.144099999</v>
      </c>
      <c r="I341" s="70">
        <v>5363742.5472999997</v>
      </c>
      <c r="J341" s="70">
        <v>3852244.2159000002</v>
      </c>
      <c r="K341" s="70">
        <v>0</v>
      </c>
      <c r="L341" s="70">
        <f t="shared" si="90"/>
        <v>3852244.2159000002</v>
      </c>
      <c r="M341" s="85">
        <v>201750658.711</v>
      </c>
      <c r="N341" s="75">
        <f t="shared" si="91"/>
        <v>339374786.005</v>
      </c>
      <c r="O341" s="74"/>
      <c r="P341" s="178"/>
      <c r="Q341" s="78">
        <v>11</v>
      </c>
      <c r="R341" s="188"/>
      <c r="S341" s="70" t="s">
        <v>802</v>
      </c>
      <c r="T341" s="70">
        <v>11130758.82</v>
      </c>
      <c r="U341" s="70"/>
      <c r="V341" s="70">
        <v>116104578.17</v>
      </c>
      <c r="W341" s="70">
        <v>23565796.510000002</v>
      </c>
      <c r="X341" s="70">
        <v>6052068.5</v>
      </c>
      <c r="Y341" s="70">
        <v>4524034.0051999995</v>
      </c>
      <c r="Z341" s="70">
        <v>0</v>
      </c>
      <c r="AA341" s="70">
        <f t="shared" si="92"/>
        <v>4524034.0051999995</v>
      </c>
      <c r="AB341" s="70">
        <v>221844579.03150001</v>
      </c>
      <c r="AC341" s="75">
        <f t="shared" si="87"/>
        <v>383221815.03670001</v>
      </c>
    </row>
    <row r="342" spans="1:29" ht="24.95" customHeight="1">
      <c r="A342" s="183"/>
      <c r="B342" s="178"/>
      <c r="C342" s="66">
        <v>7</v>
      </c>
      <c r="D342" s="70" t="s">
        <v>803</v>
      </c>
      <c r="E342" s="70">
        <v>13304387.989600001</v>
      </c>
      <c r="F342" s="70">
        <v>0</v>
      </c>
      <c r="G342" s="70">
        <v>138777632.30149999</v>
      </c>
      <c r="H342" s="70">
        <v>28167756.1204</v>
      </c>
      <c r="I342" s="70">
        <v>7273308.2599999998</v>
      </c>
      <c r="J342" s="70">
        <v>5407493.2922999999</v>
      </c>
      <c r="K342" s="70">
        <v>0</v>
      </c>
      <c r="L342" s="70">
        <f t="shared" si="90"/>
        <v>5407493.2922999999</v>
      </c>
      <c r="M342" s="85">
        <v>271200795.85500002</v>
      </c>
      <c r="N342" s="75">
        <f t="shared" si="91"/>
        <v>464131373.81879997</v>
      </c>
      <c r="O342" s="74"/>
      <c r="P342" s="178"/>
      <c r="Q342" s="78">
        <v>12</v>
      </c>
      <c r="R342" s="188"/>
      <c r="S342" s="70" t="s">
        <v>804</v>
      </c>
      <c r="T342" s="70">
        <v>13252522.65</v>
      </c>
      <c r="U342" s="70"/>
      <c r="V342" s="70">
        <v>138236626.66</v>
      </c>
      <c r="W342" s="70">
        <v>28057947.969999999</v>
      </c>
      <c r="X342" s="70">
        <v>6248015.5199999996</v>
      </c>
      <c r="Y342" s="70">
        <v>5386412.9192000004</v>
      </c>
      <c r="Z342" s="70">
        <v>0</v>
      </c>
      <c r="AA342" s="70">
        <f t="shared" si="92"/>
        <v>5386412.9192000004</v>
      </c>
      <c r="AB342" s="70">
        <v>228971093.3867</v>
      </c>
      <c r="AC342" s="75">
        <f t="shared" si="87"/>
        <v>420152619.10590005</v>
      </c>
    </row>
    <row r="343" spans="1:29" ht="24.95" customHeight="1">
      <c r="A343" s="183"/>
      <c r="B343" s="178"/>
      <c r="C343" s="66">
        <v>8</v>
      </c>
      <c r="D343" s="70" t="s">
        <v>805</v>
      </c>
      <c r="E343" s="70">
        <v>11165960.451400001</v>
      </c>
      <c r="F343" s="70">
        <v>0</v>
      </c>
      <c r="G343" s="70">
        <v>116471765.18179999</v>
      </c>
      <c r="H343" s="70">
        <v>23640324.612399999</v>
      </c>
      <c r="I343" s="70">
        <v>6067924.7465000004</v>
      </c>
      <c r="J343" s="70">
        <v>4538341.5073999995</v>
      </c>
      <c r="K343" s="70">
        <v>0</v>
      </c>
      <c r="L343" s="70">
        <f t="shared" si="90"/>
        <v>4538341.5073999995</v>
      </c>
      <c r="M343" s="85">
        <v>227361482.1455</v>
      </c>
      <c r="N343" s="75">
        <f t="shared" si="91"/>
        <v>389245798.64499998</v>
      </c>
      <c r="O343" s="74"/>
      <c r="P343" s="178"/>
      <c r="Q343" s="78">
        <v>13</v>
      </c>
      <c r="R343" s="188"/>
      <c r="S343" s="70" t="s">
        <v>806</v>
      </c>
      <c r="T343" s="70">
        <v>13904570.529999999</v>
      </c>
      <c r="U343" s="70"/>
      <c r="V343" s="70">
        <v>145038116.63</v>
      </c>
      <c r="W343" s="70">
        <v>29438449.34</v>
      </c>
      <c r="X343" s="70">
        <v>6998046.1900000004</v>
      </c>
      <c r="Y343" s="70">
        <v>5651434.1001000004</v>
      </c>
      <c r="Z343" s="70">
        <v>0</v>
      </c>
      <c r="AA343" s="70">
        <f t="shared" si="92"/>
        <v>5651434.1001000004</v>
      </c>
      <c r="AB343" s="70">
        <v>256249407.2755</v>
      </c>
      <c r="AC343" s="75">
        <f t="shared" si="87"/>
        <v>457280024.06560004</v>
      </c>
    </row>
    <row r="344" spans="1:29" ht="24.95" customHeight="1">
      <c r="A344" s="183"/>
      <c r="B344" s="178"/>
      <c r="C344" s="66">
        <v>9</v>
      </c>
      <c r="D344" s="70" t="s">
        <v>807</v>
      </c>
      <c r="E344" s="70">
        <v>9780640.3333000001</v>
      </c>
      <c r="F344" s="70">
        <v>0</v>
      </c>
      <c r="G344" s="70">
        <v>102021536.7227</v>
      </c>
      <c r="H344" s="70">
        <v>20707355.484999999</v>
      </c>
      <c r="I344" s="70">
        <v>5489402.2703999998</v>
      </c>
      <c r="J344" s="70">
        <v>3975285.9763000002</v>
      </c>
      <c r="K344" s="70">
        <v>0</v>
      </c>
      <c r="L344" s="70">
        <f t="shared" si="90"/>
        <v>3975285.9763000002</v>
      </c>
      <c r="M344" s="85">
        <v>206320852.31349999</v>
      </c>
      <c r="N344" s="75">
        <f t="shared" si="91"/>
        <v>348295073.10119998</v>
      </c>
      <c r="O344" s="74"/>
      <c r="P344" s="178"/>
      <c r="Q344" s="78">
        <v>14</v>
      </c>
      <c r="R344" s="188"/>
      <c r="S344" s="70" t="s">
        <v>808</v>
      </c>
      <c r="T344" s="70">
        <v>12528754.67</v>
      </c>
      <c r="U344" s="70"/>
      <c r="V344" s="70">
        <v>130687026.72</v>
      </c>
      <c r="W344" s="70">
        <v>26525602.399999999</v>
      </c>
      <c r="X344" s="70">
        <v>6341047.3600000003</v>
      </c>
      <c r="Y344" s="70">
        <v>5092241.5120000001</v>
      </c>
      <c r="Z344" s="70">
        <v>0</v>
      </c>
      <c r="AA344" s="70">
        <f t="shared" si="92"/>
        <v>5092241.5120000001</v>
      </c>
      <c r="AB344" s="70">
        <v>232354623.8495</v>
      </c>
      <c r="AC344" s="75">
        <f t="shared" si="87"/>
        <v>413529296.5115</v>
      </c>
    </row>
    <row r="345" spans="1:29" ht="24.95" customHeight="1">
      <c r="A345" s="183"/>
      <c r="B345" s="178"/>
      <c r="C345" s="66">
        <v>10</v>
      </c>
      <c r="D345" s="70" t="s">
        <v>809</v>
      </c>
      <c r="E345" s="70">
        <v>10332714.1315</v>
      </c>
      <c r="F345" s="70">
        <v>0</v>
      </c>
      <c r="G345" s="70">
        <v>107780200.30159999</v>
      </c>
      <c r="H345" s="70">
        <v>21876193.925099999</v>
      </c>
      <c r="I345" s="70">
        <v>5590250.9369000001</v>
      </c>
      <c r="J345" s="70">
        <v>4199673.2506999997</v>
      </c>
      <c r="K345" s="70">
        <v>0</v>
      </c>
      <c r="L345" s="70">
        <f t="shared" si="90"/>
        <v>4199673.2506999997</v>
      </c>
      <c r="M345" s="85">
        <v>209988677.7615</v>
      </c>
      <c r="N345" s="75">
        <f t="shared" si="91"/>
        <v>359767710.30729997</v>
      </c>
      <c r="O345" s="74"/>
      <c r="P345" s="178"/>
      <c r="Q345" s="78">
        <v>15</v>
      </c>
      <c r="R345" s="188"/>
      <c r="S345" s="70" t="s">
        <v>810</v>
      </c>
      <c r="T345" s="70">
        <v>11218732.300000001</v>
      </c>
      <c r="U345" s="70"/>
      <c r="V345" s="70">
        <v>117022226.62</v>
      </c>
      <c r="W345" s="70">
        <v>23752052.010000002</v>
      </c>
      <c r="X345" s="70">
        <v>5673151.1699999999</v>
      </c>
      <c r="Y345" s="70">
        <v>4559790.3301999997</v>
      </c>
      <c r="Z345" s="70">
        <v>0</v>
      </c>
      <c r="AA345" s="70">
        <f t="shared" si="92"/>
        <v>4559790.3301999997</v>
      </c>
      <c r="AB345" s="70">
        <v>208063508.0059</v>
      </c>
      <c r="AC345" s="75">
        <f t="shared" si="87"/>
        <v>370289460.43610001</v>
      </c>
    </row>
    <row r="346" spans="1:29" ht="24.95" customHeight="1">
      <c r="A346" s="183"/>
      <c r="B346" s="178"/>
      <c r="C346" s="66">
        <v>11</v>
      </c>
      <c r="D346" s="70" t="s">
        <v>811</v>
      </c>
      <c r="E346" s="70">
        <v>14373404.885500001</v>
      </c>
      <c r="F346" s="70">
        <v>0</v>
      </c>
      <c r="G346" s="70">
        <v>149928512.2836</v>
      </c>
      <c r="H346" s="70">
        <v>30431055.058800001</v>
      </c>
      <c r="I346" s="70">
        <v>7612666.5255000005</v>
      </c>
      <c r="J346" s="70">
        <v>5841989.1668999996</v>
      </c>
      <c r="K346" s="70">
        <v>0</v>
      </c>
      <c r="L346" s="70">
        <f t="shared" si="90"/>
        <v>5841989.1668999996</v>
      </c>
      <c r="M346" s="85">
        <v>283543119.51770002</v>
      </c>
      <c r="N346" s="75">
        <f t="shared" si="91"/>
        <v>491730747.43800008</v>
      </c>
      <c r="O346" s="74"/>
      <c r="P346" s="178"/>
      <c r="Q346" s="78">
        <v>16</v>
      </c>
      <c r="R346" s="188"/>
      <c r="S346" s="70" t="s">
        <v>812</v>
      </c>
      <c r="T346" s="70">
        <v>12466680.449999999</v>
      </c>
      <c r="U346" s="70"/>
      <c r="V346" s="70">
        <v>130039532.55</v>
      </c>
      <c r="W346" s="70">
        <v>26394180.23</v>
      </c>
      <c r="X346" s="70">
        <v>7322104.5199999996</v>
      </c>
      <c r="Y346" s="70">
        <v>5067011.7969000004</v>
      </c>
      <c r="Z346" s="70">
        <v>0</v>
      </c>
      <c r="AA346" s="70">
        <f t="shared" si="92"/>
        <v>5067011.7969000004</v>
      </c>
      <c r="AB346" s="70">
        <v>268035278.35659999</v>
      </c>
      <c r="AC346" s="75">
        <f t="shared" si="87"/>
        <v>449324787.90349996</v>
      </c>
    </row>
    <row r="347" spans="1:29" ht="24.95" customHeight="1">
      <c r="A347" s="183"/>
      <c r="B347" s="178"/>
      <c r="C347" s="66">
        <v>12</v>
      </c>
      <c r="D347" s="70" t="s">
        <v>813</v>
      </c>
      <c r="E347" s="70">
        <v>10627171.608100001</v>
      </c>
      <c r="F347" s="70">
        <v>0</v>
      </c>
      <c r="G347" s="70">
        <v>110851676.5282</v>
      </c>
      <c r="H347" s="70">
        <v>22499612.784899998</v>
      </c>
      <c r="I347" s="70">
        <v>5712175.5241999999</v>
      </c>
      <c r="J347" s="70">
        <v>4319353.8274999997</v>
      </c>
      <c r="K347" s="70">
        <v>0</v>
      </c>
      <c r="L347" s="70">
        <f t="shared" si="90"/>
        <v>4319353.8274999997</v>
      </c>
      <c r="M347" s="85">
        <v>214423025.97710001</v>
      </c>
      <c r="N347" s="75">
        <f t="shared" si="91"/>
        <v>368433016.25</v>
      </c>
      <c r="O347" s="74"/>
      <c r="P347" s="178"/>
      <c r="Q347" s="78">
        <v>17</v>
      </c>
      <c r="R347" s="188"/>
      <c r="S347" s="70" t="s">
        <v>814</v>
      </c>
      <c r="T347" s="70">
        <v>12365968.390000001</v>
      </c>
      <c r="U347" s="70"/>
      <c r="V347" s="70">
        <v>128989008.39</v>
      </c>
      <c r="W347" s="70">
        <v>26180954.890000001</v>
      </c>
      <c r="X347" s="70">
        <v>6835227.6399999997</v>
      </c>
      <c r="Y347" s="70">
        <v>5026077.9466000004</v>
      </c>
      <c r="Z347" s="70">
        <v>0</v>
      </c>
      <c r="AA347" s="70">
        <f t="shared" si="92"/>
        <v>5026077.9466000004</v>
      </c>
      <c r="AB347" s="70">
        <v>250327762.14289999</v>
      </c>
      <c r="AC347" s="75">
        <f t="shared" si="87"/>
        <v>429724999.39950001</v>
      </c>
    </row>
    <row r="348" spans="1:29" ht="24.95" customHeight="1">
      <c r="A348" s="183"/>
      <c r="B348" s="178"/>
      <c r="C348" s="66">
        <v>13</v>
      </c>
      <c r="D348" s="70" t="s">
        <v>815</v>
      </c>
      <c r="E348" s="70">
        <v>8971065.0934999995</v>
      </c>
      <c r="F348" s="70">
        <v>0</v>
      </c>
      <c r="G348" s="70">
        <v>93576884.098000005</v>
      </c>
      <c r="H348" s="70">
        <v>18993340.6851</v>
      </c>
      <c r="I348" s="70">
        <v>5469725.4210999999</v>
      </c>
      <c r="J348" s="70">
        <v>3646238.6963</v>
      </c>
      <c r="K348" s="70">
        <v>0</v>
      </c>
      <c r="L348" s="70">
        <f t="shared" si="90"/>
        <v>3646238.6963</v>
      </c>
      <c r="M348" s="85">
        <v>205605213.2132</v>
      </c>
      <c r="N348" s="75">
        <f t="shared" si="91"/>
        <v>336262467.20720005</v>
      </c>
      <c r="O348" s="74"/>
      <c r="P348" s="178"/>
      <c r="Q348" s="78">
        <v>18</v>
      </c>
      <c r="R348" s="188"/>
      <c r="S348" s="70" t="s">
        <v>816</v>
      </c>
      <c r="T348" s="70">
        <v>13846378.99</v>
      </c>
      <c r="U348" s="70"/>
      <c r="V348" s="70">
        <v>144431122.52000001</v>
      </c>
      <c r="W348" s="70">
        <v>29315247.48</v>
      </c>
      <c r="X348" s="70">
        <v>7220511.3899999997</v>
      </c>
      <c r="Y348" s="70">
        <v>5627782.4742999999</v>
      </c>
      <c r="Z348" s="70">
        <v>0</v>
      </c>
      <c r="AA348" s="70">
        <f t="shared" si="92"/>
        <v>5627782.4742999999</v>
      </c>
      <c r="AB348" s="70">
        <v>264340377.19580001</v>
      </c>
      <c r="AC348" s="75">
        <f t="shared" si="87"/>
        <v>464781420.05009997</v>
      </c>
    </row>
    <row r="349" spans="1:29" ht="24.95" customHeight="1">
      <c r="A349" s="183"/>
      <c r="B349" s="178"/>
      <c r="C349" s="66">
        <v>14</v>
      </c>
      <c r="D349" s="70" t="s">
        <v>817</v>
      </c>
      <c r="E349" s="70">
        <v>12330442.700200001</v>
      </c>
      <c r="F349" s="70">
        <v>0</v>
      </c>
      <c r="G349" s="70">
        <v>128618441.112</v>
      </c>
      <c r="H349" s="70">
        <v>26105740.685600001</v>
      </c>
      <c r="I349" s="70">
        <v>7054475.5103000002</v>
      </c>
      <c r="J349" s="70">
        <v>5011638.7350000003</v>
      </c>
      <c r="K349" s="70">
        <v>0</v>
      </c>
      <c r="L349" s="70">
        <f t="shared" si="90"/>
        <v>5011638.7350000003</v>
      </c>
      <c r="M349" s="85">
        <v>263241936.74059999</v>
      </c>
      <c r="N349" s="75">
        <f t="shared" si="91"/>
        <v>442362675.48370004</v>
      </c>
      <c r="O349" s="74"/>
      <c r="P349" s="178"/>
      <c r="Q349" s="78">
        <v>19</v>
      </c>
      <c r="R349" s="188"/>
      <c r="S349" s="70" t="s">
        <v>818</v>
      </c>
      <c r="T349" s="70">
        <v>12765803.42</v>
      </c>
      <c r="U349" s="70"/>
      <c r="V349" s="70">
        <v>133159674.37</v>
      </c>
      <c r="W349" s="70">
        <v>27027476.77</v>
      </c>
      <c r="X349" s="70">
        <v>5794767.7000000002</v>
      </c>
      <c r="Y349" s="70">
        <v>5188588.6330000004</v>
      </c>
      <c r="Z349" s="70">
        <v>0</v>
      </c>
      <c r="AA349" s="70">
        <f t="shared" si="92"/>
        <v>5188588.6330000004</v>
      </c>
      <c r="AB349" s="70">
        <v>212486652.47819999</v>
      </c>
      <c r="AC349" s="75">
        <f t="shared" si="87"/>
        <v>396422963.37119997</v>
      </c>
    </row>
    <row r="350" spans="1:29" ht="24.95" customHeight="1">
      <c r="A350" s="183"/>
      <c r="B350" s="178"/>
      <c r="C350" s="66">
        <v>15</v>
      </c>
      <c r="D350" s="70" t="s">
        <v>819</v>
      </c>
      <c r="E350" s="70">
        <v>13868591.4037</v>
      </c>
      <c r="F350" s="70">
        <v>0</v>
      </c>
      <c r="G350" s="70">
        <v>144662819.50529999</v>
      </c>
      <c r="H350" s="70">
        <v>29362275.115499999</v>
      </c>
      <c r="I350" s="70">
        <v>7593105.1957999999</v>
      </c>
      <c r="J350" s="70">
        <v>5636810.5807999996</v>
      </c>
      <c r="K350" s="70">
        <v>0</v>
      </c>
      <c r="L350" s="70">
        <f t="shared" si="90"/>
        <v>5636810.5807999996</v>
      </c>
      <c r="M350" s="85">
        <v>282831681.8211</v>
      </c>
      <c r="N350" s="75">
        <f t="shared" si="91"/>
        <v>483955283.62220001</v>
      </c>
      <c r="O350" s="74"/>
      <c r="P350" s="178"/>
      <c r="Q350" s="78">
        <v>20</v>
      </c>
      <c r="R350" s="188"/>
      <c r="S350" s="70" t="s">
        <v>820</v>
      </c>
      <c r="T350" s="70">
        <v>11617067.369999999</v>
      </c>
      <c r="U350" s="70"/>
      <c r="V350" s="70">
        <v>121177246.59999999</v>
      </c>
      <c r="W350" s="70">
        <v>24595398.210000001</v>
      </c>
      <c r="X350" s="70">
        <v>5210969.83</v>
      </c>
      <c r="Y350" s="70">
        <v>4721691.3663999997</v>
      </c>
      <c r="Z350" s="70">
        <v>0</v>
      </c>
      <c r="AA350" s="70">
        <f t="shared" si="92"/>
        <v>4721691.3663999997</v>
      </c>
      <c r="AB350" s="70">
        <v>191254158.5431</v>
      </c>
      <c r="AC350" s="75">
        <f t="shared" si="87"/>
        <v>358576531.91949999</v>
      </c>
    </row>
    <row r="351" spans="1:29" ht="24.95" customHeight="1">
      <c r="A351" s="183"/>
      <c r="B351" s="178"/>
      <c r="C351" s="66">
        <v>16</v>
      </c>
      <c r="D351" s="70" t="s">
        <v>821</v>
      </c>
      <c r="E351" s="70">
        <v>10164342.039899999</v>
      </c>
      <c r="F351" s="70">
        <v>0</v>
      </c>
      <c r="G351" s="70">
        <v>106023916.56820001</v>
      </c>
      <c r="H351" s="70">
        <v>21519720.2553</v>
      </c>
      <c r="I351" s="70">
        <v>5756316.8712999998</v>
      </c>
      <c r="J351" s="70">
        <v>4131239.3659000001</v>
      </c>
      <c r="K351" s="70">
        <v>0</v>
      </c>
      <c r="L351" s="70">
        <f t="shared" si="90"/>
        <v>4131239.3659000001</v>
      </c>
      <c r="M351" s="85">
        <v>216028429.02090001</v>
      </c>
      <c r="N351" s="75">
        <f t="shared" si="91"/>
        <v>363623964.12150002</v>
      </c>
      <c r="O351" s="74"/>
      <c r="P351" s="178"/>
      <c r="Q351" s="78">
        <v>21</v>
      </c>
      <c r="R351" s="188"/>
      <c r="S351" s="70" t="s">
        <v>822</v>
      </c>
      <c r="T351" s="70">
        <v>11975409.07</v>
      </c>
      <c r="U351" s="70"/>
      <c r="V351" s="70">
        <v>124915096.98999999</v>
      </c>
      <c r="W351" s="70">
        <v>25354071.329999998</v>
      </c>
      <c r="X351" s="70">
        <v>6638908.3899999997</v>
      </c>
      <c r="Y351" s="70">
        <v>4867337.3197999997</v>
      </c>
      <c r="Z351" s="70">
        <v>0</v>
      </c>
      <c r="AA351" s="70">
        <f t="shared" si="92"/>
        <v>4867337.3197999997</v>
      </c>
      <c r="AB351" s="70">
        <v>243187709.93130001</v>
      </c>
      <c r="AC351" s="75">
        <f t="shared" si="87"/>
        <v>416938533.03109998</v>
      </c>
    </row>
    <row r="352" spans="1:29" ht="24.95" customHeight="1">
      <c r="A352" s="183"/>
      <c r="B352" s="178"/>
      <c r="C352" s="66">
        <v>17</v>
      </c>
      <c r="D352" s="70" t="s">
        <v>823</v>
      </c>
      <c r="E352" s="70">
        <v>10755800.6434</v>
      </c>
      <c r="F352" s="70">
        <v>0</v>
      </c>
      <c r="G352" s="70">
        <v>112193401.7535</v>
      </c>
      <c r="H352" s="70">
        <v>22771943.334899999</v>
      </c>
      <c r="I352" s="70">
        <v>6186794.4803999998</v>
      </c>
      <c r="J352" s="70">
        <v>4371634.3718999997</v>
      </c>
      <c r="K352" s="70">
        <v>0</v>
      </c>
      <c r="L352" s="70">
        <f t="shared" si="90"/>
        <v>4371634.3718999997</v>
      </c>
      <c r="M352" s="85">
        <v>231684726.5738</v>
      </c>
      <c r="N352" s="75">
        <f t="shared" si="91"/>
        <v>387964301.15789998</v>
      </c>
      <c r="O352" s="74"/>
      <c r="P352" s="178"/>
      <c r="Q352" s="78">
        <v>22</v>
      </c>
      <c r="R352" s="188"/>
      <c r="S352" s="70" t="s">
        <v>824</v>
      </c>
      <c r="T352" s="70">
        <v>11522204.32</v>
      </c>
      <c r="U352" s="70"/>
      <c r="V352" s="70">
        <v>120187733.23</v>
      </c>
      <c r="W352" s="70">
        <v>24394556.260000002</v>
      </c>
      <c r="X352" s="70">
        <v>6416699.9000000004</v>
      </c>
      <c r="Y352" s="70">
        <v>4683134.8176999995</v>
      </c>
      <c r="Z352" s="70">
        <v>0</v>
      </c>
      <c r="AA352" s="70">
        <f t="shared" si="92"/>
        <v>4683134.8176999995</v>
      </c>
      <c r="AB352" s="70">
        <v>235106076.46380001</v>
      </c>
      <c r="AC352" s="75">
        <f t="shared" si="87"/>
        <v>402310404.99150002</v>
      </c>
    </row>
    <row r="353" spans="1:29" ht="24.95" customHeight="1">
      <c r="A353" s="183"/>
      <c r="B353" s="178"/>
      <c r="C353" s="66">
        <v>18</v>
      </c>
      <c r="D353" s="70" t="s">
        <v>825</v>
      </c>
      <c r="E353" s="70">
        <v>11218112.041300001</v>
      </c>
      <c r="F353" s="70">
        <v>0</v>
      </c>
      <c r="G353" s="70">
        <v>117015756.69599999</v>
      </c>
      <c r="H353" s="70">
        <v>23750738.805599999</v>
      </c>
      <c r="I353" s="70">
        <v>6572232.2562999995</v>
      </c>
      <c r="J353" s="70">
        <v>4559538.2263000002</v>
      </c>
      <c r="K353" s="70">
        <v>0</v>
      </c>
      <c r="L353" s="70">
        <f t="shared" si="90"/>
        <v>4559538.2263000002</v>
      </c>
      <c r="M353" s="85">
        <v>245702943.49829999</v>
      </c>
      <c r="N353" s="75">
        <f t="shared" si="91"/>
        <v>408819321.52380002</v>
      </c>
      <c r="O353" s="74"/>
      <c r="P353" s="179"/>
      <c r="Q353" s="78">
        <v>23</v>
      </c>
      <c r="R353" s="189"/>
      <c r="S353" s="70" t="s">
        <v>826</v>
      </c>
      <c r="T353" s="70">
        <v>10802064.01</v>
      </c>
      <c r="U353" s="70"/>
      <c r="V353" s="70">
        <v>112675973.45</v>
      </c>
      <c r="W353" s="70">
        <v>22869891.120000001</v>
      </c>
      <c r="X353" s="70">
        <v>5809631.2300000004</v>
      </c>
      <c r="Y353" s="70">
        <v>4390437.8536</v>
      </c>
      <c r="Z353" s="70">
        <v>0</v>
      </c>
      <c r="AA353" s="70">
        <f t="shared" si="92"/>
        <v>4390437.8536</v>
      </c>
      <c r="AB353" s="70">
        <v>213027233.09029999</v>
      </c>
      <c r="AC353" s="75">
        <f t="shared" si="87"/>
        <v>369575230.75389999</v>
      </c>
    </row>
    <row r="354" spans="1:29" ht="24.95" customHeight="1">
      <c r="A354" s="183"/>
      <c r="B354" s="178"/>
      <c r="C354" s="66">
        <v>19</v>
      </c>
      <c r="D354" s="70" t="s">
        <v>827</v>
      </c>
      <c r="E354" s="70">
        <v>11589954.217</v>
      </c>
      <c r="F354" s="70">
        <v>0</v>
      </c>
      <c r="G354" s="70">
        <v>120894430.1663</v>
      </c>
      <c r="H354" s="70">
        <v>24537994.839400001</v>
      </c>
      <c r="I354" s="70">
        <v>6333363.2626999998</v>
      </c>
      <c r="J354" s="70">
        <v>4710671.3766999999</v>
      </c>
      <c r="K354" s="70">
        <v>0</v>
      </c>
      <c r="L354" s="70">
        <f t="shared" si="90"/>
        <v>4710671.3766999999</v>
      </c>
      <c r="M354" s="85">
        <v>237015374.2498</v>
      </c>
      <c r="N354" s="75">
        <f t="shared" si="91"/>
        <v>405081788.11189997</v>
      </c>
      <c r="O354" s="74"/>
      <c r="P354" s="66"/>
      <c r="Q354" s="191" t="s">
        <v>828</v>
      </c>
      <c r="R354" s="192"/>
      <c r="S354" s="71"/>
      <c r="T354" s="71">
        <f t="shared" ref="T354:Z354" si="93">SUM(T331:T353)</f>
        <v>285413802.69</v>
      </c>
      <c r="U354" s="71">
        <f t="shared" si="93"/>
        <v>0</v>
      </c>
      <c r="V354" s="71">
        <f t="shared" si="93"/>
        <v>2977141962.1700001</v>
      </c>
      <c r="W354" s="71">
        <f t="shared" si="93"/>
        <v>604271793.21999991</v>
      </c>
      <c r="X354" s="71">
        <f t="shared" si="93"/>
        <v>147121223.24999997</v>
      </c>
      <c r="Y354" s="71">
        <f t="shared" si="93"/>
        <v>116004826.75570002</v>
      </c>
      <c r="Z354" s="71">
        <f t="shared" si="93"/>
        <v>0</v>
      </c>
      <c r="AA354" s="71">
        <f t="shared" si="92"/>
        <v>116004826.75570002</v>
      </c>
      <c r="AB354" s="71">
        <f>SUM(AB331:AB353)</f>
        <v>5390605200.7816</v>
      </c>
      <c r="AC354" s="71">
        <f>SUM(AC331:AC353)</f>
        <v>9520558808.8673019</v>
      </c>
    </row>
    <row r="355" spans="1:29" ht="24.95" customHeight="1">
      <c r="A355" s="183"/>
      <c r="B355" s="178"/>
      <c r="C355" s="66">
        <v>20</v>
      </c>
      <c r="D355" s="70" t="s">
        <v>829</v>
      </c>
      <c r="E355" s="70">
        <v>11690168.903999999</v>
      </c>
      <c r="F355" s="70">
        <v>0</v>
      </c>
      <c r="G355" s="70">
        <v>121939766.2617</v>
      </c>
      <c r="H355" s="70">
        <v>24750167.159400001</v>
      </c>
      <c r="I355" s="70">
        <v>6420670.4573999997</v>
      </c>
      <c r="J355" s="70">
        <v>4751403.0697999997</v>
      </c>
      <c r="K355" s="70">
        <v>0</v>
      </c>
      <c r="L355" s="70">
        <f t="shared" si="90"/>
        <v>4751403.0697999997</v>
      </c>
      <c r="M355" s="85">
        <v>240190701.81709999</v>
      </c>
      <c r="N355" s="75">
        <f t="shared" si="91"/>
        <v>409742877.66939998</v>
      </c>
      <c r="O355" s="74"/>
      <c r="P355" s="177">
        <v>34</v>
      </c>
      <c r="Q355" s="78">
        <v>1</v>
      </c>
      <c r="R355" s="177" t="s">
        <v>119</v>
      </c>
      <c r="S355" s="70" t="s">
        <v>830</v>
      </c>
      <c r="T355" s="70">
        <v>10721831.5</v>
      </c>
      <c r="U355" s="70"/>
      <c r="V355" s="70">
        <v>111839070.76000001</v>
      </c>
      <c r="W355" s="70">
        <v>22700024.620000001</v>
      </c>
      <c r="X355" s="70">
        <v>5423840.4900000002</v>
      </c>
      <c r="Y355" s="70">
        <v>4357827.8086000001</v>
      </c>
      <c r="Z355" s="70">
        <v>4357827.8086000001</v>
      </c>
      <c r="AA355" s="70">
        <f t="shared" si="92"/>
        <v>0</v>
      </c>
      <c r="AB355" s="70">
        <v>194252676.6198</v>
      </c>
      <c r="AC355" s="75">
        <f t="shared" si="87"/>
        <v>344937443.98979998</v>
      </c>
    </row>
    <row r="356" spans="1:29" ht="24.95" customHeight="1">
      <c r="A356" s="183"/>
      <c r="B356" s="178"/>
      <c r="C356" s="66">
        <v>21</v>
      </c>
      <c r="D356" s="70" t="s">
        <v>831</v>
      </c>
      <c r="E356" s="70">
        <v>10951344.255799999</v>
      </c>
      <c r="F356" s="70">
        <v>0</v>
      </c>
      <c r="G356" s="70">
        <v>114233110.7255</v>
      </c>
      <c r="H356" s="70">
        <v>23185943.948199999</v>
      </c>
      <c r="I356" s="70">
        <v>6185754.8035000004</v>
      </c>
      <c r="J356" s="70">
        <v>4451111.9678999996</v>
      </c>
      <c r="K356" s="70">
        <v>0</v>
      </c>
      <c r="L356" s="70">
        <f t="shared" si="90"/>
        <v>4451111.9678999996</v>
      </c>
      <c r="M356" s="85">
        <v>231646913.94029999</v>
      </c>
      <c r="N356" s="75">
        <f t="shared" si="91"/>
        <v>390654179.64119995</v>
      </c>
      <c r="O356" s="74"/>
      <c r="P356" s="178"/>
      <c r="Q356" s="78">
        <v>2</v>
      </c>
      <c r="R356" s="178"/>
      <c r="S356" s="70" t="s">
        <v>832</v>
      </c>
      <c r="T356" s="70">
        <v>18347522.809999999</v>
      </c>
      <c r="U356" s="70"/>
      <c r="V356" s="70">
        <v>191382405.31999999</v>
      </c>
      <c r="W356" s="70">
        <v>38844969.68</v>
      </c>
      <c r="X356" s="70">
        <v>6989953.4100000001</v>
      </c>
      <c r="Y356" s="70">
        <v>7457246.9304</v>
      </c>
      <c r="Z356" s="70">
        <v>7457246.9304</v>
      </c>
      <c r="AA356" s="70">
        <f t="shared" si="92"/>
        <v>0</v>
      </c>
      <c r="AB356" s="70">
        <v>251211573.68040001</v>
      </c>
      <c r="AC356" s="75">
        <f t="shared" si="87"/>
        <v>506776424.90040004</v>
      </c>
    </row>
    <row r="357" spans="1:29" ht="24.95" customHeight="1">
      <c r="A357" s="183"/>
      <c r="B357" s="178"/>
      <c r="C357" s="66">
        <v>22</v>
      </c>
      <c r="D357" s="70" t="s">
        <v>833</v>
      </c>
      <c r="E357" s="70">
        <v>10045220.382099999</v>
      </c>
      <c r="F357" s="70">
        <v>0</v>
      </c>
      <c r="G357" s="70">
        <v>104781362.4848</v>
      </c>
      <c r="H357" s="70">
        <v>21267518.515000001</v>
      </c>
      <c r="I357" s="70">
        <v>5762323.8937999997</v>
      </c>
      <c r="J357" s="70">
        <v>4082823.0414</v>
      </c>
      <c r="K357" s="70">
        <v>0</v>
      </c>
      <c r="L357" s="70">
        <f t="shared" si="90"/>
        <v>4082823.0414</v>
      </c>
      <c r="M357" s="85">
        <v>216246902.01440001</v>
      </c>
      <c r="N357" s="75">
        <f t="shared" si="91"/>
        <v>362186150.33149999</v>
      </c>
      <c r="O357" s="74"/>
      <c r="P357" s="178"/>
      <c r="Q357" s="78">
        <v>3</v>
      </c>
      <c r="R357" s="178"/>
      <c r="S357" s="70" t="s">
        <v>834</v>
      </c>
      <c r="T357" s="70">
        <v>12601373.210000001</v>
      </c>
      <c r="U357" s="70"/>
      <c r="V357" s="70">
        <v>131444508.36</v>
      </c>
      <c r="W357" s="70">
        <v>26679348.780000001</v>
      </c>
      <c r="X357" s="70">
        <v>6029548.5899999999</v>
      </c>
      <c r="Y357" s="70">
        <v>5121756.9134</v>
      </c>
      <c r="Z357" s="70">
        <v>5121756.9134</v>
      </c>
      <c r="AA357" s="70">
        <f t="shared" si="92"/>
        <v>0</v>
      </c>
      <c r="AB357" s="70">
        <v>216282036.794</v>
      </c>
      <c r="AC357" s="75">
        <f t="shared" si="87"/>
        <v>393036815.73399997</v>
      </c>
    </row>
    <row r="358" spans="1:29" ht="24.95" customHeight="1">
      <c r="A358" s="183"/>
      <c r="B358" s="178"/>
      <c r="C358" s="66">
        <v>23</v>
      </c>
      <c r="D358" s="70" t="s">
        <v>835</v>
      </c>
      <c r="E358" s="70">
        <v>12327680.272299999</v>
      </c>
      <c r="F358" s="70">
        <v>0</v>
      </c>
      <c r="G358" s="70">
        <v>128589626.3176</v>
      </c>
      <c r="H358" s="70">
        <v>26099892.134399999</v>
      </c>
      <c r="I358" s="70">
        <v>6578662.8509</v>
      </c>
      <c r="J358" s="70">
        <v>5010515.9616999999</v>
      </c>
      <c r="K358" s="70">
        <v>0</v>
      </c>
      <c r="L358" s="70">
        <f t="shared" si="90"/>
        <v>5010515.9616999999</v>
      </c>
      <c r="M358" s="85">
        <v>245936821.6388</v>
      </c>
      <c r="N358" s="75">
        <f t="shared" si="91"/>
        <v>424543199.17569995</v>
      </c>
      <c r="O358" s="74"/>
      <c r="P358" s="178"/>
      <c r="Q358" s="78">
        <v>4</v>
      </c>
      <c r="R358" s="178"/>
      <c r="S358" s="70" t="s">
        <v>836</v>
      </c>
      <c r="T358" s="70">
        <v>15046114.98</v>
      </c>
      <c r="U358" s="70"/>
      <c r="V358" s="70">
        <v>156945529.06</v>
      </c>
      <c r="W358" s="70">
        <v>31855301.989999998</v>
      </c>
      <c r="X358" s="70">
        <v>5434879.04</v>
      </c>
      <c r="Y358" s="70">
        <v>6115408.3798000002</v>
      </c>
      <c r="Z358" s="70">
        <v>6115408.3798000002</v>
      </c>
      <c r="AA358" s="70">
        <f t="shared" si="92"/>
        <v>0</v>
      </c>
      <c r="AB358" s="70">
        <v>194654144.0864</v>
      </c>
      <c r="AC358" s="75">
        <f t="shared" si="87"/>
        <v>403935969.15639997</v>
      </c>
    </row>
    <row r="359" spans="1:29" ht="24.95" customHeight="1">
      <c r="A359" s="183"/>
      <c r="B359" s="178"/>
      <c r="C359" s="66">
        <v>24</v>
      </c>
      <c r="D359" s="70" t="s">
        <v>837</v>
      </c>
      <c r="E359" s="70">
        <v>9116423.8106999993</v>
      </c>
      <c r="F359" s="70">
        <v>0</v>
      </c>
      <c r="G359" s="70">
        <v>95093116.082800001</v>
      </c>
      <c r="H359" s="70">
        <v>19301090.947700001</v>
      </c>
      <c r="I359" s="70">
        <v>5112782.4956</v>
      </c>
      <c r="J359" s="70">
        <v>3705318.9251999999</v>
      </c>
      <c r="K359" s="70">
        <v>0</v>
      </c>
      <c r="L359" s="70">
        <f t="shared" si="90"/>
        <v>3705318.9251999999</v>
      </c>
      <c r="M359" s="85">
        <v>192623342.5397</v>
      </c>
      <c r="N359" s="75">
        <f t="shared" si="91"/>
        <v>324952074.8017</v>
      </c>
      <c r="O359" s="74"/>
      <c r="P359" s="178"/>
      <c r="Q359" s="78">
        <v>5</v>
      </c>
      <c r="R359" s="178"/>
      <c r="S359" s="70" t="s">
        <v>838</v>
      </c>
      <c r="T359" s="70">
        <v>16255002.109999999</v>
      </c>
      <c r="U359" s="70"/>
      <c r="V359" s="70">
        <v>169555390.87</v>
      </c>
      <c r="W359" s="70">
        <v>34414731.100000001</v>
      </c>
      <c r="X359" s="70">
        <v>7449644.6600000001</v>
      </c>
      <c r="Y359" s="70">
        <v>6606753.7231000001</v>
      </c>
      <c r="Z359" s="70">
        <v>6606753.7231000001</v>
      </c>
      <c r="AA359" s="70">
        <f t="shared" si="92"/>
        <v>0</v>
      </c>
      <c r="AB359" s="70">
        <v>267930359.5519</v>
      </c>
      <c r="AC359" s="75">
        <f t="shared" si="87"/>
        <v>495605128.29190004</v>
      </c>
    </row>
    <row r="360" spans="1:29" ht="24.95" customHeight="1">
      <c r="A360" s="183"/>
      <c r="B360" s="178"/>
      <c r="C360" s="66">
        <v>25</v>
      </c>
      <c r="D360" s="70" t="s">
        <v>839</v>
      </c>
      <c r="E360" s="70">
        <v>11442200.5063</v>
      </c>
      <c r="F360" s="70">
        <v>0</v>
      </c>
      <c r="G360" s="70">
        <v>119353216.0837</v>
      </c>
      <c r="H360" s="70">
        <v>24225173.949700002</v>
      </c>
      <c r="I360" s="70">
        <v>5793450.0253999997</v>
      </c>
      <c r="J360" s="70">
        <v>4650617.7161999997</v>
      </c>
      <c r="K360" s="70">
        <v>0</v>
      </c>
      <c r="L360" s="70">
        <f t="shared" si="90"/>
        <v>4650617.7161999997</v>
      </c>
      <c r="M360" s="85">
        <v>217378946.9057</v>
      </c>
      <c r="N360" s="75">
        <f t="shared" si="91"/>
        <v>382843605.18700004</v>
      </c>
      <c r="O360" s="74"/>
      <c r="P360" s="178"/>
      <c r="Q360" s="78">
        <v>6</v>
      </c>
      <c r="R360" s="178"/>
      <c r="S360" s="70" t="s">
        <v>840</v>
      </c>
      <c r="T360" s="70">
        <v>11260660.369999999</v>
      </c>
      <c r="U360" s="70"/>
      <c r="V360" s="70">
        <v>117459576.90000001</v>
      </c>
      <c r="W360" s="70">
        <v>23840821.190000001</v>
      </c>
      <c r="X360" s="70">
        <v>5387041.0599999996</v>
      </c>
      <c r="Y360" s="70">
        <v>4576831.7555999998</v>
      </c>
      <c r="Z360" s="70">
        <v>4576831.7555999998</v>
      </c>
      <c r="AA360" s="70">
        <f t="shared" si="92"/>
        <v>0</v>
      </c>
      <c r="AB360" s="70">
        <v>192914296.12349999</v>
      </c>
      <c r="AC360" s="75">
        <f t="shared" si="87"/>
        <v>350862395.64349997</v>
      </c>
    </row>
    <row r="361" spans="1:29" ht="24.95" customHeight="1">
      <c r="A361" s="183"/>
      <c r="B361" s="178"/>
      <c r="C361" s="66">
        <v>26</v>
      </c>
      <c r="D361" s="70" t="s">
        <v>841</v>
      </c>
      <c r="E361" s="70">
        <v>10406623.3687</v>
      </c>
      <c r="F361" s="70">
        <v>0</v>
      </c>
      <c r="G361" s="70">
        <v>108551145.11839999</v>
      </c>
      <c r="H361" s="70">
        <v>22032672.928399999</v>
      </c>
      <c r="I361" s="70">
        <v>5805104.6759000001</v>
      </c>
      <c r="J361" s="70">
        <v>4229713.2426000005</v>
      </c>
      <c r="K361" s="70">
        <v>0</v>
      </c>
      <c r="L361" s="70">
        <f t="shared" si="90"/>
        <v>4229713.2426000005</v>
      </c>
      <c r="M361" s="85">
        <v>217802821.85879999</v>
      </c>
      <c r="N361" s="75">
        <f t="shared" si="91"/>
        <v>368828081.19279999</v>
      </c>
      <c r="O361" s="74"/>
      <c r="P361" s="178"/>
      <c r="Q361" s="78">
        <v>7</v>
      </c>
      <c r="R361" s="178"/>
      <c r="S361" s="70" t="s">
        <v>842</v>
      </c>
      <c r="T361" s="70">
        <v>10830819.619999999</v>
      </c>
      <c r="U361" s="70"/>
      <c r="V361" s="70">
        <v>112975922.27</v>
      </c>
      <c r="W361" s="70">
        <v>22930771.859999999</v>
      </c>
      <c r="X361" s="70">
        <v>6103147.4500000002</v>
      </c>
      <c r="Y361" s="70">
        <v>4402125.4159000004</v>
      </c>
      <c r="Z361" s="70">
        <v>4402125.4159000004</v>
      </c>
      <c r="AA361" s="70">
        <f t="shared" si="92"/>
        <v>0</v>
      </c>
      <c r="AB361" s="70">
        <v>218958797.78650001</v>
      </c>
      <c r="AC361" s="75">
        <f t="shared" si="87"/>
        <v>371799458.98650002</v>
      </c>
    </row>
    <row r="362" spans="1:29" ht="24.95" customHeight="1">
      <c r="A362" s="183"/>
      <c r="B362" s="179"/>
      <c r="C362" s="66">
        <v>27</v>
      </c>
      <c r="D362" s="70" t="s">
        <v>843</v>
      </c>
      <c r="E362" s="70">
        <v>9643033.7182</v>
      </c>
      <c r="F362" s="70">
        <v>0</v>
      </c>
      <c r="G362" s="70">
        <v>100586166.6587</v>
      </c>
      <c r="H362" s="70">
        <v>20416017.8017</v>
      </c>
      <c r="I362" s="70">
        <v>5343051.6919999998</v>
      </c>
      <c r="J362" s="70">
        <v>3919356.5452999999</v>
      </c>
      <c r="K362" s="70">
        <v>0</v>
      </c>
      <c r="L362" s="70">
        <f t="shared" si="90"/>
        <v>3919356.5452999999</v>
      </c>
      <c r="M362" s="85">
        <v>200998140.62239999</v>
      </c>
      <c r="N362" s="75">
        <f t="shared" si="91"/>
        <v>340905767.03829998</v>
      </c>
      <c r="O362" s="74"/>
      <c r="P362" s="178"/>
      <c r="Q362" s="78">
        <v>8</v>
      </c>
      <c r="R362" s="178"/>
      <c r="S362" s="70" t="s">
        <v>844</v>
      </c>
      <c r="T362" s="70">
        <v>16810913.27</v>
      </c>
      <c r="U362" s="70"/>
      <c r="V362" s="70">
        <v>175354081.81999999</v>
      </c>
      <c r="W362" s="70">
        <v>35591693.920000002</v>
      </c>
      <c r="X362" s="70">
        <v>6821923.6399999997</v>
      </c>
      <c r="Y362" s="70">
        <v>6832700.6675000004</v>
      </c>
      <c r="Z362" s="70">
        <v>6832700.6675000004</v>
      </c>
      <c r="AA362" s="70">
        <f t="shared" si="92"/>
        <v>0</v>
      </c>
      <c r="AB362" s="70">
        <v>245100398.55770001</v>
      </c>
      <c r="AC362" s="75">
        <f t="shared" si="87"/>
        <v>479679011.20770001</v>
      </c>
    </row>
    <row r="363" spans="1:29" ht="24.95" customHeight="1">
      <c r="A363" s="66"/>
      <c r="B363" s="190" t="s">
        <v>845</v>
      </c>
      <c r="C363" s="191"/>
      <c r="D363" s="71"/>
      <c r="E363" s="71">
        <f t="shared" ref="E363:N363" si="94">SUM(E336:E362)</f>
        <v>301527694.38200003</v>
      </c>
      <c r="F363" s="71">
        <f t="shared" si="94"/>
        <v>0</v>
      </c>
      <c r="G363" s="71">
        <f t="shared" si="94"/>
        <v>3145225434.8285003</v>
      </c>
      <c r="H363" s="71">
        <f t="shared" si="94"/>
        <v>638387768.42320001</v>
      </c>
      <c r="I363" s="71">
        <f t="shared" si="94"/>
        <v>166893416.59989998</v>
      </c>
      <c r="J363" s="71">
        <f t="shared" si="94"/>
        <v>122554226.92909999</v>
      </c>
      <c r="K363" s="71">
        <f t="shared" si="94"/>
        <v>0</v>
      </c>
      <c r="L363" s="71">
        <f t="shared" si="94"/>
        <v>122554226.92909999</v>
      </c>
      <c r="M363" s="71">
        <f t="shared" si="94"/>
        <v>6250030927.7048988</v>
      </c>
      <c r="N363" s="71">
        <f t="shared" si="94"/>
        <v>10624619468.867599</v>
      </c>
      <c r="O363" s="74"/>
      <c r="P363" s="178"/>
      <c r="Q363" s="78">
        <v>9</v>
      </c>
      <c r="R363" s="178"/>
      <c r="S363" s="70" t="s">
        <v>846</v>
      </c>
      <c r="T363" s="70">
        <v>11966668.32</v>
      </c>
      <c r="U363" s="70"/>
      <c r="V363" s="70">
        <v>124823922.51000001</v>
      </c>
      <c r="W363" s="70">
        <v>25335565.600000001</v>
      </c>
      <c r="X363" s="70">
        <v>5483012.2300000004</v>
      </c>
      <c r="Y363" s="70">
        <v>4863784.6980999997</v>
      </c>
      <c r="Z363" s="70">
        <v>4863784.6980999997</v>
      </c>
      <c r="AA363" s="70">
        <f t="shared" si="92"/>
        <v>0</v>
      </c>
      <c r="AB363" s="70">
        <v>196404728.97</v>
      </c>
      <c r="AC363" s="75">
        <f t="shared" si="87"/>
        <v>364013897.63</v>
      </c>
    </row>
    <row r="364" spans="1:29" ht="24.95" customHeight="1">
      <c r="A364" s="183">
        <v>18</v>
      </c>
      <c r="B364" s="177" t="s">
        <v>847</v>
      </c>
      <c r="C364" s="66">
        <v>1</v>
      </c>
      <c r="D364" s="70" t="s">
        <v>848</v>
      </c>
      <c r="E364" s="70">
        <v>18054539.222199999</v>
      </c>
      <c r="F364" s="70">
        <v>0</v>
      </c>
      <c r="G364" s="70">
        <v>188326303.13530001</v>
      </c>
      <c r="H364" s="70">
        <v>38224671.294699997</v>
      </c>
      <c r="I364" s="70">
        <v>8492418.6896000002</v>
      </c>
      <c r="J364" s="70">
        <v>7338165.4095999999</v>
      </c>
      <c r="K364" s="70">
        <v>7413581.3312999997</v>
      </c>
      <c r="L364" s="70">
        <f>J364-K364</f>
        <v>-75415.921699999832</v>
      </c>
      <c r="M364" s="85">
        <v>272174648.06919998</v>
      </c>
      <c r="N364" s="75">
        <f t="shared" ref="N364:N386" si="95">E364+F364+G364+H364+I364+L364+M364</f>
        <v>525197164.48930001</v>
      </c>
      <c r="O364" s="74"/>
      <c r="P364" s="178"/>
      <c r="Q364" s="78">
        <v>10</v>
      </c>
      <c r="R364" s="178"/>
      <c r="S364" s="70" t="s">
        <v>849</v>
      </c>
      <c r="T364" s="70">
        <v>11048797.52</v>
      </c>
      <c r="U364" s="70"/>
      <c r="V364" s="70">
        <v>115249642.47</v>
      </c>
      <c r="W364" s="70">
        <v>23392269.84</v>
      </c>
      <c r="X364" s="70">
        <v>5547947.1200000001</v>
      </c>
      <c r="Y364" s="70">
        <v>4490721.2950999998</v>
      </c>
      <c r="Z364" s="70">
        <v>4490721.2950999998</v>
      </c>
      <c r="AA364" s="70">
        <f t="shared" si="92"/>
        <v>0</v>
      </c>
      <c r="AB364" s="70">
        <v>198766384.68349999</v>
      </c>
      <c r="AC364" s="75">
        <f t="shared" si="87"/>
        <v>354005041.63349998</v>
      </c>
    </row>
    <row r="365" spans="1:29" ht="24.95" customHeight="1">
      <c r="A365" s="183"/>
      <c r="B365" s="178"/>
      <c r="C365" s="66">
        <v>2</v>
      </c>
      <c r="D365" s="70" t="s">
        <v>850</v>
      </c>
      <c r="E365" s="70">
        <v>18358331.0284</v>
      </c>
      <c r="F365" s="70">
        <v>0</v>
      </c>
      <c r="G365" s="70">
        <v>191495145.4463</v>
      </c>
      <c r="H365" s="70">
        <v>38867852.590700001</v>
      </c>
      <c r="I365" s="70">
        <v>9979888.3864999991</v>
      </c>
      <c r="J365" s="70">
        <v>7461639.8720000004</v>
      </c>
      <c r="K365" s="70">
        <v>7538324.7675999999</v>
      </c>
      <c r="L365" s="70">
        <f t="shared" ref="L365:L386" si="96">J365-K365</f>
        <v>-76684.895599999465</v>
      </c>
      <c r="M365" s="85">
        <v>326273322.84149998</v>
      </c>
      <c r="N365" s="75">
        <f t="shared" si="95"/>
        <v>584897855.39779997</v>
      </c>
      <c r="O365" s="74"/>
      <c r="P365" s="178"/>
      <c r="Q365" s="78">
        <v>11</v>
      </c>
      <c r="R365" s="178"/>
      <c r="S365" s="70" t="s">
        <v>851</v>
      </c>
      <c r="T365" s="70">
        <v>16488319.68</v>
      </c>
      <c r="U365" s="70"/>
      <c r="V365" s="70">
        <v>171989118.71000001</v>
      </c>
      <c r="W365" s="70">
        <v>34908705.899999999</v>
      </c>
      <c r="X365" s="70">
        <v>7188929.6100000003</v>
      </c>
      <c r="Y365" s="70">
        <v>6701584.3268999998</v>
      </c>
      <c r="Z365" s="70">
        <v>6701584.3268999998</v>
      </c>
      <c r="AA365" s="70">
        <f t="shared" si="92"/>
        <v>0</v>
      </c>
      <c r="AB365" s="70">
        <v>258448258.17750001</v>
      </c>
      <c r="AC365" s="75">
        <f t="shared" si="87"/>
        <v>489023332.07750005</v>
      </c>
    </row>
    <row r="366" spans="1:29" ht="24.95" customHeight="1">
      <c r="A366" s="183"/>
      <c r="B366" s="178"/>
      <c r="C366" s="66">
        <v>3</v>
      </c>
      <c r="D366" s="70" t="s">
        <v>852</v>
      </c>
      <c r="E366" s="70">
        <v>15192984.9845</v>
      </c>
      <c r="F366" s="70">
        <v>0</v>
      </c>
      <c r="G366" s="70">
        <v>158477525.26370001</v>
      </c>
      <c r="H366" s="70">
        <v>32166251.9252</v>
      </c>
      <c r="I366" s="70">
        <v>8929647.7813000008</v>
      </c>
      <c r="J366" s="70">
        <v>6175102.8651999999</v>
      </c>
      <c r="K366" s="70">
        <v>6238565.7401999999</v>
      </c>
      <c r="L366" s="70">
        <f t="shared" si="96"/>
        <v>-63462.875</v>
      </c>
      <c r="M366" s="85">
        <v>288076494.32849997</v>
      </c>
      <c r="N366" s="75">
        <f t="shared" si="95"/>
        <v>502779441.40819997</v>
      </c>
      <c r="O366" s="74"/>
      <c r="P366" s="178"/>
      <c r="Q366" s="78">
        <v>12</v>
      </c>
      <c r="R366" s="178"/>
      <c r="S366" s="70" t="s">
        <v>853</v>
      </c>
      <c r="T366" s="70">
        <v>13051038.09</v>
      </c>
      <c r="U366" s="70"/>
      <c r="V366" s="70">
        <v>136134947.81999999</v>
      </c>
      <c r="W366" s="70">
        <v>27631369.309999999</v>
      </c>
      <c r="X366" s="70">
        <v>6045438.9699999997</v>
      </c>
      <c r="Y366" s="70">
        <v>5304520.6491999999</v>
      </c>
      <c r="Z366" s="70">
        <v>5304520.6491999999</v>
      </c>
      <c r="AA366" s="70">
        <f t="shared" si="92"/>
        <v>0</v>
      </c>
      <c r="AB366" s="70">
        <v>216859963.2168</v>
      </c>
      <c r="AC366" s="75">
        <f t="shared" si="87"/>
        <v>399722757.40680003</v>
      </c>
    </row>
    <row r="367" spans="1:29" ht="24.95" customHeight="1">
      <c r="A367" s="183"/>
      <c r="B367" s="178"/>
      <c r="C367" s="66">
        <v>4</v>
      </c>
      <c r="D367" s="70" t="s">
        <v>854</v>
      </c>
      <c r="E367" s="70">
        <v>11698381.086100001</v>
      </c>
      <c r="F367" s="70">
        <v>0</v>
      </c>
      <c r="G367" s="70">
        <v>122025427.2626</v>
      </c>
      <c r="H367" s="70">
        <v>24767553.809799999</v>
      </c>
      <c r="I367" s="70">
        <v>6676257.0427999999</v>
      </c>
      <c r="J367" s="70">
        <v>4754740.8647999996</v>
      </c>
      <c r="K367" s="70">
        <v>4803606.3705000002</v>
      </c>
      <c r="L367" s="70">
        <f t="shared" si="96"/>
        <v>-48865.505700000562</v>
      </c>
      <c r="M367" s="85">
        <v>206121579.24450001</v>
      </c>
      <c r="N367" s="75">
        <f t="shared" si="95"/>
        <v>371240332.94010007</v>
      </c>
      <c r="O367" s="74"/>
      <c r="P367" s="178"/>
      <c r="Q367" s="78">
        <v>13</v>
      </c>
      <c r="R367" s="178"/>
      <c r="S367" s="70" t="s">
        <v>855</v>
      </c>
      <c r="T367" s="70">
        <v>11217193.109999999</v>
      </c>
      <c r="U367" s="70"/>
      <c r="V367" s="70">
        <v>117006171.40000001</v>
      </c>
      <c r="W367" s="70">
        <v>23748793.27</v>
      </c>
      <c r="X367" s="70">
        <v>5749208.04</v>
      </c>
      <c r="Y367" s="70">
        <v>4559164.7281999998</v>
      </c>
      <c r="Z367" s="70">
        <v>4559164.7281999998</v>
      </c>
      <c r="AA367" s="70">
        <f t="shared" si="92"/>
        <v>0</v>
      </c>
      <c r="AB367" s="70">
        <v>206086163.60969999</v>
      </c>
      <c r="AC367" s="75">
        <f t="shared" si="87"/>
        <v>363807529.42970002</v>
      </c>
    </row>
    <row r="368" spans="1:29" ht="24.95" customHeight="1">
      <c r="A368" s="183"/>
      <c r="B368" s="178"/>
      <c r="C368" s="66">
        <v>5</v>
      </c>
      <c r="D368" s="70" t="s">
        <v>856</v>
      </c>
      <c r="E368" s="70">
        <v>19231610.399</v>
      </c>
      <c r="F368" s="70">
        <v>0</v>
      </c>
      <c r="G368" s="70">
        <v>200604293.75709999</v>
      </c>
      <c r="H368" s="70">
        <v>40716740.367700003</v>
      </c>
      <c r="I368" s="70">
        <v>10775420.968599999</v>
      </c>
      <c r="J368" s="70">
        <v>7816579.3356999997</v>
      </c>
      <c r="K368" s="70">
        <v>7896912.0213000001</v>
      </c>
      <c r="L368" s="70">
        <f t="shared" si="96"/>
        <v>-80332.685600000434</v>
      </c>
      <c r="M368" s="85">
        <v>355206522.97350001</v>
      </c>
      <c r="N368" s="75">
        <f t="shared" si="95"/>
        <v>626454255.78030002</v>
      </c>
      <c r="O368" s="74"/>
      <c r="P368" s="178"/>
      <c r="Q368" s="78">
        <v>14</v>
      </c>
      <c r="R368" s="178"/>
      <c r="S368" s="70" t="s">
        <v>857</v>
      </c>
      <c r="T368" s="70">
        <v>16067036.039999999</v>
      </c>
      <c r="U368" s="70"/>
      <c r="V368" s="70">
        <v>167594723</v>
      </c>
      <c r="W368" s="70">
        <v>34016773.5</v>
      </c>
      <c r="X368" s="70">
        <v>7408532.4900000002</v>
      </c>
      <c r="Y368" s="70">
        <v>6530355.9749999996</v>
      </c>
      <c r="Z368" s="70">
        <v>6530355.9749999996</v>
      </c>
      <c r="AA368" s="70">
        <f t="shared" si="92"/>
        <v>0</v>
      </c>
      <c r="AB368" s="70">
        <v>266435126.65000001</v>
      </c>
      <c r="AC368" s="75">
        <f t="shared" si="87"/>
        <v>491522191.68000001</v>
      </c>
    </row>
    <row r="369" spans="1:29" ht="24.95" customHeight="1">
      <c r="A369" s="183"/>
      <c r="B369" s="178"/>
      <c r="C369" s="66">
        <v>6</v>
      </c>
      <c r="D369" s="70" t="s">
        <v>858</v>
      </c>
      <c r="E369" s="70">
        <v>12883444.1801</v>
      </c>
      <c r="F369" s="70">
        <v>0</v>
      </c>
      <c r="G369" s="70">
        <v>134386781.3087</v>
      </c>
      <c r="H369" s="70">
        <v>27276543.193100002</v>
      </c>
      <c r="I369" s="70">
        <v>7742349.5129000004</v>
      </c>
      <c r="J369" s="70">
        <v>5236403.0604999997</v>
      </c>
      <c r="K369" s="70">
        <v>5290218.7134999996</v>
      </c>
      <c r="L369" s="70">
        <f t="shared" si="96"/>
        <v>-53815.652999999933</v>
      </c>
      <c r="M369" s="85">
        <v>244894933.71250001</v>
      </c>
      <c r="N369" s="75">
        <f t="shared" si="95"/>
        <v>427130236.2543</v>
      </c>
      <c r="O369" s="74"/>
      <c r="P369" s="178"/>
      <c r="Q369" s="78">
        <v>15</v>
      </c>
      <c r="R369" s="178"/>
      <c r="S369" s="70" t="s">
        <v>859</v>
      </c>
      <c r="T369" s="70">
        <v>10651051.800000001</v>
      </c>
      <c r="U369" s="70"/>
      <c r="V369" s="70">
        <v>111100770.02</v>
      </c>
      <c r="W369" s="70">
        <v>22550171.399999999</v>
      </c>
      <c r="X369" s="70">
        <v>5455788.0899999999</v>
      </c>
      <c r="Y369" s="70">
        <v>4329059.7918999996</v>
      </c>
      <c r="Z369" s="70">
        <v>4329059.7918999996</v>
      </c>
      <c r="AA369" s="70">
        <f t="shared" si="92"/>
        <v>0</v>
      </c>
      <c r="AB369" s="70">
        <v>195414598.15979999</v>
      </c>
      <c r="AC369" s="75">
        <f t="shared" si="87"/>
        <v>345172379.4698</v>
      </c>
    </row>
    <row r="370" spans="1:29" ht="24.95" customHeight="1">
      <c r="A370" s="183"/>
      <c r="B370" s="178"/>
      <c r="C370" s="66">
        <v>7</v>
      </c>
      <c r="D370" s="70" t="s">
        <v>860</v>
      </c>
      <c r="E370" s="70">
        <v>11234337.984999999</v>
      </c>
      <c r="F370" s="70">
        <v>0</v>
      </c>
      <c r="G370" s="70">
        <v>117185008.9791</v>
      </c>
      <c r="H370" s="70">
        <v>23785092.014899999</v>
      </c>
      <c r="I370" s="70">
        <v>7247553.1221000003</v>
      </c>
      <c r="J370" s="70">
        <v>4566133.1693000002</v>
      </c>
      <c r="K370" s="70">
        <v>4613060.3129000003</v>
      </c>
      <c r="L370" s="70">
        <f t="shared" si="96"/>
        <v>-46927.143600000069</v>
      </c>
      <c r="M370" s="85">
        <v>226899387.93259999</v>
      </c>
      <c r="N370" s="75">
        <f t="shared" si="95"/>
        <v>386304452.8901</v>
      </c>
      <c r="O370" s="74"/>
      <c r="P370" s="179"/>
      <c r="Q370" s="78">
        <v>16</v>
      </c>
      <c r="R370" s="179"/>
      <c r="S370" s="70" t="s">
        <v>861</v>
      </c>
      <c r="T370" s="70">
        <v>11554257.560000001</v>
      </c>
      <c r="U370" s="70"/>
      <c r="V370" s="70">
        <v>120522079.56</v>
      </c>
      <c r="W370" s="70">
        <v>24462418.68</v>
      </c>
      <c r="X370" s="70">
        <v>5942934.5199999996</v>
      </c>
      <c r="Y370" s="70">
        <v>4696162.6803000001</v>
      </c>
      <c r="Z370" s="70">
        <v>4696162.6803000001</v>
      </c>
      <c r="AA370" s="70">
        <f t="shared" si="92"/>
        <v>0</v>
      </c>
      <c r="AB370" s="70">
        <v>213131917.6489</v>
      </c>
      <c r="AC370" s="75">
        <f t="shared" si="87"/>
        <v>375613607.96890002</v>
      </c>
    </row>
    <row r="371" spans="1:29" ht="24.95" customHeight="1">
      <c r="A371" s="183"/>
      <c r="B371" s="178"/>
      <c r="C371" s="66">
        <v>8</v>
      </c>
      <c r="D371" s="70" t="s">
        <v>862</v>
      </c>
      <c r="E371" s="70">
        <v>14969018.7721</v>
      </c>
      <c r="F371" s="70">
        <v>0</v>
      </c>
      <c r="G371" s="70">
        <v>156141341.09040001</v>
      </c>
      <c r="H371" s="70">
        <v>31692075.611900002</v>
      </c>
      <c r="I371" s="70">
        <v>8830916.9754000008</v>
      </c>
      <c r="J371" s="70">
        <v>6084073.0642999997</v>
      </c>
      <c r="K371" s="70">
        <v>6146600.4061000003</v>
      </c>
      <c r="L371" s="70">
        <f t="shared" si="96"/>
        <v>-62527.341800000519</v>
      </c>
      <c r="M371" s="85">
        <v>284485694.61540002</v>
      </c>
      <c r="N371" s="75">
        <f t="shared" si="95"/>
        <v>496056519.7234</v>
      </c>
      <c r="O371" s="74"/>
      <c r="P371" s="66"/>
      <c r="Q371" s="191" t="s">
        <v>863</v>
      </c>
      <c r="R371" s="192"/>
      <c r="S371" s="71"/>
      <c r="T371" s="71">
        <f t="shared" ref="T371:Z371" si="97">SUM(T355:T370)</f>
        <v>213918599.99000004</v>
      </c>
      <c r="U371" s="71">
        <f t="shared" si="97"/>
        <v>0</v>
      </c>
      <c r="V371" s="71">
        <f t="shared" si="97"/>
        <v>2231377860.8499999</v>
      </c>
      <c r="W371" s="71">
        <f t="shared" si="97"/>
        <v>452903730.63999993</v>
      </c>
      <c r="X371" s="71">
        <f t="shared" si="97"/>
        <v>98461769.410000011</v>
      </c>
      <c r="Y371" s="71">
        <f t="shared" si="97"/>
        <v>86946005.738999993</v>
      </c>
      <c r="Z371" s="71">
        <f t="shared" si="97"/>
        <v>86946005.738999993</v>
      </c>
      <c r="AA371" s="71">
        <f t="shared" si="92"/>
        <v>0</v>
      </c>
      <c r="AB371" s="71">
        <f>SUM(AB355:AB370)</f>
        <v>3532851424.3164001</v>
      </c>
      <c r="AC371" s="71">
        <f>SUM(AC355:AC370)</f>
        <v>6529513385.2063999</v>
      </c>
    </row>
    <row r="372" spans="1:29" ht="24.95" customHeight="1">
      <c r="A372" s="183"/>
      <c r="B372" s="178"/>
      <c r="C372" s="66">
        <v>9</v>
      </c>
      <c r="D372" s="70" t="s">
        <v>864</v>
      </c>
      <c r="E372" s="70">
        <v>16512384.8171</v>
      </c>
      <c r="F372" s="70">
        <v>0</v>
      </c>
      <c r="G372" s="70">
        <v>172240141.40059999</v>
      </c>
      <c r="H372" s="70">
        <v>34959656.081900001</v>
      </c>
      <c r="I372" s="70">
        <v>8388592.1829000004</v>
      </c>
      <c r="J372" s="70">
        <v>6711365.4689999996</v>
      </c>
      <c r="K372" s="70">
        <v>6780339.6314000003</v>
      </c>
      <c r="L372" s="70">
        <f t="shared" si="96"/>
        <v>-68974.162400000729</v>
      </c>
      <c r="M372" s="85">
        <v>268398519.76980001</v>
      </c>
      <c r="N372" s="75">
        <f t="shared" si="95"/>
        <v>500430320.08990002</v>
      </c>
      <c r="O372" s="74"/>
      <c r="P372" s="177">
        <v>35</v>
      </c>
      <c r="Q372" s="78">
        <v>1</v>
      </c>
      <c r="R372" s="67"/>
      <c r="S372" s="70" t="s">
        <v>865</v>
      </c>
      <c r="T372" s="70">
        <v>11940638.109999999</v>
      </c>
      <c r="U372" s="70"/>
      <c r="V372" s="70">
        <v>124552402.26000001</v>
      </c>
      <c r="W372" s="70">
        <v>25280455.02</v>
      </c>
      <c r="X372" s="70">
        <v>6085042.0800000001</v>
      </c>
      <c r="Y372" s="70">
        <v>4853204.8606000002</v>
      </c>
      <c r="Z372" s="70">
        <v>0</v>
      </c>
      <c r="AA372" s="70">
        <f t="shared" si="92"/>
        <v>4853204.8606000002</v>
      </c>
      <c r="AB372" s="70">
        <v>221626651.87869999</v>
      </c>
      <c r="AC372" s="75">
        <f t="shared" si="87"/>
        <v>394338394.20930004</v>
      </c>
    </row>
    <row r="373" spans="1:29" ht="24.95" customHeight="1">
      <c r="A373" s="183"/>
      <c r="B373" s="178"/>
      <c r="C373" s="66">
        <v>10</v>
      </c>
      <c r="D373" s="70" t="s">
        <v>866</v>
      </c>
      <c r="E373" s="70">
        <v>15599264.679099999</v>
      </c>
      <c r="F373" s="70">
        <v>0</v>
      </c>
      <c r="G373" s="70">
        <v>162715415.3583</v>
      </c>
      <c r="H373" s="70">
        <v>33026418.312800001</v>
      </c>
      <c r="I373" s="70">
        <v>9844396.6564000007</v>
      </c>
      <c r="J373" s="70">
        <v>6340232.9506000001</v>
      </c>
      <c r="K373" s="70">
        <v>6405392.9033000004</v>
      </c>
      <c r="L373" s="70">
        <f t="shared" si="96"/>
        <v>-65159.952700000256</v>
      </c>
      <c r="M373" s="85">
        <v>321345543.10000002</v>
      </c>
      <c r="N373" s="75">
        <f t="shared" si="95"/>
        <v>542465878.15390003</v>
      </c>
      <c r="O373" s="74"/>
      <c r="P373" s="178"/>
      <c r="Q373" s="78">
        <v>2</v>
      </c>
      <c r="R373" s="177" t="s">
        <v>120</v>
      </c>
      <c r="S373" s="70" t="s">
        <v>867</v>
      </c>
      <c r="T373" s="70">
        <v>13213498.23</v>
      </c>
      <c r="U373" s="70"/>
      <c r="V373" s="70">
        <v>137829564.19999999</v>
      </c>
      <c r="W373" s="70">
        <v>27975326.329999998</v>
      </c>
      <c r="X373" s="70">
        <v>5691530.7699999996</v>
      </c>
      <c r="Y373" s="70">
        <v>5370551.6698000003</v>
      </c>
      <c r="Z373" s="70">
        <v>0</v>
      </c>
      <c r="AA373" s="70">
        <f t="shared" si="92"/>
        <v>5370551.6698000003</v>
      </c>
      <c r="AB373" s="70">
        <v>207314803.51640001</v>
      </c>
      <c r="AC373" s="75">
        <f t="shared" si="87"/>
        <v>397395274.71619999</v>
      </c>
    </row>
    <row r="374" spans="1:29" ht="24.95" customHeight="1">
      <c r="A374" s="183"/>
      <c r="B374" s="178"/>
      <c r="C374" s="66">
        <v>11</v>
      </c>
      <c r="D374" s="70" t="s">
        <v>868</v>
      </c>
      <c r="E374" s="70">
        <v>16654655.205600001</v>
      </c>
      <c r="F374" s="70">
        <v>0</v>
      </c>
      <c r="G374" s="70">
        <v>173724159.13010001</v>
      </c>
      <c r="H374" s="70">
        <v>35260867.803000003</v>
      </c>
      <c r="I374" s="70">
        <v>10418092.977600001</v>
      </c>
      <c r="J374" s="70">
        <v>6769190.4642000003</v>
      </c>
      <c r="K374" s="70">
        <v>6838758.9066000003</v>
      </c>
      <c r="L374" s="70">
        <f t="shared" si="96"/>
        <v>-69568.442400000058</v>
      </c>
      <c r="M374" s="85">
        <v>342210647.62099999</v>
      </c>
      <c r="N374" s="75">
        <f t="shared" si="95"/>
        <v>578198854.29489994</v>
      </c>
      <c r="O374" s="74"/>
      <c r="P374" s="178"/>
      <c r="Q374" s="78">
        <v>3</v>
      </c>
      <c r="R374" s="178"/>
      <c r="S374" s="70" t="s">
        <v>869</v>
      </c>
      <c r="T374" s="70">
        <v>11063528.65</v>
      </c>
      <c r="U374" s="70"/>
      <c r="V374" s="70">
        <v>115403302.47</v>
      </c>
      <c r="W374" s="70">
        <v>23423458.27</v>
      </c>
      <c r="X374" s="70">
        <v>5420572.9800000004</v>
      </c>
      <c r="Y374" s="70">
        <v>4496708.6782</v>
      </c>
      <c r="Z374" s="70">
        <v>0</v>
      </c>
      <c r="AA374" s="70">
        <f t="shared" si="92"/>
        <v>4496708.6782</v>
      </c>
      <c r="AB374" s="70">
        <v>197460177.67879999</v>
      </c>
      <c r="AC374" s="75">
        <f t="shared" si="87"/>
        <v>357267748.727</v>
      </c>
    </row>
    <row r="375" spans="1:29" ht="24.95" customHeight="1">
      <c r="A375" s="183"/>
      <c r="B375" s="178"/>
      <c r="C375" s="66">
        <v>12</v>
      </c>
      <c r="D375" s="70" t="s">
        <v>870</v>
      </c>
      <c r="E375" s="70">
        <v>14392521.087300001</v>
      </c>
      <c r="F375" s="70">
        <v>0</v>
      </c>
      <c r="G375" s="70">
        <v>150127912.75369999</v>
      </c>
      <c r="H375" s="70">
        <v>30471527.4586</v>
      </c>
      <c r="I375" s="70">
        <v>8345837.0718</v>
      </c>
      <c r="J375" s="70">
        <v>5849758.8389999997</v>
      </c>
      <c r="K375" s="70">
        <v>5909878.0826000003</v>
      </c>
      <c r="L375" s="70">
        <f t="shared" si="96"/>
        <v>-60119.243600000627</v>
      </c>
      <c r="M375" s="85">
        <v>266843533.57069999</v>
      </c>
      <c r="N375" s="75">
        <f t="shared" si="95"/>
        <v>470121212.69849998</v>
      </c>
      <c r="O375" s="74"/>
      <c r="P375" s="178"/>
      <c r="Q375" s="78">
        <v>4</v>
      </c>
      <c r="R375" s="178"/>
      <c r="S375" s="70" t="s">
        <v>871</v>
      </c>
      <c r="T375" s="70">
        <v>12387118.529999999</v>
      </c>
      <c r="U375" s="70"/>
      <c r="V375" s="70">
        <v>129209624.86</v>
      </c>
      <c r="W375" s="70">
        <v>26225733.510000002</v>
      </c>
      <c r="X375" s="70">
        <v>6047985.9400000004</v>
      </c>
      <c r="Y375" s="70">
        <v>5034674.3152000001</v>
      </c>
      <c r="Z375" s="70">
        <v>0</v>
      </c>
      <c r="AA375" s="70">
        <f t="shared" si="92"/>
        <v>5034674.3152000001</v>
      </c>
      <c r="AB375" s="70">
        <v>220278934.92969999</v>
      </c>
      <c r="AC375" s="75">
        <f t="shared" si="87"/>
        <v>399184072.08489996</v>
      </c>
    </row>
    <row r="376" spans="1:29" ht="24.95" customHeight="1">
      <c r="A376" s="183"/>
      <c r="B376" s="178"/>
      <c r="C376" s="66">
        <v>13</v>
      </c>
      <c r="D376" s="70" t="s">
        <v>872</v>
      </c>
      <c r="E376" s="70">
        <v>12469215.3617</v>
      </c>
      <c r="F376" s="70">
        <v>0</v>
      </c>
      <c r="G376" s="70">
        <v>130065974.1674</v>
      </c>
      <c r="H376" s="70">
        <v>26399547.096700002</v>
      </c>
      <c r="I376" s="70">
        <v>8110125.6157</v>
      </c>
      <c r="J376" s="70">
        <v>5068042.0987999998</v>
      </c>
      <c r="K376" s="70">
        <v>5120127.4694999997</v>
      </c>
      <c r="L376" s="70">
        <f t="shared" si="96"/>
        <v>-52085.370699999854</v>
      </c>
      <c r="M376" s="85">
        <v>258270802.6904</v>
      </c>
      <c r="N376" s="75">
        <f t="shared" si="95"/>
        <v>435263579.56120002</v>
      </c>
      <c r="O376" s="74"/>
      <c r="P376" s="178"/>
      <c r="Q376" s="78">
        <v>5</v>
      </c>
      <c r="R376" s="178"/>
      <c r="S376" s="70" t="s">
        <v>873</v>
      </c>
      <c r="T376" s="70">
        <v>17373881.359999999</v>
      </c>
      <c r="U376" s="70"/>
      <c r="V376" s="70">
        <v>181226383.44999999</v>
      </c>
      <c r="W376" s="70">
        <v>36783597.520000003</v>
      </c>
      <c r="X376" s="70">
        <v>8151278.1299999999</v>
      </c>
      <c r="Y376" s="70">
        <v>7061515.8657</v>
      </c>
      <c r="Z376" s="70">
        <v>0</v>
      </c>
      <c r="AA376" s="70">
        <f t="shared" si="92"/>
        <v>7061515.8657</v>
      </c>
      <c r="AB376" s="70">
        <v>296774826.11290002</v>
      </c>
      <c r="AC376" s="75">
        <f t="shared" si="87"/>
        <v>547371482.43860006</v>
      </c>
    </row>
    <row r="377" spans="1:29" ht="24.95" customHeight="1">
      <c r="A377" s="183"/>
      <c r="B377" s="178"/>
      <c r="C377" s="66">
        <v>14</v>
      </c>
      <c r="D377" s="70" t="s">
        <v>874</v>
      </c>
      <c r="E377" s="70">
        <v>12839199.042300001</v>
      </c>
      <c r="F377" s="70">
        <v>0</v>
      </c>
      <c r="G377" s="70">
        <v>133925261.73630001</v>
      </c>
      <c r="H377" s="70">
        <v>27182868.365699999</v>
      </c>
      <c r="I377" s="70">
        <v>7435349.5888</v>
      </c>
      <c r="J377" s="70">
        <v>5218419.8744000001</v>
      </c>
      <c r="K377" s="70">
        <v>5272050.7103000004</v>
      </c>
      <c r="L377" s="70">
        <f t="shared" si="96"/>
        <v>-53630.835900000297</v>
      </c>
      <c r="M377" s="85">
        <v>233729469.91409999</v>
      </c>
      <c r="N377" s="75">
        <f t="shared" si="95"/>
        <v>415058517.81130004</v>
      </c>
      <c r="O377" s="74"/>
      <c r="P377" s="178"/>
      <c r="Q377" s="78">
        <v>6</v>
      </c>
      <c r="R377" s="178"/>
      <c r="S377" s="70" t="s">
        <v>875</v>
      </c>
      <c r="T377" s="70">
        <v>14398460.359999999</v>
      </c>
      <c r="U377" s="70"/>
      <c r="V377" s="70">
        <v>150189865.16</v>
      </c>
      <c r="W377" s="70">
        <v>30484101.969999999</v>
      </c>
      <c r="X377" s="70">
        <v>6309830.5099999998</v>
      </c>
      <c r="Y377" s="70">
        <v>5852172.8190000001</v>
      </c>
      <c r="Z377" s="70">
        <v>0</v>
      </c>
      <c r="AA377" s="70">
        <f t="shared" si="92"/>
        <v>5852172.8190000001</v>
      </c>
      <c r="AB377" s="70">
        <v>229802116.6961</v>
      </c>
      <c r="AC377" s="75">
        <f t="shared" si="87"/>
        <v>437036547.5151</v>
      </c>
    </row>
    <row r="378" spans="1:29" ht="24.95" customHeight="1">
      <c r="A378" s="183"/>
      <c r="B378" s="178"/>
      <c r="C378" s="66">
        <v>15</v>
      </c>
      <c r="D378" s="70" t="s">
        <v>876</v>
      </c>
      <c r="E378" s="70">
        <v>14862629.7709</v>
      </c>
      <c r="F378" s="70">
        <v>0</v>
      </c>
      <c r="G378" s="70">
        <v>155031600.92719999</v>
      </c>
      <c r="H378" s="70">
        <v>31466831.170499999</v>
      </c>
      <c r="I378" s="70">
        <v>8873402.5405999999</v>
      </c>
      <c r="J378" s="70">
        <v>6040831.8559999997</v>
      </c>
      <c r="K378" s="70">
        <v>6102914.7987000002</v>
      </c>
      <c r="L378" s="70">
        <f t="shared" si="96"/>
        <v>-62082.94270000048</v>
      </c>
      <c r="M378" s="85">
        <v>286030877.53920001</v>
      </c>
      <c r="N378" s="75">
        <f t="shared" si="95"/>
        <v>496203259.00569999</v>
      </c>
      <c r="O378" s="74"/>
      <c r="P378" s="178"/>
      <c r="Q378" s="78">
        <v>7</v>
      </c>
      <c r="R378" s="178"/>
      <c r="S378" s="70" t="s">
        <v>877</v>
      </c>
      <c r="T378" s="70">
        <v>13256233.060000001</v>
      </c>
      <c r="U378" s="70"/>
      <c r="V378" s="70">
        <v>138275329.78999999</v>
      </c>
      <c r="W378" s="70">
        <v>28065803.559999999</v>
      </c>
      <c r="X378" s="70">
        <v>5960614.5700000003</v>
      </c>
      <c r="Y378" s="70">
        <v>5387920.9868999999</v>
      </c>
      <c r="Z378" s="70">
        <v>0</v>
      </c>
      <c r="AA378" s="70">
        <f t="shared" si="92"/>
        <v>5387920.9868999999</v>
      </c>
      <c r="AB378" s="70">
        <v>217101273.24919999</v>
      </c>
      <c r="AC378" s="75">
        <f t="shared" si="87"/>
        <v>408047175.21609998</v>
      </c>
    </row>
    <row r="379" spans="1:29" ht="24.95" customHeight="1">
      <c r="A379" s="183"/>
      <c r="B379" s="178"/>
      <c r="C379" s="66">
        <v>16</v>
      </c>
      <c r="D379" s="70" t="s">
        <v>878</v>
      </c>
      <c r="E379" s="70">
        <v>11527954.3466</v>
      </c>
      <c r="F379" s="70">
        <v>0</v>
      </c>
      <c r="G379" s="70">
        <v>120247711.56380001</v>
      </c>
      <c r="H379" s="70">
        <v>24406730.0847</v>
      </c>
      <c r="I379" s="70">
        <v>7037243.1564999996</v>
      </c>
      <c r="J379" s="70">
        <v>4685471.8798000002</v>
      </c>
      <c r="K379" s="70">
        <v>4733625.4933000002</v>
      </c>
      <c r="L379" s="70">
        <f t="shared" si="96"/>
        <v>-48153.613499999978</v>
      </c>
      <c r="M379" s="85">
        <v>219250499.04820001</v>
      </c>
      <c r="N379" s="75">
        <f t="shared" si="95"/>
        <v>382421984.58630002</v>
      </c>
      <c r="O379" s="74"/>
      <c r="P379" s="178"/>
      <c r="Q379" s="78">
        <v>8</v>
      </c>
      <c r="R379" s="178"/>
      <c r="S379" s="70" t="s">
        <v>879</v>
      </c>
      <c r="T379" s="70">
        <v>11516947.5</v>
      </c>
      <c r="U379" s="70"/>
      <c r="V379" s="70">
        <v>120132899.45999999</v>
      </c>
      <c r="W379" s="70">
        <v>24383426.620000001</v>
      </c>
      <c r="X379" s="70">
        <v>5619472.1699999999</v>
      </c>
      <c r="Y379" s="70">
        <v>4680998.1986999996</v>
      </c>
      <c r="Z379" s="70">
        <v>0</v>
      </c>
      <c r="AA379" s="70">
        <f t="shared" si="92"/>
        <v>4680998.1986999996</v>
      </c>
      <c r="AB379" s="70">
        <v>204694061.2401</v>
      </c>
      <c r="AC379" s="75">
        <f t="shared" si="87"/>
        <v>371027805.18879998</v>
      </c>
    </row>
    <row r="380" spans="1:29" ht="24.95" customHeight="1">
      <c r="A380" s="183"/>
      <c r="B380" s="178"/>
      <c r="C380" s="66">
        <v>17</v>
      </c>
      <c r="D380" s="70" t="s">
        <v>880</v>
      </c>
      <c r="E380" s="70">
        <v>16040261.283500001</v>
      </c>
      <c r="F380" s="70">
        <v>0</v>
      </c>
      <c r="G380" s="70">
        <v>167315436.3935</v>
      </c>
      <c r="H380" s="70">
        <v>33960086.574199997</v>
      </c>
      <c r="I380" s="70">
        <v>9503831.8521999996</v>
      </c>
      <c r="J380" s="70">
        <v>6519473.5274999999</v>
      </c>
      <c r="K380" s="70">
        <v>6586475.5746999998</v>
      </c>
      <c r="L380" s="70">
        <f t="shared" si="96"/>
        <v>-67002.047199999914</v>
      </c>
      <c r="M380" s="85">
        <v>308959338.10949999</v>
      </c>
      <c r="N380" s="75">
        <f t="shared" si="95"/>
        <v>535711952.16569996</v>
      </c>
      <c r="O380" s="74"/>
      <c r="P380" s="178"/>
      <c r="Q380" s="78">
        <v>9</v>
      </c>
      <c r="R380" s="178"/>
      <c r="S380" s="70" t="s">
        <v>881</v>
      </c>
      <c r="T380" s="70">
        <v>15189010.939999999</v>
      </c>
      <c r="U380" s="70"/>
      <c r="V380" s="70">
        <v>158436072.09</v>
      </c>
      <c r="W380" s="70">
        <v>32157838.16</v>
      </c>
      <c r="X380" s="70">
        <v>7231266.6900000004</v>
      </c>
      <c r="Y380" s="70">
        <v>6173487.6347000003</v>
      </c>
      <c r="Z380" s="70">
        <v>0</v>
      </c>
      <c r="AA380" s="70">
        <f t="shared" si="92"/>
        <v>6173487.6347000003</v>
      </c>
      <c r="AB380" s="70">
        <v>263314380.06079999</v>
      </c>
      <c r="AC380" s="75">
        <f t="shared" si="87"/>
        <v>482502055.57550001</v>
      </c>
    </row>
    <row r="381" spans="1:29" ht="24.95" customHeight="1">
      <c r="A381" s="183"/>
      <c r="B381" s="178"/>
      <c r="C381" s="66">
        <v>18</v>
      </c>
      <c r="D381" s="70" t="s">
        <v>882</v>
      </c>
      <c r="E381" s="70">
        <v>10788906.2075</v>
      </c>
      <c r="F381" s="70">
        <v>0</v>
      </c>
      <c r="G381" s="70">
        <v>112538724.8003</v>
      </c>
      <c r="H381" s="70">
        <v>22842033.703200001</v>
      </c>
      <c r="I381" s="70">
        <v>7130518.8672000002</v>
      </c>
      <c r="J381" s="70">
        <v>4385089.9413000001</v>
      </c>
      <c r="K381" s="70">
        <v>4430156.4642000003</v>
      </c>
      <c r="L381" s="70">
        <f t="shared" si="96"/>
        <v>-45066.522900000215</v>
      </c>
      <c r="M381" s="85">
        <v>222642899.14120001</v>
      </c>
      <c r="N381" s="75">
        <f t="shared" si="95"/>
        <v>375898016.1965</v>
      </c>
      <c r="O381" s="74"/>
      <c r="P381" s="178"/>
      <c r="Q381" s="78">
        <v>10</v>
      </c>
      <c r="R381" s="178"/>
      <c r="S381" s="70" t="s">
        <v>883</v>
      </c>
      <c r="T381" s="70">
        <v>10712119.699999999</v>
      </c>
      <c r="U381" s="70"/>
      <c r="V381" s="70">
        <v>111737767.27</v>
      </c>
      <c r="W381" s="70">
        <v>22679463.010000002</v>
      </c>
      <c r="X381" s="70">
        <v>5664165.4400000004</v>
      </c>
      <c r="Y381" s="70">
        <v>4353880.5001999997</v>
      </c>
      <c r="Z381" s="70">
        <v>0</v>
      </c>
      <c r="AA381" s="70">
        <f t="shared" si="92"/>
        <v>4353880.5001999997</v>
      </c>
      <c r="AB381" s="70">
        <v>206319537.6573</v>
      </c>
      <c r="AC381" s="75">
        <f t="shared" si="87"/>
        <v>361466933.57749999</v>
      </c>
    </row>
    <row r="382" spans="1:29" ht="24.95" customHeight="1">
      <c r="A382" s="183"/>
      <c r="B382" s="178"/>
      <c r="C382" s="66">
        <v>19</v>
      </c>
      <c r="D382" s="70" t="s">
        <v>884</v>
      </c>
      <c r="E382" s="70">
        <v>14235947.979800001</v>
      </c>
      <c r="F382" s="70">
        <v>0</v>
      </c>
      <c r="G382" s="70">
        <v>148494703.83399999</v>
      </c>
      <c r="H382" s="70">
        <v>30140034.337000001</v>
      </c>
      <c r="I382" s="70">
        <v>8935346.7513999995</v>
      </c>
      <c r="J382" s="70">
        <v>5786120.5844999999</v>
      </c>
      <c r="K382" s="70">
        <v>5845585.8041000003</v>
      </c>
      <c r="L382" s="70">
        <f t="shared" si="96"/>
        <v>-59465.219600000419</v>
      </c>
      <c r="M382" s="85">
        <v>288283763.57870001</v>
      </c>
      <c r="N382" s="75">
        <f t="shared" si="95"/>
        <v>490030331.26129997</v>
      </c>
      <c r="O382" s="74"/>
      <c r="P382" s="178"/>
      <c r="Q382" s="78">
        <v>11</v>
      </c>
      <c r="R382" s="178"/>
      <c r="S382" s="70" t="s">
        <v>885</v>
      </c>
      <c r="T382" s="70">
        <v>10260507.52</v>
      </c>
      <c r="U382" s="70"/>
      <c r="V382" s="70">
        <v>107027015.51000001</v>
      </c>
      <c r="W382" s="70">
        <v>21723319.68</v>
      </c>
      <c r="X382" s="70">
        <v>5081612.6100000003</v>
      </c>
      <c r="Y382" s="70">
        <v>4170325.2903999998</v>
      </c>
      <c r="Z382" s="70">
        <v>0</v>
      </c>
      <c r="AA382" s="70">
        <f t="shared" si="92"/>
        <v>4170325.2903999998</v>
      </c>
      <c r="AB382" s="70">
        <v>185132325.5178</v>
      </c>
      <c r="AC382" s="75">
        <f t="shared" si="87"/>
        <v>333395106.12820005</v>
      </c>
    </row>
    <row r="383" spans="1:29" ht="24.95" customHeight="1">
      <c r="A383" s="183"/>
      <c r="B383" s="178"/>
      <c r="C383" s="66">
        <v>20</v>
      </c>
      <c r="D383" s="70" t="s">
        <v>886</v>
      </c>
      <c r="E383" s="70">
        <v>11935804.091600001</v>
      </c>
      <c r="F383" s="70">
        <v>0</v>
      </c>
      <c r="G383" s="70">
        <v>124501978.80140001</v>
      </c>
      <c r="H383" s="70">
        <v>25270220.548</v>
      </c>
      <c r="I383" s="70">
        <v>7169975.2500999998</v>
      </c>
      <c r="J383" s="70">
        <v>4851240.1030999999</v>
      </c>
      <c r="K383" s="70">
        <v>4901097.3528000005</v>
      </c>
      <c r="L383" s="70">
        <f t="shared" si="96"/>
        <v>-49857.24970000051</v>
      </c>
      <c r="M383" s="85">
        <v>224077911.92300001</v>
      </c>
      <c r="N383" s="75">
        <f t="shared" si="95"/>
        <v>392906033.36440003</v>
      </c>
      <c r="O383" s="74"/>
      <c r="P383" s="178"/>
      <c r="Q383" s="78">
        <v>12</v>
      </c>
      <c r="R383" s="178"/>
      <c r="S383" s="70" t="s">
        <v>887</v>
      </c>
      <c r="T383" s="70">
        <v>11000833.16</v>
      </c>
      <c r="U383" s="70"/>
      <c r="V383" s="70">
        <v>114749327.90000001</v>
      </c>
      <c r="W383" s="70">
        <v>23290720.77</v>
      </c>
      <c r="X383" s="70">
        <v>5418121.3899999997</v>
      </c>
      <c r="Y383" s="70">
        <v>4471226.4532000003</v>
      </c>
      <c r="Z383" s="70">
        <v>0</v>
      </c>
      <c r="AA383" s="70">
        <f t="shared" si="92"/>
        <v>4471226.4532000003</v>
      </c>
      <c r="AB383" s="70">
        <v>197371014.55540001</v>
      </c>
      <c r="AC383" s="75">
        <f t="shared" si="87"/>
        <v>356301244.22860003</v>
      </c>
    </row>
    <row r="384" spans="1:29" ht="24.95" customHeight="1">
      <c r="A384" s="183"/>
      <c r="B384" s="178"/>
      <c r="C384" s="66">
        <v>21</v>
      </c>
      <c r="D384" s="70" t="s">
        <v>888</v>
      </c>
      <c r="E384" s="70">
        <v>15213796.0701</v>
      </c>
      <c r="F384" s="70">
        <v>0</v>
      </c>
      <c r="G384" s="70">
        <v>158694605.01190001</v>
      </c>
      <c r="H384" s="70">
        <v>32210312.695700001</v>
      </c>
      <c r="I384" s="70">
        <v>9017481.2323000003</v>
      </c>
      <c r="J384" s="70">
        <v>6183561.4134</v>
      </c>
      <c r="K384" s="70">
        <v>6247111.2187000001</v>
      </c>
      <c r="L384" s="70">
        <f t="shared" si="96"/>
        <v>-63549.805300000124</v>
      </c>
      <c r="M384" s="85">
        <v>291270961.6239</v>
      </c>
      <c r="N384" s="75">
        <f t="shared" si="95"/>
        <v>506343606.82860005</v>
      </c>
      <c r="O384" s="74"/>
      <c r="P384" s="178"/>
      <c r="Q384" s="78">
        <v>13</v>
      </c>
      <c r="R384" s="178"/>
      <c r="S384" s="70" t="s">
        <v>889</v>
      </c>
      <c r="T384" s="70">
        <v>11964707.17</v>
      </c>
      <c r="U384" s="70"/>
      <c r="V384" s="70">
        <v>124803465.86</v>
      </c>
      <c r="W384" s="70">
        <v>25331413.510000002</v>
      </c>
      <c r="X384" s="70">
        <v>6224307.4500000002</v>
      </c>
      <c r="Y384" s="70">
        <v>4862987.6052000001</v>
      </c>
      <c r="Z384" s="70">
        <v>0</v>
      </c>
      <c r="AA384" s="70">
        <f t="shared" si="92"/>
        <v>4862987.6052000001</v>
      </c>
      <c r="AB384" s="70">
        <v>226691677.47499999</v>
      </c>
      <c r="AC384" s="75">
        <f t="shared" si="87"/>
        <v>399878559.07019997</v>
      </c>
    </row>
    <row r="385" spans="1:29" ht="24.95" customHeight="1">
      <c r="A385" s="183"/>
      <c r="B385" s="178"/>
      <c r="C385" s="66">
        <v>22</v>
      </c>
      <c r="D385" s="70" t="s">
        <v>890</v>
      </c>
      <c r="E385" s="70">
        <v>17021170.615200002</v>
      </c>
      <c r="F385" s="70">
        <v>0</v>
      </c>
      <c r="G385" s="70">
        <v>177547269.2789</v>
      </c>
      <c r="H385" s="70">
        <v>36036846.125399999</v>
      </c>
      <c r="I385" s="70">
        <v>9313981.7026000004</v>
      </c>
      <c r="J385" s="70">
        <v>6918158.5806999998</v>
      </c>
      <c r="K385" s="70">
        <v>6989258.0006999997</v>
      </c>
      <c r="L385" s="70">
        <f t="shared" si="96"/>
        <v>-71099.419999999925</v>
      </c>
      <c r="M385" s="85">
        <v>302054564.50629997</v>
      </c>
      <c r="N385" s="75">
        <f t="shared" si="95"/>
        <v>541902732.80840003</v>
      </c>
      <c r="O385" s="74"/>
      <c r="P385" s="178"/>
      <c r="Q385" s="78">
        <v>14</v>
      </c>
      <c r="R385" s="178"/>
      <c r="S385" s="70" t="s">
        <v>891</v>
      </c>
      <c r="T385" s="70">
        <v>13165799.15</v>
      </c>
      <c r="U385" s="70"/>
      <c r="V385" s="70">
        <v>137332016.69999999</v>
      </c>
      <c r="W385" s="70">
        <v>27874338.899999999</v>
      </c>
      <c r="X385" s="70">
        <v>6933392.8200000003</v>
      </c>
      <c r="Y385" s="70">
        <v>5351164.6369000003</v>
      </c>
      <c r="Z385" s="70">
        <v>0</v>
      </c>
      <c r="AA385" s="70">
        <f t="shared" si="92"/>
        <v>5351164.6369000003</v>
      </c>
      <c r="AB385" s="70">
        <v>252480827.15630001</v>
      </c>
      <c r="AC385" s="75">
        <f t="shared" si="87"/>
        <v>443137539.36320001</v>
      </c>
    </row>
    <row r="386" spans="1:29" ht="24.95" customHeight="1">
      <c r="A386" s="183"/>
      <c r="B386" s="179"/>
      <c r="C386" s="66">
        <v>23</v>
      </c>
      <c r="D386" s="70" t="s">
        <v>892</v>
      </c>
      <c r="E386" s="70">
        <v>17380085.785</v>
      </c>
      <c r="F386" s="70">
        <v>0</v>
      </c>
      <c r="G386" s="70">
        <v>181291101.57620001</v>
      </c>
      <c r="H386" s="70">
        <v>36796733.387900002</v>
      </c>
      <c r="I386" s="70">
        <v>10492641.667199999</v>
      </c>
      <c r="J386" s="70">
        <v>7064037.6223999998</v>
      </c>
      <c r="K386" s="70">
        <v>7136636.2732999995</v>
      </c>
      <c r="L386" s="70">
        <f t="shared" si="96"/>
        <v>-72598.650899999775</v>
      </c>
      <c r="M386" s="85">
        <v>344921953.4885</v>
      </c>
      <c r="N386" s="75">
        <f t="shared" si="95"/>
        <v>590809917.25390005</v>
      </c>
      <c r="O386" s="74"/>
      <c r="P386" s="178"/>
      <c r="Q386" s="78">
        <v>15</v>
      </c>
      <c r="R386" s="178"/>
      <c r="S386" s="70" t="s">
        <v>893</v>
      </c>
      <c r="T386" s="70">
        <v>12211147.029999999</v>
      </c>
      <c r="U386" s="70"/>
      <c r="V386" s="70">
        <v>127374071.95</v>
      </c>
      <c r="W386" s="70">
        <v>25853170.539999999</v>
      </c>
      <c r="X386" s="70">
        <v>5281821.0199999996</v>
      </c>
      <c r="Y386" s="70">
        <v>4963151.6862000003</v>
      </c>
      <c r="Z386" s="70">
        <v>0</v>
      </c>
      <c r="AA386" s="70">
        <f t="shared" si="92"/>
        <v>4963151.6862000003</v>
      </c>
      <c r="AB386" s="70">
        <v>192413824.98789999</v>
      </c>
      <c r="AC386" s="75">
        <f t="shared" si="87"/>
        <v>368097187.2141</v>
      </c>
    </row>
    <row r="387" spans="1:29" ht="24.95" customHeight="1">
      <c r="A387" s="66"/>
      <c r="B387" s="190" t="s">
        <v>894</v>
      </c>
      <c r="C387" s="191"/>
      <c r="D387" s="71"/>
      <c r="E387" s="71">
        <f t="shared" ref="E387:N387" si="98">SUM(E364:E386)</f>
        <v>339096444.00070006</v>
      </c>
      <c r="F387" s="71">
        <f t="shared" si="98"/>
        <v>0</v>
      </c>
      <c r="G387" s="71">
        <f t="shared" si="98"/>
        <v>3537103822.9768</v>
      </c>
      <c r="H387" s="71">
        <f t="shared" si="98"/>
        <v>717927494.5532999</v>
      </c>
      <c r="I387" s="71">
        <f t="shared" si="98"/>
        <v>198691269.59249997</v>
      </c>
      <c r="J387" s="71">
        <f t="shared" si="98"/>
        <v>137823832.8461</v>
      </c>
      <c r="K387" s="71">
        <f t="shared" si="98"/>
        <v>139240278.34760001</v>
      </c>
      <c r="L387" s="71">
        <f t="shared" si="98"/>
        <v>-1416445.501500004</v>
      </c>
      <c r="M387" s="71">
        <f t="shared" si="98"/>
        <v>6382423869.3422003</v>
      </c>
      <c r="N387" s="71">
        <f t="shared" si="98"/>
        <v>11173826454.964001</v>
      </c>
      <c r="O387" s="93"/>
      <c r="P387" s="178"/>
      <c r="Q387" s="78">
        <v>16</v>
      </c>
      <c r="R387" s="178"/>
      <c r="S387" s="70" t="s">
        <v>895</v>
      </c>
      <c r="T387" s="70">
        <v>12726108.119999999</v>
      </c>
      <c r="U387" s="70"/>
      <c r="V387" s="70">
        <v>132745614.02</v>
      </c>
      <c r="W387" s="70">
        <v>26943434.760000002</v>
      </c>
      <c r="X387" s="70">
        <v>5905845.4100000001</v>
      </c>
      <c r="Y387" s="70">
        <v>5172454.7028000001</v>
      </c>
      <c r="Z387" s="70">
        <v>0</v>
      </c>
      <c r="AA387" s="70">
        <f t="shared" si="92"/>
        <v>5172454.7028000001</v>
      </c>
      <c r="AB387" s="70">
        <v>215109341.06310001</v>
      </c>
      <c r="AC387" s="75">
        <f t="shared" si="87"/>
        <v>398602798.07589996</v>
      </c>
    </row>
    <row r="388" spans="1:29" ht="24.95" customHeight="1">
      <c r="A388" s="183">
        <v>19</v>
      </c>
      <c r="B388" s="177" t="s">
        <v>104</v>
      </c>
      <c r="C388" s="66">
        <v>1</v>
      </c>
      <c r="D388" s="70" t="s">
        <v>896</v>
      </c>
      <c r="E388" s="70">
        <v>11153150.7465</v>
      </c>
      <c r="F388" s="70">
        <v>0</v>
      </c>
      <c r="G388" s="70">
        <v>116338147.57340001</v>
      </c>
      <c r="H388" s="70">
        <v>23613204.1886</v>
      </c>
      <c r="I388" s="70">
        <v>7109132.2602000004</v>
      </c>
      <c r="J388" s="70">
        <v>4533135.0752999997</v>
      </c>
      <c r="K388" s="70">
        <v>0</v>
      </c>
      <c r="L388" s="70">
        <f t="shared" ref="L388:L412" si="99">J388-K388</f>
        <v>4533135.0752999997</v>
      </c>
      <c r="M388" s="85">
        <v>236848434.27239999</v>
      </c>
      <c r="N388" s="75">
        <f t="shared" ref="N388:N412" si="100">E388+F388+G388+H388+I388+L388+M388</f>
        <v>399595204.1164</v>
      </c>
      <c r="O388" s="74"/>
      <c r="P388" s="179"/>
      <c r="Q388" s="78">
        <v>17</v>
      </c>
      <c r="R388" s="179"/>
      <c r="S388" s="70" t="s">
        <v>897</v>
      </c>
      <c r="T388" s="70">
        <v>12695866.43</v>
      </c>
      <c r="U388" s="70"/>
      <c r="V388" s="70">
        <v>132430164.01000001</v>
      </c>
      <c r="W388" s="70">
        <v>26879407.73</v>
      </c>
      <c r="X388" s="70">
        <v>5716714.0499999998</v>
      </c>
      <c r="Y388" s="70">
        <v>5160163.142</v>
      </c>
      <c r="Z388" s="70">
        <v>0</v>
      </c>
      <c r="AA388" s="70">
        <f t="shared" si="92"/>
        <v>5160163.142</v>
      </c>
      <c r="AB388" s="70">
        <v>208230709.52739999</v>
      </c>
      <c r="AC388" s="75">
        <f t="shared" si="87"/>
        <v>391113024.88940001</v>
      </c>
    </row>
    <row r="389" spans="1:29" ht="24.95" customHeight="1">
      <c r="A389" s="183"/>
      <c r="B389" s="178"/>
      <c r="C389" s="66">
        <v>2</v>
      </c>
      <c r="D389" s="70" t="s">
        <v>898</v>
      </c>
      <c r="E389" s="70">
        <v>11423757.4669</v>
      </c>
      <c r="F389" s="70">
        <v>0</v>
      </c>
      <c r="G389" s="70">
        <v>119160837.34810001</v>
      </c>
      <c r="H389" s="70">
        <v>24186126.754500002</v>
      </c>
      <c r="I389" s="70">
        <v>7314705.9195999997</v>
      </c>
      <c r="J389" s="70">
        <v>4643121.6469999999</v>
      </c>
      <c r="K389" s="70">
        <v>0</v>
      </c>
      <c r="L389" s="70">
        <f t="shared" si="99"/>
        <v>4643121.6469999999</v>
      </c>
      <c r="M389" s="85">
        <v>244325065.60420001</v>
      </c>
      <c r="N389" s="75">
        <f t="shared" si="100"/>
        <v>411053614.74030006</v>
      </c>
      <c r="O389" s="74"/>
      <c r="P389" s="66"/>
      <c r="Q389" s="191" t="s">
        <v>899</v>
      </c>
      <c r="R389" s="192"/>
      <c r="S389" s="71"/>
      <c r="T389" s="71">
        <f t="shared" ref="T389:Z389" si="101">SUM(T372:T388)</f>
        <v>215076405.02000001</v>
      </c>
      <c r="U389" s="71">
        <f t="shared" si="101"/>
        <v>0</v>
      </c>
      <c r="V389" s="71">
        <f t="shared" si="101"/>
        <v>2243454886.96</v>
      </c>
      <c r="W389" s="71">
        <f t="shared" si="101"/>
        <v>455355009.86000001</v>
      </c>
      <c r="X389" s="71">
        <f t="shared" si="101"/>
        <v>102743574.03</v>
      </c>
      <c r="Y389" s="71">
        <f t="shared" si="101"/>
        <v>87416589.045699999</v>
      </c>
      <c r="Z389" s="71">
        <f t="shared" si="101"/>
        <v>0</v>
      </c>
      <c r="AA389" s="71">
        <f t="shared" si="92"/>
        <v>87416589.045699999</v>
      </c>
      <c r="AB389" s="71">
        <f>SUM(AB372:AB388)</f>
        <v>3742116483.3028994</v>
      </c>
      <c r="AC389" s="71">
        <f>SUM(AC372:AC388)</f>
        <v>6846162948.2185993</v>
      </c>
    </row>
    <row r="390" spans="1:29" ht="24.95" customHeight="1">
      <c r="A390" s="183"/>
      <c r="B390" s="178"/>
      <c r="C390" s="66">
        <v>3</v>
      </c>
      <c r="D390" s="70" t="s">
        <v>900</v>
      </c>
      <c r="E390" s="70">
        <v>10416216.1523</v>
      </c>
      <c r="F390" s="70">
        <v>0</v>
      </c>
      <c r="G390" s="70">
        <v>108651207.12800001</v>
      </c>
      <c r="H390" s="70">
        <v>22052982.5579</v>
      </c>
      <c r="I390" s="70">
        <v>6964219.2598000001</v>
      </c>
      <c r="J390" s="70">
        <v>4233612.1750999996</v>
      </c>
      <c r="K390" s="70">
        <v>0</v>
      </c>
      <c r="L390" s="70">
        <f t="shared" si="99"/>
        <v>4233612.1750999996</v>
      </c>
      <c r="M390" s="85">
        <v>231578006.7164</v>
      </c>
      <c r="N390" s="75">
        <f t="shared" si="100"/>
        <v>383896243.98949999</v>
      </c>
      <c r="O390" s="74"/>
      <c r="P390" s="177">
        <v>36</v>
      </c>
      <c r="Q390" s="78">
        <v>1</v>
      </c>
      <c r="R390" s="177" t="s">
        <v>121</v>
      </c>
      <c r="S390" s="70" t="s">
        <v>901</v>
      </c>
      <c r="T390" s="70">
        <v>11950243.560000001</v>
      </c>
      <c r="U390" s="70"/>
      <c r="V390" s="70">
        <v>124652596.38</v>
      </c>
      <c r="W390" s="70">
        <v>25300791.460000001</v>
      </c>
      <c r="X390" s="70">
        <v>6147451.6699999999</v>
      </c>
      <c r="Y390" s="70">
        <v>4857108.9439000003</v>
      </c>
      <c r="Z390" s="70">
        <v>0</v>
      </c>
      <c r="AA390" s="70">
        <f t="shared" si="92"/>
        <v>4857108.9439000003</v>
      </c>
      <c r="AB390" s="70">
        <v>218604639.7261</v>
      </c>
      <c r="AC390" s="75">
        <f t="shared" si="87"/>
        <v>391512831.74000001</v>
      </c>
    </row>
    <row r="391" spans="1:29" ht="24.95" customHeight="1">
      <c r="A391" s="183"/>
      <c r="B391" s="178"/>
      <c r="C391" s="66">
        <v>4</v>
      </c>
      <c r="D391" s="70" t="s">
        <v>902</v>
      </c>
      <c r="E391" s="70">
        <v>11300154.4912</v>
      </c>
      <c r="F391" s="70">
        <v>0</v>
      </c>
      <c r="G391" s="70">
        <v>117871538.7853</v>
      </c>
      <c r="H391" s="70">
        <v>23924437.266899999</v>
      </c>
      <c r="I391" s="70">
        <v>7298096.7591000004</v>
      </c>
      <c r="J391" s="70">
        <v>4592883.9162999997</v>
      </c>
      <c r="K391" s="70">
        <v>0</v>
      </c>
      <c r="L391" s="70">
        <f t="shared" si="99"/>
        <v>4592883.9162999997</v>
      </c>
      <c r="M391" s="85">
        <v>243720997.1137</v>
      </c>
      <c r="N391" s="75">
        <f t="shared" si="100"/>
        <v>408708108.33249998</v>
      </c>
      <c r="O391" s="74"/>
      <c r="P391" s="178"/>
      <c r="Q391" s="78">
        <v>2</v>
      </c>
      <c r="R391" s="178"/>
      <c r="S391" s="70" t="s">
        <v>903</v>
      </c>
      <c r="T391" s="70">
        <v>11570822.529999999</v>
      </c>
      <c r="U391" s="70"/>
      <c r="V391" s="70">
        <v>120694868.16</v>
      </c>
      <c r="W391" s="70">
        <v>24497489.649999999</v>
      </c>
      <c r="X391" s="70">
        <v>6720236.6699999999</v>
      </c>
      <c r="Y391" s="70">
        <v>4702895.4095999999</v>
      </c>
      <c r="Z391" s="70">
        <v>0</v>
      </c>
      <c r="AA391" s="70">
        <f t="shared" si="92"/>
        <v>4702895.4095999999</v>
      </c>
      <c r="AB391" s="70">
        <v>239436599.83989999</v>
      </c>
      <c r="AC391" s="75">
        <f t="shared" ref="AC391:AC410" si="102">T391+U391+V391+W391+X391+AA391+AB391</f>
        <v>407622912.25949997</v>
      </c>
    </row>
    <row r="392" spans="1:29" ht="24.95" customHeight="1">
      <c r="A392" s="183"/>
      <c r="B392" s="178"/>
      <c r="C392" s="66">
        <v>5</v>
      </c>
      <c r="D392" s="70" t="s">
        <v>904</v>
      </c>
      <c r="E392" s="70">
        <v>13696159.2348</v>
      </c>
      <c r="F392" s="70">
        <v>0</v>
      </c>
      <c r="G392" s="70">
        <v>142864185.23859999</v>
      </c>
      <c r="H392" s="70">
        <v>28997205.5396</v>
      </c>
      <c r="I392" s="70">
        <v>8430702.8845000006</v>
      </c>
      <c r="J392" s="70">
        <v>5566726.5004000003</v>
      </c>
      <c r="K392" s="70">
        <v>0</v>
      </c>
      <c r="L392" s="70">
        <f t="shared" si="99"/>
        <v>5566726.5004000003</v>
      </c>
      <c r="M392" s="85">
        <v>284913426.47939998</v>
      </c>
      <c r="N392" s="75">
        <f t="shared" si="100"/>
        <v>484468405.87730002</v>
      </c>
      <c r="O392" s="74"/>
      <c r="P392" s="178"/>
      <c r="Q392" s="78">
        <v>3</v>
      </c>
      <c r="R392" s="178"/>
      <c r="S392" s="70" t="s">
        <v>905</v>
      </c>
      <c r="T392" s="70">
        <v>13655465.859999999</v>
      </c>
      <c r="U392" s="70"/>
      <c r="V392" s="70">
        <v>142439713.94</v>
      </c>
      <c r="W392" s="70">
        <v>28911050.420000002</v>
      </c>
      <c r="X392" s="70">
        <v>7037633.3600000003</v>
      </c>
      <c r="Y392" s="70">
        <v>5550186.9124999996</v>
      </c>
      <c r="Z392" s="70">
        <v>0</v>
      </c>
      <c r="AA392" s="70">
        <f t="shared" si="92"/>
        <v>5550186.9124999996</v>
      </c>
      <c r="AB392" s="70">
        <v>250980189.97310001</v>
      </c>
      <c r="AC392" s="75">
        <f t="shared" si="102"/>
        <v>448574240.46560001</v>
      </c>
    </row>
    <row r="393" spans="1:29" ht="24.95" customHeight="1">
      <c r="A393" s="183"/>
      <c r="B393" s="178"/>
      <c r="C393" s="66">
        <v>6</v>
      </c>
      <c r="D393" s="70" t="s">
        <v>906</v>
      </c>
      <c r="E393" s="70">
        <v>10911797.4363</v>
      </c>
      <c r="F393" s="70">
        <v>0</v>
      </c>
      <c r="G393" s="70">
        <v>113820599.155</v>
      </c>
      <c r="H393" s="70">
        <v>23102216.296</v>
      </c>
      <c r="I393" s="70">
        <v>7067468.1682000002</v>
      </c>
      <c r="J393" s="70">
        <v>4435038.3866999997</v>
      </c>
      <c r="K393" s="70">
        <v>0</v>
      </c>
      <c r="L393" s="70">
        <f t="shared" si="99"/>
        <v>4435038.3866999997</v>
      </c>
      <c r="M393" s="85">
        <v>235333127.99720001</v>
      </c>
      <c r="N393" s="75">
        <f t="shared" si="100"/>
        <v>394670247.43939996</v>
      </c>
      <c r="O393" s="74"/>
      <c r="P393" s="178"/>
      <c r="Q393" s="78">
        <v>4</v>
      </c>
      <c r="R393" s="178"/>
      <c r="S393" s="70" t="s">
        <v>907</v>
      </c>
      <c r="T393" s="70">
        <v>15071650.529999999</v>
      </c>
      <c r="U393" s="70"/>
      <c r="V393" s="70">
        <v>157211889.53999999</v>
      </c>
      <c r="W393" s="70">
        <v>31909365.289999999</v>
      </c>
      <c r="X393" s="70">
        <v>7631712.4900000002</v>
      </c>
      <c r="Y393" s="70">
        <v>6125787.1688000001</v>
      </c>
      <c r="Z393" s="70">
        <v>0</v>
      </c>
      <c r="AA393" s="70">
        <f t="shared" si="92"/>
        <v>6125787.1688000001</v>
      </c>
      <c r="AB393" s="70">
        <v>272586608.83939999</v>
      </c>
      <c r="AC393" s="75">
        <f t="shared" si="102"/>
        <v>490537013.85819995</v>
      </c>
    </row>
    <row r="394" spans="1:29" ht="24.95" customHeight="1">
      <c r="A394" s="183"/>
      <c r="B394" s="178"/>
      <c r="C394" s="66">
        <v>7</v>
      </c>
      <c r="D394" s="70" t="s">
        <v>908</v>
      </c>
      <c r="E394" s="70">
        <v>17612827.932999998</v>
      </c>
      <c r="F394" s="70">
        <v>0</v>
      </c>
      <c r="G394" s="70">
        <v>183718827.2466</v>
      </c>
      <c r="H394" s="70">
        <v>37289489.918399997</v>
      </c>
      <c r="I394" s="70">
        <v>10249213.4311</v>
      </c>
      <c r="J394" s="70">
        <v>7158634.3530000001</v>
      </c>
      <c r="K394" s="70">
        <v>0</v>
      </c>
      <c r="L394" s="70">
        <f t="shared" si="99"/>
        <v>7158634.3530000001</v>
      </c>
      <c r="M394" s="85">
        <v>351051923.84649998</v>
      </c>
      <c r="N394" s="75">
        <f t="shared" si="100"/>
        <v>607080916.72860003</v>
      </c>
      <c r="O394" s="74"/>
      <c r="P394" s="178"/>
      <c r="Q394" s="78">
        <v>5</v>
      </c>
      <c r="R394" s="178"/>
      <c r="S394" s="70" t="s">
        <v>909</v>
      </c>
      <c r="T394" s="70">
        <v>13118265.57</v>
      </c>
      <c r="U394" s="70"/>
      <c r="V394" s="70">
        <v>136836195.5</v>
      </c>
      <c r="W394" s="70">
        <v>27773701.850000001</v>
      </c>
      <c r="X394" s="70">
        <v>6946578.2000000002</v>
      </c>
      <c r="Y394" s="70">
        <v>5331844.8855999997</v>
      </c>
      <c r="Z394" s="70">
        <v>0</v>
      </c>
      <c r="AA394" s="70">
        <f t="shared" si="92"/>
        <v>5331844.8855999997</v>
      </c>
      <c r="AB394" s="70">
        <v>247668550.1961</v>
      </c>
      <c r="AC394" s="75">
        <f t="shared" si="102"/>
        <v>437675136.20169997</v>
      </c>
    </row>
    <row r="395" spans="1:29" ht="24.95" customHeight="1">
      <c r="A395" s="183"/>
      <c r="B395" s="178"/>
      <c r="C395" s="66">
        <v>8</v>
      </c>
      <c r="D395" s="70" t="s">
        <v>910</v>
      </c>
      <c r="E395" s="70">
        <v>11999897.718499999</v>
      </c>
      <c r="F395" s="70">
        <v>0</v>
      </c>
      <c r="G395" s="70">
        <v>125170537.3101</v>
      </c>
      <c r="H395" s="70">
        <v>25405918.158</v>
      </c>
      <c r="I395" s="70">
        <v>7543370.6761999996</v>
      </c>
      <c r="J395" s="70">
        <v>4877290.5955999997</v>
      </c>
      <c r="K395" s="70">
        <v>0</v>
      </c>
      <c r="L395" s="70">
        <f t="shared" si="99"/>
        <v>4877290.5955999997</v>
      </c>
      <c r="M395" s="85">
        <v>252641510.85749999</v>
      </c>
      <c r="N395" s="75">
        <f t="shared" si="100"/>
        <v>427638525.31589997</v>
      </c>
      <c r="O395" s="74"/>
      <c r="P395" s="178"/>
      <c r="Q395" s="78">
        <v>6</v>
      </c>
      <c r="R395" s="178"/>
      <c r="S395" s="70" t="s">
        <v>911</v>
      </c>
      <c r="T395" s="70">
        <v>18215467.579999998</v>
      </c>
      <c r="U395" s="70"/>
      <c r="V395" s="70">
        <v>190004941.58000001</v>
      </c>
      <c r="W395" s="70">
        <v>38565385.270000003</v>
      </c>
      <c r="X395" s="70">
        <v>9239296.9600000009</v>
      </c>
      <c r="Y395" s="70">
        <v>7403573.8380000005</v>
      </c>
      <c r="Z395" s="70">
        <v>0</v>
      </c>
      <c r="AA395" s="70">
        <f t="shared" si="92"/>
        <v>7403573.8380000005</v>
      </c>
      <c r="AB395" s="70">
        <v>331053809.83560002</v>
      </c>
      <c r="AC395" s="75">
        <f t="shared" si="102"/>
        <v>594482475.06360006</v>
      </c>
    </row>
    <row r="396" spans="1:29" ht="24.95" customHeight="1">
      <c r="A396" s="183"/>
      <c r="B396" s="178"/>
      <c r="C396" s="66">
        <v>9</v>
      </c>
      <c r="D396" s="70" t="s">
        <v>912</v>
      </c>
      <c r="E396" s="70">
        <v>12899424.244100001</v>
      </c>
      <c r="F396" s="70">
        <v>0</v>
      </c>
      <c r="G396" s="70">
        <v>134553468.8294</v>
      </c>
      <c r="H396" s="70">
        <v>27310375.8314</v>
      </c>
      <c r="I396" s="70">
        <v>7766978.2386999996</v>
      </c>
      <c r="J396" s="70">
        <v>5242898.0670999996</v>
      </c>
      <c r="K396" s="70">
        <v>0</v>
      </c>
      <c r="L396" s="70">
        <f t="shared" si="99"/>
        <v>5242898.0670999996</v>
      </c>
      <c r="M396" s="85">
        <v>260774027.9923</v>
      </c>
      <c r="N396" s="75">
        <f t="shared" si="100"/>
        <v>448547173.20300001</v>
      </c>
      <c r="O396" s="74"/>
      <c r="P396" s="178"/>
      <c r="Q396" s="78">
        <v>7</v>
      </c>
      <c r="R396" s="178"/>
      <c r="S396" s="70" t="s">
        <v>913</v>
      </c>
      <c r="T396" s="70">
        <v>13833857.369999999</v>
      </c>
      <c r="U396" s="70"/>
      <c r="V396" s="70">
        <v>144300509.93000001</v>
      </c>
      <c r="W396" s="70">
        <v>29288736.98</v>
      </c>
      <c r="X396" s="70">
        <v>7932705.3899999997</v>
      </c>
      <c r="Y396" s="70">
        <v>5622693.1294999998</v>
      </c>
      <c r="Z396" s="70">
        <v>0</v>
      </c>
      <c r="AA396" s="70">
        <f t="shared" si="92"/>
        <v>5622693.1294999998</v>
      </c>
      <c r="AB396" s="70">
        <v>283533599.64429998</v>
      </c>
      <c r="AC396" s="75">
        <f t="shared" si="102"/>
        <v>484512102.44379997</v>
      </c>
    </row>
    <row r="397" spans="1:29" ht="24.95" customHeight="1">
      <c r="A397" s="183"/>
      <c r="B397" s="178"/>
      <c r="C397" s="66">
        <v>10</v>
      </c>
      <c r="D397" s="70" t="s">
        <v>914</v>
      </c>
      <c r="E397" s="70">
        <v>12989768.1569</v>
      </c>
      <c r="F397" s="70">
        <v>0</v>
      </c>
      <c r="G397" s="70">
        <v>135495843.20390001</v>
      </c>
      <c r="H397" s="70">
        <v>27501649.966200002</v>
      </c>
      <c r="I397" s="70">
        <v>8055597.7007999998</v>
      </c>
      <c r="J397" s="70">
        <v>5279617.8398000002</v>
      </c>
      <c r="K397" s="70">
        <v>0</v>
      </c>
      <c r="L397" s="70">
        <f t="shared" si="99"/>
        <v>5279617.8398000002</v>
      </c>
      <c r="M397" s="85">
        <v>271271001.77649999</v>
      </c>
      <c r="N397" s="75">
        <f t="shared" si="100"/>
        <v>460593478.64409995</v>
      </c>
      <c r="O397" s="74"/>
      <c r="P397" s="178"/>
      <c r="Q397" s="78">
        <v>8</v>
      </c>
      <c r="R397" s="178"/>
      <c r="S397" s="70" t="s">
        <v>827</v>
      </c>
      <c r="T397" s="70">
        <v>12551075.32</v>
      </c>
      <c r="U397" s="70"/>
      <c r="V397" s="70">
        <v>130919852.67</v>
      </c>
      <c r="W397" s="70">
        <v>26572859.190000001</v>
      </c>
      <c r="X397" s="70">
        <v>6613881.5700000003</v>
      </c>
      <c r="Y397" s="70">
        <v>5101313.6156000001</v>
      </c>
      <c r="Z397" s="70">
        <v>0</v>
      </c>
      <c r="AA397" s="70">
        <f t="shared" si="92"/>
        <v>5101313.6156000001</v>
      </c>
      <c r="AB397" s="70">
        <v>235568507.4813</v>
      </c>
      <c r="AC397" s="75">
        <f t="shared" si="102"/>
        <v>417327489.84689999</v>
      </c>
    </row>
    <row r="398" spans="1:29" ht="24.95" customHeight="1">
      <c r="A398" s="183"/>
      <c r="B398" s="178"/>
      <c r="C398" s="66">
        <v>11</v>
      </c>
      <c r="D398" s="70" t="s">
        <v>915</v>
      </c>
      <c r="E398" s="70">
        <v>12039719.8222</v>
      </c>
      <c r="F398" s="70">
        <v>0</v>
      </c>
      <c r="G398" s="70">
        <v>125585920.3609</v>
      </c>
      <c r="H398" s="70">
        <v>25490228.635699999</v>
      </c>
      <c r="I398" s="70">
        <v>6814480.1046000002</v>
      </c>
      <c r="J398" s="70">
        <v>4893476.0646000002</v>
      </c>
      <c r="K398" s="70">
        <v>0</v>
      </c>
      <c r="L398" s="70">
        <f t="shared" si="99"/>
        <v>4893476.0646000002</v>
      </c>
      <c r="M398" s="85">
        <v>226132053.8495</v>
      </c>
      <c r="N398" s="75">
        <f t="shared" si="100"/>
        <v>400955878.83749998</v>
      </c>
      <c r="O398" s="74"/>
      <c r="P398" s="178"/>
      <c r="Q398" s="78">
        <v>9</v>
      </c>
      <c r="R398" s="178"/>
      <c r="S398" s="70" t="s">
        <v>916</v>
      </c>
      <c r="T398" s="70">
        <v>13568067.35</v>
      </c>
      <c r="U398" s="70"/>
      <c r="V398" s="70">
        <v>141528063.00999999</v>
      </c>
      <c r="W398" s="70">
        <v>28726012.23</v>
      </c>
      <c r="X398" s="70">
        <v>7027608.8200000003</v>
      </c>
      <c r="Y398" s="70">
        <v>5514664.2769999998</v>
      </c>
      <c r="Z398" s="70">
        <v>0</v>
      </c>
      <c r="AA398" s="70">
        <f t="shared" si="92"/>
        <v>5514664.2769999998</v>
      </c>
      <c r="AB398" s="70">
        <v>250615601.49470001</v>
      </c>
      <c r="AC398" s="75">
        <f t="shared" si="102"/>
        <v>446980017.18169999</v>
      </c>
    </row>
    <row r="399" spans="1:29" ht="24.95" customHeight="1">
      <c r="A399" s="183"/>
      <c r="B399" s="178"/>
      <c r="C399" s="66">
        <v>12</v>
      </c>
      <c r="D399" s="70" t="s">
        <v>917</v>
      </c>
      <c r="E399" s="70">
        <v>11795119.8013</v>
      </c>
      <c r="F399" s="70">
        <v>0</v>
      </c>
      <c r="G399" s="70">
        <v>123034505.60879999</v>
      </c>
      <c r="H399" s="70">
        <v>24972366.878600001</v>
      </c>
      <c r="I399" s="70">
        <v>7426054.0399000002</v>
      </c>
      <c r="J399" s="70">
        <v>4794059.7686999999</v>
      </c>
      <c r="K399" s="70">
        <v>0</v>
      </c>
      <c r="L399" s="70">
        <f t="shared" si="99"/>
        <v>4794059.7686999999</v>
      </c>
      <c r="M399" s="85">
        <v>248374751.96810001</v>
      </c>
      <c r="N399" s="75">
        <f t="shared" si="100"/>
        <v>420396858.0654</v>
      </c>
      <c r="O399" s="74"/>
      <c r="P399" s="178"/>
      <c r="Q399" s="78">
        <v>10</v>
      </c>
      <c r="R399" s="178"/>
      <c r="S399" s="70" t="s">
        <v>918</v>
      </c>
      <c r="T399" s="70">
        <v>17908742.379999999</v>
      </c>
      <c r="U399" s="70"/>
      <c r="V399" s="70">
        <v>186805501.11000001</v>
      </c>
      <c r="W399" s="70">
        <v>37915993.450000003</v>
      </c>
      <c r="X399" s="70">
        <v>8067901.9000000004</v>
      </c>
      <c r="Y399" s="70">
        <v>7278907.1034000004</v>
      </c>
      <c r="Z399" s="70">
        <v>0</v>
      </c>
      <c r="AA399" s="70">
        <f t="shared" si="92"/>
        <v>7278907.1034000004</v>
      </c>
      <c r="AB399" s="70">
        <v>288450642.46509999</v>
      </c>
      <c r="AC399" s="75">
        <f t="shared" si="102"/>
        <v>546427688.40849996</v>
      </c>
    </row>
    <row r="400" spans="1:29" ht="24.95" customHeight="1">
      <c r="A400" s="183"/>
      <c r="B400" s="178"/>
      <c r="C400" s="66">
        <v>13</v>
      </c>
      <c r="D400" s="70" t="s">
        <v>919</v>
      </c>
      <c r="E400" s="70">
        <v>12324232.5592</v>
      </c>
      <c r="F400" s="70">
        <v>0</v>
      </c>
      <c r="G400" s="70">
        <v>128553663.3354</v>
      </c>
      <c r="H400" s="70">
        <v>26092592.712299999</v>
      </c>
      <c r="I400" s="70">
        <v>7582993.9209000003</v>
      </c>
      <c r="J400" s="70">
        <v>5009114.6583000002</v>
      </c>
      <c r="K400" s="70">
        <v>0</v>
      </c>
      <c r="L400" s="70">
        <f t="shared" si="99"/>
        <v>5009114.6583000002</v>
      </c>
      <c r="M400" s="85">
        <v>254082592.33360001</v>
      </c>
      <c r="N400" s="75">
        <f t="shared" si="100"/>
        <v>433645189.51970005</v>
      </c>
      <c r="O400" s="74"/>
      <c r="P400" s="178"/>
      <c r="Q400" s="78">
        <v>11</v>
      </c>
      <c r="R400" s="178"/>
      <c r="S400" s="70" t="s">
        <v>920</v>
      </c>
      <c r="T400" s="70">
        <v>11181859.98</v>
      </c>
      <c r="U400" s="70"/>
      <c r="V400" s="70">
        <v>116637612.65000001</v>
      </c>
      <c r="W400" s="70">
        <v>23673986.75</v>
      </c>
      <c r="X400" s="70">
        <v>6062339.3499999996</v>
      </c>
      <c r="Y400" s="70">
        <v>4544803.7823999999</v>
      </c>
      <c r="Z400" s="70">
        <v>0</v>
      </c>
      <c r="AA400" s="70">
        <f t="shared" ref="AA400:AA412" si="103">Y400-Z400</f>
        <v>4544803.7823999999</v>
      </c>
      <c r="AB400" s="70">
        <v>215509138.8294</v>
      </c>
      <c r="AC400" s="75">
        <f t="shared" si="102"/>
        <v>377609741.34179997</v>
      </c>
    </row>
    <row r="401" spans="1:29" ht="24.95" customHeight="1">
      <c r="A401" s="183"/>
      <c r="B401" s="178"/>
      <c r="C401" s="66">
        <v>14</v>
      </c>
      <c r="D401" s="70" t="s">
        <v>921</v>
      </c>
      <c r="E401" s="70">
        <v>10993270.746200001</v>
      </c>
      <c r="F401" s="70">
        <v>0</v>
      </c>
      <c r="G401" s="70">
        <v>114670444.56299999</v>
      </c>
      <c r="H401" s="70">
        <v>23274709.786499999</v>
      </c>
      <c r="I401" s="70">
        <v>6959765.335</v>
      </c>
      <c r="J401" s="70">
        <v>4468152.7528999997</v>
      </c>
      <c r="K401" s="70">
        <v>0</v>
      </c>
      <c r="L401" s="70">
        <f t="shared" si="99"/>
        <v>4468152.7528999997</v>
      </c>
      <c r="M401" s="85">
        <v>231416019.26190001</v>
      </c>
      <c r="N401" s="75">
        <f t="shared" si="100"/>
        <v>391782362.44550002</v>
      </c>
      <c r="O401" s="74"/>
      <c r="P401" s="178"/>
      <c r="Q401" s="78">
        <v>12</v>
      </c>
      <c r="R401" s="178"/>
      <c r="S401" s="70" t="s">
        <v>922</v>
      </c>
      <c r="T401" s="70">
        <v>12915233.1</v>
      </c>
      <c r="U401" s="70"/>
      <c r="V401" s="70">
        <v>134718370.47</v>
      </c>
      <c r="W401" s="70">
        <v>27343845.989999998</v>
      </c>
      <c r="X401" s="70">
        <v>7083135.2800000003</v>
      </c>
      <c r="Y401" s="70">
        <v>5249323.4797</v>
      </c>
      <c r="Z401" s="70">
        <v>0</v>
      </c>
      <c r="AA401" s="70">
        <f t="shared" si="103"/>
        <v>5249323.4797</v>
      </c>
      <c r="AB401" s="70">
        <v>252635076.21630001</v>
      </c>
      <c r="AC401" s="75">
        <f t="shared" si="102"/>
        <v>439944984.53600001</v>
      </c>
    </row>
    <row r="402" spans="1:29" ht="24.95" customHeight="1">
      <c r="A402" s="183"/>
      <c r="B402" s="178"/>
      <c r="C402" s="66">
        <v>15</v>
      </c>
      <c r="D402" s="70" t="s">
        <v>923</v>
      </c>
      <c r="E402" s="70">
        <v>10935905.200300001</v>
      </c>
      <c r="F402" s="70">
        <v>0</v>
      </c>
      <c r="G402" s="70">
        <v>114072066.4463</v>
      </c>
      <c r="H402" s="70">
        <v>23153256.721099999</v>
      </c>
      <c r="I402" s="70">
        <v>6369254.4850000003</v>
      </c>
      <c r="J402" s="70">
        <v>4444836.8509999998</v>
      </c>
      <c r="K402" s="70">
        <v>0</v>
      </c>
      <c r="L402" s="70">
        <f t="shared" si="99"/>
        <v>4444836.8509999998</v>
      </c>
      <c r="M402" s="85">
        <v>209939377.08829999</v>
      </c>
      <c r="N402" s="75">
        <f t="shared" si="100"/>
        <v>368914696.79200006</v>
      </c>
      <c r="O402" s="74"/>
      <c r="P402" s="178"/>
      <c r="Q402" s="78">
        <v>13</v>
      </c>
      <c r="R402" s="178"/>
      <c r="S402" s="70" t="s">
        <v>924</v>
      </c>
      <c r="T402" s="70">
        <v>13683264.890000001</v>
      </c>
      <c r="U402" s="70"/>
      <c r="V402" s="70">
        <v>142729684.77000001</v>
      </c>
      <c r="W402" s="70">
        <v>28969905.920000002</v>
      </c>
      <c r="X402" s="70">
        <v>7735564.6699999999</v>
      </c>
      <c r="Y402" s="70">
        <v>5561485.6677000001</v>
      </c>
      <c r="Z402" s="70">
        <v>0</v>
      </c>
      <c r="AA402" s="70">
        <f t="shared" si="103"/>
        <v>5561485.6677000001</v>
      </c>
      <c r="AB402" s="70">
        <v>276363670.78399998</v>
      </c>
      <c r="AC402" s="75">
        <f t="shared" si="102"/>
        <v>475043576.70169997</v>
      </c>
    </row>
    <row r="403" spans="1:29" ht="24.95" customHeight="1">
      <c r="A403" s="183"/>
      <c r="B403" s="178"/>
      <c r="C403" s="66">
        <v>16</v>
      </c>
      <c r="D403" s="70" t="s">
        <v>925</v>
      </c>
      <c r="E403" s="70">
        <v>11819207.709000001</v>
      </c>
      <c r="F403" s="70">
        <v>0</v>
      </c>
      <c r="G403" s="70">
        <v>123285765.7806</v>
      </c>
      <c r="H403" s="70">
        <v>25023365.264600001</v>
      </c>
      <c r="I403" s="70">
        <v>7454138.1538000004</v>
      </c>
      <c r="J403" s="70">
        <v>4803850.1626000004</v>
      </c>
      <c r="K403" s="70">
        <v>0</v>
      </c>
      <c r="L403" s="70">
        <f t="shared" si="99"/>
        <v>4803850.1626000004</v>
      </c>
      <c r="M403" s="85">
        <v>249396159.89480001</v>
      </c>
      <c r="N403" s="75">
        <f t="shared" si="100"/>
        <v>421782486.96540004</v>
      </c>
      <c r="O403" s="74"/>
      <c r="P403" s="179"/>
      <c r="Q403" s="78">
        <v>14</v>
      </c>
      <c r="R403" s="179"/>
      <c r="S403" s="70" t="s">
        <v>926</v>
      </c>
      <c r="T403" s="70">
        <v>15111893.380000001</v>
      </c>
      <c r="U403" s="70"/>
      <c r="V403" s="70">
        <v>157631661.46000001</v>
      </c>
      <c r="W403" s="70">
        <v>31994566.579999998</v>
      </c>
      <c r="X403" s="70">
        <v>8092764.2999999998</v>
      </c>
      <c r="Y403" s="70">
        <v>6142143.6375000002</v>
      </c>
      <c r="Z403" s="70">
        <v>0</v>
      </c>
      <c r="AA403" s="70">
        <f t="shared" si="103"/>
        <v>6142143.6375000002</v>
      </c>
      <c r="AB403" s="70">
        <v>289354877.91030002</v>
      </c>
      <c r="AC403" s="75">
        <f t="shared" si="102"/>
        <v>508327907.26780003</v>
      </c>
    </row>
    <row r="404" spans="1:29" ht="24.95" customHeight="1">
      <c r="A404" s="183"/>
      <c r="B404" s="178"/>
      <c r="C404" s="66">
        <v>17</v>
      </c>
      <c r="D404" s="70" t="s">
        <v>927</v>
      </c>
      <c r="E404" s="70">
        <v>13496715.866699999</v>
      </c>
      <c r="F404" s="70">
        <v>0</v>
      </c>
      <c r="G404" s="70">
        <v>140783798.04409999</v>
      </c>
      <c r="H404" s="70">
        <v>28574948.449900001</v>
      </c>
      <c r="I404" s="70">
        <v>8494495.4099000003</v>
      </c>
      <c r="J404" s="70">
        <v>5485663.8707999997</v>
      </c>
      <c r="K404" s="70">
        <v>0</v>
      </c>
      <c r="L404" s="70">
        <f t="shared" si="99"/>
        <v>5485663.8707999997</v>
      </c>
      <c r="M404" s="85">
        <v>287233534.97839999</v>
      </c>
      <c r="N404" s="75">
        <f t="shared" si="100"/>
        <v>484069156.61979997</v>
      </c>
      <c r="O404" s="74"/>
      <c r="P404" s="66"/>
      <c r="Q404" s="191" t="s">
        <v>928</v>
      </c>
      <c r="R404" s="192"/>
      <c r="S404" s="71"/>
      <c r="T404" s="71">
        <f t="shared" ref="T404:Z404" si="104">SUM(T390:T403)</f>
        <v>194335909.39999998</v>
      </c>
      <c r="U404" s="71">
        <f t="shared" si="104"/>
        <v>0</v>
      </c>
      <c r="V404" s="71">
        <f t="shared" si="104"/>
        <v>2027111461.1700003</v>
      </c>
      <c r="W404" s="71">
        <f t="shared" si="104"/>
        <v>411443691.02999997</v>
      </c>
      <c r="X404" s="71">
        <f t="shared" si="104"/>
        <v>102338810.63</v>
      </c>
      <c r="Y404" s="71">
        <f t="shared" si="104"/>
        <v>78986731.851199999</v>
      </c>
      <c r="Z404" s="71">
        <f t="shared" si="104"/>
        <v>0</v>
      </c>
      <c r="AA404" s="71">
        <f t="shared" si="103"/>
        <v>78986731.851199999</v>
      </c>
      <c r="AB404" s="71">
        <f>SUM(AB390:AB403)</f>
        <v>3652361513.2355995</v>
      </c>
      <c r="AC404" s="71">
        <f>SUM(AC390:AC403)</f>
        <v>6466578117.3168001</v>
      </c>
    </row>
    <row r="405" spans="1:29" ht="24.95" customHeight="1">
      <c r="A405" s="183"/>
      <c r="B405" s="178"/>
      <c r="C405" s="66">
        <v>18</v>
      </c>
      <c r="D405" s="70" t="s">
        <v>929</v>
      </c>
      <c r="E405" s="70">
        <v>16226719.130999999</v>
      </c>
      <c r="F405" s="70">
        <v>0</v>
      </c>
      <c r="G405" s="70">
        <v>169260372.05059999</v>
      </c>
      <c r="H405" s="70">
        <v>34354851.0066</v>
      </c>
      <c r="I405" s="70">
        <v>9521208.5101999994</v>
      </c>
      <c r="J405" s="70">
        <v>6595258.2655999996</v>
      </c>
      <c r="K405" s="70">
        <v>0</v>
      </c>
      <c r="L405" s="70">
        <f t="shared" si="99"/>
        <v>6595258.2655999996</v>
      </c>
      <c r="M405" s="85">
        <v>324574677.60030001</v>
      </c>
      <c r="N405" s="75">
        <f t="shared" si="100"/>
        <v>560533086.56430006</v>
      </c>
      <c r="O405" s="74"/>
      <c r="P405" s="177">
        <v>37</v>
      </c>
      <c r="Q405" s="78">
        <v>1</v>
      </c>
      <c r="R405" s="177" t="s">
        <v>930</v>
      </c>
      <c r="S405" s="70" t="s">
        <v>931</v>
      </c>
      <c r="T405" s="70">
        <v>9982474.9199999999</v>
      </c>
      <c r="U405" s="70"/>
      <c r="V405" s="70">
        <v>104126866.69</v>
      </c>
      <c r="W405" s="70">
        <v>21134675.219999999</v>
      </c>
      <c r="X405" s="70">
        <v>16707958.109999999</v>
      </c>
      <c r="Y405" s="70">
        <v>4057320.5066</v>
      </c>
      <c r="Z405" s="70">
        <v>0</v>
      </c>
      <c r="AA405" s="70">
        <f t="shared" si="103"/>
        <v>4057320.5066</v>
      </c>
      <c r="AB405" s="70">
        <v>882223188.96949995</v>
      </c>
      <c r="AC405" s="75">
        <f t="shared" si="102"/>
        <v>1038232484.4160999</v>
      </c>
    </row>
    <row r="406" spans="1:29" ht="24.95" customHeight="1">
      <c r="A406" s="183"/>
      <c r="B406" s="178"/>
      <c r="C406" s="66">
        <v>19</v>
      </c>
      <c r="D406" s="70" t="s">
        <v>932</v>
      </c>
      <c r="E406" s="70">
        <v>11156270.2522</v>
      </c>
      <c r="F406" s="70">
        <v>0</v>
      </c>
      <c r="G406" s="70">
        <v>116370687.03479999</v>
      </c>
      <c r="H406" s="70">
        <v>23619808.737199999</v>
      </c>
      <c r="I406" s="70">
        <v>7235562.1144000003</v>
      </c>
      <c r="J406" s="70">
        <v>4534402.9807000002</v>
      </c>
      <c r="K406" s="70">
        <v>0</v>
      </c>
      <c r="L406" s="70">
        <f t="shared" si="99"/>
        <v>4534402.9807000002</v>
      </c>
      <c r="M406" s="85">
        <v>241446637.2331</v>
      </c>
      <c r="N406" s="75">
        <f t="shared" si="100"/>
        <v>404363368.35239995</v>
      </c>
      <c r="O406" s="74"/>
      <c r="P406" s="178"/>
      <c r="Q406" s="78">
        <v>2</v>
      </c>
      <c r="R406" s="178"/>
      <c r="S406" s="70" t="s">
        <v>933</v>
      </c>
      <c r="T406" s="70">
        <v>25482895.710000001</v>
      </c>
      <c r="U406" s="70"/>
      <c r="V406" s="70">
        <v>265811244.69999999</v>
      </c>
      <c r="W406" s="70">
        <v>53951823.439999998</v>
      </c>
      <c r="X406" s="70">
        <v>25951109.98</v>
      </c>
      <c r="Y406" s="70">
        <v>10357378.9131</v>
      </c>
      <c r="Z406" s="70">
        <v>0</v>
      </c>
      <c r="AA406" s="70">
        <f t="shared" si="103"/>
        <v>10357378.9131</v>
      </c>
      <c r="AB406" s="70">
        <v>1218392905.7883999</v>
      </c>
      <c r="AC406" s="75">
        <f t="shared" si="102"/>
        <v>1599947358.5314999</v>
      </c>
    </row>
    <row r="407" spans="1:29" ht="24.95" customHeight="1">
      <c r="A407" s="183"/>
      <c r="B407" s="178"/>
      <c r="C407" s="66">
        <v>20</v>
      </c>
      <c r="D407" s="70" t="s">
        <v>934</v>
      </c>
      <c r="E407" s="70">
        <v>10749809.414100001</v>
      </c>
      <c r="F407" s="70">
        <v>0</v>
      </c>
      <c r="G407" s="70">
        <v>112130907.43780001</v>
      </c>
      <c r="H407" s="70">
        <v>22759258.8365</v>
      </c>
      <c r="I407" s="70">
        <v>6848455.7211999996</v>
      </c>
      <c r="J407" s="70">
        <v>4369199.2706000004</v>
      </c>
      <c r="K407" s="70">
        <v>0</v>
      </c>
      <c r="L407" s="70">
        <f t="shared" si="99"/>
        <v>4369199.2706000004</v>
      </c>
      <c r="M407" s="85">
        <v>227367733.36590001</v>
      </c>
      <c r="N407" s="75">
        <f t="shared" si="100"/>
        <v>384225364.04610002</v>
      </c>
      <c r="O407" s="74"/>
      <c r="P407" s="178"/>
      <c r="Q407" s="78">
        <v>3</v>
      </c>
      <c r="R407" s="178"/>
      <c r="S407" s="70" t="s">
        <v>935</v>
      </c>
      <c r="T407" s="70">
        <v>14353818.289999999</v>
      </c>
      <c r="U407" s="70"/>
      <c r="V407" s="70">
        <v>149724205.13999999</v>
      </c>
      <c r="W407" s="70">
        <v>30389586.75</v>
      </c>
      <c r="X407" s="70">
        <v>18874234.190000001</v>
      </c>
      <c r="Y407" s="70">
        <v>5834028.3025000002</v>
      </c>
      <c r="Z407" s="70">
        <v>0</v>
      </c>
      <c r="AA407" s="70">
        <f t="shared" si="103"/>
        <v>5834028.3025000002</v>
      </c>
      <c r="AB407" s="70">
        <v>961009778.82560003</v>
      </c>
      <c r="AC407" s="75">
        <f t="shared" si="102"/>
        <v>1180185651.4981</v>
      </c>
    </row>
    <row r="408" spans="1:29" ht="24.95" customHeight="1">
      <c r="A408" s="183"/>
      <c r="B408" s="178"/>
      <c r="C408" s="66">
        <v>21</v>
      </c>
      <c r="D408" s="70" t="s">
        <v>936</v>
      </c>
      <c r="E408" s="70">
        <v>15662583.393200001</v>
      </c>
      <c r="F408" s="70">
        <v>0</v>
      </c>
      <c r="G408" s="70">
        <v>163375890.77700001</v>
      </c>
      <c r="H408" s="70">
        <v>33160475.294500001</v>
      </c>
      <c r="I408" s="70">
        <v>9565696.4162000008</v>
      </c>
      <c r="J408" s="70">
        <v>6365968.4839000003</v>
      </c>
      <c r="K408" s="70">
        <v>0</v>
      </c>
      <c r="L408" s="70">
        <f t="shared" si="99"/>
        <v>6365968.4839000003</v>
      </c>
      <c r="M408" s="85">
        <v>326192684.85530001</v>
      </c>
      <c r="N408" s="75">
        <f t="shared" si="100"/>
        <v>554323299.22010005</v>
      </c>
      <c r="O408" s="74"/>
      <c r="P408" s="178"/>
      <c r="Q408" s="78">
        <v>4</v>
      </c>
      <c r="R408" s="178"/>
      <c r="S408" s="70" t="s">
        <v>937</v>
      </c>
      <c r="T408" s="70">
        <v>12301412.57</v>
      </c>
      <c r="U408" s="70"/>
      <c r="V408" s="70">
        <v>128315628.79000001</v>
      </c>
      <c r="W408" s="70">
        <v>26044278.739999998</v>
      </c>
      <c r="X408" s="70">
        <v>17982858.789999999</v>
      </c>
      <c r="Y408" s="70">
        <v>4999839.6020999998</v>
      </c>
      <c r="Z408" s="70">
        <v>0</v>
      </c>
      <c r="AA408" s="70">
        <f t="shared" si="103"/>
        <v>4999839.6020999998</v>
      </c>
      <c r="AB408" s="70">
        <v>928590814.07350004</v>
      </c>
      <c r="AC408" s="75">
        <f t="shared" si="102"/>
        <v>1118234832.5655999</v>
      </c>
    </row>
    <row r="409" spans="1:29" ht="24.95" customHeight="1">
      <c r="A409" s="183"/>
      <c r="B409" s="178"/>
      <c r="C409" s="66">
        <v>22</v>
      </c>
      <c r="D409" s="70" t="s">
        <v>938</v>
      </c>
      <c r="E409" s="70">
        <v>10424057.771400001</v>
      </c>
      <c r="F409" s="70">
        <v>0</v>
      </c>
      <c r="G409" s="70">
        <v>108733002.7974</v>
      </c>
      <c r="H409" s="70">
        <v>22069584.660300002</v>
      </c>
      <c r="I409" s="70">
        <v>6689025.7498000003</v>
      </c>
      <c r="J409" s="70">
        <v>4236799.3568000002</v>
      </c>
      <c r="K409" s="70">
        <v>0</v>
      </c>
      <c r="L409" s="70">
        <f t="shared" si="99"/>
        <v>4236799.3568000002</v>
      </c>
      <c r="M409" s="85">
        <v>221569329.4091</v>
      </c>
      <c r="N409" s="75">
        <f t="shared" si="100"/>
        <v>373721799.74479997</v>
      </c>
      <c r="O409" s="74"/>
      <c r="P409" s="178"/>
      <c r="Q409" s="78">
        <v>5</v>
      </c>
      <c r="R409" s="178"/>
      <c r="S409" s="70" t="s">
        <v>939</v>
      </c>
      <c r="T409" s="70">
        <v>11688433.640000001</v>
      </c>
      <c r="U409" s="70"/>
      <c r="V409" s="70">
        <v>121921665.81999999</v>
      </c>
      <c r="W409" s="70">
        <v>24746493.300000001</v>
      </c>
      <c r="X409" s="70">
        <v>17207554.989999998</v>
      </c>
      <c r="Y409" s="70">
        <v>4750697.7790999999</v>
      </c>
      <c r="Z409" s="70">
        <v>0</v>
      </c>
      <c r="AA409" s="70">
        <f t="shared" si="103"/>
        <v>4750697.7790999999</v>
      </c>
      <c r="AB409" s="70">
        <v>900393326.41509998</v>
      </c>
      <c r="AC409" s="75">
        <f t="shared" si="102"/>
        <v>1080708171.9442</v>
      </c>
    </row>
    <row r="410" spans="1:29" ht="24.95" customHeight="1">
      <c r="A410" s="183"/>
      <c r="B410" s="178"/>
      <c r="C410" s="66">
        <v>23</v>
      </c>
      <c r="D410" s="70" t="s">
        <v>940</v>
      </c>
      <c r="E410" s="70">
        <v>10520009.622500001</v>
      </c>
      <c r="F410" s="70">
        <v>0</v>
      </c>
      <c r="G410" s="70">
        <v>109733873.392</v>
      </c>
      <c r="H410" s="70">
        <v>22272731.7984</v>
      </c>
      <c r="I410" s="70">
        <v>6629071.0443000002</v>
      </c>
      <c r="J410" s="70">
        <v>4275798.4444000004</v>
      </c>
      <c r="K410" s="70">
        <v>0</v>
      </c>
      <c r="L410" s="70">
        <f t="shared" si="99"/>
        <v>4275798.4444000004</v>
      </c>
      <c r="M410" s="85">
        <v>219388800.87819999</v>
      </c>
      <c r="N410" s="75">
        <f t="shared" si="100"/>
        <v>372820285.17980003</v>
      </c>
      <c r="O410" s="74"/>
      <c r="P410" s="179"/>
      <c r="Q410" s="78">
        <v>6</v>
      </c>
      <c r="R410" s="179"/>
      <c r="S410" s="70" t="s">
        <v>941</v>
      </c>
      <c r="T410" s="70">
        <v>12023166.439999999</v>
      </c>
      <c r="U410" s="70"/>
      <c r="V410" s="70">
        <v>125413252.56</v>
      </c>
      <c r="W410" s="70">
        <v>25455182.18</v>
      </c>
      <c r="X410" s="70">
        <v>17059561.460000001</v>
      </c>
      <c r="Y410" s="70">
        <v>4886748.0352999996</v>
      </c>
      <c r="Z410" s="70">
        <v>0</v>
      </c>
      <c r="AA410" s="70">
        <f t="shared" si="103"/>
        <v>4886748.0352999996</v>
      </c>
      <c r="AB410" s="70">
        <v>895010861.42659998</v>
      </c>
      <c r="AC410" s="75">
        <f t="shared" si="102"/>
        <v>1079848772.1019001</v>
      </c>
    </row>
    <row r="411" spans="1:29" ht="24.95" customHeight="1">
      <c r="A411" s="183"/>
      <c r="B411" s="178"/>
      <c r="C411" s="66">
        <v>24</v>
      </c>
      <c r="D411" s="70" t="s">
        <v>942</v>
      </c>
      <c r="E411" s="70">
        <v>13572078.195599999</v>
      </c>
      <c r="F411" s="70">
        <v>0</v>
      </c>
      <c r="G411" s="70">
        <v>141569900.01140001</v>
      </c>
      <c r="H411" s="70">
        <v>28734503.906599998</v>
      </c>
      <c r="I411" s="70">
        <v>8272594.9714000002</v>
      </c>
      <c r="J411" s="70">
        <v>5516294.4633999998</v>
      </c>
      <c r="K411" s="70">
        <v>0</v>
      </c>
      <c r="L411" s="70">
        <f t="shared" si="99"/>
        <v>5516294.4633999998</v>
      </c>
      <c r="M411" s="85">
        <v>279163105.25400001</v>
      </c>
      <c r="N411" s="75">
        <f t="shared" si="100"/>
        <v>476828476.80239999</v>
      </c>
      <c r="O411" s="74"/>
      <c r="P411" s="66"/>
      <c r="Q411" s="191" t="s">
        <v>943</v>
      </c>
      <c r="R411" s="192"/>
      <c r="S411" s="95"/>
      <c r="T411" s="95">
        <f t="shared" ref="T411:Z411" si="105">SUM(T405:T410)</f>
        <v>85832201.569999993</v>
      </c>
      <c r="U411" s="95">
        <f t="shared" si="105"/>
        <v>0</v>
      </c>
      <c r="V411" s="95">
        <f t="shared" si="105"/>
        <v>895312863.69999981</v>
      </c>
      <c r="W411" s="95">
        <f t="shared" si="105"/>
        <v>181722039.63</v>
      </c>
      <c r="X411" s="95">
        <f t="shared" si="105"/>
        <v>113783277.51999998</v>
      </c>
      <c r="Y411" s="95">
        <f t="shared" si="105"/>
        <v>34886013.138700001</v>
      </c>
      <c r="Z411" s="95">
        <f t="shared" si="105"/>
        <v>0</v>
      </c>
      <c r="AA411" s="71">
        <f t="shared" si="103"/>
        <v>34886013.138700001</v>
      </c>
      <c r="AB411" s="95">
        <f>SUM(AB405:AB410)</f>
        <v>5785620875.4986992</v>
      </c>
      <c r="AC411" s="95">
        <f>SUM(AC405:AC410)</f>
        <v>7097157271.0573997</v>
      </c>
    </row>
    <row r="412" spans="1:29" ht="24.95" customHeight="1">
      <c r="A412" s="177"/>
      <c r="B412" s="178"/>
      <c r="C412" s="66">
        <v>25</v>
      </c>
      <c r="D412" s="70" t="s">
        <v>944</v>
      </c>
      <c r="E412" s="70">
        <v>13867654.489499999</v>
      </c>
      <c r="F412" s="70">
        <v>0</v>
      </c>
      <c r="G412" s="70">
        <v>144653046.58430001</v>
      </c>
      <c r="H412" s="70">
        <v>29360291.501600001</v>
      </c>
      <c r="I412" s="70">
        <v>8673037.4679000005</v>
      </c>
      <c r="J412" s="70">
        <v>5636429.7772000004</v>
      </c>
      <c r="K412" s="70">
        <v>0</v>
      </c>
      <c r="L412" s="70">
        <f t="shared" si="99"/>
        <v>5636429.7772000004</v>
      </c>
      <c r="M412" s="85">
        <v>293727037.83960003</v>
      </c>
      <c r="N412" s="75">
        <f t="shared" si="100"/>
        <v>495917497.66010004</v>
      </c>
      <c r="O412" s="74"/>
      <c r="P412" s="190" t="s">
        <v>945</v>
      </c>
      <c r="Q412" s="193"/>
      <c r="R412" s="194"/>
      <c r="S412" s="96"/>
      <c r="T412" s="97">
        <v>9446537333.4599991</v>
      </c>
      <c r="U412" s="97">
        <f>-2833180.28</f>
        <v>-2833180.28</v>
      </c>
      <c r="V412" s="97">
        <v>98536519350.830002</v>
      </c>
      <c r="W412" s="97">
        <v>20000000000</v>
      </c>
      <c r="X412" s="97">
        <v>5988776483.0900002</v>
      </c>
      <c r="Y412" s="97">
        <v>3839491700.5300002</v>
      </c>
      <c r="Z412" s="97">
        <v>1103439342.99</v>
      </c>
      <c r="AA412" s="101">
        <f t="shared" si="103"/>
        <v>2736052357.54</v>
      </c>
      <c r="AB412" s="97">
        <v>217809392637.41</v>
      </c>
      <c r="AC412" s="75">
        <f>T412+V412+W412+X412+AA412+AB412</f>
        <v>354517278162.33002</v>
      </c>
    </row>
    <row r="413" spans="1:29">
      <c r="A413" s="66"/>
      <c r="B413" s="67"/>
      <c r="C413" s="86"/>
      <c r="D413" s="87"/>
      <c r="E413" s="88">
        <f>SUM(E388:E412)</f>
        <v>309986507.55489993</v>
      </c>
      <c r="F413" s="88">
        <f t="shared" ref="F413:N413" si="106">SUM(F388:F412)</f>
        <v>0</v>
      </c>
      <c r="G413" s="88">
        <f t="shared" si="106"/>
        <v>3233459036.0428004</v>
      </c>
      <c r="H413" s="88">
        <f t="shared" si="106"/>
        <v>656296580.66790009</v>
      </c>
      <c r="I413" s="88">
        <f t="shared" si="106"/>
        <v>192335318.74269998</v>
      </c>
      <c r="J413" s="88">
        <f t="shared" si="106"/>
        <v>125992263.7278</v>
      </c>
      <c r="K413" s="88">
        <f t="shared" si="106"/>
        <v>0</v>
      </c>
      <c r="L413" s="88">
        <f t="shared" si="106"/>
        <v>125992263.7278</v>
      </c>
      <c r="M413" s="88">
        <f t="shared" si="106"/>
        <v>6452462018.4661989</v>
      </c>
      <c r="N413" s="88">
        <f t="shared" si="106"/>
        <v>10970531725.202303</v>
      </c>
      <c r="O413" s="84">
        <v>0</v>
      </c>
      <c r="P413" s="94"/>
      <c r="Q413" s="195"/>
      <c r="R413" s="193"/>
      <c r="S413" s="194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</row>
    <row r="414" spans="1:29" ht="16.149999999999999"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S414" s="84"/>
      <c r="T414" s="98"/>
      <c r="U414" s="99"/>
      <c r="V414" s="99"/>
      <c r="W414" s="99"/>
      <c r="X414" s="99"/>
      <c r="Y414" s="98"/>
      <c r="Z414" s="98"/>
      <c r="AA414" s="98"/>
      <c r="AB414" s="100"/>
      <c r="AC414" s="84"/>
    </row>
    <row r="415" spans="1:29">
      <c r="C415" s="91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T415" s="100"/>
      <c r="Y415" s="100"/>
      <c r="Z415" s="100"/>
      <c r="AA415" s="100"/>
      <c r="AB415" s="100"/>
      <c r="AC415" s="84"/>
    </row>
    <row r="419" spans="13:13">
      <c r="M419" s="84"/>
    </row>
  </sheetData>
  <mergeCells count="118">
    <mergeCell ref="A1:AB1"/>
    <mergeCell ref="A2:AC2"/>
    <mergeCell ref="B3:AB3"/>
    <mergeCell ref="B24:C24"/>
    <mergeCell ref="Q26:R26"/>
    <mergeCell ref="B46:C46"/>
    <mergeCell ref="Q61:R61"/>
    <mergeCell ref="B78:C78"/>
    <mergeCell ref="Q83:R83"/>
    <mergeCell ref="P7:P25"/>
    <mergeCell ref="P27:P60"/>
    <mergeCell ref="P62:P82"/>
    <mergeCell ref="Q105:R105"/>
    <mergeCell ref="B121:C121"/>
    <mergeCell ref="Q122:R122"/>
    <mergeCell ref="B130:C130"/>
    <mergeCell ref="Q143:R143"/>
    <mergeCell ref="B154:C154"/>
    <mergeCell ref="Q157:R157"/>
    <mergeCell ref="B182:C182"/>
    <mergeCell ref="P84:P104"/>
    <mergeCell ref="P106:P121"/>
    <mergeCell ref="P123:P142"/>
    <mergeCell ref="P144:P156"/>
    <mergeCell ref="P158:P182"/>
    <mergeCell ref="Q183:R183"/>
    <mergeCell ref="B201:C201"/>
    <mergeCell ref="Q204:R204"/>
    <mergeCell ref="Q223:R223"/>
    <mergeCell ref="B227:C227"/>
    <mergeCell ref="B241:C241"/>
    <mergeCell ref="Q254:R254"/>
    <mergeCell ref="B260:C260"/>
    <mergeCell ref="B277:C277"/>
    <mergeCell ref="P184:P203"/>
    <mergeCell ref="P205:P222"/>
    <mergeCell ref="P224:P253"/>
    <mergeCell ref="P255:P287"/>
    <mergeCell ref="Q330:R330"/>
    <mergeCell ref="B335:C335"/>
    <mergeCell ref="Q354:R354"/>
    <mergeCell ref="B363:C363"/>
    <mergeCell ref="Q371:R371"/>
    <mergeCell ref="P289:P305"/>
    <mergeCell ref="P307:P329"/>
    <mergeCell ref="P331:P353"/>
    <mergeCell ref="P355:P370"/>
    <mergeCell ref="Q411:R411"/>
    <mergeCell ref="P412:R412"/>
    <mergeCell ref="Q413:S413"/>
    <mergeCell ref="A7:A23"/>
    <mergeCell ref="A25:A45"/>
    <mergeCell ref="A47:A77"/>
    <mergeCell ref="A79:A99"/>
    <mergeCell ref="A101:A120"/>
    <mergeCell ref="A122:A129"/>
    <mergeCell ref="A131:A153"/>
    <mergeCell ref="A155:A181"/>
    <mergeCell ref="A183:A200"/>
    <mergeCell ref="A202:A226"/>
    <mergeCell ref="A228:A240"/>
    <mergeCell ref="A242:A259"/>
    <mergeCell ref="A261:A276"/>
    <mergeCell ref="A278:A294"/>
    <mergeCell ref="A296:A306"/>
    <mergeCell ref="A308:A334"/>
    <mergeCell ref="A336:A362"/>
    <mergeCell ref="A364:A386"/>
    <mergeCell ref="Q288:R288"/>
    <mergeCell ref="B295:C295"/>
    <mergeCell ref="Q306:R306"/>
    <mergeCell ref="A388:A412"/>
    <mergeCell ref="B7:B23"/>
    <mergeCell ref="B25:B45"/>
    <mergeCell ref="B47:B77"/>
    <mergeCell ref="B79:B99"/>
    <mergeCell ref="B101:B120"/>
    <mergeCell ref="B122:B129"/>
    <mergeCell ref="B131:B153"/>
    <mergeCell ref="B155:B181"/>
    <mergeCell ref="B183:B200"/>
    <mergeCell ref="B202:B226"/>
    <mergeCell ref="B228:B240"/>
    <mergeCell ref="B242:B259"/>
    <mergeCell ref="B261:B276"/>
    <mergeCell ref="B278:B294"/>
    <mergeCell ref="B296:B306"/>
    <mergeCell ref="B308:B334"/>
    <mergeCell ref="B336:B362"/>
    <mergeCell ref="B364:B386"/>
    <mergeCell ref="B388:B412"/>
    <mergeCell ref="B387:C387"/>
    <mergeCell ref="B307:C307"/>
    <mergeCell ref="B100:C100"/>
    <mergeCell ref="P372:P388"/>
    <mergeCell ref="P390:P403"/>
    <mergeCell ref="P405:P410"/>
    <mergeCell ref="R7:R25"/>
    <mergeCell ref="R27:R60"/>
    <mergeCell ref="R62:R82"/>
    <mergeCell ref="R84:R104"/>
    <mergeCell ref="R106:R121"/>
    <mergeCell ref="R123:R142"/>
    <mergeCell ref="R144:R156"/>
    <mergeCell ref="R158:R182"/>
    <mergeCell ref="R184:R203"/>
    <mergeCell ref="R205:R222"/>
    <mergeCell ref="R224:R253"/>
    <mergeCell ref="R255:R287"/>
    <mergeCell ref="R289:R305"/>
    <mergeCell ref="R307:R329"/>
    <mergeCell ref="R331:R353"/>
    <mergeCell ref="R355:R370"/>
    <mergeCell ref="R373:R388"/>
    <mergeCell ref="R390:R403"/>
    <mergeCell ref="R405:R410"/>
    <mergeCell ref="Q389:R389"/>
    <mergeCell ref="Q404:R404"/>
  </mergeCells>
  <pageMargins left="0.16111111111111101" right="0.16111111111111101" top="0.21249999999999999" bottom="0.21249999999999999" header="0.5" footer="0.5"/>
  <pageSetup paperSize="9" scale="27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O47"/>
  <sheetViews>
    <sheetView workbookViewId="0">
      <selection activeCell="A3" sqref="A3:K3"/>
    </sheetView>
  </sheetViews>
  <sheetFormatPr defaultColWidth="8.86328125" defaultRowHeight="17.649999999999999"/>
  <cols>
    <col min="1" max="1" width="8.86328125" style="32"/>
    <col min="2" max="2" width="19.6640625" style="32" customWidth="1"/>
    <col min="3" max="5" width="24.86328125" style="32" customWidth="1"/>
    <col min="6" max="6" width="23.86328125" style="32" customWidth="1"/>
    <col min="7" max="8" width="25.46484375" style="32" customWidth="1"/>
    <col min="9" max="9" width="24.6640625" style="32" customWidth="1"/>
    <col min="10" max="10" width="26.33203125" style="32" customWidth="1"/>
    <col min="11" max="11" width="27.33203125" style="32" customWidth="1"/>
    <col min="12" max="12" width="25.53125" style="32"/>
    <col min="13" max="13" width="23.86328125" style="32" customWidth="1"/>
    <col min="14" max="14" width="8.86328125" style="32" customWidth="1"/>
    <col min="15" max="16384" width="8.86328125" style="32"/>
  </cols>
  <sheetData>
    <row r="1" spans="1:821" ht="30.4">
      <c r="A1" s="198" t="s">
        <v>61</v>
      </c>
      <c r="B1" s="199"/>
      <c r="C1" s="199"/>
      <c r="D1" s="199"/>
      <c r="E1" s="199"/>
      <c r="F1" s="199"/>
      <c r="G1" s="199"/>
      <c r="H1" s="199"/>
      <c r="I1" s="199"/>
      <c r="J1" s="199"/>
      <c r="K1" s="200"/>
    </row>
    <row r="2" spans="1:821" ht="26.25" customHeight="1">
      <c r="A2" s="201" t="s">
        <v>62</v>
      </c>
      <c r="B2" s="202"/>
      <c r="C2" s="202"/>
      <c r="D2" s="202"/>
      <c r="E2" s="202"/>
      <c r="F2" s="202"/>
      <c r="G2" s="202"/>
      <c r="H2" s="202"/>
      <c r="I2" s="202"/>
      <c r="J2" s="202"/>
      <c r="K2" s="203"/>
    </row>
    <row r="3" spans="1:821" ht="39" customHeight="1">
      <c r="A3" s="204" t="s">
        <v>946</v>
      </c>
      <c r="B3" s="205"/>
      <c r="C3" s="205"/>
      <c r="D3" s="205"/>
      <c r="E3" s="205"/>
      <c r="F3" s="205"/>
      <c r="G3" s="205"/>
      <c r="H3" s="205"/>
      <c r="I3" s="205"/>
      <c r="J3" s="205"/>
      <c r="K3" s="206"/>
      <c r="AEO3" s="32" t="s">
        <v>947</v>
      </c>
    </row>
    <row r="4" spans="1:821" ht="61.05" customHeight="1">
      <c r="A4" s="49" t="s">
        <v>21</v>
      </c>
      <c r="B4" s="49" t="s">
        <v>128</v>
      </c>
      <c r="C4" s="50" t="s">
        <v>48</v>
      </c>
      <c r="D4" s="50" t="s">
        <v>24</v>
      </c>
      <c r="E4" s="51" t="s">
        <v>26</v>
      </c>
      <c r="F4" s="50" t="s">
        <v>25</v>
      </c>
      <c r="G4" s="50" t="s">
        <v>948</v>
      </c>
      <c r="H4" s="52" t="s">
        <v>76</v>
      </c>
      <c r="I4" s="59" t="s">
        <v>77</v>
      </c>
      <c r="J4" s="60" t="s">
        <v>949</v>
      </c>
      <c r="K4" s="12" t="s">
        <v>28</v>
      </c>
      <c r="M4" s="44"/>
    </row>
    <row r="5" spans="1:821">
      <c r="A5" s="49"/>
      <c r="B5" s="49"/>
      <c r="C5" s="153" t="s">
        <v>29</v>
      </c>
      <c r="D5" s="153" t="s">
        <v>29</v>
      </c>
      <c r="E5" s="153" t="s">
        <v>29</v>
      </c>
      <c r="F5" s="153" t="s">
        <v>29</v>
      </c>
      <c r="G5" s="153" t="s">
        <v>29</v>
      </c>
      <c r="H5" s="153" t="s">
        <v>29</v>
      </c>
      <c r="I5" s="153" t="s">
        <v>29</v>
      </c>
      <c r="J5" s="153" t="s">
        <v>29</v>
      </c>
      <c r="K5" s="153" t="s">
        <v>29</v>
      </c>
    </row>
    <row r="6" spans="1:821">
      <c r="A6" s="53">
        <v>1</v>
      </c>
      <c r="B6" s="54" t="s">
        <v>86</v>
      </c>
      <c r="C6" s="55">
        <v>196073926.50490001</v>
      </c>
      <c r="D6" s="55">
        <v>2045240660.2772999</v>
      </c>
      <c r="E6" s="55">
        <v>415123382.42760003</v>
      </c>
      <c r="F6" s="55">
        <v>138423188.08070001</v>
      </c>
      <c r="G6" s="55">
        <v>79693139.076299995</v>
      </c>
      <c r="H6" s="56">
        <f>G6/2</f>
        <v>39846569.538149998</v>
      </c>
      <c r="I6" s="56">
        <f t="shared" ref="I6:I42" si="0">G6-H6</f>
        <v>39846569.538149998</v>
      </c>
      <c r="J6" s="55">
        <v>3778346850.6012998</v>
      </c>
      <c r="K6" s="61">
        <f t="shared" ref="K6:K42" si="1">C6+D6+F6+I6+J6+E6</f>
        <v>6613054577.4299498</v>
      </c>
      <c r="M6" s="62"/>
    </row>
    <row r="7" spans="1:821">
      <c r="A7" s="53">
        <v>2</v>
      </c>
      <c r="B7" s="54" t="s">
        <v>87</v>
      </c>
      <c r="C7" s="55">
        <v>247319117.09209999</v>
      </c>
      <c r="D7" s="55">
        <v>2579777553.0781999</v>
      </c>
      <c r="E7" s="55">
        <v>523618567.01950002</v>
      </c>
      <c r="F7" s="55">
        <v>132295795.50579999</v>
      </c>
      <c r="G7" s="55">
        <v>100521457.1156</v>
      </c>
      <c r="H7" s="55">
        <v>0</v>
      </c>
      <c r="I7" s="56">
        <f t="shared" si="0"/>
        <v>100521457.1156</v>
      </c>
      <c r="J7" s="55">
        <v>5066797666.0979004</v>
      </c>
      <c r="K7" s="61">
        <f t="shared" si="1"/>
        <v>8650330155.9091015</v>
      </c>
    </row>
    <row r="8" spans="1:821">
      <c r="A8" s="53">
        <v>3</v>
      </c>
      <c r="B8" s="54" t="s">
        <v>88</v>
      </c>
      <c r="C8" s="55">
        <v>329414530.81470001</v>
      </c>
      <c r="D8" s="55">
        <v>3436112105.8698001</v>
      </c>
      <c r="E8" s="55">
        <v>697429162.00129998</v>
      </c>
      <c r="F8" s="55">
        <v>186068911.70159999</v>
      </c>
      <c r="G8" s="55">
        <v>133888673.96080001</v>
      </c>
      <c r="H8" s="56">
        <f>G8/2</f>
        <v>66944336.980400003</v>
      </c>
      <c r="I8" s="56">
        <f t="shared" si="0"/>
        <v>66944336.980400003</v>
      </c>
      <c r="J8" s="55">
        <v>6627163875.3827</v>
      </c>
      <c r="K8" s="61">
        <f t="shared" si="1"/>
        <v>11343132922.750502</v>
      </c>
    </row>
    <row r="9" spans="1:821">
      <c r="A9" s="53">
        <v>4</v>
      </c>
      <c r="B9" s="54" t="s">
        <v>89</v>
      </c>
      <c r="C9" s="55">
        <v>248655655.82170001</v>
      </c>
      <c r="D9" s="55">
        <v>2593718944.4819002</v>
      </c>
      <c r="E9" s="55">
        <v>526448257.26950002</v>
      </c>
      <c r="F9" s="55">
        <v>189855766.7597</v>
      </c>
      <c r="G9" s="55">
        <v>101064685.727</v>
      </c>
      <c r="H9" s="55">
        <v>0</v>
      </c>
      <c r="I9" s="56">
        <f t="shared" si="0"/>
        <v>101064685.727</v>
      </c>
      <c r="J9" s="55">
        <v>5334068675.6781998</v>
      </c>
      <c r="K9" s="61">
        <f t="shared" si="1"/>
        <v>8993811985.7380009</v>
      </c>
    </row>
    <row r="10" spans="1:821">
      <c r="A10" s="53">
        <v>5</v>
      </c>
      <c r="B10" s="54" t="s">
        <v>90</v>
      </c>
      <c r="C10" s="55">
        <v>282273375.2112</v>
      </c>
      <c r="D10" s="55">
        <v>2944384266.6237001</v>
      </c>
      <c r="E10" s="55">
        <v>597622949.54639995</v>
      </c>
      <c r="F10" s="55">
        <v>147176302.77860001</v>
      </c>
      <c r="G10" s="55">
        <v>114728417.7419</v>
      </c>
      <c r="H10" s="55">
        <v>0</v>
      </c>
      <c r="I10" s="56">
        <f t="shared" si="0"/>
        <v>114728417.7419</v>
      </c>
      <c r="J10" s="55">
        <v>5162128218.1527996</v>
      </c>
      <c r="K10" s="61">
        <f t="shared" si="1"/>
        <v>9248313530.0545998</v>
      </c>
    </row>
    <row r="11" spans="1:821">
      <c r="A11" s="53">
        <v>6</v>
      </c>
      <c r="B11" s="54" t="s">
        <v>91</v>
      </c>
      <c r="C11" s="55">
        <v>114895595.8573</v>
      </c>
      <c r="D11" s="55">
        <v>1198472170.7938001</v>
      </c>
      <c r="E11" s="55">
        <v>243254415.45730001</v>
      </c>
      <c r="F11" s="55">
        <v>60911807.057599999</v>
      </c>
      <c r="G11" s="55">
        <v>46698665.463299997</v>
      </c>
      <c r="H11" s="56">
        <f>G11/2</f>
        <v>23349332.731649999</v>
      </c>
      <c r="I11" s="56">
        <f t="shared" si="0"/>
        <v>23349332.731649999</v>
      </c>
      <c r="J11" s="55">
        <v>2602311627.1658001</v>
      </c>
      <c r="K11" s="61">
        <f t="shared" si="1"/>
        <v>4243194949.0634508</v>
      </c>
    </row>
    <row r="12" spans="1:821">
      <c r="A12" s="53">
        <v>7</v>
      </c>
      <c r="B12" s="54" t="s">
        <v>92</v>
      </c>
      <c r="C12" s="55">
        <v>307157119.32270002</v>
      </c>
      <c r="D12" s="55">
        <v>3203945780.7143998</v>
      </c>
      <c r="E12" s="55">
        <v>650306262.45410001</v>
      </c>
      <c r="F12" s="55">
        <v>154959512.77959999</v>
      </c>
      <c r="G12" s="55">
        <v>124842274.8752</v>
      </c>
      <c r="H12" s="56">
        <f>G12/2</f>
        <v>62421137.437600002</v>
      </c>
      <c r="I12" s="56">
        <f t="shared" si="0"/>
        <v>62421137.437600002</v>
      </c>
      <c r="J12" s="55">
        <v>5417695180.8943005</v>
      </c>
      <c r="K12" s="61">
        <f t="shared" si="1"/>
        <v>9796484993.6027012</v>
      </c>
    </row>
    <row r="13" spans="1:821">
      <c r="A13" s="53">
        <v>8</v>
      </c>
      <c r="B13" s="54" t="s">
        <v>93</v>
      </c>
      <c r="C13" s="55">
        <v>333480583.93709999</v>
      </c>
      <c r="D13" s="55">
        <v>3478524971.8807001</v>
      </c>
      <c r="E13" s="55">
        <v>706037719.78100002</v>
      </c>
      <c r="F13" s="55">
        <v>170524162.21070001</v>
      </c>
      <c r="G13" s="55">
        <v>135541298.26820001</v>
      </c>
      <c r="H13" s="55">
        <v>0</v>
      </c>
      <c r="I13" s="56">
        <f t="shared" si="0"/>
        <v>135541298.26820001</v>
      </c>
      <c r="J13" s="55">
        <v>5876089823.5874996</v>
      </c>
      <c r="K13" s="61">
        <f t="shared" si="1"/>
        <v>10700198559.665199</v>
      </c>
    </row>
    <row r="14" spans="1:821">
      <c r="A14" s="53">
        <v>9</v>
      </c>
      <c r="B14" s="54" t="s">
        <v>94</v>
      </c>
      <c r="C14" s="55">
        <v>214984429.1911</v>
      </c>
      <c r="D14" s="55">
        <v>2242495490.0763001</v>
      </c>
      <c r="E14" s="55">
        <v>455160280.6451</v>
      </c>
      <c r="F14" s="55">
        <v>120832753.2317</v>
      </c>
      <c r="G14" s="55">
        <v>87379205.997199997</v>
      </c>
      <c r="H14" s="56">
        <f>G14/2</f>
        <v>43689602.998599999</v>
      </c>
      <c r="I14" s="56">
        <f t="shared" si="0"/>
        <v>43689602.998599999</v>
      </c>
      <c r="J14" s="55">
        <v>3935159412.6307001</v>
      </c>
      <c r="K14" s="61">
        <f t="shared" si="1"/>
        <v>7012321968.7735004</v>
      </c>
    </row>
    <row r="15" spans="1:821">
      <c r="A15" s="53">
        <v>10</v>
      </c>
      <c r="B15" s="54" t="s">
        <v>95</v>
      </c>
      <c r="C15" s="55">
        <v>275471712.51920003</v>
      </c>
      <c r="D15" s="55">
        <v>2873436347.4207001</v>
      </c>
      <c r="E15" s="55">
        <v>583222619.66400003</v>
      </c>
      <c r="F15" s="55">
        <v>204402365.05430001</v>
      </c>
      <c r="G15" s="55">
        <v>111963920.3882</v>
      </c>
      <c r="H15" s="56">
        <f>G15/2</f>
        <v>55981960.1941</v>
      </c>
      <c r="I15" s="56">
        <f t="shared" si="0"/>
        <v>55981960.1941</v>
      </c>
      <c r="J15" s="55">
        <v>6037299346.1106005</v>
      </c>
      <c r="K15" s="61">
        <f t="shared" si="1"/>
        <v>10029814350.9629</v>
      </c>
    </row>
    <row r="16" spans="1:821">
      <c r="A16" s="53">
        <v>11</v>
      </c>
      <c r="B16" s="54" t="s">
        <v>96</v>
      </c>
      <c r="C16" s="55">
        <v>159031625.5361</v>
      </c>
      <c r="D16" s="55">
        <v>1658853640.6341</v>
      </c>
      <c r="E16" s="55">
        <v>336698241.74089998</v>
      </c>
      <c r="F16" s="55">
        <v>86426450.980599999</v>
      </c>
      <c r="G16" s="55">
        <v>64637505.236900002</v>
      </c>
      <c r="H16" s="55">
        <v>0</v>
      </c>
      <c r="I16" s="56">
        <f t="shared" si="0"/>
        <v>64637505.236900002</v>
      </c>
      <c r="J16" s="55">
        <v>3037178652.3670998</v>
      </c>
      <c r="K16" s="61">
        <f t="shared" si="1"/>
        <v>5342826116.4956999</v>
      </c>
    </row>
    <row r="17" spans="1:11">
      <c r="A17" s="53">
        <v>12</v>
      </c>
      <c r="B17" s="54" t="s">
        <v>97</v>
      </c>
      <c r="C17" s="55">
        <v>210773145.39410001</v>
      </c>
      <c r="D17" s="55">
        <v>2198567727.6877999</v>
      </c>
      <c r="E17" s="55">
        <v>446244243.69209999</v>
      </c>
      <c r="F17" s="55">
        <v>156477626.79769999</v>
      </c>
      <c r="G17" s="55">
        <v>85667553.503099993</v>
      </c>
      <c r="H17" s="56">
        <f>G17/2</f>
        <v>42833776.751549996</v>
      </c>
      <c r="I17" s="56">
        <f t="shared" si="0"/>
        <v>42833776.751549996</v>
      </c>
      <c r="J17" s="55">
        <v>5359166255.4638004</v>
      </c>
      <c r="K17" s="61">
        <f t="shared" si="1"/>
        <v>8414062775.7870502</v>
      </c>
    </row>
    <row r="18" spans="1:11">
      <c r="A18" s="53">
        <v>13</v>
      </c>
      <c r="B18" s="54" t="s">
        <v>98</v>
      </c>
      <c r="C18" s="55">
        <v>167361520.9937</v>
      </c>
      <c r="D18" s="55">
        <v>1745742505.4121001</v>
      </c>
      <c r="E18" s="55">
        <v>354334112.24870002</v>
      </c>
      <c r="F18" s="55">
        <v>103368118.4448</v>
      </c>
      <c r="G18" s="55">
        <v>68023144.159899995</v>
      </c>
      <c r="H18" s="55">
        <v>0</v>
      </c>
      <c r="I18" s="56">
        <f t="shared" si="0"/>
        <v>68023144.159899995</v>
      </c>
      <c r="J18" s="55">
        <v>3757065142.0079002</v>
      </c>
      <c r="K18" s="61">
        <f t="shared" si="1"/>
        <v>6195894543.2671003</v>
      </c>
    </row>
    <row r="19" spans="1:11">
      <c r="A19" s="53">
        <v>14</v>
      </c>
      <c r="B19" s="54" t="s">
        <v>99</v>
      </c>
      <c r="C19" s="55">
        <v>214148649.2852</v>
      </c>
      <c r="D19" s="55">
        <v>2233777497.4415998</v>
      </c>
      <c r="E19" s="55">
        <v>453390785.90499997</v>
      </c>
      <c r="F19" s="55">
        <v>138664176.6798</v>
      </c>
      <c r="G19" s="55">
        <v>87039507.979300007</v>
      </c>
      <c r="H19" s="55">
        <v>0</v>
      </c>
      <c r="I19" s="56">
        <f t="shared" si="0"/>
        <v>87039507.979300007</v>
      </c>
      <c r="J19" s="55">
        <v>4048998811.5377998</v>
      </c>
      <c r="K19" s="61">
        <f t="shared" si="1"/>
        <v>7176019428.8287001</v>
      </c>
    </row>
    <row r="20" spans="1:11">
      <c r="A20" s="53">
        <v>15</v>
      </c>
      <c r="B20" s="54" t="s">
        <v>100</v>
      </c>
      <c r="C20" s="55">
        <v>146734804.0571</v>
      </c>
      <c r="D20" s="55">
        <v>1530585901.3764</v>
      </c>
      <c r="E20" s="55">
        <v>310663683.16250002</v>
      </c>
      <c r="F20" s="55">
        <v>80014998.205200002</v>
      </c>
      <c r="G20" s="55">
        <v>59639531.658</v>
      </c>
      <c r="H20" s="55">
        <f>G20</f>
        <v>59639531.658</v>
      </c>
      <c r="I20" s="56">
        <f t="shared" si="0"/>
        <v>0</v>
      </c>
      <c r="J20" s="55">
        <v>3260243843.8705001</v>
      </c>
      <c r="K20" s="61">
        <f t="shared" si="1"/>
        <v>5328243230.6717005</v>
      </c>
    </row>
    <row r="21" spans="1:11">
      <c r="A21" s="53">
        <v>16</v>
      </c>
      <c r="B21" s="54" t="s">
        <v>101</v>
      </c>
      <c r="C21" s="55">
        <v>287006827.01099998</v>
      </c>
      <c r="D21" s="55">
        <v>2993758746.2269001</v>
      </c>
      <c r="E21" s="55">
        <v>607644509.05130005</v>
      </c>
      <c r="F21" s="55">
        <v>182930555.72490001</v>
      </c>
      <c r="G21" s="55">
        <v>116652302.46870001</v>
      </c>
      <c r="H21" s="56">
        <f>G21/2</f>
        <v>58326151.234350003</v>
      </c>
      <c r="I21" s="56">
        <f t="shared" si="0"/>
        <v>58326151.234350003</v>
      </c>
      <c r="J21" s="55">
        <v>5693443409.9903002</v>
      </c>
      <c r="K21" s="61">
        <f t="shared" si="1"/>
        <v>9823110199.2387505</v>
      </c>
    </row>
    <row r="22" spans="1:11">
      <c r="A22" s="53">
        <v>17</v>
      </c>
      <c r="B22" s="54" t="s">
        <v>102</v>
      </c>
      <c r="C22" s="55">
        <v>301527694.38200003</v>
      </c>
      <c r="D22" s="55">
        <v>3145225434.8284998</v>
      </c>
      <c r="E22" s="55">
        <v>638387768.42320001</v>
      </c>
      <c r="F22" s="55">
        <v>166893416.59990001</v>
      </c>
      <c r="G22" s="55">
        <v>122554226.92910001</v>
      </c>
      <c r="H22" s="55">
        <v>0</v>
      </c>
      <c r="I22" s="56">
        <f t="shared" si="0"/>
        <v>122554226.92910001</v>
      </c>
      <c r="J22" s="55">
        <v>6250030927.7048998</v>
      </c>
      <c r="K22" s="61">
        <f t="shared" si="1"/>
        <v>10624619468.867601</v>
      </c>
    </row>
    <row r="23" spans="1:11">
      <c r="A23" s="53">
        <v>18</v>
      </c>
      <c r="B23" s="54" t="s">
        <v>103</v>
      </c>
      <c r="C23" s="55">
        <v>339096444.0007</v>
      </c>
      <c r="D23" s="55">
        <v>3537103822.9768</v>
      </c>
      <c r="E23" s="55">
        <v>717927494.55330002</v>
      </c>
      <c r="F23" s="55">
        <v>198691269.5925</v>
      </c>
      <c r="G23" s="55">
        <v>137823832.8461</v>
      </c>
      <c r="H23" s="55">
        <f>G23</f>
        <v>137823832.8461</v>
      </c>
      <c r="I23" s="56">
        <f t="shared" si="0"/>
        <v>0</v>
      </c>
      <c r="J23" s="55">
        <v>6382423869.3422003</v>
      </c>
      <c r="K23" s="61">
        <f t="shared" si="1"/>
        <v>11175242900.465502</v>
      </c>
    </row>
    <row r="24" spans="1:11">
      <c r="A24" s="53">
        <v>19</v>
      </c>
      <c r="B24" s="54" t="s">
        <v>104</v>
      </c>
      <c r="C24" s="55">
        <v>539870601.35710001</v>
      </c>
      <c r="D24" s="55">
        <v>5631372436.2410002</v>
      </c>
      <c r="E24" s="55">
        <v>1143002101.8285</v>
      </c>
      <c r="F24" s="55">
        <v>334900140.69</v>
      </c>
      <c r="G24" s="55">
        <v>219427354.18279999</v>
      </c>
      <c r="H24" s="55">
        <v>0</v>
      </c>
      <c r="I24" s="56">
        <f t="shared" si="0"/>
        <v>219427354.18279999</v>
      </c>
      <c r="J24" s="55">
        <v>11225038165.862801</v>
      </c>
      <c r="K24" s="61">
        <f t="shared" si="1"/>
        <v>19093610800.162201</v>
      </c>
    </row>
    <row r="25" spans="1:11">
      <c r="A25" s="53">
        <v>20</v>
      </c>
      <c r="B25" s="54" t="s">
        <v>105</v>
      </c>
      <c r="C25" s="55">
        <v>411012678.18339998</v>
      </c>
      <c r="D25" s="55">
        <v>4287259689.7309999</v>
      </c>
      <c r="E25" s="55">
        <v>870186955.65349996</v>
      </c>
      <c r="F25" s="55">
        <v>219699613.2049</v>
      </c>
      <c r="G25" s="55">
        <v>167053779.70719999</v>
      </c>
      <c r="H25" s="55">
        <v>0</v>
      </c>
      <c r="I25" s="56">
        <f t="shared" si="0"/>
        <v>167053779.70719999</v>
      </c>
      <c r="J25" s="55">
        <v>7694054456.4963999</v>
      </c>
      <c r="K25" s="61">
        <f t="shared" si="1"/>
        <v>13649267172.976398</v>
      </c>
    </row>
    <row r="26" spans="1:11">
      <c r="A26" s="53">
        <v>21</v>
      </c>
      <c r="B26" s="54" t="s">
        <v>106</v>
      </c>
      <c r="C26" s="55">
        <v>259393117.6798</v>
      </c>
      <c r="D26" s="55">
        <v>2705721054.9707999</v>
      </c>
      <c r="E26" s="55">
        <v>549181374.13390005</v>
      </c>
      <c r="F26" s="55">
        <v>130244195.4755</v>
      </c>
      <c r="G26" s="55">
        <v>105428866.4033</v>
      </c>
      <c r="H26" s="56">
        <f>G26/2</f>
        <v>52714433.201650001</v>
      </c>
      <c r="I26" s="56">
        <f t="shared" si="0"/>
        <v>52714433.201650001</v>
      </c>
      <c r="J26" s="55">
        <v>4614073329.7664003</v>
      </c>
      <c r="K26" s="61">
        <f t="shared" si="1"/>
        <v>8311327505.2280502</v>
      </c>
    </row>
    <row r="27" spans="1:11">
      <c r="A27" s="53">
        <v>22</v>
      </c>
      <c r="B27" s="54" t="s">
        <v>107</v>
      </c>
      <c r="C27" s="55">
        <v>268101787.2827</v>
      </c>
      <c r="D27" s="55">
        <v>2796560900.3611002</v>
      </c>
      <c r="E27" s="55">
        <v>567619176.88680005</v>
      </c>
      <c r="F27" s="55">
        <v>135839403.25369999</v>
      </c>
      <c r="G27" s="55">
        <v>108968455.9358</v>
      </c>
      <c r="H27" s="56">
        <f>G27/2</f>
        <v>54484227.967900001</v>
      </c>
      <c r="I27" s="56">
        <f t="shared" si="0"/>
        <v>54484227.967900001</v>
      </c>
      <c r="J27" s="55">
        <v>4720804399.8530998</v>
      </c>
      <c r="K27" s="61">
        <f t="shared" si="1"/>
        <v>8543409895.6052999</v>
      </c>
    </row>
    <row r="28" spans="1:11">
      <c r="A28" s="53">
        <v>23</v>
      </c>
      <c r="B28" s="54" t="s">
        <v>108</v>
      </c>
      <c r="C28" s="55">
        <v>189710096.8028</v>
      </c>
      <c r="D28" s="55">
        <v>1978859762.5534999</v>
      </c>
      <c r="E28" s="55">
        <v>401650022.87290001</v>
      </c>
      <c r="F28" s="55">
        <v>108311374.8989</v>
      </c>
      <c r="G28" s="55">
        <v>77106596.466900006</v>
      </c>
      <c r="H28" s="56">
        <f>G28/2</f>
        <v>38553298.233450003</v>
      </c>
      <c r="I28" s="56">
        <f t="shared" si="0"/>
        <v>38553298.233450003</v>
      </c>
      <c r="J28" s="55">
        <v>3666587992.4457002</v>
      </c>
      <c r="K28" s="61">
        <f t="shared" si="1"/>
        <v>6383672547.80725</v>
      </c>
    </row>
    <row r="29" spans="1:11">
      <c r="A29" s="53">
        <v>24</v>
      </c>
      <c r="B29" s="54" t="s">
        <v>109</v>
      </c>
      <c r="C29" s="55">
        <v>323170426.75089997</v>
      </c>
      <c r="D29" s="55">
        <v>3370980062.3271999</v>
      </c>
      <c r="E29" s="55">
        <v>684209282.92069995</v>
      </c>
      <c r="F29" s="55">
        <v>523508209.28930002</v>
      </c>
      <c r="G29" s="55">
        <v>131350793.15989999</v>
      </c>
      <c r="H29" s="55">
        <v>0</v>
      </c>
      <c r="I29" s="56">
        <f t="shared" si="0"/>
        <v>131350793.15989999</v>
      </c>
      <c r="J29" s="55">
        <v>25499080312.808701</v>
      </c>
      <c r="K29" s="61">
        <f t="shared" si="1"/>
        <v>30532299087.256699</v>
      </c>
    </row>
    <row r="30" spans="1:11">
      <c r="A30" s="53">
        <v>25</v>
      </c>
      <c r="B30" s="54" t="s">
        <v>110</v>
      </c>
      <c r="C30" s="55">
        <v>169254103.713</v>
      </c>
      <c r="D30" s="55">
        <v>1765483973.3324001</v>
      </c>
      <c r="E30" s="55">
        <v>358341046.54110003</v>
      </c>
      <c r="F30" s="55">
        <v>87585404.174199998</v>
      </c>
      <c r="G30" s="55">
        <v>68792373.707499996</v>
      </c>
      <c r="H30" s="55">
        <f>G30</f>
        <v>68792373.707499996</v>
      </c>
      <c r="I30" s="56">
        <f t="shared" si="0"/>
        <v>0</v>
      </c>
      <c r="J30" s="55">
        <v>2843805520.6468</v>
      </c>
      <c r="K30" s="61">
        <f t="shared" si="1"/>
        <v>5224470048.4074993</v>
      </c>
    </row>
    <row r="31" spans="1:11">
      <c r="A31" s="53">
        <v>26</v>
      </c>
      <c r="B31" s="54" t="s">
        <v>111</v>
      </c>
      <c r="C31" s="55">
        <v>313276290.19599998</v>
      </c>
      <c r="D31" s="55">
        <v>3267774650.2652001</v>
      </c>
      <c r="E31" s="55">
        <v>663261635.74609995</v>
      </c>
      <c r="F31" s="55">
        <v>163424404.96790001</v>
      </c>
      <c r="G31" s="55">
        <v>127329377.2863</v>
      </c>
      <c r="H31" s="56">
        <f>G31/2</f>
        <v>63664688.643150002</v>
      </c>
      <c r="I31" s="56">
        <f t="shared" si="0"/>
        <v>63664688.643150002</v>
      </c>
      <c r="J31" s="55">
        <v>6071057650.5550003</v>
      </c>
      <c r="K31" s="61">
        <f t="shared" si="1"/>
        <v>10542459320.37335</v>
      </c>
    </row>
    <row r="32" spans="1:11">
      <c r="A32" s="53">
        <v>27</v>
      </c>
      <c r="B32" s="54" t="s">
        <v>112</v>
      </c>
      <c r="C32" s="55">
        <v>223490172.73320001</v>
      </c>
      <c r="D32" s="55">
        <v>2331218620.4159002</v>
      </c>
      <c r="E32" s="55">
        <v>473168452.82840002</v>
      </c>
      <c r="F32" s="55">
        <v>168855092.62369999</v>
      </c>
      <c r="G32" s="55">
        <v>90836317.3794</v>
      </c>
      <c r="H32" s="55">
        <v>0</v>
      </c>
      <c r="I32" s="56">
        <f t="shared" si="0"/>
        <v>90836317.3794</v>
      </c>
      <c r="J32" s="55">
        <v>4808831611.3400002</v>
      </c>
      <c r="K32" s="61">
        <f t="shared" si="1"/>
        <v>8096400267.3206005</v>
      </c>
    </row>
    <row r="33" spans="1:12">
      <c r="A33" s="53">
        <v>28</v>
      </c>
      <c r="B33" s="54" t="s">
        <v>113</v>
      </c>
      <c r="C33" s="55">
        <v>213447251.70550001</v>
      </c>
      <c r="D33" s="55">
        <v>2226461242.4211998</v>
      </c>
      <c r="E33" s="55">
        <v>451905802.45560002</v>
      </c>
      <c r="F33" s="55">
        <v>136361188.1645</v>
      </c>
      <c r="G33" s="55">
        <v>86754428.897400007</v>
      </c>
      <c r="H33" s="56">
        <f>G33/2</f>
        <v>43377214.448700003</v>
      </c>
      <c r="I33" s="56">
        <f t="shared" si="0"/>
        <v>43377214.448700003</v>
      </c>
      <c r="J33" s="55">
        <v>4272786239.9837999</v>
      </c>
      <c r="K33" s="61">
        <f t="shared" si="1"/>
        <v>7344338939.1792994</v>
      </c>
    </row>
    <row r="34" spans="1:12">
      <c r="A34" s="53">
        <v>29</v>
      </c>
      <c r="B34" s="54" t="s">
        <v>114</v>
      </c>
      <c r="C34" s="55">
        <v>289119699.06809998</v>
      </c>
      <c r="D34" s="55">
        <v>3015798044.9631</v>
      </c>
      <c r="E34" s="55">
        <v>612117835.05869997</v>
      </c>
      <c r="F34" s="55">
        <v>181347856.95199999</v>
      </c>
      <c r="G34" s="55">
        <v>117511067.3721</v>
      </c>
      <c r="H34" s="55">
        <v>0</v>
      </c>
      <c r="I34" s="56">
        <f t="shared" si="0"/>
        <v>117511067.3721</v>
      </c>
      <c r="J34" s="55">
        <v>6314107960.8114004</v>
      </c>
      <c r="K34" s="61">
        <f t="shared" si="1"/>
        <v>10530002464.225401</v>
      </c>
    </row>
    <row r="35" spans="1:12">
      <c r="A35" s="53">
        <v>30</v>
      </c>
      <c r="B35" s="54" t="s">
        <v>115</v>
      </c>
      <c r="C35" s="55">
        <v>364701942.00300002</v>
      </c>
      <c r="D35" s="55">
        <v>3804193928.0907001</v>
      </c>
      <c r="E35" s="55">
        <v>772138888.84099996</v>
      </c>
      <c r="F35" s="55">
        <v>282660568.80790001</v>
      </c>
      <c r="G35" s="55">
        <v>148231042.76789999</v>
      </c>
      <c r="H35" s="55">
        <v>0</v>
      </c>
      <c r="I35" s="56">
        <f t="shared" si="0"/>
        <v>148231042.76789999</v>
      </c>
      <c r="J35" s="55">
        <v>9563009329.4969006</v>
      </c>
      <c r="K35" s="61">
        <f t="shared" si="1"/>
        <v>14934935700.007401</v>
      </c>
    </row>
    <row r="36" spans="1:12">
      <c r="A36" s="53">
        <v>31</v>
      </c>
      <c r="B36" s="54" t="s">
        <v>116</v>
      </c>
      <c r="C36" s="55">
        <v>228619252.69999999</v>
      </c>
      <c r="D36" s="55">
        <v>2384719884.3814998</v>
      </c>
      <c r="E36" s="55">
        <v>484027627.54229999</v>
      </c>
      <c r="F36" s="55">
        <v>124588977.742</v>
      </c>
      <c r="G36" s="55">
        <v>92921002.938899994</v>
      </c>
      <c r="H36" s="56">
        <f>G36/2</f>
        <v>46460501.469449997</v>
      </c>
      <c r="I36" s="56">
        <f t="shared" si="0"/>
        <v>46460501.469449997</v>
      </c>
      <c r="J36" s="55">
        <v>4071674971.6100998</v>
      </c>
      <c r="K36" s="61">
        <f t="shared" si="1"/>
        <v>7340091215.4453497</v>
      </c>
    </row>
    <row r="37" spans="1:12">
      <c r="A37" s="53">
        <v>32</v>
      </c>
      <c r="B37" s="54" t="s">
        <v>117</v>
      </c>
      <c r="C37" s="55">
        <v>283386237.66439998</v>
      </c>
      <c r="D37" s="55">
        <v>2955992498.1676998</v>
      </c>
      <c r="E37" s="55">
        <v>599979077.32959998</v>
      </c>
      <c r="F37" s="55">
        <v>208084219.81130001</v>
      </c>
      <c r="G37" s="55">
        <v>115180734.3996</v>
      </c>
      <c r="H37" s="56">
        <f>G37/2</f>
        <v>57590367.1998</v>
      </c>
      <c r="I37" s="56">
        <f t="shared" si="0"/>
        <v>57590367.1998</v>
      </c>
      <c r="J37" s="55">
        <v>12715313610.0075</v>
      </c>
      <c r="K37" s="61">
        <f t="shared" si="1"/>
        <v>16820346010.1803</v>
      </c>
    </row>
    <row r="38" spans="1:12">
      <c r="A38" s="53">
        <v>33</v>
      </c>
      <c r="B38" s="54" t="s">
        <v>118</v>
      </c>
      <c r="C38" s="55">
        <v>285413802.69809997</v>
      </c>
      <c r="D38" s="55">
        <v>2977141962.1564002</v>
      </c>
      <c r="E38" s="55">
        <v>604271793.19309998</v>
      </c>
      <c r="F38" s="55">
        <v>147121223.25279999</v>
      </c>
      <c r="G38" s="55">
        <v>116004826.7412</v>
      </c>
      <c r="H38" s="55">
        <v>0</v>
      </c>
      <c r="I38" s="56">
        <f t="shared" si="0"/>
        <v>116004826.7412</v>
      </c>
      <c r="J38" s="55">
        <v>5390605200.7816</v>
      </c>
      <c r="K38" s="61">
        <f t="shared" si="1"/>
        <v>9520558808.8232002</v>
      </c>
    </row>
    <row r="39" spans="1:12">
      <c r="A39" s="53">
        <v>34</v>
      </c>
      <c r="B39" s="54" t="s">
        <v>119</v>
      </c>
      <c r="C39" s="55">
        <v>213918599.99160001</v>
      </c>
      <c r="D39" s="55">
        <v>2231377860.8476</v>
      </c>
      <c r="E39" s="55">
        <v>452903730.62650001</v>
      </c>
      <c r="F39" s="55">
        <v>98461769.396699995</v>
      </c>
      <c r="G39" s="55">
        <v>86946005.743900001</v>
      </c>
      <c r="H39" s="55">
        <f>G39</f>
        <v>86946005.743900001</v>
      </c>
      <c r="I39" s="56">
        <f t="shared" si="0"/>
        <v>0</v>
      </c>
      <c r="J39" s="55">
        <v>3532851424.3164001</v>
      </c>
      <c r="K39" s="61">
        <f t="shared" si="1"/>
        <v>6529513385.1787996</v>
      </c>
    </row>
    <row r="40" spans="1:12">
      <c r="A40" s="53">
        <v>35</v>
      </c>
      <c r="B40" s="54" t="s">
        <v>120</v>
      </c>
      <c r="C40" s="55">
        <v>215076405.02489999</v>
      </c>
      <c r="D40" s="55">
        <v>2243454886.9640999</v>
      </c>
      <c r="E40" s="55">
        <v>455355009.84649998</v>
      </c>
      <c r="F40" s="55">
        <v>102743574.0491</v>
      </c>
      <c r="G40" s="55">
        <v>87416589.055500001</v>
      </c>
      <c r="H40" s="55">
        <v>0</v>
      </c>
      <c r="I40" s="56">
        <f t="shared" si="0"/>
        <v>87416589.055500001</v>
      </c>
      <c r="J40" s="55">
        <v>3742116483.3028998</v>
      </c>
      <c r="K40" s="61">
        <f t="shared" si="1"/>
        <v>6846162948.243</v>
      </c>
    </row>
    <row r="41" spans="1:12">
      <c r="A41" s="53">
        <v>36</v>
      </c>
      <c r="B41" s="54" t="s">
        <v>121</v>
      </c>
      <c r="C41" s="55">
        <v>194335909.3971</v>
      </c>
      <c r="D41" s="55">
        <v>2027111461.1508999</v>
      </c>
      <c r="E41" s="55">
        <v>411443691.03049999</v>
      </c>
      <c r="F41" s="55">
        <v>102338810.6275</v>
      </c>
      <c r="G41" s="55">
        <v>78986731.8477</v>
      </c>
      <c r="H41" s="55">
        <v>0</v>
      </c>
      <c r="I41" s="56">
        <f t="shared" si="0"/>
        <v>78986731.8477</v>
      </c>
      <c r="J41" s="55">
        <v>3652361513.2356</v>
      </c>
      <c r="K41" s="61">
        <f t="shared" si="1"/>
        <v>6466578117.2893009</v>
      </c>
    </row>
    <row r="42" spans="1:12">
      <c r="A42" s="53">
        <v>37</v>
      </c>
      <c r="B42" s="54" t="s">
        <v>930</v>
      </c>
      <c r="C42" s="55">
        <v>85832201.5801</v>
      </c>
      <c r="D42" s="55">
        <v>895312863.68340003</v>
      </c>
      <c r="E42" s="55">
        <v>181722039.62180001</v>
      </c>
      <c r="F42" s="55">
        <v>113783277.52060001</v>
      </c>
      <c r="G42" s="55">
        <v>34886013.146499999</v>
      </c>
      <c r="H42" s="55">
        <v>0</v>
      </c>
      <c r="I42" s="56">
        <f t="shared" si="0"/>
        <v>34886013.146499999</v>
      </c>
      <c r="J42" s="55">
        <v>5785620875.4987001</v>
      </c>
      <c r="K42" s="61">
        <f t="shared" si="1"/>
        <v>7097157271.0511007</v>
      </c>
    </row>
    <row r="43" spans="1:12">
      <c r="A43" s="57"/>
      <c r="B43" s="57"/>
      <c r="C43" s="46">
        <f>SUM(C6:C42)</f>
        <v>9446537333.4636002</v>
      </c>
      <c r="D43" s="46">
        <f t="shared" ref="D43:K43" si="2">SUM(D6:D42)</f>
        <v>98536519350.825668</v>
      </c>
      <c r="E43" s="46">
        <f t="shared" si="2"/>
        <v>20000000000.000301</v>
      </c>
      <c r="F43" s="46">
        <f t="shared" si="2"/>
        <v>5988776483.0881996</v>
      </c>
      <c r="G43" s="46">
        <f t="shared" si="2"/>
        <v>3839491700.5345998</v>
      </c>
      <c r="H43" s="46">
        <f t="shared" si="2"/>
        <v>1103439342.9860001</v>
      </c>
      <c r="I43" s="46">
        <f t="shared" si="2"/>
        <v>2736052357.5486002</v>
      </c>
      <c r="J43" s="46">
        <f t="shared" si="2"/>
        <v>217809392637.40604</v>
      </c>
      <c r="K43" s="46">
        <f t="shared" si="2"/>
        <v>354517278162.33246</v>
      </c>
      <c r="L43" s="45"/>
    </row>
    <row r="44" spans="1:12">
      <c r="C44" s="45"/>
      <c r="D44" s="45"/>
      <c r="E44" s="45"/>
      <c r="F44" s="45"/>
      <c r="G44" s="45"/>
      <c r="H44" s="45"/>
      <c r="I44" s="45"/>
      <c r="J44" s="45"/>
      <c r="K44" s="45"/>
    </row>
    <row r="45" spans="1:12">
      <c r="I45" s="44"/>
      <c r="K45" s="45"/>
    </row>
    <row r="46" spans="1:12">
      <c r="C46" s="44"/>
      <c r="F46" s="58"/>
      <c r="K46" s="45"/>
    </row>
    <row r="47" spans="1:12">
      <c r="L47" s="45"/>
    </row>
  </sheetData>
  <mergeCells count="3">
    <mergeCell ref="A1:K1"/>
    <mergeCell ref="A2:K2"/>
    <mergeCell ref="A3:K3"/>
  </mergeCells>
  <pageMargins left="0.118055555555556" right="0.118055555555556" top="0.35416666666666702" bottom="0.35416666666666702" header="0.31458333333333299" footer="0.31458333333333299"/>
  <pageSetup paperSize="9" scale="52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4"/>
  <sheetViews>
    <sheetView topLeftCell="A32" workbookViewId="0">
      <selection activeCell="A47" sqref="A47"/>
    </sheetView>
  </sheetViews>
  <sheetFormatPr defaultColWidth="8.86328125" defaultRowHeight="17.649999999999999"/>
  <cols>
    <col min="1" max="1" width="8.86328125" style="32"/>
    <col min="2" max="2" width="20.1328125" style="32" customWidth="1"/>
    <col min="3" max="3" width="26.33203125" style="32" customWidth="1"/>
    <col min="4" max="5" width="28.6640625" style="32" customWidth="1"/>
    <col min="6" max="7" width="24.86328125" style="32" customWidth="1"/>
    <col min="8" max="8" width="19.53125" style="32" customWidth="1"/>
    <col min="9" max="9" width="23" style="32" customWidth="1"/>
    <col min="10" max="10" width="21.6640625" style="32" customWidth="1"/>
    <col min="11" max="11" width="22.6640625" style="32" customWidth="1"/>
    <col min="12" max="16384" width="8.86328125" style="32"/>
  </cols>
  <sheetData>
    <row r="1" spans="1:11" ht="19.899999999999999">
      <c r="A1" s="207" t="s">
        <v>122</v>
      </c>
      <c r="B1" s="162"/>
      <c r="C1" s="162"/>
      <c r="D1" s="162"/>
      <c r="E1" s="162"/>
      <c r="F1" s="162"/>
      <c r="G1" s="33"/>
    </row>
    <row r="2" spans="1:11" ht="19.899999999999999">
      <c r="A2" s="207" t="s">
        <v>62</v>
      </c>
      <c r="B2" s="162"/>
      <c r="C2" s="162"/>
      <c r="D2" s="162"/>
      <c r="E2" s="162"/>
      <c r="F2" s="162"/>
      <c r="G2" s="33"/>
    </row>
    <row r="3" spans="1:11" ht="45.75" customHeight="1">
      <c r="A3" s="208" t="s">
        <v>950</v>
      </c>
      <c r="B3" s="209"/>
      <c r="C3" s="209"/>
      <c r="D3" s="209"/>
      <c r="E3" s="209"/>
      <c r="F3" s="209"/>
      <c r="G3" s="34"/>
    </row>
    <row r="4" spans="1:11" ht="62.25" customHeight="1">
      <c r="A4" s="35" t="s">
        <v>951</v>
      </c>
      <c r="B4" s="35" t="s">
        <v>124</v>
      </c>
      <c r="C4" s="3" t="s">
        <v>952</v>
      </c>
      <c r="D4" s="4" t="s">
        <v>953</v>
      </c>
      <c r="E4" s="4" t="s">
        <v>954</v>
      </c>
      <c r="F4" s="12" t="s">
        <v>948</v>
      </c>
      <c r="G4" s="36"/>
      <c r="H4" s="37"/>
      <c r="I4" s="48"/>
      <c r="J4" s="48"/>
    </row>
    <row r="5" spans="1:11">
      <c r="A5" s="38"/>
      <c r="B5" s="38"/>
      <c r="C5" s="153" t="s">
        <v>29</v>
      </c>
      <c r="D5" s="153" t="s">
        <v>29</v>
      </c>
      <c r="E5" s="153" t="s">
        <v>29</v>
      </c>
      <c r="F5" s="153" t="s">
        <v>29</v>
      </c>
      <c r="G5" s="39"/>
    </row>
    <row r="6" spans="1:11">
      <c r="A6" s="40">
        <v>1</v>
      </c>
      <c r="B6" s="41" t="s">
        <v>86</v>
      </c>
      <c r="C6" s="42">
        <v>8397594.4820000008</v>
      </c>
      <c r="D6" s="42">
        <v>87595031.064300001</v>
      </c>
      <c r="E6" s="42">
        <v>17779201.3847</v>
      </c>
      <c r="F6" s="43">
        <f>C6+D6+E6</f>
        <v>113771826.93099999</v>
      </c>
      <c r="G6" s="44"/>
      <c r="H6" s="45"/>
      <c r="I6" s="45"/>
      <c r="J6" s="45"/>
      <c r="K6" s="45"/>
    </row>
    <row r="7" spans="1:11">
      <c r="A7" s="40">
        <v>2</v>
      </c>
      <c r="B7" s="41" t="s">
        <v>87</v>
      </c>
      <c r="C7" s="42">
        <v>8933596.4249000009</v>
      </c>
      <c r="D7" s="42">
        <v>93186049.651700005</v>
      </c>
      <c r="E7" s="42">
        <v>18914012.8484</v>
      </c>
      <c r="F7" s="43">
        <f t="shared" ref="F7:F41" si="0">C7+D7+E7</f>
        <v>121033658.925</v>
      </c>
      <c r="G7" s="44"/>
      <c r="H7" s="45"/>
      <c r="I7" s="45"/>
      <c r="J7" s="45"/>
      <c r="K7" s="45"/>
    </row>
    <row r="8" spans="1:11">
      <c r="A8" s="40">
        <v>3</v>
      </c>
      <c r="B8" s="41" t="s">
        <v>88</v>
      </c>
      <c r="C8" s="42">
        <v>9016615.6344000008</v>
      </c>
      <c r="D8" s="42">
        <v>94052020.287699997</v>
      </c>
      <c r="E8" s="42">
        <v>19089779.283300001</v>
      </c>
      <c r="F8" s="43">
        <f t="shared" si="0"/>
        <v>122158415.20539999</v>
      </c>
      <c r="G8" s="44"/>
      <c r="H8" s="45"/>
      <c r="I8" s="45"/>
      <c r="J8" s="45"/>
      <c r="K8" s="45"/>
    </row>
    <row r="9" spans="1:11">
      <c r="A9" s="40">
        <v>4</v>
      </c>
      <c r="B9" s="41" t="s">
        <v>89</v>
      </c>
      <c r="C9" s="42">
        <v>8916860.3837000001</v>
      </c>
      <c r="D9" s="42">
        <v>93011476.558500007</v>
      </c>
      <c r="E9" s="42">
        <v>18878579.671999998</v>
      </c>
      <c r="F9" s="43">
        <f t="shared" si="0"/>
        <v>120806916.6142</v>
      </c>
      <c r="G9" s="44"/>
      <c r="H9" s="45"/>
      <c r="I9" s="45"/>
      <c r="J9" s="45"/>
      <c r="K9" s="45"/>
    </row>
    <row r="10" spans="1:11">
      <c r="A10" s="40">
        <v>5</v>
      </c>
      <c r="B10" s="41" t="s">
        <v>90</v>
      </c>
      <c r="C10" s="42">
        <v>10727281.7915</v>
      </c>
      <c r="D10" s="42">
        <v>111895922.5499</v>
      </c>
      <c r="E10" s="42">
        <v>22711563.8521</v>
      </c>
      <c r="F10" s="43">
        <f t="shared" si="0"/>
        <v>145334768.19349998</v>
      </c>
      <c r="G10" s="44"/>
      <c r="H10" s="45"/>
      <c r="I10" s="45"/>
      <c r="J10" s="45"/>
      <c r="K10" s="45"/>
    </row>
    <row r="11" spans="1:11">
      <c r="A11" s="40">
        <v>6</v>
      </c>
      <c r="B11" s="41" t="s">
        <v>91</v>
      </c>
      <c r="C11" s="42">
        <v>7935139.4863</v>
      </c>
      <c r="D11" s="42">
        <v>82771178.257499993</v>
      </c>
      <c r="E11" s="42">
        <v>16800101.8917</v>
      </c>
      <c r="F11" s="43">
        <f t="shared" si="0"/>
        <v>107506419.6355</v>
      </c>
      <c r="G11" s="44"/>
      <c r="H11" s="45"/>
      <c r="I11" s="45"/>
      <c r="J11" s="45"/>
      <c r="K11" s="45"/>
    </row>
    <row r="12" spans="1:11" ht="30" customHeight="1">
      <c r="A12" s="40">
        <v>7</v>
      </c>
      <c r="B12" s="41" t="s">
        <v>92</v>
      </c>
      <c r="C12" s="42">
        <v>10057520.134299999</v>
      </c>
      <c r="D12" s="42">
        <v>104909660.7941</v>
      </c>
      <c r="E12" s="42">
        <v>21293559.2784</v>
      </c>
      <c r="F12" s="43">
        <f t="shared" si="0"/>
        <v>136260740.20679998</v>
      </c>
      <c r="G12" s="44"/>
      <c r="H12" s="45"/>
      <c r="I12" s="45"/>
      <c r="J12" s="45"/>
      <c r="K12" s="45"/>
    </row>
    <row r="13" spans="1:11">
      <c r="A13" s="40">
        <v>8</v>
      </c>
      <c r="B13" s="41" t="s">
        <v>93</v>
      </c>
      <c r="C13" s="42">
        <v>11142290.9252</v>
      </c>
      <c r="D13" s="42">
        <v>116224869.13519999</v>
      </c>
      <c r="E13" s="42">
        <v>23590212.015000001</v>
      </c>
      <c r="F13" s="43">
        <f t="shared" si="0"/>
        <v>150957372.07539999</v>
      </c>
      <c r="G13" s="44"/>
      <c r="H13" s="45"/>
      <c r="I13" s="45"/>
      <c r="J13" s="45"/>
      <c r="K13" s="45"/>
    </row>
    <row r="14" spans="1:11">
      <c r="A14" s="40">
        <v>9</v>
      </c>
      <c r="B14" s="41" t="s">
        <v>94</v>
      </c>
      <c r="C14" s="42">
        <v>9018153.3402999993</v>
      </c>
      <c r="D14" s="42">
        <v>94068060.048099995</v>
      </c>
      <c r="E14" s="42">
        <v>19093034.880399998</v>
      </c>
      <c r="F14" s="43">
        <f t="shared" si="0"/>
        <v>122179248.26879999</v>
      </c>
      <c r="G14" s="44"/>
      <c r="H14" s="45"/>
      <c r="I14" s="45"/>
      <c r="J14" s="45"/>
      <c r="K14" s="45"/>
    </row>
    <row r="15" spans="1:11">
      <c r="A15" s="40">
        <v>10</v>
      </c>
      <c r="B15" s="41" t="s">
        <v>95</v>
      </c>
      <c r="C15" s="42">
        <v>9105818.5331999995</v>
      </c>
      <c r="D15" s="42">
        <v>94982492.783500001</v>
      </c>
      <c r="E15" s="42">
        <v>19278637.688700002</v>
      </c>
      <c r="F15" s="43">
        <f t="shared" si="0"/>
        <v>123366949.0054</v>
      </c>
      <c r="G15" s="44"/>
      <c r="H15" s="45"/>
      <c r="I15" s="45"/>
      <c r="J15" s="45"/>
      <c r="K15" s="45"/>
    </row>
    <row r="16" spans="1:11">
      <c r="A16" s="40">
        <v>11</v>
      </c>
      <c r="B16" s="41" t="s">
        <v>96</v>
      </c>
      <c r="C16" s="42">
        <v>8023243.9742000001</v>
      </c>
      <c r="D16" s="42">
        <v>83690193.264799997</v>
      </c>
      <c r="E16" s="42">
        <v>16986634.765700001</v>
      </c>
      <c r="F16" s="43">
        <f t="shared" si="0"/>
        <v>108700072.00469999</v>
      </c>
      <c r="G16" s="44"/>
      <c r="H16" s="45"/>
      <c r="I16" s="45"/>
      <c r="J16" s="45"/>
      <c r="K16" s="45"/>
    </row>
    <row r="17" spans="1:11">
      <c r="A17" s="40">
        <v>12</v>
      </c>
      <c r="B17" s="41" t="s">
        <v>97</v>
      </c>
      <c r="C17" s="42">
        <v>8385575.8335999995</v>
      </c>
      <c r="D17" s="42">
        <v>87469664.939700007</v>
      </c>
      <c r="E17" s="42">
        <v>17753755.768100001</v>
      </c>
      <c r="F17" s="43">
        <f t="shared" si="0"/>
        <v>113608996.54140002</v>
      </c>
      <c r="G17" s="44"/>
      <c r="H17" s="45"/>
      <c r="I17" s="45"/>
      <c r="J17" s="45"/>
      <c r="K17" s="45"/>
    </row>
    <row r="18" spans="1:11">
      <c r="A18" s="40">
        <v>13</v>
      </c>
      <c r="B18" s="41" t="s">
        <v>98</v>
      </c>
      <c r="C18" s="42">
        <v>8018716.5044</v>
      </c>
      <c r="D18" s="42">
        <v>83642967.376399994</v>
      </c>
      <c r="E18" s="42">
        <v>16977049.306699999</v>
      </c>
      <c r="F18" s="43">
        <f t="shared" si="0"/>
        <v>108638733.1875</v>
      </c>
      <c r="G18" s="44"/>
      <c r="H18" s="45"/>
      <c r="I18" s="45"/>
      <c r="J18" s="45"/>
      <c r="K18" s="45"/>
    </row>
    <row r="19" spans="1:11">
      <c r="A19" s="40">
        <v>14</v>
      </c>
      <c r="B19" s="41" t="s">
        <v>99</v>
      </c>
      <c r="C19" s="42">
        <v>9018931.6678999998</v>
      </c>
      <c r="D19" s="42">
        <v>94076178.756699994</v>
      </c>
      <c r="E19" s="42">
        <v>19094682.738200001</v>
      </c>
      <c r="F19" s="43">
        <f t="shared" si="0"/>
        <v>122189793.16279998</v>
      </c>
      <c r="G19" s="44"/>
      <c r="H19" s="45"/>
      <c r="I19" s="45"/>
      <c r="J19" s="45"/>
      <c r="K19" s="45"/>
    </row>
    <row r="20" spans="1:11">
      <c r="A20" s="40">
        <v>15</v>
      </c>
      <c r="B20" s="41" t="s">
        <v>100</v>
      </c>
      <c r="C20" s="42">
        <v>8447220.0189999994</v>
      </c>
      <c r="D20" s="42">
        <v>88112673.404499993</v>
      </c>
      <c r="E20" s="42">
        <v>17884267.474599998</v>
      </c>
      <c r="F20" s="43">
        <f t="shared" si="0"/>
        <v>114444160.89809999</v>
      </c>
      <c r="G20" s="44"/>
      <c r="H20" s="45"/>
      <c r="I20" s="45"/>
      <c r="J20" s="45"/>
      <c r="K20" s="45"/>
    </row>
    <row r="21" spans="1:11">
      <c r="A21" s="40">
        <v>16</v>
      </c>
      <c r="B21" s="41" t="s">
        <v>101</v>
      </c>
      <c r="C21" s="42">
        <v>9324247.4960999992</v>
      </c>
      <c r="D21" s="42">
        <v>97260918.091199994</v>
      </c>
      <c r="E21" s="42">
        <v>19741090.66</v>
      </c>
      <c r="F21" s="43">
        <f t="shared" si="0"/>
        <v>126326256.24729998</v>
      </c>
      <c r="G21" s="44"/>
      <c r="H21" s="45"/>
      <c r="I21" s="45"/>
      <c r="J21" s="45"/>
      <c r="K21" s="45"/>
    </row>
    <row r="22" spans="1:11">
      <c r="A22" s="40">
        <v>17</v>
      </c>
      <c r="B22" s="41" t="s">
        <v>102</v>
      </c>
      <c r="C22" s="42">
        <v>10029093.138499999</v>
      </c>
      <c r="D22" s="42">
        <v>104613139.7394</v>
      </c>
      <c r="E22" s="42">
        <v>21233374.271499999</v>
      </c>
      <c r="F22" s="43">
        <f t="shared" si="0"/>
        <v>135875607.1494</v>
      </c>
      <c r="G22" s="44"/>
      <c r="H22" s="45"/>
      <c r="I22" s="45"/>
      <c r="J22" s="45"/>
      <c r="K22" s="45"/>
    </row>
    <row r="23" spans="1:11">
      <c r="A23" s="40">
        <v>18</v>
      </c>
      <c r="B23" s="41" t="s">
        <v>103</v>
      </c>
      <c r="C23" s="42">
        <v>11750249.100099999</v>
      </c>
      <c r="D23" s="42">
        <v>122566460.80500001</v>
      </c>
      <c r="E23" s="42">
        <v>24877367.622200001</v>
      </c>
      <c r="F23" s="43">
        <f t="shared" si="0"/>
        <v>159194077.52730003</v>
      </c>
      <c r="G23" s="44"/>
      <c r="H23" s="45"/>
      <c r="I23" s="45"/>
      <c r="J23" s="45"/>
      <c r="K23" s="45"/>
    </row>
    <row r="24" spans="1:11">
      <c r="A24" s="40">
        <v>19</v>
      </c>
      <c r="B24" s="41" t="s">
        <v>104</v>
      </c>
      <c r="C24" s="42">
        <v>14224984.6894</v>
      </c>
      <c r="D24" s="42">
        <v>148380346.1137</v>
      </c>
      <c r="E24" s="42">
        <v>30116823.101</v>
      </c>
      <c r="F24" s="43">
        <f t="shared" si="0"/>
        <v>192722153.9041</v>
      </c>
      <c r="G24" s="44"/>
      <c r="H24" s="45"/>
      <c r="I24" s="45"/>
      <c r="J24" s="45"/>
      <c r="K24" s="45"/>
    </row>
    <row r="25" spans="1:11">
      <c r="A25" s="40">
        <v>20</v>
      </c>
      <c r="B25" s="41" t="s">
        <v>105</v>
      </c>
      <c r="C25" s="42">
        <v>11023958.2919</v>
      </c>
      <c r="D25" s="42">
        <v>114990545.34029999</v>
      </c>
      <c r="E25" s="42">
        <v>23339680.779899999</v>
      </c>
      <c r="F25" s="43">
        <f t="shared" si="0"/>
        <v>149354184.41209999</v>
      </c>
      <c r="G25" s="44"/>
      <c r="H25" s="45"/>
      <c r="I25" s="45"/>
      <c r="J25" s="45"/>
      <c r="K25" s="45"/>
    </row>
    <row r="26" spans="1:11">
      <c r="A26" s="40">
        <v>21</v>
      </c>
      <c r="B26" s="41" t="s">
        <v>106</v>
      </c>
      <c r="C26" s="42">
        <v>9469635.1718000006</v>
      </c>
      <c r="D26" s="42">
        <v>98777452.141100004</v>
      </c>
      <c r="E26" s="42">
        <v>20048902.232700001</v>
      </c>
      <c r="F26" s="43">
        <f t="shared" si="0"/>
        <v>128295989.54560001</v>
      </c>
      <c r="G26" s="44"/>
      <c r="H26" s="45"/>
      <c r="I26" s="45"/>
      <c r="J26" s="45"/>
      <c r="K26" s="45"/>
    </row>
    <row r="27" spans="1:11">
      <c r="A27" s="40">
        <v>22</v>
      </c>
      <c r="B27" s="41" t="s">
        <v>107</v>
      </c>
      <c r="C27" s="42">
        <v>9911849.2328999992</v>
      </c>
      <c r="D27" s="42">
        <v>103390172.42659999</v>
      </c>
      <c r="E27" s="42">
        <v>20985148.066500001</v>
      </c>
      <c r="F27" s="43">
        <f t="shared" si="0"/>
        <v>134287169.72599998</v>
      </c>
      <c r="G27" s="44"/>
      <c r="H27" s="45"/>
      <c r="I27" s="45"/>
      <c r="J27" s="45"/>
      <c r="K27" s="45"/>
    </row>
    <row r="28" spans="1:11">
      <c r="A28" s="40">
        <v>23</v>
      </c>
      <c r="B28" s="41" t="s">
        <v>108</v>
      </c>
      <c r="C28" s="42">
        <v>7982965.9671999998</v>
      </c>
      <c r="D28" s="42">
        <v>83270054.702399999</v>
      </c>
      <c r="E28" s="42">
        <v>16901359.059799999</v>
      </c>
      <c r="F28" s="43">
        <f t="shared" si="0"/>
        <v>108154379.72939999</v>
      </c>
      <c r="G28" s="44"/>
      <c r="H28" s="45"/>
      <c r="I28" s="45"/>
      <c r="J28" s="45"/>
      <c r="K28" s="45"/>
    </row>
    <row r="29" spans="1:11">
      <c r="A29" s="40">
        <v>24</v>
      </c>
      <c r="B29" s="41" t="s">
        <v>109</v>
      </c>
      <c r="C29" s="42">
        <v>12013922.386499999</v>
      </c>
      <c r="D29" s="42">
        <v>125316828.1593</v>
      </c>
      <c r="E29" s="42">
        <v>25435610.875</v>
      </c>
      <c r="F29" s="43">
        <f t="shared" si="0"/>
        <v>162766361.4208</v>
      </c>
      <c r="G29" s="44"/>
      <c r="H29" s="45"/>
      <c r="I29" s="45"/>
      <c r="J29" s="45"/>
      <c r="K29" s="45"/>
    </row>
    <row r="30" spans="1:11">
      <c r="A30" s="40">
        <v>25</v>
      </c>
      <c r="B30" s="41" t="s">
        <v>110</v>
      </c>
      <c r="C30" s="42">
        <v>8270369.8954999996</v>
      </c>
      <c r="D30" s="42">
        <v>86267955.598700002</v>
      </c>
      <c r="E30" s="42">
        <v>17509844.3028</v>
      </c>
      <c r="F30" s="43">
        <f t="shared" si="0"/>
        <v>112048169.79700001</v>
      </c>
      <c r="G30" s="44"/>
      <c r="H30" s="45"/>
      <c r="I30" s="45"/>
      <c r="J30" s="45"/>
      <c r="K30" s="45"/>
    </row>
    <row r="31" spans="1:11">
      <c r="A31" s="40">
        <v>26</v>
      </c>
      <c r="B31" s="41" t="s">
        <v>111</v>
      </c>
      <c r="C31" s="42">
        <v>10622921.900699999</v>
      </c>
      <c r="D31" s="42">
        <v>110807347.97050001</v>
      </c>
      <c r="E31" s="42">
        <v>22490615.398400001</v>
      </c>
      <c r="F31" s="43">
        <f t="shared" si="0"/>
        <v>143920885.2696</v>
      </c>
      <c r="G31" s="44"/>
      <c r="H31" s="45"/>
      <c r="I31" s="45"/>
      <c r="J31" s="45"/>
      <c r="K31" s="45"/>
    </row>
    <row r="32" spans="1:11">
      <c r="A32" s="40">
        <v>27</v>
      </c>
      <c r="B32" s="41" t="s">
        <v>112</v>
      </c>
      <c r="C32" s="42">
        <v>8331793.9473000001</v>
      </c>
      <c r="D32" s="42">
        <v>86908667.856999993</v>
      </c>
      <c r="E32" s="42">
        <v>17639889.947299998</v>
      </c>
      <c r="F32" s="43">
        <f t="shared" si="0"/>
        <v>112880351.7516</v>
      </c>
      <c r="G32" s="44"/>
      <c r="H32" s="45"/>
      <c r="I32" s="45"/>
      <c r="J32" s="45"/>
      <c r="K32" s="45"/>
    </row>
    <row r="33" spans="1:11">
      <c r="A33" s="40">
        <v>28</v>
      </c>
      <c r="B33" s="41" t="s">
        <v>113</v>
      </c>
      <c r="C33" s="42">
        <v>8348300.1642000005</v>
      </c>
      <c r="D33" s="42">
        <v>87080843.661500007</v>
      </c>
      <c r="E33" s="42">
        <v>17674836.5449</v>
      </c>
      <c r="F33" s="43">
        <f t="shared" si="0"/>
        <v>113103980.37060001</v>
      </c>
      <c r="G33" s="44"/>
      <c r="H33" s="45"/>
      <c r="I33" s="45"/>
      <c r="J33" s="45"/>
      <c r="K33" s="45"/>
    </row>
    <row r="34" spans="1:11">
      <c r="A34" s="40">
        <v>29</v>
      </c>
      <c r="B34" s="41" t="s">
        <v>114</v>
      </c>
      <c r="C34" s="42">
        <v>8179055.6032999996</v>
      </c>
      <c r="D34" s="42">
        <v>85315459.228699997</v>
      </c>
      <c r="E34" s="42">
        <v>17316515.702100001</v>
      </c>
      <c r="F34" s="43">
        <f t="shared" si="0"/>
        <v>110811030.5341</v>
      </c>
      <c r="G34" s="44"/>
      <c r="H34" s="45"/>
      <c r="I34" s="45"/>
      <c r="J34" s="45"/>
      <c r="K34" s="45"/>
    </row>
    <row r="35" spans="1:11">
      <c r="A35" s="40">
        <v>30</v>
      </c>
      <c r="B35" s="41" t="s">
        <v>115</v>
      </c>
      <c r="C35" s="42">
        <v>10058631.3705</v>
      </c>
      <c r="D35" s="42">
        <v>104921252.0623</v>
      </c>
      <c r="E35" s="42">
        <v>21295911.963100001</v>
      </c>
      <c r="F35" s="43">
        <f t="shared" si="0"/>
        <v>136275795.39590001</v>
      </c>
      <c r="G35" s="44"/>
      <c r="H35" s="45"/>
      <c r="I35" s="45"/>
      <c r="J35" s="45"/>
      <c r="K35" s="45"/>
    </row>
    <row r="36" spans="1:11">
      <c r="A36" s="40">
        <v>31</v>
      </c>
      <c r="B36" s="41" t="s">
        <v>116</v>
      </c>
      <c r="C36" s="42">
        <v>9364917.2769000009</v>
      </c>
      <c r="D36" s="42">
        <v>97685143.233099997</v>
      </c>
      <c r="E36" s="42">
        <v>19827195.820700001</v>
      </c>
      <c r="F36" s="43">
        <f t="shared" si="0"/>
        <v>126877256.3307</v>
      </c>
      <c r="G36" s="44"/>
      <c r="H36" s="45"/>
      <c r="I36" s="45"/>
      <c r="J36" s="45"/>
      <c r="K36" s="45"/>
    </row>
    <row r="37" spans="1:11">
      <c r="A37" s="40">
        <v>32</v>
      </c>
      <c r="B37" s="41" t="s">
        <v>117</v>
      </c>
      <c r="C37" s="42">
        <v>9671743.5887000002</v>
      </c>
      <c r="D37" s="42">
        <v>100885638.37180001</v>
      </c>
      <c r="E37" s="42">
        <v>20476801.7049</v>
      </c>
      <c r="F37" s="43">
        <f t="shared" si="0"/>
        <v>131034183.6654</v>
      </c>
      <c r="G37" s="44"/>
      <c r="H37" s="45"/>
      <c r="I37" s="45"/>
      <c r="J37" s="45"/>
      <c r="K37" s="45"/>
    </row>
    <row r="38" spans="1:11">
      <c r="A38" s="40">
        <v>33</v>
      </c>
      <c r="B38" s="41" t="s">
        <v>118</v>
      </c>
      <c r="C38" s="42">
        <v>9883643.9204999991</v>
      </c>
      <c r="D38" s="42">
        <v>103095963.74339999</v>
      </c>
      <c r="E38" s="42">
        <v>20925432.402600002</v>
      </c>
      <c r="F38" s="43">
        <f t="shared" si="0"/>
        <v>133905040.06649999</v>
      </c>
      <c r="G38" s="44"/>
      <c r="H38" s="45"/>
      <c r="I38" s="45"/>
      <c r="J38" s="45"/>
      <c r="K38" s="45"/>
    </row>
    <row r="39" spans="1:11">
      <c r="A39" s="40">
        <v>34</v>
      </c>
      <c r="B39" s="41" t="s">
        <v>119</v>
      </c>
      <c r="C39" s="42">
        <v>8638717.7342000008</v>
      </c>
      <c r="D39" s="42">
        <v>90110179.755500004</v>
      </c>
      <c r="E39" s="42">
        <v>18289702.203600001</v>
      </c>
      <c r="F39" s="43">
        <f t="shared" si="0"/>
        <v>117038599.69330001</v>
      </c>
      <c r="G39" s="44"/>
      <c r="H39" s="45"/>
      <c r="I39" s="45"/>
      <c r="J39" s="45"/>
      <c r="K39" s="45"/>
    </row>
    <row r="40" spans="1:11">
      <c r="A40" s="40">
        <v>35</v>
      </c>
      <c r="B40" s="41" t="s">
        <v>120</v>
      </c>
      <c r="C40" s="42">
        <v>8905409.0362</v>
      </c>
      <c r="D40" s="42">
        <v>92892027.930099994</v>
      </c>
      <c r="E40" s="42">
        <v>18854335.132199999</v>
      </c>
      <c r="F40" s="43">
        <f t="shared" si="0"/>
        <v>120651772.0985</v>
      </c>
      <c r="G40" s="44"/>
      <c r="H40" s="45"/>
      <c r="I40" s="45"/>
      <c r="J40" s="45"/>
      <c r="K40" s="45"/>
    </row>
    <row r="41" spans="1:11">
      <c r="A41" s="40">
        <v>36</v>
      </c>
      <c r="B41" s="41" t="s">
        <v>121</v>
      </c>
      <c r="C41" s="42">
        <v>8924374.9571000002</v>
      </c>
      <c r="D41" s="42">
        <v>93089860.8257</v>
      </c>
      <c r="E41" s="42">
        <v>18894489.3607</v>
      </c>
      <c r="F41" s="43">
        <f t="shared" si="0"/>
        <v>120908725.1435</v>
      </c>
      <c r="G41" s="44"/>
      <c r="H41" s="45"/>
      <c r="I41" s="45"/>
      <c r="J41" s="45"/>
      <c r="K41" s="45"/>
    </row>
    <row r="42" spans="1:11">
      <c r="A42" s="210" t="s">
        <v>28</v>
      </c>
      <c r="B42" s="211"/>
      <c r="C42" s="46">
        <f>SUM(C6:C41)</f>
        <v>340075344.00439996</v>
      </c>
      <c r="D42" s="46">
        <f t="shared" ref="D42:F42" si="1">SUM(D6:D41)</f>
        <v>3547314696.6299</v>
      </c>
      <c r="E42" s="46">
        <f t="shared" si="1"/>
        <v>719999999.99990022</v>
      </c>
      <c r="F42" s="46">
        <f t="shared" si="1"/>
        <v>4607390040.6342001</v>
      </c>
      <c r="G42" s="47"/>
    </row>
    <row r="44" spans="1:11">
      <c r="F44" s="45"/>
    </row>
  </sheetData>
  <mergeCells count="4">
    <mergeCell ref="A1:F1"/>
    <mergeCell ref="A2:F2"/>
    <mergeCell ref="A3:F3"/>
    <mergeCell ref="A42:B4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80"/>
  <sheetViews>
    <sheetView zoomScale="106" zoomScaleNormal="106" workbookViewId="0">
      <selection sqref="A1:G1"/>
    </sheetView>
  </sheetViews>
  <sheetFormatPr defaultColWidth="9.1328125" defaultRowHeight="13.15"/>
  <cols>
    <col min="1" max="1" width="5.86328125" style="14" customWidth="1"/>
    <col min="2" max="2" width="16" style="14" customWidth="1"/>
    <col min="3" max="3" width="22.33203125" style="14" customWidth="1"/>
    <col min="4" max="4" width="22.6640625" style="14" customWidth="1"/>
    <col min="5" max="6" width="23.53125" style="14" customWidth="1"/>
    <col min="7" max="7" width="24.86328125" style="14" customWidth="1"/>
    <col min="8" max="9" width="17.46484375" style="14" customWidth="1"/>
    <col min="10" max="11" width="14.46484375" style="14" customWidth="1"/>
    <col min="12" max="13" width="13.33203125" style="14" customWidth="1"/>
    <col min="14" max="15" width="15.33203125" style="14" customWidth="1"/>
    <col min="16" max="16" width="14.46484375" style="14" customWidth="1"/>
    <col min="17" max="17" width="14" style="14" customWidth="1"/>
    <col min="18" max="18" width="12.86328125" style="14" customWidth="1"/>
    <col min="19" max="16384" width="9.1328125" style="14"/>
  </cols>
  <sheetData>
    <row r="1" spans="1:18" ht="17.25">
      <c r="A1" s="212" t="s">
        <v>17</v>
      </c>
      <c r="B1" s="212"/>
      <c r="C1" s="212"/>
      <c r="D1" s="212"/>
      <c r="E1" s="212"/>
      <c r="F1" s="212"/>
      <c r="G1" s="212"/>
    </row>
    <row r="2" spans="1:18" ht="17.25">
      <c r="A2" s="212" t="s">
        <v>62</v>
      </c>
      <c r="B2" s="212"/>
      <c r="C2" s="212"/>
      <c r="D2" s="212"/>
      <c r="E2" s="212"/>
      <c r="F2" s="212"/>
      <c r="G2" s="212"/>
    </row>
    <row r="3" spans="1:18" ht="38.450000000000003" customHeight="1">
      <c r="A3" s="213" t="s">
        <v>955</v>
      </c>
      <c r="B3" s="213"/>
      <c r="C3" s="213"/>
      <c r="D3" s="213"/>
      <c r="E3" s="213"/>
      <c r="F3" s="213"/>
      <c r="G3" s="213"/>
    </row>
    <row r="4" spans="1:18" ht="51.75">
      <c r="A4" s="15" t="s">
        <v>956</v>
      </c>
      <c r="B4" s="15" t="s">
        <v>957</v>
      </c>
      <c r="C4" s="16" t="s">
        <v>958</v>
      </c>
      <c r="D4" s="17" t="s">
        <v>952</v>
      </c>
      <c r="E4" s="18" t="s">
        <v>953</v>
      </c>
      <c r="F4" s="19" t="s">
        <v>959</v>
      </c>
      <c r="G4" s="20" t="s">
        <v>960</v>
      </c>
    </row>
    <row r="5" spans="1:18" ht="15">
      <c r="A5" s="21"/>
      <c r="B5" s="21"/>
      <c r="C5" s="22"/>
      <c r="D5" s="154" t="s">
        <v>29</v>
      </c>
      <c r="E5" s="154" t="s">
        <v>29</v>
      </c>
      <c r="F5" s="154" t="s">
        <v>29</v>
      </c>
      <c r="G5" s="154" t="s">
        <v>29</v>
      </c>
      <c r="Q5" s="29"/>
      <c r="R5" s="29"/>
    </row>
    <row r="6" spans="1:18" ht="17.649999999999999">
      <c r="A6" s="23">
        <v>1</v>
      </c>
      <c r="B6" s="24" t="s">
        <v>86</v>
      </c>
      <c r="C6" s="24" t="s">
        <v>130</v>
      </c>
      <c r="D6" s="25">
        <v>301350.83</v>
      </c>
      <c r="E6" s="25">
        <v>3143380.58</v>
      </c>
      <c r="F6" s="25">
        <v>638013.31720000005</v>
      </c>
      <c r="G6" s="26">
        <f t="shared" ref="G6:G69" si="0">D6+E6+F6</f>
        <v>4082744.7272000001</v>
      </c>
      <c r="H6" s="27"/>
      <c r="I6" s="27"/>
      <c r="J6" s="28"/>
      <c r="K6" s="28"/>
      <c r="L6" s="28"/>
      <c r="M6" s="28"/>
      <c r="N6" s="27"/>
      <c r="O6" s="27"/>
      <c r="P6" s="28"/>
      <c r="Q6" s="28"/>
      <c r="R6" s="28"/>
    </row>
    <row r="7" spans="1:18" ht="17.649999999999999">
      <c r="A7" s="23">
        <v>2</v>
      </c>
      <c r="B7" s="24" t="s">
        <v>86</v>
      </c>
      <c r="C7" s="24" t="s">
        <v>132</v>
      </c>
      <c r="D7" s="25">
        <v>502764.6</v>
      </c>
      <c r="E7" s="25">
        <v>5244321</v>
      </c>
      <c r="F7" s="25">
        <v>1064442.1052000001</v>
      </c>
      <c r="G7" s="26">
        <f t="shared" si="0"/>
        <v>6811527.7051999997</v>
      </c>
      <c r="H7" s="27"/>
      <c r="I7" s="27"/>
      <c r="J7" s="28"/>
      <c r="K7" s="28"/>
      <c r="L7" s="28"/>
      <c r="M7" s="28"/>
      <c r="N7" s="27"/>
      <c r="O7" s="27"/>
      <c r="P7" s="28"/>
      <c r="Q7" s="28"/>
      <c r="R7" s="28"/>
    </row>
    <row r="8" spans="1:18" ht="17.649999999999999">
      <c r="A8" s="23">
        <v>3</v>
      </c>
      <c r="B8" s="24" t="s">
        <v>86</v>
      </c>
      <c r="C8" s="24" t="s">
        <v>134</v>
      </c>
      <c r="D8" s="25">
        <v>353750.25</v>
      </c>
      <c r="E8" s="25">
        <v>3689957.23</v>
      </c>
      <c r="F8" s="25">
        <v>748952.21589999995</v>
      </c>
      <c r="G8" s="26">
        <f t="shared" si="0"/>
        <v>4792659.6958999997</v>
      </c>
      <c r="H8" s="27"/>
      <c r="I8" s="27"/>
      <c r="J8" s="28"/>
      <c r="K8" s="28"/>
      <c r="L8" s="28"/>
      <c r="M8" s="28"/>
      <c r="N8" s="27"/>
      <c r="O8" s="27"/>
      <c r="P8" s="28"/>
      <c r="Q8" s="28"/>
      <c r="R8" s="28"/>
    </row>
    <row r="9" spans="1:18" ht="17.649999999999999">
      <c r="A9" s="23">
        <v>4</v>
      </c>
      <c r="B9" s="24" t="s">
        <v>86</v>
      </c>
      <c r="C9" s="24" t="s">
        <v>136</v>
      </c>
      <c r="D9" s="25">
        <v>360433.2</v>
      </c>
      <c r="E9" s="25">
        <v>3759666.77</v>
      </c>
      <c r="F9" s="25">
        <v>763101.19209999999</v>
      </c>
      <c r="G9" s="26">
        <f t="shared" si="0"/>
        <v>4883201.1621000003</v>
      </c>
      <c r="H9" s="27"/>
      <c r="I9" s="27"/>
      <c r="J9" s="28"/>
      <c r="K9" s="28"/>
      <c r="L9" s="28"/>
      <c r="M9" s="28"/>
      <c r="N9" s="27"/>
      <c r="O9" s="27"/>
      <c r="P9" s="28"/>
      <c r="Q9" s="28"/>
      <c r="R9" s="28"/>
    </row>
    <row r="10" spans="1:18" ht="17.649999999999999">
      <c r="A10" s="23">
        <v>5</v>
      </c>
      <c r="B10" s="24" t="s">
        <v>86</v>
      </c>
      <c r="C10" s="24" t="s">
        <v>138</v>
      </c>
      <c r="D10" s="25">
        <v>328064.8</v>
      </c>
      <c r="E10" s="25">
        <v>3422033.09</v>
      </c>
      <c r="F10" s="25">
        <v>694571.53899999999</v>
      </c>
      <c r="G10" s="26">
        <f t="shared" si="0"/>
        <v>4444669.4289999995</v>
      </c>
      <c r="H10" s="27"/>
      <c r="I10" s="27"/>
      <c r="J10" s="28"/>
      <c r="K10" s="28"/>
      <c r="L10" s="28"/>
      <c r="M10" s="28"/>
      <c r="N10" s="27"/>
      <c r="O10" s="27"/>
      <c r="P10" s="28"/>
      <c r="Q10" s="28"/>
      <c r="R10" s="28"/>
    </row>
    <row r="11" spans="1:18" ht="35.25">
      <c r="A11" s="23">
        <v>6</v>
      </c>
      <c r="B11" s="24" t="s">
        <v>86</v>
      </c>
      <c r="C11" s="24" t="s">
        <v>140</v>
      </c>
      <c r="D11" s="25">
        <v>338806.14</v>
      </c>
      <c r="E11" s="25">
        <v>3534075.66</v>
      </c>
      <c r="F11" s="25">
        <v>717312.86719999998</v>
      </c>
      <c r="G11" s="26">
        <f t="shared" si="0"/>
        <v>4590194.6672</v>
      </c>
      <c r="H11" s="27"/>
      <c r="I11" s="27"/>
      <c r="J11" s="28"/>
      <c r="K11" s="28"/>
      <c r="L11" s="28"/>
      <c r="M11" s="28"/>
      <c r="N11" s="27"/>
      <c r="O11" s="27"/>
      <c r="P11" s="28"/>
      <c r="Q11" s="28"/>
      <c r="R11" s="28"/>
    </row>
    <row r="12" spans="1:18" ht="35.25">
      <c r="A12" s="23">
        <v>7</v>
      </c>
      <c r="B12" s="24" t="s">
        <v>86</v>
      </c>
      <c r="C12" s="24" t="s">
        <v>141</v>
      </c>
      <c r="D12" s="25">
        <v>328732.7</v>
      </c>
      <c r="E12" s="25">
        <v>3428999.98</v>
      </c>
      <c r="F12" s="25">
        <v>695985.6102</v>
      </c>
      <c r="G12" s="26">
        <f t="shared" si="0"/>
        <v>4453718.2902000006</v>
      </c>
      <c r="H12" s="27"/>
      <c r="I12" s="27"/>
      <c r="J12" s="28"/>
      <c r="K12" s="28"/>
      <c r="L12" s="28"/>
      <c r="M12" s="28"/>
      <c r="N12" s="27"/>
      <c r="O12" s="27"/>
      <c r="P12" s="28"/>
      <c r="Q12" s="28"/>
      <c r="R12" s="28"/>
    </row>
    <row r="13" spans="1:18" ht="17.649999999999999">
      <c r="A13" s="23">
        <v>8</v>
      </c>
      <c r="B13" s="24" t="s">
        <v>86</v>
      </c>
      <c r="C13" s="24" t="s">
        <v>143</v>
      </c>
      <c r="D13" s="25">
        <v>320534.88</v>
      </c>
      <c r="E13" s="25">
        <v>3343488.8</v>
      </c>
      <c r="F13" s="25">
        <v>678629.36869999999</v>
      </c>
      <c r="G13" s="26">
        <f t="shared" si="0"/>
        <v>4342653.0486999992</v>
      </c>
      <c r="H13" s="27"/>
      <c r="I13" s="27"/>
      <c r="J13" s="28"/>
      <c r="K13" s="28"/>
      <c r="L13" s="28"/>
      <c r="M13" s="28"/>
      <c r="N13" s="27"/>
      <c r="O13" s="27"/>
      <c r="P13" s="28"/>
      <c r="Q13" s="28"/>
      <c r="R13" s="28"/>
    </row>
    <row r="14" spans="1:18" ht="17.649999999999999">
      <c r="A14" s="23">
        <v>9</v>
      </c>
      <c r="B14" s="24" t="s">
        <v>86</v>
      </c>
      <c r="C14" s="24" t="s">
        <v>145</v>
      </c>
      <c r="D14" s="25">
        <v>345811.49</v>
      </c>
      <c r="E14" s="25">
        <v>3607148.28</v>
      </c>
      <c r="F14" s="25">
        <v>732144.44839999999</v>
      </c>
      <c r="G14" s="26">
        <f t="shared" si="0"/>
        <v>4685104.2183999997</v>
      </c>
      <c r="H14" s="27"/>
      <c r="I14" s="27"/>
      <c r="J14" s="28"/>
      <c r="K14" s="28"/>
      <c r="L14" s="28"/>
      <c r="M14" s="28"/>
      <c r="N14" s="27"/>
      <c r="O14" s="27"/>
      <c r="P14" s="28"/>
      <c r="Q14" s="28"/>
      <c r="R14" s="28"/>
    </row>
    <row r="15" spans="1:18" ht="17.649999999999999">
      <c r="A15" s="23">
        <v>10</v>
      </c>
      <c r="B15" s="24" t="s">
        <v>86</v>
      </c>
      <c r="C15" s="24" t="s">
        <v>147</v>
      </c>
      <c r="D15" s="25">
        <v>350928.69</v>
      </c>
      <c r="E15" s="25">
        <v>3660525.63</v>
      </c>
      <c r="F15" s="25">
        <v>742978.4719</v>
      </c>
      <c r="G15" s="26">
        <f t="shared" si="0"/>
        <v>4754432.7918999996</v>
      </c>
      <c r="H15" s="27"/>
      <c r="I15" s="27"/>
      <c r="J15" s="28"/>
      <c r="K15" s="28"/>
      <c r="L15" s="28"/>
      <c r="M15" s="28"/>
      <c r="N15" s="27"/>
      <c r="O15" s="27"/>
      <c r="P15" s="28"/>
      <c r="Q15" s="28"/>
      <c r="R15" s="28"/>
    </row>
    <row r="16" spans="1:18" ht="17.649999999999999">
      <c r="A16" s="23">
        <v>11</v>
      </c>
      <c r="B16" s="24" t="s">
        <v>86</v>
      </c>
      <c r="C16" s="24" t="s">
        <v>149</v>
      </c>
      <c r="D16" s="25">
        <v>383768.6</v>
      </c>
      <c r="E16" s="25">
        <v>4003077.58</v>
      </c>
      <c r="F16" s="25">
        <v>812506.38879999996</v>
      </c>
      <c r="G16" s="26">
        <f t="shared" si="0"/>
        <v>5199352.5687999995</v>
      </c>
      <c r="H16" s="27"/>
      <c r="I16" s="27"/>
      <c r="J16" s="28"/>
      <c r="K16" s="28"/>
      <c r="L16" s="28"/>
      <c r="M16" s="28"/>
      <c r="N16" s="27"/>
      <c r="O16" s="27"/>
      <c r="P16" s="28"/>
      <c r="Q16" s="28"/>
      <c r="R16" s="28"/>
    </row>
    <row r="17" spans="1:18" ht="17.649999999999999">
      <c r="A17" s="23">
        <v>12</v>
      </c>
      <c r="B17" s="24" t="s">
        <v>86</v>
      </c>
      <c r="C17" s="24" t="s">
        <v>151</v>
      </c>
      <c r="D17" s="25">
        <v>369500.94</v>
      </c>
      <c r="E17" s="25">
        <v>3854252.08</v>
      </c>
      <c r="F17" s="25">
        <v>782299.21440000006</v>
      </c>
      <c r="G17" s="26">
        <f t="shared" si="0"/>
        <v>5006052.2344000004</v>
      </c>
      <c r="H17" s="27"/>
      <c r="I17" s="27"/>
      <c r="J17" s="28"/>
      <c r="K17" s="28"/>
      <c r="L17" s="28"/>
      <c r="M17" s="28"/>
      <c r="N17" s="27"/>
      <c r="O17" s="27"/>
      <c r="P17" s="28"/>
      <c r="Q17" s="28"/>
      <c r="R17" s="28"/>
    </row>
    <row r="18" spans="1:18" ht="17.649999999999999">
      <c r="A18" s="23">
        <v>13</v>
      </c>
      <c r="B18" s="24" t="s">
        <v>86</v>
      </c>
      <c r="C18" s="24" t="s">
        <v>153</v>
      </c>
      <c r="D18" s="25">
        <v>282159.07</v>
      </c>
      <c r="E18" s="25">
        <v>2943191.91</v>
      </c>
      <c r="F18" s="25">
        <v>597380.93579999998</v>
      </c>
      <c r="G18" s="26">
        <f t="shared" si="0"/>
        <v>3822731.9158000001</v>
      </c>
      <c r="H18" s="27"/>
      <c r="I18" s="27"/>
      <c r="J18" s="28"/>
      <c r="K18" s="28"/>
      <c r="L18" s="28"/>
      <c r="M18" s="28"/>
      <c r="N18" s="27"/>
      <c r="O18" s="27"/>
      <c r="P18" s="28"/>
      <c r="Q18" s="28"/>
      <c r="R18" s="28"/>
    </row>
    <row r="19" spans="1:18" ht="17.649999999999999">
      <c r="A19" s="23">
        <v>14</v>
      </c>
      <c r="B19" s="24" t="s">
        <v>86</v>
      </c>
      <c r="C19" s="24" t="s">
        <v>155</v>
      </c>
      <c r="D19" s="25">
        <v>266601.78000000003</v>
      </c>
      <c r="E19" s="25">
        <v>2780914.34</v>
      </c>
      <c r="F19" s="25">
        <v>564443.38780000003</v>
      </c>
      <c r="G19" s="26">
        <f t="shared" si="0"/>
        <v>3611959.5078000003</v>
      </c>
      <c r="H19" s="27"/>
      <c r="I19" s="27"/>
      <c r="J19" s="28"/>
      <c r="K19" s="28"/>
      <c r="L19" s="28"/>
      <c r="M19" s="28"/>
      <c r="N19" s="27"/>
      <c r="O19" s="27"/>
      <c r="P19" s="28"/>
      <c r="Q19" s="28"/>
      <c r="R19" s="28"/>
    </row>
    <row r="20" spans="1:18" ht="17.649999999999999">
      <c r="A20" s="23">
        <v>15</v>
      </c>
      <c r="B20" s="24" t="s">
        <v>86</v>
      </c>
      <c r="C20" s="24" t="s">
        <v>157</v>
      </c>
      <c r="D20" s="25">
        <v>277610.53999999998</v>
      </c>
      <c r="E20" s="25">
        <v>2895746.4</v>
      </c>
      <c r="F20" s="25">
        <v>587750.90029999998</v>
      </c>
      <c r="G20" s="26">
        <f t="shared" si="0"/>
        <v>3761107.8402999998</v>
      </c>
      <c r="H20" s="27"/>
      <c r="I20" s="27"/>
      <c r="J20" s="28"/>
      <c r="K20" s="28"/>
      <c r="L20" s="28"/>
      <c r="M20" s="28"/>
      <c r="N20" s="27"/>
      <c r="O20" s="27"/>
      <c r="P20" s="28"/>
      <c r="Q20" s="28"/>
      <c r="R20" s="28"/>
    </row>
    <row r="21" spans="1:18" ht="17.649999999999999">
      <c r="A21" s="23">
        <v>16</v>
      </c>
      <c r="B21" s="24" t="s">
        <v>86</v>
      </c>
      <c r="C21" s="24" t="s">
        <v>159</v>
      </c>
      <c r="D21" s="25">
        <v>413827.79</v>
      </c>
      <c r="E21" s="25">
        <v>4316624.07</v>
      </c>
      <c r="F21" s="25">
        <v>876147.05649999995</v>
      </c>
      <c r="G21" s="26">
        <f t="shared" si="0"/>
        <v>5606598.9165000003</v>
      </c>
      <c r="H21" s="27"/>
      <c r="I21" s="27"/>
      <c r="J21" s="28"/>
      <c r="K21" s="28"/>
      <c r="L21" s="28"/>
      <c r="M21" s="28"/>
      <c r="N21" s="27"/>
      <c r="O21" s="27"/>
      <c r="P21" s="28"/>
      <c r="Q21" s="28"/>
      <c r="R21" s="28"/>
    </row>
    <row r="22" spans="1:18" ht="17.649999999999999">
      <c r="A22" s="23">
        <v>17</v>
      </c>
      <c r="B22" s="24" t="s">
        <v>86</v>
      </c>
      <c r="C22" s="24" t="s">
        <v>161</v>
      </c>
      <c r="D22" s="25">
        <v>357571.49</v>
      </c>
      <c r="E22" s="25">
        <v>3729816.42</v>
      </c>
      <c r="F22" s="25">
        <v>757042.45349999995</v>
      </c>
      <c r="G22" s="26">
        <f t="shared" si="0"/>
        <v>4844430.3635</v>
      </c>
      <c r="H22" s="27"/>
      <c r="I22" s="27"/>
      <c r="J22" s="28"/>
      <c r="K22" s="28"/>
      <c r="L22" s="28"/>
      <c r="M22" s="28"/>
      <c r="N22" s="27"/>
      <c r="O22" s="27"/>
      <c r="P22" s="28"/>
      <c r="Q22" s="28"/>
      <c r="R22" s="28"/>
    </row>
    <row r="23" spans="1:18" ht="17.649999999999999">
      <c r="A23" s="23">
        <v>18</v>
      </c>
      <c r="B23" s="24" t="s">
        <v>87</v>
      </c>
      <c r="C23" s="24" t="s">
        <v>166</v>
      </c>
      <c r="D23" s="25">
        <v>366701.23</v>
      </c>
      <c r="E23" s="25">
        <v>3825048.44</v>
      </c>
      <c r="F23" s="25">
        <v>776371.73880000005</v>
      </c>
      <c r="G23" s="26">
        <f t="shared" si="0"/>
        <v>4968121.4088000003</v>
      </c>
      <c r="H23" s="27"/>
      <c r="I23" s="27"/>
      <c r="J23" s="28"/>
      <c r="K23" s="28"/>
      <c r="L23" s="28"/>
      <c r="M23" s="28"/>
      <c r="N23" s="27"/>
      <c r="O23" s="27"/>
      <c r="P23" s="28"/>
      <c r="Q23" s="28"/>
      <c r="R23" s="28"/>
    </row>
    <row r="24" spans="1:18" ht="17.649999999999999">
      <c r="A24" s="23">
        <v>19</v>
      </c>
      <c r="B24" s="24" t="s">
        <v>87</v>
      </c>
      <c r="C24" s="24" t="s">
        <v>168</v>
      </c>
      <c r="D24" s="25">
        <v>447979.6</v>
      </c>
      <c r="E24" s="25">
        <v>4672860.4400000004</v>
      </c>
      <c r="F24" s="25">
        <v>948452.50749999995</v>
      </c>
      <c r="G24" s="26">
        <f t="shared" si="0"/>
        <v>6069292.5475000003</v>
      </c>
      <c r="H24" s="27"/>
      <c r="I24" s="27"/>
      <c r="J24" s="28"/>
      <c r="K24" s="28"/>
      <c r="L24" s="28"/>
      <c r="M24" s="28"/>
      <c r="N24" s="27"/>
      <c r="O24" s="27"/>
      <c r="P24" s="28"/>
      <c r="Q24" s="28"/>
      <c r="R24" s="28"/>
    </row>
    <row r="25" spans="1:18" ht="17.649999999999999">
      <c r="A25" s="23">
        <v>20</v>
      </c>
      <c r="B25" s="24" t="s">
        <v>87</v>
      </c>
      <c r="C25" s="24" t="s">
        <v>170</v>
      </c>
      <c r="D25" s="25">
        <v>381454.76</v>
      </c>
      <c r="E25" s="25">
        <v>3978942.01</v>
      </c>
      <c r="F25" s="25">
        <v>807607.58180000004</v>
      </c>
      <c r="G25" s="26">
        <f t="shared" si="0"/>
        <v>5168004.3517999994</v>
      </c>
      <c r="H25" s="27"/>
      <c r="I25" s="27"/>
      <c r="J25" s="28"/>
      <c r="K25" s="28"/>
      <c r="L25" s="28"/>
      <c r="M25" s="28"/>
      <c r="N25" s="27"/>
      <c r="O25" s="27"/>
      <c r="P25" s="28"/>
      <c r="Q25" s="28"/>
      <c r="R25" s="28"/>
    </row>
    <row r="26" spans="1:18" ht="17.649999999999999">
      <c r="A26" s="23">
        <v>21</v>
      </c>
      <c r="B26" s="24" t="s">
        <v>87</v>
      </c>
      <c r="C26" s="24" t="s">
        <v>172</v>
      </c>
      <c r="D26" s="25">
        <v>333969.14</v>
      </c>
      <c r="E26" s="25">
        <v>3483621.06</v>
      </c>
      <c r="F26" s="25">
        <v>707072.07440000004</v>
      </c>
      <c r="G26" s="26">
        <f t="shared" si="0"/>
        <v>4524662.2744000005</v>
      </c>
      <c r="H26" s="27"/>
      <c r="I26" s="27"/>
      <c r="J26" s="28"/>
      <c r="K26" s="28"/>
      <c r="L26" s="28"/>
      <c r="M26" s="28"/>
      <c r="N26" s="27"/>
      <c r="O26" s="27"/>
      <c r="P26" s="28"/>
      <c r="Q26" s="28"/>
      <c r="R26" s="28"/>
    </row>
    <row r="27" spans="1:18" ht="17.649999999999999">
      <c r="A27" s="23">
        <v>22</v>
      </c>
      <c r="B27" s="24" t="s">
        <v>87</v>
      </c>
      <c r="C27" s="24" t="s">
        <v>174</v>
      </c>
      <c r="D27" s="25">
        <v>330474.43</v>
      </c>
      <c r="E27" s="25">
        <v>3447167.87</v>
      </c>
      <c r="F27" s="25">
        <v>699673.15529999998</v>
      </c>
      <c r="G27" s="26">
        <f t="shared" si="0"/>
        <v>4477315.4553000005</v>
      </c>
      <c r="H27" s="27"/>
      <c r="I27" s="27"/>
      <c r="J27" s="28"/>
      <c r="K27" s="28"/>
      <c r="L27" s="28"/>
      <c r="M27" s="28"/>
      <c r="N27" s="27"/>
      <c r="O27" s="27"/>
      <c r="P27" s="28"/>
      <c r="Q27" s="28"/>
      <c r="R27" s="28"/>
    </row>
    <row r="28" spans="1:18" ht="17.649999999999999">
      <c r="A28" s="23">
        <v>23</v>
      </c>
      <c r="B28" s="24" t="s">
        <v>87</v>
      </c>
      <c r="C28" s="24" t="s">
        <v>176</v>
      </c>
      <c r="D28" s="25">
        <v>353324.79</v>
      </c>
      <c r="E28" s="25">
        <v>3685519.19</v>
      </c>
      <c r="F28" s="25">
        <v>748051.42660000001</v>
      </c>
      <c r="G28" s="26">
        <f t="shared" si="0"/>
        <v>4786895.4066000003</v>
      </c>
      <c r="H28" s="27"/>
      <c r="I28" s="27"/>
      <c r="J28" s="28"/>
      <c r="K28" s="28"/>
      <c r="L28" s="28"/>
      <c r="M28" s="28"/>
      <c r="N28" s="27"/>
      <c r="O28" s="27"/>
      <c r="P28" s="28"/>
      <c r="Q28" s="28"/>
      <c r="R28" s="28"/>
    </row>
    <row r="29" spans="1:18" ht="17.649999999999999">
      <c r="A29" s="23">
        <v>24</v>
      </c>
      <c r="B29" s="24" t="s">
        <v>87</v>
      </c>
      <c r="C29" s="24" t="s">
        <v>178</v>
      </c>
      <c r="D29" s="25">
        <v>384855.41</v>
      </c>
      <c r="E29" s="25">
        <v>4014414.04</v>
      </c>
      <c r="F29" s="25">
        <v>814807.3567</v>
      </c>
      <c r="G29" s="26">
        <f t="shared" si="0"/>
        <v>5214076.8067000005</v>
      </c>
      <c r="H29" s="27"/>
      <c r="I29" s="27"/>
      <c r="J29" s="28"/>
      <c r="K29" s="28"/>
      <c r="L29" s="28"/>
      <c r="M29" s="28"/>
      <c r="N29" s="27"/>
      <c r="O29" s="27"/>
      <c r="P29" s="28"/>
      <c r="Q29" s="28"/>
      <c r="R29" s="28"/>
    </row>
    <row r="30" spans="1:18" ht="17.649999999999999">
      <c r="A30" s="23">
        <v>25</v>
      </c>
      <c r="B30" s="24" t="s">
        <v>87</v>
      </c>
      <c r="C30" s="24" t="s">
        <v>180</v>
      </c>
      <c r="D30" s="25">
        <v>402590.86</v>
      </c>
      <c r="E30" s="25">
        <v>4199411.97</v>
      </c>
      <c r="F30" s="25">
        <v>852356.46580000001</v>
      </c>
      <c r="G30" s="26">
        <f t="shared" si="0"/>
        <v>5454359.2958000004</v>
      </c>
      <c r="H30" s="27"/>
      <c r="I30" s="27"/>
      <c r="J30" s="28"/>
      <c r="K30" s="28"/>
      <c r="L30" s="28"/>
      <c r="M30" s="28"/>
      <c r="N30" s="27"/>
      <c r="O30" s="27"/>
      <c r="P30" s="28"/>
      <c r="Q30" s="28"/>
      <c r="R30" s="28"/>
    </row>
    <row r="31" spans="1:18" ht="17.649999999999999">
      <c r="A31" s="23">
        <v>26</v>
      </c>
      <c r="B31" s="24" t="s">
        <v>87</v>
      </c>
      <c r="C31" s="24" t="s">
        <v>182</v>
      </c>
      <c r="D31" s="25">
        <v>313408.27</v>
      </c>
      <c r="E31" s="25">
        <v>3651179.77</v>
      </c>
      <c r="F31" s="25">
        <v>663541.05859999999</v>
      </c>
      <c r="G31" s="26">
        <f t="shared" si="0"/>
        <v>4628129.0986000001</v>
      </c>
      <c r="H31" s="27"/>
      <c r="I31" s="27"/>
      <c r="J31" s="28"/>
      <c r="K31" s="28"/>
      <c r="L31" s="28"/>
      <c r="M31" s="28"/>
      <c r="N31" s="27"/>
      <c r="O31" s="27"/>
      <c r="P31" s="28"/>
      <c r="Q31" s="28"/>
      <c r="R31" s="28"/>
    </row>
    <row r="32" spans="1:18" ht="17.649999999999999">
      <c r="A32" s="23">
        <v>27</v>
      </c>
      <c r="B32" s="24" t="s">
        <v>87</v>
      </c>
      <c r="C32" s="24" t="s">
        <v>184</v>
      </c>
      <c r="D32" s="25">
        <v>318492.88</v>
      </c>
      <c r="E32" s="25">
        <v>3269151.32</v>
      </c>
      <c r="F32" s="25">
        <v>674306.08290000004</v>
      </c>
      <c r="G32" s="26">
        <f t="shared" si="0"/>
        <v>4261950.2829</v>
      </c>
      <c r="H32" s="27"/>
      <c r="I32" s="27"/>
      <c r="J32" s="28"/>
      <c r="K32" s="28"/>
      <c r="L32" s="28"/>
      <c r="M32" s="28"/>
      <c r="N32" s="27"/>
      <c r="O32" s="27"/>
      <c r="P32" s="28"/>
      <c r="Q32" s="28"/>
      <c r="R32" s="28"/>
    </row>
    <row r="33" spans="1:18" ht="17.649999999999999">
      <c r="A33" s="23">
        <v>28</v>
      </c>
      <c r="B33" s="24" t="s">
        <v>87</v>
      </c>
      <c r="C33" s="24" t="s">
        <v>186</v>
      </c>
      <c r="D33" s="25">
        <v>311825.03000000003</v>
      </c>
      <c r="E33" s="25">
        <v>3322188.72</v>
      </c>
      <c r="F33" s="25">
        <v>660189.06460000004</v>
      </c>
      <c r="G33" s="26">
        <f t="shared" si="0"/>
        <v>4294202.8146000002</v>
      </c>
      <c r="H33" s="27"/>
      <c r="I33" s="27"/>
      <c r="J33" s="28"/>
      <c r="K33" s="28"/>
      <c r="L33" s="28"/>
      <c r="M33" s="28"/>
      <c r="N33" s="27"/>
      <c r="O33" s="27"/>
      <c r="P33" s="28"/>
      <c r="Q33" s="28"/>
      <c r="R33" s="28"/>
    </row>
    <row r="34" spans="1:18" ht="17.649999999999999">
      <c r="A34" s="23">
        <v>29</v>
      </c>
      <c r="B34" s="24" t="s">
        <v>87</v>
      </c>
      <c r="C34" s="24" t="s">
        <v>188</v>
      </c>
      <c r="D34" s="25">
        <v>361567.83</v>
      </c>
      <c r="E34" s="25">
        <v>3252636.63</v>
      </c>
      <c r="F34" s="25">
        <v>765503.41370000003</v>
      </c>
      <c r="G34" s="26">
        <f t="shared" si="0"/>
        <v>4379707.8737000003</v>
      </c>
      <c r="H34" s="27"/>
      <c r="I34" s="27"/>
      <c r="J34" s="28"/>
      <c r="K34" s="28"/>
      <c r="L34" s="28"/>
      <c r="M34" s="28"/>
      <c r="N34" s="27"/>
      <c r="O34" s="27"/>
      <c r="P34" s="28"/>
      <c r="Q34" s="28"/>
      <c r="R34" s="28"/>
    </row>
    <row r="35" spans="1:18" ht="17.649999999999999">
      <c r="A35" s="23">
        <v>30</v>
      </c>
      <c r="B35" s="24" t="s">
        <v>87</v>
      </c>
      <c r="C35" s="24" t="s">
        <v>190</v>
      </c>
      <c r="D35" s="25">
        <v>350518.6</v>
      </c>
      <c r="E35" s="25">
        <v>3771502.1</v>
      </c>
      <c r="F35" s="25">
        <v>742110.22389999998</v>
      </c>
      <c r="G35" s="26">
        <f t="shared" si="0"/>
        <v>4864130.9238999998</v>
      </c>
      <c r="H35" s="27"/>
      <c r="I35" s="27"/>
      <c r="J35" s="28"/>
      <c r="K35" s="28"/>
      <c r="L35" s="28"/>
      <c r="M35" s="28"/>
      <c r="N35" s="27"/>
      <c r="O35" s="27"/>
      <c r="P35" s="28"/>
      <c r="Q35" s="28"/>
      <c r="R35" s="28"/>
    </row>
    <row r="36" spans="1:18" ht="17.649999999999999">
      <c r="A36" s="23">
        <v>31</v>
      </c>
      <c r="B36" s="24" t="s">
        <v>87</v>
      </c>
      <c r="C36" s="24" t="s">
        <v>192</v>
      </c>
      <c r="D36" s="25">
        <v>334479.08</v>
      </c>
      <c r="E36" s="25">
        <v>3656247.92</v>
      </c>
      <c r="F36" s="25">
        <v>708151.7121</v>
      </c>
      <c r="G36" s="26">
        <f t="shared" si="0"/>
        <v>4698878.7121000001</v>
      </c>
      <c r="H36" s="27"/>
      <c r="I36" s="27"/>
      <c r="J36" s="28"/>
      <c r="K36" s="28"/>
      <c r="L36" s="28"/>
      <c r="M36" s="28"/>
      <c r="N36" s="27"/>
      <c r="O36" s="27"/>
      <c r="P36" s="28"/>
      <c r="Q36" s="28"/>
      <c r="R36" s="28"/>
    </row>
    <row r="37" spans="1:18" ht="17.649999999999999">
      <c r="A37" s="23">
        <v>32</v>
      </c>
      <c r="B37" s="24" t="s">
        <v>87</v>
      </c>
      <c r="C37" s="24" t="s">
        <v>194</v>
      </c>
      <c r="D37" s="25">
        <v>311609.06</v>
      </c>
      <c r="E37" s="25">
        <v>3488940.24</v>
      </c>
      <c r="F37" s="25">
        <v>659731.82259999996</v>
      </c>
      <c r="G37" s="26">
        <f t="shared" si="0"/>
        <v>4460281.1226000004</v>
      </c>
      <c r="H37" s="27"/>
      <c r="I37" s="27"/>
      <c r="J37" s="28"/>
      <c r="K37" s="28"/>
      <c r="L37" s="28"/>
      <c r="M37" s="28"/>
      <c r="N37" s="27"/>
      <c r="O37" s="27"/>
      <c r="P37" s="28"/>
      <c r="Q37" s="28"/>
      <c r="R37" s="28"/>
    </row>
    <row r="38" spans="1:18" ht="17.649999999999999">
      <c r="A38" s="23">
        <v>33</v>
      </c>
      <c r="B38" s="24" t="s">
        <v>87</v>
      </c>
      <c r="C38" s="24" t="s">
        <v>196</v>
      </c>
      <c r="D38" s="25">
        <v>296139.86</v>
      </c>
      <c r="E38" s="25">
        <v>3250383.88</v>
      </c>
      <c r="F38" s="25">
        <v>626980.76529999997</v>
      </c>
      <c r="G38" s="26">
        <f t="shared" si="0"/>
        <v>4173504.5052999998</v>
      </c>
      <c r="H38" s="27"/>
      <c r="I38" s="27"/>
      <c r="J38" s="28"/>
      <c r="K38" s="28"/>
      <c r="L38" s="28"/>
      <c r="M38" s="28"/>
      <c r="N38" s="27"/>
      <c r="O38" s="27"/>
      <c r="P38" s="28"/>
      <c r="Q38" s="28"/>
      <c r="R38" s="28"/>
    </row>
    <row r="39" spans="1:18" ht="17.649999999999999">
      <c r="A39" s="23">
        <v>34</v>
      </c>
      <c r="B39" s="24" t="s">
        <v>87</v>
      </c>
      <c r="C39" s="24" t="s">
        <v>198</v>
      </c>
      <c r="D39" s="25">
        <v>335477.71000000002</v>
      </c>
      <c r="E39" s="25">
        <v>3089025.12</v>
      </c>
      <c r="F39" s="25">
        <v>710265.98930000002</v>
      </c>
      <c r="G39" s="26">
        <f t="shared" si="0"/>
        <v>4134768.8193000001</v>
      </c>
      <c r="H39" s="27"/>
      <c r="I39" s="27"/>
      <c r="J39" s="28"/>
      <c r="K39" s="28"/>
      <c r="L39" s="28"/>
      <c r="M39" s="28"/>
      <c r="N39" s="27"/>
      <c r="O39" s="27"/>
      <c r="P39" s="28"/>
      <c r="Q39" s="28"/>
      <c r="R39" s="28"/>
    </row>
    <row r="40" spans="1:18" ht="17.649999999999999">
      <c r="A40" s="23">
        <v>35</v>
      </c>
      <c r="B40" s="24" t="s">
        <v>87</v>
      </c>
      <c r="C40" s="24" t="s">
        <v>200</v>
      </c>
      <c r="D40" s="25">
        <v>422271.8</v>
      </c>
      <c r="E40" s="25">
        <v>3499356.92</v>
      </c>
      <c r="F40" s="25">
        <v>894024.51980000001</v>
      </c>
      <c r="G40" s="26">
        <f t="shared" si="0"/>
        <v>4815653.2397999996</v>
      </c>
      <c r="H40" s="27"/>
      <c r="I40" s="27"/>
      <c r="J40" s="28"/>
      <c r="K40" s="28"/>
      <c r="L40" s="28"/>
      <c r="M40" s="28"/>
      <c r="N40" s="27"/>
      <c r="O40" s="27"/>
      <c r="P40" s="28"/>
      <c r="Q40" s="28"/>
      <c r="R40" s="28"/>
    </row>
    <row r="41" spans="1:18" ht="17.649999999999999">
      <c r="A41" s="23">
        <v>36</v>
      </c>
      <c r="B41" s="24" t="s">
        <v>87</v>
      </c>
      <c r="C41" s="24" t="s">
        <v>202</v>
      </c>
      <c r="D41" s="25">
        <v>361794.4</v>
      </c>
      <c r="E41" s="25">
        <v>4404703.22</v>
      </c>
      <c r="F41" s="25">
        <v>765983.09920000006</v>
      </c>
      <c r="G41" s="26">
        <f t="shared" si="0"/>
        <v>5532480.7192000002</v>
      </c>
      <c r="H41" s="27"/>
      <c r="I41" s="27"/>
      <c r="J41" s="28"/>
      <c r="K41" s="28"/>
      <c r="L41" s="28"/>
      <c r="M41" s="28"/>
      <c r="N41" s="27"/>
      <c r="O41" s="27"/>
      <c r="P41" s="28"/>
      <c r="Q41" s="28"/>
      <c r="R41" s="28"/>
    </row>
    <row r="42" spans="1:18" ht="17.649999999999999">
      <c r="A42" s="23">
        <v>37</v>
      </c>
      <c r="B42" s="24" t="s">
        <v>87</v>
      </c>
      <c r="C42" s="24" t="s">
        <v>204</v>
      </c>
      <c r="D42" s="25">
        <v>350032.72</v>
      </c>
      <c r="E42" s="25">
        <v>3773865.42</v>
      </c>
      <c r="F42" s="25">
        <v>741081.53830000001</v>
      </c>
      <c r="G42" s="26">
        <f t="shared" si="0"/>
        <v>4864979.6782999998</v>
      </c>
      <c r="H42" s="27"/>
      <c r="I42" s="27"/>
      <c r="J42" s="28"/>
      <c r="K42" s="28"/>
      <c r="L42" s="28"/>
      <c r="M42" s="28"/>
      <c r="N42" s="27"/>
      <c r="O42" s="27"/>
      <c r="P42" s="28"/>
      <c r="Q42" s="28"/>
      <c r="R42" s="28"/>
    </row>
    <row r="43" spans="1:18" ht="17.649999999999999">
      <c r="A43" s="23">
        <v>38</v>
      </c>
      <c r="B43" s="24" t="s">
        <v>87</v>
      </c>
      <c r="C43" s="24" t="s">
        <v>206</v>
      </c>
      <c r="D43" s="25">
        <v>350606.07</v>
      </c>
      <c r="E43" s="25">
        <v>3657160.32</v>
      </c>
      <c r="F43" s="25">
        <v>742295.41339999996</v>
      </c>
      <c r="G43" s="26">
        <f t="shared" si="0"/>
        <v>4750061.8033999996</v>
      </c>
      <c r="H43" s="27"/>
      <c r="I43" s="27"/>
      <c r="J43" s="28"/>
      <c r="K43" s="28"/>
      <c r="L43" s="28"/>
      <c r="M43" s="28"/>
      <c r="N43" s="27"/>
      <c r="O43" s="27"/>
      <c r="P43" s="28"/>
      <c r="Q43" s="28"/>
      <c r="R43" s="28"/>
    </row>
    <row r="44" spans="1:18" ht="17.649999999999999">
      <c r="A44" s="23">
        <v>39</v>
      </c>
      <c r="B44" s="24" t="s">
        <v>88</v>
      </c>
      <c r="C44" s="24" t="s">
        <v>211</v>
      </c>
      <c r="D44" s="25">
        <v>336664.71</v>
      </c>
      <c r="E44" s="25">
        <v>3511738.47</v>
      </c>
      <c r="F44" s="25">
        <v>712779.0773</v>
      </c>
      <c r="G44" s="26">
        <f t="shared" si="0"/>
        <v>4561182.2573000006</v>
      </c>
      <c r="H44" s="27"/>
      <c r="I44" s="27"/>
      <c r="J44" s="28"/>
      <c r="K44" s="28"/>
      <c r="L44" s="28"/>
      <c r="M44" s="28"/>
      <c r="N44" s="27"/>
      <c r="O44" s="27"/>
      <c r="P44" s="28"/>
      <c r="Q44" s="28"/>
      <c r="R44" s="28"/>
    </row>
    <row r="45" spans="1:18" ht="17.649999999999999">
      <c r="A45" s="23">
        <v>40</v>
      </c>
      <c r="B45" s="24" t="s">
        <v>88</v>
      </c>
      <c r="C45" s="24" t="s">
        <v>212</v>
      </c>
      <c r="D45" s="25">
        <v>262867.28999999998</v>
      </c>
      <c r="E45" s="25">
        <v>2741960.06</v>
      </c>
      <c r="F45" s="25">
        <v>556536.81980000006</v>
      </c>
      <c r="G45" s="26">
        <f t="shared" si="0"/>
        <v>3561364.1698000003</v>
      </c>
      <c r="H45" s="27"/>
      <c r="I45" s="27"/>
      <c r="J45" s="28"/>
      <c r="K45" s="28"/>
      <c r="L45" s="28"/>
      <c r="M45" s="28"/>
      <c r="N45" s="27"/>
      <c r="O45" s="27"/>
      <c r="P45" s="28"/>
      <c r="Q45" s="28"/>
      <c r="R45" s="28"/>
    </row>
    <row r="46" spans="1:18" ht="17.649999999999999">
      <c r="A46" s="23">
        <v>41</v>
      </c>
      <c r="B46" s="24" t="s">
        <v>88</v>
      </c>
      <c r="C46" s="24" t="s">
        <v>214</v>
      </c>
      <c r="D46" s="25">
        <v>347059.3</v>
      </c>
      <c r="E46" s="25">
        <v>3620164.06</v>
      </c>
      <c r="F46" s="25">
        <v>734786.26699999999</v>
      </c>
      <c r="G46" s="26">
        <f t="shared" si="0"/>
        <v>4702009.6270000003</v>
      </c>
      <c r="H46" s="27"/>
      <c r="I46" s="27"/>
      <c r="J46" s="28"/>
      <c r="K46" s="28"/>
      <c r="L46" s="28"/>
      <c r="M46" s="28"/>
      <c r="N46" s="27"/>
      <c r="O46" s="27"/>
      <c r="P46" s="28"/>
      <c r="Q46" s="28"/>
      <c r="R46" s="28"/>
    </row>
    <row r="47" spans="1:18" ht="17.649999999999999">
      <c r="A47" s="23">
        <v>42</v>
      </c>
      <c r="B47" s="24" t="s">
        <v>88</v>
      </c>
      <c r="C47" s="24" t="s">
        <v>216</v>
      </c>
      <c r="D47" s="25">
        <v>266060.37</v>
      </c>
      <c r="E47" s="25">
        <v>2775266.94</v>
      </c>
      <c r="F47" s="25">
        <v>563297.13309999998</v>
      </c>
      <c r="G47" s="26">
        <f t="shared" si="0"/>
        <v>3604624.4430999998</v>
      </c>
      <c r="H47" s="27"/>
      <c r="I47" s="27"/>
      <c r="J47" s="28"/>
      <c r="K47" s="28"/>
      <c r="L47" s="28"/>
      <c r="M47" s="28"/>
      <c r="N47" s="27"/>
      <c r="O47" s="27"/>
      <c r="P47" s="28"/>
      <c r="Q47" s="28"/>
      <c r="R47" s="28"/>
    </row>
    <row r="48" spans="1:18" ht="17.649999999999999">
      <c r="A48" s="23">
        <v>43</v>
      </c>
      <c r="B48" s="24" t="s">
        <v>88</v>
      </c>
      <c r="C48" s="24" t="s">
        <v>218</v>
      </c>
      <c r="D48" s="25">
        <v>357541.45</v>
      </c>
      <c r="E48" s="25">
        <v>3729503.06</v>
      </c>
      <c r="F48" s="25">
        <v>756978.85049999994</v>
      </c>
      <c r="G48" s="26">
        <f t="shared" si="0"/>
        <v>4844023.3605000004</v>
      </c>
      <c r="H48" s="27"/>
      <c r="I48" s="27"/>
      <c r="J48" s="28"/>
      <c r="K48" s="28"/>
      <c r="L48" s="28"/>
      <c r="M48" s="28"/>
      <c r="N48" s="27"/>
      <c r="O48" s="27"/>
      <c r="P48" s="28"/>
      <c r="Q48" s="28"/>
      <c r="R48" s="28"/>
    </row>
    <row r="49" spans="1:18" ht="17.649999999999999">
      <c r="A49" s="23">
        <v>44</v>
      </c>
      <c r="B49" s="24" t="s">
        <v>88</v>
      </c>
      <c r="C49" s="24" t="s">
        <v>220</v>
      </c>
      <c r="D49" s="25">
        <v>311637.65000000002</v>
      </c>
      <c r="E49" s="25">
        <v>3250682.03</v>
      </c>
      <c r="F49" s="25">
        <v>659792.33959999995</v>
      </c>
      <c r="G49" s="26">
        <f t="shared" si="0"/>
        <v>4222112.0195999993</v>
      </c>
      <c r="H49" s="27"/>
      <c r="I49" s="27"/>
      <c r="J49" s="28"/>
      <c r="K49" s="28"/>
      <c r="L49" s="28"/>
      <c r="M49" s="28"/>
      <c r="N49" s="27"/>
      <c r="O49" s="27"/>
      <c r="P49" s="28"/>
      <c r="Q49" s="28"/>
      <c r="R49" s="28"/>
    </row>
    <row r="50" spans="1:18" ht="17.649999999999999">
      <c r="A50" s="23">
        <v>45</v>
      </c>
      <c r="B50" s="24" t="s">
        <v>88</v>
      </c>
      <c r="C50" s="24" t="s">
        <v>222</v>
      </c>
      <c r="D50" s="25">
        <v>353451.37</v>
      </c>
      <c r="E50" s="25">
        <v>3686839.58</v>
      </c>
      <c r="F50" s="25">
        <v>748319.42579999997</v>
      </c>
      <c r="G50" s="26">
        <f t="shared" si="0"/>
        <v>4788610.3758000005</v>
      </c>
      <c r="H50" s="27"/>
      <c r="I50" s="27"/>
      <c r="J50" s="28"/>
      <c r="K50" s="28"/>
      <c r="L50" s="28"/>
      <c r="M50" s="28"/>
      <c r="N50" s="27"/>
      <c r="O50" s="27"/>
      <c r="P50" s="28"/>
      <c r="Q50" s="28"/>
      <c r="R50" s="28"/>
    </row>
    <row r="51" spans="1:18" ht="17.649999999999999">
      <c r="A51" s="23">
        <v>46</v>
      </c>
      <c r="B51" s="24" t="s">
        <v>88</v>
      </c>
      <c r="C51" s="24" t="s">
        <v>224</v>
      </c>
      <c r="D51" s="25">
        <v>283202.58</v>
      </c>
      <c r="E51" s="25">
        <v>2954076.74</v>
      </c>
      <c r="F51" s="25">
        <v>599590.2352</v>
      </c>
      <c r="G51" s="26">
        <f t="shared" si="0"/>
        <v>3836869.5552000003</v>
      </c>
      <c r="H51" s="27"/>
      <c r="I51" s="27"/>
      <c r="J51" s="28"/>
      <c r="K51" s="28"/>
      <c r="L51" s="28"/>
      <c r="M51" s="28"/>
      <c r="N51" s="27"/>
      <c r="O51" s="27"/>
      <c r="P51" s="28"/>
      <c r="Q51" s="28"/>
      <c r="R51" s="28"/>
    </row>
    <row r="52" spans="1:18" ht="35.25">
      <c r="A52" s="23">
        <v>47</v>
      </c>
      <c r="B52" s="24" t="s">
        <v>88</v>
      </c>
      <c r="C52" s="24" t="s">
        <v>226</v>
      </c>
      <c r="D52" s="25">
        <v>328666.39</v>
      </c>
      <c r="E52" s="25">
        <v>3428308.27</v>
      </c>
      <c r="F52" s="25">
        <v>695845.21420000005</v>
      </c>
      <c r="G52" s="26">
        <f t="shared" si="0"/>
        <v>4452819.8742000004</v>
      </c>
      <c r="H52" s="27"/>
      <c r="I52" s="27"/>
      <c r="J52" s="28"/>
      <c r="K52" s="28"/>
      <c r="L52" s="28"/>
      <c r="M52" s="28"/>
      <c r="N52" s="27"/>
      <c r="O52" s="27"/>
      <c r="P52" s="28"/>
      <c r="Q52" s="28"/>
      <c r="R52" s="28"/>
    </row>
    <row r="53" spans="1:18" ht="17.649999999999999">
      <c r="A53" s="23">
        <v>48</v>
      </c>
      <c r="B53" s="24" t="s">
        <v>88</v>
      </c>
      <c r="C53" s="24" t="s">
        <v>228</v>
      </c>
      <c r="D53" s="25">
        <v>357573.82</v>
      </c>
      <c r="E53" s="25">
        <v>3729840.69</v>
      </c>
      <c r="F53" s="25">
        <v>757047.37899999996</v>
      </c>
      <c r="G53" s="26">
        <f t="shared" si="0"/>
        <v>4844461.8889999995</v>
      </c>
      <c r="H53" s="27"/>
      <c r="I53" s="27"/>
      <c r="J53" s="28"/>
      <c r="K53" s="28"/>
      <c r="L53" s="28"/>
      <c r="M53" s="28"/>
      <c r="N53" s="27"/>
      <c r="O53" s="27"/>
      <c r="P53" s="28"/>
      <c r="Q53" s="28"/>
      <c r="R53" s="28"/>
    </row>
    <row r="54" spans="1:18" ht="17.649999999999999">
      <c r="A54" s="23">
        <v>49</v>
      </c>
      <c r="B54" s="24" t="s">
        <v>88</v>
      </c>
      <c r="C54" s="24" t="s">
        <v>230</v>
      </c>
      <c r="D54" s="25">
        <v>275198.71000000002</v>
      </c>
      <c r="E54" s="25">
        <v>2870588.67</v>
      </c>
      <c r="F54" s="25">
        <v>582644.62600000005</v>
      </c>
      <c r="G54" s="26">
        <f t="shared" si="0"/>
        <v>3728432.0060000001</v>
      </c>
      <c r="H54" s="27"/>
      <c r="I54" s="27"/>
      <c r="J54" s="28"/>
      <c r="K54" s="28"/>
      <c r="L54" s="28"/>
      <c r="M54" s="28"/>
      <c r="N54" s="27"/>
      <c r="O54" s="27"/>
      <c r="P54" s="28"/>
      <c r="Q54" s="28"/>
      <c r="R54" s="28"/>
    </row>
    <row r="55" spans="1:18" ht="17.649999999999999">
      <c r="A55" s="23">
        <v>50</v>
      </c>
      <c r="B55" s="24" t="s">
        <v>88</v>
      </c>
      <c r="C55" s="24" t="s">
        <v>232</v>
      </c>
      <c r="D55" s="25">
        <v>325510.62</v>
      </c>
      <c r="E55" s="25">
        <v>3395390.57</v>
      </c>
      <c r="F55" s="25">
        <v>689163.89509999997</v>
      </c>
      <c r="G55" s="26">
        <f t="shared" si="0"/>
        <v>4410065.0850999998</v>
      </c>
      <c r="H55" s="27"/>
      <c r="I55" s="27"/>
      <c r="J55" s="28"/>
      <c r="K55" s="28"/>
      <c r="L55" s="28"/>
      <c r="M55" s="28"/>
      <c r="N55" s="27"/>
      <c r="O55" s="27"/>
      <c r="P55" s="28"/>
      <c r="Q55" s="28"/>
      <c r="R55" s="28"/>
    </row>
    <row r="56" spans="1:18" ht="17.649999999999999">
      <c r="A56" s="23">
        <v>51</v>
      </c>
      <c r="B56" s="24" t="s">
        <v>88</v>
      </c>
      <c r="C56" s="24" t="s">
        <v>234</v>
      </c>
      <c r="D56" s="25">
        <v>325602.40000000002</v>
      </c>
      <c r="E56" s="25">
        <v>3396347.88</v>
      </c>
      <c r="F56" s="25">
        <v>689358.20010000002</v>
      </c>
      <c r="G56" s="26">
        <f t="shared" si="0"/>
        <v>4411308.4801000003</v>
      </c>
      <c r="H56" s="27"/>
      <c r="I56" s="27"/>
      <c r="J56" s="28"/>
      <c r="K56" s="28"/>
      <c r="L56" s="28"/>
      <c r="M56" s="28"/>
      <c r="N56" s="27"/>
      <c r="O56" s="27"/>
      <c r="P56" s="28"/>
      <c r="Q56" s="28"/>
      <c r="R56" s="28"/>
    </row>
    <row r="57" spans="1:18" ht="17.649999999999999">
      <c r="A57" s="23">
        <v>52</v>
      </c>
      <c r="B57" s="24" t="s">
        <v>88</v>
      </c>
      <c r="C57" s="24" t="s">
        <v>236</v>
      </c>
      <c r="D57" s="25">
        <v>335810.44</v>
      </c>
      <c r="E57" s="25">
        <v>3502827.6</v>
      </c>
      <c r="F57" s="25">
        <v>710970.43400000001</v>
      </c>
      <c r="G57" s="26">
        <f t="shared" si="0"/>
        <v>4549608.4740000004</v>
      </c>
      <c r="H57" s="27"/>
      <c r="I57" s="27"/>
      <c r="J57" s="28"/>
      <c r="K57" s="28"/>
      <c r="L57" s="28"/>
      <c r="M57" s="28"/>
      <c r="N57" s="27"/>
      <c r="O57" s="27"/>
      <c r="P57" s="28"/>
      <c r="Q57" s="28"/>
      <c r="R57" s="28"/>
    </row>
    <row r="58" spans="1:18" ht="17.649999999999999">
      <c r="A58" s="23">
        <v>53</v>
      </c>
      <c r="B58" s="24" t="s">
        <v>88</v>
      </c>
      <c r="C58" s="24" t="s">
        <v>238</v>
      </c>
      <c r="D58" s="25">
        <v>306795.74</v>
      </c>
      <c r="E58" s="25">
        <v>3200176.28</v>
      </c>
      <c r="F58" s="25">
        <v>649541.16579999996</v>
      </c>
      <c r="G58" s="26">
        <f t="shared" si="0"/>
        <v>4156513.1857999996</v>
      </c>
      <c r="H58" s="27"/>
      <c r="I58" s="27"/>
      <c r="J58" s="28"/>
      <c r="K58" s="28"/>
      <c r="L58" s="28"/>
      <c r="M58" s="28"/>
      <c r="N58" s="27"/>
      <c r="O58" s="27"/>
      <c r="P58" s="28"/>
      <c r="Q58" s="28"/>
      <c r="R58" s="28"/>
    </row>
    <row r="59" spans="1:18" ht="17.649999999999999">
      <c r="A59" s="23">
        <v>54</v>
      </c>
      <c r="B59" s="24" t="s">
        <v>88</v>
      </c>
      <c r="C59" s="24" t="s">
        <v>240</v>
      </c>
      <c r="D59" s="25">
        <v>313253.90999999997</v>
      </c>
      <c r="E59" s="25">
        <v>3267541.2</v>
      </c>
      <c r="F59" s="25">
        <v>663214.25139999995</v>
      </c>
      <c r="G59" s="26">
        <f t="shared" si="0"/>
        <v>4244009.3614000008</v>
      </c>
      <c r="H59" s="27"/>
      <c r="I59" s="27"/>
      <c r="J59" s="28"/>
      <c r="K59" s="28"/>
      <c r="L59" s="28"/>
      <c r="M59" s="28"/>
      <c r="N59" s="27"/>
      <c r="O59" s="27"/>
      <c r="P59" s="28"/>
      <c r="Q59" s="28"/>
      <c r="R59" s="28"/>
    </row>
    <row r="60" spans="1:18" ht="17.649999999999999">
      <c r="A60" s="23">
        <v>55</v>
      </c>
      <c r="B60" s="24" t="s">
        <v>88</v>
      </c>
      <c r="C60" s="24" t="s">
        <v>242</v>
      </c>
      <c r="D60" s="25">
        <v>292403.90000000002</v>
      </c>
      <c r="E60" s="25">
        <v>3050055.47</v>
      </c>
      <c r="F60" s="25">
        <v>619071.08039999998</v>
      </c>
      <c r="G60" s="26">
        <f t="shared" si="0"/>
        <v>3961530.4504</v>
      </c>
      <c r="H60" s="27"/>
      <c r="I60" s="27"/>
      <c r="J60" s="28"/>
      <c r="K60" s="28"/>
      <c r="L60" s="28"/>
      <c r="M60" s="28"/>
      <c r="N60" s="27"/>
      <c r="O60" s="27"/>
      <c r="P60" s="28"/>
      <c r="Q60" s="28"/>
      <c r="R60" s="28"/>
    </row>
    <row r="61" spans="1:18" ht="17.649999999999999">
      <c r="A61" s="23">
        <v>56</v>
      </c>
      <c r="B61" s="24" t="s">
        <v>88</v>
      </c>
      <c r="C61" s="24" t="s">
        <v>244</v>
      </c>
      <c r="D61" s="25">
        <v>363283.95</v>
      </c>
      <c r="E61" s="25">
        <v>3789402.95</v>
      </c>
      <c r="F61" s="25">
        <v>769136.7574</v>
      </c>
      <c r="G61" s="26">
        <f t="shared" si="0"/>
        <v>4921823.6574000008</v>
      </c>
      <c r="H61" s="27"/>
      <c r="I61" s="27"/>
      <c r="J61" s="28"/>
      <c r="K61" s="28"/>
      <c r="L61" s="28"/>
      <c r="M61" s="28"/>
      <c r="N61" s="27"/>
      <c r="O61" s="27"/>
      <c r="P61" s="28"/>
      <c r="Q61" s="28"/>
      <c r="R61" s="28"/>
    </row>
    <row r="62" spans="1:18" ht="17.649999999999999">
      <c r="A62" s="23">
        <v>57</v>
      </c>
      <c r="B62" s="24" t="s">
        <v>88</v>
      </c>
      <c r="C62" s="24" t="s">
        <v>246</v>
      </c>
      <c r="D62" s="25">
        <v>303133.56</v>
      </c>
      <c r="E62" s="25">
        <v>3161976.19</v>
      </c>
      <c r="F62" s="25">
        <v>641787.67740000004</v>
      </c>
      <c r="G62" s="26">
        <f t="shared" si="0"/>
        <v>4106897.4273999999</v>
      </c>
      <c r="H62" s="27"/>
      <c r="I62" s="27"/>
      <c r="J62" s="28"/>
      <c r="K62" s="28"/>
      <c r="L62" s="28"/>
      <c r="M62" s="28"/>
      <c r="N62" s="27"/>
      <c r="O62" s="27"/>
      <c r="P62" s="28"/>
      <c r="Q62" s="28"/>
      <c r="R62" s="28"/>
    </row>
    <row r="63" spans="1:18" ht="17.649999999999999">
      <c r="A63" s="23">
        <v>58</v>
      </c>
      <c r="B63" s="24" t="s">
        <v>88</v>
      </c>
      <c r="C63" s="24" t="s">
        <v>248</v>
      </c>
      <c r="D63" s="25">
        <v>318947.05</v>
      </c>
      <c r="E63" s="25">
        <v>3326926.16</v>
      </c>
      <c r="F63" s="25">
        <v>675267.64350000001</v>
      </c>
      <c r="G63" s="26">
        <f t="shared" si="0"/>
        <v>4321140.8535000002</v>
      </c>
      <c r="H63" s="27"/>
      <c r="I63" s="27"/>
      <c r="J63" s="28"/>
      <c r="K63" s="28"/>
      <c r="L63" s="28"/>
      <c r="M63" s="28"/>
      <c r="N63" s="27"/>
      <c r="O63" s="27"/>
      <c r="P63" s="28"/>
      <c r="Q63" s="28"/>
      <c r="R63" s="28"/>
    </row>
    <row r="64" spans="1:18" ht="17.649999999999999">
      <c r="A64" s="23">
        <v>59</v>
      </c>
      <c r="B64" s="24" t="s">
        <v>88</v>
      </c>
      <c r="C64" s="24" t="s">
        <v>250</v>
      </c>
      <c r="D64" s="25">
        <v>331751.26</v>
      </c>
      <c r="E64" s="25">
        <v>3460486.42</v>
      </c>
      <c r="F64" s="25">
        <v>702376.4277</v>
      </c>
      <c r="G64" s="26">
        <f t="shared" si="0"/>
        <v>4494614.1076999996</v>
      </c>
      <c r="H64" s="27"/>
      <c r="I64" s="27"/>
      <c r="J64" s="28"/>
      <c r="K64" s="28"/>
      <c r="L64" s="28"/>
      <c r="M64" s="28"/>
      <c r="N64" s="27"/>
      <c r="O64" s="27"/>
      <c r="P64" s="28"/>
      <c r="Q64" s="28"/>
      <c r="R64" s="28"/>
    </row>
    <row r="65" spans="1:18" ht="17.649999999999999">
      <c r="A65" s="23">
        <v>60</v>
      </c>
      <c r="B65" s="24" t="s">
        <v>88</v>
      </c>
      <c r="C65" s="24" t="s">
        <v>252</v>
      </c>
      <c r="D65" s="25">
        <v>285148.89</v>
      </c>
      <c r="E65" s="25">
        <v>2974378.65</v>
      </c>
      <c r="F65" s="25">
        <v>603710.92299999995</v>
      </c>
      <c r="G65" s="26">
        <f t="shared" si="0"/>
        <v>3863238.463</v>
      </c>
      <c r="H65" s="27"/>
      <c r="I65" s="27"/>
      <c r="J65" s="28"/>
      <c r="K65" s="28"/>
      <c r="L65" s="28"/>
      <c r="M65" s="28"/>
      <c r="N65" s="27"/>
      <c r="O65" s="27"/>
      <c r="P65" s="28"/>
      <c r="Q65" s="28"/>
      <c r="R65" s="28"/>
    </row>
    <row r="66" spans="1:18" ht="17.649999999999999">
      <c r="A66" s="23">
        <v>61</v>
      </c>
      <c r="B66" s="24" t="s">
        <v>88</v>
      </c>
      <c r="C66" s="24" t="s">
        <v>254</v>
      </c>
      <c r="D66" s="25">
        <v>297750.90999999997</v>
      </c>
      <c r="E66" s="25">
        <v>3105829.93</v>
      </c>
      <c r="F66" s="25">
        <v>630391.64500000002</v>
      </c>
      <c r="G66" s="26">
        <f t="shared" si="0"/>
        <v>4033972.4850000003</v>
      </c>
      <c r="H66" s="27"/>
      <c r="I66" s="27"/>
      <c r="J66" s="28"/>
      <c r="K66" s="28"/>
      <c r="L66" s="28"/>
      <c r="M66" s="28"/>
      <c r="N66" s="27"/>
      <c r="O66" s="27"/>
      <c r="P66" s="28"/>
      <c r="Q66" s="28"/>
      <c r="R66" s="28"/>
    </row>
    <row r="67" spans="1:18" ht="17.649999999999999">
      <c r="A67" s="23">
        <v>62</v>
      </c>
      <c r="B67" s="24" t="s">
        <v>88</v>
      </c>
      <c r="C67" s="24" t="s">
        <v>256</v>
      </c>
      <c r="D67" s="25">
        <v>304980.67</v>
      </c>
      <c r="E67" s="25">
        <v>3181243.34</v>
      </c>
      <c r="F67" s="25">
        <v>645698.33920000005</v>
      </c>
      <c r="G67" s="26">
        <f t="shared" si="0"/>
        <v>4131922.3492000001</v>
      </c>
      <c r="H67" s="27"/>
      <c r="I67" s="27"/>
      <c r="J67" s="28"/>
      <c r="K67" s="28"/>
      <c r="L67" s="28"/>
      <c r="M67" s="28"/>
      <c r="N67" s="27"/>
      <c r="O67" s="27"/>
      <c r="P67" s="28"/>
      <c r="Q67" s="28"/>
      <c r="R67" s="28"/>
    </row>
    <row r="68" spans="1:18" ht="17.649999999999999">
      <c r="A68" s="23">
        <v>63</v>
      </c>
      <c r="B68" s="24" t="s">
        <v>88</v>
      </c>
      <c r="C68" s="24" t="s">
        <v>258</v>
      </c>
      <c r="D68" s="25">
        <v>359334.79</v>
      </c>
      <c r="E68" s="25">
        <v>3748209.39</v>
      </c>
      <c r="F68" s="25">
        <v>760775.68259999994</v>
      </c>
      <c r="G68" s="26">
        <f t="shared" si="0"/>
        <v>4868319.8626000006</v>
      </c>
      <c r="H68" s="27"/>
      <c r="I68" s="27"/>
      <c r="J68" s="28"/>
      <c r="K68" s="28"/>
      <c r="L68" s="28"/>
      <c r="M68" s="28"/>
      <c r="N68" s="27"/>
      <c r="O68" s="27"/>
      <c r="P68" s="28"/>
      <c r="Q68" s="28"/>
      <c r="R68" s="28"/>
    </row>
    <row r="69" spans="1:18" ht="17.649999999999999">
      <c r="A69" s="23">
        <v>64</v>
      </c>
      <c r="B69" s="24" t="s">
        <v>88</v>
      </c>
      <c r="C69" s="24" t="s">
        <v>260</v>
      </c>
      <c r="D69" s="25">
        <v>267670.90000000002</v>
      </c>
      <c r="E69" s="25">
        <v>2792066.32</v>
      </c>
      <c r="F69" s="25">
        <v>566706.9094</v>
      </c>
      <c r="G69" s="26">
        <f t="shared" si="0"/>
        <v>3626444.1294</v>
      </c>
      <c r="H69" s="27"/>
      <c r="I69" s="27"/>
      <c r="J69" s="28"/>
      <c r="K69" s="28"/>
      <c r="L69" s="28"/>
      <c r="M69" s="28"/>
      <c r="N69" s="27"/>
      <c r="O69" s="27"/>
      <c r="P69" s="28"/>
      <c r="Q69" s="28"/>
      <c r="R69" s="28"/>
    </row>
    <row r="70" spans="1:18" ht="17.649999999999999">
      <c r="A70" s="23">
        <v>65</v>
      </c>
      <c r="B70" s="24" t="s">
        <v>88</v>
      </c>
      <c r="C70" s="24" t="s">
        <v>262</v>
      </c>
      <c r="D70" s="25">
        <v>328434.38</v>
      </c>
      <c r="E70" s="25">
        <v>3425888.17</v>
      </c>
      <c r="F70" s="25">
        <v>695354.00580000004</v>
      </c>
      <c r="G70" s="26">
        <f t="shared" ref="G70:G133" si="1">D70+E70+F70</f>
        <v>4449676.5558000002</v>
      </c>
      <c r="H70" s="27"/>
      <c r="I70" s="27"/>
      <c r="J70" s="28"/>
      <c r="K70" s="28"/>
      <c r="L70" s="28"/>
      <c r="M70" s="28"/>
      <c r="N70" s="27"/>
      <c r="O70" s="27"/>
      <c r="P70" s="28"/>
      <c r="Q70" s="28"/>
      <c r="R70" s="28"/>
    </row>
    <row r="71" spans="1:18" ht="17.649999999999999">
      <c r="A71" s="23">
        <v>66</v>
      </c>
      <c r="B71" s="24" t="s">
        <v>88</v>
      </c>
      <c r="C71" s="24" t="s">
        <v>264</v>
      </c>
      <c r="D71" s="25">
        <v>267766.21999999997</v>
      </c>
      <c r="E71" s="25">
        <v>2793060.61</v>
      </c>
      <c r="F71" s="25">
        <v>566908.72069999995</v>
      </c>
      <c r="G71" s="26">
        <f t="shared" si="1"/>
        <v>3627735.5507</v>
      </c>
      <c r="H71" s="27"/>
      <c r="I71" s="27"/>
      <c r="J71" s="28"/>
      <c r="K71" s="28"/>
      <c r="L71" s="28"/>
      <c r="M71" s="28"/>
      <c r="N71" s="27"/>
      <c r="O71" s="27"/>
      <c r="P71" s="28"/>
      <c r="Q71" s="28"/>
      <c r="R71" s="28"/>
    </row>
    <row r="72" spans="1:18" ht="17.649999999999999">
      <c r="A72" s="23">
        <v>67</v>
      </c>
      <c r="B72" s="24" t="s">
        <v>88</v>
      </c>
      <c r="C72" s="24" t="s">
        <v>266</v>
      </c>
      <c r="D72" s="25">
        <v>349210.14</v>
      </c>
      <c r="E72" s="25">
        <v>3642599.42</v>
      </c>
      <c r="F72" s="25">
        <v>739339.9817</v>
      </c>
      <c r="G72" s="26">
        <f t="shared" si="1"/>
        <v>4731149.5416999999</v>
      </c>
      <c r="H72" s="27"/>
      <c r="I72" s="27"/>
      <c r="J72" s="28"/>
      <c r="K72" s="28"/>
      <c r="L72" s="28"/>
      <c r="M72" s="28"/>
      <c r="N72" s="27"/>
      <c r="O72" s="27"/>
      <c r="P72" s="28"/>
      <c r="Q72" s="28"/>
      <c r="R72" s="28"/>
    </row>
    <row r="73" spans="1:18" ht="35.25">
      <c r="A73" s="23">
        <v>68</v>
      </c>
      <c r="B73" s="24" t="s">
        <v>88</v>
      </c>
      <c r="C73" s="24" t="s">
        <v>268</v>
      </c>
      <c r="D73" s="25">
        <v>288954.2</v>
      </c>
      <c r="E73" s="25">
        <v>3014071.7</v>
      </c>
      <c r="F73" s="25">
        <v>611767.43790000002</v>
      </c>
      <c r="G73" s="26">
        <f t="shared" si="1"/>
        <v>3914793.3379000006</v>
      </c>
      <c r="H73" s="27"/>
      <c r="I73" s="27"/>
      <c r="J73" s="28"/>
      <c r="K73" s="28"/>
      <c r="L73" s="28"/>
      <c r="M73" s="28"/>
      <c r="N73" s="27"/>
      <c r="O73" s="27"/>
      <c r="P73" s="28"/>
      <c r="Q73" s="28"/>
      <c r="R73" s="28"/>
    </row>
    <row r="74" spans="1:18" ht="17.649999999999999">
      <c r="A74" s="23">
        <v>69</v>
      </c>
      <c r="B74" s="24" t="s">
        <v>88</v>
      </c>
      <c r="C74" s="24" t="s">
        <v>270</v>
      </c>
      <c r="D74" s="25">
        <v>436768.36</v>
      </c>
      <c r="E74" s="25">
        <v>4555916.3499999996</v>
      </c>
      <c r="F74" s="25">
        <v>924716.31440000003</v>
      </c>
      <c r="G74" s="26">
        <f t="shared" si="1"/>
        <v>5917401.0243999995</v>
      </c>
      <c r="H74" s="27"/>
      <c r="I74" s="27"/>
      <c r="J74" s="28"/>
      <c r="K74" s="28"/>
      <c r="L74" s="28"/>
      <c r="M74" s="28"/>
      <c r="N74" s="27"/>
      <c r="O74" s="27"/>
      <c r="P74" s="28"/>
      <c r="Q74" s="28"/>
      <c r="R74" s="28"/>
    </row>
    <row r="75" spans="1:18" ht="17.649999999999999">
      <c r="A75" s="23">
        <v>70</v>
      </c>
      <c r="B75" s="24" t="s">
        <v>89</v>
      </c>
      <c r="C75" s="24" t="s">
        <v>275</v>
      </c>
      <c r="D75" s="25">
        <v>491267.32</v>
      </c>
      <c r="E75" s="25">
        <v>5124393.18</v>
      </c>
      <c r="F75" s="25">
        <v>1040100.3027999999</v>
      </c>
      <c r="G75" s="26">
        <f t="shared" si="1"/>
        <v>6655760.8027999997</v>
      </c>
      <c r="H75" s="27"/>
      <c r="I75" s="27"/>
      <c r="J75" s="28"/>
      <c r="K75" s="28"/>
      <c r="L75" s="28"/>
      <c r="M75" s="28"/>
      <c r="N75" s="27"/>
      <c r="O75" s="27"/>
      <c r="P75" s="28"/>
      <c r="Q75" s="28"/>
      <c r="R75" s="28"/>
    </row>
    <row r="76" spans="1:18" ht="17.649999999999999">
      <c r="A76" s="23">
        <v>71</v>
      </c>
      <c r="B76" s="24" t="s">
        <v>89</v>
      </c>
      <c r="C76" s="24" t="s">
        <v>277</v>
      </c>
      <c r="D76" s="25">
        <v>323085.34999999998</v>
      </c>
      <c r="E76" s="25">
        <v>3370092.61</v>
      </c>
      <c r="F76" s="25">
        <v>684029.15560000006</v>
      </c>
      <c r="G76" s="26">
        <f t="shared" si="1"/>
        <v>4377207.1156000001</v>
      </c>
      <c r="H76" s="27"/>
      <c r="I76" s="27"/>
      <c r="J76" s="28"/>
      <c r="K76" s="28"/>
      <c r="L76" s="28"/>
      <c r="M76" s="28"/>
      <c r="N76" s="27"/>
      <c r="O76" s="27"/>
      <c r="P76" s="28"/>
      <c r="Q76" s="28"/>
      <c r="R76" s="28"/>
    </row>
    <row r="77" spans="1:18" ht="17.649999999999999">
      <c r="A77" s="23">
        <v>72</v>
      </c>
      <c r="B77" s="24" t="s">
        <v>89</v>
      </c>
      <c r="C77" s="24" t="s">
        <v>279</v>
      </c>
      <c r="D77" s="25">
        <v>332363.46000000002</v>
      </c>
      <c r="E77" s="25">
        <v>3466872.26</v>
      </c>
      <c r="F77" s="25">
        <v>703672.56310000003</v>
      </c>
      <c r="G77" s="26">
        <f t="shared" si="1"/>
        <v>4502908.2830999997</v>
      </c>
      <c r="H77" s="27"/>
      <c r="I77" s="27"/>
      <c r="J77" s="28"/>
      <c r="K77" s="28"/>
      <c r="L77" s="28"/>
      <c r="M77" s="28"/>
      <c r="N77" s="27"/>
      <c r="O77" s="27"/>
      <c r="P77" s="28"/>
      <c r="Q77" s="28"/>
      <c r="R77" s="28"/>
    </row>
    <row r="78" spans="1:18" ht="17.649999999999999">
      <c r="A78" s="23">
        <v>73</v>
      </c>
      <c r="B78" s="24" t="s">
        <v>89</v>
      </c>
      <c r="C78" s="24" t="s">
        <v>281</v>
      </c>
      <c r="D78" s="25">
        <v>401726.08</v>
      </c>
      <c r="E78" s="25">
        <v>4190391.46</v>
      </c>
      <c r="F78" s="25">
        <v>850525.56969999999</v>
      </c>
      <c r="G78" s="26">
        <f t="shared" si="1"/>
        <v>5442643.1096999999</v>
      </c>
      <c r="H78" s="27"/>
      <c r="I78" s="27"/>
      <c r="J78" s="28"/>
      <c r="K78" s="28"/>
      <c r="L78" s="28"/>
      <c r="M78" s="28"/>
      <c r="N78" s="27"/>
      <c r="O78" s="27"/>
      <c r="P78" s="28"/>
      <c r="Q78" s="28"/>
      <c r="R78" s="28"/>
    </row>
    <row r="79" spans="1:18" ht="17.649999999999999">
      <c r="A79" s="23">
        <v>74</v>
      </c>
      <c r="B79" s="24" t="s">
        <v>89</v>
      </c>
      <c r="C79" s="24" t="s">
        <v>283</v>
      </c>
      <c r="D79" s="25">
        <v>305097.89</v>
      </c>
      <c r="E79" s="25">
        <v>3182465.99</v>
      </c>
      <c r="F79" s="25">
        <v>645946.49950000003</v>
      </c>
      <c r="G79" s="26">
        <f t="shared" si="1"/>
        <v>4133510.3795000003</v>
      </c>
      <c r="H79" s="27"/>
      <c r="I79" s="27"/>
      <c r="J79" s="28"/>
      <c r="K79" s="28"/>
      <c r="L79" s="28"/>
      <c r="M79" s="28"/>
      <c r="N79" s="27"/>
      <c r="O79" s="27"/>
      <c r="P79" s="28"/>
      <c r="Q79" s="28"/>
      <c r="R79" s="28"/>
    </row>
    <row r="80" spans="1:18" ht="17.649999999999999">
      <c r="A80" s="23">
        <v>75</v>
      </c>
      <c r="B80" s="24" t="s">
        <v>89</v>
      </c>
      <c r="C80" s="24" t="s">
        <v>285</v>
      </c>
      <c r="D80" s="25">
        <v>351235.7</v>
      </c>
      <c r="E80" s="25">
        <v>3663728</v>
      </c>
      <c r="F80" s="25">
        <v>743628.45929999999</v>
      </c>
      <c r="G80" s="26">
        <f t="shared" si="1"/>
        <v>4758592.1593000004</v>
      </c>
      <c r="H80" s="27"/>
      <c r="I80" s="27"/>
      <c r="J80" s="28"/>
      <c r="K80" s="28"/>
      <c r="L80" s="28"/>
      <c r="M80" s="28"/>
      <c r="N80" s="27"/>
      <c r="O80" s="27"/>
      <c r="P80" s="28"/>
      <c r="Q80" s="28"/>
      <c r="R80" s="28"/>
    </row>
    <row r="81" spans="1:18" ht="17.649999999999999">
      <c r="A81" s="23">
        <v>76</v>
      </c>
      <c r="B81" s="24" t="s">
        <v>89</v>
      </c>
      <c r="C81" s="24" t="s">
        <v>287</v>
      </c>
      <c r="D81" s="25">
        <v>325516.26</v>
      </c>
      <c r="E81" s="25">
        <v>3395449.37</v>
      </c>
      <c r="F81" s="25">
        <v>689175.8284</v>
      </c>
      <c r="G81" s="26">
        <f t="shared" si="1"/>
        <v>4410141.4583999999</v>
      </c>
      <c r="H81" s="27"/>
      <c r="I81" s="27"/>
      <c r="J81" s="28"/>
      <c r="K81" s="28"/>
      <c r="L81" s="28"/>
      <c r="M81" s="28"/>
      <c r="N81" s="27"/>
      <c r="O81" s="27"/>
      <c r="P81" s="28"/>
      <c r="Q81" s="28"/>
      <c r="R81" s="28"/>
    </row>
    <row r="82" spans="1:18" ht="17.649999999999999">
      <c r="A82" s="23">
        <v>77</v>
      </c>
      <c r="B82" s="24" t="s">
        <v>89</v>
      </c>
      <c r="C82" s="24" t="s">
        <v>289</v>
      </c>
      <c r="D82" s="25">
        <v>291051.98</v>
      </c>
      <c r="E82" s="25">
        <v>3035953.63</v>
      </c>
      <c r="F82" s="25">
        <v>616208.82319999998</v>
      </c>
      <c r="G82" s="26">
        <f t="shared" si="1"/>
        <v>3943214.4331999999</v>
      </c>
      <c r="H82" s="27"/>
      <c r="I82" s="27"/>
      <c r="J82" s="28"/>
      <c r="K82" s="28"/>
      <c r="L82" s="28"/>
      <c r="M82" s="28"/>
      <c r="N82" s="27"/>
      <c r="O82" s="27"/>
      <c r="P82" s="28"/>
      <c r="Q82" s="28"/>
      <c r="R82" s="28"/>
    </row>
    <row r="83" spans="1:18" ht="17.649999999999999">
      <c r="A83" s="23">
        <v>78</v>
      </c>
      <c r="B83" s="24" t="s">
        <v>89</v>
      </c>
      <c r="C83" s="24" t="s">
        <v>291</v>
      </c>
      <c r="D83" s="25">
        <v>323267.78999999998</v>
      </c>
      <c r="E83" s="25">
        <v>3371995.61</v>
      </c>
      <c r="F83" s="25">
        <v>684415.40850000002</v>
      </c>
      <c r="G83" s="26">
        <f t="shared" si="1"/>
        <v>4379678.8085000003</v>
      </c>
      <c r="H83" s="27"/>
      <c r="I83" s="27"/>
      <c r="J83" s="28"/>
      <c r="K83" s="28"/>
      <c r="L83" s="28"/>
      <c r="M83" s="28"/>
      <c r="N83" s="27"/>
      <c r="O83" s="27"/>
      <c r="P83" s="28"/>
      <c r="Q83" s="28"/>
      <c r="R83" s="28"/>
    </row>
    <row r="84" spans="1:18" ht="17.649999999999999">
      <c r="A84" s="23">
        <v>79</v>
      </c>
      <c r="B84" s="24" t="s">
        <v>89</v>
      </c>
      <c r="C84" s="24" t="s">
        <v>293</v>
      </c>
      <c r="D84" s="25">
        <v>511421.29</v>
      </c>
      <c r="E84" s="25">
        <v>5334618.6100000003</v>
      </c>
      <c r="F84" s="25">
        <v>1082769.8483</v>
      </c>
      <c r="G84" s="26">
        <f t="shared" si="1"/>
        <v>6928809.7483000001</v>
      </c>
      <c r="H84" s="27"/>
      <c r="I84" s="27"/>
      <c r="J84" s="28"/>
      <c r="K84" s="28"/>
      <c r="L84" s="28"/>
      <c r="M84" s="28"/>
      <c r="N84" s="27"/>
      <c r="O84" s="27"/>
      <c r="P84" s="28"/>
      <c r="Q84" s="28"/>
      <c r="R84" s="28"/>
    </row>
    <row r="85" spans="1:18" ht="17.649999999999999">
      <c r="A85" s="23">
        <v>80</v>
      </c>
      <c r="B85" s="24" t="s">
        <v>89</v>
      </c>
      <c r="C85" s="24" t="s">
        <v>295</v>
      </c>
      <c r="D85" s="25">
        <v>355438.41</v>
      </c>
      <c r="E85" s="25">
        <v>3707566.37</v>
      </c>
      <c r="F85" s="25">
        <v>752526.35219999996</v>
      </c>
      <c r="G85" s="26">
        <f t="shared" si="1"/>
        <v>4815531.1321999999</v>
      </c>
      <c r="H85" s="27"/>
      <c r="I85" s="27"/>
      <c r="J85" s="28"/>
      <c r="K85" s="28"/>
      <c r="L85" s="28"/>
      <c r="M85" s="28"/>
      <c r="N85" s="27"/>
      <c r="O85" s="27"/>
      <c r="P85" s="28"/>
      <c r="Q85" s="28"/>
      <c r="R85" s="28"/>
    </row>
    <row r="86" spans="1:18" ht="17.649999999999999">
      <c r="A86" s="23">
        <v>81</v>
      </c>
      <c r="B86" s="24" t="s">
        <v>89</v>
      </c>
      <c r="C86" s="24" t="s">
        <v>297</v>
      </c>
      <c r="D86" s="25">
        <v>434559.15</v>
      </c>
      <c r="E86" s="25">
        <v>4532872.1399999997</v>
      </c>
      <c r="F86" s="25">
        <v>920039.02009999997</v>
      </c>
      <c r="G86" s="26">
        <f t="shared" si="1"/>
        <v>5887470.3101000004</v>
      </c>
      <c r="H86" s="27"/>
      <c r="I86" s="27"/>
      <c r="J86" s="28"/>
      <c r="K86" s="28"/>
      <c r="L86" s="28"/>
      <c r="M86" s="28"/>
      <c r="N86" s="27"/>
      <c r="O86" s="27"/>
      <c r="P86" s="28"/>
      <c r="Q86" s="28"/>
      <c r="R86" s="28"/>
    </row>
    <row r="87" spans="1:18" ht="17.649999999999999">
      <c r="A87" s="23">
        <v>82</v>
      </c>
      <c r="B87" s="24" t="s">
        <v>89</v>
      </c>
      <c r="C87" s="24" t="s">
        <v>299</v>
      </c>
      <c r="D87" s="25">
        <v>319290.06</v>
      </c>
      <c r="E87" s="25">
        <v>3330504.03</v>
      </c>
      <c r="F87" s="25">
        <v>675993.84589999996</v>
      </c>
      <c r="G87" s="26">
        <f t="shared" si="1"/>
        <v>4325787.9358999999</v>
      </c>
      <c r="H87" s="27"/>
      <c r="I87" s="27"/>
      <c r="J87" s="28"/>
      <c r="K87" s="28"/>
      <c r="L87" s="28"/>
      <c r="M87" s="28"/>
      <c r="N87" s="27"/>
      <c r="O87" s="27"/>
      <c r="P87" s="28"/>
      <c r="Q87" s="28"/>
      <c r="R87" s="28"/>
    </row>
    <row r="88" spans="1:18" ht="17.649999999999999">
      <c r="A88" s="23">
        <v>83</v>
      </c>
      <c r="B88" s="24" t="s">
        <v>89</v>
      </c>
      <c r="C88" s="24" t="s">
        <v>301</v>
      </c>
      <c r="D88" s="25">
        <v>316577.99</v>
      </c>
      <c r="E88" s="25">
        <v>3302214.57</v>
      </c>
      <c r="F88" s="25">
        <v>670251.92070000002</v>
      </c>
      <c r="G88" s="26">
        <f t="shared" si="1"/>
        <v>4289044.4806999993</v>
      </c>
      <c r="H88" s="27"/>
      <c r="I88" s="27"/>
      <c r="J88" s="28"/>
      <c r="K88" s="28"/>
      <c r="L88" s="28"/>
      <c r="M88" s="28"/>
      <c r="N88" s="27"/>
      <c r="O88" s="27"/>
      <c r="P88" s="28"/>
      <c r="Q88" s="28"/>
      <c r="R88" s="28"/>
    </row>
    <row r="89" spans="1:18" ht="17.649999999999999">
      <c r="A89" s="23">
        <v>84</v>
      </c>
      <c r="B89" s="24" t="s">
        <v>89</v>
      </c>
      <c r="C89" s="24" t="s">
        <v>303</v>
      </c>
      <c r="D89" s="25">
        <v>379962.91</v>
      </c>
      <c r="E89" s="25">
        <v>3963380.57</v>
      </c>
      <c r="F89" s="25">
        <v>804449.07059999998</v>
      </c>
      <c r="G89" s="26">
        <f t="shared" si="1"/>
        <v>5147792.5505999997</v>
      </c>
      <c r="H89" s="27"/>
      <c r="I89" s="27"/>
      <c r="J89" s="28"/>
      <c r="K89" s="28"/>
      <c r="L89" s="28"/>
      <c r="M89" s="28"/>
      <c r="N89" s="27"/>
      <c r="O89" s="27"/>
      <c r="P89" s="28"/>
      <c r="Q89" s="28"/>
      <c r="R89" s="28"/>
    </row>
    <row r="90" spans="1:18" ht="17.649999999999999">
      <c r="A90" s="23">
        <v>85</v>
      </c>
      <c r="B90" s="24" t="s">
        <v>89</v>
      </c>
      <c r="C90" s="24" t="s">
        <v>305</v>
      </c>
      <c r="D90" s="25">
        <v>363065.31</v>
      </c>
      <c r="E90" s="25">
        <v>3787122.29</v>
      </c>
      <c r="F90" s="25">
        <v>768673.85080000001</v>
      </c>
      <c r="G90" s="26">
        <f t="shared" si="1"/>
        <v>4918861.4507999998</v>
      </c>
      <c r="H90" s="27"/>
      <c r="I90" s="27"/>
      <c r="J90" s="28"/>
      <c r="K90" s="28"/>
      <c r="L90" s="28"/>
      <c r="M90" s="28"/>
      <c r="N90" s="27"/>
      <c r="O90" s="27"/>
      <c r="P90" s="28"/>
      <c r="Q90" s="28"/>
      <c r="R90" s="28"/>
    </row>
    <row r="91" spans="1:18" ht="17.649999999999999">
      <c r="A91" s="23">
        <v>86</v>
      </c>
      <c r="B91" s="24" t="s">
        <v>89</v>
      </c>
      <c r="C91" s="24" t="s">
        <v>306</v>
      </c>
      <c r="D91" s="25">
        <v>304148.45</v>
      </c>
      <c r="E91" s="25">
        <v>3172562.42</v>
      </c>
      <c r="F91" s="25">
        <v>643936.36739999999</v>
      </c>
      <c r="G91" s="26">
        <f t="shared" si="1"/>
        <v>4120647.2374</v>
      </c>
      <c r="H91" s="27"/>
      <c r="I91" s="27"/>
      <c r="J91" s="28"/>
      <c r="K91" s="28"/>
      <c r="L91" s="28"/>
      <c r="M91" s="28"/>
      <c r="N91" s="27"/>
      <c r="O91" s="27"/>
      <c r="P91" s="28"/>
      <c r="Q91" s="28"/>
      <c r="R91" s="28"/>
    </row>
    <row r="92" spans="1:18" ht="17.649999999999999">
      <c r="A92" s="23">
        <v>87</v>
      </c>
      <c r="B92" s="24" t="s">
        <v>89</v>
      </c>
      <c r="C92" s="24" t="s">
        <v>308</v>
      </c>
      <c r="D92" s="25">
        <v>315153.19</v>
      </c>
      <c r="E92" s="25">
        <v>3287352.48</v>
      </c>
      <c r="F92" s="25">
        <v>667235.35640000005</v>
      </c>
      <c r="G92" s="26">
        <f t="shared" si="1"/>
        <v>4269741.0263999999</v>
      </c>
      <c r="H92" s="27"/>
      <c r="I92" s="27"/>
      <c r="J92" s="28"/>
      <c r="K92" s="28"/>
      <c r="L92" s="28"/>
      <c r="M92" s="28"/>
      <c r="N92" s="27"/>
      <c r="O92" s="27"/>
      <c r="P92" s="28"/>
      <c r="Q92" s="28"/>
      <c r="R92" s="28"/>
    </row>
    <row r="93" spans="1:18" ht="17.649999999999999">
      <c r="A93" s="23">
        <v>88</v>
      </c>
      <c r="B93" s="24" t="s">
        <v>89</v>
      </c>
      <c r="C93" s="24" t="s">
        <v>310</v>
      </c>
      <c r="D93" s="25">
        <v>340338.68</v>
      </c>
      <c r="E93" s="25">
        <v>3550061.56</v>
      </c>
      <c r="F93" s="25">
        <v>720557.53110000002</v>
      </c>
      <c r="G93" s="26">
        <f t="shared" si="1"/>
        <v>4610957.7711000005</v>
      </c>
      <c r="H93" s="27"/>
      <c r="I93" s="27"/>
      <c r="J93" s="28"/>
      <c r="K93" s="28"/>
      <c r="L93" s="28"/>
      <c r="M93" s="28"/>
      <c r="N93" s="27"/>
      <c r="O93" s="27"/>
      <c r="P93" s="28"/>
      <c r="Q93" s="28"/>
      <c r="R93" s="28"/>
    </row>
    <row r="94" spans="1:18" ht="17.649999999999999">
      <c r="A94" s="23">
        <v>89</v>
      </c>
      <c r="B94" s="24" t="s">
        <v>89</v>
      </c>
      <c r="C94" s="24" t="s">
        <v>312</v>
      </c>
      <c r="D94" s="25">
        <v>344414.14</v>
      </c>
      <c r="E94" s="25">
        <v>3592572.53</v>
      </c>
      <c r="F94" s="25">
        <v>729186.00230000005</v>
      </c>
      <c r="G94" s="26">
        <f t="shared" si="1"/>
        <v>4666172.6722999997</v>
      </c>
      <c r="H94" s="27"/>
      <c r="I94" s="27"/>
      <c r="J94" s="28"/>
      <c r="K94" s="28"/>
      <c r="L94" s="28"/>
      <c r="M94" s="28"/>
      <c r="N94" s="27"/>
      <c r="O94" s="27"/>
      <c r="P94" s="28"/>
      <c r="Q94" s="28"/>
      <c r="R94" s="28"/>
    </row>
    <row r="95" spans="1:18" ht="17.649999999999999">
      <c r="A95" s="23">
        <v>90</v>
      </c>
      <c r="B95" s="24" t="s">
        <v>89</v>
      </c>
      <c r="C95" s="24" t="s">
        <v>314</v>
      </c>
      <c r="D95" s="25">
        <v>330688.28999999998</v>
      </c>
      <c r="E95" s="25">
        <v>3449398.67</v>
      </c>
      <c r="F95" s="25">
        <v>700125.94220000005</v>
      </c>
      <c r="G95" s="26">
        <f t="shared" si="1"/>
        <v>4480212.9022000004</v>
      </c>
      <c r="H95" s="27"/>
      <c r="I95" s="27"/>
      <c r="J95" s="28"/>
      <c r="K95" s="28"/>
      <c r="L95" s="28"/>
      <c r="M95" s="28"/>
      <c r="N95" s="27"/>
      <c r="O95" s="27"/>
      <c r="P95" s="28"/>
      <c r="Q95" s="28"/>
      <c r="R95" s="28"/>
    </row>
    <row r="96" spans="1:18" ht="17.649999999999999">
      <c r="A96" s="23">
        <v>91</v>
      </c>
      <c r="B96" s="24" t="s">
        <v>90</v>
      </c>
      <c r="C96" s="24" t="s">
        <v>319</v>
      </c>
      <c r="D96" s="25">
        <v>557576.21</v>
      </c>
      <c r="E96" s="25">
        <v>5816059.0800000001</v>
      </c>
      <c r="F96" s="25">
        <v>1180488.0292</v>
      </c>
      <c r="G96" s="26">
        <f t="shared" si="1"/>
        <v>7554123.3191999998</v>
      </c>
      <c r="H96" s="27"/>
      <c r="I96" s="27"/>
      <c r="J96" s="28"/>
      <c r="K96" s="28"/>
      <c r="L96" s="28"/>
      <c r="M96" s="28"/>
      <c r="N96" s="27"/>
      <c r="O96" s="27"/>
      <c r="P96" s="28"/>
      <c r="Q96" s="28"/>
      <c r="R96" s="28"/>
    </row>
    <row r="97" spans="1:18" ht="17.649999999999999">
      <c r="A97" s="23">
        <v>92</v>
      </c>
      <c r="B97" s="24" t="s">
        <v>90</v>
      </c>
      <c r="C97" s="24" t="s">
        <v>90</v>
      </c>
      <c r="D97" s="25">
        <v>673332</v>
      </c>
      <c r="E97" s="25">
        <v>7023503.8899999997</v>
      </c>
      <c r="F97" s="25">
        <v>1425563.6259000001</v>
      </c>
      <c r="G97" s="26">
        <f t="shared" si="1"/>
        <v>9122399.5158999991</v>
      </c>
      <c r="H97" s="27"/>
      <c r="I97" s="27"/>
      <c r="J97" s="28"/>
      <c r="K97" s="28"/>
      <c r="L97" s="28"/>
      <c r="M97" s="28"/>
      <c r="N97" s="27"/>
      <c r="O97" s="27"/>
      <c r="P97" s="28"/>
      <c r="Q97" s="28"/>
      <c r="R97" s="28"/>
    </row>
    <row r="98" spans="1:18" ht="17.649999999999999">
      <c r="A98" s="23">
        <v>93</v>
      </c>
      <c r="B98" s="24" t="s">
        <v>90</v>
      </c>
      <c r="C98" s="24" t="s">
        <v>322</v>
      </c>
      <c r="D98" s="25">
        <v>294479.37</v>
      </c>
      <c r="E98" s="25">
        <v>3071704.61</v>
      </c>
      <c r="F98" s="25">
        <v>623465.21459999995</v>
      </c>
      <c r="G98" s="26">
        <f t="shared" si="1"/>
        <v>3989649.1946</v>
      </c>
      <c r="H98" s="27"/>
      <c r="I98" s="27"/>
      <c r="J98" s="28"/>
      <c r="K98" s="28"/>
      <c r="L98" s="28"/>
      <c r="M98" s="28"/>
      <c r="N98" s="27"/>
      <c r="O98" s="27"/>
      <c r="P98" s="28"/>
      <c r="Q98" s="28"/>
      <c r="R98" s="28"/>
    </row>
    <row r="99" spans="1:18" ht="17.649999999999999">
      <c r="A99" s="23">
        <v>94</v>
      </c>
      <c r="B99" s="24" t="s">
        <v>90</v>
      </c>
      <c r="C99" s="24" t="s">
        <v>324</v>
      </c>
      <c r="D99" s="25">
        <v>348026.5</v>
      </c>
      <c r="E99" s="25">
        <v>3630252.97</v>
      </c>
      <c r="F99" s="25">
        <v>736834.01789999998</v>
      </c>
      <c r="G99" s="26">
        <f t="shared" si="1"/>
        <v>4715113.4879000001</v>
      </c>
      <c r="H99" s="27"/>
      <c r="I99" s="27"/>
      <c r="J99" s="28"/>
      <c r="K99" s="28"/>
      <c r="L99" s="28"/>
      <c r="M99" s="28"/>
      <c r="N99" s="27"/>
      <c r="O99" s="27"/>
      <c r="P99" s="28"/>
      <c r="Q99" s="28"/>
      <c r="R99" s="28"/>
    </row>
    <row r="100" spans="1:18" ht="17.649999999999999">
      <c r="A100" s="23">
        <v>95</v>
      </c>
      <c r="B100" s="24" t="s">
        <v>90</v>
      </c>
      <c r="C100" s="24" t="s">
        <v>326</v>
      </c>
      <c r="D100" s="25">
        <v>441485.95</v>
      </c>
      <c r="E100" s="25">
        <v>4605125.4000000004</v>
      </c>
      <c r="F100" s="25">
        <v>934704.29669999995</v>
      </c>
      <c r="G100" s="26">
        <f t="shared" si="1"/>
        <v>5981315.6467000004</v>
      </c>
      <c r="H100" s="27"/>
      <c r="I100" s="27"/>
      <c r="J100" s="28"/>
      <c r="K100" s="28"/>
      <c r="L100" s="28"/>
      <c r="M100" s="28"/>
      <c r="N100" s="27"/>
      <c r="O100" s="27"/>
      <c r="P100" s="28"/>
      <c r="Q100" s="28"/>
      <c r="R100" s="28"/>
    </row>
    <row r="101" spans="1:18" ht="17.649999999999999">
      <c r="A101" s="23">
        <v>96</v>
      </c>
      <c r="B101" s="24" t="s">
        <v>90</v>
      </c>
      <c r="C101" s="24" t="s">
        <v>328</v>
      </c>
      <c r="D101" s="25">
        <v>292345.27</v>
      </c>
      <c r="E101" s="25">
        <v>3049443.87</v>
      </c>
      <c r="F101" s="25">
        <v>618946.94240000006</v>
      </c>
      <c r="G101" s="26">
        <f t="shared" si="1"/>
        <v>3960736.0824000002</v>
      </c>
      <c r="H101" s="27"/>
      <c r="I101" s="27"/>
      <c r="J101" s="28"/>
      <c r="K101" s="28"/>
      <c r="L101" s="28"/>
      <c r="M101" s="28"/>
      <c r="N101" s="27"/>
      <c r="O101" s="27"/>
      <c r="P101" s="28"/>
      <c r="Q101" s="28"/>
      <c r="R101" s="28"/>
    </row>
    <row r="102" spans="1:18" ht="17.649999999999999">
      <c r="A102" s="23">
        <v>97</v>
      </c>
      <c r="B102" s="24" t="s">
        <v>90</v>
      </c>
      <c r="C102" s="24" t="s">
        <v>330</v>
      </c>
      <c r="D102" s="25">
        <v>466399.43</v>
      </c>
      <c r="E102" s="25">
        <v>4864997.12</v>
      </c>
      <c r="F102" s="25">
        <v>987450.57180000003</v>
      </c>
      <c r="G102" s="26">
        <f t="shared" si="1"/>
        <v>6318847.1217999998</v>
      </c>
      <c r="H102" s="27"/>
      <c r="I102" s="27"/>
      <c r="J102" s="28"/>
      <c r="K102" s="28"/>
      <c r="L102" s="28"/>
      <c r="M102" s="28"/>
      <c r="N102" s="27"/>
      <c r="O102" s="27"/>
      <c r="P102" s="28"/>
      <c r="Q102" s="28"/>
      <c r="R102" s="28"/>
    </row>
    <row r="103" spans="1:18" ht="17.649999999999999">
      <c r="A103" s="23">
        <v>98</v>
      </c>
      <c r="B103" s="24" t="s">
        <v>90</v>
      </c>
      <c r="C103" s="24" t="s">
        <v>332</v>
      </c>
      <c r="D103" s="25">
        <v>470816.64</v>
      </c>
      <c r="E103" s="25">
        <v>4911072.8099999996</v>
      </c>
      <c r="F103" s="25">
        <v>996802.57380000001</v>
      </c>
      <c r="G103" s="26">
        <f t="shared" si="1"/>
        <v>6378692.0237999996</v>
      </c>
      <c r="H103" s="27"/>
      <c r="I103" s="27"/>
      <c r="J103" s="28"/>
      <c r="K103" s="28"/>
      <c r="L103" s="28"/>
      <c r="M103" s="28"/>
      <c r="N103" s="27"/>
      <c r="O103" s="27"/>
      <c r="P103" s="28"/>
      <c r="Q103" s="28"/>
      <c r="R103" s="28"/>
    </row>
    <row r="104" spans="1:18" ht="17.649999999999999">
      <c r="A104" s="23">
        <v>99</v>
      </c>
      <c r="B104" s="24" t="s">
        <v>90</v>
      </c>
      <c r="C104" s="24" t="s">
        <v>334</v>
      </c>
      <c r="D104" s="25">
        <v>331167.39</v>
      </c>
      <c r="E104" s="25">
        <v>3454396.14</v>
      </c>
      <c r="F104" s="25">
        <v>701140.28049999999</v>
      </c>
      <c r="G104" s="26">
        <f t="shared" si="1"/>
        <v>4486703.8105000006</v>
      </c>
      <c r="H104" s="27"/>
      <c r="I104" s="27"/>
      <c r="J104" s="28"/>
      <c r="K104" s="28"/>
      <c r="L104" s="28"/>
      <c r="M104" s="28"/>
      <c r="N104" s="27"/>
      <c r="O104" s="27"/>
      <c r="P104" s="28"/>
      <c r="Q104" s="28"/>
      <c r="R104" s="28"/>
    </row>
    <row r="105" spans="1:18" ht="17.649999999999999">
      <c r="A105" s="23">
        <v>100</v>
      </c>
      <c r="B105" s="24" t="s">
        <v>90</v>
      </c>
      <c r="C105" s="24" t="s">
        <v>335</v>
      </c>
      <c r="D105" s="25">
        <v>379283.31</v>
      </c>
      <c r="E105" s="25">
        <v>3956291.74</v>
      </c>
      <c r="F105" s="25">
        <v>803010.24690000003</v>
      </c>
      <c r="G105" s="26">
        <f t="shared" si="1"/>
        <v>5138585.2968999995</v>
      </c>
      <c r="H105" s="27"/>
      <c r="I105" s="27"/>
      <c r="J105" s="28"/>
      <c r="K105" s="28"/>
      <c r="L105" s="28"/>
      <c r="M105" s="28"/>
      <c r="N105" s="27"/>
      <c r="O105" s="27"/>
      <c r="P105" s="28"/>
      <c r="Q105" s="28"/>
      <c r="R105" s="28"/>
    </row>
    <row r="106" spans="1:18" ht="17.649999999999999">
      <c r="A106" s="23">
        <v>101</v>
      </c>
      <c r="B106" s="24" t="s">
        <v>90</v>
      </c>
      <c r="C106" s="24" t="s">
        <v>337</v>
      </c>
      <c r="D106" s="25">
        <v>293477.44</v>
      </c>
      <c r="E106" s="25">
        <v>3061253.45</v>
      </c>
      <c r="F106" s="25">
        <v>621343.93850000005</v>
      </c>
      <c r="G106" s="26">
        <f t="shared" si="1"/>
        <v>3976074.8285000003</v>
      </c>
      <c r="H106" s="27"/>
      <c r="I106" s="27"/>
      <c r="J106" s="28"/>
      <c r="K106" s="28"/>
      <c r="L106" s="28"/>
      <c r="M106" s="28"/>
      <c r="N106" s="27"/>
      <c r="O106" s="27"/>
      <c r="P106" s="28"/>
      <c r="Q106" s="28"/>
      <c r="R106" s="28"/>
    </row>
    <row r="107" spans="1:18" ht="17.649999999999999">
      <c r="A107" s="23">
        <v>102</v>
      </c>
      <c r="B107" s="24" t="s">
        <v>90</v>
      </c>
      <c r="C107" s="24" t="s">
        <v>339</v>
      </c>
      <c r="D107" s="25">
        <v>454480.39</v>
      </c>
      <c r="E107" s="25">
        <v>4740669.97</v>
      </c>
      <c r="F107" s="25">
        <v>962215.83559999999</v>
      </c>
      <c r="G107" s="26">
        <f t="shared" si="1"/>
        <v>6157366.1955999993</v>
      </c>
      <c r="H107" s="27"/>
      <c r="I107" s="27"/>
      <c r="J107" s="28"/>
      <c r="K107" s="28"/>
      <c r="L107" s="28"/>
      <c r="M107" s="28"/>
      <c r="N107" s="27"/>
      <c r="O107" s="27"/>
      <c r="P107" s="28"/>
      <c r="Q107" s="28"/>
      <c r="R107" s="28"/>
    </row>
    <row r="108" spans="1:18" ht="17.649999999999999">
      <c r="A108" s="23">
        <v>103</v>
      </c>
      <c r="B108" s="24" t="s">
        <v>90</v>
      </c>
      <c r="C108" s="24" t="s">
        <v>341</v>
      </c>
      <c r="D108" s="25">
        <v>373788.43</v>
      </c>
      <c r="E108" s="25">
        <v>3898974.8</v>
      </c>
      <c r="F108" s="25">
        <v>791376.60439999995</v>
      </c>
      <c r="G108" s="26">
        <f t="shared" si="1"/>
        <v>5064139.8343999991</v>
      </c>
      <c r="H108" s="27"/>
      <c r="I108" s="27"/>
      <c r="J108" s="28"/>
      <c r="K108" s="28"/>
      <c r="L108" s="28"/>
      <c r="M108" s="28"/>
      <c r="N108" s="27"/>
      <c r="O108" s="27"/>
      <c r="P108" s="28"/>
      <c r="Q108" s="28"/>
      <c r="R108" s="28"/>
    </row>
    <row r="109" spans="1:18" ht="17.649999999999999">
      <c r="A109" s="23">
        <v>104</v>
      </c>
      <c r="B109" s="24" t="s">
        <v>90</v>
      </c>
      <c r="C109" s="24" t="s">
        <v>343</v>
      </c>
      <c r="D109" s="25">
        <v>436467.36</v>
      </c>
      <c r="E109" s="25">
        <v>4552776.5999999996</v>
      </c>
      <c r="F109" s="25">
        <v>924079.03709999996</v>
      </c>
      <c r="G109" s="26">
        <f t="shared" si="1"/>
        <v>5913322.9971000003</v>
      </c>
      <c r="H109" s="27"/>
      <c r="I109" s="27"/>
      <c r="J109" s="28"/>
      <c r="K109" s="28"/>
      <c r="L109" s="28"/>
      <c r="M109" s="28"/>
      <c r="N109" s="27"/>
      <c r="O109" s="27"/>
      <c r="P109" s="28"/>
      <c r="Q109" s="28"/>
      <c r="R109" s="28"/>
    </row>
    <row r="110" spans="1:18" ht="17.649999999999999">
      <c r="A110" s="23">
        <v>105</v>
      </c>
      <c r="B110" s="24" t="s">
        <v>90</v>
      </c>
      <c r="C110" s="24" t="s">
        <v>345</v>
      </c>
      <c r="D110" s="25">
        <v>559323.26</v>
      </c>
      <c r="E110" s="25">
        <v>5834282.5099999998</v>
      </c>
      <c r="F110" s="25">
        <v>1184186.8470999999</v>
      </c>
      <c r="G110" s="26">
        <f t="shared" si="1"/>
        <v>7577792.6170999995</v>
      </c>
      <c r="H110" s="27"/>
      <c r="I110" s="27"/>
      <c r="J110" s="28"/>
      <c r="K110" s="28"/>
      <c r="L110" s="28"/>
      <c r="M110" s="28"/>
      <c r="N110" s="27"/>
      <c r="O110" s="27"/>
      <c r="P110" s="28"/>
      <c r="Q110" s="28"/>
      <c r="R110" s="28"/>
    </row>
    <row r="111" spans="1:18" ht="17.649999999999999">
      <c r="A111" s="23">
        <v>106</v>
      </c>
      <c r="B111" s="24" t="s">
        <v>90</v>
      </c>
      <c r="C111" s="24" t="s">
        <v>347</v>
      </c>
      <c r="D111" s="25">
        <v>419313.54</v>
      </c>
      <c r="E111" s="25">
        <v>4373845.74</v>
      </c>
      <c r="F111" s="25">
        <v>887761.36289999995</v>
      </c>
      <c r="G111" s="26">
        <f t="shared" si="1"/>
        <v>5680920.6429000003</v>
      </c>
      <c r="H111" s="27"/>
      <c r="I111" s="27"/>
      <c r="J111" s="28"/>
      <c r="K111" s="28"/>
      <c r="L111" s="28"/>
      <c r="M111" s="28"/>
      <c r="N111" s="27"/>
      <c r="O111" s="27"/>
      <c r="P111" s="28"/>
      <c r="Q111" s="28"/>
      <c r="R111" s="28"/>
    </row>
    <row r="112" spans="1:18" ht="17.649999999999999">
      <c r="A112" s="23">
        <v>107</v>
      </c>
      <c r="B112" s="24" t="s">
        <v>90</v>
      </c>
      <c r="C112" s="24" t="s">
        <v>349</v>
      </c>
      <c r="D112" s="25">
        <v>412427.02</v>
      </c>
      <c r="E112" s="25">
        <v>4302012.6500000004</v>
      </c>
      <c r="F112" s="25">
        <v>873181.37100000004</v>
      </c>
      <c r="G112" s="26">
        <f t="shared" si="1"/>
        <v>5587621.0410000002</v>
      </c>
      <c r="H112" s="27"/>
      <c r="I112" s="27"/>
      <c r="J112" s="28"/>
      <c r="K112" s="28"/>
      <c r="L112" s="28"/>
      <c r="M112" s="28"/>
      <c r="N112" s="27"/>
      <c r="O112" s="27"/>
      <c r="P112" s="28"/>
      <c r="Q112" s="28"/>
      <c r="R112" s="28"/>
    </row>
    <row r="113" spans="1:18" ht="17.649999999999999">
      <c r="A113" s="23">
        <v>108</v>
      </c>
      <c r="B113" s="24" t="s">
        <v>90</v>
      </c>
      <c r="C113" s="24" t="s">
        <v>351</v>
      </c>
      <c r="D113" s="25">
        <v>580000.13</v>
      </c>
      <c r="E113" s="25">
        <v>6049962.2000000002</v>
      </c>
      <c r="F113" s="25">
        <v>1227963.4478</v>
      </c>
      <c r="G113" s="26">
        <f t="shared" si="1"/>
        <v>7857925.7778000003</v>
      </c>
      <c r="H113" s="27"/>
      <c r="I113" s="27"/>
      <c r="J113" s="28"/>
      <c r="K113" s="28"/>
      <c r="L113" s="28"/>
      <c r="M113" s="28"/>
      <c r="N113" s="27"/>
      <c r="O113" s="27"/>
      <c r="P113" s="28"/>
      <c r="Q113" s="28"/>
      <c r="R113" s="28"/>
    </row>
    <row r="114" spans="1:18" ht="17.649999999999999">
      <c r="A114" s="23">
        <v>109</v>
      </c>
      <c r="B114" s="24" t="s">
        <v>90</v>
      </c>
      <c r="C114" s="24" t="s">
        <v>353</v>
      </c>
      <c r="D114" s="25">
        <v>322803.7</v>
      </c>
      <c r="E114" s="25">
        <v>3367154.8</v>
      </c>
      <c r="F114" s="25">
        <v>683432.86710000003</v>
      </c>
      <c r="G114" s="26">
        <f t="shared" si="1"/>
        <v>4373391.3671000004</v>
      </c>
      <c r="H114" s="27"/>
      <c r="I114" s="27"/>
      <c r="J114" s="28"/>
      <c r="K114" s="28"/>
      <c r="L114" s="28"/>
      <c r="M114" s="28"/>
      <c r="N114" s="27"/>
      <c r="O114" s="27"/>
      <c r="P114" s="28"/>
      <c r="Q114" s="28"/>
      <c r="R114" s="28"/>
    </row>
    <row r="115" spans="1:18" ht="17.649999999999999">
      <c r="A115" s="23">
        <v>110</v>
      </c>
      <c r="B115" s="24" t="s">
        <v>90</v>
      </c>
      <c r="C115" s="24" t="s">
        <v>355</v>
      </c>
      <c r="D115" s="25">
        <v>361207.9</v>
      </c>
      <c r="E115" s="25">
        <v>3767747.67</v>
      </c>
      <c r="F115" s="25">
        <v>764741.37520000001</v>
      </c>
      <c r="G115" s="26">
        <f t="shared" si="1"/>
        <v>4893696.9452</v>
      </c>
      <c r="H115" s="27"/>
      <c r="I115" s="27"/>
      <c r="J115" s="28"/>
      <c r="K115" s="28"/>
      <c r="L115" s="28"/>
      <c r="M115" s="28"/>
      <c r="N115" s="27"/>
      <c r="O115" s="27"/>
      <c r="P115" s="28"/>
      <c r="Q115" s="28"/>
      <c r="R115" s="28"/>
    </row>
    <row r="116" spans="1:18" ht="17.649999999999999">
      <c r="A116" s="23">
        <v>111</v>
      </c>
      <c r="B116" s="24" t="s">
        <v>91</v>
      </c>
      <c r="C116" s="24" t="s">
        <v>360</v>
      </c>
      <c r="D116" s="25">
        <v>410178.39</v>
      </c>
      <c r="E116" s="25">
        <v>4278557.25</v>
      </c>
      <c r="F116" s="25">
        <v>868420.61750000005</v>
      </c>
      <c r="G116" s="26">
        <f t="shared" si="1"/>
        <v>5557156.2574999994</v>
      </c>
      <c r="H116" s="27"/>
      <c r="I116" s="27"/>
      <c r="J116" s="28"/>
      <c r="K116" s="28"/>
      <c r="L116" s="28"/>
      <c r="M116" s="28"/>
      <c r="N116" s="27"/>
      <c r="O116" s="27"/>
      <c r="P116" s="28"/>
      <c r="Q116" s="28"/>
      <c r="R116" s="28"/>
    </row>
    <row r="117" spans="1:18" ht="17.649999999999999">
      <c r="A117" s="23">
        <v>112</v>
      </c>
      <c r="B117" s="24" t="s">
        <v>91</v>
      </c>
      <c r="C117" s="24" t="s">
        <v>362</v>
      </c>
      <c r="D117" s="25">
        <v>470886.92</v>
      </c>
      <c r="E117" s="25">
        <v>4911805.9000000004</v>
      </c>
      <c r="F117" s="25">
        <v>996951.37139999995</v>
      </c>
      <c r="G117" s="26">
        <f t="shared" si="1"/>
        <v>6379644.1913999999</v>
      </c>
      <c r="H117" s="27"/>
      <c r="I117" s="27"/>
      <c r="J117" s="28"/>
      <c r="K117" s="28"/>
      <c r="L117" s="28"/>
      <c r="M117" s="28"/>
      <c r="N117" s="27"/>
      <c r="O117" s="27"/>
      <c r="P117" s="28"/>
      <c r="Q117" s="28"/>
      <c r="R117" s="28"/>
    </row>
    <row r="118" spans="1:18" ht="35.25">
      <c r="A118" s="23">
        <v>113</v>
      </c>
      <c r="B118" s="24" t="s">
        <v>91</v>
      </c>
      <c r="C118" s="24" t="s">
        <v>364</v>
      </c>
      <c r="D118" s="25">
        <v>313375.74</v>
      </c>
      <c r="E118" s="25">
        <v>3268812.05</v>
      </c>
      <c r="F118" s="25">
        <v>663472.19660000002</v>
      </c>
      <c r="G118" s="26">
        <f t="shared" si="1"/>
        <v>4245659.9866000004</v>
      </c>
      <c r="H118" s="27"/>
      <c r="I118" s="27"/>
      <c r="J118" s="28"/>
      <c r="K118" s="28"/>
      <c r="L118" s="28"/>
      <c r="M118" s="28"/>
      <c r="N118" s="27"/>
      <c r="O118" s="27"/>
      <c r="P118" s="28"/>
      <c r="Q118" s="28"/>
      <c r="R118" s="28"/>
    </row>
    <row r="119" spans="1:18" ht="17.649999999999999">
      <c r="A119" s="23">
        <v>114</v>
      </c>
      <c r="B119" s="24" t="s">
        <v>91</v>
      </c>
      <c r="C119" s="24" t="s">
        <v>366</v>
      </c>
      <c r="D119" s="25">
        <v>386406.45</v>
      </c>
      <c r="E119" s="25">
        <v>4030592.93</v>
      </c>
      <c r="F119" s="25">
        <v>818091.1923</v>
      </c>
      <c r="G119" s="26">
        <f t="shared" si="1"/>
        <v>5235090.5723000001</v>
      </c>
      <c r="H119" s="27"/>
      <c r="I119" s="27"/>
      <c r="J119" s="28"/>
      <c r="K119" s="28"/>
      <c r="L119" s="28"/>
      <c r="M119" s="28"/>
      <c r="N119" s="27"/>
      <c r="O119" s="27"/>
      <c r="P119" s="28"/>
      <c r="Q119" s="28"/>
      <c r="R119" s="28"/>
    </row>
    <row r="120" spans="1:18" ht="17.649999999999999">
      <c r="A120" s="23">
        <v>115</v>
      </c>
      <c r="B120" s="24" t="s">
        <v>91</v>
      </c>
      <c r="C120" s="24" t="s">
        <v>368</v>
      </c>
      <c r="D120" s="25">
        <v>406079.49</v>
      </c>
      <c r="E120" s="25">
        <v>4235801.7699999996</v>
      </c>
      <c r="F120" s="25">
        <v>859742.51859999995</v>
      </c>
      <c r="G120" s="26">
        <f t="shared" si="1"/>
        <v>5501623.7785999998</v>
      </c>
      <c r="H120" s="27"/>
      <c r="I120" s="27"/>
      <c r="J120" s="28"/>
      <c r="K120" s="28"/>
      <c r="L120" s="28"/>
      <c r="M120" s="28"/>
      <c r="N120" s="27"/>
      <c r="O120" s="27"/>
      <c r="P120" s="28"/>
      <c r="Q120" s="28"/>
      <c r="R120" s="28"/>
    </row>
    <row r="121" spans="1:18" ht="17.649999999999999">
      <c r="A121" s="23">
        <v>116</v>
      </c>
      <c r="B121" s="24" t="s">
        <v>91</v>
      </c>
      <c r="C121" s="24" t="s">
        <v>370</v>
      </c>
      <c r="D121" s="25">
        <v>399239.18</v>
      </c>
      <c r="E121" s="25">
        <v>4164450.68</v>
      </c>
      <c r="F121" s="25">
        <v>845260.35730000003</v>
      </c>
      <c r="G121" s="26">
        <f t="shared" si="1"/>
        <v>5408950.2173000006</v>
      </c>
      <c r="H121" s="27"/>
      <c r="I121" s="27"/>
      <c r="J121" s="28"/>
      <c r="K121" s="28"/>
      <c r="L121" s="28"/>
      <c r="M121" s="28"/>
      <c r="N121" s="27"/>
      <c r="O121" s="27"/>
      <c r="P121" s="28"/>
      <c r="Q121" s="28"/>
      <c r="R121" s="28"/>
    </row>
    <row r="122" spans="1:18" ht="17.649999999999999">
      <c r="A122" s="23">
        <v>117</v>
      </c>
      <c r="B122" s="24" t="s">
        <v>91</v>
      </c>
      <c r="C122" s="24" t="s">
        <v>372</v>
      </c>
      <c r="D122" s="25">
        <v>551576.23</v>
      </c>
      <c r="E122" s="25">
        <v>5753473.4699999997</v>
      </c>
      <c r="F122" s="25">
        <v>1167785.0015</v>
      </c>
      <c r="G122" s="26">
        <f t="shared" si="1"/>
        <v>7472834.7014999995</v>
      </c>
      <c r="H122" s="27"/>
      <c r="I122" s="27"/>
      <c r="J122" s="28"/>
      <c r="K122" s="28"/>
      <c r="L122" s="28"/>
      <c r="M122" s="28"/>
      <c r="N122" s="27"/>
      <c r="O122" s="27"/>
      <c r="P122" s="28"/>
      <c r="Q122" s="28"/>
      <c r="R122" s="28"/>
    </row>
    <row r="123" spans="1:18" ht="17.649999999999999">
      <c r="A123" s="23">
        <v>118</v>
      </c>
      <c r="B123" s="24" t="s">
        <v>91</v>
      </c>
      <c r="C123" s="24" t="s">
        <v>374</v>
      </c>
      <c r="D123" s="25">
        <v>509125.48</v>
      </c>
      <c r="E123" s="25">
        <v>5310671.08</v>
      </c>
      <c r="F123" s="25">
        <v>1077909.2084999999</v>
      </c>
      <c r="G123" s="26">
        <f t="shared" si="1"/>
        <v>6897705.7685000002</v>
      </c>
      <c r="H123" s="27"/>
      <c r="I123" s="27"/>
      <c r="J123" s="28"/>
      <c r="K123" s="28"/>
      <c r="L123" s="28"/>
      <c r="M123" s="28"/>
      <c r="N123" s="27"/>
      <c r="O123" s="27"/>
      <c r="P123" s="28"/>
      <c r="Q123" s="28"/>
      <c r="R123" s="28"/>
    </row>
    <row r="124" spans="1:18" ht="17.649999999999999">
      <c r="A124" s="23">
        <v>119</v>
      </c>
      <c r="B124" s="24" t="s">
        <v>92</v>
      </c>
      <c r="C124" s="24" t="s">
        <v>379</v>
      </c>
      <c r="D124" s="25">
        <v>405680.59</v>
      </c>
      <c r="E124" s="25">
        <v>4231640.8600000003</v>
      </c>
      <c r="F124" s="25">
        <v>858897.97840000002</v>
      </c>
      <c r="G124" s="26">
        <f t="shared" si="1"/>
        <v>5496219.4284000006</v>
      </c>
      <c r="H124" s="27"/>
      <c r="I124" s="27"/>
      <c r="J124" s="28"/>
      <c r="K124" s="28"/>
      <c r="L124" s="28"/>
      <c r="M124" s="28"/>
      <c r="N124" s="27"/>
      <c r="O124" s="27"/>
      <c r="P124" s="28"/>
      <c r="Q124" s="28"/>
      <c r="R124" s="28"/>
    </row>
    <row r="125" spans="1:18" ht="17.649999999999999">
      <c r="A125" s="23">
        <v>120</v>
      </c>
      <c r="B125" s="24" t="s">
        <v>92</v>
      </c>
      <c r="C125" s="24" t="s">
        <v>381</v>
      </c>
      <c r="D125" s="25">
        <v>357951.74</v>
      </c>
      <c r="E125" s="25">
        <v>3733782.78</v>
      </c>
      <c r="F125" s="25">
        <v>757847.50789999997</v>
      </c>
      <c r="G125" s="26">
        <f t="shared" si="1"/>
        <v>4849582.0278999992</v>
      </c>
      <c r="H125" s="27"/>
      <c r="I125" s="27"/>
      <c r="J125" s="28"/>
      <c r="K125" s="28"/>
      <c r="L125" s="28"/>
      <c r="M125" s="28"/>
      <c r="N125" s="27"/>
      <c r="O125" s="27"/>
      <c r="P125" s="28"/>
      <c r="Q125" s="28"/>
      <c r="R125" s="28"/>
    </row>
    <row r="126" spans="1:18" ht="17.649999999999999">
      <c r="A126" s="23">
        <v>121</v>
      </c>
      <c r="B126" s="24" t="s">
        <v>92</v>
      </c>
      <c r="C126" s="24" t="s">
        <v>383</v>
      </c>
      <c r="D126" s="25">
        <v>346603.7</v>
      </c>
      <c r="E126" s="25">
        <v>3615411.81</v>
      </c>
      <c r="F126" s="25">
        <v>733821.70109999995</v>
      </c>
      <c r="G126" s="26">
        <f t="shared" si="1"/>
        <v>4695837.2111</v>
      </c>
      <c r="H126" s="27"/>
      <c r="I126" s="27"/>
      <c r="J126" s="28"/>
      <c r="K126" s="28"/>
      <c r="L126" s="28"/>
      <c r="M126" s="28"/>
      <c r="N126" s="27"/>
      <c r="O126" s="27"/>
      <c r="P126" s="28"/>
      <c r="Q126" s="28"/>
      <c r="R126" s="28"/>
    </row>
    <row r="127" spans="1:18" ht="17.649999999999999">
      <c r="A127" s="23">
        <v>122</v>
      </c>
      <c r="B127" s="24" t="s">
        <v>92</v>
      </c>
      <c r="C127" s="24" t="s">
        <v>385</v>
      </c>
      <c r="D127" s="25">
        <v>410894.16</v>
      </c>
      <c r="E127" s="25">
        <v>4286023.45</v>
      </c>
      <c r="F127" s="25">
        <v>869936.03480000002</v>
      </c>
      <c r="G127" s="26">
        <f t="shared" si="1"/>
        <v>5566853.6447999999</v>
      </c>
      <c r="H127" s="27"/>
      <c r="I127" s="27"/>
      <c r="J127" s="28"/>
      <c r="K127" s="28"/>
      <c r="L127" s="28"/>
      <c r="M127" s="28"/>
      <c r="N127" s="27"/>
      <c r="O127" s="27"/>
      <c r="P127" s="28"/>
      <c r="Q127" s="28"/>
      <c r="R127" s="28"/>
    </row>
    <row r="128" spans="1:18" ht="17.649999999999999">
      <c r="A128" s="23">
        <v>123</v>
      </c>
      <c r="B128" s="24" t="s">
        <v>92</v>
      </c>
      <c r="C128" s="24" t="s">
        <v>387</v>
      </c>
      <c r="D128" s="25">
        <v>533276.65</v>
      </c>
      <c r="E128" s="25">
        <v>5562591.1200000001</v>
      </c>
      <c r="F128" s="25">
        <v>1129041.5282000001</v>
      </c>
      <c r="G128" s="26">
        <f t="shared" si="1"/>
        <v>7224909.2982000001</v>
      </c>
      <c r="H128" s="27"/>
      <c r="I128" s="27"/>
      <c r="J128" s="28"/>
      <c r="K128" s="28"/>
      <c r="L128" s="28"/>
      <c r="M128" s="28"/>
      <c r="N128" s="27"/>
      <c r="O128" s="27"/>
      <c r="P128" s="28"/>
      <c r="Q128" s="28"/>
      <c r="R128" s="28"/>
    </row>
    <row r="129" spans="1:18" ht="17.649999999999999">
      <c r="A129" s="23">
        <v>124</v>
      </c>
      <c r="B129" s="24" t="s">
        <v>92</v>
      </c>
      <c r="C129" s="24" t="s">
        <v>389</v>
      </c>
      <c r="D129" s="25">
        <v>435693.7</v>
      </c>
      <c r="E129" s="25">
        <v>4544706.66</v>
      </c>
      <c r="F129" s="25">
        <v>922441.07949999999</v>
      </c>
      <c r="G129" s="26">
        <f t="shared" si="1"/>
        <v>5902841.4395000003</v>
      </c>
      <c r="H129" s="27"/>
      <c r="I129" s="27"/>
      <c r="J129" s="28"/>
      <c r="K129" s="28"/>
      <c r="L129" s="28"/>
      <c r="M129" s="28"/>
      <c r="N129" s="27"/>
      <c r="O129" s="27"/>
      <c r="P129" s="28"/>
      <c r="Q129" s="28"/>
      <c r="R129" s="28"/>
    </row>
    <row r="130" spans="1:18" ht="17.649999999999999">
      <c r="A130" s="23">
        <v>125</v>
      </c>
      <c r="B130" s="24" t="s">
        <v>92</v>
      </c>
      <c r="C130" s="24" t="s">
        <v>391</v>
      </c>
      <c r="D130" s="25">
        <v>413296.15</v>
      </c>
      <c r="E130" s="25">
        <v>4311078.51</v>
      </c>
      <c r="F130" s="25">
        <v>875021.47230000002</v>
      </c>
      <c r="G130" s="26">
        <f t="shared" si="1"/>
        <v>5599396.1323000006</v>
      </c>
      <c r="H130" s="27"/>
      <c r="I130" s="27"/>
      <c r="J130" s="28"/>
      <c r="K130" s="28"/>
      <c r="L130" s="28"/>
      <c r="M130" s="28"/>
      <c r="N130" s="27"/>
      <c r="O130" s="27"/>
      <c r="P130" s="28"/>
      <c r="Q130" s="28"/>
      <c r="R130" s="28"/>
    </row>
    <row r="131" spans="1:18" ht="17.649999999999999">
      <c r="A131" s="23">
        <v>126</v>
      </c>
      <c r="B131" s="24" t="s">
        <v>92</v>
      </c>
      <c r="C131" s="24" t="s">
        <v>393</v>
      </c>
      <c r="D131" s="25">
        <v>355167.08</v>
      </c>
      <c r="E131" s="25">
        <v>3704736.11</v>
      </c>
      <c r="F131" s="25">
        <v>751951.89150000003</v>
      </c>
      <c r="G131" s="26">
        <f t="shared" si="1"/>
        <v>4811855.0815000003</v>
      </c>
      <c r="H131" s="27"/>
      <c r="I131" s="27"/>
      <c r="J131" s="28"/>
      <c r="K131" s="28"/>
      <c r="L131" s="28"/>
      <c r="M131" s="28"/>
      <c r="N131" s="27"/>
      <c r="O131" s="27"/>
      <c r="P131" s="28"/>
      <c r="Q131" s="28"/>
      <c r="R131" s="28"/>
    </row>
    <row r="132" spans="1:18" ht="17.649999999999999">
      <c r="A132" s="23">
        <v>127</v>
      </c>
      <c r="B132" s="24" t="s">
        <v>92</v>
      </c>
      <c r="C132" s="24" t="s">
        <v>395</v>
      </c>
      <c r="D132" s="25">
        <v>448667.63</v>
      </c>
      <c r="E132" s="25">
        <v>4680037.22</v>
      </c>
      <c r="F132" s="25">
        <v>949909.18130000005</v>
      </c>
      <c r="G132" s="26">
        <f t="shared" si="1"/>
        <v>6078614.0312999999</v>
      </c>
      <c r="H132" s="27"/>
      <c r="I132" s="27"/>
      <c r="J132" s="28"/>
      <c r="K132" s="28"/>
      <c r="L132" s="28"/>
      <c r="M132" s="28"/>
      <c r="N132" s="27"/>
      <c r="O132" s="27"/>
      <c r="P132" s="28"/>
      <c r="Q132" s="28"/>
      <c r="R132" s="28"/>
    </row>
    <row r="133" spans="1:18" ht="17.649999999999999">
      <c r="A133" s="23">
        <v>128</v>
      </c>
      <c r="B133" s="24" t="s">
        <v>92</v>
      </c>
      <c r="C133" s="24" t="s">
        <v>397</v>
      </c>
      <c r="D133" s="25">
        <v>424490.44</v>
      </c>
      <c r="E133" s="25">
        <v>4427845.76</v>
      </c>
      <c r="F133" s="25">
        <v>898721.77150000003</v>
      </c>
      <c r="G133" s="26">
        <f t="shared" si="1"/>
        <v>5751057.9715</v>
      </c>
      <c r="H133" s="27"/>
      <c r="I133" s="27"/>
      <c r="J133" s="28"/>
      <c r="K133" s="28"/>
      <c r="L133" s="28"/>
      <c r="M133" s="28"/>
      <c r="N133" s="27"/>
      <c r="O133" s="27"/>
      <c r="P133" s="28"/>
      <c r="Q133" s="28"/>
      <c r="R133" s="28"/>
    </row>
    <row r="134" spans="1:18" ht="17.649999999999999">
      <c r="A134" s="23">
        <v>129</v>
      </c>
      <c r="B134" s="24" t="s">
        <v>92</v>
      </c>
      <c r="C134" s="24" t="s">
        <v>399</v>
      </c>
      <c r="D134" s="25">
        <v>486013.22</v>
      </c>
      <c r="E134" s="25">
        <v>5069587.88</v>
      </c>
      <c r="F134" s="25">
        <v>1028976.448</v>
      </c>
      <c r="G134" s="26">
        <f t="shared" ref="G134:G197" si="2">D134+E134+F134</f>
        <v>6584577.5479999995</v>
      </c>
      <c r="H134" s="27"/>
      <c r="I134" s="27"/>
      <c r="J134" s="28"/>
      <c r="K134" s="28"/>
      <c r="L134" s="28"/>
      <c r="M134" s="28"/>
      <c r="N134" s="27"/>
      <c r="O134" s="27"/>
      <c r="P134" s="28"/>
      <c r="Q134" s="28"/>
      <c r="R134" s="28"/>
    </row>
    <row r="135" spans="1:18" ht="17.649999999999999">
      <c r="A135" s="23">
        <v>130</v>
      </c>
      <c r="B135" s="24" t="s">
        <v>92</v>
      </c>
      <c r="C135" s="24" t="s">
        <v>401</v>
      </c>
      <c r="D135" s="25">
        <v>373229.53</v>
      </c>
      <c r="E135" s="25">
        <v>3893144.89</v>
      </c>
      <c r="F135" s="25">
        <v>790193.30440000002</v>
      </c>
      <c r="G135" s="26">
        <f t="shared" si="2"/>
        <v>5056567.7243999997</v>
      </c>
      <c r="H135" s="27"/>
      <c r="I135" s="27"/>
      <c r="J135" s="28"/>
      <c r="K135" s="28"/>
      <c r="L135" s="28"/>
      <c r="M135" s="28"/>
      <c r="N135" s="27"/>
      <c r="O135" s="27"/>
      <c r="P135" s="28"/>
      <c r="Q135" s="28"/>
      <c r="R135" s="28"/>
    </row>
    <row r="136" spans="1:18" ht="17.649999999999999">
      <c r="A136" s="23">
        <v>131</v>
      </c>
      <c r="B136" s="24" t="s">
        <v>92</v>
      </c>
      <c r="C136" s="24" t="s">
        <v>403</v>
      </c>
      <c r="D136" s="25">
        <v>448336.39</v>
      </c>
      <c r="E136" s="25">
        <v>4676582.07</v>
      </c>
      <c r="F136" s="25">
        <v>949207.88789999997</v>
      </c>
      <c r="G136" s="26">
        <f t="shared" si="2"/>
        <v>6074126.3478999995</v>
      </c>
      <c r="H136" s="27"/>
      <c r="I136" s="27"/>
      <c r="J136" s="28"/>
      <c r="K136" s="28"/>
      <c r="L136" s="28"/>
      <c r="M136" s="28"/>
      <c r="N136" s="27"/>
      <c r="O136" s="27"/>
      <c r="P136" s="28"/>
      <c r="Q136" s="28"/>
      <c r="R136" s="28"/>
    </row>
    <row r="137" spans="1:18" ht="17.649999999999999">
      <c r="A137" s="23">
        <v>132</v>
      </c>
      <c r="B137" s="24" t="s">
        <v>92</v>
      </c>
      <c r="C137" s="24" t="s">
        <v>405</v>
      </c>
      <c r="D137" s="25">
        <v>331187.88</v>
      </c>
      <c r="E137" s="25">
        <v>3454609.89</v>
      </c>
      <c r="F137" s="25">
        <v>701183.66489999997</v>
      </c>
      <c r="G137" s="26">
        <f t="shared" si="2"/>
        <v>4486981.4348999998</v>
      </c>
      <c r="H137" s="27"/>
      <c r="I137" s="27"/>
      <c r="J137" s="28"/>
      <c r="K137" s="28"/>
      <c r="L137" s="28"/>
      <c r="M137" s="28"/>
      <c r="N137" s="27"/>
      <c r="O137" s="27"/>
      <c r="P137" s="28"/>
      <c r="Q137" s="28"/>
      <c r="R137" s="28"/>
    </row>
    <row r="138" spans="1:18" ht="17.649999999999999">
      <c r="A138" s="23">
        <v>133</v>
      </c>
      <c r="B138" s="24" t="s">
        <v>92</v>
      </c>
      <c r="C138" s="24" t="s">
        <v>407</v>
      </c>
      <c r="D138" s="25">
        <v>347919.88</v>
      </c>
      <c r="E138" s="25">
        <v>3629140.79</v>
      </c>
      <c r="F138" s="25">
        <v>736608.27690000006</v>
      </c>
      <c r="G138" s="26">
        <f t="shared" si="2"/>
        <v>4713668.9468999999</v>
      </c>
      <c r="H138" s="27"/>
      <c r="I138" s="27"/>
      <c r="J138" s="28"/>
      <c r="K138" s="28"/>
      <c r="L138" s="28"/>
      <c r="M138" s="28"/>
      <c r="N138" s="27"/>
      <c r="O138" s="27"/>
      <c r="P138" s="28"/>
      <c r="Q138" s="28"/>
      <c r="R138" s="28"/>
    </row>
    <row r="139" spans="1:18" ht="17.649999999999999">
      <c r="A139" s="23">
        <v>134</v>
      </c>
      <c r="B139" s="24" t="s">
        <v>92</v>
      </c>
      <c r="C139" s="24" t="s">
        <v>409</v>
      </c>
      <c r="D139" s="25">
        <v>317345.36</v>
      </c>
      <c r="E139" s="25">
        <v>3310218.98</v>
      </c>
      <c r="F139" s="25">
        <v>671876.58019999997</v>
      </c>
      <c r="G139" s="26">
        <f t="shared" si="2"/>
        <v>4299440.9201999996</v>
      </c>
      <c r="H139" s="27"/>
      <c r="I139" s="27"/>
      <c r="J139" s="28"/>
      <c r="K139" s="28"/>
      <c r="L139" s="28"/>
      <c r="M139" s="28"/>
      <c r="N139" s="27"/>
      <c r="O139" s="27"/>
      <c r="P139" s="28"/>
      <c r="Q139" s="28"/>
      <c r="R139" s="28"/>
    </row>
    <row r="140" spans="1:18" ht="17.649999999999999">
      <c r="A140" s="23">
        <v>135</v>
      </c>
      <c r="B140" s="24" t="s">
        <v>92</v>
      </c>
      <c r="C140" s="24" t="s">
        <v>411</v>
      </c>
      <c r="D140" s="25">
        <v>401538.83</v>
      </c>
      <c r="E140" s="25">
        <v>4188438.24</v>
      </c>
      <c r="F140" s="25">
        <v>850129.12390000001</v>
      </c>
      <c r="G140" s="26">
        <f t="shared" si="2"/>
        <v>5440106.1939000003</v>
      </c>
      <c r="H140" s="27"/>
      <c r="I140" s="27"/>
      <c r="J140" s="28"/>
      <c r="K140" s="28"/>
      <c r="L140" s="28"/>
      <c r="M140" s="28"/>
      <c r="N140" s="27"/>
      <c r="O140" s="27"/>
      <c r="P140" s="28"/>
      <c r="Q140" s="28"/>
      <c r="R140" s="28"/>
    </row>
    <row r="141" spans="1:18" ht="17.649999999999999">
      <c r="A141" s="23">
        <v>136</v>
      </c>
      <c r="B141" s="24" t="s">
        <v>92</v>
      </c>
      <c r="C141" s="24" t="s">
        <v>413</v>
      </c>
      <c r="D141" s="25">
        <v>376282.68</v>
      </c>
      <c r="E141" s="25">
        <v>3924992.24</v>
      </c>
      <c r="F141" s="25">
        <v>796657.37549999997</v>
      </c>
      <c r="G141" s="26">
        <f t="shared" si="2"/>
        <v>5097932.2955</v>
      </c>
      <c r="H141" s="27"/>
      <c r="I141" s="27"/>
      <c r="J141" s="28"/>
      <c r="K141" s="28"/>
      <c r="L141" s="28"/>
      <c r="M141" s="28"/>
      <c r="N141" s="27"/>
      <c r="O141" s="27"/>
      <c r="P141" s="28"/>
      <c r="Q141" s="28"/>
      <c r="R141" s="28"/>
    </row>
    <row r="142" spans="1:18" ht="17.649999999999999">
      <c r="A142" s="23">
        <v>137</v>
      </c>
      <c r="B142" s="24" t="s">
        <v>92</v>
      </c>
      <c r="C142" s="24" t="s">
        <v>415</v>
      </c>
      <c r="D142" s="25">
        <v>440696.28</v>
      </c>
      <c r="E142" s="25">
        <v>4596888.4000000004</v>
      </c>
      <c r="F142" s="25">
        <v>933032.42940000002</v>
      </c>
      <c r="G142" s="26">
        <f t="shared" si="2"/>
        <v>5970617.1094000004</v>
      </c>
      <c r="H142" s="27"/>
      <c r="I142" s="27"/>
      <c r="J142" s="28"/>
      <c r="K142" s="28"/>
      <c r="L142" s="28"/>
      <c r="M142" s="28"/>
      <c r="N142" s="27"/>
      <c r="O142" s="27"/>
      <c r="P142" s="28"/>
      <c r="Q142" s="28"/>
      <c r="R142" s="28"/>
    </row>
    <row r="143" spans="1:18" ht="17.649999999999999">
      <c r="A143" s="23">
        <v>138</v>
      </c>
      <c r="B143" s="24" t="s">
        <v>92</v>
      </c>
      <c r="C143" s="24" t="s">
        <v>417</v>
      </c>
      <c r="D143" s="25">
        <v>305436.78999999998</v>
      </c>
      <c r="E143" s="25">
        <v>3186001.07</v>
      </c>
      <c r="F143" s="25">
        <v>646664.01729999995</v>
      </c>
      <c r="G143" s="26">
        <f t="shared" si="2"/>
        <v>4138101.8772999998</v>
      </c>
      <c r="H143" s="27"/>
      <c r="I143" s="27"/>
      <c r="J143" s="28"/>
      <c r="K143" s="28"/>
      <c r="L143" s="28"/>
      <c r="M143" s="28"/>
      <c r="N143" s="27"/>
      <c r="O143" s="27"/>
      <c r="P143" s="28"/>
      <c r="Q143" s="28"/>
      <c r="R143" s="28"/>
    </row>
    <row r="144" spans="1:18" ht="17.649999999999999">
      <c r="A144" s="23">
        <v>139</v>
      </c>
      <c r="B144" s="24" t="s">
        <v>92</v>
      </c>
      <c r="C144" s="24" t="s">
        <v>419</v>
      </c>
      <c r="D144" s="25">
        <v>417630.85</v>
      </c>
      <c r="E144" s="25">
        <v>4356293.62</v>
      </c>
      <c r="F144" s="25">
        <v>884198.80220000003</v>
      </c>
      <c r="G144" s="26">
        <f t="shared" si="2"/>
        <v>5658123.2721999995</v>
      </c>
      <c r="H144" s="27"/>
      <c r="I144" s="27"/>
      <c r="J144" s="28"/>
      <c r="K144" s="28"/>
      <c r="L144" s="28"/>
      <c r="M144" s="28"/>
      <c r="N144" s="27"/>
      <c r="O144" s="27"/>
      <c r="P144" s="28"/>
      <c r="Q144" s="28"/>
      <c r="R144" s="28"/>
    </row>
    <row r="145" spans="1:18" ht="17.649999999999999">
      <c r="A145" s="23">
        <v>140</v>
      </c>
      <c r="B145" s="24" t="s">
        <v>92</v>
      </c>
      <c r="C145" s="24" t="s">
        <v>421</v>
      </c>
      <c r="D145" s="25">
        <v>406654.73</v>
      </c>
      <c r="E145" s="25">
        <v>4241802.08</v>
      </c>
      <c r="F145" s="25">
        <v>860960.40560000006</v>
      </c>
      <c r="G145" s="26">
        <f t="shared" si="2"/>
        <v>5509417.2156000007</v>
      </c>
      <c r="H145" s="27"/>
      <c r="I145" s="27"/>
      <c r="J145" s="28"/>
      <c r="K145" s="28"/>
      <c r="L145" s="28"/>
      <c r="M145" s="28"/>
      <c r="N145" s="27"/>
      <c r="O145" s="27"/>
      <c r="P145" s="28"/>
      <c r="Q145" s="28"/>
      <c r="R145" s="28"/>
    </row>
    <row r="146" spans="1:18" ht="17.649999999999999">
      <c r="A146" s="23">
        <v>141</v>
      </c>
      <c r="B146" s="24" t="s">
        <v>92</v>
      </c>
      <c r="C146" s="24" t="s">
        <v>423</v>
      </c>
      <c r="D146" s="25">
        <v>430719.31</v>
      </c>
      <c r="E146" s="25">
        <v>4492818.97</v>
      </c>
      <c r="F146" s="25">
        <v>911909.41099999996</v>
      </c>
      <c r="G146" s="26">
        <f t="shared" si="2"/>
        <v>5835447.6909999996</v>
      </c>
      <c r="H146" s="27"/>
      <c r="I146" s="27"/>
      <c r="J146" s="28"/>
      <c r="K146" s="28"/>
      <c r="L146" s="28"/>
      <c r="M146" s="28"/>
      <c r="N146" s="27"/>
      <c r="O146" s="27"/>
      <c r="P146" s="28"/>
      <c r="Q146" s="28"/>
      <c r="R146" s="28"/>
    </row>
    <row r="147" spans="1:18" ht="17.649999999999999">
      <c r="A147" s="23">
        <v>142</v>
      </c>
      <c r="B147" s="24" t="s">
        <v>93</v>
      </c>
      <c r="C147" s="24" t="s">
        <v>427</v>
      </c>
      <c r="D147" s="25">
        <v>361717.97</v>
      </c>
      <c r="E147" s="25">
        <v>3773068.17</v>
      </c>
      <c r="F147" s="25">
        <v>765821.28099999996</v>
      </c>
      <c r="G147" s="26">
        <f t="shared" si="2"/>
        <v>4900607.4210000001</v>
      </c>
      <c r="H147" s="27"/>
      <c r="I147" s="27"/>
      <c r="J147" s="28"/>
      <c r="K147" s="28"/>
      <c r="L147" s="28"/>
      <c r="M147" s="28"/>
      <c r="N147" s="27"/>
      <c r="O147" s="27"/>
      <c r="P147" s="28"/>
      <c r="Q147" s="28"/>
      <c r="R147" s="28"/>
    </row>
    <row r="148" spans="1:18" ht="17.649999999999999">
      <c r="A148" s="23">
        <v>143</v>
      </c>
      <c r="B148" s="24" t="s">
        <v>93</v>
      </c>
      <c r="C148" s="24" t="s">
        <v>429</v>
      </c>
      <c r="D148" s="25">
        <v>349768.06</v>
      </c>
      <c r="E148" s="25">
        <v>3648419.09</v>
      </c>
      <c r="F148" s="25">
        <v>740521.20189999999</v>
      </c>
      <c r="G148" s="26">
        <f t="shared" si="2"/>
        <v>4738708.3519000001</v>
      </c>
      <c r="H148" s="27"/>
      <c r="I148" s="27"/>
      <c r="J148" s="28"/>
      <c r="K148" s="28"/>
      <c r="L148" s="28"/>
      <c r="M148" s="28"/>
      <c r="N148" s="27"/>
      <c r="O148" s="27"/>
      <c r="P148" s="28"/>
      <c r="Q148" s="28"/>
      <c r="R148" s="28"/>
    </row>
    <row r="149" spans="1:18" ht="17.649999999999999">
      <c r="A149" s="23">
        <v>144</v>
      </c>
      <c r="B149" s="24" t="s">
        <v>93</v>
      </c>
      <c r="C149" s="24" t="s">
        <v>431</v>
      </c>
      <c r="D149" s="25">
        <v>490709.43</v>
      </c>
      <c r="E149" s="25">
        <v>5118573.93</v>
      </c>
      <c r="F149" s="25">
        <v>1038919.166</v>
      </c>
      <c r="G149" s="26">
        <f t="shared" si="2"/>
        <v>6648202.5259999996</v>
      </c>
      <c r="H149" s="27"/>
      <c r="I149" s="27"/>
      <c r="J149" s="28"/>
      <c r="K149" s="28"/>
      <c r="L149" s="28"/>
      <c r="M149" s="28"/>
      <c r="N149" s="27"/>
      <c r="O149" s="27"/>
      <c r="P149" s="28"/>
      <c r="Q149" s="28"/>
      <c r="R149" s="28"/>
    </row>
    <row r="150" spans="1:18" ht="17.649999999999999">
      <c r="A150" s="23">
        <v>145</v>
      </c>
      <c r="B150" s="24" t="s">
        <v>93</v>
      </c>
      <c r="C150" s="24" t="s">
        <v>433</v>
      </c>
      <c r="D150" s="25">
        <v>282663.46999999997</v>
      </c>
      <c r="E150" s="25">
        <v>2948453.35</v>
      </c>
      <c r="F150" s="25">
        <v>598448.85329999996</v>
      </c>
      <c r="G150" s="26">
        <f t="shared" si="2"/>
        <v>3829565.6733000004</v>
      </c>
      <c r="H150" s="27"/>
      <c r="I150" s="27"/>
      <c r="J150" s="28"/>
      <c r="K150" s="28"/>
      <c r="L150" s="28"/>
      <c r="M150" s="28"/>
      <c r="N150" s="27"/>
      <c r="O150" s="27"/>
      <c r="P150" s="28"/>
      <c r="Q150" s="28"/>
      <c r="R150" s="28"/>
    </row>
    <row r="151" spans="1:18" ht="17.649999999999999">
      <c r="A151" s="23">
        <v>146</v>
      </c>
      <c r="B151" s="24" t="s">
        <v>93</v>
      </c>
      <c r="C151" s="24" t="s">
        <v>435</v>
      </c>
      <c r="D151" s="25">
        <v>391229.21</v>
      </c>
      <c r="E151" s="25">
        <v>4080898.98</v>
      </c>
      <c r="F151" s="25">
        <v>828301.83310000005</v>
      </c>
      <c r="G151" s="26">
        <f t="shared" si="2"/>
        <v>5300430.0231000008</v>
      </c>
      <c r="H151" s="27"/>
      <c r="I151" s="27"/>
      <c r="J151" s="28"/>
      <c r="K151" s="28"/>
      <c r="L151" s="28"/>
      <c r="M151" s="28"/>
      <c r="N151" s="27"/>
      <c r="O151" s="27"/>
      <c r="P151" s="28"/>
      <c r="Q151" s="28"/>
      <c r="R151" s="28"/>
    </row>
    <row r="152" spans="1:18" ht="17.649999999999999">
      <c r="A152" s="23">
        <v>147</v>
      </c>
      <c r="B152" s="24" t="s">
        <v>93</v>
      </c>
      <c r="C152" s="24" t="s">
        <v>437</v>
      </c>
      <c r="D152" s="25">
        <v>281839.73</v>
      </c>
      <c r="E152" s="25">
        <v>2939860.96</v>
      </c>
      <c r="F152" s="25">
        <v>596704.85140000004</v>
      </c>
      <c r="G152" s="26">
        <f t="shared" si="2"/>
        <v>3818405.5414</v>
      </c>
      <c r="H152" s="27"/>
      <c r="I152" s="27"/>
      <c r="J152" s="28"/>
      <c r="K152" s="28"/>
      <c r="L152" s="28"/>
      <c r="M152" s="28"/>
      <c r="N152" s="27"/>
      <c r="O152" s="27"/>
      <c r="P152" s="28"/>
      <c r="Q152" s="28"/>
      <c r="R152" s="28"/>
    </row>
    <row r="153" spans="1:18" ht="17.649999999999999">
      <c r="A153" s="23">
        <v>148</v>
      </c>
      <c r="B153" s="24" t="s">
        <v>93</v>
      </c>
      <c r="C153" s="24" t="s">
        <v>439</v>
      </c>
      <c r="D153" s="25">
        <v>472454.83</v>
      </c>
      <c r="E153" s="25">
        <v>4928160.76</v>
      </c>
      <c r="F153" s="25">
        <v>1000270.9242</v>
      </c>
      <c r="G153" s="26">
        <f t="shared" si="2"/>
        <v>6400886.5142000001</v>
      </c>
      <c r="H153" s="27"/>
      <c r="I153" s="27"/>
      <c r="J153" s="28"/>
      <c r="K153" s="28"/>
      <c r="L153" s="28"/>
      <c r="M153" s="28"/>
      <c r="N153" s="27"/>
      <c r="O153" s="27"/>
      <c r="P153" s="28"/>
      <c r="Q153" s="28"/>
      <c r="R153" s="28"/>
    </row>
    <row r="154" spans="1:18" ht="17.649999999999999">
      <c r="A154" s="23">
        <v>149</v>
      </c>
      <c r="B154" s="24" t="s">
        <v>93</v>
      </c>
      <c r="C154" s="24" t="s">
        <v>441</v>
      </c>
      <c r="D154" s="25">
        <v>312654.32</v>
      </c>
      <c r="E154" s="25">
        <v>3261286.94</v>
      </c>
      <c r="F154" s="25">
        <v>661944.82189999998</v>
      </c>
      <c r="G154" s="26">
        <f t="shared" si="2"/>
        <v>4235886.0818999996</v>
      </c>
      <c r="H154" s="27"/>
      <c r="I154" s="27"/>
      <c r="J154" s="28"/>
      <c r="K154" s="28"/>
      <c r="L154" s="28"/>
      <c r="M154" s="28"/>
      <c r="N154" s="27"/>
      <c r="O154" s="27"/>
      <c r="P154" s="28"/>
      <c r="Q154" s="28"/>
      <c r="R154" s="28"/>
    </row>
    <row r="155" spans="1:18" ht="17.649999999999999">
      <c r="A155" s="23">
        <v>150</v>
      </c>
      <c r="B155" s="24" t="s">
        <v>93</v>
      </c>
      <c r="C155" s="24" t="s">
        <v>443</v>
      </c>
      <c r="D155" s="25">
        <v>371324.42</v>
      </c>
      <c r="E155" s="25">
        <v>3873272.77</v>
      </c>
      <c r="F155" s="25">
        <v>786159.85069999995</v>
      </c>
      <c r="G155" s="26">
        <f t="shared" si="2"/>
        <v>5030757.0407000007</v>
      </c>
      <c r="H155" s="27"/>
      <c r="I155" s="27"/>
      <c r="J155" s="28"/>
      <c r="K155" s="28"/>
      <c r="L155" s="28"/>
      <c r="M155" s="28"/>
      <c r="N155" s="27"/>
      <c r="O155" s="27"/>
      <c r="P155" s="28"/>
      <c r="Q155" s="28"/>
      <c r="R155" s="28"/>
    </row>
    <row r="156" spans="1:18" ht="17.649999999999999">
      <c r="A156" s="23">
        <v>151</v>
      </c>
      <c r="B156" s="24" t="s">
        <v>93</v>
      </c>
      <c r="C156" s="24" t="s">
        <v>445</v>
      </c>
      <c r="D156" s="25">
        <v>316502.84000000003</v>
      </c>
      <c r="E156" s="25">
        <v>3301430.73</v>
      </c>
      <c r="F156" s="25">
        <v>670092.82559999998</v>
      </c>
      <c r="G156" s="26">
        <f t="shared" si="2"/>
        <v>4288026.3955999995</v>
      </c>
      <c r="H156" s="27"/>
      <c r="I156" s="27"/>
      <c r="J156" s="28"/>
      <c r="K156" s="28"/>
      <c r="L156" s="28"/>
      <c r="M156" s="28"/>
      <c r="N156" s="27"/>
      <c r="O156" s="27"/>
      <c r="P156" s="28"/>
      <c r="Q156" s="28"/>
      <c r="R156" s="28"/>
    </row>
    <row r="157" spans="1:18" ht="17.649999999999999">
      <c r="A157" s="23">
        <v>152</v>
      </c>
      <c r="B157" s="24" t="s">
        <v>93</v>
      </c>
      <c r="C157" s="24" t="s">
        <v>447</v>
      </c>
      <c r="D157" s="25">
        <v>456016.53</v>
      </c>
      <c r="E157" s="25">
        <v>4756693.38</v>
      </c>
      <c r="F157" s="25">
        <v>965468.11450000003</v>
      </c>
      <c r="G157" s="26">
        <f t="shared" si="2"/>
        <v>6178178.0245000003</v>
      </c>
      <c r="H157" s="27"/>
      <c r="I157" s="27"/>
      <c r="J157" s="28"/>
      <c r="K157" s="28"/>
      <c r="L157" s="28"/>
      <c r="M157" s="28"/>
      <c r="N157" s="27"/>
      <c r="O157" s="27"/>
      <c r="P157" s="28"/>
      <c r="Q157" s="28"/>
      <c r="R157" s="28"/>
    </row>
    <row r="158" spans="1:18" ht="17.649999999999999">
      <c r="A158" s="23">
        <v>153</v>
      </c>
      <c r="B158" s="24" t="s">
        <v>93</v>
      </c>
      <c r="C158" s="24" t="s">
        <v>449</v>
      </c>
      <c r="D158" s="25">
        <v>322958.19</v>
      </c>
      <c r="E158" s="25">
        <v>3368766.21</v>
      </c>
      <c r="F158" s="25">
        <v>683759.93689999997</v>
      </c>
      <c r="G158" s="26">
        <f t="shared" si="2"/>
        <v>4375484.3368999995</v>
      </c>
      <c r="H158" s="27"/>
      <c r="I158" s="27"/>
      <c r="J158" s="28"/>
      <c r="K158" s="28"/>
      <c r="L158" s="28"/>
      <c r="M158" s="28"/>
      <c r="N158" s="27"/>
      <c r="O158" s="27"/>
      <c r="P158" s="28"/>
      <c r="Q158" s="28"/>
      <c r="R158" s="28"/>
    </row>
    <row r="159" spans="1:18" ht="17.649999999999999">
      <c r="A159" s="23">
        <v>154</v>
      </c>
      <c r="B159" s="24" t="s">
        <v>93</v>
      </c>
      <c r="C159" s="24" t="s">
        <v>451</v>
      </c>
      <c r="D159" s="25">
        <v>372618.53</v>
      </c>
      <c r="E159" s="25">
        <v>3886771.56</v>
      </c>
      <c r="F159" s="25">
        <v>788899.70669999998</v>
      </c>
      <c r="G159" s="26">
        <f t="shared" si="2"/>
        <v>5048289.7966999998</v>
      </c>
      <c r="H159" s="27"/>
      <c r="I159" s="27"/>
      <c r="J159" s="28"/>
      <c r="K159" s="28"/>
      <c r="L159" s="28"/>
      <c r="M159" s="28"/>
      <c r="N159" s="27"/>
      <c r="O159" s="27"/>
      <c r="P159" s="28"/>
      <c r="Q159" s="28"/>
      <c r="R159" s="28"/>
    </row>
    <row r="160" spans="1:18" ht="17.649999999999999">
      <c r="A160" s="23">
        <v>155</v>
      </c>
      <c r="B160" s="24" t="s">
        <v>93</v>
      </c>
      <c r="C160" s="24" t="s">
        <v>453</v>
      </c>
      <c r="D160" s="25">
        <v>329375.35999999999</v>
      </c>
      <c r="E160" s="25">
        <v>3435703.55</v>
      </c>
      <c r="F160" s="25">
        <v>697346.23670000001</v>
      </c>
      <c r="G160" s="26">
        <f t="shared" si="2"/>
        <v>4462425.1466999995</v>
      </c>
      <c r="H160" s="27"/>
      <c r="I160" s="27"/>
      <c r="J160" s="28"/>
      <c r="K160" s="28"/>
      <c r="L160" s="28"/>
      <c r="M160" s="28"/>
      <c r="N160" s="27"/>
      <c r="O160" s="27"/>
      <c r="P160" s="28"/>
      <c r="Q160" s="28"/>
      <c r="R160" s="28"/>
    </row>
    <row r="161" spans="1:18" ht="17.649999999999999">
      <c r="A161" s="23">
        <v>156</v>
      </c>
      <c r="B161" s="24" t="s">
        <v>93</v>
      </c>
      <c r="C161" s="24" t="s">
        <v>455</v>
      </c>
      <c r="D161" s="25">
        <v>303117.40999999997</v>
      </c>
      <c r="E161" s="25">
        <v>3161807.72</v>
      </c>
      <c r="F161" s="25">
        <v>641753.48100000003</v>
      </c>
      <c r="G161" s="26">
        <f t="shared" si="2"/>
        <v>4106678.6110000005</v>
      </c>
      <c r="H161" s="27"/>
      <c r="I161" s="27"/>
      <c r="J161" s="28"/>
      <c r="K161" s="28"/>
      <c r="L161" s="28"/>
      <c r="M161" s="28"/>
      <c r="N161" s="27"/>
      <c r="O161" s="27"/>
      <c r="P161" s="28"/>
      <c r="Q161" s="28"/>
      <c r="R161" s="28"/>
    </row>
    <row r="162" spans="1:18" ht="17.649999999999999">
      <c r="A162" s="23">
        <v>157</v>
      </c>
      <c r="B162" s="24" t="s">
        <v>93</v>
      </c>
      <c r="C162" s="24" t="s">
        <v>457</v>
      </c>
      <c r="D162" s="25">
        <v>444151.85</v>
      </c>
      <c r="E162" s="25">
        <v>4632933.29</v>
      </c>
      <c r="F162" s="25">
        <v>940348.47530000005</v>
      </c>
      <c r="G162" s="26">
        <f t="shared" si="2"/>
        <v>6017433.6152999997</v>
      </c>
      <c r="H162" s="27"/>
      <c r="I162" s="27"/>
      <c r="J162" s="28"/>
      <c r="K162" s="28"/>
      <c r="L162" s="28"/>
      <c r="M162" s="28"/>
      <c r="N162" s="27"/>
      <c r="O162" s="27"/>
      <c r="P162" s="28"/>
      <c r="Q162" s="28"/>
      <c r="R162" s="28"/>
    </row>
    <row r="163" spans="1:18" ht="17.649999999999999">
      <c r="A163" s="23">
        <v>158</v>
      </c>
      <c r="B163" s="24" t="s">
        <v>93</v>
      </c>
      <c r="C163" s="24" t="s">
        <v>459</v>
      </c>
      <c r="D163" s="25">
        <v>457743.63</v>
      </c>
      <c r="E163" s="25">
        <v>4774708.71</v>
      </c>
      <c r="F163" s="25">
        <v>969124.69429999997</v>
      </c>
      <c r="G163" s="26">
        <f t="shared" si="2"/>
        <v>6201577.0342999995</v>
      </c>
      <c r="H163" s="27"/>
      <c r="I163" s="27"/>
      <c r="J163" s="28"/>
      <c r="K163" s="28"/>
      <c r="L163" s="28"/>
      <c r="M163" s="28"/>
      <c r="N163" s="27"/>
      <c r="O163" s="27"/>
      <c r="P163" s="28"/>
      <c r="Q163" s="28"/>
      <c r="R163" s="28"/>
    </row>
    <row r="164" spans="1:18" ht="17.649999999999999">
      <c r="A164" s="23">
        <v>159</v>
      </c>
      <c r="B164" s="24" t="s">
        <v>93</v>
      </c>
      <c r="C164" s="24" t="s">
        <v>461</v>
      </c>
      <c r="D164" s="25">
        <v>254871.88</v>
      </c>
      <c r="E164" s="25">
        <v>2658560.15</v>
      </c>
      <c r="F164" s="25">
        <v>539609.10419999994</v>
      </c>
      <c r="G164" s="26">
        <f t="shared" si="2"/>
        <v>3453041.1341999997</v>
      </c>
      <c r="H164" s="27"/>
      <c r="I164" s="27"/>
      <c r="J164" s="28"/>
      <c r="K164" s="28"/>
      <c r="L164" s="28"/>
      <c r="M164" s="28"/>
      <c r="N164" s="27"/>
      <c r="O164" s="27"/>
      <c r="P164" s="28"/>
      <c r="Q164" s="28"/>
      <c r="R164" s="28"/>
    </row>
    <row r="165" spans="1:18" ht="17.649999999999999">
      <c r="A165" s="23">
        <v>160</v>
      </c>
      <c r="B165" s="24" t="s">
        <v>93</v>
      </c>
      <c r="C165" s="24" t="s">
        <v>463</v>
      </c>
      <c r="D165" s="25">
        <v>343361.99</v>
      </c>
      <c r="E165" s="25">
        <v>3581597.63</v>
      </c>
      <c r="F165" s="25">
        <v>726958.42240000004</v>
      </c>
      <c r="G165" s="26">
        <f t="shared" si="2"/>
        <v>4651918.0424000006</v>
      </c>
      <c r="H165" s="27"/>
      <c r="I165" s="27"/>
      <c r="J165" s="28"/>
      <c r="K165" s="28"/>
      <c r="L165" s="28"/>
      <c r="M165" s="28"/>
      <c r="N165" s="27"/>
      <c r="O165" s="27"/>
      <c r="P165" s="28"/>
      <c r="Q165" s="28"/>
      <c r="R165" s="28"/>
    </row>
    <row r="166" spans="1:18" ht="17.649999999999999">
      <c r="A166" s="23">
        <v>161</v>
      </c>
      <c r="B166" s="24" t="s">
        <v>93</v>
      </c>
      <c r="C166" s="24" t="s">
        <v>465</v>
      </c>
      <c r="D166" s="25">
        <v>406331.71</v>
      </c>
      <c r="E166" s="25">
        <v>4238432.68</v>
      </c>
      <c r="F166" s="25">
        <v>860276.51540000003</v>
      </c>
      <c r="G166" s="26">
        <f t="shared" si="2"/>
        <v>5505040.9053999996</v>
      </c>
      <c r="H166" s="27"/>
      <c r="I166" s="27"/>
      <c r="J166" s="28"/>
      <c r="K166" s="28"/>
      <c r="L166" s="28"/>
      <c r="M166" s="28"/>
      <c r="N166" s="27"/>
      <c r="O166" s="27"/>
      <c r="P166" s="28"/>
      <c r="Q166" s="28"/>
      <c r="R166" s="28"/>
    </row>
    <row r="167" spans="1:18" ht="35.25">
      <c r="A167" s="23">
        <v>162</v>
      </c>
      <c r="B167" s="24" t="s">
        <v>93</v>
      </c>
      <c r="C167" s="24" t="s">
        <v>467</v>
      </c>
      <c r="D167" s="25">
        <v>591716.06999999995</v>
      </c>
      <c r="E167" s="25">
        <v>6172170.7800000003</v>
      </c>
      <c r="F167" s="25">
        <v>1252768.1751000001</v>
      </c>
      <c r="G167" s="26">
        <f t="shared" si="2"/>
        <v>8016655.0251000002</v>
      </c>
      <c r="H167" s="27"/>
      <c r="I167" s="27"/>
      <c r="J167" s="28"/>
      <c r="K167" s="28"/>
      <c r="L167" s="28"/>
      <c r="M167" s="28"/>
      <c r="N167" s="27"/>
      <c r="O167" s="27"/>
      <c r="P167" s="28"/>
      <c r="Q167" s="28"/>
      <c r="R167" s="28"/>
    </row>
    <row r="168" spans="1:18" ht="17.649999999999999">
      <c r="A168" s="23">
        <v>163</v>
      </c>
      <c r="B168" s="24" t="s">
        <v>93</v>
      </c>
      <c r="C168" s="24" t="s">
        <v>469</v>
      </c>
      <c r="D168" s="25">
        <v>369502.48</v>
      </c>
      <c r="E168" s="25">
        <v>3854268.19</v>
      </c>
      <c r="F168" s="25">
        <v>782302.48259999999</v>
      </c>
      <c r="G168" s="26">
        <f t="shared" si="2"/>
        <v>5006073.1525999997</v>
      </c>
      <c r="H168" s="27"/>
      <c r="I168" s="27"/>
      <c r="J168" s="28"/>
      <c r="K168" s="28"/>
      <c r="L168" s="28"/>
      <c r="M168" s="28"/>
      <c r="N168" s="27"/>
      <c r="O168" s="27"/>
      <c r="P168" s="28"/>
      <c r="Q168" s="28"/>
      <c r="R168" s="28"/>
    </row>
    <row r="169" spans="1:18" ht="17.649999999999999">
      <c r="A169" s="23">
        <v>164</v>
      </c>
      <c r="B169" s="24" t="s">
        <v>93</v>
      </c>
      <c r="C169" s="24" t="s">
        <v>471</v>
      </c>
      <c r="D169" s="25">
        <v>344087.83</v>
      </c>
      <c r="E169" s="25">
        <v>3589168.84</v>
      </c>
      <c r="F169" s="25">
        <v>728495.15300000005</v>
      </c>
      <c r="G169" s="26">
        <f t="shared" si="2"/>
        <v>4661751.8229999999</v>
      </c>
      <c r="H169" s="27"/>
      <c r="I169" s="27"/>
      <c r="J169" s="28"/>
      <c r="K169" s="28"/>
      <c r="L169" s="28"/>
      <c r="M169" s="28"/>
      <c r="N169" s="27"/>
      <c r="O169" s="27"/>
      <c r="P169" s="28"/>
      <c r="Q169" s="28"/>
      <c r="R169" s="28"/>
    </row>
    <row r="170" spans="1:18" ht="17.649999999999999">
      <c r="A170" s="23">
        <v>165</v>
      </c>
      <c r="B170" s="24" t="s">
        <v>93</v>
      </c>
      <c r="C170" s="24" t="s">
        <v>473</v>
      </c>
      <c r="D170" s="25">
        <v>335862.35</v>
      </c>
      <c r="E170" s="25">
        <v>3503369.09</v>
      </c>
      <c r="F170" s="25">
        <v>711080.34050000005</v>
      </c>
      <c r="G170" s="26">
        <f t="shared" si="2"/>
        <v>4550311.7805000003</v>
      </c>
      <c r="H170" s="27"/>
      <c r="I170" s="27"/>
      <c r="J170" s="28"/>
      <c r="K170" s="28"/>
      <c r="L170" s="28"/>
      <c r="M170" s="28"/>
      <c r="N170" s="27"/>
      <c r="O170" s="27"/>
      <c r="P170" s="28"/>
      <c r="Q170" s="28"/>
      <c r="R170" s="28"/>
    </row>
    <row r="171" spans="1:18" ht="17.649999999999999">
      <c r="A171" s="23">
        <v>166</v>
      </c>
      <c r="B171" s="24" t="s">
        <v>93</v>
      </c>
      <c r="C171" s="24" t="s">
        <v>475</v>
      </c>
      <c r="D171" s="25">
        <v>384115.29</v>
      </c>
      <c r="E171" s="25">
        <v>4006693.91</v>
      </c>
      <c r="F171" s="25">
        <v>813240.39820000005</v>
      </c>
      <c r="G171" s="26">
        <f t="shared" si="2"/>
        <v>5204049.5981999999</v>
      </c>
      <c r="H171" s="27"/>
      <c r="I171" s="27"/>
      <c r="J171" s="28"/>
      <c r="K171" s="28"/>
      <c r="L171" s="28"/>
      <c r="M171" s="28"/>
      <c r="N171" s="27"/>
      <c r="O171" s="27"/>
      <c r="P171" s="28"/>
      <c r="Q171" s="28"/>
      <c r="R171" s="28"/>
    </row>
    <row r="172" spans="1:18" ht="17.649999999999999">
      <c r="A172" s="23">
        <v>167</v>
      </c>
      <c r="B172" s="24" t="s">
        <v>93</v>
      </c>
      <c r="C172" s="24" t="s">
        <v>477</v>
      </c>
      <c r="D172" s="25">
        <v>333891.84000000003</v>
      </c>
      <c r="E172" s="25">
        <v>3482814.81</v>
      </c>
      <c r="F172" s="25">
        <v>706908.43039999995</v>
      </c>
      <c r="G172" s="26">
        <f t="shared" si="2"/>
        <v>4523615.0803999994</v>
      </c>
      <c r="H172" s="27"/>
      <c r="I172" s="27"/>
      <c r="J172" s="28"/>
      <c r="K172" s="28"/>
      <c r="L172" s="28"/>
      <c r="M172" s="28"/>
      <c r="N172" s="27"/>
      <c r="O172" s="27"/>
      <c r="P172" s="28"/>
      <c r="Q172" s="28"/>
      <c r="R172" s="28"/>
    </row>
    <row r="173" spans="1:18" ht="17.649999999999999">
      <c r="A173" s="23">
        <v>168</v>
      </c>
      <c r="B173" s="24" t="s">
        <v>93</v>
      </c>
      <c r="C173" s="24" t="s">
        <v>479</v>
      </c>
      <c r="D173" s="25">
        <v>323830.28000000003</v>
      </c>
      <c r="E173" s="25">
        <v>3377863.01</v>
      </c>
      <c r="F173" s="25">
        <v>685606.31709999999</v>
      </c>
      <c r="G173" s="26">
        <f t="shared" si="2"/>
        <v>4387299.6070999997</v>
      </c>
      <c r="H173" s="27"/>
      <c r="I173" s="27"/>
      <c r="J173" s="28"/>
      <c r="K173" s="28"/>
      <c r="L173" s="28"/>
      <c r="M173" s="28"/>
      <c r="N173" s="27"/>
      <c r="O173" s="27"/>
      <c r="P173" s="28"/>
      <c r="Q173" s="28"/>
      <c r="R173" s="28"/>
    </row>
    <row r="174" spans="1:18" ht="35.25">
      <c r="A174" s="23">
        <v>169</v>
      </c>
      <c r="B174" s="24" t="s">
        <v>94</v>
      </c>
      <c r="C174" s="24" t="s">
        <v>484</v>
      </c>
      <c r="D174" s="25">
        <v>343303.11</v>
      </c>
      <c r="E174" s="25">
        <v>3580983.42</v>
      </c>
      <c r="F174" s="25">
        <v>726833.75509999995</v>
      </c>
      <c r="G174" s="26">
        <f t="shared" si="2"/>
        <v>4651120.2851</v>
      </c>
      <c r="H174" s="27"/>
      <c r="I174" s="27"/>
      <c r="J174" s="28"/>
      <c r="K174" s="28"/>
      <c r="L174" s="28"/>
      <c r="M174" s="28"/>
      <c r="N174" s="27"/>
      <c r="O174" s="27"/>
      <c r="P174" s="28"/>
      <c r="Q174" s="28"/>
      <c r="R174" s="28"/>
    </row>
    <row r="175" spans="1:18" ht="35.25">
      <c r="A175" s="23">
        <v>170</v>
      </c>
      <c r="B175" s="24" t="s">
        <v>94</v>
      </c>
      <c r="C175" s="24" t="s">
        <v>486</v>
      </c>
      <c r="D175" s="25">
        <v>431527.84</v>
      </c>
      <c r="E175" s="25">
        <v>4501252.72</v>
      </c>
      <c r="F175" s="25">
        <v>913621.21270000003</v>
      </c>
      <c r="G175" s="26">
        <f t="shared" si="2"/>
        <v>5846401.7726999996</v>
      </c>
      <c r="H175" s="27"/>
      <c r="I175" s="27"/>
      <c r="J175" s="28"/>
      <c r="K175" s="28"/>
      <c r="L175" s="28"/>
      <c r="M175" s="28"/>
      <c r="N175" s="27"/>
      <c r="O175" s="27"/>
      <c r="P175" s="28"/>
      <c r="Q175" s="28"/>
      <c r="R175" s="28"/>
    </row>
    <row r="176" spans="1:18" ht="35.25">
      <c r="A176" s="23">
        <v>171</v>
      </c>
      <c r="B176" s="24" t="s">
        <v>94</v>
      </c>
      <c r="C176" s="24" t="s">
        <v>488</v>
      </c>
      <c r="D176" s="25">
        <v>413099.22</v>
      </c>
      <c r="E176" s="25">
        <v>4309024.33</v>
      </c>
      <c r="F176" s="25">
        <v>874604.53410000005</v>
      </c>
      <c r="G176" s="26">
        <f t="shared" si="2"/>
        <v>5596728.0840999996</v>
      </c>
      <c r="H176" s="27"/>
      <c r="I176" s="27"/>
      <c r="J176" s="28"/>
      <c r="K176" s="28"/>
      <c r="L176" s="28"/>
      <c r="M176" s="28"/>
      <c r="N176" s="27"/>
      <c r="O176" s="27"/>
      <c r="P176" s="28"/>
      <c r="Q176" s="28"/>
      <c r="R176" s="28"/>
    </row>
    <row r="177" spans="1:18" ht="35.25">
      <c r="A177" s="23">
        <v>172</v>
      </c>
      <c r="B177" s="24" t="s">
        <v>94</v>
      </c>
      <c r="C177" s="24" t="s">
        <v>490</v>
      </c>
      <c r="D177" s="25">
        <v>266538.84999999998</v>
      </c>
      <c r="E177" s="25">
        <v>2780257.95</v>
      </c>
      <c r="F177" s="25">
        <v>564310.16040000005</v>
      </c>
      <c r="G177" s="26">
        <f t="shared" si="2"/>
        <v>3611106.9604000002</v>
      </c>
      <c r="H177" s="27"/>
      <c r="I177" s="27"/>
      <c r="J177" s="28"/>
      <c r="K177" s="28"/>
      <c r="L177" s="28"/>
      <c r="M177" s="28"/>
      <c r="N177" s="27"/>
      <c r="O177" s="27"/>
      <c r="P177" s="28"/>
      <c r="Q177" s="28"/>
      <c r="R177" s="28"/>
    </row>
    <row r="178" spans="1:18" ht="35.25">
      <c r="A178" s="23">
        <v>173</v>
      </c>
      <c r="B178" s="24" t="s">
        <v>94</v>
      </c>
      <c r="C178" s="24" t="s">
        <v>492</v>
      </c>
      <c r="D178" s="25">
        <v>318399.74</v>
      </c>
      <c r="E178" s="25">
        <v>3321217.17</v>
      </c>
      <c r="F178" s="25">
        <v>674108.8872</v>
      </c>
      <c r="G178" s="26">
        <f t="shared" si="2"/>
        <v>4313725.7971999999</v>
      </c>
      <c r="H178" s="27"/>
      <c r="I178" s="27"/>
      <c r="J178" s="28"/>
      <c r="K178" s="28"/>
      <c r="L178" s="28"/>
      <c r="M178" s="28"/>
      <c r="N178" s="27"/>
      <c r="O178" s="27"/>
      <c r="P178" s="28"/>
      <c r="Q178" s="28"/>
      <c r="R178" s="28"/>
    </row>
    <row r="179" spans="1:18" ht="35.25">
      <c r="A179" s="23">
        <v>174</v>
      </c>
      <c r="B179" s="24" t="s">
        <v>94</v>
      </c>
      <c r="C179" s="24" t="s">
        <v>494</v>
      </c>
      <c r="D179" s="25">
        <v>366295.28</v>
      </c>
      <c r="E179" s="25">
        <v>3820814.01</v>
      </c>
      <c r="F179" s="25">
        <v>775512.27350000001</v>
      </c>
      <c r="G179" s="26">
        <f t="shared" si="2"/>
        <v>4962621.5635000002</v>
      </c>
      <c r="H179" s="27"/>
      <c r="I179" s="27"/>
      <c r="J179" s="28"/>
      <c r="K179" s="28"/>
      <c r="L179" s="28"/>
      <c r="M179" s="28"/>
      <c r="N179" s="27"/>
      <c r="O179" s="27"/>
      <c r="P179" s="28"/>
      <c r="Q179" s="28"/>
      <c r="R179" s="28"/>
    </row>
    <row r="180" spans="1:18" ht="35.25">
      <c r="A180" s="23">
        <v>175</v>
      </c>
      <c r="B180" s="24" t="s">
        <v>94</v>
      </c>
      <c r="C180" s="24" t="s">
        <v>496</v>
      </c>
      <c r="D180" s="25">
        <v>419938.23</v>
      </c>
      <c r="E180" s="25">
        <v>4380361.79</v>
      </c>
      <c r="F180" s="25">
        <v>889083.92850000004</v>
      </c>
      <c r="G180" s="26">
        <f t="shared" si="2"/>
        <v>5689383.9484999999</v>
      </c>
      <c r="H180" s="27"/>
      <c r="I180" s="27"/>
      <c r="J180" s="28"/>
      <c r="K180" s="28"/>
      <c r="L180" s="28"/>
      <c r="M180" s="28"/>
      <c r="N180" s="27"/>
      <c r="O180" s="27"/>
      <c r="P180" s="28"/>
      <c r="Q180" s="28"/>
      <c r="R180" s="28"/>
    </row>
    <row r="181" spans="1:18" ht="35.25">
      <c r="A181" s="23">
        <v>176</v>
      </c>
      <c r="B181" s="24" t="s">
        <v>94</v>
      </c>
      <c r="C181" s="24" t="s">
        <v>498</v>
      </c>
      <c r="D181" s="25">
        <v>332655.71999999997</v>
      </c>
      <c r="E181" s="25">
        <v>3469920.85</v>
      </c>
      <c r="F181" s="25">
        <v>704291.33700000006</v>
      </c>
      <c r="G181" s="26">
        <f t="shared" si="2"/>
        <v>4506867.9070000006</v>
      </c>
      <c r="H181" s="27"/>
      <c r="I181" s="27"/>
      <c r="J181" s="28"/>
      <c r="K181" s="28"/>
      <c r="L181" s="28"/>
      <c r="M181" s="28"/>
      <c r="N181" s="27"/>
      <c r="O181" s="27"/>
      <c r="P181" s="28"/>
      <c r="Q181" s="28"/>
      <c r="R181" s="28"/>
    </row>
    <row r="182" spans="1:18" ht="35.25">
      <c r="A182" s="23">
        <v>177</v>
      </c>
      <c r="B182" s="24" t="s">
        <v>94</v>
      </c>
      <c r="C182" s="24" t="s">
        <v>500</v>
      </c>
      <c r="D182" s="25">
        <v>354569.99</v>
      </c>
      <c r="E182" s="25">
        <v>3698507.92</v>
      </c>
      <c r="F182" s="25">
        <v>750687.75410000002</v>
      </c>
      <c r="G182" s="26">
        <f t="shared" si="2"/>
        <v>4803765.6641000006</v>
      </c>
      <c r="H182" s="27"/>
      <c r="I182" s="27"/>
      <c r="J182" s="28"/>
      <c r="K182" s="28"/>
      <c r="L182" s="28"/>
      <c r="M182" s="28"/>
      <c r="N182" s="27"/>
      <c r="O182" s="27"/>
      <c r="P182" s="28"/>
      <c r="Q182" s="28"/>
      <c r="R182" s="28"/>
    </row>
    <row r="183" spans="1:18" ht="35.25">
      <c r="A183" s="23">
        <v>178</v>
      </c>
      <c r="B183" s="24" t="s">
        <v>94</v>
      </c>
      <c r="C183" s="24" t="s">
        <v>502</v>
      </c>
      <c r="D183" s="25">
        <v>277642.12</v>
      </c>
      <c r="E183" s="25">
        <v>2896075.84</v>
      </c>
      <c r="F183" s="25">
        <v>587817.76679999998</v>
      </c>
      <c r="G183" s="26">
        <f t="shared" si="2"/>
        <v>3761535.7267999998</v>
      </c>
      <c r="H183" s="27"/>
      <c r="I183" s="27"/>
      <c r="J183" s="28"/>
      <c r="K183" s="28"/>
      <c r="L183" s="28"/>
      <c r="M183" s="28"/>
      <c r="N183" s="27"/>
      <c r="O183" s="27"/>
      <c r="P183" s="28"/>
      <c r="Q183" s="28"/>
      <c r="R183" s="28"/>
    </row>
    <row r="184" spans="1:18" ht="35.25">
      <c r="A184" s="23">
        <v>179</v>
      </c>
      <c r="B184" s="24" t="s">
        <v>94</v>
      </c>
      <c r="C184" s="24" t="s">
        <v>504</v>
      </c>
      <c r="D184" s="25">
        <v>378838.76</v>
      </c>
      <c r="E184" s="25">
        <v>3951654.64</v>
      </c>
      <c r="F184" s="25">
        <v>802069.05420000001</v>
      </c>
      <c r="G184" s="26">
        <f t="shared" si="2"/>
        <v>5132562.4542000005</v>
      </c>
      <c r="H184" s="27"/>
      <c r="I184" s="27"/>
      <c r="J184" s="28"/>
      <c r="K184" s="28"/>
      <c r="L184" s="28"/>
      <c r="M184" s="28"/>
      <c r="N184" s="27"/>
      <c r="O184" s="27"/>
      <c r="P184" s="28"/>
      <c r="Q184" s="28"/>
      <c r="R184" s="28"/>
    </row>
    <row r="185" spans="1:18" ht="35.25">
      <c r="A185" s="23">
        <v>180</v>
      </c>
      <c r="B185" s="24" t="s">
        <v>94</v>
      </c>
      <c r="C185" s="24" t="s">
        <v>506</v>
      </c>
      <c r="D185" s="25">
        <v>326930.21000000002</v>
      </c>
      <c r="E185" s="25">
        <v>3410198.21</v>
      </c>
      <c r="F185" s="25">
        <v>692169.40720000002</v>
      </c>
      <c r="G185" s="26">
        <f t="shared" si="2"/>
        <v>4429297.8272000002</v>
      </c>
      <c r="H185" s="27"/>
      <c r="I185" s="27"/>
      <c r="J185" s="28"/>
      <c r="K185" s="28"/>
      <c r="L185" s="28"/>
      <c r="M185" s="28"/>
      <c r="N185" s="27"/>
      <c r="O185" s="27"/>
      <c r="P185" s="28"/>
      <c r="Q185" s="28"/>
      <c r="R185" s="28"/>
    </row>
    <row r="186" spans="1:18" ht="35.25">
      <c r="A186" s="23">
        <v>181</v>
      </c>
      <c r="B186" s="24" t="s">
        <v>94</v>
      </c>
      <c r="C186" s="24" t="s">
        <v>508</v>
      </c>
      <c r="D186" s="25">
        <v>360326.49</v>
      </c>
      <c r="E186" s="25">
        <v>3758553.7</v>
      </c>
      <c r="F186" s="25">
        <v>762875.27260000003</v>
      </c>
      <c r="G186" s="26">
        <f t="shared" si="2"/>
        <v>4881755.4626000002</v>
      </c>
      <c r="H186" s="27"/>
      <c r="I186" s="27"/>
      <c r="J186" s="28"/>
      <c r="K186" s="28"/>
      <c r="L186" s="28"/>
      <c r="M186" s="28"/>
      <c r="N186" s="27"/>
      <c r="O186" s="27"/>
      <c r="P186" s="28"/>
      <c r="Q186" s="28"/>
      <c r="R186" s="28"/>
    </row>
    <row r="187" spans="1:18" ht="35.25">
      <c r="A187" s="23">
        <v>182</v>
      </c>
      <c r="B187" s="24" t="s">
        <v>94</v>
      </c>
      <c r="C187" s="24" t="s">
        <v>510</v>
      </c>
      <c r="D187" s="25">
        <v>341134.21</v>
      </c>
      <c r="E187" s="25">
        <v>3558359.67</v>
      </c>
      <c r="F187" s="25">
        <v>722241.80350000004</v>
      </c>
      <c r="G187" s="26">
        <f t="shared" si="2"/>
        <v>4621735.6835000003</v>
      </c>
      <c r="H187" s="27"/>
      <c r="I187" s="27"/>
      <c r="J187" s="28"/>
      <c r="K187" s="28"/>
      <c r="L187" s="28"/>
      <c r="M187" s="28"/>
      <c r="N187" s="27"/>
      <c r="O187" s="27"/>
      <c r="P187" s="28"/>
      <c r="Q187" s="28"/>
      <c r="R187" s="28"/>
    </row>
    <row r="188" spans="1:18" ht="35.25">
      <c r="A188" s="23">
        <v>183</v>
      </c>
      <c r="B188" s="24" t="s">
        <v>94</v>
      </c>
      <c r="C188" s="24" t="s">
        <v>512</v>
      </c>
      <c r="D188" s="25">
        <v>386946.89</v>
      </c>
      <c r="E188" s="25">
        <v>4036230.28</v>
      </c>
      <c r="F188" s="25">
        <v>819235.40749999997</v>
      </c>
      <c r="G188" s="26">
        <f t="shared" si="2"/>
        <v>5242412.5774999997</v>
      </c>
      <c r="H188" s="27"/>
      <c r="I188" s="27"/>
      <c r="J188" s="28"/>
      <c r="K188" s="28"/>
      <c r="L188" s="28"/>
      <c r="M188" s="28"/>
      <c r="N188" s="27"/>
      <c r="O188" s="27"/>
      <c r="P188" s="28"/>
      <c r="Q188" s="28"/>
      <c r="R188" s="28"/>
    </row>
    <row r="189" spans="1:18" ht="35.25">
      <c r="A189" s="23">
        <v>184</v>
      </c>
      <c r="B189" s="24" t="s">
        <v>94</v>
      </c>
      <c r="C189" s="24" t="s">
        <v>514</v>
      </c>
      <c r="D189" s="25">
        <v>363663.7</v>
      </c>
      <c r="E189" s="25">
        <v>3793364.05</v>
      </c>
      <c r="F189" s="25">
        <v>769940.74380000005</v>
      </c>
      <c r="G189" s="26">
        <f t="shared" si="2"/>
        <v>4926968.4938000003</v>
      </c>
      <c r="H189" s="27"/>
      <c r="I189" s="27"/>
      <c r="J189" s="28"/>
      <c r="K189" s="28"/>
      <c r="L189" s="28"/>
      <c r="M189" s="28"/>
      <c r="N189" s="27"/>
      <c r="O189" s="27"/>
      <c r="P189" s="28"/>
      <c r="Q189" s="28"/>
      <c r="R189" s="28"/>
    </row>
    <row r="190" spans="1:18" ht="35.25">
      <c r="A190" s="23">
        <v>185</v>
      </c>
      <c r="B190" s="24" t="s">
        <v>94</v>
      </c>
      <c r="C190" s="24" t="s">
        <v>516</v>
      </c>
      <c r="D190" s="25">
        <v>365097.34</v>
      </c>
      <c r="E190" s="25">
        <v>3808318.35</v>
      </c>
      <c r="F190" s="25">
        <v>772976.02469999995</v>
      </c>
      <c r="G190" s="26">
        <f t="shared" si="2"/>
        <v>4946391.7147000004</v>
      </c>
      <c r="H190" s="27"/>
      <c r="I190" s="27"/>
      <c r="J190" s="28"/>
      <c r="K190" s="28"/>
      <c r="L190" s="28"/>
      <c r="M190" s="28"/>
      <c r="N190" s="27"/>
      <c r="O190" s="27"/>
      <c r="P190" s="28"/>
      <c r="Q190" s="28"/>
      <c r="R190" s="28"/>
    </row>
    <row r="191" spans="1:18" ht="35.25">
      <c r="A191" s="23">
        <v>186</v>
      </c>
      <c r="B191" s="24" t="s">
        <v>94</v>
      </c>
      <c r="C191" s="24" t="s">
        <v>518</v>
      </c>
      <c r="D191" s="25">
        <v>402625.16</v>
      </c>
      <c r="E191" s="25">
        <v>4199769.8099999996</v>
      </c>
      <c r="F191" s="25">
        <v>852429.09649999999</v>
      </c>
      <c r="G191" s="26">
        <f t="shared" si="2"/>
        <v>5454824.0664999997</v>
      </c>
      <c r="H191" s="27"/>
      <c r="I191" s="27"/>
      <c r="J191" s="28"/>
      <c r="K191" s="28"/>
      <c r="L191" s="28"/>
      <c r="M191" s="28"/>
      <c r="N191" s="27"/>
      <c r="O191" s="27"/>
      <c r="P191" s="28"/>
      <c r="Q191" s="28"/>
      <c r="R191" s="28"/>
    </row>
    <row r="192" spans="1:18" ht="17.649999999999999">
      <c r="A192" s="23">
        <v>187</v>
      </c>
      <c r="B192" s="24" t="s">
        <v>95</v>
      </c>
      <c r="C192" s="24" t="s">
        <v>523</v>
      </c>
      <c r="D192" s="25">
        <v>281942.78000000003</v>
      </c>
      <c r="E192" s="25">
        <v>2940935.79</v>
      </c>
      <c r="F192" s="25">
        <v>596923.01069999998</v>
      </c>
      <c r="G192" s="26">
        <f t="shared" si="2"/>
        <v>3819801.5807000003</v>
      </c>
      <c r="H192" s="27"/>
      <c r="I192" s="27"/>
      <c r="J192" s="28"/>
      <c r="K192" s="28"/>
      <c r="L192" s="28"/>
      <c r="M192" s="28"/>
      <c r="N192" s="27"/>
      <c r="O192" s="27"/>
      <c r="P192" s="28"/>
      <c r="Q192" s="28"/>
      <c r="R192" s="28"/>
    </row>
    <row r="193" spans="1:18" ht="17.649999999999999">
      <c r="A193" s="23">
        <v>188</v>
      </c>
      <c r="B193" s="24" t="s">
        <v>95</v>
      </c>
      <c r="C193" s="24" t="s">
        <v>525</v>
      </c>
      <c r="D193" s="25">
        <v>307306.44</v>
      </c>
      <c r="E193" s="25">
        <v>3205503.32</v>
      </c>
      <c r="F193" s="25">
        <v>650622.39749999996</v>
      </c>
      <c r="G193" s="26">
        <f t="shared" si="2"/>
        <v>4163432.1574999997</v>
      </c>
      <c r="H193" s="27"/>
      <c r="I193" s="27"/>
      <c r="J193" s="28"/>
      <c r="K193" s="28"/>
      <c r="L193" s="28"/>
      <c r="M193" s="28"/>
      <c r="N193" s="27"/>
      <c r="O193" s="27"/>
      <c r="P193" s="28"/>
      <c r="Q193" s="28"/>
      <c r="R193" s="28"/>
    </row>
    <row r="194" spans="1:18" ht="17.649999999999999">
      <c r="A194" s="23">
        <v>189</v>
      </c>
      <c r="B194" s="24" t="s">
        <v>95</v>
      </c>
      <c r="C194" s="24" t="s">
        <v>527</v>
      </c>
      <c r="D194" s="25">
        <v>262696.36</v>
      </c>
      <c r="E194" s="25">
        <v>2740177.1</v>
      </c>
      <c r="F194" s="25">
        <v>556174.93259999994</v>
      </c>
      <c r="G194" s="26">
        <f t="shared" si="2"/>
        <v>3559048.3925999999</v>
      </c>
      <c r="H194" s="27"/>
      <c r="I194" s="27"/>
      <c r="J194" s="28"/>
      <c r="K194" s="28"/>
      <c r="L194" s="28"/>
      <c r="M194" s="28"/>
      <c r="N194" s="27"/>
      <c r="O194" s="27"/>
      <c r="P194" s="28"/>
      <c r="Q194" s="28"/>
      <c r="R194" s="28"/>
    </row>
    <row r="195" spans="1:18" ht="17.649999999999999">
      <c r="A195" s="23">
        <v>190</v>
      </c>
      <c r="B195" s="24" t="s">
        <v>95</v>
      </c>
      <c r="C195" s="24" t="s">
        <v>529</v>
      </c>
      <c r="D195" s="25">
        <v>377542.17</v>
      </c>
      <c r="E195" s="25">
        <v>3938129.97</v>
      </c>
      <c r="F195" s="25">
        <v>799323.94539999997</v>
      </c>
      <c r="G195" s="26">
        <f t="shared" si="2"/>
        <v>5114996.0854000002</v>
      </c>
      <c r="H195" s="27"/>
      <c r="I195" s="27"/>
      <c r="J195" s="28"/>
      <c r="K195" s="28"/>
      <c r="L195" s="28"/>
      <c r="M195" s="28"/>
      <c r="N195" s="27"/>
      <c r="O195" s="27"/>
      <c r="P195" s="28"/>
      <c r="Q195" s="28"/>
      <c r="R195" s="28"/>
    </row>
    <row r="196" spans="1:18" ht="17.649999999999999">
      <c r="A196" s="23">
        <v>191</v>
      </c>
      <c r="B196" s="24" t="s">
        <v>95</v>
      </c>
      <c r="C196" s="24" t="s">
        <v>531</v>
      </c>
      <c r="D196" s="25">
        <v>343504.71</v>
      </c>
      <c r="E196" s="25">
        <v>3583086.33</v>
      </c>
      <c r="F196" s="25">
        <v>727260.58470000001</v>
      </c>
      <c r="G196" s="26">
        <f t="shared" si="2"/>
        <v>4653851.6247000005</v>
      </c>
      <c r="H196" s="27"/>
      <c r="I196" s="27"/>
      <c r="J196" s="28"/>
      <c r="K196" s="28"/>
      <c r="L196" s="28"/>
      <c r="M196" s="28"/>
      <c r="N196" s="27"/>
      <c r="O196" s="27"/>
      <c r="P196" s="28"/>
      <c r="Q196" s="28"/>
      <c r="R196" s="28"/>
    </row>
    <row r="197" spans="1:18" ht="17.649999999999999">
      <c r="A197" s="23">
        <v>192</v>
      </c>
      <c r="B197" s="24" t="s">
        <v>95</v>
      </c>
      <c r="C197" s="24" t="s">
        <v>533</v>
      </c>
      <c r="D197" s="25">
        <v>351865.87</v>
      </c>
      <c r="E197" s="25">
        <v>3670301.26</v>
      </c>
      <c r="F197" s="25">
        <v>744962.63529999997</v>
      </c>
      <c r="G197" s="26">
        <f t="shared" si="2"/>
        <v>4767129.7653000001</v>
      </c>
      <c r="H197" s="27"/>
      <c r="I197" s="27"/>
      <c r="J197" s="28"/>
      <c r="K197" s="28"/>
      <c r="L197" s="28"/>
      <c r="M197" s="28"/>
      <c r="N197" s="27"/>
      <c r="O197" s="27"/>
      <c r="P197" s="28"/>
      <c r="Q197" s="28"/>
      <c r="R197" s="28"/>
    </row>
    <row r="198" spans="1:18" ht="17.649999999999999">
      <c r="A198" s="23">
        <v>193</v>
      </c>
      <c r="B198" s="24" t="s">
        <v>95</v>
      </c>
      <c r="C198" s="24" t="s">
        <v>535</v>
      </c>
      <c r="D198" s="25">
        <v>373042.75</v>
      </c>
      <c r="E198" s="25">
        <v>3891196.59</v>
      </c>
      <c r="F198" s="25">
        <v>789797.85660000006</v>
      </c>
      <c r="G198" s="26">
        <f t="shared" ref="G198:G261" si="3">D198+E198+F198</f>
        <v>5054037.1965999994</v>
      </c>
      <c r="H198" s="27"/>
      <c r="I198" s="27"/>
      <c r="J198" s="28"/>
      <c r="K198" s="28"/>
      <c r="L198" s="28"/>
      <c r="M198" s="28"/>
      <c r="N198" s="27"/>
      <c r="O198" s="27"/>
      <c r="P198" s="28"/>
      <c r="Q198" s="28"/>
      <c r="R198" s="28"/>
    </row>
    <row r="199" spans="1:18" ht="17.649999999999999">
      <c r="A199" s="23">
        <v>194</v>
      </c>
      <c r="B199" s="24" t="s">
        <v>95</v>
      </c>
      <c r="C199" s="24" t="s">
        <v>537</v>
      </c>
      <c r="D199" s="25">
        <v>350852.16</v>
      </c>
      <c r="E199" s="25">
        <v>3659727.32</v>
      </c>
      <c r="F199" s="25">
        <v>742816.43870000006</v>
      </c>
      <c r="G199" s="26">
        <f t="shared" si="3"/>
        <v>4753395.9187000003</v>
      </c>
      <c r="H199" s="27"/>
      <c r="I199" s="27"/>
      <c r="J199" s="28"/>
      <c r="K199" s="28"/>
      <c r="L199" s="28"/>
      <c r="M199" s="28"/>
      <c r="N199" s="27"/>
      <c r="O199" s="27"/>
      <c r="P199" s="28"/>
      <c r="Q199" s="28"/>
      <c r="R199" s="28"/>
    </row>
    <row r="200" spans="1:18" ht="17.649999999999999">
      <c r="A200" s="23">
        <v>195</v>
      </c>
      <c r="B200" s="24" t="s">
        <v>95</v>
      </c>
      <c r="C200" s="24" t="s">
        <v>539</v>
      </c>
      <c r="D200" s="25">
        <v>330126.03000000003</v>
      </c>
      <c r="E200" s="25">
        <v>3443533.71</v>
      </c>
      <c r="F200" s="25">
        <v>698935.52800000005</v>
      </c>
      <c r="G200" s="26">
        <f t="shared" si="3"/>
        <v>4472595.2680000002</v>
      </c>
      <c r="H200" s="27"/>
      <c r="I200" s="27"/>
      <c r="J200" s="28"/>
      <c r="K200" s="28"/>
      <c r="L200" s="28"/>
      <c r="M200" s="28"/>
      <c r="N200" s="27"/>
      <c r="O200" s="27"/>
      <c r="P200" s="28"/>
      <c r="Q200" s="28"/>
      <c r="R200" s="28"/>
    </row>
    <row r="201" spans="1:18" ht="17.649999999999999">
      <c r="A201" s="23">
        <v>196</v>
      </c>
      <c r="B201" s="24" t="s">
        <v>95</v>
      </c>
      <c r="C201" s="24" t="s">
        <v>541</v>
      </c>
      <c r="D201" s="25">
        <v>369154.58</v>
      </c>
      <c r="E201" s="25">
        <v>3850639.27</v>
      </c>
      <c r="F201" s="25">
        <v>781565.91960000002</v>
      </c>
      <c r="G201" s="26">
        <f t="shared" si="3"/>
        <v>5001359.7695999993</v>
      </c>
      <c r="H201" s="27"/>
      <c r="I201" s="27"/>
      <c r="J201" s="28"/>
      <c r="K201" s="28"/>
      <c r="L201" s="28"/>
      <c r="M201" s="28"/>
      <c r="N201" s="27"/>
      <c r="O201" s="27"/>
      <c r="P201" s="28"/>
      <c r="Q201" s="28"/>
      <c r="R201" s="28"/>
    </row>
    <row r="202" spans="1:18" ht="17.649999999999999">
      <c r="A202" s="23">
        <v>197</v>
      </c>
      <c r="B202" s="24" t="s">
        <v>95</v>
      </c>
      <c r="C202" s="24" t="s">
        <v>543</v>
      </c>
      <c r="D202" s="25">
        <v>310203.63</v>
      </c>
      <c r="E202" s="25">
        <v>3235723.79</v>
      </c>
      <c r="F202" s="25">
        <v>656756.25970000005</v>
      </c>
      <c r="G202" s="26">
        <f t="shared" si="3"/>
        <v>4202683.6797000002</v>
      </c>
      <c r="H202" s="27"/>
      <c r="I202" s="27"/>
      <c r="J202" s="28"/>
      <c r="K202" s="28"/>
      <c r="L202" s="28"/>
      <c r="M202" s="28"/>
      <c r="N202" s="27"/>
      <c r="O202" s="27"/>
      <c r="P202" s="28"/>
      <c r="Q202" s="28"/>
      <c r="R202" s="28"/>
    </row>
    <row r="203" spans="1:18" ht="17.649999999999999">
      <c r="A203" s="23">
        <v>198</v>
      </c>
      <c r="B203" s="24" t="s">
        <v>95</v>
      </c>
      <c r="C203" s="24" t="s">
        <v>545</v>
      </c>
      <c r="D203" s="25">
        <v>319928.13</v>
      </c>
      <c r="E203" s="25">
        <v>3337159.74</v>
      </c>
      <c r="F203" s="25">
        <v>677344.75719999999</v>
      </c>
      <c r="G203" s="26">
        <f t="shared" si="3"/>
        <v>4334432.6272</v>
      </c>
      <c r="H203" s="27"/>
      <c r="I203" s="27"/>
      <c r="J203" s="28"/>
      <c r="K203" s="28"/>
      <c r="L203" s="28"/>
      <c r="M203" s="28"/>
      <c r="N203" s="27"/>
      <c r="O203" s="27"/>
      <c r="P203" s="28"/>
      <c r="Q203" s="28"/>
      <c r="R203" s="28"/>
    </row>
    <row r="204" spans="1:18" ht="17.649999999999999">
      <c r="A204" s="23">
        <v>199</v>
      </c>
      <c r="B204" s="24" t="s">
        <v>95</v>
      </c>
      <c r="C204" s="24" t="s">
        <v>547</v>
      </c>
      <c r="D204" s="25">
        <v>293047.26</v>
      </c>
      <c r="E204" s="25">
        <v>3056766.3</v>
      </c>
      <c r="F204" s="25">
        <v>620433.17980000004</v>
      </c>
      <c r="G204" s="26">
        <f t="shared" si="3"/>
        <v>3970246.7397999996</v>
      </c>
      <c r="H204" s="27"/>
      <c r="I204" s="27"/>
      <c r="J204" s="28"/>
      <c r="K204" s="28"/>
      <c r="L204" s="28"/>
      <c r="M204" s="28"/>
      <c r="N204" s="27"/>
      <c r="O204" s="27"/>
      <c r="P204" s="28"/>
      <c r="Q204" s="28"/>
      <c r="R204" s="28"/>
    </row>
    <row r="205" spans="1:18" ht="17.649999999999999">
      <c r="A205" s="23">
        <v>200</v>
      </c>
      <c r="B205" s="24" t="s">
        <v>95</v>
      </c>
      <c r="C205" s="24" t="s">
        <v>549</v>
      </c>
      <c r="D205" s="25">
        <v>287000.24</v>
      </c>
      <c r="E205" s="25">
        <v>2993690.08</v>
      </c>
      <c r="F205" s="25">
        <v>607630.57220000005</v>
      </c>
      <c r="G205" s="26">
        <f t="shared" si="3"/>
        <v>3888320.8922000006</v>
      </c>
      <c r="H205" s="27"/>
      <c r="I205" s="27"/>
      <c r="J205" s="28"/>
      <c r="K205" s="28"/>
      <c r="L205" s="28"/>
      <c r="M205" s="28"/>
      <c r="N205" s="27"/>
      <c r="O205" s="27"/>
      <c r="P205" s="28"/>
      <c r="Q205" s="28"/>
      <c r="R205" s="28"/>
    </row>
    <row r="206" spans="1:18" ht="17.649999999999999">
      <c r="A206" s="23">
        <v>201</v>
      </c>
      <c r="B206" s="24" t="s">
        <v>95</v>
      </c>
      <c r="C206" s="24" t="s">
        <v>551</v>
      </c>
      <c r="D206" s="25">
        <v>311428.37</v>
      </c>
      <c r="E206" s="25">
        <v>3248499.03</v>
      </c>
      <c r="F206" s="25">
        <v>659349.25549999997</v>
      </c>
      <c r="G206" s="26">
        <f t="shared" si="3"/>
        <v>4219276.6555000003</v>
      </c>
      <c r="H206" s="27"/>
      <c r="I206" s="27"/>
      <c r="J206" s="28"/>
      <c r="K206" s="28"/>
      <c r="L206" s="28"/>
      <c r="M206" s="28"/>
      <c r="N206" s="27"/>
      <c r="O206" s="27"/>
      <c r="P206" s="28"/>
      <c r="Q206" s="28"/>
      <c r="R206" s="28"/>
    </row>
    <row r="207" spans="1:18" ht="17.649999999999999">
      <c r="A207" s="23">
        <v>202</v>
      </c>
      <c r="B207" s="24" t="s">
        <v>95</v>
      </c>
      <c r="C207" s="24" t="s">
        <v>553</v>
      </c>
      <c r="D207" s="25">
        <v>257190.81</v>
      </c>
      <c r="E207" s="25">
        <v>2682748.86</v>
      </c>
      <c r="F207" s="25">
        <v>544518.69850000006</v>
      </c>
      <c r="G207" s="26">
        <f t="shared" si="3"/>
        <v>3484458.3684999999</v>
      </c>
      <c r="H207" s="27"/>
      <c r="I207" s="27"/>
      <c r="J207" s="28"/>
      <c r="K207" s="28"/>
      <c r="L207" s="28"/>
      <c r="M207" s="28"/>
      <c r="N207" s="27"/>
      <c r="O207" s="27"/>
      <c r="P207" s="28"/>
      <c r="Q207" s="28"/>
      <c r="R207" s="28"/>
    </row>
    <row r="208" spans="1:18" ht="17.649999999999999">
      <c r="A208" s="23">
        <v>203</v>
      </c>
      <c r="B208" s="24" t="s">
        <v>95</v>
      </c>
      <c r="C208" s="24" t="s">
        <v>555</v>
      </c>
      <c r="D208" s="25">
        <v>323951.71000000002</v>
      </c>
      <c r="E208" s="25">
        <v>3379129.59</v>
      </c>
      <c r="F208" s="25">
        <v>685863.39630000002</v>
      </c>
      <c r="G208" s="26">
        <f t="shared" si="3"/>
        <v>4388944.6963</v>
      </c>
      <c r="H208" s="27"/>
      <c r="I208" s="27"/>
      <c r="J208" s="28"/>
      <c r="K208" s="28"/>
      <c r="L208" s="28"/>
      <c r="M208" s="28"/>
      <c r="N208" s="27"/>
      <c r="O208" s="27"/>
      <c r="P208" s="28"/>
      <c r="Q208" s="28"/>
      <c r="R208" s="28"/>
    </row>
    <row r="209" spans="1:18" ht="17.649999999999999">
      <c r="A209" s="23">
        <v>204</v>
      </c>
      <c r="B209" s="24" t="s">
        <v>95</v>
      </c>
      <c r="C209" s="24" t="s">
        <v>557</v>
      </c>
      <c r="D209" s="25">
        <v>340601.67</v>
      </c>
      <c r="E209" s="25">
        <v>3552804.8</v>
      </c>
      <c r="F209" s="25">
        <v>721114.32889999996</v>
      </c>
      <c r="G209" s="26">
        <f t="shared" si="3"/>
        <v>4614520.7988999998</v>
      </c>
      <c r="H209" s="27"/>
      <c r="I209" s="27"/>
      <c r="J209" s="28"/>
      <c r="K209" s="28"/>
      <c r="L209" s="28"/>
      <c r="M209" s="28"/>
      <c r="N209" s="27"/>
      <c r="O209" s="27"/>
      <c r="P209" s="28"/>
      <c r="Q209" s="28"/>
      <c r="R209" s="28"/>
    </row>
    <row r="210" spans="1:18" ht="17.649999999999999">
      <c r="A210" s="23">
        <v>205</v>
      </c>
      <c r="B210" s="24" t="s">
        <v>95</v>
      </c>
      <c r="C210" s="24" t="s">
        <v>559</v>
      </c>
      <c r="D210" s="25">
        <v>444815.87</v>
      </c>
      <c r="E210" s="25">
        <v>4639859.66</v>
      </c>
      <c r="F210" s="25">
        <v>941754.32449999999</v>
      </c>
      <c r="G210" s="26">
        <f t="shared" si="3"/>
        <v>6026429.8545000004</v>
      </c>
      <c r="H210" s="27"/>
      <c r="I210" s="27"/>
      <c r="J210" s="28"/>
      <c r="K210" s="28"/>
      <c r="L210" s="28"/>
      <c r="M210" s="28"/>
      <c r="N210" s="27"/>
      <c r="O210" s="27"/>
      <c r="P210" s="28"/>
      <c r="Q210" s="28"/>
      <c r="R210" s="28"/>
    </row>
    <row r="211" spans="1:18" ht="17.649999999999999">
      <c r="A211" s="23">
        <v>206</v>
      </c>
      <c r="B211" s="24" t="s">
        <v>95</v>
      </c>
      <c r="C211" s="24" t="s">
        <v>561</v>
      </c>
      <c r="D211" s="25">
        <v>352612.41</v>
      </c>
      <c r="E211" s="25">
        <v>3678088.45</v>
      </c>
      <c r="F211" s="25">
        <v>746543.20539999998</v>
      </c>
      <c r="G211" s="26">
        <f t="shared" si="3"/>
        <v>4777244.0654000007</v>
      </c>
      <c r="H211" s="27"/>
      <c r="I211" s="27"/>
      <c r="J211" s="28"/>
      <c r="K211" s="28"/>
      <c r="L211" s="28"/>
      <c r="M211" s="28"/>
      <c r="N211" s="27"/>
      <c r="O211" s="27"/>
      <c r="P211" s="28"/>
      <c r="Q211" s="28"/>
      <c r="R211" s="28"/>
    </row>
    <row r="212" spans="1:18" ht="17.649999999999999">
      <c r="A212" s="23">
        <v>207</v>
      </c>
      <c r="B212" s="24" t="s">
        <v>95</v>
      </c>
      <c r="C212" s="24" t="s">
        <v>563</v>
      </c>
      <c r="D212" s="25">
        <v>279652.96000000002</v>
      </c>
      <c r="E212" s="25">
        <v>2917050.77</v>
      </c>
      <c r="F212" s="25">
        <v>592075.05810000002</v>
      </c>
      <c r="G212" s="26">
        <f t="shared" si="3"/>
        <v>3788778.7881</v>
      </c>
      <c r="H212" s="27"/>
      <c r="I212" s="27"/>
      <c r="J212" s="28"/>
      <c r="K212" s="28"/>
      <c r="L212" s="28"/>
      <c r="M212" s="28"/>
      <c r="N212" s="27"/>
      <c r="O212" s="27"/>
      <c r="P212" s="28"/>
      <c r="Q212" s="28"/>
      <c r="R212" s="28"/>
    </row>
    <row r="213" spans="1:18" ht="17.649999999999999">
      <c r="A213" s="23">
        <v>208</v>
      </c>
      <c r="B213" s="24" t="s">
        <v>95</v>
      </c>
      <c r="C213" s="24" t="s">
        <v>565</v>
      </c>
      <c r="D213" s="25">
        <v>328588.5</v>
      </c>
      <c r="E213" s="25">
        <v>3427495.81</v>
      </c>
      <c r="F213" s="25">
        <v>695680.30969999998</v>
      </c>
      <c r="G213" s="26">
        <f t="shared" si="3"/>
        <v>4451764.6196999997</v>
      </c>
      <c r="H213" s="27"/>
      <c r="I213" s="27"/>
      <c r="J213" s="28"/>
      <c r="K213" s="28"/>
      <c r="L213" s="28"/>
      <c r="M213" s="28"/>
      <c r="N213" s="27"/>
      <c r="O213" s="27"/>
      <c r="P213" s="28"/>
      <c r="Q213" s="28"/>
      <c r="R213" s="28"/>
    </row>
    <row r="214" spans="1:18" ht="17.649999999999999">
      <c r="A214" s="23">
        <v>209</v>
      </c>
      <c r="B214" s="24" t="s">
        <v>95</v>
      </c>
      <c r="C214" s="24" t="s">
        <v>567</v>
      </c>
      <c r="D214" s="25">
        <v>336040.73</v>
      </c>
      <c r="E214" s="25">
        <v>4259391.76</v>
      </c>
      <c r="F214" s="25">
        <v>711458.01379999996</v>
      </c>
      <c r="G214" s="26">
        <f t="shared" si="3"/>
        <v>5306890.5038000001</v>
      </c>
      <c r="H214" s="27"/>
      <c r="I214" s="27"/>
      <c r="J214" s="28"/>
      <c r="K214" s="28"/>
      <c r="L214" s="28"/>
      <c r="M214" s="28"/>
      <c r="N214" s="27"/>
      <c r="O214" s="27"/>
      <c r="P214" s="28"/>
      <c r="Q214" s="28"/>
      <c r="R214" s="28"/>
    </row>
    <row r="215" spans="1:18" ht="17.649999999999999">
      <c r="A215" s="23">
        <v>210</v>
      </c>
      <c r="B215" s="24" t="s">
        <v>95</v>
      </c>
      <c r="C215" s="24" t="s">
        <v>569</v>
      </c>
      <c r="D215" s="25">
        <v>408341.02</v>
      </c>
      <c r="E215" s="25">
        <v>3505229.82</v>
      </c>
      <c r="F215" s="25">
        <v>864530.59019999998</v>
      </c>
      <c r="G215" s="26">
        <f t="shared" si="3"/>
        <v>4778101.4301999994</v>
      </c>
      <c r="H215" s="27"/>
      <c r="I215" s="27"/>
      <c r="J215" s="28"/>
      <c r="K215" s="28"/>
      <c r="L215" s="28"/>
      <c r="M215" s="28"/>
      <c r="N215" s="27"/>
      <c r="O215" s="27"/>
      <c r="P215" s="28"/>
      <c r="Q215" s="28"/>
      <c r="R215" s="28"/>
    </row>
    <row r="216" spans="1:18" ht="35.25">
      <c r="A216" s="23">
        <v>211</v>
      </c>
      <c r="B216" s="24" t="s">
        <v>95</v>
      </c>
      <c r="C216" s="24" t="s">
        <v>571</v>
      </c>
      <c r="D216" s="25">
        <v>322714.21000000002</v>
      </c>
      <c r="E216" s="25">
        <v>3366221.28</v>
      </c>
      <c r="F216" s="25">
        <v>683243.39130000002</v>
      </c>
      <c r="G216" s="26">
        <f t="shared" si="3"/>
        <v>4372178.8812999995</v>
      </c>
      <c r="H216" s="27"/>
      <c r="I216" s="27"/>
      <c r="J216" s="28"/>
      <c r="K216" s="28"/>
      <c r="L216" s="28"/>
      <c r="M216" s="28"/>
      <c r="N216" s="27"/>
      <c r="O216" s="27"/>
      <c r="P216" s="28"/>
      <c r="Q216" s="28"/>
      <c r="R216" s="28"/>
    </row>
    <row r="217" spans="1:18" ht="17.649999999999999">
      <c r="A217" s="23">
        <v>212</v>
      </c>
      <c r="B217" s="24" t="s">
        <v>96</v>
      </c>
      <c r="C217" s="24" t="s">
        <v>576</v>
      </c>
      <c r="D217" s="25">
        <v>366463.6</v>
      </c>
      <c r="E217" s="25">
        <v>3822569.71</v>
      </c>
      <c r="F217" s="25">
        <v>775868.62890000001</v>
      </c>
      <c r="G217" s="26">
        <f t="shared" si="3"/>
        <v>4964901.9389000004</v>
      </c>
      <c r="H217" s="27"/>
      <c r="I217" s="27"/>
      <c r="J217" s="28"/>
      <c r="K217" s="28"/>
      <c r="L217" s="28"/>
      <c r="M217" s="28"/>
      <c r="N217" s="27"/>
      <c r="O217" s="27"/>
      <c r="P217" s="28"/>
      <c r="Q217" s="28"/>
      <c r="R217" s="28"/>
    </row>
    <row r="218" spans="1:18" ht="17.649999999999999">
      <c r="A218" s="23">
        <v>213</v>
      </c>
      <c r="B218" s="24" t="s">
        <v>96</v>
      </c>
      <c r="C218" s="24" t="s">
        <v>578</v>
      </c>
      <c r="D218" s="25">
        <v>344108.74</v>
      </c>
      <c r="E218" s="25">
        <v>3589386.95</v>
      </c>
      <c r="F218" s="25">
        <v>728539.42339999997</v>
      </c>
      <c r="G218" s="26">
        <f t="shared" si="3"/>
        <v>4662035.1134000001</v>
      </c>
      <c r="H218" s="27"/>
      <c r="I218" s="27"/>
      <c r="J218" s="28"/>
      <c r="K218" s="28"/>
      <c r="L218" s="28"/>
      <c r="M218" s="28"/>
      <c r="N218" s="27"/>
      <c r="O218" s="27"/>
      <c r="P218" s="28"/>
      <c r="Q218" s="28"/>
      <c r="R218" s="28"/>
    </row>
    <row r="219" spans="1:18" ht="17.649999999999999">
      <c r="A219" s="23">
        <v>214</v>
      </c>
      <c r="B219" s="24" t="s">
        <v>96</v>
      </c>
      <c r="C219" s="24" t="s">
        <v>580</v>
      </c>
      <c r="D219" s="25">
        <v>347071.04</v>
      </c>
      <c r="E219" s="25">
        <v>3620286.59</v>
      </c>
      <c r="F219" s="25">
        <v>734811.13760000002</v>
      </c>
      <c r="G219" s="26">
        <f t="shared" si="3"/>
        <v>4702168.7675999999</v>
      </c>
      <c r="H219" s="27"/>
      <c r="I219" s="27"/>
      <c r="J219" s="28"/>
      <c r="K219" s="28"/>
      <c r="L219" s="28"/>
      <c r="M219" s="28"/>
      <c r="N219" s="27"/>
      <c r="O219" s="27"/>
      <c r="P219" s="28"/>
      <c r="Q219" s="28"/>
      <c r="R219" s="28"/>
    </row>
    <row r="220" spans="1:18" ht="17.649999999999999">
      <c r="A220" s="23">
        <v>215</v>
      </c>
      <c r="B220" s="24" t="s">
        <v>96</v>
      </c>
      <c r="C220" s="24" t="s">
        <v>96</v>
      </c>
      <c r="D220" s="25">
        <v>334673.46999999997</v>
      </c>
      <c r="E220" s="25">
        <v>3490967.88</v>
      </c>
      <c r="F220" s="25">
        <v>708563.26280000003</v>
      </c>
      <c r="G220" s="26">
        <f t="shared" si="3"/>
        <v>4534204.6127999993</v>
      </c>
      <c r="H220" s="27"/>
      <c r="I220" s="27"/>
      <c r="J220" s="28"/>
      <c r="K220" s="28"/>
      <c r="L220" s="28"/>
      <c r="M220" s="28"/>
      <c r="N220" s="27"/>
      <c r="O220" s="27"/>
      <c r="P220" s="28"/>
      <c r="Q220" s="28"/>
      <c r="R220" s="28"/>
    </row>
    <row r="221" spans="1:18" ht="17.649999999999999">
      <c r="A221" s="23">
        <v>216</v>
      </c>
      <c r="B221" s="24" t="s">
        <v>96</v>
      </c>
      <c r="C221" s="24" t="s">
        <v>583</v>
      </c>
      <c r="D221" s="25">
        <v>333587.43</v>
      </c>
      <c r="E221" s="25">
        <v>3479639.5</v>
      </c>
      <c r="F221" s="25">
        <v>706263.93599999999</v>
      </c>
      <c r="G221" s="26">
        <f t="shared" si="3"/>
        <v>4519490.8660000004</v>
      </c>
      <c r="H221" s="27"/>
      <c r="I221" s="27"/>
      <c r="J221" s="28"/>
      <c r="K221" s="28"/>
      <c r="L221" s="28"/>
      <c r="M221" s="28"/>
      <c r="N221" s="27"/>
      <c r="O221" s="27"/>
      <c r="P221" s="28"/>
      <c r="Q221" s="28"/>
      <c r="R221" s="28"/>
    </row>
    <row r="222" spans="1:18" ht="17.649999999999999">
      <c r="A222" s="23">
        <v>217</v>
      </c>
      <c r="B222" s="24" t="s">
        <v>96</v>
      </c>
      <c r="C222" s="24" t="s">
        <v>585</v>
      </c>
      <c r="D222" s="25">
        <v>346728.1</v>
      </c>
      <c r="E222" s="25">
        <v>3616709.37</v>
      </c>
      <c r="F222" s="25">
        <v>734085.06790000002</v>
      </c>
      <c r="G222" s="26">
        <f t="shared" si="3"/>
        <v>4697522.5378999999</v>
      </c>
      <c r="H222" s="27"/>
      <c r="I222" s="27"/>
      <c r="J222" s="28"/>
      <c r="K222" s="28"/>
      <c r="L222" s="28"/>
      <c r="M222" s="28"/>
      <c r="N222" s="27"/>
      <c r="O222" s="27"/>
      <c r="P222" s="28"/>
      <c r="Q222" s="28"/>
      <c r="R222" s="28"/>
    </row>
    <row r="223" spans="1:18" ht="17.649999999999999">
      <c r="A223" s="23">
        <v>218</v>
      </c>
      <c r="B223" s="24" t="s">
        <v>96</v>
      </c>
      <c r="C223" s="24" t="s">
        <v>587</v>
      </c>
      <c r="D223" s="25">
        <v>405125.37</v>
      </c>
      <c r="E223" s="25">
        <v>4225849.38</v>
      </c>
      <c r="F223" s="25">
        <v>857722.47939999995</v>
      </c>
      <c r="G223" s="26">
        <f t="shared" si="3"/>
        <v>5488697.2293999996</v>
      </c>
      <c r="H223" s="27"/>
      <c r="I223" s="27"/>
      <c r="J223" s="28"/>
      <c r="K223" s="28"/>
      <c r="L223" s="28"/>
      <c r="M223" s="28"/>
      <c r="N223" s="27"/>
      <c r="O223" s="27"/>
      <c r="P223" s="28"/>
      <c r="Q223" s="28"/>
      <c r="R223" s="28"/>
    </row>
    <row r="224" spans="1:18" ht="17.649999999999999">
      <c r="A224" s="23">
        <v>219</v>
      </c>
      <c r="B224" s="24" t="s">
        <v>96</v>
      </c>
      <c r="C224" s="24" t="s">
        <v>589</v>
      </c>
      <c r="D224" s="25">
        <v>358849.26</v>
      </c>
      <c r="E224" s="25">
        <v>3743144.8</v>
      </c>
      <c r="F224" s="25">
        <v>759747.72030000004</v>
      </c>
      <c r="G224" s="26">
        <f t="shared" si="3"/>
        <v>4861741.7802999998</v>
      </c>
      <c r="H224" s="27"/>
      <c r="I224" s="27"/>
      <c r="J224" s="28"/>
      <c r="K224" s="28"/>
      <c r="L224" s="28"/>
      <c r="M224" s="28"/>
      <c r="N224" s="27"/>
      <c r="O224" s="27"/>
      <c r="P224" s="28"/>
      <c r="Q224" s="28"/>
      <c r="R224" s="28"/>
    </row>
    <row r="225" spans="1:18" ht="17.649999999999999">
      <c r="A225" s="23">
        <v>220</v>
      </c>
      <c r="B225" s="24" t="s">
        <v>96</v>
      </c>
      <c r="C225" s="24" t="s">
        <v>591</v>
      </c>
      <c r="D225" s="25">
        <v>324672.61</v>
      </c>
      <c r="E225" s="25">
        <v>3386649.25</v>
      </c>
      <c r="F225" s="25">
        <v>687389.66469999996</v>
      </c>
      <c r="G225" s="26">
        <f t="shared" si="3"/>
        <v>4398711.5247</v>
      </c>
      <c r="H225" s="27"/>
      <c r="I225" s="27"/>
      <c r="J225" s="28"/>
      <c r="K225" s="28"/>
      <c r="L225" s="28"/>
      <c r="M225" s="28"/>
      <c r="N225" s="27"/>
      <c r="O225" s="27"/>
      <c r="P225" s="28"/>
      <c r="Q225" s="28"/>
      <c r="R225" s="28"/>
    </row>
    <row r="226" spans="1:18" ht="17.649999999999999">
      <c r="A226" s="23">
        <v>221</v>
      </c>
      <c r="B226" s="24" t="s">
        <v>96</v>
      </c>
      <c r="C226" s="24" t="s">
        <v>593</v>
      </c>
      <c r="D226" s="25">
        <v>450968.85</v>
      </c>
      <c r="E226" s="25">
        <v>4704041.16</v>
      </c>
      <c r="F226" s="25">
        <v>954781.27060000005</v>
      </c>
      <c r="G226" s="26">
        <f t="shared" si="3"/>
        <v>6109791.2806000002</v>
      </c>
      <c r="H226" s="27"/>
      <c r="I226" s="27"/>
      <c r="J226" s="28"/>
      <c r="K226" s="28"/>
      <c r="L226" s="28"/>
      <c r="M226" s="28"/>
      <c r="N226" s="27"/>
      <c r="O226" s="27"/>
      <c r="P226" s="28"/>
      <c r="Q226" s="28"/>
      <c r="R226" s="28"/>
    </row>
    <row r="227" spans="1:18" ht="17.649999999999999">
      <c r="A227" s="23">
        <v>222</v>
      </c>
      <c r="B227" s="24" t="s">
        <v>96</v>
      </c>
      <c r="C227" s="24" t="s">
        <v>595</v>
      </c>
      <c r="D227" s="25">
        <v>349854.9</v>
      </c>
      <c r="E227" s="25">
        <v>3649324.89</v>
      </c>
      <c r="F227" s="25">
        <v>740705.05240000004</v>
      </c>
      <c r="G227" s="26">
        <f t="shared" si="3"/>
        <v>4739884.8424000004</v>
      </c>
      <c r="H227" s="27"/>
      <c r="I227" s="27"/>
      <c r="J227" s="28"/>
      <c r="K227" s="28"/>
      <c r="L227" s="28"/>
      <c r="M227" s="28"/>
      <c r="N227" s="27"/>
      <c r="O227" s="27"/>
      <c r="P227" s="28"/>
      <c r="Q227" s="28"/>
      <c r="R227" s="28"/>
    </row>
    <row r="228" spans="1:18" ht="17.649999999999999">
      <c r="A228" s="23">
        <v>223</v>
      </c>
      <c r="B228" s="24" t="s">
        <v>96</v>
      </c>
      <c r="C228" s="24" t="s">
        <v>597</v>
      </c>
      <c r="D228" s="25">
        <v>386038</v>
      </c>
      <c r="E228" s="25">
        <v>4026749.69</v>
      </c>
      <c r="F228" s="25">
        <v>817311.12789999996</v>
      </c>
      <c r="G228" s="26">
        <f t="shared" si="3"/>
        <v>5230098.8178999992</v>
      </c>
      <c r="H228" s="27"/>
      <c r="I228" s="27"/>
      <c r="J228" s="28"/>
      <c r="K228" s="28"/>
      <c r="L228" s="28"/>
      <c r="M228" s="28"/>
      <c r="N228" s="27"/>
      <c r="O228" s="27"/>
      <c r="P228" s="28"/>
      <c r="Q228" s="28"/>
      <c r="R228" s="28"/>
    </row>
    <row r="229" spans="1:18" ht="17.649999999999999">
      <c r="A229" s="23">
        <v>224</v>
      </c>
      <c r="B229" s="24" t="s">
        <v>96</v>
      </c>
      <c r="C229" s="24" t="s">
        <v>598</v>
      </c>
      <c r="D229" s="25">
        <v>422807.4</v>
      </c>
      <c r="E229" s="25">
        <v>4410290.05</v>
      </c>
      <c r="F229" s="25">
        <v>895158.48019999999</v>
      </c>
      <c r="G229" s="26">
        <f t="shared" si="3"/>
        <v>5728255.9302000003</v>
      </c>
      <c r="H229" s="27"/>
      <c r="I229" s="27"/>
      <c r="J229" s="28"/>
      <c r="K229" s="28"/>
      <c r="L229" s="28"/>
      <c r="M229" s="28"/>
      <c r="N229" s="27"/>
      <c r="O229" s="27"/>
      <c r="P229" s="28"/>
      <c r="Q229" s="28"/>
      <c r="R229" s="28"/>
    </row>
    <row r="230" spans="1:18" ht="17.649999999999999">
      <c r="A230" s="23">
        <v>225</v>
      </c>
      <c r="B230" s="24" t="s">
        <v>97</v>
      </c>
      <c r="C230" s="24" t="s">
        <v>603</v>
      </c>
      <c r="D230" s="25">
        <v>438963.94</v>
      </c>
      <c r="E230" s="25">
        <v>4578818.37</v>
      </c>
      <c r="F230" s="25">
        <v>929364.74690000003</v>
      </c>
      <c r="G230" s="26">
        <f t="shared" si="3"/>
        <v>5947147.0569000002</v>
      </c>
      <c r="H230" s="27"/>
      <c r="I230" s="27"/>
      <c r="J230" s="28"/>
      <c r="K230" s="28"/>
      <c r="L230" s="28"/>
      <c r="M230" s="28"/>
      <c r="N230" s="27"/>
      <c r="O230" s="27"/>
      <c r="P230" s="28"/>
      <c r="Q230" s="28"/>
      <c r="R230" s="28"/>
    </row>
    <row r="231" spans="1:18" ht="17.649999999999999">
      <c r="A231" s="23">
        <v>226</v>
      </c>
      <c r="B231" s="24" t="s">
        <v>97</v>
      </c>
      <c r="C231" s="24" t="s">
        <v>605</v>
      </c>
      <c r="D231" s="25">
        <v>416920.22</v>
      </c>
      <c r="E231" s="25">
        <v>4348881.1100000003</v>
      </c>
      <c r="F231" s="25">
        <v>882694.28119999997</v>
      </c>
      <c r="G231" s="26">
        <f t="shared" si="3"/>
        <v>5648495.6112000002</v>
      </c>
      <c r="H231" s="27"/>
      <c r="I231" s="27"/>
      <c r="J231" s="28"/>
      <c r="K231" s="28"/>
      <c r="L231" s="28"/>
      <c r="M231" s="28"/>
      <c r="N231" s="27"/>
      <c r="O231" s="27"/>
      <c r="P231" s="28"/>
      <c r="Q231" s="28"/>
      <c r="R231" s="28"/>
    </row>
    <row r="232" spans="1:18" ht="17.649999999999999">
      <c r="A232" s="23">
        <v>227</v>
      </c>
      <c r="B232" s="24" t="s">
        <v>97</v>
      </c>
      <c r="C232" s="24" t="s">
        <v>606</v>
      </c>
      <c r="D232" s="25">
        <v>275883.75</v>
      </c>
      <c r="E232" s="25">
        <v>2877734.28</v>
      </c>
      <c r="F232" s="25">
        <v>584094.97329999995</v>
      </c>
      <c r="G232" s="26">
        <f t="shared" si="3"/>
        <v>3737713.0033</v>
      </c>
      <c r="H232" s="27"/>
      <c r="I232" s="27"/>
      <c r="J232" s="28"/>
      <c r="K232" s="28"/>
      <c r="L232" s="28"/>
      <c r="M232" s="28"/>
      <c r="N232" s="27"/>
      <c r="O232" s="27"/>
      <c r="P232" s="28"/>
      <c r="Q232" s="28"/>
      <c r="R232" s="28"/>
    </row>
    <row r="233" spans="1:18" ht="35.25">
      <c r="A233" s="23">
        <v>228</v>
      </c>
      <c r="B233" s="24" t="s">
        <v>97</v>
      </c>
      <c r="C233" s="24" t="s">
        <v>608</v>
      </c>
      <c r="D233" s="25">
        <v>284030.45</v>
      </c>
      <c r="E233" s="25">
        <v>2962712.23</v>
      </c>
      <c r="F233" s="25">
        <v>601342.98439999996</v>
      </c>
      <c r="G233" s="26">
        <f t="shared" si="3"/>
        <v>3848085.6644000001</v>
      </c>
      <c r="H233" s="27"/>
      <c r="I233" s="27"/>
      <c r="J233" s="28"/>
      <c r="K233" s="28"/>
      <c r="L233" s="28"/>
      <c r="M233" s="28"/>
      <c r="N233" s="27"/>
      <c r="O233" s="27"/>
      <c r="P233" s="28"/>
      <c r="Q233" s="28"/>
      <c r="R233" s="28"/>
    </row>
    <row r="234" spans="1:18" ht="35.25">
      <c r="A234" s="23">
        <v>229</v>
      </c>
      <c r="B234" s="24" t="s">
        <v>97</v>
      </c>
      <c r="C234" s="24" t="s">
        <v>610</v>
      </c>
      <c r="D234" s="25">
        <v>340082.41</v>
      </c>
      <c r="E234" s="25">
        <v>3547388.39</v>
      </c>
      <c r="F234" s="25">
        <v>720014.95770000003</v>
      </c>
      <c r="G234" s="26">
        <f t="shared" si="3"/>
        <v>4607485.7577</v>
      </c>
      <c r="H234" s="27"/>
      <c r="I234" s="27"/>
      <c r="J234" s="28"/>
      <c r="K234" s="28"/>
      <c r="L234" s="28"/>
      <c r="M234" s="28"/>
      <c r="N234" s="27"/>
      <c r="O234" s="27"/>
      <c r="P234" s="28"/>
      <c r="Q234" s="28"/>
      <c r="R234" s="28"/>
    </row>
    <row r="235" spans="1:18" ht="17.649999999999999">
      <c r="A235" s="23">
        <v>230</v>
      </c>
      <c r="B235" s="24" t="s">
        <v>97</v>
      </c>
      <c r="C235" s="24" t="s">
        <v>612</v>
      </c>
      <c r="D235" s="25">
        <v>289057.75</v>
      </c>
      <c r="E235" s="25">
        <v>3015151.89</v>
      </c>
      <c r="F235" s="25">
        <v>611986.68400000001</v>
      </c>
      <c r="G235" s="26">
        <f t="shared" si="3"/>
        <v>3916196.324</v>
      </c>
      <c r="H235" s="27"/>
      <c r="I235" s="27"/>
      <c r="J235" s="28"/>
      <c r="K235" s="28"/>
      <c r="L235" s="28"/>
      <c r="M235" s="28"/>
      <c r="N235" s="27"/>
      <c r="O235" s="27"/>
      <c r="P235" s="28"/>
      <c r="Q235" s="28"/>
      <c r="R235" s="28"/>
    </row>
    <row r="236" spans="1:18" ht="35.25">
      <c r="A236" s="23">
        <v>231</v>
      </c>
      <c r="B236" s="24" t="s">
        <v>97</v>
      </c>
      <c r="C236" s="24" t="s">
        <v>614</v>
      </c>
      <c r="D236" s="25">
        <v>289323.62</v>
      </c>
      <c r="E236" s="25">
        <v>3017925.17</v>
      </c>
      <c r="F236" s="25">
        <v>612549.57889999996</v>
      </c>
      <c r="G236" s="26">
        <f t="shared" si="3"/>
        <v>3919798.3689000001</v>
      </c>
      <c r="H236" s="27"/>
      <c r="I236" s="27"/>
      <c r="J236" s="28"/>
      <c r="K236" s="28"/>
      <c r="L236" s="28"/>
      <c r="M236" s="28"/>
      <c r="N236" s="27"/>
      <c r="O236" s="27"/>
      <c r="P236" s="28"/>
      <c r="Q236" s="28"/>
      <c r="R236" s="28"/>
    </row>
    <row r="237" spans="1:18" ht="17.649999999999999">
      <c r="A237" s="23">
        <v>232</v>
      </c>
      <c r="B237" s="24" t="s">
        <v>97</v>
      </c>
      <c r="C237" s="24" t="s">
        <v>616</v>
      </c>
      <c r="D237" s="25">
        <v>335639.52</v>
      </c>
      <c r="E237" s="25">
        <v>3501044.8</v>
      </c>
      <c r="F237" s="25">
        <v>710608.57849999995</v>
      </c>
      <c r="G237" s="26">
        <f t="shared" si="3"/>
        <v>4547292.8985000001</v>
      </c>
      <c r="H237" s="27"/>
      <c r="I237" s="27"/>
      <c r="J237" s="28"/>
      <c r="K237" s="28"/>
      <c r="L237" s="28"/>
      <c r="M237" s="28"/>
      <c r="N237" s="27"/>
      <c r="O237" s="27"/>
      <c r="P237" s="28"/>
      <c r="Q237" s="28"/>
      <c r="R237" s="28"/>
    </row>
    <row r="238" spans="1:18" ht="17.649999999999999">
      <c r="A238" s="23">
        <v>233</v>
      </c>
      <c r="B238" s="24" t="s">
        <v>97</v>
      </c>
      <c r="C238" s="24" t="s">
        <v>618</v>
      </c>
      <c r="D238" s="25">
        <v>369412.49</v>
      </c>
      <c r="E238" s="25">
        <v>3853329.52</v>
      </c>
      <c r="F238" s="25">
        <v>782111.96169999999</v>
      </c>
      <c r="G238" s="26">
        <f t="shared" si="3"/>
        <v>5004853.9716999996</v>
      </c>
      <c r="H238" s="27"/>
      <c r="I238" s="27"/>
      <c r="J238" s="28"/>
      <c r="K238" s="28"/>
      <c r="L238" s="28"/>
      <c r="M238" s="28"/>
      <c r="N238" s="27"/>
      <c r="O238" s="27"/>
      <c r="P238" s="28"/>
      <c r="Q238" s="28"/>
      <c r="R238" s="28"/>
    </row>
    <row r="239" spans="1:18" ht="17.649999999999999">
      <c r="A239" s="23">
        <v>234</v>
      </c>
      <c r="B239" s="24" t="s">
        <v>97</v>
      </c>
      <c r="C239" s="24" t="s">
        <v>620</v>
      </c>
      <c r="D239" s="25">
        <v>268801.8</v>
      </c>
      <c r="E239" s="25">
        <v>2803862.68</v>
      </c>
      <c r="F239" s="25">
        <v>569101.22270000004</v>
      </c>
      <c r="G239" s="26">
        <f t="shared" si="3"/>
        <v>3641765.7027000003</v>
      </c>
      <c r="H239" s="27"/>
      <c r="I239" s="27"/>
      <c r="J239" s="28"/>
      <c r="K239" s="28"/>
      <c r="L239" s="28"/>
      <c r="M239" s="28"/>
      <c r="N239" s="27"/>
      <c r="O239" s="27"/>
      <c r="P239" s="28"/>
      <c r="Q239" s="28"/>
      <c r="R239" s="28"/>
    </row>
    <row r="240" spans="1:18" ht="17.649999999999999">
      <c r="A240" s="23">
        <v>235</v>
      </c>
      <c r="B240" s="24" t="s">
        <v>97</v>
      </c>
      <c r="C240" s="24" t="s">
        <v>622</v>
      </c>
      <c r="D240" s="25">
        <v>461233.91</v>
      </c>
      <c r="E240" s="25">
        <v>4811115.67</v>
      </c>
      <c r="F240" s="25">
        <v>976514.23010000004</v>
      </c>
      <c r="G240" s="26">
        <f t="shared" si="3"/>
        <v>6248863.8101000004</v>
      </c>
      <c r="H240" s="27"/>
      <c r="I240" s="27"/>
      <c r="J240" s="28"/>
      <c r="K240" s="28"/>
      <c r="L240" s="28"/>
      <c r="M240" s="28"/>
      <c r="N240" s="27"/>
      <c r="O240" s="27"/>
      <c r="P240" s="28"/>
      <c r="Q240" s="28"/>
      <c r="R240" s="28"/>
    </row>
    <row r="241" spans="1:18" ht="17.649999999999999">
      <c r="A241" s="23">
        <v>236</v>
      </c>
      <c r="B241" s="24" t="s">
        <v>97</v>
      </c>
      <c r="C241" s="24" t="s">
        <v>624</v>
      </c>
      <c r="D241" s="25">
        <v>474683.07</v>
      </c>
      <c r="E241" s="25">
        <v>4951403.4400000004</v>
      </c>
      <c r="F241" s="25">
        <v>1004988.4997</v>
      </c>
      <c r="G241" s="26">
        <f t="shared" si="3"/>
        <v>6431075.0097000003</v>
      </c>
      <c r="H241" s="27"/>
      <c r="I241" s="27"/>
      <c r="J241" s="28"/>
      <c r="K241" s="28"/>
      <c r="L241" s="28"/>
      <c r="M241" s="28"/>
      <c r="N241" s="27"/>
      <c r="O241" s="27"/>
      <c r="P241" s="28"/>
      <c r="Q241" s="28"/>
      <c r="R241" s="28"/>
    </row>
    <row r="242" spans="1:18" ht="17.649999999999999">
      <c r="A242" s="23">
        <v>237</v>
      </c>
      <c r="B242" s="24" t="s">
        <v>97</v>
      </c>
      <c r="C242" s="24" t="s">
        <v>626</v>
      </c>
      <c r="D242" s="25">
        <v>372060.04</v>
      </c>
      <c r="E242" s="25">
        <v>3880946.01</v>
      </c>
      <c r="F242" s="25">
        <v>787717.29189999995</v>
      </c>
      <c r="G242" s="26">
        <f t="shared" si="3"/>
        <v>5040723.3418999994</v>
      </c>
      <c r="H242" s="27"/>
      <c r="I242" s="27"/>
      <c r="J242" s="28"/>
      <c r="K242" s="28"/>
      <c r="L242" s="28"/>
      <c r="M242" s="28"/>
      <c r="N242" s="27"/>
      <c r="O242" s="27"/>
      <c r="P242" s="28"/>
      <c r="Q242" s="28"/>
      <c r="R242" s="28"/>
    </row>
    <row r="243" spans="1:18" ht="35.25">
      <c r="A243" s="23">
        <v>238</v>
      </c>
      <c r="B243" s="24" t="s">
        <v>97</v>
      </c>
      <c r="C243" s="24" t="s">
        <v>628</v>
      </c>
      <c r="D243" s="25">
        <v>354824.44</v>
      </c>
      <c r="E243" s="25">
        <v>3701162.01</v>
      </c>
      <c r="F243" s="25">
        <v>751226.45490000001</v>
      </c>
      <c r="G243" s="26">
        <f t="shared" si="3"/>
        <v>4807212.9048999995</v>
      </c>
      <c r="H243" s="27"/>
      <c r="I243" s="27"/>
      <c r="J243" s="28"/>
      <c r="K243" s="28"/>
      <c r="L243" s="28"/>
      <c r="M243" s="28"/>
      <c r="N243" s="27"/>
      <c r="O243" s="27"/>
      <c r="P243" s="28"/>
      <c r="Q243" s="28"/>
      <c r="R243" s="28"/>
    </row>
    <row r="244" spans="1:18" ht="35.25">
      <c r="A244" s="23">
        <v>239</v>
      </c>
      <c r="B244" s="24" t="s">
        <v>97</v>
      </c>
      <c r="C244" s="24" t="s">
        <v>630</v>
      </c>
      <c r="D244" s="25">
        <v>387261.68</v>
      </c>
      <c r="E244" s="25">
        <v>4039513.8</v>
      </c>
      <c r="F244" s="25">
        <v>819901.86450000003</v>
      </c>
      <c r="G244" s="26">
        <f t="shared" si="3"/>
        <v>5246677.3444999997</v>
      </c>
      <c r="H244" s="27"/>
      <c r="I244" s="27"/>
      <c r="J244" s="28"/>
      <c r="K244" s="28"/>
      <c r="L244" s="28"/>
      <c r="M244" s="28"/>
      <c r="N244" s="27"/>
      <c r="O244" s="27"/>
      <c r="P244" s="28"/>
      <c r="Q244" s="28"/>
      <c r="R244" s="28"/>
    </row>
    <row r="245" spans="1:18" ht="17.649999999999999">
      <c r="A245" s="23">
        <v>240</v>
      </c>
      <c r="B245" s="24" t="s">
        <v>97</v>
      </c>
      <c r="C245" s="24" t="s">
        <v>632</v>
      </c>
      <c r="D245" s="25">
        <v>339708.94</v>
      </c>
      <c r="E245" s="25">
        <v>3543492.74</v>
      </c>
      <c r="F245" s="25">
        <v>719224.25639999995</v>
      </c>
      <c r="G245" s="26">
        <f t="shared" si="3"/>
        <v>4602425.9364</v>
      </c>
      <c r="H245" s="27"/>
      <c r="I245" s="27"/>
      <c r="J245" s="28"/>
      <c r="K245" s="28"/>
      <c r="L245" s="28"/>
      <c r="M245" s="28"/>
      <c r="N245" s="27"/>
      <c r="O245" s="27"/>
      <c r="P245" s="28"/>
      <c r="Q245" s="28"/>
      <c r="R245" s="28"/>
    </row>
    <row r="246" spans="1:18" ht="17.649999999999999">
      <c r="A246" s="23">
        <v>241</v>
      </c>
      <c r="B246" s="24" t="s">
        <v>97</v>
      </c>
      <c r="C246" s="24" t="s">
        <v>634</v>
      </c>
      <c r="D246" s="25">
        <v>278607.46000000002</v>
      </c>
      <c r="E246" s="25">
        <v>2906145.21</v>
      </c>
      <c r="F246" s="25">
        <v>589861.55169999995</v>
      </c>
      <c r="G246" s="26">
        <f t="shared" si="3"/>
        <v>3774614.2216999996</v>
      </c>
      <c r="H246" s="27"/>
      <c r="I246" s="27"/>
      <c r="J246" s="28"/>
      <c r="K246" s="28"/>
      <c r="L246" s="28"/>
      <c r="M246" s="28"/>
      <c r="N246" s="27"/>
      <c r="O246" s="27"/>
      <c r="P246" s="28"/>
      <c r="Q246" s="28"/>
      <c r="R246" s="28"/>
    </row>
    <row r="247" spans="1:18" ht="17.649999999999999">
      <c r="A247" s="23">
        <v>242</v>
      </c>
      <c r="B247" s="24" t="s">
        <v>97</v>
      </c>
      <c r="C247" s="24" t="s">
        <v>636</v>
      </c>
      <c r="D247" s="25">
        <v>346698.87</v>
      </c>
      <c r="E247" s="25">
        <v>3616404.52</v>
      </c>
      <c r="F247" s="25">
        <v>734023.19220000005</v>
      </c>
      <c r="G247" s="26">
        <f t="shared" si="3"/>
        <v>4697126.5822000001</v>
      </c>
      <c r="H247" s="27"/>
      <c r="I247" s="27"/>
      <c r="J247" s="28"/>
      <c r="K247" s="28"/>
      <c r="L247" s="28"/>
      <c r="M247" s="28"/>
      <c r="N247" s="27"/>
      <c r="O247" s="27"/>
      <c r="P247" s="28"/>
      <c r="Q247" s="28"/>
      <c r="R247" s="28"/>
    </row>
    <row r="248" spans="1:18" ht="17.649999999999999">
      <c r="A248" s="23">
        <v>243</v>
      </c>
      <c r="B248" s="24" t="s">
        <v>98</v>
      </c>
      <c r="C248" s="24" t="s">
        <v>640</v>
      </c>
      <c r="D248" s="25">
        <v>407378.55</v>
      </c>
      <c r="E248" s="25">
        <v>4249352.2699999996</v>
      </c>
      <c r="F248" s="25">
        <v>862492.86950000003</v>
      </c>
      <c r="G248" s="26">
        <f t="shared" si="3"/>
        <v>5519223.6894999994</v>
      </c>
      <c r="H248" s="27"/>
      <c r="I248" s="27"/>
      <c r="J248" s="28"/>
      <c r="K248" s="28"/>
      <c r="L248" s="28"/>
      <c r="M248" s="28"/>
      <c r="N248" s="27"/>
      <c r="O248" s="27"/>
      <c r="P248" s="28"/>
      <c r="Q248" s="28"/>
      <c r="R248" s="28"/>
    </row>
    <row r="249" spans="1:18" ht="17.649999999999999">
      <c r="A249" s="23">
        <v>244</v>
      </c>
      <c r="B249" s="24" t="s">
        <v>98</v>
      </c>
      <c r="C249" s="24" t="s">
        <v>642</v>
      </c>
      <c r="D249" s="25">
        <v>309987.55</v>
      </c>
      <c r="E249" s="25">
        <v>3233469.93</v>
      </c>
      <c r="F249" s="25">
        <v>656298.79200000002</v>
      </c>
      <c r="G249" s="26">
        <f t="shared" si="3"/>
        <v>4199756.2719999999</v>
      </c>
      <c r="H249" s="27"/>
      <c r="I249" s="27"/>
      <c r="J249" s="28"/>
      <c r="K249" s="28"/>
      <c r="L249" s="28"/>
      <c r="M249" s="28"/>
      <c r="N249" s="27"/>
      <c r="O249" s="27"/>
      <c r="P249" s="28"/>
      <c r="Q249" s="28"/>
      <c r="R249" s="28"/>
    </row>
    <row r="250" spans="1:18" ht="17.649999999999999">
      <c r="A250" s="23">
        <v>245</v>
      </c>
      <c r="B250" s="24" t="s">
        <v>98</v>
      </c>
      <c r="C250" s="24" t="s">
        <v>644</v>
      </c>
      <c r="D250" s="25">
        <v>295568.77</v>
      </c>
      <c r="E250" s="25">
        <v>3083068.11</v>
      </c>
      <c r="F250" s="25">
        <v>625771.67020000005</v>
      </c>
      <c r="G250" s="26">
        <f t="shared" si="3"/>
        <v>4004408.5501999999</v>
      </c>
      <c r="H250" s="27"/>
      <c r="I250" s="27"/>
      <c r="J250" s="28"/>
      <c r="K250" s="28"/>
      <c r="L250" s="28"/>
      <c r="M250" s="28"/>
      <c r="N250" s="27"/>
      <c r="O250" s="27"/>
      <c r="P250" s="28"/>
      <c r="Q250" s="28"/>
      <c r="R250" s="28"/>
    </row>
    <row r="251" spans="1:18" ht="17.649999999999999">
      <c r="A251" s="23">
        <v>246</v>
      </c>
      <c r="B251" s="24" t="s">
        <v>98</v>
      </c>
      <c r="C251" s="24" t="s">
        <v>646</v>
      </c>
      <c r="D251" s="25">
        <v>305190.8</v>
      </c>
      <c r="E251" s="25">
        <v>3183435.2</v>
      </c>
      <c r="F251" s="25">
        <v>646143.22180000006</v>
      </c>
      <c r="G251" s="26">
        <f t="shared" si="3"/>
        <v>4134769.2217999999</v>
      </c>
      <c r="H251" s="27"/>
      <c r="I251" s="27"/>
      <c r="J251" s="28"/>
      <c r="K251" s="28"/>
      <c r="L251" s="28"/>
      <c r="M251" s="28"/>
      <c r="N251" s="27"/>
      <c r="O251" s="27"/>
      <c r="P251" s="28"/>
      <c r="Q251" s="28"/>
      <c r="R251" s="28"/>
    </row>
    <row r="252" spans="1:18" ht="35.25">
      <c r="A252" s="23">
        <v>247</v>
      </c>
      <c r="B252" s="24" t="s">
        <v>98</v>
      </c>
      <c r="C252" s="24" t="s">
        <v>648</v>
      </c>
      <c r="D252" s="25">
        <v>323256.53000000003</v>
      </c>
      <c r="E252" s="25">
        <v>3371878.24</v>
      </c>
      <c r="F252" s="25">
        <v>684391.58640000003</v>
      </c>
      <c r="G252" s="26">
        <f t="shared" si="3"/>
        <v>4379526.3564000009</v>
      </c>
      <c r="H252" s="27"/>
      <c r="I252" s="27"/>
      <c r="J252" s="28"/>
      <c r="K252" s="28"/>
      <c r="L252" s="28"/>
      <c r="M252" s="28"/>
      <c r="N252" s="27"/>
      <c r="O252" s="27"/>
      <c r="P252" s="28"/>
      <c r="Q252" s="28"/>
      <c r="R252" s="28"/>
    </row>
    <row r="253" spans="1:18" ht="17.649999999999999">
      <c r="A253" s="23">
        <v>248</v>
      </c>
      <c r="B253" s="24" t="s">
        <v>98</v>
      </c>
      <c r="C253" s="24" t="s">
        <v>650</v>
      </c>
      <c r="D253" s="25">
        <v>329530.38</v>
      </c>
      <c r="E253" s="25">
        <v>3437320.54</v>
      </c>
      <c r="F253" s="25">
        <v>697674.43940000003</v>
      </c>
      <c r="G253" s="26">
        <f t="shared" si="3"/>
        <v>4464525.3594000004</v>
      </c>
      <c r="H253" s="27"/>
      <c r="I253" s="27"/>
      <c r="J253" s="28"/>
      <c r="K253" s="28"/>
      <c r="L253" s="28"/>
      <c r="M253" s="28"/>
      <c r="N253" s="27"/>
      <c r="O253" s="27"/>
      <c r="P253" s="28"/>
      <c r="Q253" s="28"/>
      <c r="R253" s="28"/>
    </row>
    <row r="254" spans="1:18" ht="17.649999999999999">
      <c r="A254" s="23">
        <v>249</v>
      </c>
      <c r="B254" s="24" t="s">
        <v>98</v>
      </c>
      <c r="C254" s="24" t="s">
        <v>652</v>
      </c>
      <c r="D254" s="25">
        <v>271535.08</v>
      </c>
      <c r="E254" s="25">
        <v>2832373.47</v>
      </c>
      <c r="F254" s="25">
        <v>574888.07030000002</v>
      </c>
      <c r="G254" s="26">
        <f t="shared" si="3"/>
        <v>3678796.6203000005</v>
      </c>
      <c r="H254" s="27"/>
      <c r="I254" s="27"/>
      <c r="J254" s="28"/>
      <c r="K254" s="28"/>
      <c r="L254" s="28"/>
      <c r="M254" s="28"/>
      <c r="N254" s="27"/>
      <c r="O254" s="27"/>
      <c r="P254" s="28"/>
      <c r="Q254" s="28"/>
      <c r="R254" s="28"/>
    </row>
    <row r="255" spans="1:18" ht="17.649999999999999">
      <c r="A255" s="23">
        <v>250</v>
      </c>
      <c r="B255" s="24" t="s">
        <v>98</v>
      </c>
      <c r="C255" s="24" t="s">
        <v>654</v>
      </c>
      <c r="D255" s="25">
        <v>334509.5</v>
      </c>
      <c r="E255" s="25">
        <v>3489257.54</v>
      </c>
      <c r="F255" s="25">
        <v>708216.11369999999</v>
      </c>
      <c r="G255" s="26">
        <f t="shared" si="3"/>
        <v>4531983.1536999997</v>
      </c>
      <c r="H255" s="27"/>
      <c r="I255" s="27"/>
      <c r="J255" s="28"/>
      <c r="K255" s="28"/>
      <c r="L255" s="28"/>
      <c r="M255" s="28"/>
      <c r="N255" s="27"/>
      <c r="O255" s="27"/>
      <c r="P255" s="28"/>
      <c r="Q255" s="28"/>
      <c r="R255" s="28"/>
    </row>
    <row r="256" spans="1:18" ht="17.649999999999999">
      <c r="A256" s="23">
        <v>251</v>
      </c>
      <c r="B256" s="24" t="s">
        <v>98</v>
      </c>
      <c r="C256" s="24" t="s">
        <v>656</v>
      </c>
      <c r="D256" s="25">
        <v>357911.87</v>
      </c>
      <c r="E256" s="25">
        <v>3733366.88</v>
      </c>
      <c r="F256" s="25">
        <v>757763.09149999998</v>
      </c>
      <c r="G256" s="26">
        <f t="shared" si="3"/>
        <v>4849041.8415000001</v>
      </c>
      <c r="H256" s="27"/>
      <c r="I256" s="27"/>
      <c r="J256" s="28"/>
      <c r="K256" s="28"/>
      <c r="L256" s="28"/>
      <c r="M256" s="28"/>
      <c r="N256" s="27"/>
      <c r="O256" s="27"/>
      <c r="P256" s="28"/>
      <c r="Q256" s="28"/>
      <c r="R256" s="28"/>
    </row>
    <row r="257" spans="1:18" ht="17.649999999999999">
      <c r="A257" s="23">
        <v>252</v>
      </c>
      <c r="B257" s="24" t="s">
        <v>98</v>
      </c>
      <c r="C257" s="24" t="s">
        <v>658</v>
      </c>
      <c r="D257" s="25">
        <v>312535.65999999997</v>
      </c>
      <c r="E257" s="25">
        <v>3260049.14</v>
      </c>
      <c r="F257" s="25">
        <v>661693.58479999995</v>
      </c>
      <c r="G257" s="26">
        <f t="shared" si="3"/>
        <v>4234278.3848000001</v>
      </c>
      <c r="H257" s="27"/>
      <c r="I257" s="27"/>
      <c r="J257" s="28"/>
      <c r="K257" s="28"/>
      <c r="L257" s="28"/>
      <c r="M257" s="28"/>
      <c r="N257" s="27"/>
      <c r="O257" s="27"/>
      <c r="P257" s="28"/>
      <c r="Q257" s="28"/>
      <c r="R257" s="28"/>
    </row>
    <row r="258" spans="1:18" ht="17.649999999999999">
      <c r="A258" s="23">
        <v>253</v>
      </c>
      <c r="B258" s="24" t="s">
        <v>98</v>
      </c>
      <c r="C258" s="24" t="s">
        <v>660</v>
      </c>
      <c r="D258" s="25">
        <v>334933.49</v>
      </c>
      <c r="E258" s="25">
        <v>3493680.17</v>
      </c>
      <c r="F258" s="25">
        <v>709113.77760000003</v>
      </c>
      <c r="G258" s="26">
        <f t="shared" si="3"/>
        <v>4537727.4375999998</v>
      </c>
      <c r="H258" s="27"/>
      <c r="I258" s="27"/>
      <c r="J258" s="28"/>
      <c r="K258" s="28"/>
      <c r="L258" s="28"/>
      <c r="M258" s="28"/>
      <c r="N258" s="27"/>
      <c r="O258" s="27"/>
      <c r="P258" s="28"/>
      <c r="Q258" s="28"/>
      <c r="R258" s="28"/>
    </row>
    <row r="259" spans="1:18" ht="17.649999999999999">
      <c r="A259" s="23">
        <v>254</v>
      </c>
      <c r="B259" s="24" t="s">
        <v>98</v>
      </c>
      <c r="C259" s="24" t="s">
        <v>662</v>
      </c>
      <c r="D259" s="25">
        <v>235043.02</v>
      </c>
      <c r="E259" s="25">
        <v>2451726</v>
      </c>
      <c r="F259" s="25">
        <v>497627.88789999997</v>
      </c>
      <c r="G259" s="26">
        <f t="shared" si="3"/>
        <v>3184396.9079</v>
      </c>
      <c r="H259" s="27"/>
      <c r="I259" s="27"/>
      <c r="J259" s="28"/>
      <c r="K259" s="28"/>
      <c r="L259" s="28"/>
      <c r="M259" s="28"/>
      <c r="N259" s="27"/>
      <c r="O259" s="27"/>
      <c r="P259" s="28"/>
      <c r="Q259" s="28"/>
      <c r="R259" s="28"/>
    </row>
    <row r="260" spans="1:18" ht="35.25">
      <c r="A260" s="23">
        <v>255</v>
      </c>
      <c r="B260" s="24" t="s">
        <v>98</v>
      </c>
      <c r="C260" s="24" t="s">
        <v>664</v>
      </c>
      <c r="D260" s="25">
        <v>297901.17</v>
      </c>
      <c r="E260" s="25">
        <v>3107397.26</v>
      </c>
      <c r="F260" s="25">
        <v>630709.76820000005</v>
      </c>
      <c r="G260" s="26">
        <f t="shared" si="3"/>
        <v>4036008.1981999995</v>
      </c>
      <c r="H260" s="27"/>
      <c r="I260" s="27"/>
      <c r="J260" s="28"/>
      <c r="K260" s="28"/>
      <c r="L260" s="28"/>
      <c r="M260" s="28"/>
      <c r="N260" s="27"/>
      <c r="O260" s="27"/>
      <c r="P260" s="28"/>
      <c r="Q260" s="28"/>
      <c r="R260" s="28"/>
    </row>
    <row r="261" spans="1:18" ht="17.649999999999999">
      <c r="A261" s="23">
        <v>256</v>
      </c>
      <c r="B261" s="24" t="s">
        <v>98</v>
      </c>
      <c r="C261" s="24" t="s">
        <v>666</v>
      </c>
      <c r="D261" s="25">
        <v>290703.02</v>
      </c>
      <c r="E261" s="25">
        <v>3032313.66</v>
      </c>
      <c r="F261" s="25">
        <v>615470.01639999996</v>
      </c>
      <c r="G261" s="26">
        <f t="shared" si="3"/>
        <v>3938486.6964000002</v>
      </c>
      <c r="H261" s="27"/>
      <c r="I261" s="27"/>
      <c r="J261" s="28"/>
      <c r="K261" s="28"/>
      <c r="L261" s="28"/>
      <c r="M261" s="28"/>
      <c r="N261" s="27"/>
      <c r="O261" s="27"/>
      <c r="P261" s="28"/>
      <c r="Q261" s="28"/>
      <c r="R261" s="28"/>
    </row>
    <row r="262" spans="1:18" ht="17.649999999999999">
      <c r="A262" s="23">
        <v>257</v>
      </c>
      <c r="B262" s="24" t="s">
        <v>98</v>
      </c>
      <c r="C262" s="24" t="s">
        <v>668</v>
      </c>
      <c r="D262" s="25">
        <v>311782.90999999997</v>
      </c>
      <c r="E262" s="25">
        <v>3252197.3</v>
      </c>
      <c r="F262" s="25">
        <v>660099.8946</v>
      </c>
      <c r="G262" s="26">
        <f t="shared" ref="G262:G325" si="4">D262+E262+F262</f>
        <v>4224080.1046000002</v>
      </c>
      <c r="H262" s="27"/>
      <c r="I262" s="27"/>
      <c r="J262" s="28"/>
      <c r="K262" s="28"/>
      <c r="L262" s="28"/>
      <c r="M262" s="28"/>
      <c r="N262" s="27"/>
      <c r="O262" s="27"/>
      <c r="P262" s="28"/>
      <c r="Q262" s="28"/>
      <c r="R262" s="28"/>
    </row>
    <row r="263" spans="1:18" ht="17.649999999999999">
      <c r="A263" s="23">
        <v>258</v>
      </c>
      <c r="B263" s="24" t="s">
        <v>98</v>
      </c>
      <c r="C263" s="24" t="s">
        <v>670</v>
      </c>
      <c r="D263" s="25">
        <v>303077.31</v>
      </c>
      <c r="E263" s="25">
        <v>3161389.44</v>
      </c>
      <c r="F263" s="25">
        <v>641668.58319999999</v>
      </c>
      <c r="G263" s="26">
        <f t="shared" si="4"/>
        <v>4106135.3332000002</v>
      </c>
      <c r="H263" s="27"/>
      <c r="I263" s="27"/>
      <c r="J263" s="28"/>
      <c r="K263" s="28"/>
      <c r="L263" s="28"/>
      <c r="M263" s="28"/>
      <c r="N263" s="27"/>
      <c r="O263" s="27"/>
      <c r="P263" s="28"/>
      <c r="Q263" s="28"/>
      <c r="R263" s="28"/>
    </row>
    <row r="264" spans="1:18" ht="17.649999999999999">
      <c r="A264" s="23">
        <v>259</v>
      </c>
      <c r="B264" s="24" t="s">
        <v>99</v>
      </c>
      <c r="C264" s="24" t="s">
        <v>674</v>
      </c>
      <c r="D264" s="25">
        <v>379656.52</v>
      </c>
      <c r="E264" s="25">
        <v>3960184.69</v>
      </c>
      <c r="F264" s="25">
        <v>803800.4007</v>
      </c>
      <c r="G264" s="26">
        <f t="shared" si="4"/>
        <v>5143641.6107000001</v>
      </c>
      <c r="H264" s="27"/>
      <c r="I264" s="27"/>
      <c r="J264" s="28"/>
      <c r="K264" s="28"/>
      <c r="L264" s="28"/>
      <c r="M264" s="28"/>
      <c r="N264" s="27"/>
      <c r="O264" s="27"/>
      <c r="P264" s="28"/>
      <c r="Q264" s="28"/>
      <c r="R264" s="28"/>
    </row>
    <row r="265" spans="1:18" ht="17.649999999999999">
      <c r="A265" s="23">
        <v>260</v>
      </c>
      <c r="B265" s="24" t="s">
        <v>99</v>
      </c>
      <c r="C265" s="24" t="s">
        <v>676</v>
      </c>
      <c r="D265" s="25">
        <v>319887.90999999997</v>
      </c>
      <c r="E265" s="25">
        <v>3336740.21</v>
      </c>
      <c r="F265" s="25">
        <v>677259.60439999995</v>
      </c>
      <c r="G265" s="26">
        <f t="shared" si="4"/>
        <v>4333887.7243999997</v>
      </c>
      <c r="H265" s="27"/>
      <c r="I265" s="27"/>
      <c r="J265" s="28"/>
      <c r="K265" s="28"/>
      <c r="L265" s="28"/>
      <c r="M265" s="28"/>
      <c r="N265" s="27"/>
      <c r="O265" s="27"/>
      <c r="P265" s="28"/>
      <c r="Q265" s="28"/>
      <c r="R265" s="28"/>
    </row>
    <row r="266" spans="1:18" ht="17.649999999999999">
      <c r="A266" s="23">
        <v>261</v>
      </c>
      <c r="B266" s="24" t="s">
        <v>99</v>
      </c>
      <c r="C266" s="24" t="s">
        <v>678</v>
      </c>
      <c r="D266" s="25">
        <v>433002.19</v>
      </c>
      <c r="E266" s="25">
        <v>4516631.53</v>
      </c>
      <c r="F266" s="25">
        <v>916742.6568</v>
      </c>
      <c r="G266" s="26">
        <f t="shared" si="4"/>
        <v>5866376.3768000007</v>
      </c>
      <c r="H266" s="27"/>
      <c r="I266" s="27"/>
      <c r="J266" s="28"/>
      <c r="K266" s="28"/>
      <c r="L266" s="28"/>
      <c r="M266" s="28"/>
      <c r="N266" s="27"/>
      <c r="O266" s="27"/>
      <c r="P266" s="28"/>
      <c r="Q266" s="28"/>
      <c r="R266" s="28"/>
    </row>
    <row r="267" spans="1:18" ht="17.649999999999999">
      <c r="A267" s="23">
        <v>262</v>
      </c>
      <c r="B267" s="24" t="s">
        <v>99</v>
      </c>
      <c r="C267" s="24" t="s">
        <v>680</v>
      </c>
      <c r="D267" s="25">
        <v>407037.96</v>
      </c>
      <c r="E267" s="25">
        <v>4245799.55</v>
      </c>
      <c r="F267" s="25">
        <v>861771.77320000005</v>
      </c>
      <c r="G267" s="26">
        <f t="shared" si="4"/>
        <v>5514609.2831999995</v>
      </c>
      <c r="H267" s="27"/>
      <c r="I267" s="27"/>
      <c r="J267" s="28"/>
      <c r="K267" s="28"/>
      <c r="L267" s="28"/>
      <c r="M267" s="28"/>
      <c r="N267" s="27"/>
      <c r="O267" s="27"/>
      <c r="P267" s="28"/>
      <c r="Q267" s="28"/>
      <c r="R267" s="28"/>
    </row>
    <row r="268" spans="1:18" ht="17.649999999999999">
      <c r="A268" s="23">
        <v>263</v>
      </c>
      <c r="B268" s="24" t="s">
        <v>99</v>
      </c>
      <c r="C268" s="24" t="s">
        <v>682</v>
      </c>
      <c r="D268" s="25">
        <v>393558.83</v>
      </c>
      <c r="E268" s="25">
        <v>4105199.21</v>
      </c>
      <c r="F268" s="25">
        <v>833234.06070000003</v>
      </c>
      <c r="G268" s="26">
        <f t="shared" si="4"/>
        <v>5331992.1007000003</v>
      </c>
      <c r="H268" s="27"/>
      <c r="I268" s="27"/>
      <c r="J268" s="28"/>
      <c r="K268" s="28"/>
      <c r="L268" s="28"/>
      <c r="M268" s="28"/>
      <c r="N268" s="27"/>
      <c r="O268" s="27"/>
      <c r="P268" s="28"/>
      <c r="Q268" s="28"/>
      <c r="R268" s="28"/>
    </row>
    <row r="269" spans="1:18" ht="17.649999999999999">
      <c r="A269" s="23">
        <v>264</v>
      </c>
      <c r="B269" s="24" t="s">
        <v>99</v>
      </c>
      <c r="C269" s="24" t="s">
        <v>684</v>
      </c>
      <c r="D269" s="25">
        <v>378394.33</v>
      </c>
      <c r="E269" s="25">
        <v>3947018.82</v>
      </c>
      <c r="F269" s="25">
        <v>801128.11959999998</v>
      </c>
      <c r="G269" s="26">
        <f t="shared" si="4"/>
        <v>5126541.2695999993</v>
      </c>
      <c r="H269" s="27"/>
      <c r="I269" s="27"/>
      <c r="J269" s="28"/>
      <c r="K269" s="28"/>
      <c r="L269" s="28"/>
      <c r="M269" s="28"/>
      <c r="N269" s="27"/>
      <c r="O269" s="27"/>
      <c r="P269" s="28"/>
      <c r="Q269" s="28"/>
      <c r="R269" s="28"/>
    </row>
    <row r="270" spans="1:18" ht="17.649999999999999">
      <c r="A270" s="23">
        <v>265</v>
      </c>
      <c r="B270" s="24" t="s">
        <v>99</v>
      </c>
      <c r="C270" s="24" t="s">
        <v>686</v>
      </c>
      <c r="D270" s="25">
        <v>382059.43</v>
      </c>
      <c r="E270" s="25">
        <v>3985249.31</v>
      </c>
      <c r="F270" s="25">
        <v>808887.77870000002</v>
      </c>
      <c r="G270" s="26">
        <f t="shared" si="4"/>
        <v>5176196.5186999999</v>
      </c>
      <c r="H270" s="27"/>
      <c r="I270" s="27"/>
      <c r="J270" s="28"/>
      <c r="K270" s="28"/>
      <c r="L270" s="28"/>
      <c r="M270" s="28"/>
      <c r="N270" s="27"/>
      <c r="O270" s="27"/>
      <c r="P270" s="28"/>
      <c r="Q270" s="28"/>
      <c r="R270" s="28"/>
    </row>
    <row r="271" spans="1:18" ht="17.649999999999999">
      <c r="A271" s="23">
        <v>266</v>
      </c>
      <c r="B271" s="24" t="s">
        <v>99</v>
      </c>
      <c r="C271" s="24" t="s">
        <v>688</v>
      </c>
      <c r="D271" s="25">
        <v>413509.52</v>
      </c>
      <c r="E271" s="25">
        <v>4313304.1900000004</v>
      </c>
      <c r="F271" s="25">
        <v>875473.21869999997</v>
      </c>
      <c r="G271" s="26">
        <f t="shared" si="4"/>
        <v>5602286.928700001</v>
      </c>
      <c r="H271" s="27"/>
      <c r="I271" s="27"/>
      <c r="J271" s="28"/>
      <c r="K271" s="28"/>
      <c r="L271" s="28"/>
      <c r="M271" s="28"/>
      <c r="N271" s="27"/>
      <c r="O271" s="27"/>
      <c r="P271" s="28"/>
      <c r="Q271" s="28"/>
      <c r="R271" s="28"/>
    </row>
    <row r="272" spans="1:18" ht="17.649999999999999">
      <c r="A272" s="23">
        <v>267</v>
      </c>
      <c r="B272" s="24" t="s">
        <v>99</v>
      </c>
      <c r="C272" s="24" t="s">
        <v>690</v>
      </c>
      <c r="D272" s="25">
        <v>376263.21</v>
      </c>
      <c r="E272" s="25">
        <v>3924789.12</v>
      </c>
      <c r="F272" s="25">
        <v>796616.14650000003</v>
      </c>
      <c r="G272" s="26">
        <f t="shared" si="4"/>
        <v>5097668.4764999999</v>
      </c>
      <c r="H272" s="27"/>
      <c r="I272" s="27"/>
      <c r="J272" s="28"/>
      <c r="K272" s="28"/>
      <c r="L272" s="28"/>
      <c r="M272" s="28"/>
      <c r="N272" s="27"/>
      <c r="O272" s="27"/>
      <c r="P272" s="28"/>
      <c r="Q272" s="28"/>
      <c r="R272" s="28"/>
    </row>
    <row r="273" spans="1:18" ht="17.649999999999999">
      <c r="A273" s="23">
        <v>268</v>
      </c>
      <c r="B273" s="24" t="s">
        <v>99</v>
      </c>
      <c r="C273" s="24" t="s">
        <v>692</v>
      </c>
      <c r="D273" s="25">
        <v>351869.13</v>
      </c>
      <c r="E273" s="25">
        <v>3670335.26</v>
      </c>
      <c r="F273" s="25">
        <v>744969.53749999998</v>
      </c>
      <c r="G273" s="26">
        <f t="shared" si="4"/>
        <v>4767173.9274999993</v>
      </c>
      <c r="H273" s="27"/>
      <c r="I273" s="27"/>
      <c r="J273" s="28"/>
      <c r="K273" s="28"/>
      <c r="L273" s="28"/>
      <c r="M273" s="28"/>
      <c r="N273" s="27"/>
      <c r="O273" s="27"/>
      <c r="P273" s="28"/>
      <c r="Q273" s="28"/>
      <c r="R273" s="28"/>
    </row>
    <row r="274" spans="1:18" ht="17.649999999999999">
      <c r="A274" s="23">
        <v>269</v>
      </c>
      <c r="B274" s="24" t="s">
        <v>99</v>
      </c>
      <c r="C274" s="24" t="s">
        <v>694</v>
      </c>
      <c r="D274" s="25">
        <v>368383.32</v>
      </c>
      <c r="E274" s="25">
        <v>3842594.3</v>
      </c>
      <c r="F274" s="25">
        <v>779933.02910000004</v>
      </c>
      <c r="G274" s="26">
        <f t="shared" si="4"/>
        <v>4990910.6491</v>
      </c>
      <c r="H274" s="27"/>
      <c r="I274" s="27"/>
      <c r="J274" s="28"/>
      <c r="K274" s="28"/>
      <c r="L274" s="28"/>
      <c r="M274" s="28"/>
      <c r="N274" s="27"/>
      <c r="O274" s="27"/>
      <c r="P274" s="28"/>
      <c r="Q274" s="28"/>
      <c r="R274" s="28"/>
    </row>
    <row r="275" spans="1:18" ht="17.649999999999999">
      <c r="A275" s="23">
        <v>270</v>
      </c>
      <c r="B275" s="24" t="s">
        <v>99</v>
      </c>
      <c r="C275" s="24" t="s">
        <v>696</v>
      </c>
      <c r="D275" s="25">
        <v>357674.38</v>
      </c>
      <c r="E275" s="25">
        <v>3730889.69</v>
      </c>
      <c r="F275" s="25">
        <v>757260.29539999994</v>
      </c>
      <c r="G275" s="26">
        <f t="shared" si="4"/>
        <v>4845824.3653999995</v>
      </c>
      <c r="H275" s="27"/>
      <c r="I275" s="27"/>
      <c r="J275" s="28"/>
      <c r="K275" s="28"/>
      <c r="L275" s="28"/>
      <c r="M275" s="28"/>
      <c r="N275" s="27"/>
      <c r="O275" s="27"/>
      <c r="P275" s="28"/>
      <c r="Q275" s="28"/>
      <c r="R275" s="28"/>
    </row>
    <row r="276" spans="1:18" ht="17.649999999999999">
      <c r="A276" s="23">
        <v>271</v>
      </c>
      <c r="B276" s="24" t="s">
        <v>99</v>
      </c>
      <c r="C276" s="24" t="s">
        <v>698</v>
      </c>
      <c r="D276" s="25">
        <v>463235.12</v>
      </c>
      <c r="E276" s="25">
        <v>4831990.21</v>
      </c>
      <c r="F276" s="25">
        <v>980751.14569999999</v>
      </c>
      <c r="G276" s="26">
        <f t="shared" si="4"/>
        <v>6275976.4757000003</v>
      </c>
      <c r="H276" s="27"/>
      <c r="I276" s="27"/>
      <c r="J276" s="28"/>
      <c r="K276" s="28"/>
      <c r="L276" s="28"/>
      <c r="M276" s="28"/>
      <c r="N276" s="27"/>
      <c r="O276" s="27"/>
      <c r="P276" s="28"/>
      <c r="Q276" s="28"/>
      <c r="R276" s="28"/>
    </row>
    <row r="277" spans="1:18" ht="17.649999999999999">
      <c r="A277" s="23">
        <v>272</v>
      </c>
      <c r="B277" s="24" t="s">
        <v>99</v>
      </c>
      <c r="C277" s="24" t="s">
        <v>699</v>
      </c>
      <c r="D277" s="25">
        <v>317844.45</v>
      </c>
      <c r="E277" s="25">
        <v>3315424.95</v>
      </c>
      <c r="F277" s="25">
        <v>672933.23840000003</v>
      </c>
      <c r="G277" s="26">
        <f t="shared" si="4"/>
        <v>4306202.6384000005</v>
      </c>
      <c r="H277" s="27"/>
      <c r="I277" s="27"/>
      <c r="J277" s="28"/>
      <c r="K277" s="28"/>
      <c r="L277" s="28"/>
      <c r="M277" s="28"/>
      <c r="N277" s="27"/>
      <c r="O277" s="27"/>
      <c r="P277" s="28"/>
      <c r="Q277" s="28"/>
      <c r="R277" s="28"/>
    </row>
    <row r="278" spans="1:18" ht="17.649999999999999">
      <c r="A278" s="23">
        <v>273</v>
      </c>
      <c r="B278" s="24" t="s">
        <v>99</v>
      </c>
      <c r="C278" s="24" t="s">
        <v>701</v>
      </c>
      <c r="D278" s="25">
        <v>351802.4</v>
      </c>
      <c r="E278" s="25">
        <v>3669639.26</v>
      </c>
      <c r="F278" s="25">
        <v>744828.26939999999</v>
      </c>
      <c r="G278" s="26">
        <f t="shared" si="4"/>
        <v>4766269.9293999998</v>
      </c>
      <c r="H278" s="27"/>
      <c r="I278" s="27"/>
      <c r="J278" s="28"/>
      <c r="K278" s="28"/>
      <c r="L278" s="28"/>
      <c r="M278" s="28"/>
      <c r="N278" s="27"/>
      <c r="O278" s="27"/>
      <c r="P278" s="28"/>
      <c r="Q278" s="28"/>
      <c r="R278" s="28"/>
    </row>
    <row r="279" spans="1:18" ht="17.649999999999999">
      <c r="A279" s="23">
        <v>274</v>
      </c>
      <c r="B279" s="24" t="s">
        <v>99</v>
      </c>
      <c r="C279" s="24" t="s">
        <v>703</v>
      </c>
      <c r="D279" s="25">
        <v>399466.94</v>
      </c>
      <c r="E279" s="25">
        <v>4166826.45</v>
      </c>
      <c r="F279" s="25">
        <v>845742.5686</v>
      </c>
      <c r="G279" s="26">
        <f t="shared" si="4"/>
        <v>5412035.9586000005</v>
      </c>
      <c r="H279" s="27"/>
      <c r="I279" s="27"/>
      <c r="J279" s="28"/>
      <c r="K279" s="28"/>
      <c r="L279" s="28"/>
      <c r="M279" s="28"/>
      <c r="N279" s="27"/>
      <c r="O279" s="27"/>
      <c r="P279" s="28"/>
      <c r="Q279" s="28"/>
      <c r="R279" s="28"/>
    </row>
    <row r="280" spans="1:18" ht="17.649999999999999">
      <c r="A280" s="23">
        <v>275</v>
      </c>
      <c r="B280" s="24" t="s">
        <v>99</v>
      </c>
      <c r="C280" s="24" t="s">
        <v>705</v>
      </c>
      <c r="D280" s="25">
        <v>330813.83</v>
      </c>
      <c r="E280" s="25">
        <v>3450708.18</v>
      </c>
      <c r="F280" s="25">
        <v>700391.73389999999</v>
      </c>
      <c r="G280" s="26">
        <f t="shared" si="4"/>
        <v>4481913.7439000001</v>
      </c>
      <c r="H280" s="27"/>
      <c r="I280" s="27"/>
      <c r="J280" s="28"/>
      <c r="K280" s="28"/>
      <c r="L280" s="28"/>
      <c r="M280" s="28"/>
      <c r="N280" s="27"/>
      <c r="O280" s="27"/>
      <c r="P280" s="28"/>
      <c r="Q280" s="28"/>
      <c r="R280" s="28"/>
    </row>
    <row r="281" spans="1:18" ht="17.649999999999999">
      <c r="A281" s="23">
        <v>276</v>
      </c>
      <c r="B281" s="24" t="s">
        <v>100</v>
      </c>
      <c r="C281" s="24" t="s">
        <v>710</v>
      </c>
      <c r="D281" s="25">
        <v>527819.30000000005</v>
      </c>
      <c r="E281" s="25">
        <v>5505665.6699999999</v>
      </c>
      <c r="F281" s="25">
        <v>1117487.3452999999</v>
      </c>
      <c r="G281" s="26">
        <f t="shared" si="4"/>
        <v>7150972.3152999999</v>
      </c>
      <c r="H281" s="27"/>
      <c r="I281" s="27"/>
      <c r="J281" s="28"/>
      <c r="K281" s="28"/>
      <c r="L281" s="28"/>
      <c r="M281" s="28"/>
      <c r="N281" s="27"/>
      <c r="O281" s="27"/>
      <c r="P281" s="28"/>
      <c r="Q281" s="28"/>
      <c r="R281" s="28"/>
    </row>
    <row r="282" spans="1:18" ht="17.649999999999999">
      <c r="A282" s="23">
        <v>277</v>
      </c>
      <c r="B282" s="24" t="s">
        <v>100</v>
      </c>
      <c r="C282" s="24" t="s">
        <v>712</v>
      </c>
      <c r="D282" s="25">
        <v>383319.52</v>
      </c>
      <c r="E282" s="25">
        <v>3998393.32</v>
      </c>
      <c r="F282" s="25">
        <v>811555.62250000006</v>
      </c>
      <c r="G282" s="26">
        <f t="shared" si="4"/>
        <v>5193268.4625000004</v>
      </c>
      <c r="H282" s="27"/>
      <c r="I282" s="27"/>
      <c r="J282" s="28"/>
      <c r="K282" s="28"/>
      <c r="L282" s="28"/>
      <c r="M282" s="28"/>
      <c r="N282" s="27"/>
      <c r="O282" s="27"/>
      <c r="P282" s="28"/>
      <c r="Q282" s="28"/>
      <c r="R282" s="28"/>
    </row>
    <row r="283" spans="1:18" ht="17.649999999999999">
      <c r="A283" s="23">
        <v>278</v>
      </c>
      <c r="B283" s="24" t="s">
        <v>100</v>
      </c>
      <c r="C283" s="24" t="s">
        <v>714</v>
      </c>
      <c r="D283" s="25">
        <v>385802.68</v>
      </c>
      <c r="E283" s="25">
        <v>4024295.02</v>
      </c>
      <c r="F283" s="25">
        <v>816812.90350000001</v>
      </c>
      <c r="G283" s="26">
        <f t="shared" si="4"/>
        <v>5226910.6035000002</v>
      </c>
      <c r="H283" s="27"/>
      <c r="I283" s="27"/>
      <c r="J283" s="28"/>
      <c r="K283" s="28"/>
      <c r="L283" s="28"/>
      <c r="M283" s="28"/>
      <c r="N283" s="27"/>
      <c r="O283" s="27"/>
      <c r="P283" s="28"/>
      <c r="Q283" s="28"/>
      <c r="R283" s="28"/>
    </row>
    <row r="284" spans="1:18" ht="17.649999999999999">
      <c r="A284" s="23">
        <v>279</v>
      </c>
      <c r="B284" s="24" t="s">
        <v>100</v>
      </c>
      <c r="C284" s="24" t="s">
        <v>716</v>
      </c>
      <c r="D284" s="25">
        <v>420384.08</v>
      </c>
      <c r="E284" s="25">
        <v>4385012.46</v>
      </c>
      <c r="F284" s="25">
        <v>890027.87780000002</v>
      </c>
      <c r="G284" s="26">
        <f t="shared" si="4"/>
        <v>5695424.4177999999</v>
      </c>
      <c r="H284" s="27"/>
      <c r="I284" s="27"/>
      <c r="J284" s="28"/>
      <c r="K284" s="28"/>
      <c r="L284" s="28"/>
      <c r="M284" s="28"/>
      <c r="N284" s="27"/>
      <c r="O284" s="27"/>
      <c r="P284" s="28"/>
      <c r="Q284" s="28"/>
      <c r="R284" s="28"/>
    </row>
    <row r="285" spans="1:18" ht="17.649999999999999">
      <c r="A285" s="23">
        <v>280</v>
      </c>
      <c r="B285" s="24" t="s">
        <v>100</v>
      </c>
      <c r="C285" s="24" t="s">
        <v>718</v>
      </c>
      <c r="D285" s="25">
        <v>408881.05</v>
      </c>
      <c r="E285" s="25">
        <v>4265024.74</v>
      </c>
      <c r="F285" s="25">
        <v>865673.91859999998</v>
      </c>
      <c r="G285" s="26">
        <f t="shared" si="4"/>
        <v>5539579.7085999995</v>
      </c>
      <c r="H285" s="27"/>
      <c r="I285" s="27"/>
      <c r="J285" s="28"/>
      <c r="K285" s="28"/>
      <c r="L285" s="28"/>
      <c r="M285" s="28"/>
      <c r="N285" s="27"/>
      <c r="O285" s="27"/>
      <c r="P285" s="28"/>
      <c r="Q285" s="28"/>
      <c r="R285" s="28"/>
    </row>
    <row r="286" spans="1:18" ht="17.649999999999999">
      <c r="A286" s="23">
        <v>281</v>
      </c>
      <c r="B286" s="24" t="s">
        <v>100</v>
      </c>
      <c r="C286" s="24" t="s">
        <v>100</v>
      </c>
      <c r="D286" s="25">
        <v>445219.52</v>
      </c>
      <c r="E286" s="25">
        <v>4644070.16</v>
      </c>
      <c r="F286" s="25">
        <v>942608.93160000001</v>
      </c>
      <c r="G286" s="26">
        <f t="shared" si="4"/>
        <v>6031898.6115999995</v>
      </c>
      <c r="H286" s="27"/>
      <c r="I286" s="27"/>
      <c r="J286" s="28"/>
      <c r="K286" s="28"/>
      <c r="L286" s="28"/>
      <c r="M286" s="28"/>
      <c r="N286" s="27"/>
      <c r="O286" s="27"/>
      <c r="P286" s="28"/>
      <c r="Q286" s="28"/>
      <c r="R286" s="28"/>
    </row>
    <row r="287" spans="1:18" ht="17.649999999999999">
      <c r="A287" s="23">
        <v>282</v>
      </c>
      <c r="B287" s="24" t="s">
        <v>100</v>
      </c>
      <c r="C287" s="24" t="s">
        <v>721</v>
      </c>
      <c r="D287" s="25">
        <v>349093.25</v>
      </c>
      <c r="E287" s="25">
        <v>3641380.15</v>
      </c>
      <c r="F287" s="25">
        <v>739092.50619999995</v>
      </c>
      <c r="G287" s="26">
        <f t="shared" si="4"/>
        <v>4729565.9062000001</v>
      </c>
      <c r="H287" s="27"/>
      <c r="I287" s="27"/>
      <c r="J287" s="28"/>
      <c r="K287" s="28"/>
      <c r="L287" s="28"/>
      <c r="M287" s="28"/>
      <c r="N287" s="27"/>
      <c r="O287" s="27"/>
      <c r="P287" s="28"/>
      <c r="Q287" s="28"/>
      <c r="R287" s="28"/>
    </row>
    <row r="288" spans="1:18" ht="17.649999999999999">
      <c r="A288" s="23">
        <v>283</v>
      </c>
      <c r="B288" s="24" t="s">
        <v>100</v>
      </c>
      <c r="C288" s="24" t="s">
        <v>723</v>
      </c>
      <c r="D288" s="25">
        <v>374466.81</v>
      </c>
      <c r="E288" s="25">
        <v>3906050.96</v>
      </c>
      <c r="F288" s="25">
        <v>792812.85490000003</v>
      </c>
      <c r="G288" s="26">
        <f t="shared" si="4"/>
        <v>5073330.6248999992</v>
      </c>
      <c r="H288" s="27"/>
      <c r="I288" s="27"/>
      <c r="J288" s="28"/>
      <c r="K288" s="28"/>
      <c r="L288" s="28"/>
      <c r="M288" s="28"/>
      <c r="N288" s="27"/>
      <c r="O288" s="27"/>
      <c r="P288" s="28"/>
      <c r="Q288" s="28"/>
      <c r="R288" s="28"/>
    </row>
    <row r="289" spans="1:18" ht="17.649999999999999">
      <c r="A289" s="23">
        <v>284</v>
      </c>
      <c r="B289" s="24" t="s">
        <v>100</v>
      </c>
      <c r="C289" s="24" t="s">
        <v>725</v>
      </c>
      <c r="D289" s="25">
        <v>341394.85</v>
      </c>
      <c r="E289" s="25">
        <v>3561078.42</v>
      </c>
      <c r="F289" s="25">
        <v>722793.6287</v>
      </c>
      <c r="G289" s="26">
        <f t="shared" si="4"/>
        <v>4625266.8986999998</v>
      </c>
      <c r="H289" s="27"/>
      <c r="I289" s="27"/>
      <c r="J289" s="28"/>
      <c r="K289" s="28"/>
      <c r="L289" s="28"/>
      <c r="M289" s="28"/>
      <c r="N289" s="27"/>
      <c r="O289" s="27"/>
      <c r="P289" s="28"/>
      <c r="Q289" s="28"/>
      <c r="R289" s="28"/>
    </row>
    <row r="290" spans="1:18" ht="17.649999999999999">
      <c r="A290" s="23">
        <v>285</v>
      </c>
      <c r="B290" s="24" t="s">
        <v>100</v>
      </c>
      <c r="C290" s="24" t="s">
        <v>727</v>
      </c>
      <c r="D290" s="25">
        <v>323769.8</v>
      </c>
      <c r="E290" s="25">
        <v>3377232.07</v>
      </c>
      <c r="F290" s="25">
        <v>685478.25569999998</v>
      </c>
      <c r="G290" s="26">
        <f t="shared" si="4"/>
        <v>4386480.1256999997</v>
      </c>
      <c r="H290" s="27"/>
      <c r="I290" s="27"/>
      <c r="J290" s="28"/>
      <c r="K290" s="28"/>
      <c r="L290" s="28"/>
      <c r="M290" s="28"/>
      <c r="N290" s="27"/>
      <c r="O290" s="27"/>
      <c r="P290" s="28"/>
      <c r="Q290" s="28"/>
      <c r="R290" s="28"/>
    </row>
    <row r="291" spans="1:18" ht="17.649999999999999">
      <c r="A291" s="23">
        <v>286</v>
      </c>
      <c r="B291" s="24" t="s">
        <v>100</v>
      </c>
      <c r="C291" s="24" t="s">
        <v>729</v>
      </c>
      <c r="D291" s="25">
        <v>441893.26</v>
      </c>
      <c r="E291" s="25">
        <v>4609374.07</v>
      </c>
      <c r="F291" s="25">
        <v>935566.65</v>
      </c>
      <c r="G291" s="26">
        <f t="shared" si="4"/>
        <v>5986833.9800000004</v>
      </c>
      <c r="H291" s="27"/>
      <c r="I291" s="27"/>
      <c r="J291" s="28"/>
      <c r="K291" s="28"/>
      <c r="L291" s="28"/>
      <c r="M291" s="28"/>
      <c r="N291" s="27"/>
      <c r="O291" s="27"/>
      <c r="P291" s="28"/>
      <c r="Q291" s="28"/>
      <c r="R291" s="28"/>
    </row>
    <row r="292" spans="1:18" ht="17.649999999999999">
      <c r="A292" s="23">
        <v>287</v>
      </c>
      <c r="B292" s="24" t="s">
        <v>101</v>
      </c>
      <c r="C292" s="24" t="s">
        <v>734</v>
      </c>
      <c r="D292" s="25">
        <v>345426.27</v>
      </c>
      <c r="E292" s="25">
        <v>3603130.08</v>
      </c>
      <c r="F292" s="25">
        <v>731328.87190000003</v>
      </c>
      <c r="G292" s="26">
        <f t="shared" si="4"/>
        <v>4679885.2219000002</v>
      </c>
      <c r="H292" s="27"/>
      <c r="I292" s="27"/>
      <c r="J292" s="28"/>
      <c r="K292" s="28"/>
      <c r="L292" s="28"/>
      <c r="M292" s="28"/>
      <c r="N292" s="27"/>
      <c r="O292" s="27"/>
      <c r="P292" s="28"/>
      <c r="Q292" s="28"/>
      <c r="R292" s="28"/>
    </row>
    <row r="293" spans="1:18" ht="17.649999999999999">
      <c r="A293" s="23">
        <v>288</v>
      </c>
      <c r="B293" s="24" t="s">
        <v>101</v>
      </c>
      <c r="C293" s="24" t="s">
        <v>736</v>
      </c>
      <c r="D293" s="25">
        <v>325063.53999999998</v>
      </c>
      <c r="E293" s="25">
        <v>3390727.02</v>
      </c>
      <c r="F293" s="25">
        <v>688217.3321</v>
      </c>
      <c r="G293" s="26">
        <f t="shared" si="4"/>
        <v>4404007.8920999998</v>
      </c>
      <c r="H293" s="27"/>
      <c r="I293" s="27"/>
      <c r="J293" s="28"/>
      <c r="K293" s="28"/>
      <c r="L293" s="28"/>
      <c r="M293" s="28"/>
      <c r="N293" s="27"/>
      <c r="O293" s="27"/>
      <c r="P293" s="28"/>
      <c r="Q293" s="28"/>
      <c r="R293" s="28"/>
    </row>
    <row r="294" spans="1:18" ht="17.649999999999999">
      <c r="A294" s="23">
        <v>289</v>
      </c>
      <c r="B294" s="24" t="s">
        <v>101</v>
      </c>
      <c r="C294" s="24" t="s">
        <v>738</v>
      </c>
      <c r="D294" s="25">
        <v>298632.48</v>
      </c>
      <c r="E294" s="25">
        <v>3115025.58</v>
      </c>
      <c r="F294" s="25">
        <v>632258.09030000004</v>
      </c>
      <c r="G294" s="26">
        <f t="shared" si="4"/>
        <v>4045916.1502999999</v>
      </c>
      <c r="H294" s="27"/>
      <c r="I294" s="27"/>
      <c r="J294" s="28"/>
      <c r="K294" s="28"/>
      <c r="L294" s="28"/>
      <c r="M294" s="28"/>
      <c r="N294" s="27"/>
      <c r="O294" s="27"/>
      <c r="P294" s="28"/>
      <c r="Q294" s="28"/>
      <c r="R294" s="28"/>
    </row>
    <row r="295" spans="1:18" ht="35.25">
      <c r="A295" s="23">
        <v>290</v>
      </c>
      <c r="B295" s="24" t="s">
        <v>101</v>
      </c>
      <c r="C295" s="24" t="s">
        <v>740</v>
      </c>
      <c r="D295" s="25">
        <v>317618.68</v>
      </c>
      <c r="E295" s="25">
        <v>3313070</v>
      </c>
      <c r="F295" s="25">
        <v>672455.25219999999</v>
      </c>
      <c r="G295" s="26">
        <f t="shared" si="4"/>
        <v>4303143.9321999997</v>
      </c>
      <c r="H295" s="27"/>
      <c r="I295" s="27"/>
      <c r="J295" s="28"/>
      <c r="K295" s="28"/>
      <c r="L295" s="28"/>
      <c r="M295" s="28"/>
      <c r="N295" s="27"/>
      <c r="O295" s="27"/>
      <c r="P295" s="28"/>
      <c r="Q295" s="28"/>
      <c r="R295" s="28"/>
    </row>
    <row r="296" spans="1:18" ht="17.649999999999999">
      <c r="A296" s="23">
        <v>291</v>
      </c>
      <c r="B296" s="24" t="s">
        <v>101</v>
      </c>
      <c r="C296" s="24" t="s">
        <v>742</v>
      </c>
      <c r="D296" s="25">
        <v>340584.52</v>
      </c>
      <c r="E296" s="25">
        <v>3552625.86</v>
      </c>
      <c r="F296" s="25">
        <v>721078.00959999999</v>
      </c>
      <c r="G296" s="26">
        <f t="shared" si="4"/>
        <v>4614288.3895999994</v>
      </c>
      <c r="H296" s="27"/>
      <c r="I296" s="27"/>
      <c r="J296" s="28"/>
      <c r="K296" s="28"/>
      <c r="L296" s="28"/>
      <c r="M296" s="28"/>
      <c r="N296" s="27"/>
      <c r="O296" s="27"/>
      <c r="P296" s="28"/>
      <c r="Q296" s="28"/>
      <c r="R296" s="28"/>
    </row>
    <row r="297" spans="1:18" ht="17.649999999999999">
      <c r="A297" s="23">
        <v>292</v>
      </c>
      <c r="B297" s="24" t="s">
        <v>101</v>
      </c>
      <c r="C297" s="24" t="s">
        <v>744</v>
      </c>
      <c r="D297" s="25">
        <v>341724.96</v>
      </c>
      <c r="E297" s="25">
        <v>3564521.74</v>
      </c>
      <c r="F297" s="25">
        <v>723492.52</v>
      </c>
      <c r="G297" s="26">
        <f t="shared" si="4"/>
        <v>4629739.2200000007</v>
      </c>
      <c r="H297" s="27"/>
      <c r="I297" s="27"/>
      <c r="J297" s="28"/>
      <c r="K297" s="28"/>
      <c r="L297" s="28"/>
      <c r="M297" s="28"/>
      <c r="N297" s="27"/>
      <c r="O297" s="27"/>
      <c r="P297" s="28"/>
      <c r="Q297" s="28"/>
      <c r="R297" s="28"/>
    </row>
    <row r="298" spans="1:18" ht="17.649999999999999">
      <c r="A298" s="23">
        <v>293</v>
      </c>
      <c r="B298" s="24" t="s">
        <v>101</v>
      </c>
      <c r="C298" s="24" t="s">
        <v>746</v>
      </c>
      <c r="D298" s="25">
        <v>305861.86</v>
      </c>
      <c r="E298" s="25">
        <v>3190434.95</v>
      </c>
      <c r="F298" s="25">
        <v>647563.96400000004</v>
      </c>
      <c r="G298" s="26">
        <f t="shared" si="4"/>
        <v>4143860.7740000002</v>
      </c>
      <c r="H298" s="27"/>
      <c r="I298" s="27"/>
      <c r="J298" s="28"/>
      <c r="K298" s="28"/>
      <c r="L298" s="28"/>
      <c r="M298" s="28"/>
      <c r="N298" s="27"/>
      <c r="O298" s="27"/>
      <c r="P298" s="28"/>
      <c r="Q298" s="28"/>
      <c r="R298" s="28"/>
    </row>
    <row r="299" spans="1:18" ht="17.649999999999999">
      <c r="A299" s="23">
        <v>294</v>
      </c>
      <c r="B299" s="24" t="s">
        <v>101</v>
      </c>
      <c r="C299" s="24" t="s">
        <v>748</v>
      </c>
      <c r="D299" s="25">
        <v>323971.05</v>
      </c>
      <c r="E299" s="25">
        <v>3379331.39</v>
      </c>
      <c r="F299" s="25">
        <v>685904.35450000002</v>
      </c>
      <c r="G299" s="26">
        <f t="shared" si="4"/>
        <v>4389206.7944999998</v>
      </c>
      <c r="H299" s="27"/>
      <c r="I299" s="27"/>
      <c r="J299" s="28"/>
      <c r="K299" s="28"/>
      <c r="L299" s="28"/>
      <c r="M299" s="28"/>
      <c r="N299" s="27"/>
      <c r="O299" s="27"/>
      <c r="P299" s="28"/>
      <c r="Q299" s="28"/>
      <c r="R299" s="28"/>
    </row>
    <row r="300" spans="1:18" ht="17.649999999999999">
      <c r="A300" s="23">
        <v>295</v>
      </c>
      <c r="B300" s="24" t="s">
        <v>101</v>
      </c>
      <c r="C300" s="24" t="s">
        <v>750</v>
      </c>
      <c r="D300" s="25">
        <v>364493.64</v>
      </c>
      <c r="E300" s="25">
        <v>3802021.12</v>
      </c>
      <c r="F300" s="25">
        <v>771697.87289999996</v>
      </c>
      <c r="G300" s="26">
        <f t="shared" si="4"/>
        <v>4938212.6329000005</v>
      </c>
      <c r="H300" s="27"/>
      <c r="I300" s="27"/>
      <c r="J300" s="28"/>
      <c r="K300" s="28"/>
      <c r="L300" s="28"/>
      <c r="M300" s="28"/>
      <c r="N300" s="27"/>
      <c r="O300" s="27"/>
      <c r="P300" s="28"/>
      <c r="Q300" s="28"/>
      <c r="R300" s="28"/>
    </row>
    <row r="301" spans="1:18" ht="17.649999999999999">
      <c r="A301" s="23">
        <v>296</v>
      </c>
      <c r="B301" s="24" t="s">
        <v>101</v>
      </c>
      <c r="C301" s="24" t="s">
        <v>752</v>
      </c>
      <c r="D301" s="25">
        <v>322161.36</v>
      </c>
      <c r="E301" s="25">
        <v>3360454.55</v>
      </c>
      <c r="F301" s="25">
        <v>682072.91579999996</v>
      </c>
      <c r="G301" s="26">
        <f t="shared" si="4"/>
        <v>4364688.8257999998</v>
      </c>
      <c r="H301" s="27"/>
      <c r="I301" s="27"/>
      <c r="J301" s="28"/>
      <c r="K301" s="28"/>
      <c r="L301" s="28"/>
      <c r="M301" s="28"/>
      <c r="N301" s="27"/>
      <c r="O301" s="27"/>
      <c r="P301" s="28"/>
      <c r="Q301" s="28"/>
      <c r="R301" s="28"/>
    </row>
    <row r="302" spans="1:18" ht="17.649999999999999">
      <c r="A302" s="23">
        <v>297</v>
      </c>
      <c r="B302" s="24" t="s">
        <v>101</v>
      </c>
      <c r="C302" s="24" t="s">
        <v>754</v>
      </c>
      <c r="D302" s="25">
        <v>397372.52</v>
      </c>
      <c r="E302" s="25">
        <v>4144979.66</v>
      </c>
      <c r="F302" s="25">
        <v>841308.31539999996</v>
      </c>
      <c r="G302" s="26">
        <f t="shared" si="4"/>
        <v>5383660.4953999994</v>
      </c>
      <c r="H302" s="27"/>
      <c r="I302" s="27"/>
      <c r="J302" s="28"/>
      <c r="K302" s="28"/>
      <c r="L302" s="28"/>
      <c r="M302" s="28"/>
      <c r="N302" s="27"/>
      <c r="O302" s="27"/>
      <c r="P302" s="28"/>
      <c r="Q302" s="28"/>
      <c r="R302" s="28"/>
    </row>
    <row r="303" spans="1:18" ht="17.649999999999999">
      <c r="A303" s="23">
        <v>298</v>
      </c>
      <c r="B303" s="24" t="s">
        <v>101</v>
      </c>
      <c r="C303" s="24" t="s">
        <v>756</v>
      </c>
      <c r="D303" s="25">
        <v>337486.65</v>
      </c>
      <c r="E303" s="25">
        <v>3520312.08</v>
      </c>
      <c r="F303" s="25">
        <v>714519.26789999998</v>
      </c>
      <c r="G303" s="26">
        <f t="shared" si="4"/>
        <v>4572317.9978999998</v>
      </c>
      <c r="H303" s="27"/>
      <c r="I303" s="27"/>
      <c r="J303" s="28"/>
      <c r="K303" s="28"/>
      <c r="L303" s="28"/>
      <c r="M303" s="28"/>
      <c r="N303" s="27"/>
      <c r="O303" s="27"/>
      <c r="P303" s="28"/>
      <c r="Q303" s="28"/>
      <c r="R303" s="28"/>
    </row>
    <row r="304" spans="1:18" ht="17.649999999999999">
      <c r="A304" s="23">
        <v>299</v>
      </c>
      <c r="B304" s="24" t="s">
        <v>101</v>
      </c>
      <c r="C304" s="24" t="s">
        <v>758</v>
      </c>
      <c r="D304" s="25">
        <v>304876.7</v>
      </c>
      <c r="E304" s="25">
        <v>3180158.79</v>
      </c>
      <c r="F304" s="25">
        <v>645478.20669999998</v>
      </c>
      <c r="G304" s="26">
        <f t="shared" si="4"/>
        <v>4130513.6967000002</v>
      </c>
      <c r="H304" s="27"/>
      <c r="I304" s="27"/>
      <c r="J304" s="28"/>
      <c r="K304" s="28"/>
      <c r="L304" s="28"/>
      <c r="M304" s="28"/>
      <c r="N304" s="27"/>
      <c r="O304" s="27"/>
      <c r="P304" s="28"/>
      <c r="Q304" s="28"/>
      <c r="R304" s="28"/>
    </row>
    <row r="305" spans="1:18" ht="17.649999999999999">
      <c r="A305" s="23">
        <v>300</v>
      </c>
      <c r="B305" s="24" t="s">
        <v>101</v>
      </c>
      <c r="C305" s="24" t="s">
        <v>760</v>
      </c>
      <c r="D305" s="25">
        <v>296694.69</v>
      </c>
      <c r="E305" s="25">
        <v>3094812.49</v>
      </c>
      <c r="F305" s="25">
        <v>628155.43209999998</v>
      </c>
      <c r="G305" s="26">
        <f t="shared" si="4"/>
        <v>4019662.6121</v>
      </c>
      <c r="H305" s="27"/>
      <c r="I305" s="27"/>
      <c r="J305" s="28"/>
      <c r="K305" s="28"/>
      <c r="L305" s="28"/>
      <c r="M305" s="28"/>
      <c r="N305" s="27"/>
      <c r="O305" s="27"/>
      <c r="P305" s="28"/>
      <c r="Q305" s="28"/>
      <c r="R305" s="28"/>
    </row>
    <row r="306" spans="1:18" ht="17.649999999999999">
      <c r="A306" s="23">
        <v>301</v>
      </c>
      <c r="B306" s="24" t="s">
        <v>101</v>
      </c>
      <c r="C306" s="24" t="s">
        <v>762</v>
      </c>
      <c r="D306" s="25">
        <v>264307.94</v>
      </c>
      <c r="E306" s="25">
        <v>2756987.36</v>
      </c>
      <c r="F306" s="25">
        <v>559586.91729999997</v>
      </c>
      <c r="G306" s="26">
        <f t="shared" si="4"/>
        <v>3580882.2172999997</v>
      </c>
      <c r="H306" s="27"/>
      <c r="I306" s="27"/>
      <c r="J306" s="28"/>
      <c r="K306" s="28"/>
      <c r="L306" s="28"/>
      <c r="M306" s="28"/>
      <c r="N306" s="27"/>
      <c r="O306" s="27"/>
      <c r="P306" s="28"/>
      <c r="Q306" s="28"/>
      <c r="R306" s="28"/>
    </row>
    <row r="307" spans="1:18" ht="17.649999999999999">
      <c r="A307" s="23">
        <v>302</v>
      </c>
      <c r="B307" s="24" t="s">
        <v>101</v>
      </c>
      <c r="C307" s="24" t="s">
        <v>764</v>
      </c>
      <c r="D307" s="25">
        <v>286506.34999999998</v>
      </c>
      <c r="E307" s="25">
        <v>2988538.29</v>
      </c>
      <c r="F307" s="25">
        <v>606584.90989999997</v>
      </c>
      <c r="G307" s="26">
        <f t="shared" si="4"/>
        <v>3881629.5499</v>
      </c>
      <c r="H307" s="27"/>
      <c r="I307" s="27"/>
      <c r="J307" s="28"/>
      <c r="K307" s="28"/>
      <c r="L307" s="28"/>
      <c r="M307" s="28"/>
      <c r="N307" s="27"/>
      <c r="O307" s="27"/>
      <c r="P307" s="28"/>
      <c r="Q307" s="28"/>
      <c r="R307" s="28"/>
    </row>
    <row r="308" spans="1:18" ht="17.649999999999999">
      <c r="A308" s="23">
        <v>303</v>
      </c>
      <c r="B308" s="24" t="s">
        <v>101</v>
      </c>
      <c r="C308" s="24" t="s">
        <v>766</v>
      </c>
      <c r="D308" s="25">
        <v>336348.18</v>
      </c>
      <c r="E308" s="25">
        <v>3508436.75</v>
      </c>
      <c r="F308" s="25">
        <v>712108.92590000003</v>
      </c>
      <c r="G308" s="26">
        <f t="shared" si="4"/>
        <v>4556893.8558999998</v>
      </c>
      <c r="H308" s="27"/>
      <c r="I308" s="27"/>
      <c r="J308" s="28"/>
      <c r="K308" s="28"/>
      <c r="L308" s="28"/>
      <c r="M308" s="28"/>
      <c r="N308" s="27"/>
      <c r="O308" s="27"/>
      <c r="P308" s="28"/>
      <c r="Q308" s="28"/>
      <c r="R308" s="28"/>
    </row>
    <row r="309" spans="1:18" ht="17.649999999999999">
      <c r="A309" s="23">
        <v>304</v>
      </c>
      <c r="B309" s="24" t="s">
        <v>101</v>
      </c>
      <c r="C309" s="24" t="s">
        <v>768</v>
      </c>
      <c r="D309" s="25">
        <v>364057.32</v>
      </c>
      <c r="E309" s="25">
        <v>3797469.94</v>
      </c>
      <c r="F309" s="25">
        <v>770774.11789999995</v>
      </c>
      <c r="G309" s="26">
        <f t="shared" si="4"/>
        <v>4932301.3778999997</v>
      </c>
      <c r="H309" s="27"/>
      <c r="I309" s="27"/>
      <c r="J309" s="28"/>
      <c r="K309" s="28"/>
      <c r="L309" s="28"/>
      <c r="M309" s="28"/>
      <c r="N309" s="27"/>
      <c r="O309" s="27"/>
      <c r="P309" s="28"/>
      <c r="Q309" s="28"/>
      <c r="R309" s="28"/>
    </row>
    <row r="310" spans="1:18" ht="17.649999999999999">
      <c r="A310" s="23">
        <v>305</v>
      </c>
      <c r="B310" s="24" t="s">
        <v>101</v>
      </c>
      <c r="C310" s="24" t="s">
        <v>770</v>
      </c>
      <c r="D310" s="25">
        <v>318967.49</v>
      </c>
      <c r="E310" s="25">
        <v>3327139.34</v>
      </c>
      <c r="F310" s="25">
        <v>675310.9129</v>
      </c>
      <c r="G310" s="26">
        <f t="shared" si="4"/>
        <v>4321417.7429</v>
      </c>
      <c r="H310" s="27"/>
      <c r="I310" s="27"/>
      <c r="J310" s="28"/>
      <c r="K310" s="28"/>
      <c r="L310" s="28"/>
      <c r="M310" s="28"/>
      <c r="N310" s="27"/>
      <c r="O310" s="27"/>
      <c r="P310" s="28"/>
      <c r="Q310" s="28"/>
      <c r="R310" s="28"/>
    </row>
    <row r="311" spans="1:18" ht="17.649999999999999">
      <c r="A311" s="23">
        <v>306</v>
      </c>
      <c r="B311" s="24" t="s">
        <v>101</v>
      </c>
      <c r="C311" s="24" t="s">
        <v>772</v>
      </c>
      <c r="D311" s="25">
        <v>283369.2</v>
      </c>
      <c r="E311" s="25">
        <v>2955814.81</v>
      </c>
      <c r="F311" s="25">
        <v>599943.01100000006</v>
      </c>
      <c r="G311" s="26">
        <f t="shared" si="4"/>
        <v>3839127.0210000002</v>
      </c>
      <c r="H311" s="27"/>
      <c r="I311" s="27"/>
      <c r="J311" s="28"/>
      <c r="K311" s="28"/>
      <c r="L311" s="28"/>
      <c r="M311" s="28"/>
      <c r="N311" s="27"/>
      <c r="O311" s="27"/>
      <c r="P311" s="28"/>
      <c r="Q311" s="28"/>
      <c r="R311" s="28"/>
    </row>
    <row r="312" spans="1:18" ht="17.649999999999999">
      <c r="A312" s="23">
        <v>307</v>
      </c>
      <c r="B312" s="24" t="s">
        <v>101</v>
      </c>
      <c r="C312" s="24" t="s">
        <v>774</v>
      </c>
      <c r="D312" s="25">
        <v>311667.18</v>
      </c>
      <c r="E312" s="25">
        <v>3250990.12</v>
      </c>
      <c r="F312" s="25">
        <v>659854.87280000001</v>
      </c>
      <c r="G312" s="26">
        <f t="shared" si="4"/>
        <v>4222512.1728000008</v>
      </c>
      <c r="H312" s="27"/>
      <c r="I312" s="27"/>
      <c r="J312" s="28"/>
      <c r="K312" s="28"/>
      <c r="L312" s="28"/>
      <c r="M312" s="28"/>
      <c r="N312" s="27"/>
      <c r="O312" s="27"/>
      <c r="P312" s="28"/>
      <c r="Q312" s="28"/>
      <c r="R312" s="28"/>
    </row>
    <row r="313" spans="1:18" ht="17.649999999999999">
      <c r="A313" s="23">
        <v>308</v>
      </c>
      <c r="B313" s="24" t="s">
        <v>101</v>
      </c>
      <c r="C313" s="24" t="s">
        <v>776</v>
      </c>
      <c r="D313" s="25">
        <v>303184.57</v>
      </c>
      <c r="E313" s="25">
        <v>3162508.29</v>
      </c>
      <c r="F313" s="25">
        <v>641895.67649999994</v>
      </c>
      <c r="G313" s="26">
        <f t="shared" si="4"/>
        <v>4107588.5364999999</v>
      </c>
      <c r="H313" s="27"/>
      <c r="I313" s="27"/>
      <c r="J313" s="28"/>
      <c r="K313" s="28"/>
      <c r="L313" s="28"/>
      <c r="M313" s="28"/>
      <c r="N313" s="27"/>
      <c r="O313" s="27"/>
      <c r="P313" s="28"/>
      <c r="Q313" s="28"/>
      <c r="R313" s="28"/>
    </row>
    <row r="314" spans="1:18" ht="17.649999999999999">
      <c r="A314" s="23">
        <v>309</v>
      </c>
      <c r="B314" s="24" t="s">
        <v>101</v>
      </c>
      <c r="C314" s="24" t="s">
        <v>778</v>
      </c>
      <c r="D314" s="25">
        <v>293257.71999999997</v>
      </c>
      <c r="E314" s="25">
        <v>3058961.62</v>
      </c>
      <c r="F314" s="25">
        <v>620878.76489999995</v>
      </c>
      <c r="G314" s="26">
        <f t="shared" si="4"/>
        <v>3973098.1048999997</v>
      </c>
      <c r="H314" s="27"/>
      <c r="I314" s="27"/>
      <c r="J314" s="28"/>
      <c r="K314" s="28"/>
      <c r="L314" s="28"/>
      <c r="M314" s="28"/>
      <c r="N314" s="27"/>
      <c r="O314" s="27"/>
      <c r="P314" s="28"/>
      <c r="Q314" s="28"/>
      <c r="R314" s="28"/>
    </row>
    <row r="315" spans="1:18" ht="17.649999999999999">
      <c r="A315" s="23">
        <v>310</v>
      </c>
      <c r="B315" s="24" t="s">
        <v>101</v>
      </c>
      <c r="C315" s="24" t="s">
        <v>780</v>
      </c>
      <c r="D315" s="25">
        <v>303371.25</v>
      </c>
      <c r="E315" s="25">
        <v>3164455.52</v>
      </c>
      <c r="F315" s="25">
        <v>642290.90749999997</v>
      </c>
      <c r="G315" s="26">
        <f t="shared" si="4"/>
        <v>4110117.6775000002</v>
      </c>
      <c r="H315" s="27"/>
      <c r="I315" s="27"/>
      <c r="J315" s="28"/>
      <c r="K315" s="28"/>
      <c r="L315" s="28"/>
      <c r="M315" s="28"/>
      <c r="N315" s="27"/>
      <c r="O315" s="27"/>
      <c r="P315" s="28"/>
      <c r="Q315" s="28"/>
      <c r="R315" s="28"/>
    </row>
    <row r="316" spans="1:18" ht="35.25">
      <c r="A316" s="23">
        <v>311</v>
      </c>
      <c r="B316" s="24" t="s">
        <v>101</v>
      </c>
      <c r="C316" s="24" t="s">
        <v>782</v>
      </c>
      <c r="D316" s="25">
        <v>306149.49</v>
      </c>
      <c r="E316" s="25">
        <v>3193435.22</v>
      </c>
      <c r="F316" s="25">
        <v>648172.92879999999</v>
      </c>
      <c r="G316" s="26">
        <f t="shared" si="4"/>
        <v>4147757.6387999998</v>
      </c>
      <c r="H316" s="27"/>
      <c r="I316" s="27"/>
      <c r="J316" s="28"/>
      <c r="K316" s="28"/>
      <c r="L316" s="28"/>
      <c r="M316" s="28"/>
      <c r="N316" s="27"/>
      <c r="O316" s="27"/>
      <c r="P316" s="28"/>
      <c r="Q316" s="28"/>
      <c r="R316" s="28"/>
    </row>
    <row r="317" spans="1:18" ht="17.649999999999999">
      <c r="A317" s="23">
        <v>312</v>
      </c>
      <c r="B317" s="24" t="s">
        <v>101</v>
      </c>
      <c r="C317" s="24" t="s">
        <v>784</v>
      </c>
      <c r="D317" s="25">
        <v>325691.02</v>
      </c>
      <c r="E317" s="25">
        <v>3397272.24</v>
      </c>
      <c r="F317" s="25">
        <v>689545.81759999995</v>
      </c>
      <c r="G317" s="26">
        <f t="shared" si="4"/>
        <v>4412509.0776000004</v>
      </c>
      <c r="H317" s="27"/>
      <c r="I317" s="27"/>
      <c r="J317" s="28"/>
      <c r="K317" s="28"/>
      <c r="L317" s="28"/>
      <c r="M317" s="28"/>
      <c r="N317" s="27"/>
      <c r="O317" s="27"/>
      <c r="P317" s="28"/>
      <c r="Q317" s="28"/>
      <c r="R317" s="28"/>
    </row>
    <row r="318" spans="1:18" ht="17.649999999999999">
      <c r="A318" s="23">
        <v>313</v>
      </c>
      <c r="B318" s="24" t="s">
        <v>101</v>
      </c>
      <c r="C318" s="24" t="s">
        <v>786</v>
      </c>
      <c r="D318" s="25">
        <v>291358.18</v>
      </c>
      <c r="E318" s="25">
        <v>3039147.59</v>
      </c>
      <c r="F318" s="25">
        <v>616857.10309999995</v>
      </c>
      <c r="G318" s="26">
        <f t="shared" si="4"/>
        <v>3947362.8731</v>
      </c>
      <c r="H318" s="27"/>
      <c r="I318" s="27"/>
      <c r="J318" s="28"/>
      <c r="K318" s="28"/>
      <c r="L318" s="28"/>
      <c r="M318" s="28"/>
      <c r="N318" s="27"/>
      <c r="O318" s="27"/>
      <c r="P318" s="28"/>
      <c r="Q318" s="28"/>
      <c r="R318" s="28"/>
    </row>
    <row r="319" spans="1:18" ht="17.649999999999999">
      <c r="A319" s="23">
        <v>314</v>
      </c>
      <c r="B319" s="24" t="s">
        <v>102</v>
      </c>
      <c r="C319" s="24" t="s">
        <v>791</v>
      </c>
      <c r="D319" s="25">
        <v>304258.99</v>
      </c>
      <c r="E319" s="25">
        <v>3173715.51</v>
      </c>
      <c r="F319" s="25">
        <v>644170.41099999996</v>
      </c>
      <c r="G319" s="26">
        <f t="shared" si="4"/>
        <v>4122144.9109999998</v>
      </c>
      <c r="H319" s="27"/>
      <c r="I319" s="27"/>
      <c r="J319" s="28"/>
      <c r="K319" s="28"/>
      <c r="L319" s="28"/>
      <c r="M319" s="28"/>
      <c r="N319" s="27"/>
      <c r="O319" s="27"/>
      <c r="P319" s="28"/>
      <c r="Q319" s="28"/>
      <c r="R319" s="28"/>
    </row>
    <row r="320" spans="1:18" ht="17.649999999999999">
      <c r="A320" s="23">
        <v>315</v>
      </c>
      <c r="B320" s="24" t="s">
        <v>102</v>
      </c>
      <c r="C320" s="24" t="s">
        <v>793</v>
      </c>
      <c r="D320" s="25">
        <v>359850.53</v>
      </c>
      <c r="E320" s="25">
        <v>3753588.99</v>
      </c>
      <c r="F320" s="25">
        <v>761867.58169999998</v>
      </c>
      <c r="G320" s="26">
        <f t="shared" si="4"/>
        <v>4875307.1017000005</v>
      </c>
      <c r="H320" s="27"/>
      <c r="I320" s="27"/>
      <c r="J320" s="28"/>
      <c r="K320" s="28"/>
      <c r="L320" s="28"/>
      <c r="M320" s="28"/>
      <c r="N320" s="27"/>
      <c r="O320" s="27"/>
      <c r="P320" s="28"/>
      <c r="Q320" s="28"/>
      <c r="R320" s="28"/>
    </row>
    <row r="321" spans="1:18" ht="17.649999999999999">
      <c r="A321" s="23">
        <v>316</v>
      </c>
      <c r="B321" s="24" t="s">
        <v>102</v>
      </c>
      <c r="C321" s="24" t="s">
        <v>795</v>
      </c>
      <c r="D321" s="25">
        <v>446584.32000000001</v>
      </c>
      <c r="E321" s="25">
        <v>4658306.3</v>
      </c>
      <c r="F321" s="25">
        <v>945498.44649999996</v>
      </c>
      <c r="G321" s="26">
        <f t="shared" si="4"/>
        <v>6050389.0664999997</v>
      </c>
      <c r="H321" s="27"/>
      <c r="I321" s="27"/>
      <c r="J321" s="28"/>
      <c r="K321" s="28"/>
      <c r="L321" s="28"/>
      <c r="M321" s="28"/>
      <c r="N321" s="27"/>
      <c r="O321" s="27"/>
      <c r="P321" s="28"/>
      <c r="Q321" s="28"/>
      <c r="R321" s="28"/>
    </row>
    <row r="322" spans="1:18" ht="17.649999999999999">
      <c r="A322" s="23">
        <v>317</v>
      </c>
      <c r="B322" s="24" t="s">
        <v>102</v>
      </c>
      <c r="C322" s="24" t="s">
        <v>797</v>
      </c>
      <c r="D322" s="25">
        <v>337788.83</v>
      </c>
      <c r="E322" s="25">
        <v>3523464.17</v>
      </c>
      <c r="F322" s="25">
        <v>715159.04760000005</v>
      </c>
      <c r="G322" s="26">
        <f t="shared" si="4"/>
        <v>4576412.0476000002</v>
      </c>
      <c r="H322" s="27"/>
      <c r="I322" s="27"/>
      <c r="J322" s="28"/>
      <c r="K322" s="28"/>
      <c r="L322" s="28"/>
      <c r="M322" s="28"/>
      <c r="N322" s="27"/>
      <c r="O322" s="27"/>
      <c r="P322" s="28"/>
      <c r="Q322" s="28"/>
      <c r="R322" s="28"/>
    </row>
    <row r="323" spans="1:18" ht="17.649999999999999">
      <c r="A323" s="23">
        <v>318</v>
      </c>
      <c r="B323" s="24" t="s">
        <v>102</v>
      </c>
      <c r="C323" s="24" t="s">
        <v>799</v>
      </c>
      <c r="D323" s="25">
        <v>284337.39</v>
      </c>
      <c r="E323" s="25">
        <v>3023439.62</v>
      </c>
      <c r="F323" s="25">
        <v>601992.8443</v>
      </c>
      <c r="G323" s="26">
        <f t="shared" si="4"/>
        <v>3909769.8543000002</v>
      </c>
      <c r="H323" s="27"/>
      <c r="I323" s="27"/>
      <c r="J323" s="28"/>
      <c r="K323" s="28"/>
      <c r="L323" s="28"/>
      <c r="M323" s="28"/>
      <c r="N323" s="27"/>
      <c r="O323" s="27"/>
      <c r="P323" s="28"/>
      <c r="Q323" s="28"/>
      <c r="R323" s="28"/>
    </row>
    <row r="324" spans="1:18" ht="17.649999999999999">
      <c r="A324" s="23">
        <v>319</v>
      </c>
      <c r="B324" s="24" t="s">
        <v>102</v>
      </c>
      <c r="C324" s="24" t="s">
        <v>801</v>
      </c>
      <c r="D324" s="25">
        <v>399131.64</v>
      </c>
      <c r="E324" s="25">
        <v>2965913.98</v>
      </c>
      <c r="F324" s="25">
        <v>845032.68359999999</v>
      </c>
      <c r="G324" s="26">
        <f t="shared" si="4"/>
        <v>4210078.3036000002</v>
      </c>
      <c r="H324" s="27"/>
      <c r="I324" s="27"/>
      <c r="J324" s="28"/>
      <c r="K324" s="28"/>
      <c r="L324" s="28"/>
      <c r="M324" s="28"/>
      <c r="N324" s="27"/>
      <c r="O324" s="27"/>
      <c r="P324" s="28"/>
      <c r="Q324" s="28"/>
      <c r="R324" s="28"/>
    </row>
    <row r="325" spans="1:18" ht="17.649999999999999">
      <c r="A325" s="23">
        <v>320</v>
      </c>
      <c r="B325" s="24" t="s">
        <v>102</v>
      </c>
      <c r="C325" s="24" t="s">
        <v>803</v>
      </c>
      <c r="D325" s="25">
        <v>289852.28000000003</v>
      </c>
      <c r="E325" s="25">
        <v>4163328.97</v>
      </c>
      <c r="F325" s="25">
        <v>613668.84880000004</v>
      </c>
      <c r="G325" s="26">
        <f t="shared" si="4"/>
        <v>5066850.0987999998</v>
      </c>
      <c r="H325" s="27"/>
      <c r="I325" s="27"/>
      <c r="J325" s="28"/>
      <c r="K325" s="28"/>
      <c r="L325" s="28"/>
      <c r="M325" s="28"/>
      <c r="N325" s="27"/>
      <c r="O325" s="27"/>
      <c r="P325" s="28"/>
      <c r="Q325" s="28"/>
      <c r="R325" s="28"/>
    </row>
    <row r="326" spans="1:18" ht="17.649999999999999">
      <c r="A326" s="23">
        <v>321</v>
      </c>
      <c r="B326" s="24" t="s">
        <v>102</v>
      </c>
      <c r="C326" s="24" t="s">
        <v>805</v>
      </c>
      <c r="D326" s="25">
        <v>334978.81</v>
      </c>
      <c r="E326" s="25">
        <v>3494152.96</v>
      </c>
      <c r="F326" s="25">
        <v>709209.73840000003</v>
      </c>
      <c r="G326" s="26">
        <f t="shared" ref="G326:G389" si="5">D326+E326+F326</f>
        <v>4538341.5083999997</v>
      </c>
      <c r="H326" s="27"/>
      <c r="I326" s="27"/>
      <c r="J326" s="28"/>
      <c r="K326" s="28"/>
      <c r="L326" s="28"/>
      <c r="M326" s="28"/>
      <c r="N326" s="27"/>
      <c r="O326" s="27"/>
      <c r="P326" s="28"/>
      <c r="Q326" s="28"/>
      <c r="R326" s="28"/>
    </row>
    <row r="327" spans="1:18" ht="17.649999999999999">
      <c r="A327" s="23">
        <v>322</v>
      </c>
      <c r="B327" s="24" t="s">
        <v>102</v>
      </c>
      <c r="C327" s="24" t="s">
        <v>807</v>
      </c>
      <c r="D327" s="25">
        <v>293419.21000000002</v>
      </c>
      <c r="E327" s="25">
        <v>3060646.1</v>
      </c>
      <c r="F327" s="25">
        <v>621220.66460000002</v>
      </c>
      <c r="G327" s="26">
        <f t="shared" si="5"/>
        <v>3975285.9746000003</v>
      </c>
      <c r="H327" s="27"/>
      <c r="I327" s="27"/>
      <c r="J327" s="28"/>
      <c r="K327" s="28"/>
      <c r="L327" s="28"/>
      <c r="M327" s="28"/>
      <c r="N327" s="27"/>
      <c r="O327" s="27"/>
      <c r="P327" s="28"/>
      <c r="Q327" s="28"/>
      <c r="R327" s="28"/>
    </row>
    <row r="328" spans="1:18" ht="17.649999999999999">
      <c r="A328" s="23">
        <v>323</v>
      </c>
      <c r="B328" s="24" t="s">
        <v>102</v>
      </c>
      <c r="C328" s="24" t="s">
        <v>809</v>
      </c>
      <c r="D328" s="25">
        <v>309981.42</v>
      </c>
      <c r="E328" s="25">
        <v>3233406.01</v>
      </c>
      <c r="F328" s="25">
        <v>656285.81779999996</v>
      </c>
      <c r="G328" s="26">
        <f t="shared" si="5"/>
        <v>4199673.2478</v>
      </c>
      <c r="H328" s="27"/>
      <c r="I328" s="27"/>
      <c r="J328" s="28"/>
      <c r="K328" s="28"/>
      <c r="L328" s="28"/>
      <c r="M328" s="28"/>
      <c r="N328" s="27"/>
      <c r="O328" s="27"/>
      <c r="P328" s="28"/>
      <c r="Q328" s="28"/>
      <c r="R328" s="28"/>
    </row>
    <row r="329" spans="1:18" ht="17.649999999999999">
      <c r="A329" s="23">
        <v>324</v>
      </c>
      <c r="B329" s="24" t="s">
        <v>102</v>
      </c>
      <c r="C329" s="24" t="s">
        <v>811</v>
      </c>
      <c r="D329" s="25">
        <v>431202.15</v>
      </c>
      <c r="E329" s="25">
        <v>4497855.37</v>
      </c>
      <c r="F329" s="25">
        <v>912931.65179999999</v>
      </c>
      <c r="G329" s="26">
        <f t="shared" si="5"/>
        <v>5841989.1718000006</v>
      </c>
      <c r="H329" s="27"/>
      <c r="I329" s="27"/>
      <c r="J329" s="28"/>
      <c r="K329" s="28"/>
      <c r="L329" s="28"/>
      <c r="M329" s="28"/>
      <c r="N329" s="27"/>
      <c r="O329" s="27"/>
      <c r="P329" s="28"/>
      <c r="Q329" s="28"/>
      <c r="R329" s="28"/>
    </row>
    <row r="330" spans="1:18" ht="17.649999999999999">
      <c r="A330" s="23">
        <v>325</v>
      </c>
      <c r="B330" s="24" t="s">
        <v>102</v>
      </c>
      <c r="C330" s="24" t="s">
        <v>813</v>
      </c>
      <c r="D330" s="25">
        <v>318815.15000000002</v>
      </c>
      <c r="E330" s="25">
        <v>3325550.3</v>
      </c>
      <c r="F330" s="25">
        <v>674988.3835</v>
      </c>
      <c r="G330" s="26">
        <f t="shared" si="5"/>
        <v>4319353.8334999997</v>
      </c>
      <c r="H330" s="27"/>
      <c r="I330" s="27"/>
      <c r="J330" s="28"/>
      <c r="K330" s="28"/>
      <c r="L330" s="28"/>
      <c r="M330" s="28"/>
      <c r="N330" s="27"/>
      <c r="O330" s="27"/>
      <c r="P330" s="28"/>
      <c r="Q330" s="28"/>
      <c r="R330" s="28"/>
    </row>
    <row r="331" spans="1:18" ht="17.649999999999999">
      <c r="A331" s="23">
        <v>326</v>
      </c>
      <c r="B331" s="24" t="s">
        <v>102</v>
      </c>
      <c r="C331" s="24" t="s">
        <v>815</v>
      </c>
      <c r="D331" s="25">
        <v>269131.95</v>
      </c>
      <c r="E331" s="25">
        <v>2807306.52</v>
      </c>
      <c r="F331" s="25">
        <v>569800.2206</v>
      </c>
      <c r="G331" s="26">
        <f t="shared" si="5"/>
        <v>3646238.6906000003</v>
      </c>
      <c r="H331" s="27"/>
      <c r="I331" s="27"/>
      <c r="J331" s="28"/>
      <c r="K331" s="28"/>
      <c r="L331" s="28"/>
      <c r="M331" s="28"/>
      <c r="N331" s="27"/>
      <c r="O331" s="27"/>
      <c r="P331" s="28"/>
      <c r="Q331" s="28"/>
      <c r="R331" s="28"/>
    </row>
    <row r="332" spans="1:18" ht="17.649999999999999">
      <c r="A332" s="23">
        <v>327</v>
      </c>
      <c r="B332" s="24" t="s">
        <v>102</v>
      </c>
      <c r="C332" s="24" t="s">
        <v>817</v>
      </c>
      <c r="D332" s="25">
        <v>369913.28</v>
      </c>
      <c r="E332" s="25">
        <v>3858553.23</v>
      </c>
      <c r="F332" s="25">
        <v>783172.2206</v>
      </c>
      <c r="G332" s="26">
        <f t="shared" si="5"/>
        <v>5011638.7305999994</v>
      </c>
      <c r="H332" s="27"/>
      <c r="I332" s="27"/>
      <c r="J332" s="28"/>
      <c r="K332" s="28"/>
      <c r="L332" s="28"/>
      <c r="M332" s="28"/>
      <c r="N332" s="27"/>
      <c r="O332" s="27"/>
      <c r="P332" s="28"/>
      <c r="Q332" s="28"/>
      <c r="R332" s="28"/>
    </row>
    <row r="333" spans="1:18" ht="17.649999999999999">
      <c r="A333" s="23">
        <v>328</v>
      </c>
      <c r="B333" s="24" t="s">
        <v>102</v>
      </c>
      <c r="C333" s="24" t="s">
        <v>819</v>
      </c>
      <c r="D333" s="25">
        <v>416057.74</v>
      </c>
      <c r="E333" s="25">
        <v>4339884.59</v>
      </c>
      <c r="F333" s="25">
        <v>880868.25349999999</v>
      </c>
      <c r="G333" s="26">
        <f t="shared" si="5"/>
        <v>5636810.5834999997</v>
      </c>
      <c r="H333" s="27"/>
      <c r="I333" s="27"/>
      <c r="J333" s="28"/>
      <c r="K333" s="28"/>
      <c r="L333" s="28"/>
      <c r="M333" s="28"/>
      <c r="N333" s="27"/>
      <c r="O333" s="27"/>
      <c r="P333" s="28"/>
      <c r="Q333" s="28"/>
      <c r="R333" s="28"/>
    </row>
    <row r="334" spans="1:18" ht="17.649999999999999">
      <c r="A334" s="23">
        <v>329</v>
      </c>
      <c r="B334" s="24" t="s">
        <v>102</v>
      </c>
      <c r="C334" s="24" t="s">
        <v>821</v>
      </c>
      <c r="D334" s="25">
        <v>304930.26</v>
      </c>
      <c r="E334" s="25">
        <v>3180717.5</v>
      </c>
      <c r="F334" s="25">
        <v>645591.60770000005</v>
      </c>
      <c r="G334" s="26">
        <f t="shared" si="5"/>
        <v>4131239.3676999998</v>
      </c>
      <c r="H334" s="27"/>
      <c r="I334" s="27"/>
      <c r="J334" s="28"/>
      <c r="K334" s="28"/>
      <c r="L334" s="28"/>
      <c r="M334" s="28"/>
      <c r="N334" s="27"/>
      <c r="O334" s="27"/>
      <c r="P334" s="28"/>
      <c r="Q334" s="28"/>
      <c r="R334" s="28"/>
    </row>
    <row r="335" spans="1:18" ht="17.649999999999999">
      <c r="A335" s="23">
        <v>330</v>
      </c>
      <c r="B335" s="24" t="s">
        <v>102</v>
      </c>
      <c r="C335" s="24" t="s">
        <v>823</v>
      </c>
      <c r="D335" s="25">
        <v>322674.02</v>
      </c>
      <c r="E335" s="25">
        <v>3365802.05</v>
      </c>
      <c r="F335" s="25">
        <v>683158.3</v>
      </c>
      <c r="G335" s="26">
        <f t="shared" si="5"/>
        <v>4371634.37</v>
      </c>
      <c r="H335" s="27"/>
      <c r="I335" s="27"/>
      <c r="J335" s="28"/>
      <c r="K335" s="28"/>
      <c r="L335" s="28"/>
      <c r="M335" s="28"/>
      <c r="N335" s="27"/>
      <c r="O335" s="27"/>
      <c r="P335" s="28"/>
      <c r="Q335" s="28"/>
      <c r="R335" s="28"/>
    </row>
    <row r="336" spans="1:18" ht="17.649999999999999">
      <c r="A336" s="23">
        <v>331</v>
      </c>
      <c r="B336" s="24" t="s">
        <v>102</v>
      </c>
      <c r="C336" s="24" t="s">
        <v>825</v>
      </c>
      <c r="D336" s="25">
        <v>336543.36</v>
      </c>
      <c r="E336" s="25">
        <v>3510472.7</v>
      </c>
      <c r="F336" s="25">
        <v>712522.1642</v>
      </c>
      <c r="G336" s="26">
        <f t="shared" si="5"/>
        <v>4559538.2242000001</v>
      </c>
      <c r="H336" s="27"/>
      <c r="I336" s="27"/>
      <c r="J336" s="28"/>
      <c r="K336" s="28"/>
      <c r="L336" s="28"/>
      <c r="M336" s="28"/>
      <c r="N336" s="27"/>
      <c r="O336" s="27"/>
      <c r="P336" s="28"/>
      <c r="Q336" s="28"/>
      <c r="R336" s="28"/>
    </row>
    <row r="337" spans="1:18" ht="17.649999999999999">
      <c r="A337" s="23">
        <v>332</v>
      </c>
      <c r="B337" s="24" t="s">
        <v>102</v>
      </c>
      <c r="C337" s="24" t="s">
        <v>827</v>
      </c>
      <c r="D337" s="25">
        <v>347698.63</v>
      </c>
      <c r="E337" s="25">
        <v>3626832.9</v>
      </c>
      <c r="F337" s="25">
        <v>736139.84519999998</v>
      </c>
      <c r="G337" s="26">
        <f t="shared" si="5"/>
        <v>4710671.3751999997</v>
      </c>
      <c r="H337" s="27"/>
      <c r="I337" s="27"/>
      <c r="J337" s="28"/>
      <c r="K337" s="28"/>
      <c r="L337" s="28"/>
      <c r="M337" s="28"/>
      <c r="N337" s="27"/>
      <c r="O337" s="27"/>
      <c r="P337" s="28"/>
      <c r="Q337" s="28"/>
      <c r="R337" s="28"/>
    </row>
    <row r="338" spans="1:18" ht="17.649999999999999">
      <c r="A338" s="23">
        <v>333</v>
      </c>
      <c r="B338" s="24" t="s">
        <v>102</v>
      </c>
      <c r="C338" s="24" t="s">
        <v>829</v>
      </c>
      <c r="D338" s="25">
        <v>350705.07</v>
      </c>
      <c r="E338" s="25">
        <v>3658192.99</v>
      </c>
      <c r="F338" s="25">
        <v>742505.0148</v>
      </c>
      <c r="G338" s="26">
        <f t="shared" si="5"/>
        <v>4751403.0747999996</v>
      </c>
      <c r="H338" s="27"/>
      <c r="I338" s="27"/>
      <c r="J338" s="28"/>
      <c r="K338" s="28"/>
      <c r="L338" s="28"/>
      <c r="M338" s="28"/>
      <c r="N338" s="27"/>
      <c r="O338" s="27"/>
      <c r="P338" s="28"/>
      <c r="Q338" s="28"/>
      <c r="R338" s="28"/>
    </row>
    <row r="339" spans="1:18" ht="17.649999999999999">
      <c r="A339" s="23">
        <v>334</v>
      </c>
      <c r="B339" s="24" t="s">
        <v>102</v>
      </c>
      <c r="C339" s="24" t="s">
        <v>831</v>
      </c>
      <c r="D339" s="25">
        <v>328540.33</v>
      </c>
      <c r="E339" s="25">
        <v>3426993.32</v>
      </c>
      <c r="F339" s="25">
        <v>695578.31839999999</v>
      </c>
      <c r="G339" s="26">
        <f t="shared" si="5"/>
        <v>4451111.9683999997</v>
      </c>
      <c r="H339" s="27"/>
      <c r="I339" s="27"/>
      <c r="J339" s="28"/>
      <c r="K339" s="28"/>
      <c r="L339" s="28"/>
      <c r="M339" s="28"/>
      <c r="N339" s="27"/>
      <c r="O339" s="27"/>
      <c r="P339" s="28"/>
      <c r="Q339" s="28"/>
      <c r="R339" s="28"/>
    </row>
    <row r="340" spans="1:18" ht="17.649999999999999">
      <c r="A340" s="23">
        <v>335</v>
      </c>
      <c r="B340" s="24" t="s">
        <v>102</v>
      </c>
      <c r="C340" s="24" t="s">
        <v>833</v>
      </c>
      <c r="D340" s="25">
        <v>301356.61</v>
      </c>
      <c r="E340" s="25">
        <v>3143440.87</v>
      </c>
      <c r="F340" s="25">
        <v>638025.55539999995</v>
      </c>
      <c r="G340" s="26">
        <f t="shared" si="5"/>
        <v>4082823.0353999999</v>
      </c>
      <c r="H340" s="27"/>
      <c r="I340" s="27"/>
      <c r="J340" s="28"/>
      <c r="K340" s="28"/>
      <c r="L340" s="28"/>
      <c r="M340" s="28"/>
      <c r="N340" s="27"/>
      <c r="O340" s="27"/>
      <c r="P340" s="28"/>
      <c r="Q340" s="28"/>
      <c r="R340" s="28"/>
    </row>
    <row r="341" spans="1:18" ht="17.649999999999999">
      <c r="A341" s="23">
        <v>336</v>
      </c>
      <c r="B341" s="24" t="s">
        <v>102</v>
      </c>
      <c r="C341" s="24" t="s">
        <v>835</v>
      </c>
      <c r="D341" s="25">
        <v>369830.41</v>
      </c>
      <c r="E341" s="25">
        <v>3857688.79</v>
      </c>
      <c r="F341" s="25">
        <v>782996.76399999997</v>
      </c>
      <c r="G341" s="26">
        <f t="shared" si="5"/>
        <v>5010515.9639999997</v>
      </c>
      <c r="H341" s="27"/>
      <c r="I341" s="27"/>
      <c r="J341" s="28"/>
      <c r="K341" s="28"/>
      <c r="L341" s="28"/>
      <c r="M341" s="28"/>
      <c r="N341" s="27"/>
      <c r="O341" s="27"/>
      <c r="P341" s="28"/>
      <c r="Q341" s="28"/>
      <c r="R341" s="28"/>
    </row>
    <row r="342" spans="1:18" ht="17.649999999999999">
      <c r="A342" s="23">
        <v>337</v>
      </c>
      <c r="B342" s="24" t="s">
        <v>102</v>
      </c>
      <c r="C342" s="24" t="s">
        <v>837</v>
      </c>
      <c r="D342" s="25">
        <v>273492.71000000002</v>
      </c>
      <c r="E342" s="25">
        <v>2852793.48</v>
      </c>
      <c r="F342" s="25">
        <v>579032.72840000002</v>
      </c>
      <c r="G342" s="26">
        <f t="shared" si="5"/>
        <v>3705318.9183999998</v>
      </c>
      <c r="H342" s="27"/>
      <c r="I342" s="27"/>
      <c r="J342" s="28"/>
      <c r="K342" s="28"/>
      <c r="L342" s="28"/>
      <c r="M342" s="28"/>
      <c r="N342" s="27"/>
      <c r="O342" s="27"/>
      <c r="P342" s="28"/>
      <c r="Q342" s="28"/>
      <c r="R342" s="28"/>
    </row>
    <row r="343" spans="1:18" ht="17.649999999999999">
      <c r="A343" s="23">
        <v>338</v>
      </c>
      <c r="B343" s="24" t="s">
        <v>102</v>
      </c>
      <c r="C343" s="24" t="s">
        <v>839</v>
      </c>
      <c r="D343" s="25">
        <v>343266.02</v>
      </c>
      <c r="E343" s="25">
        <v>3580596.48</v>
      </c>
      <c r="F343" s="25">
        <v>726755.21849999996</v>
      </c>
      <c r="G343" s="26">
        <f t="shared" si="5"/>
        <v>4650617.7184999995</v>
      </c>
      <c r="H343" s="27"/>
      <c r="I343" s="27"/>
      <c r="J343" s="28"/>
      <c r="K343" s="28"/>
      <c r="L343" s="28"/>
      <c r="M343" s="28"/>
      <c r="N343" s="27"/>
      <c r="O343" s="27"/>
      <c r="P343" s="28"/>
      <c r="Q343" s="28"/>
      <c r="R343" s="28"/>
    </row>
    <row r="344" spans="1:18" ht="17.649999999999999">
      <c r="A344" s="23">
        <v>339</v>
      </c>
      <c r="B344" s="24" t="s">
        <v>102</v>
      </c>
      <c r="C344" s="24" t="s">
        <v>841</v>
      </c>
      <c r="D344" s="25">
        <v>312198.7</v>
      </c>
      <c r="E344" s="25">
        <v>3256534.35</v>
      </c>
      <c r="F344" s="25">
        <v>660980.18790000002</v>
      </c>
      <c r="G344" s="26">
        <f t="shared" si="5"/>
        <v>4229713.2379000001</v>
      </c>
      <c r="H344" s="27"/>
      <c r="I344" s="27"/>
      <c r="J344" s="28"/>
      <c r="K344" s="28"/>
      <c r="L344" s="28"/>
      <c r="M344" s="28"/>
      <c r="N344" s="27"/>
      <c r="O344" s="27"/>
      <c r="P344" s="28"/>
      <c r="Q344" s="28"/>
      <c r="R344" s="28"/>
    </row>
    <row r="345" spans="1:18" ht="17.649999999999999">
      <c r="A345" s="23">
        <v>340</v>
      </c>
      <c r="B345" s="24" t="s">
        <v>102</v>
      </c>
      <c r="C345" s="24" t="s">
        <v>843</v>
      </c>
      <c r="D345" s="25">
        <v>289291.01</v>
      </c>
      <c r="E345" s="25">
        <v>3017585</v>
      </c>
      <c r="F345" s="25">
        <v>612480.53399999999</v>
      </c>
      <c r="G345" s="26">
        <f t="shared" si="5"/>
        <v>3919356.5439999998</v>
      </c>
      <c r="H345" s="27"/>
      <c r="I345" s="27"/>
      <c r="J345" s="28"/>
      <c r="K345" s="28"/>
      <c r="L345" s="28"/>
      <c r="M345" s="28"/>
      <c r="N345" s="27"/>
      <c r="O345" s="27"/>
      <c r="P345" s="28"/>
      <c r="Q345" s="28"/>
      <c r="R345" s="28"/>
    </row>
    <row r="346" spans="1:18" ht="17.649999999999999">
      <c r="A346" s="23">
        <v>341</v>
      </c>
      <c r="B346" s="24" t="s">
        <v>103</v>
      </c>
      <c r="C346" s="24" t="s">
        <v>848</v>
      </c>
      <c r="D346" s="25">
        <v>541636.18000000005</v>
      </c>
      <c r="E346" s="25">
        <v>5649789.0899999999</v>
      </c>
      <c r="F346" s="25">
        <v>1146740.1388000001</v>
      </c>
      <c r="G346" s="26">
        <f t="shared" si="5"/>
        <v>7338165.4087999994</v>
      </c>
      <c r="H346" s="27"/>
      <c r="I346" s="27"/>
      <c r="J346" s="28"/>
      <c r="K346" s="28"/>
      <c r="L346" s="28"/>
      <c r="M346" s="28"/>
      <c r="N346" s="27"/>
      <c r="O346" s="27"/>
      <c r="P346" s="28"/>
      <c r="Q346" s="28"/>
      <c r="R346" s="28"/>
    </row>
    <row r="347" spans="1:18" ht="17.649999999999999">
      <c r="A347" s="23">
        <v>342</v>
      </c>
      <c r="B347" s="24" t="s">
        <v>103</v>
      </c>
      <c r="C347" s="24" t="s">
        <v>850</v>
      </c>
      <c r="D347" s="25">
        <v>550749.93000000005</v>
      </c>
      <c r="E347" s="25">
        <v>5744854.3600000003</v>
      </c>
      <c r="F347" s="25">
        <v>1166035.5777</v>
      </c>
      <c r="G347" s="26">
        <f t="shared" si="5"/>
        <v>7461639.8677000003</v>
      </c>
      <c r="H347" s="27"/>
      <c r="I347" s="27"/>
      <c r="J347" s="28"/>
      <c r="K347" s="28"/>
      <c r="L347" s="28"/>
      <c r="M347" s="28"/>
      <c r="N347" s="27"/>
      <c r="O347" s="27"/>
      <c r="P347" s="28"/>
      <c r="Q347" s="28"/>
      <c r="R347" s="28"/>
    </row>
    <row r="348" spans="1:18" ht="17.649999999999999">
      <c r="A348" s="23">
        <v>343</v>
      </c>
      <c r="B348" s="24" t="s">
        <v>103</v>
      </c>
      <c r="C348" s="24" t="s">
        <v>852</v>
      </c>
      <c r="D348" s="25">
        <v>455789.55</v>
      </c>
      <c r="E348" s="25">
        <v>4754325.76</v>
      </c>
      <c r="F348" s="25">
        <v>964987.55779999995</v>
      </c>
      <c r="G348" s="26">
        <f t="shared" si="5"/>
        <v>6175102.8677999992</v>
      </c>
      <c r="H348" s="27"/>
      <c r="I348" s="27"/>
      <c r="J348" s="28"/>
      <c r="K348" s="28"/>
      <c r="L348" s="28"/>
      <c r="M348" s="28"/>
      <c r="N348" s="27"/>
      <c r="O348" s="27"/>
      <c r="P348" s="28"/>
      <c r="Q348" s="28"/>
      <c r="R348" s="28"/>
    </row>
    <row r="349" spans="1:18" ht="17.649999999999999">
      <c r="A349" s="23">
        <v>344</v>
      </c>
      <c r="B349" s="24" t="s">
        <v>103</v>
      </c>
      <c r="C349" s="24" t="s">
        <v>854</v>
      </c>
      <c r="D349" s="25">
        <v>576948.31000000006</v>
      </c>
      <c r="E349" s="25">
        <v>3660762.82</v>
      </c>
      <c r="F349" s="25">
        <v>1221502.2109999999</v>
      </c>
      <c r="G349" s="26">
        <f t="shared" si="5"/>
        <v>5459213.341</v>
      </c>
      <c r="H349" s="27"/>
      <c r="I349" s="27"/>
      <c r="J349" s="28"/>
      <c r="K349" s="28"/>
      <c r="L349" s="28"/>
      <c r="M349" s="28"/>
      <c r="N349" s="27"/>
      <c r="O349" s="27"/>
      <c r="P349" s="28"/>
      <c r="Q349" s="28"/>
      <c r="R349" s="28"/>
    </row>
    <row r="350" spans="1:18" ht="17.649999999999999">
      <c r="A350" s="23">
        <v>345</v>
      </c>
      <c r="B350" s="24" t="s">
        <v>103</v>
      </c>
      <c r="C350" s="24" t="s">
        <v>856</v>
      </c>
      <c r="D350" s="25">
        <v>386503.33</v>
      </c>
      <c r="E350" s="25">
        <v>6018128.8099999996</v>
      </c>
      <c r="F350" s="25">
        <v>818296.29579999996</v>
      </c>
      <c r="G350" s="26">
        <f t="shared" si="5"/>
        <v>7222928.4357999992</v>
      </c>
      <c r="H350" s="27"/>
      <c r="I350" s="27"/>
      <c r="J350" s="28"/>
      <c r="K350" s="28"/>
      <c r="L350" s="28"/>
      <c r="M350" s="28"/>
      <c r="N350" s="27"/>
      <c r="O350" s="27"/>
      <c r="P350" s="28"/>
      <c r="Q350" s="28"/>
      <c r="R350" s="28"/>
    </row>
    <row r="351" spans="1:18" ht="17.649999999999999">
      <c r="A351" s="23">
        <v>346</v>
      </c>
      <c r="B351" s="24" t="s">
        <v>103</v>
      </c>
      <c r="C351" s="24" t="s">
        <v>858</v>
      </c>
      <c r="D351" s="25">
        <v>337030.14</v>
      </c>
      <c r="E351" s="25">
        <v>4031603.44</v>
      </c>
      <c r="F351" s="25">
        <v>713552.76040000003</v>
      </c>
      <c r="G351" s="26">
        <f t="shared" si="5"/>
        <v>5082186.3404000001</v>
      </c>
      <c r="H351" s="27"/>
      <c r="I351" s="27"/>
      <c r="J351" s="28"/>
      <c r="K351" s="28"/>
      <c r="L351" s="28"/>
      <c r="M351" s="28"/>
      <c r="N351" s="27"/>
      <c r="O351" s="27"/>
      <c r="P351" s="28"/>
      <c r="Q351" s="28"/>
      <c r="R351" s="28"/>
    </row>
    <row r="352" spans="1:18" ht="17.649999999999999">
      <c r="A352" s="23">
        <v>347</v>
      </c>
      <c r="B352" s="24" t="s">
        <v>103</v>
      </c>
      <c r="C352" s="24" t="s">
        <v>860</v>
      </c>
      <c r="D352" s="25">
        <v>449070.56</v>
      </c>
      <c r="E352" s="25">
        <v>3515550.27</v>
      </c>
      <c r="F352" s="25">
        <v>950762.26839999994</v>
      </c>
      <c r="G352" s="26">
        <f t="shared" si="5"/>
        <v>4915383.0984000005</v>
      </c>
      <c r="H352" s="27"/>
      <c r="I352" s="27"/>
      <c r="J352" s="28"/>
      <c r="K352" s="28"/>
      <c r="L352" s="28"/>
      <c r="M352" s="28"/>
      <c r="N352" s="27"/>
      <c r="O352" s="27"/>
      <c r="P352" s="28"/>
      <c r="Q352" s="28"/>
      <c r="R352" s="28"/>
    </row>
    <row r="353" spans="1:18" ht="17.649999999999999">
      <c r="A353" s="23">
        <v>348</v>
      </c>
      <c r="B353" s="24" t="s">
        <v>103</v>
      </c>
      <c r="C353" s="24" t="s">
        <v>862</v>
      </c>
      <c r="D353" s="25">
        <v>495371.54</v>
      </c>
      <c r="E353" s="25">
        <v>4684240.2300000004</v>
      </c>
      <c r="F353" s="25">
        <v>1048789.6825000001</v>
      </c>
      <c r="G353" s="26">
        <f t="shared" si="5"/>
        <v>6228401.4525000006</v>
      </c>
      <c r="H353" s="27"/>
      <c r="I353" s="27"/>
      <c r="J353" s="28"/>
      <c r="K353" s="28"/>
      <c r="L353" s="28"/>
      <c r="M353" s="28"/>
      <c r="N353" s="27"/>
      <c r="O353" s="27"/>
      <c r="P353" s="28"/>
      <c r="Q353" s="28"/>
      <c r="R353" s="28"/>
    </row>
    <row r="354" spans="1:18" ht="17.649999999999999">
      <c r="A354" s="23">
        <v>349</v>
      </c>
      <c r="B354" s="24" t="s">
        <v>103</v>
      </c>
      <c r="C354" s="24" t="s">
        <v>864</v>
      </c>
      <c r="D354" s="25">
        <v>467977.94</v>
      </c>
      <c r="E354" s="25">
        <v>5167204.24</v>
      </c>
      <c r="F354" s="25">
        <v>990792.54940000002</v>
      </c>
      <c r="G354" s="26">
        <f t="shared" si="5"/>
        <v>6625974.7294000005</v>
      </c>
      <c r="H354" s="27"/>
      <c r="I354" s="27"/>
      <c r="J354" s="28"/>
      <c r="K354" s="28"/>
      <c r="L354" s="28"/>
      <c r="M354" s="28"/>
      <c r="N354" s="27"/>
      <c r="O354" s="27"/>
      <c r="P354" s="28"/>
      <c r="Q354" s="28"/>
      <c r="R354" s="28"/>
    </row>
    <row r="355" spans="1:18" ht="17.649999999999999">
      <c r="A355" s="23">
        <v>350</v>
      </c>
      <c r="B355" s="24" t="s">
        <v>103</v>
      </c>
      <c r="C355" s="24" t="s">
        <v>866</v>
      </c>
      <c r="D355" s="25">
        <v>499639.66</v>
      </c>
      <c r="E355" s="25">
        <v>4881462.46</v>
      </c>
      <c r="F355" s="25">
        <v>1057826.0341</v>
      </c>
      <c r="G355" s="26">
        <f t="shared" si="5"/>
        <v>6438928.1540999999</v>
      </c>
      <c r="H355" s="27"/>
      <c r="I355" s="27"/>
      <c r="J355" s="28"/>
      <c r="K355" s="28"/>
      <c r="L355" s="28"/>
      <c r="M355" s="28"/>
      <c r="N355" s="27"/>
      <c r="O355" s="27"/>
      <c r="P355" s="28"/>
      <c r="Q355" s="28"/>
      <c r="R355" s="28"/>
    </row>
    <row r="356" spans="1:18" ht="17.649999999999999">
      <c r="A356" s="23">
        <v>351</v>
      </c>
      <c r="B356" s="24" t="s">
        <v>103</v>
      </c>
      <c r="C356" s="24" t="s">
        <v>868</v>
      </c>
      <c r="D356" s="25">
        <v>431775.63</v>
      </c>
      <c r="E356" s="25">
        <v>5211724.7699999996</v>
      </c>
      <c r="F356" s="25">
        <v>914145.82380000001</v>
      </c>
      <c r="G356" s="26">
        <f t="shared" si="5"/>
        <v>6557646.2237999998</v>
      </c>
      <c r="H356" s="27"/>
      <c r="I356" s="27"/>
      <c r="J356" s="28"/>
      <c r="K356" s="28"/>
      <c r="L356" s="28"/>
      <c r="M356" s="28"/>
      <c r="N356" s="27"/>
      <c r="O356" s="27"/>
      <c r="P356" s="28"/>
      <c r="Q356" s="28"/>
      <c r="R356" s="28"/>
    </row>
    <row r="357" spans="1:18" ht="17.649999999999999">
      <c r="A357" s="23">
        <v>352</v>
      </c>
      <c r="B357" s="24" t="s">
        <v>103</v>
      </c>
      <c r="C357" s="24" t="s">
        <v>870</v>
      </c>
      <c r="D357" s="25">
        <v>350951.43</v>
      </c>
      <c r="E357" s="25">
        <v>4503837.38</v>
      </c>
      <c r="F357" s="25">
        <v>743026.61430000002</v>
      </c>
      <c r="G357" s="26">
        <f t="shared" si="5"/>
        <v>5597815.4243000001</v>
      </c>
      <c r="H357" s="27"/>
      <c r="I357" s="27"/>
      <c r="J357" s="28"/>
      <c r="K357" s="28"/>
      <c r="L357" s="28"/>
      <c r="M357" s="28"/>
      <c r="N357" s="27"/>
      <c r="O357" s="27"/>
      <c r="P357" s="28"/>
      <c r="Q357" s="28"/>
      <c r="R357" s="28"/>
    </row>
    <row r="358" spans="1:18" ht="17.649999999999999">
      <c r="A358" s="23">
        <v>353</v>
      </c>
      <c r="B358" s="24" t="s">
        <v>103</v>
      </c>
      <c r="C358" s="24" t="s">
        <v>872</v>
      </c>
      <c r="D358" s="25">
        <v>374076.46</v>
      </c>
      <c r="E358" s="25">
        <v>3901979.23</v>
      </c>
      <c r="F358" s="25">
        <v>791986.4129</v>
      </c>
      <c r="G358" s="26">
        <f t="shared" si="5"/>
        <v>5068042.1029000003</v>
      </c>
      <c r="H358" s="27"/>
      <c r="I358" s="27"/>
      <c r="J358" s="28"/>
      <c r="K358" s="28"/>
      <c r="L358" s="28"/>
      <c r="M358" s="28"/>
      <c r="N358" s="27"/>
      <c r="O358" s="27"/>
      <c r="P358" s="28"/>
      <c r="Q358" s="28"/>
      <c r="R358" s="28"/>
    </row>
    <row r="359" spans="1:18" ht="17.649999999999999">
      <c r="A359" s="23">
        <v>354</v>
      </c>
      <c r="B359" s="24" t="s">
        <v>103</v>
      </c>
      <c r="C359" s="24" t="s">
        <v>874</v>
      </c>
      <c r="D359" s="25">
        <v>385175.97</v>
      </c>
      <c r="E359" s="25">
        <v>4017757.85</v>
      </c>
      <c r="F359" s="25">
        <v>815486.05099999998</v>
      </c>
      <c r="G359" s="26">
        <f t="shared" si="5"/>
        <v>5218419.8710000003</v>
      </c>
      <c r="H359" s="27"/>
      <c r="I359" s="27"/>
      <c r="J359" s="28"/>
      <c r="K359" s="28"/>
      <c r="L359" s="28"/>
      <c r="M359" s="28"/>
      <c r="N359" s="27"/>
      <c r="O359" s="27"/>
      <c r="P359" s="28"/>
      <c r="Q359" s="28"/>
      <c r="R359" s="28"/>
    </row>
    <row r="360" spans="1:18" ht="17.649999999999999">
      <c r="A360" s="23">
        <v>355</v>
      </c>
      <c r="B360" s="24" t="s">
        <v>103</v>
      </c>
      <c r="C360" s="24" t="s">
        <v>876</v>
      </c>
      <c r="D360" s="25">
        <v>445878.89</v>
      </c>
      <c r="E360" s="25">
        <v>4650948.03</v>
      </c>
      <c r="F360" s="25">
        <v>944004.9351</v>
      </c>
      <c r="G360" s="26">
        <f t="shared" si="5"/>
        <v>6040831.8551000003</v>
      </c>
      <c r="H360" s="27"/>
      <c r="I360" s="27"/>
      <c r="J360" s="28"/>
      <c r="K360" s="28"/>
      <c r="L360" s="28"/>
      <c r="M360" s="28"/>
      <c r="N360" s="27"/>
      <c r="O360" s="27"/>
      <c r="P360" s="28"/>
      <c r="Q360" s="28"/>
      <c r="R360" s="28"/>
    </row>
    <row r="361" spans="1:18" ht="17.649999999999999">
      <c r="A361" s="23">
        <v>356</v>
      </c>
      <c r="B361" s="24" t="s">
        <v>103</v>
      </c>
      <c r="C361" s="24" t="s">
        <v>878</v>
      </c>
      <c r="D361" s="25">
        <v>345838.63</v>
      </c>
      <c r="E361" s="25">
        <v>3607431.35</v>
      </c>
      <c r="F361" s="25">
        <v>732201.90249999997</v>
      </c>
      <c r="G361" s="26">
        <f t="shared" si="5"/>
        <v>4685471.8825000003</v>
      </c>
      <c r="H361" s="27"/>
      <c r="I361" s="27"/>
      <c r="J361" s="28"/>
      <c r="K361" s="28"/>
      <c r="L361" s="28"/>
      <c r="M361" s="28"/>
      <c r="N361" s="27"/>
      <c r="O361" s="27"/>
      <c r="P361" s="28"/>
      <c r="Q361" s="28"/>
      <c r="R361" s="28"/>
    </row>
    <row r="362" spans="1:18" ht="17.649999999999999">
      <c r="A362" s="23">
        <v>357</v>
      </c>
      <c r="B362" s="24" t="s">
        <v>103</v>
      </c>
      <c r="C362" s="24" t="s">
        <v>880</v>
      </c>
      <c r="D362" s="25">
        <v>481207.84</v>
      </c>
      <c r="E362" s="25">
        <v>5019463.09</v>
      </c>
      <c r="F362" s="25">
        <v>1018802.5972</v>
      </c>
      <c r="G362" s="26">
        <f t="shared" si="5"/>
        <v>6519473.5271999994</v>
      </c>
      <c r="H362" s="27"/>
      <c r="I362" s="27"/>
      <c r="J362" s="28"/>
      <c r="K362" s="28"/>
      <c r="L362" s="28"/>
      <c r="M362" s="28"/>
      <c r="N362" s="27"/>
      <c r="O362" s="27"/>
      <c r="P362" s="28"/>
      <c r="Q362" s="28"/>
      <c r="R362" s="28"/>
    </row>
    <row r="363" spans="1:18" ht="17.649999999999999">
      <c r="A363" s="23">
        <v>358</v>
      </c>
      <c r="B363" s="24" t="s">
        <v>103</v>
      </c>
      <c r="C363" s="24" t="s">
        <v>882</v>
      </c>
      <c r="D363" s="25">
        <v>323667.19</v>
      </c>
      <c r="E363" s="25">
        <v>3376161.74</v>
      </c>
      <c r="F363" s="25">
        <v>685261.0111</v>
      </c>
      <c r="G363" s="26">
        <f t="shared" si="5"/>
        <v>4385089.9411000004</v>
      </c>
      <c r="H363" s="27"/>
      <c r="I363" s="27"/>
      <c r="J363" s="28"/>
      <c r="K363" s="28"/>
      <c r="L363" s="28"/>
      <c r="M363" s="28"/>
      <c r="N363" s="27"/>
      <c r="O363" s="27"/>
      <c r="P363" s="28"/>
      <c r="Q363" s="28"/>
      <c r="R363" s="28"/>
    </row>
    <row r="364" spans="1:18" ht="17.649999999999999">
      <c r="A364" s="23">
        <v>359</v>
      </c>
      <c r="B364" s="24" t="s">
        <v>103</v>
      </c>
      <c r="C364" s="24" t="s">
        <v>884</v>
      </c>
      <c r="D364" s="25">
        <v>427078.44</v>
      </c>
      <c r="E364" s="25">
        <v>4454841.12</v>
      </c>
      <c r="F364" s="25">
        <v>904201.03009999997</v>
      </c>
      <c r="G364" s="26">
        <f t="shared" si="5"/>
        <v>5786120.5901000006</v>
      </c>
      <c r="H364" s="27"/>
      <c r="I364" s="27"/>
      <c r="J364" s="28"/>
      <c r="K364" s="28"/>
      <c r="L364" s="28"/>
      <c r="M364" s="28"/>
      <c r="N364" s="27"/>
      <c r="O364" s="27"/>
      <c r="P364" s="28"/>
      <c r="Q364" s="28"/>
      <c r="R364" s="28"/>
    </row>
    <row r="365" spans="1:18" ht="17.649999999999999">
      <c r="A365" s="23">
        <v>360</v>
      </c>
      <c r="B365" s="24" t="s">
        <v>103</v>
      </c>
      <c r="C365" s="24" t="s">
        <v>886</v>
      </c>
      <c r="D365" s="25">
        <v>358074.12</v>
      </c>
      <c r="E365" s="25">
        <v>3735059.36</v>
      </c>
      <c r="F365" s="25">
        <v>758106.61640000006</v>
      </c>
      <c r="G365" s="26">
        <f t="shared" si="5"/>
        <v>4851240.0964000002</v>
      </c>
      <c r="H365" s="27"/>
      <c r="I365" s="27"/>
      <c r="J365" s="28"/>
      <c r="K365" s="28"/>
      <c r="L365" s="28"/>
      <c r="M365" s="28"/>
      <c r="N365" s="27"/>
      <c r="O365" s="27"/>
      <c r="P365" s="28"/>
      <c r="Q365" s="28"/>
      <c r="R365" s="28"/>
    </row>
    <row r="366" spans="1:18" ht="17.649999999999999">
      <c r="A366" s="23">
        <v>361</v>
      </c>
      <c r="B366" s="24" t="s">
        <v>103</v>
      </c>
      <c r="C366" s="24" t="s">
        <v>888</v>
      </c>
      <c r="D366" s="25">
        <v>456413.88</v>
      </c>
      <c r="E366" s="25">
        <v>4760838.1500000004</v>
      </c>
      <c r="F366" s="25">
        <v>966309.38089999999</v>
      </c>
      <c r="G366" s="26">
        <f t="shared" si="5"/>
        <v>6183561.4109000005</v>
      </c>
      <c r="H366" s="27"/>
      <c r="I366" s="27"/>
      <c r="J366" s="28"/>
      <c r="K366" s="28"/>
      <c r="L366" s="28"/>
      <c r="M366" s="28"/>
      <c r="N366" s="27"/>
      <c r="O366" s="27"/>
      <c r="P366" s="28"/>
      <c r="Q366" s="28"/>
      <c r="R366" s="28"/>
    </row>
    <row r="367" spans="1:18" ht="17.649999999999999">
      <c r="A367" s="23">
        <v>362</v>
      </c>
      <c r="B367" s="24" t="s">
        <v>103</v>
      </c>
      <c r="C367" s="24" t="s">
        <v>890</v>
      </c>
      <c r="D367" s="25">
        <v>510635.12</v>
      </c>
      <c r="E367" s="25">
        <v>5326418.08</v>
      </c>
      <c r="F367" s="25">
        <v>1081105.3838</v>
      </c>
      <c r="G367" s="26">
        <f t="shared" si="5"/>
        <v>6918158.5838000001</v>
      </c>
      <c r="H367" s="27"/>
      <c r="I367" s="27"/>
      <c r="J367" s="28"/>
      <c r="K367" s="28"/>
      <c r="L367" s="28"/>
      <c r="M367" s="28"/>
      <c r="N367" s="27"/>
      <c r="O367" s="27"/>
      <c r="P367" s="28"/>
      <c r="Q367" s="28"/>
      <c r="R367" s="28"/>
    </row>
    <row r="368" spans="1:18" ht="17.649999999999999">
      <c r="A368" s="23">
        <v>363</v>
      </c>
      <c r="B368" s="24" t="s">
        <v>103</v>
      </c>
      <c r="C368" s="24" t="s">
        <v>892</v>
      </c>
      <c r="D368" s="25">
        <v>521402.57</v>
      </c>
      <c r="E368" s="25">
        <v>5438733.0499999998</v>
      </c>
      <c r="F368" s="25">
        <v>1103902.0016000001</v>
      </c>
      <c r="G368" s="26">
        <f t="shared" si="5"/>
        <v>7064037.6216000002</v>
      </c>
      <c r="H368" s="27"/>
      <c r="I368" s="27"/>
      <c r="J368" s="28"/>
      <c r="K368" s="28"/>
      <c r="L368" s="28"/>
      <c r="M368" s="28"/>
      <c r="N368" s="27"/>
      <c r="O368" s="27"/>
      <c r="P368" s="28"/>
      <c r="Q368" s="28"/>
      <c r="R368" s="28"/>
    </row>
    <row r="369" spans="1:18" ht="17.649999999999999">
      <c r="A369" s="23">
        <v>364</v>
      </c>
      <c r="B369" s="24" t="s">
        <v>104</v>
      </c>
      <c r="C369" s="24" t="s">
        <v>896</v>
      </c>
      <c r="D369" s="25">
        <v>334594.52</v>
      </c>
      <c r="E369" s="25">
        <v>3490144.43</v>
      </c>
      <c r="F369" s="25">
        <v>708396.12569999998</v>
      </c>
      <c r="G369" s="26">
        <f t="shared" si="5"/>
        <v>4533135.0756999999</v>
      </c>
      <c r="H369" s="27"/>
      <c r="I369" s="27"/>
      <c r="J369" s="28"/>
      <c r="K369" s="28"/>
      <c r="L369" s="28"/>
      <c r="M369" s="28"/>
      <c r="N369" s="27"/>
      <c r="O369" s="27"/>
      <c r="P369" s="28"/>
      <c r="Q369" s="28"/>
      <c r="R369" s="28"/>
    </row>
    <row r="370" spans="1:18" ht="17.649999999999999">
      <c r="A370" s="23">
        <v>365</v>
      </c>
      <c r="B370" s="24" t="s">
        <v>104</v>
      </c>
      <c r="C370" s="24" t="s">
        <v>898</v>
      </c>
      <c r="D370" s="25">
        <v>342712.72</v>
      </c>
      <c r="E370" s="25">
        <v>3574825.12</v>
      </c>
      <c r="F370" s="25">
        <v>725583.80260000005</v>
      </c>
      <c r="G370" s="26">
        <f t="shared" si="5"/>
        <v>4643121.6425999999</v>
      </c>
      <c r="H370" s="27"/>
      <c r="I370" s="27"/>
      <c r="J370" s="28"/>
      <c r="K370" s="28"/>
      <c r="L370" s="28"/>
      <c r="M370" s="28"/>
      <c r="N370" s="27"/>
      <c r="O370" s="27"/>
      <c r="P370" s="28"/>
      <c r="Q370" s="28"/>
      <c r="R370" s="28"/>
    </row>
    <row r="371" spans="1:18" ht="17.649999999999999">
      <c r="A371" s="23">
        <v>366</v>
      </c>
      <c r="B371" s="24" t="s">
        <v>104</v>
      </c>
      <c r="C371" s="24" t="s">
        <v>900</v>
      </c>
      <c r="D371" s="25">
        <v>312486.48</v>
      </c>
      <c r="E371" s="25">
        <v>3259536.21</v>
      </c>
      <c r="F371" s="25">
        <v>661589.4767</v>
      </c>
      <c r="G371" s="26">
        <f t="shared" si="5"/>
        <v>4233612.1666999999</v>
      </c>
      <c r="H371" s="27"/>
      <c r="I371" s="27"/>
      <c r="J371" s="28"/>
      <c r="K371" s="28"/>
      <c r="L371" s="28"/>
      <c r="M371" s="28"/>
      <c r="N371" s="27"/>
      <c r="O371" s="27"/>
      <c r="P371" s="28"/>
      <c r="Q371" s="28"/>
      <c r="R371" s="28"/>
    </row>
    <row r="372" spans="1:18" ht="17.649999999999999">
      <c r="A372" s="23">
        <v>367</v>
      </c>
      <c r="B372" s="24" t="s">
        <v>104</v>
      </c>
      <c r="C372" s="24" t="s">
        <v>902</v>
      </c>
      <c r="D372" s="25">
        <v>339004.63</v>
      </c>
      <c r="E372" s="25">
        <v>3536146.16</v>
      </c>
      <c r="F372" s="25">
        <v>717733.11800000002</v>
      </c>
      <c r="G372" s="26">
        <f t="shared" si="5"/>
        <v>4592883.9079999998</v>
      </c>
      <c r="H372" s="27"/>
      <c r="I372" s="27"/>
      <c r="J372" s="28"/>
      <c r="K372" s="28"/>
      <c r="L372" s="28"/>
      <c r="M372" s="28"/>
      <c r="N372" s="27"/>
      <c r="O372" s="27"/>
      <c r="P372" s="28"/>
      <c r="Q372" s="28"/>
      <c r="R372" s="28"/>
    </row>
    <row r="373" spans="1:18" ht="17.649999999999999">
      <c r="A373" s="23">
        <v>368</v>
      </c>
      <c r="B373" s="24" t="s">
        <v>104</v>
      </c>
      <c r="C373" s="24" t="s">
        <v>904</v>
      </c>
      <c r="D373" s="25">
        <v>410884.78</v>
      </c>
      <c r="E373" s="25">
        <v>4285925.5599999996</v>
      </c>
      <c r="F373" s="25">
        <v>869916.16619999998</v>
      </c>
      <c r="G373" s="26">
        <f t="shared" si="5"/>
        <v>5566726.5061999997</v>
      </c>
      <c r="H373" s="27"/>
      <c r="I373" s="27"/>
      <c r="J373" s="28"/>
      <c r="K373" s="28"/>
      <c r="L373" s="28"/>
      <c r="M373" s="28"/>
      <c r="N373" s="27"/>
      <c r="O373" s="27"/>
      <c r="P373" s="28"/>
      <c r="Q373" s="28"/>
      <c r="R373" s="28"/>
    </row>
    <row r="374" spans="1:18" ht="17.649999999999999">
      <c r="A374" s="23">
        <v>369</v>
      </c>
      <c r="B374" s="24" t="s">
        <v>104</v>
      </c>
      <c r="C374" s="24" t="s">
        <v>906</v>
      </c>
      <c r="D374" s="25">
        <v>327353.92</v>
      </c>
      <c r="E374" s="25">
        <v>3414617.97</v>
      </c>
      <c r="F374" s="25">
        <v>693066.4889</v>
      </c>
      <c r="G374" s="26">
        <f t="shared" si="5"/>
        <v>4435038.3788999999</v>
      </c>
      <c r="H374" s="27"/>
      <c r="I374" s="27"/>
      <c r="J374" s="28"/>
      <c r="K374" s="28"/>
      <c r="L374" s="28"/>
      <c r="M374" s="28"/>
      <c r="N374" s="27"/>
      <c r="O374" s="27"/>
      <c r="P374" s="28"/>
      <c r="Q374" s="28"/>
      <c r="R374" s="28"/>
    </row>
    <row r="375" spans="1:18" ht="17.649999999999999">
      <c r="A375" s="23">
        <v>370</v>
      </c>
      <c r="B375" s="24" t="s">
        <v>104</v>
      </c>
      <c r="C375" s="24" t="s">
        <v>908</v>
      </c>
      <c r="D375" s="25">
        <v>528384.84</v>
      </c>
      <c r="E375" s="25">
        <v>5511564.8200000003</v>
      </c>
      <c r="F375" s="25">
        <v>1118684.6976000001</v>
      </c>
      <c r="G375" s="26">
        <f t="shared" si="5"/>
        <v>7158634.3575999998</v>
      </c>
      <c r="H375" s="27"/>
      <c r="I375" s="27"/>
      <c r="J375" s="28"/>
      <c r="K375" s="28"/>
      <c r="L375" s="28"/>
      <c r="M375" s="28"/>
      <c r="N375" s="27"/>
      <c r="O375" s="27"/>
      <c r="P375" s="28"/>
      <c r="Q375" s="28"/>
      <c r="R375" s="28"/>
    </row>
    <row r="376" spans="1:18" ht="17.649999999999999">
      <c r="A376" s="23">
        <v>371</v>
      </c>
      <c r="B376" s="24" t="s">
        <v>104</v>
      </c>
      <c r="C376" s="24" t="s">
        <v>910</v>
      </c>
      <c r="D376" s="25">
        <v>359996.93</v>
      </c>
      <c r="E376" s="25">
        <v>3755116.12</v>
      </c>
      <c r="F376" s="25">
        <v>762177.54469999997</v>
      </c>
      <c r="G376" s="26">
        <f t="shared" si="5"/>
        <v>4877290.5947000002</v>
      </c>
      <c r="H376" s="27"/>
      <c r="I376" s="27"/>
      <c r="J376" s="28"/>
      <c r="K376" s="28"/>
      <c r="L376" s="28"/>
      <c r="M376" s="28"/>
      <c r="N376" s="27"/>
      <c r="O376" s="27"/>
      <c r="P376" s="28"/>
      <c r="Q376" s="28"/>
      <c r="R376" s="28"/>
    </row>
    <row r="377" spans="1:18" ht="17.649999999999999">
      <c r="A377" s="23">
        <v>372</v>
      </c>
      <c r="B377" s="24" t="s">
        <v>104</v>
      </c>
      <c r="C377" s="24" t="s">
        <v>912</v>
      </c>
      <c r="D377" s="25">
        <v>386982.73</v>
      </c>
      <c r="E377" s="25">
        <v>4036604.06</v>
      </c>
      <c r="F377" s="25">
        <v>819311.27489999996</v>
      </c>
      <c r="G377" s="26">
        <f t="shared" si="5"/>
        <v>5242898.0648999996</v>
      </c>
      <c r="H377" s="27"/>
      <c r="I377" s="27"/>
      <c r="J377" s="28"/>
      <c r="K377" s="28"/>
      <c r="L377" s="28"/>
      <c r="M377" s="28"/>
      <c r="N377" s="27"/>
      <c r="O377" s="27"/>
      <c r="P377" s="28"/>
      <c r="Q377" s="28"/>
      <c r="R377" s="28"/>
    </row>
    <row r="378" spans="1:18" ht="17.649999999999999">
      <c r="A378" s="23">
        <v>373</v>
      </c>
      <c r="B378" s="24" t="s">
        <v>104</v>
      </c>
      <c r="C378" s="24" t="s">
        <v>914</v>
      </c>
      <c r="D378" s="25">
        <v>389693.04</v>
      </c>
      <c r="E378" s="25">
        <v>4064875.3</v>
      </c>
      <c r="F378" s="25">
        <v>825049.49899999995</v>
      </c>
      <c r="G378" s="26">
        <f t="shared" si="5"/>
        <v>5279617.8389999997</v>
      </c>
      <c r="H378" s="27"/>
      <c r="I378" s="27"/>
      <c r="J378" s="28"/>
      <c r="K378" s="28"/>
      <c r="L378" s="28"/>
      <c r="M378" s="28"/>
      <c r="N378" s="27"/>
      <c r="O378" s="27"/>
      <c r="P378" s="28"/>
      <c r="Q378" s="28"/>
      <c r="R378" s="28"/>
    </row>
    <row r="379" spans="1:18" ht="17.649999999999999">
      <c r="A379" s="23">
        <v>374</v>
      </c>
      <c r="B379" s="24" t="s">
        <v>104</v>
      </c>
      <c r="C379" s="24" t="s">
        <v>915</v>
      </c>
      <c r="D379" s="25">
        <v>361191.59</v>
      </c>
      <c r="E379" s="25">
        <v>3767577.61</v>
      </c>
      <c r="F379" s="25">
        <v>764706.8591</v>
      </c>
      <c r="G379" s="26">
        <f t="shared" si="5"/>
        <v>4893476.0591000002</v>
      </c>
      <c r="H379" s="27"/>
      <c r="I379" s="27"/>
      <c r="J379" s="28"/>
      <c r="K379" s="28"/>
      <c r="L379" s="28"/>
      <c r="M379" s="28"/>
      <c r="N379" s="27"/>
      <c r="O379" s="27"/>
      <c r="P379" s="28"/>
      <c r="Q379" s="28"/>
      <c r="R379" s="28"/>
    </row>
    <row r="380" spans="1:18" ht="17.649999999999999">
      <c r="A380" s="23">
        <v>375</v>
      </c>
      <c r="B380" s="24" t="s">
        <v>104</v>
      </c>
      <c r="C380" s="24" t="s">
        <v>917</v>
      </c>
      <c r="D380" s="25">
        <v>353853.59</v>
      </c>
      <c r="E380" s="25">
        <v>3691035.17</v>
      </c>
      <c r="F380" s="25">
        <v>749171.00639999995</v>
      </c>
      <c r="G380" s="26">
        <f t="shared" si="5"/>
        <v>4794059.7664000001</v>
      </c>
      <c r="H380" s="27"/>
      <c r="I380" s="27"/>
      <c r="J380" s="28"/>
      <c r="K380" s="28"/>
      <c r="L380" s="28"/>
      <c r="M380" s="28"/>
      <c r="N380" s="27"/>
      <c r="O380" s="27"/>
      <c r="P380" s="28"/>
      <c r="Q380" s="28"/>
      <c r="R380" s="28"/>
    </row>
    <row r="381" spans="1:18" ht="17.649999999999999">
      <c r="A381" s="23">
        <v>376</v>
      </c>
      <c r="B381" s="24" t="s">
        <v>104</v>
      </c>
      <c r="C381" s="24" t="s">
        <v>919</v>
      </c>
      <c r="D381" s="25">
        <v>369726.98</v>
      </c>
      <c r="E381" s="25">
        <v>3856609.9</v>
      </c>
      <c r="F381" s="25">
        <v>782777.78139999998</v>
      </c>
      <c r="G381" s="26">
        <f t="shared" si="5"/>
        <v>5009114.6613999996</v>
      </c>
      <c r="H381" s="27"/>
      <c r="I381" s="27"/>
      <c r="J381" s="28"/>
      <c r="K381" s="28"/>
      <c r="L381" s="28"/>
      <c r="M381" s="28"/>
      <c r="N381" s="27"/>
      <c r="O381" s="27"/>
      <c r="P381" s="28"/>
      <c r="Q381" s="28"/>
      <c r="R381" s="28"/>
    </row>
    <row r="382" spans="1:18" ht="17.649999999999999">
      <c r="A382" s="23">
        <v>377</v>
      </c>
      <c r="B382" s="24" t="s">
        <v>104</v>
      </c>
      <c r="C382" s="24" t="s">
        <v>921</v>
      </c>
      <c r="D382" s="25">
        <v>329798.12</v>
      </c>
      <c r="E382" s="25">
        <v>3440113.34</v>
      </c>
      <c r="F382" s="25">
        <v>698241.29359999998</v>
      </c>
      <c r="G382" s="26">
        <f t="shared" si="5"/>
        <v>4468152.7535999995</v>
      </c>
      <c r="H382" s="27"/>
      <c r="I382" s="27"/>
      <c r="J382" s="28"/>
      <c r="K382" s="28"/>
      <c r="L382" s="28"/>
      <c r="M382" s="28"/>
      <c r="N382" s="27"/>
      <c r="O382" s="27"/>
      <c r="P382" s="28"/>
      <c r="Q382" s="28"/>
      <c r="R382" s="28"/>
    </row>
    <row r="383" spans="1:18" ht="17.649999999999999">
      <c r="A383" s="23">
        <v>378</v>
      </c>
      <c r="B383" s="24" t="s">
        <v>104</v>
      </c>
      <c r="C383" s="24" t="s">
        <v>923</v>
      </c>
      <c r="D383" s="25">
        <v>328077.15999999997</v>
      </c>
      <c r="E383" s="25">
        <v>3422161.99</v>
      </c>
      <c r="F383" s="25">
        <v>694597.70160000003</v>
      </c>
      <c r="G383" s="26">
        <f t="shared" si="5"/>
        <v>4444836.8516000006</v>
      </c>
      <c r="H383" s="27"/>
      <c r="I383" s="27"/>
      <c r="J383" s="28"/>
      <c r="K383" s="28"/>
      <c r="L383" s="28"/>
      <c r="M383" s="28"/>
      <c r="N383" s="27"/>
      <c r="O383" s="27"/>
      <c r="P383" s="28"/>
      <c r="Q383" s="28"/>
      <c r="R383" s="28"/>
    </row>
    <row r="384" spans="1:18" ht="17.649999999999999">
      <c r="A384" s="23">
        <v>379</v>
      </c>
      <c r="B384" s="24" t="s">
        <v>104</v>
      </c>
      <c r="C384" s="24" t="s">
        <v>925</v>
      </c>
      <c r="D384" s="25">
        <v>354576.23</v>
      </c>
      <c r="E384" s="25">
        <v>3698572.97</v>
      </c>
      <c r="F384" s="25">
        <v>750700.95790000004</v>
      </c>
      <c r="G384" s="26">
        <f t="shared" si="5"/>
        <v>4803850.1579</v>
      </c>
      <c r="H384" s="27"/>
      <c r="I384" s="27"/>
      <c r="J384" s="28"/>
      <c r="K384" s="28"/>
      <c r="L384" s="28"/>
      <c r="M384" s="28"/>
      <c r="N384" s="27"/>
      <c r="O384" s="27"/>
      <c r="P384" s="28"/>
      <c r="Q384" s="28"/>
      <c r="R384" s="28"/>
    </row>
    <row r="385" spans="1:18" ht="17.649999999999999">
      <c r="A385" s="23">
        <v>380</v>
      </c>
      <c r="B385" s="24" t="s">
        <v>104</v>
      </c>
      <c r="C385" s="24" t="s">
        <v>927</v>
      </c>
      <c r="D385" s="25">
        <v>404901.48</v>
      </c>
      <c r="E385" s="25">
        <v>4223513.9400000004</v>
      </c>
      <c r="F385" s="25">
        <v>857248.45349999995</v>
      </c>
      <c r="G385" s="26">
        <f t="shared" si="5"/>
        <v>5485663.8734999998</v>
      </c>
      <c r="H385" s="27"/>
      <c r="I385" s="27"/>
      <c r="J385" s="28"/>
      <c r="K385" s="28"/>
      <c r="L385" s="28"/>
      <c r="M385" s="28"/>
      <c r="N385" s="27"/>
      <c r="O385" s="27"/>
      <c r="P385" s="28"/>
      <c r="Q385" s="28"/>
      <c r="R385" s="28"/>
    </row>
    <row r="386" spans="1:18" ht="17.649999999999999">
      <c r="A386" s="23">
        <v>381</v>
      </c>
      <c r="B386" s="24" t="s">
        <v>104</v>
      </c>
      <c r="C386" s="24" t="s">
        <v>929</v>
      </c>
      <c r="D386" s="25">
        <v>486801.57</v>
      </c>
      <c r="E386" s="25">
        <v>5077811.16</v>
      </c>
      <c r="F386" s="25">
        <v>1030645.5302</v>
      </c>
      <c r="G386" s="26">
        <f t="shared" si="5"/>
        <v>6595258.2602000004</v>
      </c>
      <c r="H386" s="27"/>
      <c r="I386" s="27"/>
      <c r="J386" s="28"/>
      <c r="K386" s="28"/>
      <c r="L386" s="28"/>
      <c r="M386" s="28"/>
      <c r="N386" s="27"/>
      <c r="O386" s="27"/>
      <c r="P386" s="28"/>
      <c r="Q386" s="28"/>
      <c r="R386" s="28"/>
    </row>
    <row r="387" spans="1:18" ht="17.649999999999999">
      <c r="A387" s="23">
        <v>382</v>
      </c>
      <c r="B387" s="24" t="s">
        <v>104</v>
      </c>
      <c r="C387" s="24" t="s">
        <v>932</v>
      </c>
      <c r="D387" s="25">
        <v>334688.11</v>
      </c>
      <c r="E387" s="25">
        <v>3491120.61</v>
      </c>
      <c r="F387" s="25">
        <v>708594.26210000005</v>
      </c>
      <c r="G387" s="26">
        <f t="shared" si="5"/>
        <v>4534402.9820999997</v>
      </c>
      <c r="H387" s="27"/>
      <c r="I387" s="27"/>
      <c r="J387" s="28"/>
      <c r="K387" s="28"/>
      <c r="L387" s="28"/>
      <c r="M387" s="28"/>
      <c r="N387" s="27"/>
      <c r="O387" s="27"/>
      <c r="P387" s="28"/>
      <c r="Q387" s="28"/>
      <c r="R387" s="28"/>
    </row>
    <row r="388" spans="1:18" ht="17.649999999999999">
      <c r="A388" s="23">
        <v>383</v>
      </c>
      <c r="B388" s="24" t="s">
        <v>104</v>
      </c>
      <c r="C388" s="24" t="s">
        <v>934</v>
      </c>
      <c r="D388" s="25">
        <v>322494.28000000003</v>
      </c>
      <c r="E388" s="25">
        <v>3363927.22</v>
      </c>
      <c r="F388" s="25">
        <v>682777.76509999996</v>
      </c>
      <c r="G388" s="26">
        <f t="shared" si="5"/>
        <v>4369199.2651000004</v>
      </c>
      <c r="H388" s="27"/>
      <c r="I388" s="27"/>
      <c r="J388" s="28"/>
      <c r="K388" s="28"/>
      <c r="L388" s="28"/>
      <c r="M388" s="28"/>
      <c r="N388" s="27"/>
      <c r="O388" s="27"/>
      <c r="P388" s="28"/>
      <c r="Q388" s="28"/>
      <c r="R388" s="28"/>
    </row>
    <row r="389" spans="1:18" ht="17.649999999999999">
      <c r="A389" s="23">
        <v>384</v>
      </c>
      <c r="B389" s="24" t="s">
        <v>104</v>
      </c>
      <c r="C389" s="24" t="s">
        <v>936</v>
      </c>
      <c r="D389" s="25">
        <v>469877.5</v>
      </c>
      <c r="E389" s="25">
        <v>4901276.72</v>
      </c>
      <c r="F389" s="25">
        <v>994814.25879999995</v>
      </c>
      <c r="G389" s="26">
        <f t="shared" si="5"/>
        <v>6365968.4787999997</v>
      </c>
      <c r="H389" s="27"/>
      <c r="I389" s="27"/>
      <c r="J389" s="28"/>
      <c r="K389" s="28"/>
      <c r="L389" s="28"/>
      <c r="M389" s="28"/>
      <c r="N389" s="27"/>
      <c r="O389" s="27"/>
      <c r="P389" s="28"/>
      <c r="Q389" s="28"/>
      <c r="R389" s="28"/>
    </row>
    <row r="390" spans="1:18" ht="17.649999999999999">
      <c r="A390" s="23">
        <v>385</v>
      </c>
      <c r="B390" s="24" t="s">
        <v>104</v>
      </c>
      <c r="C390" s="24" t="s">
        <v>938</v>
      </c>
      <c r="D390" s="25">
        <v>312721.73</v>
      </c>
      <c r="E390" s="25">
        <v>3261990.08</v>
      </c>
      <c r="F390" s="25">
        <v>662087.53980000003</v>
      </c>
      <c r="G390" s="26">
        <f t="shared" ref="G390:G453" si="6">D390+E390+F390</f>
        <v>4236799.3498</v>
      </c>
      <c r="H390" s="27"/>
      <c r="I390" s="27"/>
      <c r="J390" s="28"/>
      <c r="K390" s="28"/>
      <c r="L390" s="28"/>
      <c r="M390" s="28"/>
      <c r="N390" s="27"/>
      <c r="O390" s="27"/>
      <c r="P390" s="28"/>
      <c r="Q390" s="28"/>
      <c r="R390" s="28"/>
    </row>
    <row r="391" spans="1:18" ht="17.649999999999999">
      <c r="A391" s="23">
        <v>386</v>
      </c>
      <c r="B391" s="24" t="s">
        <v>104</v>
      </c>
      <c r="C391" s="24" t="s">
        <v>940</v>
      </c>
      <c r="D391" s="25">
        <v>315600.28999999998</v>
      </c>
      <c r="E391" s="25">
        <v>3292016.2</v>
      </c>
      <c r="F391" s="25">
        <v>668181.95389999996</v>
      </c>
      <c r="G391" s="26">
        <f t="shared" si="6"/>
        <v>4275798.4439000003</v>
      </c>
      <c r="H391" s="27"/>
      <c r="I391" s="27"/>
      <c r="J391" s="28"/>
      <c r="K391" s="28"/>
      <c r="L391" s="28"/>
      <c r="M391" s="28"/>
      <c r="N391" s="27"/>
      <c r="O391" s="27"/>
      <c r="P391" s="28"/>
      <c r="Q391" s="28"/>
      <c r="R391" s="28"/>
    </row>
    <row r="392" spans="1:18" ht="17.649999999999999">
      <c r="A392" s="23">
        <v>387</v>
      </c>
      <c r="B392" s="24" t="s">
        <v>104</v>
      </c>
      <c r="C392" s="24" t="s">
        <v>942</v>
      </c>
      <c r="D392" s="25">
        <v>407162.35</v>
      </c>
      <c r="E392" s="25">
        <v>4247097</v>
      </c>
      <c r="F392" s="25">
        <v>862035.11719999998</v>
      </c>
      <c r="G392" s="26">
        <f t="shared" si="6"/>
        <v>5516294.4671999998</v>
      </c>
      <c r="H392" s="27"/>
      <c r="I392" s="27"/>
      <c r="J392" s="28"/>
      <c r="K392" s="28"/>
      <c r="L392" s="28"/>
      <c r="M392" s="28"/>
      <c r="N392" s="27"/>
      <c r="O392" s="27"/>
      <c r="P392" s="28"/>
      <c r="Q392" s="28"/>
      <c r="R392" s="28"/>
    </row>
    <row r="393" spans="1:18" ht="17.649999999999999">
      <c r="A393" s="23">
        <v>388</v>
      </c>
      <c r="B393" s="24" t="s">
        <v>104</v>
      </c>
      <c r="C393" s="24" t="s">
        <v>944</v>
      </c>
      <c r="D393" s="25">
        <v>416029.63</v>
      </c>
      <c r="E393" s="25">
        <v>4339591.4000000004</v>
      </c>
      <c r="F393" s="25">
        <v>880808.745</v>
      </c>
      <c r="G393" s="26">
        <f t="shared" si="6"/>
        <v>5636429.7750000004</v>
      </c>
      <c r="H393" s="27"/>
      <c r="I393" s="27"/>
      <c r="J393" s="28"/>
      <c r="K393" s="28"/>
      <c r="L393" s="28"/>
      <c r="M393" s="28"/>
      <c r="N393" s="27"/>
      <c r="O393" s="27"/>
      <c r="P393" s="28"/>
      <c r="Q393" s="28"/>
      <c r="R393" s="28"/>
    </row>
    <row r="394" spans="1:18" ht="17.649999999999999">
      <c r="A394" s="23">
        <v>389</v>
      </c>
      <c r="B394" s="24" t="s">
        <v>104</v>
      </c>
      <c r="C394" s="24" t="s">
        <v>131</v>
      </c>
      <c r="D394" s="25">
        <v>319019.77</v>
      </c>
      <c r="E394" s="25">
        <v>3327684.72</v>
      </c>
      <c r="F394" s="25">
        <v>675421.60820000002</v>
      </c>
      <c r="G394" s="26">
        <f t="shared" si="6"/>
        <v>4322126.0981999999</v>
      </c>
      <c r="H394" s="27"/>
      <c r="I394" s="27"/>
      <c r="J394" s="28"/>
      <c r="K394" s="28"/>
      <c r="L394" s="28"/>
      <c r="M394" s="28"/>
      <c r="N394" s="27"/>
      <c r="O394" s="27"/>
      <c r="P394" s="28"/>
      <c r="Q394" s="28"/>
      <c r="R394" s="28"/>
    </row>
    <row r="395" spans="1:18" ht="17.649999999999999">
      <c r="A395" s="23">
        <v>390</v>
      </c>
      <c r="B395" s="24" t="s">
        <v>104</v>
      </c>
      <c r="C395" s="24" t="s">
        <v>133</v>
      </c>
      <c r="D395" s="25">
        <v>312426.81</v>
      </c>
      <c r="E395" s="25">
        <v>3258913.78</v>
      </c>
      <c r="F395" s="25">
        <v>661463.14110000001</v>
      </c>
      <c r="G395" s="26">
        <f t="shared" si="6"/>
        <v>4232803.7310999995</v>
      </c>
      <c r="H395" s="27"/>
      <c r="I395" s="27"/>
      <c r="J395" s="28"/>
      <c r="K395" s="28"/>
      <c r="L395" s="28"/>
      <c r="M395" s="28"/>
      <c r="N395" s="27"/>
      <c r="O395" s="27"/>
      <c r="P395" s="28"/>
      <c r="Q395" s="28"/>
      <c r="R395" s="28"/>
    </row>
    <row r="396" spans="1:18" ht="17.649999999999999">
      <c r="A396" s="23">
        <v>391</v>
      </c>
      <c r="B396" s="24" t="s">
        <v>104</v>
      </c>
      <c r="C396" s="24" t="s">
        <v>135</v>
      </c>
      <c r="D396" s="25">
        <v>312709.63</v>
      </c>
      <c r="E396" s="25">
        <v>3261863.82</v>
      </c>
      <c r="F396" s="25">
        <v>662061.91240000003</v>
      </c>
      <c r="G396" s="26">
        <f t="shared" si="6"/>
        <v>4236635.3624</v>
      </c>
      <c r="H396" s="27"/>
      <c r="I396" s="27"/>
      <c r="J396" s="28"/>
      <c r="K396" s="28"/>
      <c r="L396" s="28"/>
      <c r="M396" s="28"/>
      <c r="N396" s="27"/>
      <c r="O396" s="27"/>
      <c r="P396" s="28"/>
      <c r="Q396" s="28"/>
      <c r="R396" s="28"/>
    </row>
    <row r="397" spans="1:18" ht="17.649999999999999">
      <c r="A397" s="23">
        <v>392</v>
      </c>
      <c r="B397" s="24" t="s">
        <v>104</v>
      </c>
      <c r="C397" s="24" t="s">
        <v>137</v>
      </c>
      <c r="D397" s="25">
        <v>370612.8</v>
      </c>
      <c r="E397" s="25">
        <v>3865849.94</v>
      </c>
      <c r="F397" s="25">
        <v>784653.23620000004</v>
      </c>
      <c r="G397" s="26">
        <f t="shared" si="6"/>
        <v>5021115.9762000004</v>
      </c>
      <c r="H397" s="27"/>
      <c r="I397" s="27"/>
      <c r="J397" s="28"/>
      <c r="K397" s="28"/>
      <c r="L397" s="28"/>
      <c r="M397" s="28"/>
      <c r="N397" s="27"/>
      <c r="O397" s="27"/>
      <c r="P397" s="28"/>
      <c r="Q397" s="28"/>
      <c r="R397" s="28"/>
    </row>
    <row r="398" spans="1:18" ht="17.649999999999999">
      <c r="A398" s="23">
        <v>393</v>
      </c>
      <c r="B398" s="24" t="s">
        <v>104</v>
      </c>
      <c r="C398" s="24" t="s">
        <v>139</v>
      </c>
      <c r="D398" s="25">
        <v>373512.1</v>
      </c>
      <c r="E398" s="25">
        <v>3896092.4</v>
      </c>
      <c r="F398" s="25">
        <v>790791.56099999999</v>
      </c>
      <c r="G398" s="26">
        <f t="shared" si="6"/>
        <v>5060396.0609999998</v>
      </c>
      <c r="H398" s="27"/>
      <c r="I398" s="27"/>
      <c r="J398" s="28"/>
      <c r="K398" s="28"/>
      <c r="L398" s="28"/>
      <c r="M398" s="28"/>
      <c r="N398" s="27"/>
      <c r="O398" s="27"/>
      <c r="P398" s="28"/>
      <c r="Q398" s="28"/>
      <c r="R398" s="28"/>
    </row>
    <row r="399" spans="1:18" ht="17.649999999999999">
      <c r="A399" s="23">
        <v>394</v>
      </c>
      <c r="B399" s="24" t="s">
        <v>104</v>
      </c>
      <c r="C399" s="24" t="s">
        <v>110</v>
      </c>
      <c r="D399" s="25">
        <v>645792.52</v>
      </c>
      <c r="E399" s="25">
        <v>6736240.5</v>
      </c>
      <c r="F399" s="25">
        <v>1367257.6518999999</v>
      </c>
      <c r="G399" s="26">
        <f t="shared" si="6"/>
        <v>8749290.6719000004</v>
      </c>
      <c r="H399" s="27"/>
      <c r="I399" s="27"/>
      <c r="J399" s="28"/>
      <c r="K399" s="28"/>
      <c r="L399" s="28"/>
      <c r="M399" s="28"/>
      <c r="N399" s="27"/>
      <c r="O399" s="27"/>
      <c r="P399" s="28"/>
      <c r="Q399" s="28"/>
      <c r="R399" s="28"/>
    </row>
    <row r="400" spans="1:18" ht="17.649999999999999">
      <c r="A400" s="23">
        <v>395</v>
      </c>
      <c r="B400" s="24" t="s">
        <v>104</v>
      </c>
      <c r="C400" s="24" t="s">
        <v>142</v>
      </c>
      <c r="D400" s="25">
        <v>323463.21999999997</v>
      </c>
      <c r="E400" s="25">
        <v>3374034.13</v>
      </c>
      <c r="F400" s="25">
        <v>684829.16850000003</v>
      </c>
      <c r="G400" s="26">
        <f t="shared" si="6"/>
        <v>4382326.5184999993</v>
      </c>
      <c r="H400" s="27"/>
      <c r="I400" s="27"/>
      <c r="J400" s="28"/>
      <c r="K400" s="28"/>
      <c r="L400" s="28"/>
      <c r="M400" s="28"/>
      <c r="N400" s="27"/>
      <c r="O400" s="27"/>
      <c r="P400" s="28"/>
      <c r="Q400" s="28"/>
      <c r="R400" s="28"/>
    </row>
    <row r="401" spans="1:18" ht="17.649999999999999">
      <c r="A401" s="23">
        <v>396</v>
      </c>
      <c r="B401" s="24" t="s">
        <v>104</v>
      </c>
      <c r="C401" s="24" t="s">
        <v>144</v>
      </c>
      <c r="D401" s="25">
        <v>320122.18</v>
      </c>
      <c r="E401" s="25">
        <v>3339183.89</v>
      </c>
      <c r="F401" s="25">
        <v>677755.60109999997</v>
      </c>
      <c r="G401" s="26">
        <f t="shared" si="6"/>
        <v>4337061.6710999999</v>
      </c>
      <c r="H401" s="27"/>
      <c r="I401" s="27"/>
      <c r="J401" s="28"/>
      <c r="K401" s="28"/>
      <c r="L401" s="28"/>
      <c r="M401" s="28"/>
      <c r="N401" s="27"/>
      <c r="O401" s="27"/>
      <c r="P401" s="28"/>
      <c r="Q401" s="28"/>
      <c r="R401" s="28"/>
    </row>
    <row r="402" spans="1:18" ht="17.649999999999999">
      <c r="A402" s="23">
        <v>397</v>
      </c>
      <c r="B402" s="24" t="s">
        <v>104</v>
      </c>
      <c r="C402" s="24" t="s">
        <v>146</v>
      </c>
      <c r="D402" s="25">
        <v>383194.36</v>
      </c>
      <c r="E402" s="25">
        <v>3997087.69</v>
      </c>
      <c r="F402" s="25">
        <v>811290.62</v>
      </c>
      <c r="G402" s="26">
        <f t="shared" si="6"/>
        <v>5191572.67</v>
      </c>
      <c r="H402" s="27"/>
      <c r="I402" s="27"/>
      <c r="J402" s="28"/>
      <c r="K402" s="28"/>
      <c r="L402" s="28"/>
      <c r="M402" s="28"/>
      <c r="N402" s="27"/>
      <c r="O402" s="27"/>
      <c r="P402" s="28"/>
      <c r="Q402" s="28"/>
      <c r="R402" s="28"/>
    </row>
    <row r="403" spans="1:18" ht="17.649999999999999">
      <c r="A403" s="23">
        <v>398</v>
      </c>
      <c r="B403" s="24" t="s">
        <v>104</v>
      </c>
      <c r="C403" s="24" t="s">
        <v>148</v>
      </c>
      <c r="D403" s="25">
        <v>316172.28000000003</v>
      </c>
      <c r="E403" s="25">
        <v>3297982.61</v>
      </c>
      <c r="F403" s="25">
        <v>669392.9584</v>
      </c>
      <c r="G403" s="26">
        <f t="shared" si="6"/>
        <v>4283547.8483999996</v>
      </c>
      <c r="H403" s="27"/>
      <c r="I403" s="27"/>
      <c r="J403" s="28"/>
      <c r="K403" s="28"/>
      <c r="L403" s="28"/>
      <c r="M403" s="28"/>
      <c r="N403" s="27"/>
      <c r="O403" s="27"/>
      <c r="P403" s="28"/>
      <c r="Q403" s="28"/>
      <c r="R403" s="28"/>
    </row>
    <row r="404" spans="1:18" ht="17.649999999999999">
      <c r="A404" s="23">
        <v>399</v>
      </c>
      <c r="B404" s="24" t="s">
        <v>104</v>
      </c>
      <c r="C404" s="24" t="s">
        <v>150</v>
      </c>
      <c r="D404" s="25">
        <v>400173.82</v>
      </c>
      <c r="E404" s="25">
        <v>4174199.88</v>
      </c>
      <c r="F404" s="25">
        <v>847239.15700000001</v>
      </c>
      <c r="G404" s="26">
        <f t="shared" si="6"/>
        <v>5421612.8569999998</v>
      </c>
      <c r="H404" s="27"/>
      <c r="I404" s="27"/>
      <c r="J404" s="28"/>
      <c r="K404" s="28"/>
      <c r="L404" s="28"/>
      <c r="M404" s="28"/>
      <c r="N404" s="27"/>
      <c r="O404" s="27"/>
      <c r="P404" s="28"/>
      <c r="Q404" s="28"/>
      <c r="R404" s="28"/>
    </row>
    <row r="405" spans="1:18" ht="17.649999999999999">
      <c r="A405" s="23">
        <v>400</v>
      </c>
      <c r="B405" s="24" t="s">
        <v>104</v>
      </c>
      <c r="C405" s="24" t="s">
        <v>152</v>
      </c>
      <c r="D405" s="25">
        <v>351416.76</v>
      </c>
      <c r="E405" s="25">
        <v>3665616.67</v>
      </c>
      <c r="F405" s="25">
        <v>744011.80260000005</v>
      </c>
      <c r="G405" s="26">
        <f t="shared" si="6"/>
        <v>4761045.2325999998</v>
      </c>
      <c r="H405" s="27"/>
      <c r="I405" s="27"/>
      <c r="J405" s="28"/>
      <c r="K405" s="28"/>
      <c r="L405" s="28"/>
      <c r="M405" s="28"/>
      <c r="N405" s="27"/>
      <c r="O405" s="27"/>
      <c r="P405" s="28"/>
      <c r="Q405" s="28"/>
      <c r="R405" s="28"/>
    </row>
    <row r="406" spans="1:18" ht="17.649999999999999">
      <c r="A406" s="23">
        <v>401</v>
      </c>
      <c r="B406" s="24" t="s">
        <v>104</v>
      </c>
      <c r="C406" s="24" t="s">
        <v>154</v>
      </c>
      <c r="D406" s="25">
        <v>365422</v>
      </c>
      <c r="E406" s="25">
        <v>3811704.81</v>
      </c>
      <c r="F406" s="25">
        <v>773663.37549999997</v>
      </c>
      <c r="G406" s="26">
        <f t="shared" si="6"/>
        <v>4950790.1854999997</v>
      </c>
      <c r="H406" s="27"/>
      <c r="I406" s="27"/>
      <c r="J406" s="28"/>
      <c r="K406" s="28"/>
      <c r="L406" s="28"/>
      <c r="M406" s="28"/>
      <c r="N406" s="27"/>
      <c r="O406" s="27"/>
      <c r="P406" s="28"/>
      <c r="Q406" s="28"/>
      <c r="R406" s="28"/>
    </row>
    <row r="407" spans="1:18" ht="17.649999999999999">
      <c r="A407" s="23">
        <v>402</v>
      </c>
      <c r="B407" s="24" t="s">
        <v>104</v>
      </c>
      <c r="C407" s="24" t="s">
        <v>156</v>
      </c>
      <c r="D407" s="25">
        <v>287679.75</v>
      </c>
      <c r="E407" s="25">
        <v>3000778.03</v>
      </c>
      <c r="F407" s="25">
        <v>609069.2169</v>
      </c>
      <c r="G407" s="26">
        <f t="shared" si="6"/>
        <v>3897526.9968999997</v>
      </c>
      <c r="H407" s="27"/>
      <c r="I407" s="27"/>
      <c r="J407" s="28"/>
      <c r="K407" s="28"/>
      <c r="L407" s="28"/>
      <c r="M407" s="28"/>
      <c r="N407" s="27"/>
      <c r="O407" s="27"/>
      <c r="P407" s="28"/>
      <c r="Q407" s="28"/>
      <c r="R407" s="28"/>
    </row>
    <row r="408" spans="1:18" ht="17.649999999999999">
      <c r="A408" s="23">
        <v>403</v>
      </c>
      <c r="B408" s="24" t="s">
        <v>104</v>
      </c>
      <c r="C408" s="24" t="s">
        <v>158</v>
      </c>
      <c r="D408" s="25">
        <v>317177.15000000002</v>
      </c>
      <c r="E408" s="25">
        <v>3308464.35</v>
      </c>
      <c r="F408" s="25">
        <v>671520.44149999996</v>
      </c>
      <c r="G408" s="26">
        <f t="shared" si="6"/>
        <v>4297161.9414999997</v>
      </c>
      <c r="H408" s="27"/>
      <c r="I408" s="27"/>
      <c r="J408" s="28"/>
      <c r="K408" s="28"/>
      <c r="L408" s="28"/>
      <c r="M408" s="28"/>
      <c r="N408" s="27"/>
      <c r="O408" s="27"/>
      <c r="P408" s="28"/>
      <c r="Q408" s="28"/>
      <c r="R408" s="28"/>
    </row>
    <row r="409" spans="1:18" ht="17.649999999999999">
      <c r="A409" s="23">
        <v>404</v>
      </c>
      <c r="B409" s="24" t="s">
        <v>104</v>
      </c>
      <c r="C409" s="24" t="s">
        <v>160</v>
      </c>
      <c r="D409" s="25">
        <v>391090.69</v>
      </c>
      <c r="E409" s="25">
        <v>4079454.04</v>
      </c>
      <c r="F409" s="25">
        <v>828008.55279999995</v>
      </c>
      <c r="G409" s="26">
        <f t="shared" si="6"/>
        <v>5298553.2828000002</v>
      </c>
      <c r="H409" s="27"/>
      <c r="I409" s="27"/>
      <c r="J409" s="28"/>
      <c r="K409" s="28"/>
      <c r="L409" s="28"/>
      <c r="M409" s="28"/>
      <c r="N409" s="27"/>
      <c r="O409" s="27"/>
      <c r="P409" s="28"/>
      <c r="Q409" s="28"/>
      <c r="R409" s="28"/>
    </row>
    <row r="410" spans="1:18" ht="17.649999999999999">
      <c r="A410" s="23">
        <v>405</v>
      </c>
      <c r="B410" s="24" t="s">
        <v>104</v>
      </c>
      <c r="C410" s="24" t="s">
        <v>162</v>
      </c>
      <c r="D410" s="25">
        <v>457252.16</v>
      </c>
      <c r="E410" s="25">
        <v>4769582.16</v>
      </c>
      <c r="F410" s="25">
        <v>968084.15700000001</v>
      </c>
      <c r="G410" s="26">
        <f t="shared" si="6"/>
        <v>6194918.477</v>
      </c>
      <c r="H410" s="27"/>
      <c r="I410" s="27"/>
      <c r="J410" s="28"/>
      <c r="K410" s="28"/>
      <c r="L410" s="28"/>
      <c r="M410" s="28"/>
      <c r="N410" s="27"/>
      <c r="O410" s="27"/>
      <c r="P410" s="28"/>
      <c r="Q410" s="28"/>
      <c r="R410" s="28"/>
    </row>
    <row r="411" spans="1:18" ht="17.649999999999999">
      <c r="A411" s="23">
        <v>406</v>
      </c>
      <c r="B411" s="24" t="s">
        <v>104</v>
      </c>
      <c r="C411" s="24" t="s">
        <v>164</v>
      </c>
      <c r="D411" s="25">
        <v>298403.65999999997</v>
      </c>
      <c r="E411" s="25">
        <v>3112638.72</v>
      </c>
      <c r="F411" s="25">
        <v>631773.62959999999</v>
      </c>
      <c r="G411" s="26">
        <f t="shared" si="6"/>
        <v>4042816.0096000005</v>
      </c>
      <c r="H411" s="27"/>
      <c r="I411" s="27"/>
      <c r="J411" s="28"/>
      <c r="K411" s="28"/>
      <c r="L411" s="28"/>
      <c r="M411" s="28"/>
      <c r="N411" s="27"/>
      <c r="O411" s="27"/>
      <c r="P411" s="28"/>
      <c r="Q411" s="28"/>
      <c r="R411" s="28"/>
    </row>
    <row r="412" spans="1:18" ht="17.649999999999999">
      <c r="A412" s="23">
        <v>407</v>
      </c>
      <c r="B412" s="24" t="s">
        <v>104</v>
      </c>
      <c r="C412" s="24" t="s">
        <v>167</v>
      </c>
      <c r="D412" s="25">
        <v>350881.16</v>
      </c>
      <c r="E412" s="25">
        <v>3660029.85</v>
      </c>
      <c r="F412" s="25">
        <v>742877.8432</v>
      </c>
      <c r="G412" s="26">
        <f t="shared" si="6"/>
        <v>4753788.8531999998</v>
      </c>
      <c r="H412" s="27"/>
      <c r="I412" s="27"/>
      <c r="J412" s="28"/>
      <c r="K412" s="28"/>
      <c r="L412" s="28"/>
      <c r="M412" s="28"/>
      <c r="N412" s="27"/>
      <c r="O412" s="27"/>
      <c r="P412" s="28"/>
      <c r="Q412" s="28"/>
      <c r="R412" s="28"/>
    </row>
    <row r="413" spans="1:18" ht="17.649999999999999">
      <c r="A413" s="23">
        <v>408</v>
      </c>
      <c r="B413" s="24" t="s">
        <v>105</v>
      </c>
      <c r="C413" s="24" t="s">
        <v>171</v>
      </c>
      <c r="D413" s="25">
        <v>356546.61</v>
      </c>
      <c r="E413" s="25">
        <v>3719125.92</v>
      </c>
      <c r="F413" s="25">
        <v>754872.59759999998</v>
      </c>
      <c r="G413" s="26">
        <f t="shared" si="6"/>
        <v>4830545.1275999993</v>
      </c>
      <c r="H413" s="27"/>
      <c r="I413" s="27"/>
      <c r="J413" s="28"/>
      <c r="K413" s="28"/>
      <c r="L413" s="28"/>
      <c r="M413" s="28"/>
      <c r="N413" s="27"/>
      <c r="O413" s="27"/>
      <c r="P413" s="28"/>
      <c r="Q413" s="28"/>
      <c r="R413" s="28"/>
    </row>
    <row r="414" spans="1:18" ht="17.649999999999999">
      <c r="A414" s="23">
        <v>409</v>
      </c>
      <c r="B414" s="24" t="s">
        <v>105</v>
      </c>
      <c r="C414" s="24" t="s">
        <v>173</v>
      </c>
      <c r="D414" s="25">
        <v>367400.38</v>
      </c>
      <c r="E414" s="25">
        <v>3832341.22</v>
      </c>
      <c r="F414" s="25">
        <v>777851.95609999995</v>
      </c>
      <c r="G414" s="26">
        <f t="shared" si="6"/>
        <v>4977593.5561000006</v>
      </c>
      <c r="H414" s="27"/>
      <c r="I414" s="27"/>
      <c r="J414" s="28"/>
      <c r="K414" s="28"/>
      <c r="L414" s="28"/>
      <c r="M414" s="28"/>
      <c r="N414" s="27"/>
      <c r="O414" s="27"/>
      <c r="P414" s="28"/>
      <c r="Q414" s="28"/>
      <c r="R414" s="28"/>
    </row>
    <row r="415" spans="1:18" ht="17.649999999999999">
      <c r="A415" s="23">
        <v>410</v>
      </c>
      <c r="B415" s="24" t="s">
        <v>105</v>
      </c>
      <c r="C415" s="24" t="s">
        <v>175</v>
      </c>
      <c r="D415" s="25">
        <v>399696.9</v>
      </c>
      <c r="E415" s="25">
        <v>4169225.19</v>
      </c>
      <c r="F415" s="25">
        <v>846229.4425</v>
      </c>
      <c r="G415" s="26">
        <f t="shared" si="6"/>
        <v>5415151.5324999997</v>
      </c>
      <c r="H415" s="27"/>
      <c r="I415" s="27"/>
      <c r="J415" s="28"/>
      <c r="K415" s="28"/>
      <c r="L415" s="28"/>
      <c r="M415" s="28"/>
      <c r="N415" s="27"/>
      <c r="O415" s="27"/>
      <c r="P415" s="28"/>
      <c r="Q415" s="28"/>
      <c r="R415" s="28"/>
    </row>
    <row r="416" spans="1:18" ht="17.649999999999999">
      <c r="A416" s="23">
        <v>411</v>
      </c>
      <c r="B416" s="24" t="s">
        <v>105</v>
      </c>
      <c r="C416" s="24" t="s">
        <v>177</v>
      </c>
      <c r="D416" s="25">
        <v>374755.6</v>
      </c>
      <c r="E416" s="25">
        <v>3909063.26</v>
      </c>
      <c r="F416" s="25">
        <v>793424.26240000001</v>
      </c>
      <c r="G416" s="26">
        <f t="shared" si="6"/>
        <v>5077243.1223999998</v>
      </c>
      <c r="H416" s="27"/>
      <c r="I416" s="27"/>
      <c r="J416" s="28"/>
      <c r="K416" s="28"/>
      <c r="L416" s="28"/>
      <c r="M416" s="28"/>
      <c r="N416" s="27"/>
      <c r="O416" s="27"/>
      <c r="P416" s="28"/>
      <c r="Q416" s="28"/>
      <c r="R416" s="28"/>
    </row>
    <row r="417" spans="1:18" ht="17.649999999999999">
      <c r="A417" s="23">
        <v>412</v>
      </c>
      <c r="B417" s="24" t="s">
        <v>105</v>
      </c>
      <c r="C417" s="24" t="s">
        <v>179</v>
      </c>
      <c r="D417" s="25">
        <v>350478.25</v>
      </c>
      <c r="E417" s="25">
        <v>3655827.09</v>
      </c>
      <c r="F417" s="25">
        <v>742024.80790000001</v>
      </c>
      <c r="G417" s="26">
        <f t="shared" si="6"/>
        <v>4748330.1479000002</v>
      </c>
      <c r="H417" s="27"/>
      <c r="I417" s="27"/>
      <c r="J417" s="28"/>
      <c r="K417" s="28"/>
      <c r="L417" s="28"/>
      <c r="M417" s="28"/>
      <c r="N417" s="27"/>
      <c r="O417" s="27"/>
      <c r="P417" s="28"/>
      <c r="Q417" s="28"/>
      <c r="R417" s="28"/>
    </row>
    <row r="418" spans="1:18" ht="17.649999999999999">
      <c r="A418" s="23">
        <v>413</v>
      </c>
      <c r="B418" s="24" t="s">
        <v>105</v>
      </c>
      <c r="C418" s="24" t="s">
        <v>181</v>
      </c>
      <c r="D418" s="25">
        <v>327832</v>
      </c>
      <c r="E418" s="25">
        <v>3419604.81</v>
      </c>
      <c r="F418" s="25">
        <v>694078.6692</v>
      </c>
      <c r="G418" s="26">
        <f t="shared" si="6"/>
        <v>4441515.4791999999</v>
      </c>
      <c r="H418" s="27"/>
      <c r="I418" s="27"/>
      <c r="J418" s="28"/>
      <c r="K418" s="28"/>
      <c r="L418" s="28"/>
      <c r="M418" s="28"/>
      <c r="N418" s="27"/>
      <c r="O418" s="27"/>
      <c r="P418" s="28"/>
      <c r="Q418" s="28"/>
      <c r="R418" s="28"/>
    </row>
    <row r="419" spans="1:18" ht="17.649999999999999">
      <c r="A419" s="23">
        <v>414</v>
      </c>
      <c r="B419" s="24" t="s">
        <v>105</v>
      </c>
      <c r="C419" s="24" t="s">
        <v>183</v>
      </c>
      <c r="D419" s="25">
        <v>352158.37</v>
      </c>
      <c r="E419" s="25">
        <v>3430795.58</v>
      </c>
      <c r="F419" s="25">
        <v>745581.91489999997</v>
      </c>
      <c r="G419" s="26">
        <f t="shared" si="6"/>
        <v>4528535.8649000004</v>
      </c>
      <c r="H419" s="27"/>
      <c r="I419" s="27"/>
      <c r="J419" s="28"/>
      <c r="K419" s="28"/>
      <c r="L419" s="28"/>
      <c r="M419" s="28"/>
      <c r="N419" s="27"/>
      <c r="O419" s="27"/>
      <c r="P419" s="28"/>
      <c r="Q419" s="28"/>
      <c r="R419" s="28"/>
    </row>
    <row r="420" spans="1:18" ht="17.649999999999999">
      <c r="A420" s="23">
        <v>415</v>
      </c>
      <c r="B420" s="24" t="s">
        <v>105</v>
      </c>
      <c r="C420" s="24" t="s">
        <v>185</v>
      </c>
      <c r="D420" s="25">
        <v>330307.81</v>
      </c>
      <c r="E420" s="25">
        <v>3673352.34</v>
      </c>
      <c r="F420" s="25">
        <v>699320.38760000002</v>
      </c>
      <c r="G420" s="26">
        <f t="shared" si="6"/>
        <v>4702980.5375999995</v>
      </c>
      <c r="H420" s="27"/>
      <c r="I420" s="27"/>
      <c r="J420" s="28"/>
      <c r="K420" s="28"/>
      <c r="L420" s="28"/>
      <c r="M420" s="28"/>
      <c r="N420" s="27"/>
      <c r="O420" s="27"/>
      <c r="P420" s="28"/>
      <c r="Q420" s="28"/>
      <c r="R420" s="28"/>
    </row>
    <row r="421" spans="1:18" ht="17.649999999999999">
      <c r="A421" s="23">
        <v>416</v>
      </c>
      <c r="B421" s="24" t="s">
        <v>105</v>
      </c>
      <c r="C421" s="24" t="s">
        <v>187</v>
      </c>
      <c r="D421" s="25">
        <v>328904.84000000003</v>
      </c>
      <c r="E421" s="25">
        <v>3445429.85</v>
      </c>
      <c r="F421" s="25">
        <v>696350.06409999996</v>
      </c>
      <c r="G421" s="26">
        <f t="shared" si="6"/>
        <v>4470684.7540999996</v>
      </c>
      <c r="H421" s="27"/>
      <c r="I421" s="27"/>
      <c r="J421" s="28"/>
      <c r="K421" s="28"/>
      <c r="L421" s="28"/>
      <c r="M421" s="28"/>
      <c r="N421" s="27"/>
      <c r="O421" s="27"/>
      <c r="P421" s="28"/>
      <c r="Q421" s="28"/>
      <c r="R421" s="28"/>
    </row>
    <row r="422" spans="1:18" ht="17.649999999999999">
      <c r="A422" s="23">
        <v>417</v>
      </c>
      <c r="B422" s="24" t="s">
        <v>105</v>
      </c>
      <c r="C422" s="24" t="s">
        <v>189</v>
      </c>
      <c r="D422" s="25">
        <v>398249.99</v>
      </c>
      <c r="E422" s="25">
        <v>4154132.54</v>
      </c>
      <c r="F422" s="25">
        <v>843166.08050000004</v>
      </c>
      <c r="G422" s="26">
        <f t="shared" si="6"/>
        <v>5395548.6105000004</v>
      </c>
      <c r="H422" s="27"/>
      <c r="I422" s="27"/>
      <c r="J422" s="28"/>
      <c r="K422" s="28"/>
      <c r="L422" s="28"/>
      <c r="M422" s="28"/>
      <c r="N422" s="27"/>
      <c r="O422" s="27"/>
      <c r="P422" s="28"/>
      <c r="Q422" s="28"/>
      <c r="R422" s="28"/>
    </row>
    <row r="423" spans="1:18" ht="17.649999999999999">
      <c r="A423" s="23">
        <v>418</v>
      </c>
      <c r="B423" s="24" t="s">
        <v>105</v>
      </c>
      <c r="C423" s="24" t="s">
        <v>191</v>
      </c>
      <c r="D423" s="25">
        <v>328682.53000000003</v>
      </c>
      <c r="E423" s="25">
        <v>3428476.65</v>
      </c>
      <c r="F423" s="25">
        <v>695879.39</v>
      </c>
      <c r="G423" s="26">
        <f t="shared" si="6"/>
        <v>4453038.5699999994</v>
      </c>
      <c r="H423" s="27"/>
      <c r="I423" s="27"/>
      <c r="J423" s="28"/>
      <c r="K423" s="28"/>
      <c r="L423" s="28"/>
      <c r="M423" s="28"/>
      <c r="N423" s="27"/>
      <c r="O423" s="27"/>
      <c r="P423" s="28"/>
      <c r="Q423" s="28"/>
      <c r="R423" s="28"/>
    </row>
    <row r="424" spans="1:18" ht="17.649999999999999">
      <c r="A424" s="23">
        <v>419</v>
      </c>
      <c r="B424" s="24" t="s">
        <v>105</v>
      </c>
      <c r="C424" s="24" t="s">
        <v>193</v>
      </c>
      <c r="D424" s="25">
        <v>365058.46</v>
      </c>
      <c r="E424" s="25">
        <v>3807912.79</v>
      </c>
      <c r="F424" s="25">
        <v>772893.70849999995</v>
      </c>
      <c r="G424" s="26">
        <f t="shared" si="6"/>
        <v>4945864.9584999997</v>
      </c>
      <c r="H424" s="27"/>
      <c r="I424" s="27"/>
      <c r="J424" s="28"/>
      <c r="K424" s="28"/>
      <c r="L424" s="28"/>
      <c r="M424" s="28"/>
      <c r="N424" s="27"/>
      <c r="O424" s="27"/>
      <c r="P424" s="28"/>
      <c r="Q424" s="28"/>
      <c r="R424" s="28"/>
    </row>
    <row r="425" spans="1:18" ht="17.649999999999999">
      <c r="A425" s="23">
        <v>420</v>
      </c>
      <c r="B425" s="24" t="s">
        <v>105</v>
      </c>
      <c r="C425" s="24" t="s">
        <v>195</v>
      </c>
      <c r="D425" s="25">
        <v>397830.97</v>
      </c>
      <c r="E425" s="25">
        <v>4149761.68</v>
      </c>
      <c r="F425" s="25">
        <v>842278.92469999997</v>
      </c>
      <c r="G425" s="26">
        <f t="shared" si="6"/>
        <v>5389871.5747000007</v>
      </c>
      <c r="H425" s="27"/>
      <c r="I425" s="27"/>
      <c r="J425" s="28"/>
      <c r="K425" s="28"/>
      <c r="L425" s="28"/>
      <c r="M425" s="28"/>
      <c r="N425" s="27"/>
      <c r="O425" s="27"/>
      <c r="P425" s="28"/>
      <c r="Q425" s="28"/>
      <c r="R425" s="28"/>
    </row>
    <row r="426" spans="1:18" ht="17.649999999999999">
      <c r="A426" s="23">
        <v>421</v>
      </c>
      <c r="B426" s="24" t="s">
        <v>105</v>
      </c>
      <c r="C426" s="24" t="s">
        <v>197</v>
      </c>
      <c r="D426" s="25">
        <v>396900.75</v>
      </c>
      <c r="E426" s="25">
        <v>4140058.68</v>
      </c>
      <c r="F426" s="25">
        <v>840309.50289999996</v>
      </c>
      <c r="G426" s="26">
        <f t="shared" si="6"/>
        <v>5377268.9328999994</v>
      </c>
      <c r="H426" s="27"/>
      <c r="I426" s="27"/>
      <c r="J426" s="28"/>
      <c r="K426" s="28"/>
      <c r="L426" s="28"/>
      <c r="M426" s="28"/>
      <c r="N426" s="27"/>
      <c r="O426" s="27"/>
      <c r="P426" s="28"/>
      <c r="Q426" s="28"/>
      <c r="R426" s="28"/>
    </row>
    <row r="427" spans="1:18" ht="17.649999999999999">
      <c r="A427" s="23">
        <v>422</v>
      </c>
      <c r="B427" s="24" t="s">
        <v>105</v>
      </c>
      <c r="C427" s="24" t="s">
        <v>199</v>
      </c>
      <c r="D427" s="25">
        <v>346595.72</v>
      </c>
      <c r="E427" s="25">
        <v>3615328.57</v>
      </c>
      <c r="F427" s="25">
        <v>733804.80449999997</v>
      </c>
      <c r="G427" s="26">
        <f t="shared" si="6"/>
        <v>4695729.0944999997</v>
      </c>
      <c r="H427" s="27"/>
      <c r="I427" s="27"/>
      <c r="J427" s="28"/>
      <c r="K427" s="28"/>
      <c r="L427" s="28"/>
      <c r="M427" s="28"/>
      <c r="N427" s="27"/>
      <c r="O427" s="27"/>
      <c r="P427" s="28"/>
      <c r="Q427" s="28"/>
      <c r="R427" s="28"/>
    </row>
    <row r="428" spans="1:18" ht="17.649999999999999">
      <c r="A428" s="23">
        <v>423</v>
      </c>
      <c r="B428" s="24" t="s">
        <v>105</v>
      </c>
      <c r="C428" s="24" t="s">
        <v>201</v>
      </c>
      <c r="D428" s="25">
        <v>390466.18</v>
      </c>
      <c r="E428" s="25">
        <v>4072939.87</v>
      </c>
      <c r="F428" s="25">
        <v>826686.36939999997</v>
      </c>
      <c r="G428" s="26">
        <f t="shared" si="6"/>
        <v>5290092.4194</v>
      </c>
      <c r="H428" s="27"/>
      <c r="I428" s="27"/>
      <c r="J428" s="28"/>
      <c r="K428" s="28"/>
      <c r="L428" s="28"/>
      <c r="M428" s="28"/>
      <c r="N428" s="27"/>
      <c r="O428" s="27"/>
      <c r="P428" s="28"/>
      <c r="Q428" s="28"/>
      <c r="R428" s="28"/>
    </row>
    <row r="429" spans="1:18" ht="17.649999999999999">
      <c r="A429" s="23">
        <v>424</v>
      </c>
      <c r="B429" s="24" t="s">
        <v>105</v>
      </c>
      <c r="C429" s="24" t="s">
        <v>203</v>
      </c>
      <c r="D429" s="25">
        <v>403072.84</v>
      </c>
      <c r="E429" s="25">
        <v>4204439.53</v>
      </c>
      <c r="F429" s="25">
        <v>853376.91150000005</v>
      </c>
      <c r="G429" s="26">
        <f t="shared" si="6"/>
        <v>5460889.2815000005</v>
      </c>
      <c r="H429" s="27"/>
      <c r="I429" s="27"/>
      <c r="J429" s="28"/>
      <c r="K429" s="28"/>
      <c r="L429" s="28"/>
      <c r="M429" s="28"/>
      <c r="N429" s="27"/>
      <c r="O429" s="27"/>
      <c r="P429" s="28"/>
      <c r="Q429" s="28"/>
      <c r="R429" s="28"/>
    </row>
    <row r="430" spans="1:18" ht="17.649999999999999">
      <c r="A430" s="23">
        <v>425</v>
      </c>
      <c r="B430" s="24" t="s">
        <v>105</v>
      </c>
      <c r="C430" s="24" t="s">
        <v>205</v>
      </c>
      <c r="D430" s="25">
        <v>385851.53</v>
      </c>
      <c r="E430" s="25">
        <v>4024804.57</v>
      </c>
      <c r="F430" s="25">
        <v>816916.32680000004</v>
      </c>
      <c r="G430" s="26">
        <f t="shared" si="6"/>
        <v>5227572.4267999995</v>
      </c>
      <c r="H430" s="27"/>
      <c r="I430" s="27"/>
      <c r="J430" s="28"/>
      <c r="K430" s="28"/>
      <c r="L430" s="28"/>
      <c r="M430" s="28"/>
      <c r="N430" s="27"/>
      <c r="O430" s="27"/>
      <c r="P430" s="28"/>
      <c r="Q430" s="28"/>
      <c r="R430" s="28"/>
    </row>
    <row r="431" spans="1:18" ht="17.649999999999999">
      <c r="A431" s="23">
        <v>426</v>
      </c>
      <c r="B431" s="24" t="s">
        <v>105</v>
      </c>
      <c r="C431" s="24" t="s">
        <v>207</v>
      </c>
      <c r="D431" s="25">
        <v>423130.21</v>
      </c>
      <c r="E431" s="25">
        <v>4413657.28</v>
      </c>
      <c r="F431" s="25">
        <v>895841.92980000004</v>
      </c>
      <c r="G431" s="26">
        <f t="shared" si="6"/>
        <v>5732629.4198000003</v>
      </c>
      <c r="H431" s="27"/>
      <c r="I431" s="27"/>
      <c r="J431" s="28"/>
      <c r="K431" s="28"/>
      <c r="L431" s="28"/>
      <c r="M431" s="28"/>
      <c r="N431" s="27"/>
      <c r="O431" s="27"/>
      <c r="P431" s="28"/>
      <c r="Q431" s="28"/>
      <c r="R431" s="28"/>
    </row>
    <row r="432" spans="1:18" ht="17.649999999999999">
      <c r="A432" s="23">
        <v>427</v>
      </c>
      <c r="B432" s="24" t="s">
        <v>105</v>
      </c>
      <c r="C432" s="24" t="s">
        <v>209</v>
      </c>
      <c r="D432" s="25">
        <v>336948.1</v>
      </c>
      <c r="E432" s="25">
        <v>3514694.57</v>
      </c>
      <c r="F432" s="25">
        <v>713379.07799999998</v>
      </c>
      <c r="G432" s="26">
        <f t="shared" si="6"/>
        <v>4565021.7479999997</v>
      </c>
      <c r="H432" s="27"/>
      <c r="I432" s="27"/>
      <c r="J432" s="28"/>
      <c r="K432" s="28"/>
      <c r="L432" s="28"/>
      <c r="M432" s="28"/>
      <c r="N432" s="27"/>
      <c r="O432" s="27"/>
      <c r="P432" s="28"/>
      <c r="Q432" s="28"/>
      <c r="R432" s="28"/>
    </row>
    <row r="433" spans="1:18" ht="17.649999999999999">
      <c r="A433" s="23">
        <v>428</v>
      </c>
      <c r="B433" s="24" t="s">
        <v>105</v>
      </c>
      <c r="C433" s="24" t="s">
        <v>105</v>
      </c>
      <c r="D433" s="25">
        <v>464066.59</v>
      </c>
      <c r="E433" s="25">
        <v>4840663.3099999996</v>
      </c>
      <c r="F433" s="25">
        <v>982511.52789999999</v>
      </c>
      <c r="G433" s="26">
        <f t="shared" si="6"/>
        <v>6287241.4278999995</v>
      </c>
      <c r="H433" s="27"/>
      <c r="I433" s="27"/>
      <c r="J433" s="28"/>
      <c r="K433" s="28"/>
      <c r="L433" s="28"/>
      <c r="M433" s="28"/>
      <c r="N433" s="27"/>
      <c r="O433" s="27"/>
      <c r="P433" s="28"/>
      <c r="Q433" s="28"/>
      <c r="R433" s="28"/>
    </row>
    <row r="434" spans="1:18" ht="17.649999999999999">
      <c r="A434" s="23">
        <v>429</v>
      </c>
      <c r="B434" s="24" t="s">
        <v>105</v>
      </c>
      <c r="C434" s="24" t="s">
        <v>213</v>
      </c>
      <c r="D434" s="25">
        <v>326537.2</v>
      </c>
      <c r="E434" s="25">
        <v>3406098.77</v>
      </c>
      <c r="F434" s="25">
        <v>691337.34140000003</v>
      </c>
      <c r="G434" s="26">
        <f t="shared" si="6"/>
        <v>4423973.3114</v>
      </c>
      <c r="H434" s="27"/>
      <c r="I434" s="27"/>
      <c r="J434" s="28"/>
      <c r="K434" s="28"/>
      <c r="L434" s="28"/>
      <c r="M434" s="28"/>
      <c r="N434" s="27"/>
      <c r="O434" s="27"/>
      <c r="P434" s="28"/>
      <c r="Q434" s="28"/>
      <c r="R434" s="28"/>
    </row>
    <row r="435" spans="1:18" ht="17.649999999999999">
      <c r="A435" s="23">
        <v>430</v>
      </c>
      <c r="B435" s="24" t="s">
        <v>105</v>
      </c>
      <c r="C435" s="24" t="s">
        <v>215</v>
      </c>
      <c r="D435" s="25">
        <v>308491.09000000003</v>
      </c>
      <c r="E435" s="25">
        <v>3217860.42</v>
      </c>
      <c r="F435" s="25">
        <v>653130.52240000002</v>
      </c>
      <c r="G435" s="26">
        <f t="shared" si="6"/>
        <v>4179482.0323999999</v>
      </c>
      <c r="H435" s="27"/>
      <c r="I435" s="27"/>
      <c r="J435" s="28"/>
      <c r="K435" s="28"/>
      <c r="L435" s="28"/>
      <c r="M435" s="28"/>
      <c r="N435" s="27"/>
      <c r="O435" s="27"/>
      <c r="P435" s="28"/>
      <c r="Q435" s="28"/>
      <c r="R435" s="28"/>
    </row>
    <row r="436" spans="1:18" ht="17.649999999999999">
      <c r="A436" s="23">
        <v>431</v>
      </c>
      <c r="B436" s="24" t="s">
        <v>105</v>
      </c>
      <c r="C436" s="24" t="s">
        <v>217</v>
      </c>
      <c r="D436" s="25">
        <v>375274.79</v>
      </c>
      <c r="E436" s="25">
        <v>3914478.97</v>
      </c>
      <c r="F436" s="25">
        <v>794523.49080000003</v>
      </c>
      <c r="G436" s="26">
        <f t="shared" si="6"/>
        <v>5084277.2507999996</v>
      </c>
      <c r="H436" s="27"/>
      <c r="I436" s="27"/>
      <c r="J436" s="28"/>
      <c r="K436" s="28"/>
      <c r="L436" s="28"/>
      <c r="M436" s="28"/>
      <c r="N436" s="27"/>
      <c r="O436" s="27"/>
      <c r="P436" s="28"/>
      <c r="Q436" s="28"/>
      <c r="R436" s="28"/>
    </row>
    <row r="437" spans="1:18" ht="17.649999999999999">
      <c r="A437" s="23">
        <v>432</v>
      </c>
      <c r="B437" s="24" t="s">
        <v>105</v>
      </c>
      <c r="C437" s="24" t="s">
        <v>219</v>
      </c>
      <c r="D437" s="25">
        <v>373443.48</v>
      </c>
      <c r="E437" s="25">
        <v>3895376.63</v>
      </c>
      <c r="F437" s="25">
        <v>790646.28209999995</v>
      </c>
      <c r="G437" s="26">
        <f t="shared" si="6"/>
        <v>5059466.3920999989</v>
      </c>
      <c r="H437" s="27"/>
      <c r="I437" s="27"/>
      <c r="J437" s="28"/>
      <c r="K437" s="28"/>
      <c r="L437" s="28"/>
      <c r="M437" s="28"/>
      <c r="N437" s="27"/>
      <c r="O437" s="27"/>
      <c r="P437" s="28"/>
      <c r="Q437" s="28"/>
      <c r="R437" s="28"/>
    </row>
    <row r="438" spans="1:18" ht="17.649999999999999">
      <c r="A438" s="23">
        <v>433</v>
      </c>
      <c r="B438" s="24" t="s">
        <v>105</v>
      </c>
      <c r="C438" s="24" t="s">
        <v>221</v>
      </c>
      <c r="D438" s="25">
        <v>354237.98</v>
      </c>
      <c r="E438" s="25">
        <v>3695044.67</v>
      </c>
      <c r="F438" s="25">
        <v>749984.81759999995</v>
      </c>
      <c r="G438" s="26">
        <f t="shared" si="6"/>
        <v>4799267.4676000001</v>
      </c>
      <c r="H438" s="27"/>
      <c r="I438" s="27"/>
      <c r="J438" s="28"/>
      <c r="K438" s="28"/>
      <c r="L438" s="28"/>
      <c r="M438" s="28"/>
      <c r="N438" s="27"/>
      <c r="O438" s="27"/>
      <c r="P438" s="28"/>
      <c r="Q438" s="28"/>
      <c r="R438" s="28"/>
    </row>
    <row r="439" spans="1:18" ht="17.649999999999999">
      <c r="A439" s="23">
        <v>434</v>
      </c>
      <c r="B439" s="24" t="s">
        <v>105</v>
      </c>
      <c r="C439" s="24" t="s">
        <v>223</v>
      </c>
      <c r="D439" s="25">
        <v>361677.78</v>
      </c>
      <c r="E439" s="25">
        <v>3772649.01</v>
      </c>
      <c r="F439" s="25">
        <v>765736.20360000001</v>
      </c>
      <c r="G439" s="26">
        <f t="shared" si="6"/>
        <v>4900062.9935999997</v>
      </c>
      <c r="H439" s="27"/>
      <c r="I439" s="27"/>
      <c r="J439" s="28"/>
      <c r="K439" s="28"/>
      <c r="L439" s="28"/>
      <c r="M439" s="28"/>
      <c r="N439" s="27"/>
      <c r="O439" s="27"/>
      <c r="P439" s="28"/>
      <c r="Q439" s="28"/>
      <c r="R439" s="28"/>
    </row>
    <row r="440" spans="1:18" ht="17.649999999999999">
      <c r="A440" s="23">
        <v>435</v>
      </c>
      <c r="B440" s="24" t="s">
        <v>105</v>
      </c>
      <c r="C440" s="24" t="s">
        <v>225</v>
      </c>
      <c r="D440" s="25">
        <v>304646.46999999997</v>
      </c>
      <c r="E440" s="25">
        <v>3177757.27</v>
      </c>
      <c r="F440" s="25">
        <v>644990.76980000001</v>
      </c>
      <c r="G440" s="26">
        <f t="shared" si="6"/>
        <v>4127394.5098000001</v>
      </c>
      <c r="H440" s="27"/>
      <c r="I440" s="27"/>
      <c r="J440" s="28"/>
      <c r="K440" s="28"/>
      <c r="L440" s="28"/>
      <c r="M440" s="28"/>
      <c r="N440" s="27"/>
      <c r="O440" s="27"/>
      <c r="P440" s="28"/>
      <c r="Q440" s="28"/>
      <c r="R440" s="28"/>
    </row>
    <row r="441" spans="1:18" ht="17.649999999999999">
      <c r="A441" s="23">
        <v>436</v>
      </c>
      <c r="B441" s="24" t="s">
        <v>105</v>
      </c>
      <c r="C441" s="24" t="s">
        <v>227</v>
      </c>
      <c r="D441" s="25">
        <v>364528.77</v>
      </c>
      <c r="E441" s="25">
        <v>3802387.63</v>
      </c>
      <c r="F441" s="25">
        <v>771772.26300000004</v>
      </c>
      <c r="G441" s="26">
        <f t="shared" si="6"/>
        <v>4938688.6629999997</v>
      </c>
      <c r="H441" s="27"/>
      <c r="I441" s="27"/>
      <c r="J441" s="28"/>
      <c r="K441" s="28"/>
      <c r="L441" s="28"/>
      <c r="M441" s="28"/>
      <c r="N441" s="27"/>
      <c r="O441" s="27"/>
      <c r="P441" s="28"/>
      <c r="Q441" s="28"/>
      <c r="R441" s="28"/>
    </row>
    <row r="442" spans="1:18" ht="17.649999999999999">
      <c r="A442" s="23">
        <v>437</v>
      </c>
      <c r="B442" s="24" t="s">
        <v>105</v>
      </c>
      <c r="C442" s="24" t="s">
        <v>229</v>
      </c>
      <c r="D442" s="25">
        <v>328826.90000000002</v>
      </c>
      <c r="E442" s="25">
        <v>3429982.5</v>
      </c>
      <c r="F442" s="25">
        <v>696185.03350000002</v>
      </c>
      <c r="G442" s="26">
        <f t="shared" si="6"/>
        <v>4454994.4335000003</v>
      </c>
      <c r="H442" s="27"/>
      <c r="I442" s="27"/>
      <c r="J442" s="28"/>
      <c r="K442" s="28"/>
      <c r="L442" s="28"/>
      <c r="M442" s="28"/>
      <c r="N442" s="27"/>
      <c r="O442" s="27"/>
      <c r="P442" s="28"/>
      <c r="Q442" s="28"/>
      <c r="R442" s="28"/>
    </row>
    <row r="443" spans="1:18" ht="17.649999999999999">
      <c r="A443" s="23">
        <v>438</v>
      </c>
      <c r="B443" s="24" t="s">
        <v>105</v>
      </c>
      <c r="C443" s="24" t="s">
        <v>231</v>
      </c>
      <c r="D443" s="25">
        <v>340693.49</v>
      </c>
      <c r="E443" s="25">
        <v>3553762.55</v>
      </c>
      <c r="F443" s="25">
        <v>721308.72320000001</v>
      </c>
      <c r="G443" s="26">
        <f t="shared" si="6"/>
        <v>4615764.7631999999</v>
      </c>
      <c r="H443" s="27"/>
      <c r="I443" s="27"/>
      <c r="J443" s="28"/>
      <c r="K443" s="28"/>
      <c r="L443" s="28"/>
      <c r="M443" s="28"/>
      <c r="N443" s="27"/>
      <c r="O443" s="27"/>
      <c r="P443" s="28"/>
      <c r="Q443" s="28"/>
      <c r="R443" s="28"/>
    </row>
    <row r="444" spans="1:18" ht="17.649999999999999">
      <c r="A444" s="23">
        <v>439</v>
      </c>
      <c r="B444" s="24" t="s">
        <v>105</v>
      </c>
      <c r="C444" s="24" t="s">
        <v>233</v>
      </c>
      <c r="D444" s="25">
        <v>365557.12</v>
      </c>
      <c r="E444" s="25">
        <v>3813114.26</v>
      </c>
      <c r="F444" s="25">
        <v>773949.45259999996</v>
      </c>
      <c r="G444" s="26">
        <f t="shared" si="6"/>
        <v>4952620.8325999994</v>
      </c>
      <c r="H444" s="27"/>
      <c r="I444" s="27"/>
      <c r="J444" s="28"/>
      <c r="K444" s="28"/>
      <c r="L444" s="28"/>
      <c r="M444" s="28"/>
      <c r="N444" s="27"/>
      <c r="O444" s="27"/>
      <c r="P444" s="28"/>
      <c r="Q444" s="28"/>
      <c r="R444" s="28"/>
    </row>
    <row r="445" spans="1:18" ht="17.649999999999999">
      <c r="A445" s="23">
        <v>440</v>
      </c>
      <c r="B445" s="24" t="s">
        <v>105</v>
      </c>
      <c r="C445" s="24" t="s">
        <v>235</v>
      </c>
      <c r="D445" s="25">
        <v>354293.71</v>
      </c>
      <c r="E445" s="25">
        <v>3695626.01</v>
      </c>
      <c r="F445" s="25">
        <v>750102.81240000005</v>
      </c>
      <c r="G445" s="26">
        <f t="shared" si="6"/>
        <v>4800022.5323999999</v>
      </c>
      <c r="H445" s="27"/>
      <c r="I445" s="27"/>
      <c r="J445" s="28"/>
      <c r="K445" s="28"/>
      <c r="L445" s="28"/>
      <c r="M445" s="28"/>
      <c r="N445" s="27"/>
      <c r="O445" s="27"/>
      <c r="P445" s="28"/>
      <c r="Q445" s="28"/>
      <c r="R445" s="28"/>
    </row>
    <row r="446" spans="1:18" ht="17.649999999999999">
      <c r="A446" s="23">
        <v>441</v>
      </c>
      <c r="B446" s="24" t="s">
        <v>105</v>
      </c>
      <c r="C446" s="24" t="s">
        <v>237</v>
      </c>
      <c r="D446" s="25">
        <v>347236.91</v>
      </c>
      <c r="E446" s="25">
        <v>3622016.71</v>
      </c>
      <c r="F446" s="25">
        <v>735162.30039999995</v>
      </c>
      <c r="G446" s="26">
        <f t="shared" si="6"/>
        <v>4704415.9204000002</v>
      </c>
      <c r="H446" s="27"/>
      <c r="I446" s="27"/>
      <c r="J446" s="28"/>
      <c r="K446" s="28"/>
      <c r="L446" s="28"/>
      <c r="M446" s="28"/>
      <c r="N446" s="27"/>
      <c r="O446" s="27"/>
      <c r="P446" s="28"/>
      <c r="Q446" s="28"/>
      <c r="R446" s="28"/>
    </row>
    <row r="447" spans="1:18" ht="17.649999999999999">
      <c r="A447" s="23">
        <v>442</v>
      </c>
      <c r="B447" s="24" t="s">
        <v>106</v>
      </c>
      <c r="C447" s="24" t="s">
        <v>241</v>
      </c>
      <c r="D447" s="25">
        <v>278020.03999999998</v>
      </c>
      <c r="E447" s="25">
        <v>2900017.82</v>
      </c>
      <c r="F447" s="25">
        <v>588617.8726</v>
      </c>
      <c r="G447" s="26">
        <f t="shared" si="6"/>
        <v>3766655.7325999998</v>
      </c>
      <c r="H447" s="27"/>
      <c r="I447" s="27"/>
      <c r="J447" s="28"/>
      <c r="K447" s="28"/>
      <c r="L447" s="28"/>
      <c r="M447" s="28"/>
      <c r="N447" s="27"/>
      <c r="O447" s="27"/>
      <c r="P447" s="28"/>
      <c r="Q447" s="28"/>
      <c r="R447" s="28"/>
    </row>
    <row r="448" spans="1:18" ht="17.649999999999999">
      <c r="A448" s="23">
        <v>443</v>
      </c>
      <c r="B448" s="24" t="s">
        <v>106</v>
      </c>
      <c r="C448" s="24" t="s">
        <v>243</v>
      </c>
      <c r="D448" s="25">
        <v>454273.73</v>
      </c>
      <c r="E448" s="25">
        <v>4738514.28</v>
      </c>
      <c r="F448" s="25">
        <v>961778.29500000004</v>
      </c>
      <c r="G448" s="26">
        <f t="shared" si="6"/>
        <v>6154566.3049999997</v>
      </c>
      <c r="H448" s="27"/>
      <c r="I448" s="27"/>
      <c r="J448" s="28"/>
      <c r="K448" s="28"/>
      <c r="L448" s="28"/>
      <c r="M448" s="28"/>
      <c r="N448" s="27"/>
      <c r="O448" s="27"/>
      <c r="P448" s="28"/>
      <c r="Q448" s="28"/>
      <c r="R448" s="28"/>
    </row>
    <row r="449" spans="1:18" ht="17.649999999999999">
      <c r="A449" s="23">
        <v>444</v>
      </c>
      <c r="B449" s="24" t="s">
        <v>106</v>
      </c>
      <c r="C449" s="24" t="s">
        <v>245</v>
      </c>
      <c r="D449" s="25">
        <v>382631.02</v>
      </c>
      <c r="E449" s="25">
        <v>3991211.5</v>
      </c>
      <c r="F449" s="25">
        <v>810097.92740000004</v>
      </c>
      <c r="G449" s="26">
        <f t="shared" si="6"/>
        <v>5183940.4473999999</v>
      </c>
      <c r="H449" s="27"/>
      <c r="I449" s="27"/>
      <c r="J449" s="28"/>
      <c r="K449" s="28"/>
      <c r="L449" s="28"/>
      <c r="M449" s="28"/>
      <c r="N449" s="27"/>
      <c r="O449" s="27"/>
      <c r="P449" s="28"/>
      <c r="Q449" s="28"/>
      <c r="R449" s="28"/>
    </row>
    <row r="450" spans="1:18" ht="17.649999999999999">
      <c r="A450" s="23">
        <v>445</v>
      </c>
      <c r="B450" s="24" t="s">
        <v>106</v>
      </c>
      <c r="C450" s="24" t="s">
        <v>247</v>
      </c>
      <c r="D450" s="25">
        <v>315926.34000000003</v>
      </c>
      <c r="E450" s="25">
        <v>3295417.24</v>
      </c>
      <c r="F450" s="25">
        <v>668872.2648</v>
      </c>
      <c r="G450" s="26">
        <f t="shared" si="6"/>
        <v>4280215.8448000001</v>
      </c>
      <c r="H450" s="27"/>
      <c r="I450" s="27"/>
      <c r="J450" s="28"/>
      <c r="K450" s="28"/>
      <c r="L450" s="28"/>
      <c r="M450" s="28"/>
      <c r="N450" s="27"/>
      <c r="O450" s="27"/>
      <c r="P450" s="28"/>
      <c r="Q450" s="28"/>
      <c r="R450" s="28"/>
    </row>
    <row r="451" spans="1:18" ht="17.649999999999999">
      <c r="A451" s="23">
        <v>446</v>
      </c>
      <c r="B451" s="24" t="s">
        <v>106</v>
      </c>
      <c r="C451" s="24" t="s">
        <v>249</v>
      </c>
      <c r="D451" s="25">
        <v>420752.3</v>
      </c>
      <c r="E451" s="25">
        <v>4388853.38</v>
      </c>
      <c r="F451" s="25">
        <v>890807.47030000004</v>
      </c>
      <c r="G451" s="26">
        <f t="shared" si="6"/>
        <v>5700413.1502999999</v>
      </c>
      <c r="H451" s="27"/>
      <c r="I451" s="27"/>
      <c r="J451" s="28"/>
      <c r="K451" s="28"/>
      <c r="L451" s="28"/>
      <c r="M451" s="28"/>
      <c r="N451" s="27"/>
      <c r="O451" s="27"/>
      <c r="P451" s="28"/>
      <c r="Q451" s="28"/>
      <c r="R451" s="28"/>
    </row>
    <row r="452" spans="1:18" ht="17.649999999999999">
      <c r="A452" s="23">
        <v>447</v>
      </c>
      <c r="B452" s="24" t="s">
        <v>106</v>
      </c>
      <c r="C452" s="24" t="s">
        <v>251</v>
      </c>
      <c r="D452" s="25">
        <v>514764.99</v>
      </c>
      <c r="E452" s="25">
        <v>5369496.6100000003</v>
      </c>
      <c r="F452" s="25">
        <v>1089849.0527999999</v>
      </c>
      <c r="G452" s="26">
        <f t="shared" si="6"/>
        <v>6974110.6528000003</v>
      </c>
      <c r="H452" s="27"/>
      <c r="I452" s="27"/>
      <c r="J452" s="28"/>
      <c r="K452" s="28"/>
      <c r="L452" s="28"/>
      <c r="M452" s="28"/>
      <c r="N452" s="27"/>
      <c r="O452" s="27"/>
      <c r="P452" s="28"/>
      <c r="Q452" s="28"/>
      <c r="R452" s="28"/>
    </row>
    <row r="453" spans="1:18" ht="17.649999999999999">
      <c r="A453" s="23">
        <v>448</v>
      </c>
      <c r="B453" s="24" t="s">
        <v>106</v>
      </c>
      <c r="C453" s="24" t="s">
        <v>253</v>
      </c>
      <c r="D453" s="25">
        <v>350695.14</v>
      </c>
      <c r="E453" s="25">
        <v>3658089.45</v>
      </c>
      <c r="F453" s="25">
        <v>742484.00009999995</v>
      </c>
      <c r="G453" s="26">
        <f t="shared" si="6"/>
        <v>4751268.5901000006</v>
      </c>
      <c r="H453" s="27"/>
      <c r="I453" s="27"/>
      <c r="J453" s="28"/>
      <c r="K453" s="28"/>
      <c r="L453" s="28"/>
      <c r="M453" s="28"/>
      <c r="N453" s="27"/>
      <c r="O453" s="27"/>
      <c r="P453" s="28"/>
      <c r="Q453" s="28"/>
      <c r="R453" s="28"/>
    </row>
    <row r="454" spans="1:18" ht="17.649999999999999">
      <c r="A454" s="23">
        <v>449</v>
      </c>
      <c r="B454" s="24" t="s">
        <v>106</v>
      </c>
      <c r="C454" s="24" t="s">
        <v>255</v>
      </c>
      <c r="D454" s="25">
        <v>372562.65</v>
      </c>
      <c r="E454" s="25">
        <v>3886188.76</v>
      </c>
      <c r="F454" s="25">
        <v>788781.41610000003</v>
      </c>
      <c r="G454" s="26">
        <f t="shared" ref="G454:G517" si="7">D454+E454+F454</f>
        <v>5047532.8261000002</v>
      </c>
      <c r="H454" s="27"/>
      <c r="I454" s="27"/>
      <c r="J454" s="28"/>
      <c r="K454" s="28"/>
      <c r="L454" s="28"/>
      <c r="M454" s="28"/>
      <c r="N454" s="27"/>
      <c r="O454" s="27"/>
      <c r="P454" s="28"/>
      <c r="Q454" s="28"/>
      <c r="R454" s="28"/>
    </row>
    <row r="455" spans="1:18" ht="17.649999999999999">
      <c r="A455" s="23">
        <v>450</v>
      </c>
      <c r="B455" s="24" t="s">
        <v>106</v>
      </c>
      <c r="C455" s="24" t="s">
        <v>257</v>
      </c>
      <c r="D455" s="25">
        <v>462839.77</v>
      </c>
      <c r="E455" s="25">
        <v>4827866.34</v>
      </c>
      <c r="F455" s="25">
        <v>979914.12159999995</v>
      </c>
      <c r="G455" s="26">
        <f t="shared" si="7"/>
        <v>6270620.2315999996</v>
      </c>
      <c r="H455" s="27"/>
      <c r="I455" s="27"/>
      <c r="J455" s="28"/>
      <c r="K455" s="28"/>
      <c r="L455" s="28"/>
      <c r="M455" s="28"/>
      <c r="N455" s="27"/>
      <c r="O455" s="27"/>
      <c r="P455" s="28"/>
      <c r="Q455" s="28"/>
      <c r="R455" s="28"/>
    </row>
    <row r="456" spans="1:18" ht="17.649999999999999">
      <c r="A456" s="23">
        <v>451</v>
      </c>
      <c r="B456" s="24" t="s">
        <v>106</v>
      </c>
      <c r="C456" s="24" t="s">
        <v>259</v>
      </c>
      <c r="D456" s="25">
        <v>322278.74</v>
      </c>
      <c r="E456" s="25">
        <v>3361678.88</v>
      </c>
      <c r="F456" s="25">
        <v>682321.41729999997</v>
      </c>
      <c r="G456" s="26">
        <f t="shared" si="7"/>
        <v>4366279.0373</v>
      </c>
      <c r="H456" s="27"/>
      <c r="I456" s="27"/>
      <c r="J456" s="28"/>
      <c r="K456" s="28"/>
      <c r="L456" s="28"/>
      <c r="M456" s="28"/>
      <c r="N456" s="27"/>
      <c r="O456" s="27"/>
      <c r="P456" s="28"/>
      <c r="Q456" s="28"/>
      <c r="R456" s="28"/>
    </row>
    <row r="457" spans="1:18" ht="17.649999999999999">
      <c r="A457" s="23">
        <v>452</v>
      </c>
      <c r="B457" s="24" t="s">
        <v>106</v>
      </c>
      <c r="C457" s="24" t="s">
        <v>261</v>
      </c>
      <c r="D457" s="25">
        <v>340410.46</v>
      </c>
      <c r="E457" s="25">
        <v>3550810.24</v>
      </c>
      <c r="F457" s="25">
        <v>720709.49230000004</v>
      </c>
      <c r="G457" s="26">
        <f t="shared" si="7"/>
        <v>4611930.1923000002</v>
      </c>
      <c r="H457" s="27"/>
      <c r="I457" s="27"/>
      <c r="J457" s="28"/>
      <c r="K457" s="28"/>
      <c r="L457" s="28"/>
      <c r="M457" s="28"/>
      <c r="N457" s="27"/>
      <c r="O457" s="27"/>
      <c r="P457" s="28"/>
      <c r="Q457" s="28"/>
      <c r="R457" s="28"/>
    </row>
    <row r="458" spans="1:18" ht="17.649999999999999">
      <c r="A458" s="23">
        <v>453</v>
      </c>
      <c r="B458" s="24" t="s">
        <v>106</v>
      </c>
      <c r="C458" s="24" t="s">
        <v>263</v>
      </c>
      <c r="D458" s="25">
        <v>375546.73</v>
      </c>
      <c r="E458" s="25">
        <v>3917315.51</v>
      </c>
      <c r="F458" s="25">
        <v>795099.22589999996</v>
      </c>
      <c r="G458" s="26">
        <f t="shared" si="7"/>
        <v>5087961.4659000002</v>
      </c>
      <c r="H458" s="27"/>
      <c r="I458" s="27"/>
      <c r="J458" s="28"/>
      <c r="K458" s="28"/>
      <c r="L458" s="28"/>
      <c r="M458" s="28"/>
      <c r="N458" s="27"/>
      <c r="O458" s="27"/>
      <c r="P458" s="28"/>
      <c r="Q458" s="28"/>
      <c r="R458" s="28"/>
    </row>
    <row r="459" spans="1:18" ht="17.649999999999999">
      <c r="A459" s="23">
        <v>454</v>
      </c>
      <c r="B459" s="24" t="s">
        <v>106</v>
      </c>
      <c r="C459" s="24" t="s">
        <v>265</v>
      </c>
      <c r="D459" s="25">
        <v>312536.90999999997</v>
      </c>
      <c r="E459" s="25">
        <v>3260062.17</v>
      </c>
      <c r="F459" s="25">
        <v>661696.23089999997</v>
      </c>
      <c r="G459" s="26">
        <f t="shared" si="7"/>
        <v>4234295.3108999999</v>
      </c>
      <c r="H459" s="27"/>
      <c r="I459" s="27"/>
      <c r="J459" s="28"/>
      <c r="K459" s="28"/>
      <c r="L459" s="28"/>
      <c r="M459" s="28"/>
      <c r="N459" s="27"/>
      <c r="O459" s="27"/>
      <c r="P459" s="28"/>
      <c r="Q459" s="28"/>
      <c r="R459" s="28"/>
    </row>
    <row r="460" spans="1:18" ht="17.649999999999999">
      <c r="A460" s="23">
        <v>455</v>
      </c>
      <c r="B460" s="24" t="s">
        <v>106</v>
      </c>
      <c r="C460" s="24" t="s">
        <v>267</v>
      </c>
      <c r="D460" s="25">
        <v>358656.53</v>
      </c>
      <c r="E460" s="25">
        <v>3741134.4</v>
      </c>
      <c r="F460" s="25">
        <v>759339.66890000005</v>
      </c>
      <c r="G460" s="26">
        <f t="shared" si="7"/>
        <v>4859130.5988999996</v>
      </c>
      <c r="H460" s="27"/>
      <c r="I460" s="27"/>
      <c r="J460" s="28"/>
      <c r="K460" s="28"/>
      <c r="L460" s="28"/>
      <c r="M460" s="28"/>
      <c r="N460" s="27"/>
      <c r="O460" s="27"/>
      <c r="P460" s="28"/>
      <c r="Q460" s="28"/>
      <c r="R460" s="28"/>
    </row>
    <row r="461" spans="1:18" ht="17.649999999999999">
      <c r="A461" s="23">
        <v>456</v>
      </c>
      <c r="B461" s="24" t="s">
        <v>106</v>
      </c>
      <c r="C461" s="24" t="s">
        <v>269</v>
      </c>
      <c r="D461" s="25">
        <v>414931.64</v>
      </c>
      <c r="E461" s="25">
        <v>4328138.26</v>
      </c>
      <c r="F461" s="25">
        <v>878484.09660000005</v>
      </c>
      <c r="G461" s="26">
        <f t="shared" si="7"/>
        <v>5621553.9965999993</v>
      </c>
      <c r="H461" s="27"/>
      <c r="I461" s="27"/>
      <c r="J461" s="28"/>
      <c r="K461" s="28"/>
      <c r="L461" s="28"/>
      <c r="M461" s="28"/>
      <c r="N461" s="27"/>
      <c r="O461" s="27"/>
      <c r="P461" s="28"/>
      <c r="Q461" s="28"/>
      <c r="R461" s="28"/>
    </row>
    <row r="462" spans="1:18" ht="17.649999999999999">
      <c r="A462" s="23">
        <v>457</v>
      </c>
      <c r="B462" s="24" t="s">
        <v>106</v>
      </c>
      <c r="C462" s="24" t="s">
        <v>271</v>
      </c>
      <c r="D462" s="25">
        <v>332440.65000000002</v>
      </c>
      <c r="E462" s="25">
        <v>3467677.5</v>
      </c>
      <c r="F462" s="25">
        <v>703836.00300000003</v>
      </c>
      <c r="G462" s="26">
        <f t="shared" si="7"/>
        <v>4503954.1529999999</v>
      </c>
      <c r="H462" s="27"/>
      <c r="I462" s="27"/>
      <c r="J462" s="28"/>
      <c r="K462" s="28"/>
      <c r="L462" s="28"/>
      <c r="M462" s="28"/>
      <c r="N462" s="27"/>
      <c r="O462" s="27"/>
      <c r="P462" s="28"/>
      <c r="Q462" s="28"/>
      <c r="R462" s="28"/>
    </row>
    <row r="463" spans="1:18" ht="17.649999999999999">
      <c r="A463" s="23">
        <v>458</v>
      </c>
      <c r="B463" s="24" t="s">
        <v>106</v>
      </c>
      <c r="C463" s="24" t="s">
        <v>273</v>
      </c>
      <c r="D463" s="25">
        <v>327609.90000000002</v>
      </c>
      <c r="E463" s="25">
        <v>3417288.04</v>
      </c>
      <c r="F463" s="25">
        <v>693608.43220000004</v>
      </c>
      <c r="G463" s="26">
        <f t="shared" si="7"/>
        <v>4438506.3722000001</v>
      </c>
      <c r="H463" s="27"/>
      <c r="I463" s="27"/>
      <c r="J463" s="28"/>
      <c r="K463" s="28"/>
      <c r="L463" s="28"/>
      <c r="M463" s="28"/>
      <c r="N463" s="27"/>
      <c r="O463" s="27"/>
      <c r="P463" s="28"/>
      <c r="Q463" s="28"/>
      <c r="R463" s="28"/>
    </row>
    <row r="464" spans="1:18" ht="17.649999999999999">
      <c r="A464" s="23">
        <v>459</v>
      </c>
      <c r="B464" s="24" t="s">
        <v>106</v>
      </c>
      <c r="C464" s="24" t="s">
        <v>276</v>
      </c>
      <c r="D464" s="25">
        <v>339976.94</v>
      </c>
      <c r="E464" s="25">
        <v>3546288.26</v>
      </c>
      <c r="F464" s="25">
        <v>719791.66319999995</v>
      </c>
      <c r="G464" s="26">
        <f t="shared" si="7"/>
        <v>4606056.8631999996</v>
      </c>
      <c r="H464" s="27"/>
      <c r="I464" s="27"/>
      <c r="J464" s="28"/>
      <c r="K464" s="28"/>
      <c r="L464" s="28"/>
      <c r="M464" s="28"/>
      <c r="N464" s="27"/>
      <c r="O464" s="27"/>
      <c r="P464" s="28"/>
      <c r="Q464" s="28"/>
      <c r="R464" s="28"/>
    </row>
    <row r="465" spans="1:18" ht="17.649999999999999">
      <c r="A465" s="23">
        <v>460</v>
      </c>
      <c r="B465" s="24" t="s">
        <v>106</v>
      </c>
      <c r="C465" s="24" t="s">
        <v>278</v>
      </c>
      <c r="D465" s="25">
        <v>411326.62</v>
      </c>
      <c r="E465" s="25">
        <v>4290534.37</v>
      </c>
      <c r="F465" s="25">
        <v>870851.61950000003</v>
      </c>
      <c r="G465" s="26">
        <f t="shared" si="7"/>
        <v>5572712.6095000003</v>
      </c>
      <c r="H465" s="27"/>
      <c r="I465" s="27"/>
      <c r="J465" s="28"/>
      <c r="K465" s="28"/>
      <c r="L465" s="28"/>
      <c r="M465" s="28"/>
      <c r="N465" s="27"/>
      <c r="O465" s="27"/>
      <c r="P465" s="28"/>
      <c r="Q465" s="28"/>
      <c r="R465" s="28"/>
    </row>
    <row r="466" spans="1:18" ht="17.649999999999999">
      <c r="A466" s="23">
        <v>461</v>
      </c>
      <c r="B466" s="24" t="s">
        <v>106</v>
      </c>
      <c r="C466" s="24" t="s">
        <v>280</v>
      </c>
      <c r="D466" s="25">
        <v>316076.07</v>
      </c>
      <c r="E466" s="25">
        <v>3296979.04</v>
      </c>
      <c r="F466" s="25">
        <v>669189.26399999997</v>
      </c>
      <c r="G466" s="26">
        <f t="shared" si="7"/>
        <v>4282244.3739999998</v>
      </c>
      <c r="H466" s="27"/>
      <c r="I466" s="27"/>
      <c r="J466" s="28"/>
      <c r="K466" s="28"/>
      <c r="L466" s="28"/>
      <c r="M466" s="28"/>
      <c r="N466" s="27"/>
      <c r="O466" s="27"/>
      <c r="P466" s="28"/>
      <c r="Q466" s="28"/>
      <c r="R466" s="28"/>
    </row>
    <row r="467" spans="1:18" ht="17.649999999999999">
      <c r="A467" s="23">
        <v>462</v>
      </c>
      <c r="B467" s="24" t="s">
        <v>106</v>
      </c>
      <c r="C467" s="24" t="s">
        <v>282</v>
      </c>
      <c r="D467" s="25">
        <v>377536.39</v>
      </c>
      <c r="E467" s="25">
        <v>3938069.59</v>
      </c>
      <c r="F467" s="25">
        <v>799311.68929999997</v>
      </c>
      <c r="G467" s="26">
        <f t="shared" si="7"/>
        <v>5114917.6692999993</v>
      </c>
      <c r="H467" s="27"/>
      <c r="I467" s="27"/>
      <c r="J467" s="28"/>
      <c r="K467" s="28"/>
      <c r="L467" s="28"/>
      <c r="M467" s="28"/>
      <c r="N467" s="27"/>
      <c r="O467" s="27"/>
      <c r="P467" s="28"/>
      <c r="Q467" s="28"/>
      <c r="R467" s="28"/>
    </row>
    <row r="468" spans="1:18" ht="17.649999999999999">
      <c r="A468" s="23">
        <v>463</v>
      </c>
      <c r="B468" s="24" t="s">
        <v>107</v>
      </c>
      <c r="C468" s="24" t="s">
        <v>286</v>
      </c>
      <c r="D468" s="25">
        <v>403263.06</v>
      </c>
      <c r="E468" s="25">
        <v>4206423.6500000004</v>
      </c>
      <c r="F468" s="25">
        <v>853779.62939999998</v>
      </c>
      <c r="G468" s="26">
        <f t="shared" si="7"/>
        <v>5463466.3393999999</v>
      </c>
      <c r="H468" s="27"/>
      <c r="I468" s="27"/>
      <c r="J468" s="28"/>
      <c r="K468" s="28"/>
      <c r="L468" s="28"/>
      <c r="M468" s="28"/>
      <c r="N468" s="27"/>
      <c r="O468" s="27"/>
      <c r="P468" s="28"/>
      <c r="Q468" s="28"/>
      <c r="R468" s="28"/>
    </row>
    <row r="469" spans="1:18" ht="17.649999999999999">
      <c r="A469" s="23">
        <v>464</v>
      </c>
      <c r="B469" s="24" t="s">
        <v>107</v>
      </c>
      <c r="C469" s="24" t="s">
        <v>288</v>
      </c>
      <c r="D469" s="25">
        <v>356575.55</v>
      </c>
      <c r="E469" s="25">
        <v>3719427.75</v>
      </c>
      <c r="F469" s="25">
        <v>754933.86089999997</v>
      </c>
      <c r="G469" s="26">
        <f t="shared" si="7"/>
        <v>4830937.1608999996</v>
      </c>
      <c r="H469" s="27"/>
      <c r="I469" s="27"/>
      <c r="J469" s="28"/>
      <c r="K469" s="28"/>
      <c r="L469" s="28"/>
      <c r="M469" s="28"/>
      <c r="N469" s="27"/>
      <c r="O469" s="27"/>
      <c r="P469" s="28"/>
      <c r="Q469" s="28"/>
      <c r="R469" s="28"/>
    </row>
    <row r="470" spans="1:18" ht="17.649999999999999">
      <c r="A470" s="23">
        <v>465</v>
      </c>
      <c r="B470" s="24" t="s">
        <v>107</v>
      </c>
      <c r="C470" s="24" t="s">
        <v>290</v>
      </c>
      <c r="D470" s="25">
        <v>450015.62</v>
      </c>
      <c r="E470" s="25">
        <v>4694098.07</v>
      </c>
      <c r="F470" s="25">
        <v>952763.11789999995</v>
      </c>
      <c r="G470" s="26">
        <f t="shared" si="7"/>
        <v>6096876.8079000004</v>
      </c>
      <c r="H470" s="27"/>
      <c r="I470" s="27"/>
      <c r="J470" s="28"/>
      <c r="K470" s="28"/>
      <c r="L470" s="28"/>
      <c r="M470" s="28"/>
      <c r="N470" s="27"/>
      <c r="O470" s="27"/>
      <c r="P470" s="28"/>
      <c r="Q470" s="28"/>
      <c r="R470" s="28"/>
    </row>
    <row r="471" spans="1:18" ht="17.649999999999999">
      <c r="A471" s="23">
        <v>466</v>
      </c>
      <c r="B471" s="24" t="s">
        <v>107</v>
      </c>
      <c r="C471" s="24" t="s">
        <v>292</v>
      </c>
      <c r="D471" s="25">
        <v>356317.76</v>
      </c>
      <c r="E471" s="25">
        <v>3716738.78</v>
      </c>
      <c r="F471" s="25">
        <v>754388.07889999996</v>
      </c>
      <c r="G471" s="26">
        <f t="shared" si="7"/>
        <v>4827444.6189000001</v>
      </c>
      <c r="H471" s="27"/>
      <c r="I471" s="27"/>
      <c r="J471" s="28"/>
      <c r="K471" s="28"/>
      <c r="L471" s="28"/>
      <c r="M471" s="28"/>
      <c r="N471" s="27"/>
      <c r="O471" s="27"/>
      <c r="P471" s="28"/>
      <c r="Q471" s="28"/>
      <c r="R471" s="28"/>
    </row>
    <row r="472" spans="1:18" ht="17.649999999999999">
      <c r="A472" s="23">
        <v>467</v>
      </c>
      <c r="B472" s="24" t="s">
        <v>107</v>
      </c>
      <c r="C472" s="24" t="s">
        <v>294</v>
      </c>
      <c r="D472" s="25">
        <v>487197.05</v>
      </c>
      <c r="E472" s="25">
        <v>5081936.3600000003</v>
      </c>
      <c r="F472" s="25">
        <v>1031482.823</v>
      </c>
      <c r="G472" s="26">
        <f t="shared" si="7"/>
        <v>6600616.233</v>
      </c>
      <c r="H472" s="27"/>
      <c r="I472" s="27"/>
      <c r="J472" s="28"/>
      <c r="K472" s="28"/>
      <c r="L472" s="28"/>
      <c r="M472" s="28"/>
      <c r="N472" s="27"/>
      <c r="O472" s="27"/>
      <c r="P472" s="28"/>
      <c r="Q472" s="28"/>
      <c r="R472" s="28"/>
    </row>
    <row r="473" spans="1:18" ht="17.649999999999999">
      <c r="A473" s="23">
        <v>468</v>
      </c>
      <c r="B473" s="24" t="s">
        <v>107</v>
      </c>
      <c r="C473" s="24" t="s">
        <v>296</v>
      </c>
      <c r="D473" s="25">
        <v>378799.27</v>
      </c>
      <c r="E473" s="25">
        <v>3951242.71</v>
      </c>
      <c r="F473" s="25">
        <v>801985.44389999995</v>
      </c>
      <c r="G473" s="26">
        <f t="shared" si="7"/>
        <v>5132027.4239000008</v>
      </c>
      <c r="H473" s="27"/>
      <c r="I473" s="27"/>
      <c r="J473" s="28"/>
      <c r="K473" s="28"/>
      <c r="L473" s="28"/>
      <c r="M473" s="28"/>
      <c r="N473" s="27"/>
      <c r="O473" s="27"/>
      <c r="P473" s="28"/>
      <c r="Q473" s="28"/>
      <c r="R473" s="28"/>
    </row>
    <row r="474" spans="1:18" ht="17.649999999999999">
      <c r="A474" s="23">
        <v>469</v>
      </c>
      <c r="B474" s="24" t="s">
        <v>107</v>
      </c>
      <c r="C474" s="24" t="s">
        <v>298</v>
      </c>
      <c r="D474" s="25">
        <v>317846.99</v>
      </c>
      <c r="E474" s="25">
        <v>3315451.47</v>
      </c>
      <c r="F474" s="25">
        <v>672938.6213</v>
      </c>
      <c r="G474" s="26">
        <f t="shared" si="7"/>
        <v>4306237.0812999997</v>
      </c>
      <c r="H474" s="27"/>
      <c r="I474" s="27"/>
      <c r="J474" s="28"/>
      <c r="K474" s="28"/>
      <c r="L474" s="28"/>
      <c r="M474" s="28"/>
      <c r="N474" s="27"/>
      <c r="O474" s="27"/>
      <c r="P474" s="28"/>
      <c r="Q474" s="28"/>
      <c r="R474" s="28"/>
    </row>
    <row r="475" spans="1:18" ht="17.649999999999999">
      <c r="A475" s="23">
        <v>470</v>
      </c>
      <c r="B475" s="24" t="s">
        <v>107</v>
      </c>
      <c r="C475" s="24" t="s">
        <v>300</v>
      </c>
      <c r="D475" s="25">
        <v>372453.63</v>
      </c>
      <c r="E475" s="25">
        <v>3885051.5</v>
      </c>
      <c r="F475" s="25">
        <v>788550.58429999999</v>
      </c>
      <c r="G475" s="26">
        <f t="shared" si="7"/>
        <v>5046055.7143000001</v>
      </c>
      <c r="H475" s="27"/>
      <c r="I475" s="27"/>
      <c r="J475" s="28"/>
      <c r="K475" s="28"/>
      <c r="L475" s="28"/>
      <c r="M475" s="28"/>
      <c r="N475" s="27"/>
      <c r="O475" s="27"/>
      <c r="P475" s="28"/>
      <c r="Q475" s="28"/>
      <c r="R475" s="28"/>
    </row>
    <row r="476" spans="1:18" ht="17.649999999999999">
      <c r="A476" s="23">
        <v>471</v>
      </c>
      <c r="B476" s="24" t="s">
        <v>107</v>
      </c>
      <c r="C476" s="24" t="s">
        <v>302</v>
      </c>
      <c r="D476" s="25">
        <v>365266.72</v>
      </c>
      <c r="E476" s="25">
        <v>3810085.09</v>
      </c>
      <c r="F476" s="25">
        <v>773334.61990000005</v>
      </c>
      <c r="G476" s="26">
        <f t="shared" si="7"/>
        <v>4948686.4298999999</v>
      </c>
      <c r="H476" s="27"/>
      <c r="I476" s="27"/>
      <c r="J476" s="28"/>
      <c r="K476" s="28"/>
      <c r="L476" s="28"/>
      <c r="M476" s="28"/>
      <c r="N476" s="27"/>
      <c r="O476" s="27"/>
      <c r="P476" s="28"/>
      <c r="Q476" s="28"/>
      <c r="R476" s="28"/>
    </row>
    <row r="477" spans="1:18" ht="17.649999999999999">
      <c r="A477" s="23">
        <v>472</v>
      </c>
      <c r="B477" s="24" t="s">
        <v>107</v>
      </c>
      <c r="C477" s="24" t="s">
        <v>304</v>
      </c>
      <c r="D477" s="25">
        <v>386169.79</v>
      </c>
      <c r="E477" s="25">
        <v>4028124.36</v>
      </c>
      <c r="F477" s="25">
        <v>817590.14529999997</v>
      </c>
      <c r="G477" s="26">
        <f t="shared" si="7"/>
        <v>5231884.2952999994</v>
      </c>
      <c r="H477" s="27"/>
      <c r="I477" s="27"/>
      <c r="J477" s="28"/>
      <c r="K477" s="28"/>
      <c r="L477" s="28"/>
      <c r="M477" s="28"/>
      <c r="N477" s="27"/>
      <c r="O477" s="27"/>
      <c r="P477" s="28"/>
      <c r="Q477" s="28"/>
      <c r="R477" s="28"/>
    </row>
    <row r="478" spans="1:18" ht="17.649999999999999">
      <c r="A478" s="23">
        <v>473</v>
      </c>
      <c r="B478" s="24" t="s">
        <v>107</v>
      </c>
      <c r="C478" s="24" t="s">
        <v>107</v>
      </c>
      <c r="D478" s="25">
        <v>339940.87</v>
      </c>
      <c r="E478" s="25">
        <v>3545912.04</v>
      </c>
      <c r="F478" s="25">
        <v>719715.30299999996</v>
      </c>
      <c r="G478" s="26">
        <f t="shared" si="7"/>
        <v>4605568.2130000005</v>
      </c>
      <c r="H478" s="27"/>
      <c r="I478" s="27"/>
      <c r="J478" s="28"/>
      <c r="K478" s="28"/>
      <c r="L478" s="28"/>
      <c r="M478" s="28"/>
      <c r="N478" s="27"/>
      <c r="O478" s="27"/>
      <c r="P478" s="28"/>
      <c r="Q478" s="28"/>
      <c r="R478" s="28"/>
    </row>
    <row r="479" spans="1:18" ht="17.649999999999999">
      <c r="A479" s="23">
        <v>474</v>
      </c>
      <c r="B479" s="24" t="s">
        <v>107</v>
      </c>
      <c r="C479" s="24" t="s">
        <v>307</v>
      </c>
      <c r="D479" s="25">
        <v>434004.99</v>
      </c>
      <c r="E479" s="25">
        <v>4527091.72</v>
      </c>
      <c r="F479" s="25">
        <v>918865.76690000005</v>
      </c>
      <c r="G479" s="26">
        <f t="shared" si="7"/>
        <v>5879962.4769000001</v>
      </c>
      <c r="H479" s="27"/>
      <c r="I479" s="27"/>
      <c r="J479" s="28"/>
      <c r="K479" s="28"/>
      <c r="L479" s="28"/>
      <c r="M479" s="28"/>
      <c r="N479" s="27"/>
      <c r="O479" s="27"/>
      <c r="P479" s="28"/>
      <c r="Q479" s="28"/>
      <c r="R479" s="28"/>
    </row>
    <row r="480" spans="1:18" ht="17.649999999999999">
      <c r="A480" s="23">
        <v>475</v>
      </c>
      <c r="B480" s="24" t="s">
        <v>107</v>
      </c>
      <c r="C480" s="24" t="s">
        <v>309</v>
      </c>
      <c r="D480" s="25">
        <v>286469.19</v>
      </c>
      <c r="E480" s="25">
        <v>2988150.72</v>
      </c>
      <c r="F480" s="25">
        <v>606506.24549999996</v>
      </c>
      <c r="G480" s="26">
        <f t="shared" si="7"/>
        <v>3881126.1555000003</v>
      </c>
      <c r="H480" s="27"/>
      <c r="I480" s="27"/>
      <c r="J480" s="28"/>
      <c r="K480" s="28"/>
      <c r="L480" s="28"/>
      <c r="M480" s="28"/>
      <c r="N480" s="27"/>
      <c r="O480" s="27"/>
      <c r="P480" s="28"/>
      <c r="Q480" s="28"/>
      <c r="R480" s="28"/>
    </row>
    <row r="481" spans="1:18" ht="17.649999999999999">
      <c r="A481" s="23">
        <v>476</v>
      </c>
      <c r="B481" s="24" t="s">
        <v>107</v>
      </c>
      <c r="C481" s="24" t="s">
        <v>311</v>
      </c>
      <c r="D481" s="25">
        <v>416483.2</v>
      </c>
      <c r="E481" s="25">
        <v>4344322.47</v>
      </c>
      <c r="F481" s="25">
        <v>881769.01359999995</v>
      </c>
      <c r="G481" s="26">
        <f t="shared" si="7"/>
        <v>5642574.6836000001</v>
      </c>
      <c r="H481" s="27"/>
      <c r="I481" s="27"/>
      <c r="J481" s="28"/>
      <c r="K481" s="28"/>
      <c r="L481" s="28"/>
      <c r="M481" s="28"/>
      <c r="N481" s="27"/>
      <c r="O481" s="27"/>
      <c r="P481" s="28"/>
      <c r="Q481" s="28"/>
      <c r="R481" s="28"/>
    </row>
    <row r="482" spans="1:18" ht="17.649999999999999">
      <c r="A482" s="23">
        <v>477</v>
      </c>
      <c r="B482" s="24" t="s">
        <v>107</v>
      </c>
      <c r="C482" s="24" t="s">
        <v>313</v>
      </c>
      <c r="D482" s="25">
        <v>278110.96999999997</v>
      </c>
      <c r="E482" s="25">
        <v>2900966.38</v>
      </c>
      <c r="F482" s="25">
        <v>588810.40300000005</v>
      </c>
      <c r="G482" s="26">
        <f t="shared" si="7"/>
        <v>3767887.7529999996</v>
      </c>
      <c r="H482" s="27"/>
      <c r="I482" s="27"/>
      <c r="J482" s="28"/>
      <c r="K482" s="28"/>
      <c r="L482" s="28"/>
      <c r="M482" s="28"/>
      <c r="N482" s="27"/>
      <c r="O482" s="27"/>
      <c r="P482" s="28"/>
      <c r="Q482" s="28"/>
      <c r="R482" s="28"/>
    </row>
    <row r="483" spans="1:18" ht="17.649999999999999">
      <c r="A483" s="23">
        <v>478</v>
      </c>
      <c r="B483" s="24" t="s">
        <v>107</v>
      </c>
      <c r="C483" s="24" t="s">
        <v>315</v>
      </c>
      <c r="D483" s="25">
        <v>403197.53</v>
      </c>
      <c r="E483" s="25">
        <v>4205740.12</v>
      </c>
      <c r="F483" s="25">
        <v>853640.89309999999</v>
      </c>
      <c r="G483" s="26">
        <f t="shared" si="7"/>
        <v>5462578.5431000004</v>
      </c>
      <c r="H483" s="27"/>
      <c r="I483" s="27"/>
      <c r="J483" s="28"/>
      <c r="K483" s="28"/>
      <c r="L483" s="28"/>
      <c r="M483" s="28"/>
      <c r="N483" s="27"/>
      <c r="O483" s="27"/>
      <c r="P483" s="28"/>
      <c r="Q483" s="28"/>
      <c r="R483" s="28"/>
    </row>
    <row r="484" spans="1:18" ht="17.649999999999999">
      <c r="A484" s="23">
        <v>479</v>
      </c>
      <c r="B484" s="24" t="s">
        <v>107</v>
      </c>
      <c r="C484" s="24" t="s">
        <v>317</v>
      </c>
      <c r="D484" s="25">
        <v>504263.83</v>
      </c>
      <c r="E484" s="25">
        <v>5259959.41</v>
      </c>
      <c r="F484" s="25">
        <v>1067616.2390999999</v>
      </c>
      <c r="G484" s="26">
        <f t="shared" si="7"/>
        <v>6831839.4791000001</v>
      </c>
      <c r="H484" s="27"/>
      <c r="I484" s="27"/>
      <c r="J484" s="28"/>
      <c r="K484" s="28"/>
      <c r="L484" s="28"/>
      <c r="M484" s="28"/>
      <c r="N484" s="27"/>
      <c r="O484" s="27"/>
      <c r="P484" s="28"/>
      <c r="Q484" s="28"/>
      <c r="R484" s="28"/>
    </row>
    <row r="485" spans="1:18" ht="17.649999999999999">
      <c r="A485" s="23">
        <v>480</v>
      </c>
      <c r="B485" s="24" t="s">
        <v>107</v>
      </c>
      <c r="C485" s="24" t="s">
        <v>320</v>
      </c>
      <c r="D485" s="25">
        <v>380909.05</v>
      </c>
      <c r="E485" s="25">
        <v>3973249.77</v>
      </c>
      <c r="F485" s="25">
        <v>806452.22679999995</v>
      </c>
      <c r="G485" s="26">
        <f t="shared" si="7"/>
        <v>5160611.0468000006</v>
      </c>
      <c r="H485" s="27"/>
      <c r="I485" s="27"/>
      <c r="J485" s="28"/>
      <c r="K485" s="28"/>
      <c r="L485" s="28"/>
      <c r="M485" s="28"/>
      <c r="N485" s="27"/>
      <c r="O485" s="27"/>
      <c r="P485" s="28"/>
      <c r="Q485" s="28"/>
      <c r="R485" s="28"/>
    </row>
    <row r="486" spans="1:18" ht="17.649999999999999">
      <c r="A486" s="23">
        <v>481</v>
      </c>
      <c r="B486" s="24" t="s">
        <v>107</v>
      </c>
      <c r="C486" s="24" t="s">
        <v>321</v>
      </c>
      <c r="D486" s="25">
        <v>360662.19</v>
      </c>
      <c r="E486" s="25">
        <v>3762055.43</v>
      </c>
      <c r="F486" s="25">
        <v>763586.02</v>
      </c>
      <c r="G486" s="26">
        <f t="shared" si="7"/>
        <v>4886303.6400000006</v>
      </c>
      <c r="H486" s="27"/>
      <c r="I486" s="27"/>
      <c r="J486" s="28"/>
      <c r="K486" s="28"/>
      <c r="L486" s="28"/>
      <c r="M486" s="28"/>
      <c r="N486" s="27"/>
      <c r="O486" s="27"/>
      <c r="P486" s="28"/>
      <c r="Q486" s="28"/>
      <c r="R486" s="28"/>
    </row>
    <row r="487" spans="1:18" ht="17.649999999999999">
      <c r="A487" s="23">
        <v>482</v>
      </c>
      <c r="B487" s="24" t="s">
        <v>107</v>
      </c>
      <c r="C487" s="24" t="s">
        <v>323</v>
      </c>
      <c r="D487" s="25">
        <v>386717.07</v>
      </c>
      <c r="E487" s="25">
        <v>4033832.97</v>
      </c>
      <c r="F487" s="25">
        <v>818748.82369999995</v>
      </c>
      <c r="G487" s="26">
        <f t="shared" si="7"/>
        <v>5239298.8636999996</v>
      </c>
      <c r="H487" s="27"/>
      <c r="I487" s="27"/>
      <c r="J487" s="28"/>
      <c r="K487" s="28"/>
      <c r="L487" s="28"/>
      <c r="M487" s="28"/>
      <c r="N487" s="27"/>
      <c r="O487" s="27"/>
      <c r="P487" s="28"/>
      <c r="Q487" s="28"/>
      <c r="R487" s="28"/>
    </row>
    <row r="488" spans="1:18" ht="17.649999999999999">
      <c r="A488" s="23">
        <v>483</v>
      </c>
      <c r="B488" s="24" t="s">
        <v>107</v>
      </c>
      <c r="C488" s="24" t="s">
        <v>325</v>
      </c>
      <c r="D488" s="25">
        <v>378389.29</v>
      </c>
      <c r="E488" s="25">
        <v>3946966.24</v>
      </c>
      <c r="F488" s="25">
        <v>801117.44720000005</v>
      </c>
      <c r="G488" s="26">
        <f t="shared" si="7"/>
        <v>5126472.9772000005</v>
      </c>
      <c r="H488" s="27"/>
      <c r="I488" s="27"/>
      <c r="J488" s="28"/>
      <c r="K488" s="28"/>
      <c r="L488" s="28"/>
      <c r="M488" s="28"/>
      <c r="N488" s="27"/>
      <c r="O488" s="27"/>
      <c r="P488" s="28"/>
      <c r="Q488" s="28"/>
      <c r="R488" s="28"/>
    </row>
    <row r="489" spans="1:18" ht="17.649999999999999">
      <c r="A489" s="23">
        <v>484</v>
      </c>
      <c r="B489" s="24" t="s">
        <v>108</v>
      </c>
      <c r="C489" s="24" t="s">
        <v>329</v>
      </c>
      <c r="D489" s="25">
        <v>326796.86</v>
      </c>
      <c r="E489" s="25">
        <v>3408807.28</v>
      </c>
      <c r="F489" s="25">
        <v>691887.09039999999</v>
      </c>
      <c r="G489" s="26">
        <f t="shared" si="7"/>
        <v>4427491.2303999998</v>
      </c>
      <c r="H489" s="27"/>
      <c r="I489" s="27"/>
      <c r="J489" s="28"/>
      <c r="K489" s="28"/>
      <c r="L489" s="28"/>
      <c r="M489" s="28"/>
      <c r="N489" s="27"/>
      <c r="O489" s="27"/>
      <c r="P489" s="28"/>
      <c r="Q489" s="28"/>
      <c r="R489" s="28"/>
    </row>
    <row r="490" spans="1:18" ht="17.649999999999999">
      <c r="A490" s="23">
        <v>485</v>
      </c>
      <c r="B490" s="24" t="s">
        <v>108</v>
      </c>
      <c r="C490" s="24" t="s">
        <v>331</v>
      </c>
      <c r="D490" s="25">
        <v>537398.49</v>
      </c>
      <c r="E490" s="25">
        <v>5605585.96</v>
      </c>
      <c r="F490" s="25">
        <v>1137768.2104</v>
      </c>
      <c r="G490" s="26">
        <f t="shared" si="7"/>
        <v>7280752.6604000004</v>
      </c>
      <c r="H490" s="27"/>
      <c r="I490" s="27"/>
      <c r="J490" s="28"/>
      <c r="K490" s="28"/>
      <c r="L490" s="28"/>
      <c r="M490" s="28"/>
      <c r="N490" s="27"/>
      <c r="O490" s="27"/>
      <c r="P490" s="28"/>
      <c r="Q490" s="28"/>
      <c r="R490" s="28"/>
    </row>
    <row r="491" spans="1:18" ht="17.649999999999999">
      <c r="A491" s="23">
        <v>486</v>
      </c>
      <c r="B491" s="24" t="s">
        <v>108</v>
      </c>
      <c r="C491" s="24" t="s">
        <v>333</v>
      </c>
      <c r="D491" s="25">
        <v>411882.21</v>
      </c>
      <c r="E491" s="25">
        <v>4296329.7699999996</v>
      </c>
      <c r="F491" s="25">
        <v>872027.91460000002</v>
      </c>
      <c r="G491" s="26">
        <f t="shared" si="7"/>
        <v>5580239.8945999993</v>
      </c>
      <c r="H491" s="27"/>
      <c r="I491" s="27"/>
      <c r="J491" s="28"/>
      <c r="K491" s="28"/>
      <c r="L491" s="28"/>
      <c r="M491" s="28"/>
      <c r="N491" s="27"/>
      <c r="O491" s="27"/>
      <c r="P491" s="28"/>
      <c r="Q491" s="28"/>
      <c r="R491" s="28"/>
    </row>
    <row r="492" spans="1:18" ht="17.649999999999999">
      <c r="A492" s="23">
        <v>487</v>
      </c>
      <c r="B492" s="24" t="s">
        <v>108</v>
      </c>
      <c r="C492" s="24" t="s">
        <v>98</v>
      </c>
      <c r="D492" s="25">
        <v>250827.1</v>
      </c>
      <c r="E492" s="25">
        <v>2616369.25</v>
      </c>
      <c r="F492" s="25">
        <v>531045.60060000001</v>
      </c>
      <c r="G492" s="26">
        <f t="shared" si="7"/>
        <v>3398241.9506000001</v>
      </c>
      <c r="H492" s="27"/>
      <c r="I492" s="27"/>
      <c r="J492" s="28"/>
      <c r="K492" s="28"/>
      <c r="L492" s="28"/>
      <c r="M492" s="28"/>
      <c r="N492" s="27"/>
      <c r="O492" s="27"/>
      <c r="P492" s="28"/>
      <c r="Q492" s="28"/>
      <c r="R492" s="28"/>
    </row>
    <row r="493" spans="1:18" ht="17.649999999999999">
      <c r="A493" s="23">
        <v>488</v>
      </c>
      <c r="B493" s="24" t="s">
        <v>108</v>
      </c>
      <c r="C493" s="24" t="s">
        <v>336</v>
      </c>
      <c r="D493" s="25">
        <v>435211.2</v>
      </c>
      <c r="E493" s="25">
        <v>4539673.7</v>
      </c>
      <c r="F493" s="25">
        <v>921419.53590000002</v>
      </c>
      <c r="G493" s="26">
        <f t="shared" si="7"/>
        <v>5896304.4359000009</v>
      </c>
      <c r="H493" s="27"/>
      <c r="I493" s="27"/>
      <c r="J493" s="28"/>
      <c r="K493" s="28"/>
      <c r="L493" s="28"/>
      <c r="M493" s="28"/>
      <c r="N493" s="27"/>
      <c r="O493" s="27"/>
      <c r="P493" s="28"/>
      <c r="Q493" s="28"/>
      <c r="R493" s="28"/>
    </row>
    <row r="494" spans="1:18" ht="17.649999999999999">
      <c r="A494" s="23">
        <v>489</v>
      </c>
      <c r="B494" s="24" t="s">
        <v>108</v>
      </c>
      <c r="C494" s="24" t="s">
        <v>338</v>
      </c>
      <c r="D494" s="25">
        <v>374058.49</v>
      </c>
      <c r="E494" s="25">
        <v>3901791.81</v>
      </c>
      <c r="F494" s="25">
        <v>791948.37230000005</v>
      </c>
      <c r="G494" s="26">
        <f t="shared" si="7"/>
        <v>5067798.6722999997</v>
      </c>
      <c r="H494" s="27"/>
      <c r="I494" s="27"/>
      <c r="J494" s="28"/>
      <c r="K494" s="28"/>
      <c r="L494" s="28"/>
      <c r="M494" s="28"/>
      <c r="N494" s="27"/>
      <c r="O494" s="27"/>
      <c r="P494" s="28"/>
      <c r="Q494" s="28"/>
      <c r="R494" s="28"/>
    </row>
    <row r="495" spans="1:18" ht="17.649999999999999">
      <c r="A495" s="23">
        <v>490</v>
      </c>
      <c r="B495" s="24" t="s">
        <v>108</v>
      </c>
      <c r="C495" s="24" t="s">
        <v>340</v>
      </c>
      <c r="D495" s="25">
        <v>378089.8</v>
      </c>
      <c r="E495" s="25">
        <v>3943842.27</v>
      </c>
      <c r="F495" s="25">
        <v>800483.37320000003</v>
      </c>
      <c r="G495" s="26">
        <f t="shared" si="7"/>
        <v>5122415.4432000006</v>
      </c>
      <c r="H495" s="27"/>
      <c r="I495" s="27"/>
      <c r="J495" s="28"/>
      <c r="K495" s="28"/>
      <c r="L495" s="28"/>
      <c r="M495" s="28"/>
      <c r="N495" s="27"/>
      <c r="O495" s="27"/>
      <c r="P495" s="28"/>
      <c r="Q495" s="28"/>
      <c r="R495" s="28"/>
    </row>
    <row r="496" spans="1:18" ht="17.649999999999999">
      <c r="A496" s="23">
        <v>491</v>
      </c>
      <c r="B496" s="24" t="s">
        <v>108</v>
      </c>
      <c r="C496" s="24" t="s">
        <v>342</v>
      </c>
      <c r="D496" s="25">
        <v>445850.83</v>
      </c>
      <c r="E496" s="25">
        <v>4650655.3</v>
      </c>
      <c r="F496" s="25">
        <v>943945.52040000004</v>
      </c>
      <c r="G496" s="26">
        <f t="shared" si="7"/>
        <v>6040451.6503999997</v>
      </c>
      <c r="H496" s="27"/>
      <c r="I496" s="27"/>
      <c r="J496" s="28"/>
      <c r="K496" s="28"/>
      <c r="L496" s="28"/>
      <c r="M496" s="28"/>
      <c r="N496" s="27"/>
      <c r="O496" s="27"/>
      <c r="P496" s="28"/>
      <c r="Q496" s="28"/>
      <c r="R496" s="28"/>
    </row>
    <row r="497" spans="1:18" ht="17.649999999999999">
      <c r="A497" s="23">
        <v>492</v>
      </c>
      <c r="B497" s="24" t="s">
        <v>108</v>
      </c>
      <c r="C497" s="24" t="s">
        <v>344</v>
      </c>
      <c r="D497" s="25">
        <v>322320.92</v>
      </c>
      <c r="E497" s="25">
        <v>3362118.88</v>
      </c>
      <c r="F497" s="25">
        <v>682410.72510000004</v>
      </c>
      <c r="G497" s="26">
        <f t="shared" si="7"/>
        <v>4366850.5251000002</v>
      </c>
      <c r="H497" s="27"/>
      <c r="I497" s="27"/>
      <c r="J497" s="28"/>
      <c r="K497" s="28"/>
      <c r="L497" s="28"/>
      <c r="M497" s="28"/>
      <c r="N497" s="27"/>
      <c r="O497" s="27"/>
      <c r="P497" s="28"/>
      <c r="Q497" s="28"/>
      <c r="R497" s="28"/>
    </row>
    <row r="498" spans="1:18" ht="17.649999999999999">
      <c r="A498" s="23">
        <v>493</v>
      </c>
      <c r="B498" s="24" t="s">
        <v>108</v>
      </c>
      <c r="C498" s="24" t="s">
        <v>346</v>
      </c>
      <c r="D498" s="25">
        <v>428631.09</v>
      </c>
      <c r="E498" s="25">
        <v>4471036.75</v>
      </c>
      <c r="F498" s="25">
        <v>907488.26439999999</v>
      </c>
      <c r="G498" s="26">
        <f t="shared" si="7"/>
        <v>5807156.1043999996</v>
      </c>
      <c r="H498" s="27"/>
      <c r="I498" s="27"/>
      <c r="J498" s="28"/>
      <c r="K498" s="28"/>
      <c r="L498" s="28"/>
      <c r="M498" s="28"/>
      <c r="N498" s="27"/>
      <c r="O498" s="27"/>
      <c r="P498" s="28"/>
      <c r="Q498" s="28"/>
      <c r="R498" s="28"/>
    </row>
    <row r="499" spans="1:18" ht="17.649999999999999">
      <c r="A499" s="23">
        <v>494</v>
      </c>
      <c r="B499" s="24" t="s">
        <v>108</v>
      </c>
      <c r="C499" s="24" t="s">
        <v>348</v>
      </c>
      <c r="D499" s="25">
        <v>339788.45</v>
      </c>
      <c r="E499" s="25">
        <v>3544322.07</v>
      </c>
      <c r="F499" s="25">
        <v>719392.58550000004</v>
      </c>
      <c r="G499" s="26">
        <f t="shared" si="7"/>
        <v>4603503.1054999996</v>
      </c>
      <c r="H499" s="27"/>
      <c r="I499" s="27"/>
      <c r="J499" s="28"/>
      <c r="K499" s="28"/>
      <c r="L499" s="28"/>
      <c r="M499" s="28"/>
      <c r="N499" s="27"/>
      <c r="O499" s="27"/>
      <c r="P499" s="28"/>
      <c r="Q499" s="28"/>
      <c r="R499" s="28"/>
    </row>
    <row r="500" spans="1:18" ht="17.649999999999999">
      <c r="A500" s="23">
        <v>495</v>
      </c>
      <c r="B500" s="24" t="s">
        <v>108</v>
      </c>
      <c r="C500" s="24" t="s">
        <v>350</v>
      </c>
      <c r="D500" s="25">
        <v>301811.25</v>
      </c>
      <c r="E500" s="25">
        <v>3148183.21</v>
      </c>
      <c r="F500" s="25">
        <v>638988.11</v>
      </c>
      <c r="G500" s="26">
        <f t="shared" si="7"/>
        <v>4088982.57</v>
      </c>
      <c r="H500" s="27"/>
      <c r="I500" s="27"/>
      <c r="J500" s="28"/>
      <c r="K500" s="28"/>
      <c r="L500" s="28"/>
      <c r="M500" s="28"/>
      <c r="N500" s="27"/>
      <c r="O500" s="27"/>
      <c r="P500" s="28"/>
      <c r="Q500" s="28"/>
      <c r="R500" s="28"/>
    </row>
    <row r="501" spans="1:18" ht="17.649999999999999">
      <c r="A501" s="23">
        <v>496</v>
      </c>
      <c r="B501" s="24" t="s">
        <v>108</v>
      </c>
      <c r="C501" s="24" t="s">
        <v>352</v>
      </c>
      <c r="D501" s="25">
        <v>252530.55</v>
      </c>
      <c r="E501" s="25">
        <v>2634137.89</v>
      </c>
      <c r="F501" s="25">
        <v>534652.10809999995</v>
      </c>
      <c r="G501" s="26">
        <f t="shared" si="7"/>
        <v>3421320.5480999998</v>
      </c>
      <c r="H501" s="27"/>
      <c r="I501" s="27"/>
      <c r="J501" s="28"/>
      <c r="K501" s="28"/>
      <c r="L501" s="28"/>
      <c r="M501" s="28"/>
      <c r="N501" s="27"/>
      <c r="O501" s="27"/>
      <c r="P501" s="28"/>
      <c r="Q501" s="28"/>
      <c r="R501" s="28"/>
    </row>
    <row r="502" spans="1:18" ht="17.649999999999999">
      <c r="A502" s="23">
        <v>497</v>
      </c>
      <c r="B502" s="24" t="s">
        <v>108</v>
      </c>
      <c r="C502" s="24" t="s">
        <v>354</v>
      </c>
      <c r="D502" s="25">
        <v>251459.7</v>
      </c>
      <c r="E502" s="25">
        <v>2622967.88</v>
      </c>
      <c r="F502" s="25">
        <v>532384.92590000003</v>
      </c>
      <c r="G502" s="26">
        <f t="shared" si="7"/>
        <v>3406812.5059000002</v>
      </c>
      <c r="H502" s="27"/>
      <c r="I502" s="27"/>
      <c r="J502" s="28"/>
      <c r="K502" s="28"/>
      <c r="L502" s="28"/>
      <c r="M502" s="28"/>
      <c r="N502" s="27"/>
      <c r="O502" s="27"/>
      <c r="P502" s="28"/>
      <c r="Q502" s="28"/>
      <c r="R502" s="28"/>
    </row>
    <row r="503" spans="1:18" ht="17.649999999999999">
      <c r="A503" s="23">
        <v>498</v>
      </c>
      <c r="B503" s="24" t="s">
        <v>108</v>
      </c>
      <c r="C503" s="24" t="s">
        <v>356</v>
      </c>
      <c r="D503" s="25">
        <v>287125.15000000002</v>
      </c>
      <c r="E503" s="25">
        <v>2994992.97</v>
      </c>
      <c r="F503" s="25">
        <v>607895.01969999995</v>
      </c>
      <c r="G503" s="26">
        <f t="shared" si="7"/>
        <v>3890013.1397000002</v>
      </c>
      <c r="H503" s="27"/>
      <c r="I503" s="27"/>
      <c r="J503" s="28"/>
      <c r="K503" s="28"/>
      <c r="L503" s="28"/>
      <c r="M503" s="28"/>
      <c r="N503" s="27"/>
      <c r="O503" s="27"/>
      <c r="P503" s="28"/>
      <c r="Q503" s="28"/>
      <c r="R503" s="28"/>
    </row>
    <row r="504" spans="1:18" ht="17.649999999999999">
      <c r="A504" s="23">
        <v>499</v>
      </c>
      <c r="B504" s="24" t="s">
        <v>108</v>
      </c>
      <c r="C504" s="24" t="s">
        <v>358</v>
      </c>
      <c r="D504" s="25">
        <v>347520.79</v>
      </c>
      <c r="E504" s="25">
        <v>3624977.88</v>
      </c>
      <c r="F504" s="25">
        <v>735763.3297</v>
      </c>
      <c r="G504" s="26">
        <f t="shared" si="7"/>
        <v>4708261.9996999996</v>
      </c>
      <c r="H504" s="27"/>
      <c r="I504" s="27"/>
      <c r="J504" s="28"/>
      <c r="K504" s="28"/>
      <c r="L504" s="28"/>
      <c r="M504" s="28"/>
      <c r="N504" s="27"/>
      <c r="O504" s="27"/>
      <c r="P504" s="28"/>
      <c r="Q504" s="28"/>
      <c r="R504" s="28"/>
    </row>
    <row r="505" spans="1:18" ht="17.649999999999999">
      <c r="A505" s="23">
        <v>500</v>
      </c>
      <c r="B505" s="24" t="s">
        <v>109</v>
      </c>
      <c r="C505" s="24" t="s">
        <v>363</v>
      </c>
      <c r="D505" s="25">
        <v>487680.22</v>
      </c>
      <c r="E505" s="25">
        <v>5086976.3099999996</v>
      </c>
      <c r="F505" s="25">
        <v>1032505.7845</v>
      </c>
      <c r="G505" s="26">
        <f t="shared" si="7"/>
        <v>6607162.3144999994</v>
      </c>
      <c r="H505" s="27"/>
      <c r="I505" s="27"/>
      <c r="J505" s="28"/>
      <c r="K505" s="28"/>
      <c r="L505" s="28"/>
      <c r="M505" s="28"/>
      <c r="N505" s="27"/>
      <c r="O505" s="27"/>
      <c r="P505" s="28"/>
      <c r="Q505" s="28"/>
      <c r="R505" s="28"/>
    </row>
    <row r="506" spans="1:18" ht="35.25">
      <c r="A506" s="23">
        <v>501</v>
      </c>
      <c r="B506" s="24" t="s">
        <v>109</v>
      </c>
      <c r="C506" s="24" t="s">
        <v>365</v>
      </c>
      <c r="D506" s="25">
        <v>626848.47</v>
      </c>
      <c r="E506" s="25">
        <v>6538635.71</v>
      </c>
      <c r="F506" s="25">
        <v>1327149.7208</v>
      </c>
      <c r="G506" s="26">
        <f t="shared" si="7"/>
        <v>8492633.900799999</v>
      </c>
      <c r="H506" s="27"/>
      <c r="I506" s="27"/>
      <c r="J506" s="28"/>
      <c r="K506" s="28"/>
      <c r="L506" s="28"/>
      <c r="M506" s="28"/>
      <c r="N506" s="27"/>
      <c r="O506" s="27"/>
      <c r="P506" s="28"/>
      <c r="Q506" s="28"/>
      <c r="R506" s="28"/>
    </row>
    <row r="507" spans="1:18" ht="17.649999999999999">
      <c r="A507" s="23">
        <v>502</v>
      </c>
      <c r="B507" s="24" t="s">
        <v>109</v>
      </c>
      <c r="C507" s="24" t="s">
        <v>367</v>
      </c>
      <c r="D507" s="25">
        <v>1010912.69</v>
      </c>
      <c r="E507" s="25">
        <v>10544796.970000001</v>
      </c>
      <c r="F507" s="25">
        <v>2140282.0066</v>
      </c>
      <c r="G507" s="26">
        <f t="shared" si="7"/>
        <v>13695991.6666</v>
      </c>
      <c r="H507" s="27"/>
      <c r="I507" s="27"/>
      <c r="J507" s="28"/>
      <c r="K507" s="28"/>
      <c r="L507" s="28"/>
      <c r="M507" s="28"/>
      <c r="N507" s="27"/>
      <c r="O507" s="27"/>
      <c r="P507" s="28"/>
      <c r="Q507" s="28"/>
      <c r="R507" s="28"/>
    </row>
    <row r="508" spans="1:18" ht="17.649999999999999">
      <c r="A508" s="23">
        <v>503</v>
      </c>
      <c r="B508" s="24" t="s">
        <v>109</v>
      </c>
      <c r="C508" s="24" t="s">
        <v>369</v>
      </c>
      <c r="D508" s="25">
        <v>395108.66</v>
      </c>
      <c r="E508" s="25">
        <v>4121365.42</v>
      </c>
      <c r="F508" s="25">
        <v>836515.32290000003</v>
      </c>
      <c r="G508" s="26">
        <f t="shared" si="7"/>
        <v>5352989.4029000001</v>
      </c>
      <c r="H508" s="27"/>
      <c r="I508" s="27"/>
      <c r="J508" s="28"/>
      <c r="K508" s="28"/>
      <c r="L508" s="28"/>
      <c r="M508" s="28"/>
      <c r="N508" s="27"/>
      <c r="O508" s="27"/>
      <c r="P508" s="28"/>
      <c r="Q508" s="28"/>
      <c r="R508" s="28"/>
    </row>
    <row r="509" spans="1:18" ht="17.649999999999999">
      <c r="A509" s="23">
        <v>504</v>
      </c>
      <c r="B509" s="24" t="s">
        <v>109</v>
      </c>
      <c r="C509" s="24" t="s">
        <v>371</v>
      </c>
      <c r="D509" s="25">
        <v>332186.05</v>
      </c>
      <c r="E509" s="25">
        <v>3465021.76</v>
      </c>
      <c r="F509" s="25">
        <v>703296.96649999998</v>
      </c>
      <c r="G509" s="26">
        <f t="shared" si="7"/>
        <v>4500504.7764999997</v>
      </c>
      <c r="H509" s="27"/>
      <c r="I509" s="27"/>
      <c r="J509" s="28"/>
      <c r="K509" s="28"/>
      <c r="L509" s="28"/>
      <c r="M509" s="28"/>
      <c r="N509" s="27"/>
      <c r="O509" s="27"/>
      <c r="P509" s="28"/>
      <c r="Q509" s="28"/>
      <c r="R509" s="28"/>
    </row>
    <row r="510" spans="1:18" ht="17.649999999999999">
      <c r="A510" s="23">
        <v>505</v>
      </c>
      <c r="B510" s="24" t="s">
        <v>109</v>
      </c>
      <c r="C510" s="24" t="s">
        <v>373</v>
      </c>
      <c r="D510" s="25">
        <v>371371.75</v>
      </c>
      <c r="E510" s="25">
        <v>3873766.49</v>
      </c>
      <c r="F510" s="25">
        <v>786260.06149999995</v>
      </c>
      <c r="G510" s="26">
        <f t="shared" si="7"/>
        <v>5031398.3015000001</v>
      </c>
      <c r="H510" s="27"/>
      <c r="I510" s="27"/>
      <c r="J510" s="28"/>
      <c r="K510" s="28"/>
      <c r="L510" s="28"/>
      <c r="M510" s="28"/>
      <c r="N510" s="27"/>
      <c r="O510" s="27"/>
      <c r="P510" s="28"/>
      <c r="Q510" s="28"/>
      <c r="R510" s="28"/>
    </row>
    <row r="511" spans="1:18" ht="17.649999999999999">
      <c r="A511" s="23">
        <v>506</v>
      </c>
      <c r="B511" s="24" t="s">
        <v>109</v>
      </c>
      <c r="C511" s="24" t="s">
        <v>375</v>
      </c>
      <c r="D511" s="25">
        <v>340976</v>
      </c>
      <c r="E511" s="25">
        <v>3556709.46</v>
      </c>
      <c r="F511" s="25">
        <v>721906.85950000002</v>
      </c>
      <c r="G511" s="26">
        <f t="shared" si="7"/>
        <v>4619592.3195000002</v>
      </c>
      <c r="H511" s="27"/>
      <c r="I511" s="27"/>
      <c r="J511" s="28"/>
      <c r="K511" s="28"/>
      <c r="L511" s="28"/>
      <c r="M511" s="28"/>
      <c r="N511" s="27"/>
      <c r="O511" s="27"/>
      <c r="P511" s="28"/>
      <c r="Q511" s="28"/>
      <c r="R511" s="28"/>
    </row>
    <row r="512" spans="1:18" ht="17.649999999999999">
      <c r="A512" s="23">
        <v>507</v>
      </c>
      <c r="B512" s="24" t="s">
        <v>109</v>
      </c>
      <c r="C512" s="24" t="s">
        <v>377</v>
      </c>
      <c r="D512" s="25">
        <v>411351.28</v>
      </c>
      <c r="E512" s="25">
        <v>4290791.59</v>
      </c>
      <c r="F512" s="25">
        <v>870903.82609999995</v>
      </c>
      <c r="G512" s="26">
        <f t="shared" si="7"/>
        <v>5573046.6961000003</v>
      </c>
      <c r="H512" s="27"/>
      <c r="I512" s="27"/>
      <c r="J512" s="28"/>
      <c r="K512" s="28"/>
      <c r="L512" s="28"/>
      <c r="M512" s="28"/>
      <c r="N512" s="27"/>
      <c r="O512" s="27"/>
      <c r="P512" s="28"/>
      <c r="Q512" s="28"/>
      <c r="R512" s="28"/>
    </row>
    <row r="513" spans="1:18" ht="17.649999999999999">
      <c r="A513" s="23">
        <v>508</v>
      </c>
      <c r="B513" s="24" t="s">
        <v>109</v>
      </c>
      <c r="C513" s="24" t="s">
        <v>380</v>
      </c>
      <c r="D513" s="25">
        <v>274674.28999999998</v>
      </c>
      <c r="E513" s="25">
        <v>2865118.47</v>
      </c>
      <c r="F513" s="25">
        <v>581534.33620000002</v>
      </c>
      <c r="G513" s="26">
        <f t="shared" si="7"/>
        <v>3721327.0962000005</v>
      </c>
      <c r="H513" s="27"/>
      <c r="I513" s="27"/>
      <c r="J513" s="28"/>
      <c r="K513" s="28"/>
      <c r="L513" s="28"/>
      <c r="M513" s="28"/>
      <c r="N513" s="27"/>
      <c r="O513" s="27"/>
      <c r="P513" s="28"/>
      <c r="Q513" s="28"/>
      <c r="R513" s="28"/>
    </row>
    <row r="514" spans="1:18" ht="17.649999999999999">
      <c r="A514" s="23">
        <v>509</v>
      </c>
      <c r="B514" s="24" t="s">
        <v>109</v>
      </c>
      <c r="C514" s="24" t="s">
        <v>382</v>
      </c>
      <c r="D514" s="25">
        <v>468347.32</v>
      </c>
      <c r="E514" s="25">
        <v>4885315.46</v>
      </c>
      <c r="F514" s="25">
        <v>991574.59349999996</v>
      </c>
      <c r="G514" s="26">
        <f t="shared" si="7"/>
        <v>6345237.3735000007</v>
      </c>
      <c r="H514" s="27"/>
      <c r="I514" s="27"/>
      <c r="J514" s="28"/>
      <c r="K514" s="28"/>
      <c r="L514" s="28"/>
      <c r="M514" s="28"/>
      <c r="N514" s="27"/>
      <c r="O514" s="27"/>
      <c r="P514" s="28"/>
      <c r="Q514" s="28"/>
      <c r="R514" s="28"/>
    </row>
    <row r="515" spans="1:18" ht="17.649999999999999">
      <c r="A515" s="23">
        <v>510</v>
      </c>
      <c r="B515" s="24" t="s">
        <v>109</v>
      </c>
      <c r="C515" s="24" t="s">
        <v>384</v>
      </c>
      <c r="D515" s="25">
        <v>404863.09</v>
      </c>
      <c r="E515" s="25">
        <v>4223113.54</v>
      </c>
      <c r="F515" s="25">
        <v>857167.18299999996</v>
      </c>
      <c r="G515" s="26">
        <f t="shared" si="7"/>
        <v>5485143.8130000001</v>
      </c>
      <c r="H515" s="27"/>
      <c r="I515" s="27"/>
      <c r="J515" s="28"/>
      <c r="K515" s="28"/>
      <c r="L515" s="28"/>
      <c r="M515" s="28"/>
      <c r="N515" s="27"/>
      <c r="O515" s="27"/>
      <c r="P515" s="28"/>
      <c r="Q515" s="28"/>
      <c r="R515" s="28"/>
    </row>
    <row r="516" spans="1:18" ht="17.649999999999999">
      <c r="A516" s="23">
        <v>511</v>
      </c>
      <c r="B516" s="24" t="s">
        <v>109</v>
      </c>
      <c r="C516" s="24" t="s">
        <v>386</v>
      </c>
      <c r="D516" s="25">
        <v>556666.67000000004</v>
      </c>
      <c r="E516" s="25">
        <v>5806571.6500000004</v>
      </c>
      <c r="F516" s="25">
        <v>1178562.3618000001</v>
      </c>
      <c r="G516" s="26">
        <f t="shared" si="7"/>
        <v>7541800.6818000004</v>
      </c>
      <c r="H516" s="27"/>
      <c r="I516" s="27"/>
      <c r="J516" s="28"/>
      <c r="K516" s="28"/>
      <c r="L516" s="28"/>
      <c r="M516" s="28"/>
      <c r="N516" s="27"/>
      <c r="O516" s="27"/>
      <c r="P516" s="28"/>
      <c r="Q516" s="28"/>
      <c r="R516" s="28"/>
    </row>
    <row r="517" spans="1:18" ht="17.649999999999999">
      <c r="A517" s="23">
        <v>512</v>
      </c>
      <c r="B517" s="24" t="s">
        <v>109</v>
      </c>
      <c r="C517" s="24" t="s">
        <v>388</v>
      </c>
      <c r="D517" s="25">
        <v>602277.37</v>
      </c>
      <c r="E517" s="25">
        <v>6282335.3300000001</v>
      </c>
      <c r="F517" s="25">
        <v>1275128.3230999999</v>
      </c>
      <c r="G517" s="26">
        <f t="shared" si="7"/>
        <v>8159741.0230999999</v>
      </c>
      <c r="H517" s="27"/>
      <c r="I517" s="27"/>
      <c r="J517" s="28"/>
      <c r="K517" s="28"/>
      <c r="L517" s="28"/>
      <c r="M517" s="28"/>
      <c r="N517" s="27"/>
      <c r="O517" s="27"/>
      <c r="P517" s="28"/>
      <c r="Q517" s="28"/>
      <c r="R517" s="28"/>
    </row>
    <row r="518" spans="1:18" ht="17.649999999999999">
      <c r="A518" s="23">
        <v>513</v>
      </c>
      <c r="B518" s="24" t="s">
        <v>109</v>
      </c>
      <c r="C518" s="24" t="s">
        <v>390</v>
      </c>
      <c r="D518" s="25">
        <v>324215.21999999997</v>
      </c>
      <c r="E518" s="25">
        <v>3381878.25</v>
      </c>
      <c r="F518" s="25">
        <v>686421.29229999997</v>
      </c>
      <c r="G518" s="26">
        <f t="shared" ref="G518:G581" si="8">D518+E518+F518</f>
        <v>4392514.7622999996</v>
      </c>
      <c r="H518" s="27"/>
      <c r="I518" s="27"/>
      <c r="J518" s="28"/>
      <c r="K518" s="28"/>
      <c r="L518" s="28"/>
      <c r="M518" s="28"/>
      <c r="N518" s="27"/>
      <c r="O518" s="27"/>
      <c r="P518" s="28"/>
      <c r="Q518" s="28"/>
      <c r="R518" s="28"/>
    </row>
    <row r="519" spans="1:18" ht="35.25">
      <c r="A519" s="23">
        <v>514</v>
      </c>
      <c r="B519" s="24" t="s">
        <v>109</v>
      </c>
      <c r="C519" s="24" t="s">
        <v>392</v>
      </c>
      <c r="D519" s="25">
        <v>391217.73</v>
      </c>
      <c r="E519" s="25">
        <v>4080779.24</v>
      </c>
      <c r="F519" s="25">
        <v>828277.52989999996</v>
      </c>
      <c r="G519" s="26">
        <f t="shared" si="8"/>
        <v>5300274.4999000002</v>
      </c>
      <c r="H519" s="27"/>
      <c r="I519" s="27"/>
      <c r="J519" s="28"/>
      <c r="K519" s="28"/>
      <c r="L519" s="28"/>
      <c r="M519" s="28"/>
      <c r="N519" s="27"/>
      <c r="O519" s="27"/>
      <c r="P519" s="28"/>
      <c r="Q519" s="28"/>
      <c r="R519" s="28"/>
    </row>
    <row r="520" spans="1:18" ht="17.649999999999999">
      <c r="A520" s="23">
        <v>515</v>
      </c>
      <c r="B520" s="24" t="s">
        <v>109</v>
      </c>
      <c r="C520" s="24" t="s">
        <v>394</v>
      </c>
      <c r="D520" s="25">
        <v>585682.32999999996</v>
      </c>
      <c r="E520" s="25">
        <v>6109233.1100000003</v>
      </c>
      <c r="F520" s="25">
        <v>1239993.6906000001</v>
      </c>
      <c r="G520" s="26">
        <f t="shared" si="8"/>
        <v>7934909.1306000007</v>
      </c>
      <c r="H520" s="27"/>
      <c r="I520" s="27"/>
      <c r="J520" s="28"/>
      <c r="K520" s="28"/>
      <c r="L520" s="28"/>
      <c r="M520" s="28"/>
      <c r="N520" s="27"/>
      <c r="O520" s="27"/>
      <c r="P520" s="28"/>
      <c r="Q520" s="28"/>
      <c r="R520" s="28"/>
    </row>
    <row r="521" spans="1:18" ht="17.649999999999999">
      <c r="A521" s="23">
        <v>516</v>
      </c>
      <c r="B521" s="24" t="s">
        <v>109</v>
      </c>
      <c r="C521" s="24" t="s">
        <v>396</v>
      </c>
      <c r="D521" s="25">
        <v>568298.69999999995</v>
      </c>
      <c r="E521" s="25">
        <v>5927904.9900000002</v>
      </c>
      <c r="F521" s="25">
        <v>1203189.4428000001</v>
      </c>
      <c r="G521" s="26">
        <f t="shared" si="8"/>
        <v>7699393.1328000007</v>
      </c>
      <c r="H521" s="27"/>
      <c r="I521" s="27"/>
      <c r="J521" s="28"/>
      <c r="K521" s="28"/>
      <c r="L521" s="28"/>
      <c r="M521" s="28"/>
      <c r="N521" s="27"/>
      <c r="O521" s="27"/>
      <c r="P521" s="28"/>
      <c r="Q521" s="28"/>
      <c r="R521" s="28"/>
    </row>
    <row r="522" spans="1:18" ht="17.649999999999999">
      <c r="A522" s="23">
        <v>517</v>
      </c>
      <c r="B522" s="24" t="s">
        <v>109</v>
      </c>
      <c r="C522" s="24" t="s">
        <v>398</v>
      </c>
      <c r="D522" s="25">
        <v>580280.5</v>
      </c>
      <c r="E522" s="25">
        <v>6052886.7400000002</v>
      </c>
      <c r="F522" s="25">
        <v>1228557.0416999999</v>
      </c>
      <c r="G522" s="26">
        <f t="shared" si="8"/>
        <v>7861724.2817000002</v>
      </c>
      <c r="H522" s="27"/>
      <c r="I522" s="27"/>
      <c r="J522" s="28"/>
      <c r="K522" s="28"/>
      <c r="L522" s="28"/>
      <c r="M522" s="28"/>
      <c r="N522" s="27"/>
      <c r="O522" s="27"/>
      <c r="P522" s="28"/>
      <c r="Q522" s="28"/>
      <c r="R522" s="28"/>
    </row>
    <row r="523" spans="1:18" ht="17.649999999999999">
      <c r="A523" s="23">
        <v>518</v>
      </c>
      <c r="B523" s="24" t="s">
        <v>109</v>
      </c>
      <c r="C523" s="24" t="s">
        <v>400</v>
      </c>
      <c r="D523" s="25">
        <v>448792.71</v>
      </c>
      <c r="E523" s="25">
        <v>4681341.92</v>
      </c>
      <c r="F523" s="25">
        <v>950173.99600000004</v>
      </c>
      <c r="G523" s="26">
        <f t="shared" si="8"/>
        <v>6080308.6260000002</v>
      </c>
      <c r="H523" s="27"/>
      <c r="I523" s="27"/>
      <c r="J523" s="28"/>
      <c r="K523" s="28"/>
      <c r="L523" s="28"/>
      <c r="M523" s="28"/>
      <c r="N523" s="27"/>
      <c r="O523" s="27"/>
      <c r="P523" s="28"/>
      <c r="Q523" s="28"/>
      <c r="R523" s="28"/>
    </row>
    <row r="524" spans="1:18" ht="17.649999999999999">
      <c r="A524" s="23">
        <v>519</v>
      </c>
      <c r="B524" s="24" t="s">
        <v>109</v>
      </c>
      <c r="C524" s="24" t="s">
        <v>402</v>
      </c>
      <c r="D524" s="25">
        <v>513361.75</v>
      </c>
      <c r="E524" s="25">
        <v>5354859.4800000004</v>
      </c>
      <c r="F524" s="25">
        <v>1086878.1483</v>
      </c>
      <c r="G524" s="26">
        <f t="shared" si="8"/>
        <v>6955099.3783</v>
      </c>
      <c r="H524" s="27"/>
      <c r="I524" s="27"/>
      <c r="J524" s="28"/>
      <c r="K524" s="28"/>
      <c r="L524" s="28"/>
      <c r="M524" s="28"/>
      <c r="N524" s="27"/>
      <c r="O524" s="27"/>
      <c r="P524" s="28"/>
      <c r="Q524" s="28"/>
      <c r="R524" s="28"/>
    </row>
    <row r="525" spans="1:18" ht="35.25">
      <c r="A525" s="23">
        <v>520</v>
      </c>
      <c r="B525" s="24" t="s">
        <v>110</v>
      </c>
      <c r="C525" s="24" t="s">
        <v>406</v>
      </c>
      <c r="D525" s="25">
        <v>335893.26</v>
      </c>
      <c r="E525" s="25">
        <v>3503691.48</v>
      </c>
      <c r="F525" s="25">
        <v>711145.77590000001</v>
      </c>
      <c r="G525" s="26">
        <f t="shared" si="8"/>
        <v>4550730.5159</v>
      </c>
      <c r="H525" s="27"/>
      <c r="I525" s="27"/>
      <c r="J525" s="28"/>
      <c r="K525" s="28"/>
      <c r="L525" s="28"/>
      <c r="M525" s="28"/>
      <c r="N525" s="27"/>
      <c r="O525" s="27"/>
      <c r="P525" s="28"/>
      <c r="Q525" s="28"/>
      <c r="R525" s="28"/>
    </row>
    <row r="526" spans="1:18" ht="35.25">
      <c r="A526" s="23">
        <v>521</v>
      </c>
      <c r="B526" s="24" t="s">
        <v>110</v>
      </c>
      <c r="C526" s="24" t="s">
        <v>408</v>
      </c>
      <c r="D526" s="25">
        <v>378612.35</v>
      </c>
      <c r="E526" s="25">
        <v>3949292.92</v>
      </c>
      <c r="F526" s="25">
        <v>801589.69400000002</v>
      </c>
      <c r="G526" s="26">
        <f t="shared" si="8"/>
        <v>5129494.9639999997</v>
      </c>
      <c r="H526" s="27"/>
      <c r="I526" s="27"/>
      <c r="J526" s="28"/>
      <c r="K526" s="28"/>
      <c r="L526" s="28"/>
      <c r="M526" s="28"/>
      <c r="N526" s="27"/>
      <c r="O526" s="27"/>
      <c r="P526" s="28"/>
      <c r="Q526" s="28"/>
      <c r="R526" s="28"/>
    </row>
    <row r="527" spans="1:18" ht="35.25">
      <c r="A527" s="23">
        <v>522</v>
      </c>
      <c r="B527" s="24" t="s">
        <v>110</v>
      </c>
      <c r="C527" s="24" t="s">
        <v>410</v>
      </c>
      <c r="D527" s="25">
        <v>387665.44</v>
      </c>
      <c r="E527" s="25">
        <v>4043725.37</v>
      </c>
      <c r="F527" s="25">
        <v>820756.68980000005</v>
      </c>
      <c r="G527" s="26">
        <f t="shared" si="8"/>
        <v>5252147.4998000003</v>
      </c>
      <c r="H527" s="27"/>
      <c r="I527" s="27"/>
      <c r="J527" s="28"/>
      <c r="K527" s="28"/>
      <c r="L527" s="28"/>
      <c r="M527" s="28"/>
      <c r="N527" s="27"/>
      <c r="O527" s="27"/>
      <c r="P527" s="28"/>
      <c r="Q527" s="28"/>
      <c r="R527" s="28"/>
    </row>
    <row r="528" spans="1:18" ht="35.25">
      <c r="A528" s="23">
        <v>523</v>
      </c>
      <c r="B528" s="24" t="s">
        <v>110</v>
      </c>
      <c r="C528" s="24" t="s">
        <v>412</v>
      </c>
      <c r="D528" s="25">
        <v>457392.38</v>
      </c>
      <c r="E528" s="25">
        <v>4771044.88</v>
      </c>
      <c r="F528" s="25">
        <v>968381.04550000001</v>
      </c>
      <c r="G528" s="26">
        <f t="shared" si="8"/>
        <v>6196818.3054999998</v>
      </c>
      <c r="H528" s="27"/>
      <c r="I528" s="27"/>
      <c r="J528" s="28"/>
      <c r="K528" s="28"/>
      <c r="L528" s="28"/>
      <c r="M528" s="28"/>
      <c r="N528" s="27"/>
      <c r="O528" s="27"/>
      <c r="P528" s="28"/>
      <c r="Q528" s="28"/>
      <c r="R528" s="28"/>
    </row>
    <row r="529" spans="1:18" ht="35.25">
      <c r="A529" s="23">
        <v>524</v>
      </c>
      <c r="B529" s="24" t="s">
        <v>110</v>
      </c>
      <c r="C529" s="24" t="s">
        <v>414</v>
      </c>
      <c r="D529" s="25">
        <v>326597.84999999998</v>
      </c>
      <c r="E529" s="25">
        <v>3406731.36</v>
      </c>
      <c r="F529" s="25">
        <v>691465.74010000005</v>
      </c>
      <c r="G529" s="26">
        <f t="shared" si="8"/>
        <v>4424794.9501</v>
      </c>
      <c r="H529" s="27"/>
      <c r="I529" s="27"/>
      <c r="J529" s="28"/>
      <c r="K529" s="28"/>
      <c r="L529" s="28"/>
      <c r="M529" s="28"/>
      <c r="N529" s="27"/>
      <c r="O529" s="27"/>
      <c r="P529" s="28"/>
      <c r="Q529" s="28"/>
      <c r="R529" s="28"/>
    </row>
    <row r="530" spans="1:18" ht="35.25">
      <c r="A530" s="23">
        <v>525</v>
      </c>
      <c r="B530" s="24" t="s">
        <v>110</v>
      </c>
      <c r="C530" s="24" t="s">
        <v>416</v>
      </c>
      <c r="D530" s="25">
        <v>307111.15999999997</v>
      </c>
      <c r="E530" s="25">
        <v>3203466.39</v>
      </c>
      <c r="F530" s="25">
        <v>650208.96</v>
      </c>
      <c r="G530" s="26">
        <f t="shared" si="8"/>
        <v>4160786.5100000002</v>
      </c>
      <c r="H530" s="27"/>
      <c r="I530" s="27"/>
      <c r="J530" s="28"/>
      <c r="K530" s="28"/>
      <c r="L530" s="28"/>
      <c r="M530" s="28"/>
      <c r="N530" s="27"/>
      <c r="O530" s="27"/>
      <c r="P530" s="28"/>
      <c r="Q530" s="28"/>
      <c r="R530" s="28"/>
    </row>
    <row r="531" spans="1:18" ht="35.25">
      <c r="A531" s="23">
        <v>526</v>
      </c>
      <c r="B531" s="24" t="s">
        <v>110</v>
      </c>
      <c r="C531" s="24" t="s">
        <v>418</v>
      </c>
      <c r="D531" s="25">
        <v>350902.09</v>
      </c>
      <c r="E531" s="25">
        <v>3660248.08</v>
      </c>
      <c r="F531" s="25">
        <v>742922.13690000004</v>
      </c>
      <c r="G531" s="26">
        <f t="shared" si="8"/>
        <v>4754072.3069000002</v>
      </c>
      <c r="H531" s="27"/>
      <c r="I531" s="27"/>
      <c r="J531" s="28"/>
      <c r="K531" s="28"/>
      <c r="L531" s="28"/>
      <c r="M531" s="28"/>
      <c r="N531" s="27"/>
      <c r="O531" s="27"/>
      <c r="P531" s="28"/>
      <c r="Q531" s="28"/>
      <c r="R531" s="28"/>
    </row>
    <row r="532" spans="1:18" ht="35.25">
      <c r="A532" s="23">
        <v>527</v>
      </c>
      <c r="B532" s="24" t="s">
        <v>110</v>
      </c>
      <c r="C532" s="24" t="s">
        <v>420</v>
      </c>
      <c r="D532" s="25">
        <v>549077.15</v>
      </c>
      <c r="E532" s="25">
        <v>5727405.5899999999</v>
      </c>
      <c r="F532" s="25">
        <v>1162493.9935999999</v>
      </c>
      <c r="G532" s="26">
        <f t="shared" si="8"/>
        <v>7438976.7335999999</v>
      </c>
      <c r="H532" s="27"/>
      <c r="I532" s="27"/>
      <c r="J532" s="28"/>
      <c r="K532" s="28"/>
      <c r="L532" s="28"/>
      <c r="M532" s="28"/>
      <c r="N532" s="27"/>
      <c r="O532" s="27"/>
      <c r="P532" s="28"/>
      <c r="Q532" s="28"/>
      <c r="R532" s="28"/>
    </row>
    <row r="533" spans="1:18" ht="35.25">
      <c r="A533" s="23">
        <v>528</v>
      </c>
      <c r="B533" s="24" t="s">
        <v>110</v>
      </c>
      <c r="C533" s="24" t="s">
        <v>422</v>
      </c>
      <c r="D533" s="25">
        <v>508854.25</v>
      </c>
      <c r="E533" s="25">
        <v>5307841.91</v>
      </c>
      <c r="F533" s="25">
        <v>1077334.9715</v>
      </c>
      <c r="G533" s="26">
        <f t="shared" si="8"/>
        <v>6894031.1315000001</v>
      </c>
      <c r="H533" s="27"/>
      <c r="I533" s="27"/>
      <c r="J533" s="28"/>
      <c r="K533" s="28"/>
      <c r="L533" s="28"/>
      <c r="M533" s="28"/>
      <c r="N533" s="27"/>
      <c r="O533" s="27"/>
      <c r="P533" s="28"/>
      <c r="Q533" s="28"/>
      <c r="R533" s="28"/>
    </row>
    <row r="534" spans="1:18" ht="35.25">
      <c r="A534" s="23">
        <v>529</v>
      </c>
      <c r="B534" s="24" t="s">
        <v>110</v>
      </c>
      <c r="C534" s="24" t="s">
        <v>424</v>
      </c>
      <c r="D534" s="25">
        <v>389265.76</v>
      </c>
      <c r="E534" s="25">
        <v>4060418.25</v>
      </c>
      <c r="F534" s="25">
        <v>824144.85069999995</v>
      </c>
      <c r="G534" s="26">
        <f t="shared" si="8"/>
        <v>5273828.8607000001</v>
      </c>
      <c r="H534" s="27"/>
      <c r="I534" s="27"/>
      <c r="J534" s="28"/>
      <c r="K534" s="28"/>
      <c r="L534" s="28"/>
      <c r="M534" s="28"/>
      <c r="N534" s="27"/>
      <c r="O534" s="27"/>
      <c r="P534" s="28"/>
      <c r="Q534" s="28"/>
      <c r="R534" s="28"/>
    </row>
    <row r="535" spans="1:18" ht="35.25">
      <c r="A535" s="23">
        <v>530</v>
      </c>
      <c r="B535" s="24" t="s">
        <v>110</v>
      </c>
      <c r="C535" s="24" t="s">
        <v>405</v>
      </c>
      <c r="D535" s="25">
        <v>372602.55</v>
      </c>
      <c r="E535" s="25">
        <v>3886604.93</v>
      </c>
      <c r="F535" s="25">
        <v>788865.88540000003</v>
      </c>
      <c r="G535" s="26">
        <f t="shared" si="8"/>
        <v>5048073.3654000005</v>
      </c>
      <c r="H535" s="27"/>
      <c r="I535" s="27"/>
      <c r="J535" s="28"/>
      <c r="K535" s="28"/>
      <c r="L535" s="28"/>
      <c r="M535" s="28"/>
      <c r="N535" s="27"/>
      <c r="O535" s="27"/>
      <c r="P535" s="28"/>
      <c r="Q535" s="28"/>
      <c r="R535" s="28"/>
    </row>
    <row r="536" spans="1:18" ht="35.25">
      <c r="A536" s="23">
        <v>531</v>
      </c>
      <c r="B536" s="24" t="s">
        <v>110</v>
      </c>
      <c r="C536" s="24" t="s">
        <v>428</v>
      </c>
      <c r="D536" s="25">
        <v>395863.47</v>
      </c>
      <c r="E536" s="25">
        <v>4129238.77</v>
      </c>
      <c r="F536" s="25">
        <v>838113.38170000003</v>
      </c>
      <c r="G536" s="26">
        <f t="shared" si="8"/>
        <v>5363215.6217</v>
      </c>
      <c r="H536" s="27"/>
      <c r="I536" s="27"/>
      <c r="J536" s="28"/>
      <c r="K536" s="28"/>
      <c r="L536" s="28"/>
      <c r="M536" s="28"/>
      <c r="N536" s="27"/>
      <c r="O536" s="27"/>
      <c r="P536" s="28"/>
      <c r="Q536" s="28"/>
      <c r="R536" s="28"/>
    </row>
    <row r="537" spans="1:18" ht="35.25">
      <c r="A537" s="23">
        <v>532</v>
      </c>
      <c r="B537" s="24" t="s">
        <v>110</v>
      </c>
      <c r="C537" s="24" t="s">
        <v>430</v>
      </c>
      <c r="D537" s="25">
        <v>317785.42</v>
      </c>
      <c r="E537" s="25">
        <v>3314809.26</v>
      </c>
      <c r="F537" s="25">
        <v>672808.2709</v>
      </c>
      <c r="G537" s="26">
        <f t="shared" si="8"/>
        <v>4305402.9508999996</v>
      </c>
      <c r="H537" s="27"/>
      <c r="I537" s="27"/>
      <c r="J537" s="28"/>
      <c r="K537" s="28"/>
      <c r="L537" s="28"/>
      <c r="M537" s="28"/>
      <c r="N537" s="27"/>
      <c r="O537" s="27"/>
      <c r="P537" s="28"/>
      <c r="Q537" s="28"/>
      <c r="R537" s="28"/>
    </row>
    <row r="538" spans="1:18" ht="17.649999999999999">
      <c r="A538" s="23">
        <v>533</v>
      </c>
      <c r="B538" s="24" t="s">
        <v>111</v>
      </c>
      <c r="C538" s="24" t="s">
        <v>434</v>
      </c>
      <c r="D538" s="25">
        <v>349428.69</v>
      </c>
      <c r="E538" s="25">
        <v>3644879.13</v>
      </c>
      <c r="F538" s="25">
        <v>739802.69539999997</v>
      </c>
      <c r="G538" s="26">
        <f t="shared" si="8"/>
        <v>4734110.5153999999</v>
      </c>
      <c r="H538" s="27"/>
      <c r="I538" s="27"/>
      <c r="J538" s="28"/>
      <c r="K538" s="28"/>
      <c r="L538" s="28"/>
      <c r="M538" s="28"/>
      <c r="N538" s="27"/>
      <c r="O538" s="27"/>
      <c r="P538" s="28"/>
      <c r="Q538" s="28"/>
      <c r="R538" s="28"/>
    </row>
    <row r="539" spans="1:18" ht="17.649999999999999">
      <c r="A539" s="23">
        <v>534</v>
      </c>
      <c r="B539" s="24" t="s">
        <v>111</v>
      </c>
      <c r="C539" s="24" t="s">
        <v>436</v>
      </c>
      <c r="D539" s="25">
        <v>300008.34999999998</v>
      </c>
      <c r="E539" s="25">
        <v>3129377.25</v>
      </c>
      <c r="F539" s="25">
        <v>635171.05630000005</v>
      </c>
      <c r="G539" s="26">
        <f t="shared" si="8"/>
        <v>4064556.6562999999</v>
      </c>
      <c r="H539" s="27"/>
      <c r="I539" s="27"/>
      <c r="J539" s="28"/>
      <c r="K539" s="28"/>
      <c r="L539" s="28"/>
      <c r="M539" s="28"/>
      <c r="N539" s="27"/>
      <c r="O539" s="27"/>
      <c r="P539" s="28"/>
      <c r="Q539" s="28"/>
      <c r="R539" s="28"/>
    </row>
    <row r="540" spans="1:18" ht="17.649999999999999">
      <c r="A540" s="23">
        <v>535</v>
      </c>
      <c r="B540" s="24" t="s">
        <v>111</v>
      </c>
      <c r="C540" s="24" t="s">
        <v>438</v>
      </c>
      <c r="D540" s="25">
        <v>343571.85</v>
      </c>
      <c r="E540" s="25">
        <v>3583786.63</v>
      </c>
      <c r="F540" s="25">
        <v>727402.72389999998</v>
      </c>
      <c r="G540" s="26">
        <f t="shared" si="8"/>
        <v>4654761.2039000001</v>
      </c>
      <c r="H540" s="27"/>
      <c r="I540" s="27"/>
      <c r="J540" s="28"/>
      <c r="K540" s="28"/>
      <c r="L540" s="28"/>
      <c r="M540" s="28"/>
      <c r="N540" s="27"/>
      <c r="O540" s="27"/>
      <c r="P540" s="28"/>
      <c r="Q540" s="28"/>
      <c r="R540" s="28"/>
    </row>
    <row r="541" spans="1:18" ht="17.649999999999999">
      <c r="A541" s="23">
        <v>536</v>
      </c>
      <c r="B541" s="24" t="s">
        <v>111</v>
      </c>
      <c r="C541" s="24" t="s">
        <v>440</v>
      </c>
      <c r="D541" s="25">
        <v>559284.5</v>
      </c>
      <c r="E541" s="25">
        <v>5833878.1799999997</v>
      </c>
      <c r="F541" s="25">
        <v>1184104.7812000001</v>
      </c>
      <c r="G541" s="26">
        <f t="shared" si="8"/>
        <v>7577267.4611999998</v>
      </c>
      <c r="H541" s="27"/>
      <c r="I541" s="27"/>
      <c r="J541" s="28"/>
      <c r="K541" s="28"/>
      <c r="L541" s="28"/>
      <c r="M541" s="28"/>
      <c r="N541" s="27"/>
      <c r="O541" s="27"/>
      <c r="P541" s="28"/>
      <c r="Q541" s="28"/>
      <c r="R541" s="28"/>
    </row>
    <row r="542" spans="1:18" ht="17.649999999999999">
      <c r="A542" s="23">
        <v>537</v>
      </c>
      <c r="B542" s="24" t="s">
        <v>111</v>
      </c>
      <c r="C542" s="24" t="s">
        <v>442</v>
      </c>
      <c r="D542" s="25">
        <v>335713.71</v>
      </c>
      <c r="E542" s="25">
        <v>3501818.65</v>
      </c>
      <c r="F542" s="25">
        <v>710765.64709999994</v>
      </c>
      <c r="G542" s="26">
        <f t="shared" si="8"/>
        <v>4548298.0071</v>
      </c>
      <c r="H542" s="27"/>
      <c r="I542" s="27"/>
      <c r="J542" s="28"/>
      <c r="K542" s="28"/>
      <c r="L542" s="28"/>
      <c r="M542" s="28"/>
      <c r="N542" s="27"/>
      <c r="O542" s="27"/>
      <c r="P542" s="28"/>
      <c r="Q542" s="28"/>
      <c r="R542" s="28"/>
    </row>
    <row r="543" spans="1:18" ht="17.649999999999999">
      <c r="A543" s="23">
        <v>538</v>
      </c>
      <c r="B543" s="24" t="s">
        <v>111</v>
      </c>
      <c r="C543" s="24" t="s">
        <v>444</v>
      </c>
      <c r="D543" s="25">
        <v>353577.69</v>
      </c>
      <c r="E543" s="25">
        <v>3688157.22</v>
      </c>
      <c r="F543" s="25">
        <v>748586.86710000003</v>
      </c>
      <c r="G543" s="26">
        <f t="shared" si="8"/>
        <v>4790321.7771000005</v>
      </c>
      <c r="H543" s="27"/>
      <c r="I543" s="27"/>
      <c r="J543" s="28"/>
      <c r="K543" s="28"/>
      <c r="L543" s="28"/>
      <c r="M543" s="28"/>
      <c r="N543" s="27"/>
      <c r="O543" s="27"/>
      <c r="P543" s="28"/>
      <c r="Q543" s="28"/>
      <c r="R543" s="28"/>
    </row>
    <row r="544" spans="1:18" ht="17.649999999999999">
      <c r="A544" s="23">
        <v>539</v>
      </c>
      <c r="B544" s="24" t="s">
        <v>111</v>
      </c>
      <c r="C544" s="24" t="s">
        <v>446</v>
      </c>
      <c r="D544" s="25">
        <v>334904.43</v>
      </c>
      <c r="E544" s="25">
        <v>3493377.08</v>
      </c>
      <c r="F544" s="25">
        <v>709052.25789999997</v>
      </c>
      <c r="G544" s="26">
        <f t="shared" si="8"/>
        <v>4537333.7679000003</v>
      </c>
      <c r="H544" s="27"/>
      <c r="I544" s="27"/>
      <c r="J544" s="28"/>
      <c r="K544" s="28"/>
      <c r="L544" s="28"/>
      <c r="M544" s="28"/>
      <c r="N544" s="27"/>
      <c r="O544" s="27"/>
      <c r="P544" s="28"/>
      <c r="Q544" s="28"/>
      <c r="R544" s="28"/>
    </row>
    <row r="545" spans="1:18" ht="17.649999999999999">
      <c r="A545" s="23">
        <v>540</v>
      </c>
      <c r="B545" s="24" t="s">
        <v>111</v>
      </c>
      <c r="C545" s="24" t="s">
        <v>448</v>
      </c>
      <c r="D545" s="25">
        <v>299258.33</v>
      </c>
      <c r="E545" s="25">
        <v>3121553.75</v>
      </c>
      <c r="F545" s="25">
        <v>633583.11629999999</v>
      </c>
      <c r="G545" s="26">
        <f t="shared" si="8"/>
        <v>4054395.1963</v>
      </c>
      <c r="H545" s="27"/>
      <c r="I545" s="27"/>
      <c r="J545" s="28"/>
      <c r="K545" s="28"/>
      <c r="L545" s="28"/>
      <c r="M545" s="28"/>
      <c r="N545" s="27"/>
      <c r="O545" s="27"/>
      <c r="P545" s="28"/>
      <c r="Q545" s="28"/>
      <c r="R545" s="28"/>
    </row>
    <row r="546" spans="1:18" ht="17.649999999999999">
      <c r="A546" s="23">
        <v>541</v>
      </c>
      <c r="B546" s="24" t="s">
        <v>111</v>
      </c>
      <c r="C546" s="24" t="s">
        <v>450</v>
      </c>
      <c r="D546" s="25">
        <v>322916.96000000002</v>
      </c>
      <c r="E546" s="25">
        <v>3368336.19</v>
      </c>
      <c r="F546" s="25">
        <v>683672.65579999995</v>
      </c>
      <c r="G546" s="26">
        <f t="shared" si="8"/>
        <v>4374925.8058000002</v>
      </c>
      <c r="H546" s="27"/>
      <c r="I546" s="27"/>
      <c r="J546" s="28"/>
      <c r="K546" s="28"/>
      <c r="L546" s="28"/>
      <c r="M546" s="28"/>
      <c r="N546" s="27"/>
      <c r="O546" s="27"/>
      <c r="P546" s="28"/>
      <c r="Q546" s="28"/>
      <c r="R546" s="28"/>
    </row>
    <row r="547" spans="1:18" ht="17.649999999999999">
      <c r="A547" s="23">
        <v>542</v>
      </c>
      <c r="B547" s="24" t="s">
        <v>111</v>
      </c>
      <c r="C547" s="24" t="s">
        <v>452</v>
      </c>
      <c r="D547" s="25">
        <v>355622.29</v>
      </c>
      <c r="E547" s="25">
        <v>3709484.34</v>
      </c>
      <c r="F547" s="25">
        <v>752915.64269999997</v>
      </c>
      <c r="G547" s="26">
        <f t="shared" si="8"/>
        <v>4818022.2726999996</v>
      </c>
      <c r="H547" s="27"/>
      <c r="I547" s="27"/>
      <c r="J547" s="28"/>
      <c r="K547" s="28"/>
      <c r="L547" s="28"/>
      <c r="M547" s="28"/>
      <c r="N547" s="27"/>
      <c r="O547" s="27"/>
      <c r="P547" s="28"/>
      <c r="Q547" s="28"/>
      <c r="R547" s="28"/>
    </row>
    <row r="548" spans="1:18" ht="17.649999999999999">
      <c r="A548" s="23">
        <v>543</v>
      </c>
      <c r="B548" s="24" t="s">
        <v>111</v>
      </c>
      <c r="C548" s="24" t="s">
        <v>454</v>
      </c>
      <c r="D548" s="25">
        <v>347369.97</v>
      </c>
      <c r="E548" s="25">
        <v>3623404.67</v>
      </c>
      <c r="F548" s="25">
        <v>735444.01390000002</v>
      </c>
      <c r="G548" s="26">
        <f t="shared" si="8"/>
        <v>4706218.6538999993</v>
      </c>
      <c r="H548" s="27"/>
      <c r="I548" s="27"/>
      <c r="J548" s="28"/>
      <c r="K548" s="28"/>
      <c r="L548" s="28"/>
      <c r="M548" s="28"/>
      <c r="N548" s="27"/>
      <c r="O548" s="27"/>
      <c r="P548" s="28"/>
      <c r="Q548" s="28"/>
      <c r="R548" s="28"/>
    </row>
    <row r="549" spans="1:18" ht="17.649999999999999">
      <c r="A549" s="23">
        <v>544</v>
      </c>
      <c r="B549" s="24" t="s">
        <v>111</v>
      </c>
      <c r="C549" s="24" t="s">
        <v>456</v>
      </c>
      <c r="D549" s="25">
        <v>404206.93</v>
      </c>
      <c r="E549" s="25">
        <v>4216269.13</v>
      </c>
      <c r="F549" s="25">
        <v>855777.97149999999</v>
      </c>
      <c r="G549" s="26">
        <f t="shared" si="8"/>
        <v>5476254.0314999996</v>
      </c>
      <c r="H549" s="27"/>
      <c r="I549" s="27"/>
      <c r="J549" s="28"/>
      <c r="K549" s="28"/>
      <c r="L549" s="28"/>
      <c r="M549" s="28"/>
      <c r="N549" s="27"/>
      <c r="O549" s="27"/>
      <c r="P549" s="28"/>
      <c r="Q549" s="28"/>
      <c r="R549" s="28"/>
    </row>
    <row r="550" spans="1:18" ht="17.649999999999999">
      <c r="A550" s="23">
        <v>545</v>
      </c>
      <c r="B550" s="24" t="s">
        <v>111</v>
      </c>
      <c r="C550" s="24" t="s">
        <v>458</v>
      </c>
      <c r="D550" s="25">
        <v>414057.88</v>
      </c>
      <c r="E550" s="25">
        <v>4319024.0999999996</v>
      </c>
      <c r="F550" s="25">
        <v>876634.19090000005</v>
      </c>
      <c r="G550" s="26">
        <f t="shared" si="8"/>
        <v>5609716.1708999993</v>
      </c>
      <c r="H550" s="27"/>
      <c r="I550" s="27"/>
      <c r="J550" s="28"/>
      <c r="K550" s="28"/>
      <c r="L550" s="28"/>
      <c r="M550" s="28"/>
      <c r="N550" s="27"/>
      <c r="O550" s="27"/>
      <c r="P550" s="28"/>
      <c r="Q550" s="28"/>
      <c r="R550" s="28"/>
    </row>
    <row r="551" spans="1:18" ht="17.649999999999999">
      <c r="A551" s="23">
        <v>546</v>
      </c>
      <c r="B551" s="24" t="s">
        <v>111</v>
      </c>
      <c r="C551" s="24" t="s">
        <v>460</v>
      </c>
      <c r="D551" s="25">
        <v>458471.96</v>
      </c>
      <c r="E551" s="25">
        <v>4782305.9400000004</v>
      </c>
      <c r="F551" s="25">
        <v>970666.70719999995</v>
      </c>
      <c r="G551" s="26">
        <f t="shared" si="8"/>
        <v>6211444.6072000004</v>
      </c>
      <c r="H551" s="27"/>
      <c r="I551" s="27"/>
      <c r="J551" s="28"/>
      <c r="K551" s="28"/>
      <c r="L551" s="28"/>
      <c r="M551" s="28"/>
      <c r="N551" s="27"/>
      <c r="O551" s="27"/>
      <c r="P551" s="28"/>
      <c r="Q551" s="28"/>
      <c r="R551" s="28"/>
    </row>
    <row r="552" spans="1:18" ht="17.649999999999999">
      <c r="A552" s="23">
        <v>547</v>
      </c>
      <c r="B552" s="24" t="s">
        <v>111</v>
      </c>
      <c r="C552" s="24" t="s">
        <v>462</v>
      </c>
      <c r="D552" s="25">
        <v>540968.41</v>
      </c>
      <c r="E552" s="25">
        <v>5642823.6699999999</v>
      </c>
      <c r="F552" s="25">
        <v>1145326.3631</v>
      </c>
      <c r="G552" s="26">
        <f t="shared" si="8"/>
        <v>7329118.4430999998</v>
      </c>
      <c r="H552" s="27"/>
      <c r="I552" s="27"/>
      <c r="J552" s="28"/>
      <c r="K552" s="28"/>
      <c r="L552" s="28"/>
      <c r="M552" s="28"/>
      <c r="N552" s="27"/>
      <c r="O552" s="27"/>
      <c r="P552" s="28"/>
      <c r="Q552" s="28"/>
      <c r="R552" s="28"/>
    </row>
    <row r="553" spans="1:18" ht="17.649999999999999">
      <c r="A553" s="23">
        <v>548</v>
      </c>
      <c r="B553" s="24" t="s">
        <v>111</v>
      </c>
      <c r="C553" s="24" t="s">
        <v>464</v>
      </c>
      <c r="D553" s="25">
        <v>342612.72</v>
      </c>
      <c r="E553" s="25">
        <v>3573781.96</v>
      </c>
      <c r="F553" s="25">
        <v>725372.07169999997</v>
      </c>
      <c r="G553" s="26">
        <f t="shared" si="8"/>
        <v>4641766.7516999999</v>
      </c>
      <c r="H553" s="27"/>
      <c r="I553" s="27"/>
      <c r="J553" s="28"/>
      <c r="K553" s="28"/>
      <c r="L553" s="28"/>
      <c r="M553" s="28"/>
      <c r="N553" s="27"/>
      <c r="O553" s="27"/>
      <c r="P553" s="28"/>
      <c r="Q553" s="28"/>
      <c r="R553" s="28"/>
    </row>
    <row r="554" spans="1:18" ht="17.649999999999999">
      <c r="A554" s="23">
        <v>549</v>
      </c>
      <c r="B554" s="24" t="s">
        <v>111</v>
      </c>
      <c r="C554" s="24" t="s">
        <v>466</v>
      </c>
      <c r="D554" s="25">
        <v>465028.55</v>
      </c>
      <c r="E554" s="25">
        <v>4850697.42</v>
      </c>
      <c r="F554" s="25">
        <v>984548.15630000003</v>
      </c>
      <c r="G554" s="26">
        <f t="shared" si="8"/>
        <v>6300274.1262999997</v>
      </c>
      <c r="H554" s="27"/>
      <c r="I554" s="27"/>
      <c r="J554" s="28"/>
      <c r="K554" s="28"/>
      <c r="L554" s="28"/>
      <c r="M554" s="28"/>
      <c r="N554" s="27"/>
      <c r="O554" s="27"/>
      <c r="P554" s="28"/>
      <c r="Q554" s="28"/>
      <c r="R554" s="28"/>
    </row>
    <row r="555" spans="1:18" ht="17.649999999999999">
      <c r="A555" s="23">
        <v>550</v>
      </c>
      <c r="B555" s="24" t="s">
        <v>111</v>
      </c>
      <c r="C555" s="24" t="s">
        <v>468</v>
      </c>
      <c r="D555" s="25">
        <v>314116.78999999998</v>
      </c>
      <c r="E555" s="25">
        <v>3276541.89</v>
      </c>
      <c r="F555" s="25">
        <v>665041.12580000004</v>
      </c>
      <c r="G555" s="26">
        <f t="shared" si="8"/>
        <v>4255699.8058000002</v>
      </c>
      <c r="H555" s="27"/>
      <c r="I555" s="27"/>
      <c r="J555" s="28"/>
      <c r="K555" s="28"/>
      <c r="L555" s="28"/>
      <c r="M555" s="28"/>
      <c r="N555" s="27"/>
      <c r="O555" s="27"/>
      <c r="P555" s="28"/>
      <c r="Q555" s="28"/>
      <c r="R555" s="28"/>
    </row>
    <row r="556" spans="1:18" ht="17.649999999999999">
      <c r="A556" s="23">
        <v>551</v>
      </c>
      <c r="B556" s="24" t="s">
        <v>111</v>
      </c>
      <c r="C556" s="24" t="s">
        <v>470</v>
      </c>
      <c r="D556" s="25">
        <v>361512.25</v>
      </c>
      <c r="E556" s="25">
        <v>3770922.33</v>
      </c>
      <c r="F556" s="25">
        <v>765385.73899999994</v>
      </c>
      <c r="G556" s="26">
        <f t="shared" si="8"/>
        <v>4897820.3190000001</v>
      </c>
      <c r="H556" s="27"/>
      <c r="I556" s="27"/>
      <c r="J556" s="28"/>
      <c r="K556" s="28"/>
      <c r="L556" s="28"/>
      <c r="M556" s="28"/>
      <c r="N556" s="27"/>
      <c r="O556" s="27"/>
      <c r="P556" s="28"/>
      <c r="Q556" s="28"/>
      <c r="R556" s="28"/>
    </row>
    <row r="557" spans="1:18" ht="17.649999999999999">
      <c r="A557" s="23">
        <v>552</v>
      </c>
      <c r="B557" s="24" t="s">
        <v>111</v>
      </c>
      <c r="C557" s="24" t="s">
        <v>472</v>
      </c>
      <c r="D557" s="25">
        <v>416963.89</v>
      </c>
      <c r="E557" s="25">
        <v>4349336.59</v>
      </c>
      <c r="F557" s="25">
        <v>882786.73179999995</v>
      </c>
      <c r="G557" s="26">
        <f t="shared" si="8"/>
        <v>5649087.2117999997</v>
      </c>
      <c r="H557" s="27"/>
      <c r="I557" s="27"/>
      <c r="J557" s="28"/>
      <c r="K557" s="28"/>
      <c r="L557" s="28"/>
      <c r="M557" s="28"/>
      <c r="N557" s="27"/>
      <c r="O557" s="27"/>
      <c r="P557" s="28"/>
      <c r="Q557" s="28"/>
      <c r="R557" s="28"/>
    </row>
    <row r="558" spans="1:18" ht="17.649999999999999">
      <c r="A558" s="23">
        <v>553</v>
      </c>
      <c r="B558" s="24" t="s">
        <v>111</v>
      </c>
      <c r="C558" s="24" t="s">
        <v>474</v>
      </c>
      <c r="D558" s="25">
        <v>392250.65</v>
      </c>
      <c r="E558" s="25">
        <v>4091553.6</v>
      </c>
      <c r="F558" s="25">
        <v>830464.40549999999</v>
      </c>
      <c r="G558" s="26">
        <f t="shared" si="8"/>
        <v>5314268.6555000003</v>
      </c>
      <c r="H558" s="27"/>
      <c r="I558" s="27"/>
      <c r="J558" s="28"/>
      <c r="K558" s="28"/>
      <c r="L558" s="28"/>
      <c r="M558" s="28"/>
      <c r="N558" s="27"/>
      <c r="O558" s="27"/>
      <c r="P558" s="28"/>
      <c r="Q558" s="28"/>
      <c r="R558" s="28"/>
    </row>
    <row r="559" spans="1:18" ht="17.649999999999999">
      <c r="A559" s="23">
        <v>554</v>
      </c>
      <c r="B559" s="24" t="s">
        <v>111</v>
      </c>
      <c r="C559" s="24" t="s">
        <v>476</v>
      </c>
      <c r="D559" s="25">
        <v>463700.37</v>
      </c>
      <c r="E559" s="25">
        <v>4836843.25</v>
      </c>
      <c r="F559" s="25">
        <v>981736.16960000002</v>
      </c>
      <c r="G559" s="26">
        <f t="shared" si="8"/>
        <v>6282279.7895999998</v>
      </c>
      <c r="H559" s="27"/>
      <c r="I559" s="27"/>
      <c r="J559" s="28"/>
      <c r="K559" s="28"/>
      <c r="L559" s="28"/>
      <c r="M559" s="28"/>
      <c r="N559" s="27"/>
      <c r="O559" s="27"/>
      <c r="P559" s="28"/>
      <c r="Q559" s="28"/>
      <c r="R559" s="28"/>
    </row>
    <row r="560" spans="1:18" ht="17.649999999999999">
      <c r="A560" s="23">
        <v>555</v>
      </c>
      <c r="B560" s="24" t="s">
        <v>111</v>
      </c>
      <c r="C560" s="24" t="s">
        <v>478</v>
      </c>
      <c r="D560" s="25">
        <v>339115.72</v>
      </c>
      <c r="E560" s="25">
        <v>3537304.93</v>
      </c>
      <c r="F560" s="25">
        <v>717968.31290000002</v>
      </c>
      <c r="G560" s="26">
        <f t="shared" si="8"/>
        <v>4594388.9629000006</v>
      </c>
      <c r="H560" s="27"/>
      <c r="I560" s="27"/>
      <c r="J560" s="28"/>
      <c r="K560" s="28"/>
      <c r="L560" s="28"/>
      <c r="M560" s="28"/>
      <c r="N560" s="27"/>
      <c r="O560" s="27"/>
      <c r="P560" s="28"/>
      <c r="Q560" s="28"/>
      <c r="R560" s="28"/>
    </row>
    <row r="561" spans="1:18" ht="17.649999999999999">
      <c r="A561" s="23">
        <v>556</v>
      </c>
      <c r="B561" s="24" t="s">
        <v>111</v>
      </c>
      <c r="C561" s="24" t="s">
        <v>480</v>
      </c>
      <c r="D561" s="25">
        <v>275986.37</v>
      </c>
      <c r="E561" s="25">
        <v>2878804.74</v>
      </c>
      <c r="F561" s="25">
        <v>584312.24549999996</v>
      </c>
      <c r="G561" s="26">
        <f t="shared" si="8"/>
        <v>3739103.3555000005</v>
      </c>
      <c r="H561" s="27"/>
      <c r="I561" s="27"/>
      <c r="J561" s="28"/>
      <c r="K561" s="28"/>
      <c r="L561" s="28"/>
      <c r="M561" s="28"/>
      <c r="N561" s="27"/>
      <c r="O561" s="27"/>
      <c r="P561" s="28"/>
      <c r="Q561" s="28"/>
      <c r="R561" s="28"/>
    </row>
    <row r="562" spans="1:18" ht="17.649999999999999">
      <c r="A562" s="23">
        <v>557</v>
      </c>
      <c r="B562" s="24" t="s">
        <v>111</v>
      </c>
      <c r="C562" s="24" t="s">
        <v>482</v>
      </c>
      <c r="D562" s="25">
        <v>307639.44</v>
      </c>
      <c r="E562" s="25">
        <v>3208976.86</v>
      </c>
      <c r="F562" s="25">
        <v>651327.42370000004</v>
      </c>
      <c r="G562" s="26">
        <f t="shared" si="8"/>
        <v>4167943.7237</v>
      </c>
      <c r="H562" s="27"/>
      <c r="I562" s="27"/>
      <c r="J562" s="28"/>
      <c r="K562" s="28"/>
      <c r="L562" s="28"/>
      <c r="M562" s="28"/>
      <c r="N562" s="27"/>
      <c r="O562" s="27"/>
      <c r="P562" s="28"/>
      <c r="Q562" s="28"/>
      <c r="R562" s="28"/>
    </row>
    <row r="563" spans="1:18" ht="35.25">
      <c r="A563" s="23">
        <v>558</v>
      </c>
      <c r="B563" s="24" t="s">
        <v>112</v>
      </c>
      <c r="C563" s="24" t="s">
        <v>487</v>
      </c>
      <c r="D563" s="25">
        <v>345391.34</v>
      </c>
      <c r="E563" s="25">
        <v>3602765.66</v>
      </c>
      <c r="F563" s="25">
        <v>731254.90540000005</v>
      </c>
      <c r="G563" s="26">
        <f t="shared" si="8"/>
        <v>4679411.9054000005</v>
      </c>
      <c r="H563" s="27"/>
      <c r="I563" s="27"/>
      <c r="J563" s="28"/>
      <c r="K563" s="28"/>
      <c r="L563" s="28"/>
      <c r="M563" s="28"/>
      <c r="N563" s="27"/>
      <c r="O563" s="27"/>
      <c r="P563" s="28"/>
      <c r="Q563" s="28"/>
      <c r="R563" s="28"/>
    </row>
    <row r="564" spans="1:18" ht="35.25">
      <c r="A564" s="23">
        <v>559</v>
      </c>
      <c r="B564" s="24" t="s">
        <v>112</v>
      </c>
      <c r="C564" s="24" t="s">
        <v>489</v>
      </c>
      <c r="D564" s="25">
        <v>356563.71</v>
      </c>
      <c r="E564" s="25">
        <v>3719304.28</v>
      </c>
      <c r="F564" s="25">
        <v>754908.79980000004</v>
      </c>
      <c r="G564" s="26">
        <f t="shared" si="8"/>
        <v>4830776.7897999994</v>
      </c>
      <c r="H564" s="27"/>
      <c r="I564" s="27"/>
      <c r="J564" s="28"/>
      <c r="K564" s="28"/>
      <c r="L564" s="28"/>
      <c r="M564" s="28"/>
      <c r="N564" s="27"/>
      <c r="O564" s="27"/>
      <c r="P564" s="28"/>
      <c r="Q564" s="28"/>
      <c r="R564" s="28"/>
    </row>
    <row r="565" spans="1:18" ht="17.649999999999999">
      <c r="A565" s="23">
        <v>560</v>
      </c>
      <c r="B565" s="24" t="s">
        <v>112</v>
      </c>
      <c r="C565" s="24" t="s">
        <v>491</v>
      </c>
      <c r="D565" s="25">
        <v>548050.22</v>
      </c>
      <c r="E565" s="25">
        <v>5716693.7999999998</v>
      </c>
      <c r="F565" s="25">
        <v>1160319.8162</v>
      </c>
      <c r="G565" s="26">
        <f t="shared" si="8"/>
        <v>7425063.8361999998</v>
      </c>
      <c r="H565" s="27"/>
      <c r="I565" s="27"/>
      <c r="J565" s="28"/>
      <c r="K565" s="28"/>
      <c r="L565" s="28"/>
      <c r="M565" s="28"/>
      <c r="N565" s="27"/>
      <c r="O565" s="27"/>
      <c r="P565" s="28"/>
      <c r="Q565" s="28"/>
      <c r="R565" s="28"/>
    </row>
    <row r="566" spans="1:18" ht="17.649999999999999">
      <c r="A566" s="23">
        <v>561</v>
      </c>
      <c r="B566" s="24" t="s">
        <v>112</v>
      </c>
      <c r="C566" s="24" t="s">
        <v>493</v>
      </c>
      <c r="D566" s="25">
        <v>360347.62</v>
      </c>
      <c r="E566" s="25">
        <v>3758774.16</v>
      </c>
      <c r="F566" s="25">
        <v>762920.01980000001</v>
      </c>
      <c r="G566" s="26">
        <f t="shared" si="8"/>
        <v>4882041.7998000002</v>
      </c>
      <c r="H566" s="27"/>
      <c r="I566" s="27"/>
      <c r="J566" s="28"/>
      <c r="K566" s="28"/>
      <c r="L566" s="28"/>
      <c r="M566" s="28"/>
      <c r="N566" s="27"/>
      <c r="O566" s="27"/>
      <c r="P566" s="28"/>
      <c r="Q566" s="28"/>
      <c r="R566" s="28"/>
    </row>
    <row r="567" spans="1:18" ht="17.649999999999999">
      <c r="A567" s="23">
        <v>562</v>
      </c>
      <c r="B567" s="24" t="s">
        <v>112</v>
      </c>
      <c r="C567" s="24" t="s">
        <v>495</v>
      </c>
      <c r="D567" s="25">
        <v>322935.84999999998</v>
      </c>
      <c r="E567" s="25">
        <v>3368533.21</v>
      </c>
      <c r="F567" s="25">
        <v>683712.64419999998</v>
      </c>
      <c r="G567" s="26">
        <f t="shared" si="8"/>
        <v>4375181.7041999996</v>
      </c>
      <c r="H567" s="27"/>
      <c r="I567" s="27"/>
      <c r="J567" s="28"/>
      <c r="K567" s="28"/>
      <c r="L567" s="28"/>
      <c r="M567" s="28"/>
      <c r="N567" s="27"/>
      <c r="O567" s="27"/>
      <c r="P567" s="28"/>
      <c r="Q567" s="28"/>
      <c r="R567" s="28"/>
    </row>
    <row r="568" spans="1:18" ht="17.649999999999999">
      <c r="A568" s="23">
        <v>563</v>
      </c>
      <c r="B568" s="24" t="s">
        <v>112</v>
      </c>
      <c r="C568" s="24" t="s">
        <v>497</v>
      </c>
      <c r="D568" s="25">
        <v>245649.16</v>
      </c>
      <c r="E568" s="25">
        <v>2562358.2999999998</v>
      </c>
      <c r="F568" s="25">
        <v>520082.97269999998</v>
      </c>
      <c r="G568" s="26">
        <f t="shared" si="8"/>
        <v>3328090.4326999998</v>
      </c>
      <c r="H568" s="27"/>
      <c r="I568" s="27"/>
      <c r="J568" s="28"/>
      <c r="K568" s="28"/>
      <c r="L568" s="28"/>
      <c r="M568" s="28"/>
      <c r="N568" s="27"/>
      <c r="O568" s="27"/>
      <c r="P568" s="28"/>
      <c r="Q568" s="28"/>
      <c r="R568" s="28"/>
    </row>
    <row r="569" spans="1:18" ht="17.649999999999999">
      <c r="A569" s="23">
        <v>564</v>
      </c>
      <c r="B569" s="24" t="s">
        <v>112</v>
      </c>
      <c r="C569" s="24" t="s">
        <v>499</v>
      </c>
      <c r="D569" s="25">
        <v>537350.79</v>
      </c>
      <c r="E569" s="25">
        <v>2496189.7799999998</v>
      </c>
      <c r="F569" s="25">
        <v>1137667.2124000001</v>
      </c>
      <c r="G569" s="26">
        <f t="shared" si="8"/>
        <v>4171207.7823999999</v>
      </c>
      <c r="H569" s="27"/>
      <c r="I569" s="27"/>
      <c r="J569" s="28"/>
      <c r="K569" s="28"/>
      <c r="L569" s="28"/>
      <c r="M569" s="28"/>
      <c r="N569" s="27"/>
      <c r="O569" s="27"/>
      <c r="P569" s="28"/>
      <c r="Q569" s="28"/>
      <c r="R569" s="28"/>
    </row>
    <row r="570" spans="1:18" ht="17.649999999999999">
      <c r="A570" s="23">
        <v>565</v>
      </c>
      <c r="B570" s="24" t="s">
        <v>112</v>
      </c>
      <c r="C570" s="24" t="s">
        <v>501</v>
      </c>
      <c r="D570" s="25">
        <v>319790.53999999998</v>
      </c>
      <c r="E570" s="25">
        <v>5605088.3600000003</v>
      </c>
      <c r="F570" s="25">
        <v>677053.45799999998</v>
      </c>
      <c r="G570" s="26">
        <f t="shared" si="8"/>
        <v>6601932.358</v>
      </c>
      <c r="H570" s="27"/>
      <c r="I570" s="27"/>
      <c r="J570" s="28"/>
      <c r="K570" s="28"/>
      <c r="L570" s="28"/>
      <c r="M570" s="28"/>
      <c r="N570" s="27"/>
      <c r="O570" s="27"/>
      <c r="P570" s="28"/>
      <c r="Q570" s="28"/>
      <c r="R570" s="28"/>
    </row>
    <row r="571" spans="1:18" ht="17.649999999999999">
      <c r="A571" s="23">
        <v>566</v>
      </c>
      <c r="B571" s="24" t="s">
        <v>112</v>
      </c>
      <c r="C571" s="24" t="s">
        <v>503</v>
      </c>
      <c r="D571" s="25">
        <v>399547.01</v>
      </c>
      <c r="E571" s="25">
        <v>3335724.56</v>
      </c>
      <c r="F571" s="25">
        <v>845912.09270000004</v>
      </c>
      <c r="G571" s="26">
        <f t="shared" si="8"/>
        <v>4581183.6627000002</v>
      </c>
      <c r="H571" s="27"/>
      <c r="I571" s="27"/>
      <c r="J571" s="28"/>
      <c r="K571" s="28"/>
      <c r="L571" s="28"/>
      <c r="M571" s="28"/>
      <c r="N571" s="27"/>
      <c r="O571" s="27"/>
      <c r="P571" s="28"/>
      <c r="Q571" s="28"/>
      <c r="R571" s="28"/>
    </row>
    <row r="572" spans="1:18" ht="17.649999999999999">
      <c r="A572" s="23">
        <v>567</v>
      </c>
      <c r="B572" s="24" t="s">
        <v>112</v>
      </c>
      <c r="C572" s="24" t="s">
        <v>505</v>
      </c>
      <c r="D572" s="25">
        <v>251131.5</v>
      </c>
      <c r="E572" s="25">
        <v>4167661.66</v>
      </c>
      <c r="F572" s="25">
        <v>531690.05149999994</v>
      </c>
      <c r="G572" s="26">
        <f t="shared" si="8"/>
        <v>4950483.2115000002</v>
      </c>
      <c r="H572" s="27"/>
      <c r="I572" s="27"/>
      <c r="J572" s="28"/>
      <c r="K572" s="28"/>
      <c r="L572" s="28"/>
      <c r="M572" s="28"/>
      <c r="N572" s="27"/>
      <c r="O572" s="27"/>
      <c r="P572" s="28"/>
      <c r="Q572" s="28"/>
      <c r="R572" s="28"/>
    </row>
    <row r="573" spans="1:18" ht="17.649999999999999">
      <c r="A573" s="23">
        <v>568</v>
      </c>
      <c r="B573" s="24" t="s">
        <v>112</v>
      </c>
      <c r="C573" s="24" t="s">
        <v>507</v>
      </c>
      <c r="D573" s="25">
        <v>308250.69</v>
      </c>
      <c r="E573" s="25">
        <v>3215352.8</v>
      </c>
      <c r="F573" s="25">
        <v>652621.54969999997</v>
      </c>
      <c r="G573" s="26">
        <f t="shared" si="8"/>
        <v>4176225.0396999996</v>
      </c>
      <c r="H573" s="27"/>
      <c r="I573" s="27"/>
      <c r="J573" s="28"/>
      <c r="K573" s="28"/>
      <c r="L573" s="28"/>
      <c r="M573" s="28"/>
      <c r="N573" s="27"/>
      <c r="O573" s="27"/>
      <c r="P573" s="28"/>
      <c r="Q573" s="28"/>
      <c r="R573" s="28"/>
    </row>
    <row r="574" spans="1:18" ht="17.649999999999999">
      <c r="A574" s="23">
        <v>569</v>
      </c>
      <c r="B574" s="24" t="s">
        <v>112</v>
      </c>
      <c r="C574" s="24" t="s">
        <v>509</v>
      </c>
      <c r="D574" s="25">
        <v>278491.02</v>
      </c>
      <c r="E574" s="25">
        <v>2904930.6</v>
      </c>
      <c r="F574" s="25">
        <v>589615.02249999996</v>
      </c>
      <c r="G574" s="26">
        <f t="shared" si="8"/>
        <v>3773036.6425000001</v>
      </c>
      <c r="H574" s="27"/>
      <c r="I574" s="27"/>
      <c r="J574" s="28"/>
      <c r="K574" s="28"/>
      <c r="L574" s="28"/>
      <c r="M574" s="28"/>
      <c r="N574" s="27"/>
      <c r="O574" s="27"/>
      <c r="P574" s="28"/>
      <c r="Q574" s="28"/>
      <c r="R574" s="28"/>
    </row>
    <row r="575" spans="1:18" ht="35.25">
      <c r="A575" s="23">
        <v>570</v>
      </c>
      <c r="B575" s="24" t="s">
        <v>112</v>
      </c>
      <c r="C575" s="24" t="s">
        <v>511</v>
      </c>
      <c r="D575" s="25">
        <v>288707.55</v>
      </c>
      <c r="E575" s="25">
        <v>2619544.35</v>
      </c>
      <c r="F575" s="25">
        <v>611245.23580000002</v>
      </c>
      <c r="G575" s="26">
        <f t="shared" si="8"/>
        <v>3519497.1357999998</v>
      </c>
      <c r="H575" s="27"/>
      <c r="I575" s="27"/>
      <c r="J575" s="28"/>
      <c r="K575" s="28"/>
      <c r="L575" s="28"/>
      <c r="M575" s="28"/>
      <c r="N575" s="27"/>
      <c r="O575" s="27"/>
      <c r="P575" s="28"/>
      <c r="Q575" s="28"/>
      <c r="R575" s="28"/>
    </row>
    <row r="576" spans="1:18" ht="17.649999999999999">
      <c r="A576" s="23">
        <v>571</v>
      </c>
      <c r="B576" s="24" t="s">
        <v>112</v>
      </c>
      <c r="C576" s="24" t="s">
        <v>513</v>
      </c>
      <c r="D576" s="25">
        <v>302397.52</v>
      </c>
      <c r="E576" s="25">
        <v>3011498.9</v>
      </c>
      <c r="F576" s="25">
        <v>640229.3469</v>
      </c>
      <c r="G576" s="26">
        <f t="shared" si="8"/>
        <v>3954125.7669000002</v>
      </c>
      <c r="H576" s="27"/>
      <c r="I576" s="27"/>
      <c r="J576" s="28"/>
      <c r="K576" s="28"/>
      <c r="L576" s="28"/>
      <c r="M576" s="28"/>
      <c r="N576" s="27"/>
      <c r="O576" s="27"/>
      <c r="P576" s="28"/>
      <c r="Q576" s="28"/>
      <c r="R576" s="28"/>
    </row>
    <row r="577" spans="1:18" ht="17.649999999999999">
      <c r="A577" s="23">
        <v>572</v>
      </c>
      <c r="B577" s="24" t="s">
        <v>112</v>
      </c>
      <c r="C577" s="24" t="s">
        <v>515</v>
      </c>
      <c r="D577" s="25">
        <v>366657.9</v>
      </c>
      <c r="E577" s="25">
        <v>3154298.57</v>
      </c>
      <c r="F577" s="25">
        <v>776280.00890000002</v>
      </c>
      <c r="G577" s="26">
        <f t="shared" si="8"/>
        <v>4297236.4788999995</v>
      </c>
      <c r="H577" s="27"/>
      <c r="I577" s="27"/>
      <c r="J577" s="28"/>
      <c r="K577" s="28"/>
      <c r="L577" s="28"/>
      <c r="M577" s="28"/>
      <c r="N577" s="27"/>
      <c r="O577" s="27"/>
      <c r="P577" s="28"/>
      <c r="Q577" s="28"/>
      <c r="R577" s="28"/>
    </row>
    <row r="578" spans="1:18" ht="17.649999999999999">
      <c r="A578" s="23">
        <v>573</v>
      </c>
      <c r="B578" s="24" t="s">
        <v>112</v>
      </c>
      <c r="C578" s="24" t="s">
        <v>517</v>
      </c>
      <c r="D578" s="25">
        <v>307801.99</v>
      </c>
      <c r="E578" s="25">
        <v>3824596.51</v>
      </c>
      <c r="F578" s="25">
        <v>651671.56449999998</v>
      </c>
      <c r="G578" s="26">
        <f t="shared" si="8"/>
        <v>4784070.0645000003</v>
      </c>
      <c r="H578" s="27"/>
      <c r="I578" s="27"/>
      <c r="J578" s="28"/>
      <c r="K578" s="28"/>
      <c r="L578" s="28"/>
      <c r="M578" s="28"/>
      <c r="N578" s="27"/>
      <c r="O578" s="27"/>
      <c r="P578" s="28"/>
      <c r="Q578" s="28"/>
      <c r="R578" s="28"/>
    </row>
    <row r="579" spans="1:18" ht="17.649999999999999">
      <c r="A579" s="23">
        <v>574</v>
      </c>
      <c r="B579" s="24" t="s">
        <v>112</v>
      </c>
      <c r="C579" s="24" t="s">
        <v>519</v>
      </c>
      <c r="D579" s="25">
        <v>286069.93</v>
      </c>
      <c r="E579" s="25">
        <v>3210672.39</v>
      </c>
      <c r="F579" s="25">
        <v>605660.92760000005</v>
      </c>
      <c r="G579" s="26">
        <f t="shared" si="8"/>
        <v>4102403.2476000004</v>
      </c>
      <c r="H579" s="27"/>
      <c r="I579" s="27"/>
      <c r="J579" s="28"/>
      <c r="K579" s="28"/>
      <c r="L579" s="28"/>
      <c r="M579" s="28"/>
      <c r="N579" s="27"/>
      <c r="O579" s="27"/>
      <c r="P579" s="28"/>
      <c r="Q579" s="28"/>
      <c r="R579" s="28"/>
    </row>
    <row r="580" spans="1:18" ht="17.649999999999999">
      <c r="A580" s="23">
        <v>575</v>
      </c>
      <c r="B580" s="24" t="s">
        <v>112</v>
      </c>
      <c r="C580" s="24" t="s">
        <v>521</v>
      </c>
      <c r="D580" s="25">
        <v>271721.28999999998</v>
      </c>
      <c r="E580" s="25">
        <v>2983985.99</v>
      </c>
      <c r="F580" s="25">
        <v>575282.30720000004</v>
      </c>
      <c r="G580" s="26">
        <f t="shared" si="8"/>
        <v>3830989.5872000004</v>
      </c>
      <c r="H580" s="27"/>
      <c r="I580" s="27"/>
      <c r="J580" s="28"/>
      <c r="K580" s="28"/>
      <c r="L580" s="28"/>
      <c r="M580" s="28"/>
      <c r="N580" s="27"/>
      <c r="O580" s="27"/>
      <c r="P580" s="28"/>
      <c r="Q580" s="28"/>
      <c r="R580" s="28"/>
    </row>
    <row r="581" spans="1:18" ht="35.25">
      <c r="A581" s="23">
        <v>576</v>
      </c>
      <c r="B581" s="24" t="s">
        <v>112</v>
      </c>
      <c r="C581" s="24" t="s">
        <v>524</v>
      </c>
      <c r="D581" s="25">
        <v>239305.69</v>
      </c>
      <c r="E581" s="25">
        <v>2834315.81</v>
      </c>
      <c r="F581" s="25">
        <v>506652.7205</v>
      </c>
      <c r="G581" s="26">
        <f t="shared" si="8"/>
        <v>3580274.2204999998</v>
      </c>
      <c r="H581" s="27"/>
      <c r="I581" s="27"/>
      <c r="J581" s="28"/>
      <c r="K581" s="28"/>
      <c r="L581" s="28"/>
      <c r="M581" s="28"/>
      <c r="N581" s="27"/>
      <c r="O581" s="27"/>
      <c r="P581" s="28"/>
      <c r="Q581" s="28"/>
      <c r="R581" s="28"/>
    </row>
    <row r="582" spans="1:18" ht="17.649999999999999">
      <c r="A582" s="23">
        <v>577</v>
      </c>
      <c r="B582" s="24" t="s">
        <v>112</v>
      </c>
      <c r="C582" s="24" t="s">
        <v>526</v>
      </c>
      <c r="D582" s="25">
        <v>368543.87</v>
      </c>
      <c r="E582" s="25">
        <v>3844268.93</v>
      </c>
      <c r="F582" s="25">
        <v>780272.92850000004</v>
      </c>
      <c r="G582" s="26">
        <f t="shared" ref="G582:G645" si="9">D582+E582+F582</f>
        <v>4993085.7285000002</v>
      </c>
      <c r="H582" s="27"/>
      <c r="I582" s="27"/>
      <c r="J582" s="28"/>
      <c r="K582" s="28"/>
      <c r="L582" s="28"/>
      <c r="M582" s="28"/>
      <c r="N582" s="27"/>
      <c r="O582" s="27"/>
      <c r="P582" s="28"/>
      <c r="Q582" s="28"/>
      <c r="R582" s="28"/>
    </row>
    <row r="583" spans="1:18" ht="35.25">
      <c r="A583" s="23">
        <v>578</v>
      </c>
      <c r="B583" s="24" t="s">
        <v>113</v>
      </c>
      <c r="C583" s="24" t="s">
        <v>530</v>
      </c>
      <c r="D583" s="25">
        <v>355246.66</v>
      </c>
      <c r="E583" s="25">
        <v>3705566.19</v>
      </c>
      <c r="F583" s="25">
        <v>752120.37419999996</v>
      </c>
      <c r="G583" s="26">
        <f t="shared" si="9"/>
        <v>4812933.2242000001</v>
      </c>
      <c r="H583" s="27"/>
      <c r="I583" s="27"/>
      <c r="J583" s="28"/>
      <c r="K583" s="28"/>
      <c r="L583" s="28"/>
      <c r="M583" s="28"/>
      <c r="N583" s="27"/>
      <c r="O583" s="27"/>
      <c r="P583" s="28"/>
      <c r="Q583" s="28"/>
      <c r="R583" s="28"/>
    </row>
    <row r="584" spans="1:18" ht="35.25">
      <c r="A584" s="23">
        <v>579</v>
      </c>
      <c r="B584" s="24" t="s">
        <v>113</v>
      </c>
      <c r="C584" s="24" t="s">
        <v>532</v>
      </c>
      <c r="D584" s="25">
        <v>375793.99</v>
      </c>
      <c r="E584" s="25">
        <v>3919894.74</v>
      </c>
      <c r="F584" s="25">
        <v>795622.73329999996</v>
      </c>
      <c r="G584" s="26">
        <f t="shared" si="9"/>
        <v>5091311.4633000009</v>
      </c>
      <c r="H584" s="27"/>
      <c r="I584" s="27"/>
      <c r="J584" s="28"/>
      <c r="K584" s="28"/>
      <c r="L584" s="28"/>
      <c r="M584" s="28"/>
      <c r="N584" s="27"/>
      <c r="O584" s="27"/>
      <c r="P584" s="28"/>
      <c r="Q584" s="28"/>
      <c r="R584" s="28"/>
    </row>
    <row r="585" spans="1:18" ht="35.25">
      <c r="A585" s="23">
        <v>580</v>
      </c>
      <c r="B585" s="24" t="s">
        <v>113</v>
      </c>
      <c r="C585" s="24" t="s">
        <v>534</v>
      </c>
      <c r="D585" s="25">
        <v>283772.99</v>
      </c>
      <c r="E585" s="25">
        <v>3990775.5</v>
      </c>
      <c r="F585" s="25">
        <v>600797.89300000004</v>
      </c>
      <c r="G585" s="26">
        <f t="shared" si="9"/>
        <v>4875346.3830000004</v>
      </c>
      <c r="H585" s="27"/>
      <c r="I585" s="27"/>
      <c r="J585" s="28"/>
      <c r="K585" s="28"/>
      <c r="L585" s="28"/>
      <c r="M585" s="28"/>
      <c r="N585" s="27"/>
      <c r="O585" s="27"/>
      <c r="P585" s="28"/>
      <c r="Q585" s="28"/>
      <c r="R585" s="28"/>
    </row>
    <row r="586" spans="1:18" ht="35.25">
      <c r="A586" s="23">
        <v>581</v>
      </c>
      <c r="B586" s="24" t="s">
        <v>113</v>
      </c>
      <c r="C586" s="24" t="s">
        <v>536</v>
      </c>
      <c r="D586" s="25">
        <v>382589.22</v>
      </c>
      <c r="E586" s="25">
        <v>2960026.66</v>
      </c>
      <c r="F586" s="25">
        <v>810009.43130000005</v>
      </c>
      <c r="G586" s="26">
        <f t="shared" si="9"/>
        <v>4152625.3113000002</v>
      </c>
      <c r="H586" s="27"/>
      <c r="I586" s="27"/>
      <c r="J586" s="28"/>
      <c r="K586" s="28"/>
      <c r="L586" s="28"/>
      <c r="M586" s="28"/>
      <c r="N586" s="27"/>
      <c r="O586" s="27"/>
      <c r="P586" s="28"/>
      <c r="Q586" s="28"/>
      <c r="R586" s="28"/>
    </row>
    <row r="587" spans="1:18" ht="17.649999999999999">
      <c r="A587" s="23">
        <v>582</v>
      </c>
      <c r="B587" s="24" t="s">
        <v>113</v>
      </c>
      <c r="C587" s="24" t="s">
        <v>538</v>
      </c>
      <c r="D587" s="25">
        <v>297359.75</v>
      </c>
      <c r="E587" s="25">
        <v>3101749.71</v>
      </c>
      <c r="F587" s="25">
        <v>629563.48199999996</v>
      </c>
      <c r="G587" s="26">
        <f t="shared" si="9"/>
        <v>4028672.9419999998</v>
      </c>
      <c r="H587" s="27"/>
      <c r="I587" s="27"/>
      <c r="J587" s="28"/>
      <c r="K587" s="28"/>
      <c r="L587" s="28"/>
      <c r="M587" s="28"/>
      <c r="N587" s="27"/>
      <c r="O587" s="27"/>
      <c r="P587" s="28"/>
      <c r="Q587" s="28"/>
      <c r="R587" s="28"/>
    </row>
    <row r="588" spans="1:18" ht="17.649999999999999">
      <c r="A588" s="23">
        <v>583</v>
      </c>
      <c r="B588" s="24" t="s">
        <v>113</v>
      </c>
      <c r="C588" s="24" t="s">
        <v>540</v>
      </c>
      <c r="D588" s="25">
        <v>456972</v>
      </c>
      <c r="E588" s="25">
        <v>4766659.8899999997</v>
      </c>
      <c r="F588" s="25">
        <v>967491.02209999994</v>
      </c>
      <c r="G588" s="26">
        <f t="shared" si="9"/>
        <v>6191122.9120999994</v>
      </c>
      <c r="H588" s="27"/>
      <c r="I588" s="27"/>
      <c r="J588" s="28"/>
      <c r="K588" s="28"/>
      <c r="L588" s="28"/>
      <c r="M588" s="28"/>
      <c r="N588" s="27"/>
      <c r="O588" s="27"/>
      <c r="P588" s="28"/>
      <c r="Q588" s="28"/>
      <c r="R588" s="28"/>
    </row>
    <row r="589" spans="1:18" ht="17.649999999999999">
      <c r="A589" s="23">
        <v>584</v>
      </c>
      <c r="B589" s="24" t="s">
        <v>113</v>
      </c>
      <c r="C589" s="24" t="s">
        <v>542</v>
      </c>
      <c r="D589" s="25">
        <v>321836.96000000002</v>
      </c>
      <c r="E589" s="25">
        <v>3357070.71</v>
      </c>
      <c r="F589" s="25">
        <v>685264.14359999995</v>
      </c>
      <c r="G589" s="26">
        <f t="shared" si="9"/>
        <v>4364171.8136</v>
      </c>
      <c r="H589" s="27"/>
      <c r="I589" s="27"/>
      <c r="J589" s="28"/>
      <c r="K589" s="28"/>
      <c r="L589" s="28"/>
      <c r="M589" s="28"/>
      <c r="N589" s="27"/>
      <c r="O589" s="27"/>
      <c r="P589" s="28"/>
      <c r="Q589" s="28"/>
      <c r="R589" s="28"/>
    </row>
    <row r="590" spans="1:18" ht="17.649999999999999">
      <c r="A590" s="23">
        <v>585</v>
      </c>
      <c r="B590" s="24" t="s">
        <v>113</v>
      </c>
      <c r="C590" s="24" t="s">
        <v>544</v>
      </c>
      <c r="D590" s="25">
        <v>324252.21000000002</v>
      </c>
      <c r="E590" s="25">
        <v>3382264.12</v>
      </c>
      <c r="F590" s="25">
        <v>681386.09649999999</v>
      </c>
      <c r="G590" s="26">
        <f t="shared" si="9"/>
        <v>4387902.4265000001</v>
      </c>
      <c r="H590" s="27"/>
      <c r="I590" s="27"/>
      <c r="J590" s="28"/>
      <c r="K590" s="28"/>
      <c r="L590" s="28"/>
      <c r="M590" s="28"/>
      <c r="N590" s="27"/>
      <c r="O590" s="27"/>
      <c r="P590" s="28"/>
      <c r="Q590" s="28"/>
      <c r="R590" s="28"/>
    </row>
    <row r="591" spans="1:18" ht="17.649999999999999">
      <c r="A591" s="23">
        <v>586</v>
      </c>
      <c r="B591" s="24" t="s">
        <v>113</v>
      </c>
      <c r="C591" s="24" t="s">
        <v>546</v>
      </c>
      <c r="D591" s="25">
        <v>389830.33</v>
      </c>
      <c r="E591" s="25">
        <v>4066307.36</v>
      </c>
      <c r="F591" s="25">
        <v>686499.61289999995</v>
      </c>
      <c r="G591" s="26">
        <f t="shared" si="9"/>
        <v>5142637.3028999995</v>
      </c>
      <c r="H591" s="27"/>
      <c r="I591" s="27"/>
      <c r="J591" s="28"/>
      <c r="K591" s="28"/>
      <c r="L591" s="28"/>
      <c r="M591" s="28"/>
      <c r="N591" s="27"/>
      <c r="O591" s="27"/>
      <c r="P591" s="28"/>
      <c r="Q591" s="28"/>
      <c r="R591" s="28"/>
    </row>
    <row r="592" spans="1:18" ht="17.649999999999999">
      <c r="A592" s="23">
        <v>587</v>
      </c>
      <c r="B592" s="24" t="s">
        <v>113</v>
      </c>
      <c r="C592" s="24" t="s">
        <v>548</v>
      </c>
      <c r="D592" s="25">
        <v>423013.75</v>
      </c>
      <c r="E592" s="25">
        <v>4412442.49</v>
      </c>
      <c r="F592" s="25">
        <v>895595.36199999996</v>
      </c>
      <c r="G592" s="26">
        <f t="shared" si="9"/>
        <v>5731051.602</v>
      </c>
      <c r="H592" s="27"/>
      <c r="I592" s="27"/>
      <c r="J592" s="28"/>
      <c r="K592" s="28"/>
      <c r="L592" s="28"/>
      <c r="M592" s="28"/>
      <c r="N592" s="27"/>
      <c r="O592" s="27"/>
      <c r="P592" s="28"/>
      <c r="Q592" s="28"/>
      <c r="R592" s="28"/>
    </row>
    <row r="593" spans="1:18" ht="17.649999999999999">
      <c r="A593" s="23">
        <v>588</v>
      </c>
      <c r="B593" s="24" t="s">
        <v>113</v>
      </c>
      <c r="C593" s="24" t="s">
        <v>550</v>
      </c>
      <c r="D593" s="25">
        <v>323668.67</v>
      </c>
      <c r="E593" s="25">
        <v>3376177.18</v>
      </c>
      <c r="F593" s="25">
        <v>709293.30660000001</v>
      </c>
      <c r="G593" s="26">
        <f t="shared" si="9"/>
        <v>4409139.1566000003</v>
      </c>
      <c r="H593" s="27"/>
      <c r="I593" s="27"/>
      <c r="J593" s="28"/>
      <c r="K593" s="28"/>
      <c r="L593" s="28"/>
      <c r="M593" s="28"/>
      <c r="N593" s="27"/>
      <c r="O593" s="27"/>
      <c r="P593" s="28"/>
      <c r="Q593" s="28"/>
      <c r="R593" s="28"/>
    </row>
    <row r="594" spans="1:18" ht="35.25">
      <c r="A594" s="23">
        <v>589</v>
      </c>
      <c r="B594" s="24" t="s">
        <v>113</v>
      </c>
      <c r="C594" s="24" t="s">
        <v>552</v>
      </c>
      <c r="D594" s="25">
        <v>335018.28999999998</v>
      </c>
      <c r="E594" s="25">
        <v>3494564.68</v>
      </c>
      <c r="F594" s="25">
        <v>659157.89610000001</v>
      </c>
      <c r="G594" s="26">
        <f t="shared" si="9"/>
        <v>4488740.8661000002</v>
      </c>
      <c r="H594" s="27"/>
      <c r="I594" s="27"/>
      <c r="J594" s="28"/>
      <c r="K594" s="28"/>
      <c r="L594" s="28"/>
      <c r="M594" s="28"/>
      <c r="N594" s="27"/>
      <c r="O594" s="27"/>
      <c r="P594" s="28"/>
      <c r="Q594" s="28"/>
      <c r="R594" s="28"/>
    </row>
    <row r="595" spans="1:18" ht="17.649999999999999">
      <c r="A595" s="23">
        <v>590</v>
      </c>
      <c r="B595" s="24" t="s">
        <v>113</v>
      </c>
      <c r="C595" s="24" t="s">
        <v>554</v>
      </c>
      <c r="D595" s="25">
        <v>311337.98</v>
      </c>
      <c r="E595" s="25">
        <v>3247556.24</v>
      </c>
      <c r="F595" s="25">
        <v>824366.89760000003</v>
      </c>
      <c r="G595" s="26">
        <f t="shared" si="9"/>
        <v>4383261.1176000005</v>
      </c>
      <c r="H595" s="27"/>
      <c r="I595" s="27"/>
      <c r="J595" s="28"/>
      <c r="K595" s="28"/>
      <c r="L595" s="28"/>
      <c r="M595" s="28"/>
      <c r="N595" s="27"/>
      <c r="O595" s="27"/>
      <c r="P595" s="28"/>
      <c r="Q595" s="28"/>
      <c r="R595" s="28"/>
    </row>
    <row r="596" spans="1:18" ht="17.649999999999999">
      <c r="A596" s="23">
        <v>591</v>
      </c>
      <c r="B596" s="24" t="s">
        <v>113</v>
      </c>
      <c r="C596" s="24" t="s">
        <v>556</v>
      </c>
      <c r="D596" s="25">
        <v>389370.63</v>
      </c>
      <c r="E596" s="25">
        <v>4061512.24</v>
      </c>
      <c r="F596" s="25">
        <v>825340.16540000006</v>
      </c>
      <c r="G596" s="26">
        <f t="shared" si="9"/>
        <v>5276223.0354000004</v>
      </c>
      <c r="H596" s="27"/>
      <c r="I596" s="27"/>
      <c r="J596" s="28"/>
      <c r="K596" s="28"/>
      <c r="L596" s="28"/>
      <c r="M596" s="28"/>
      <c r="N596" s="27"/>
      <c r="O596" s="27"/>
      <c r="P596" s="28"/>
      <c r="Q596" s="28"/>
      <c r="R596" s="28"/>
    </row>
    <row r="597" spans="1:18" ht="17.649999999999999">
      <c r="A597" s="23">
        <v>592</v>
      </c>
      <c r="B597" s="24" t="s">
        <v>113</v>
      </c>
      <c r="C597" s="24" t="s">
        <v>558</v>
      </c>
      <c r="D597" s="25">
        <v>258413.02</v>
      </c>
      <c r="E597" s="25">
        <v>2695497.68</v>
      </c>
      <c r="F597" s="25">
        <v>547106.33149999997</v>
      </c>
      <c r="G597" s="26">
        <f t="shared" si="9"/>
        <v>3501017.0315</v>
      </c>
      <c r="H597" s="27"/>
      <c r="I597" s="27"/>
      <c r="J597" s="28"/>
      <c r="K597" s="28"/>
      <c r="L597" s="28"/>
      <c r="M597" s="28"/>
      <c r="N597" s="27"/>
      <c r="O597" s="27"/>
      <c r="P597" s="28"/>
      <c r="Q597" s="28"/>
      <c r="R597" s="28"/>
    </row>
    <row r="598" spans="1:18" ht="17.649999999999999">
      <c r="A598" s="23">
        <v>593</v>
      </c>
      <c r="B598" s="24" t="s">
        <v>113</v>
      </c>
      <c r="C598" s="24" t="s">
        <v>560</v>
      </c>
      <c r="D598" s="25">
        <v>427086.38</v>
      </c>
      <c r="E598" s="25">
        <v>4454923.9800000004</v>
      </c>
      <c r="F598" s="25">
        <v>904217.85</v>
      </c>
      <c r="G598" s="26">
        <f t="shared" si="9"/>
        <v>5786228.21</v>
      </c>
      <c r="H598" s="27"/>
      <c r="I598" s="27"/>
      <c r="J598" s="28"/>
      <c r="K598" s="28"/>
      <c r="L598" s="28"/>
      <c r="M598" s="28"/>
      <c r="N598" s="27"/>
      <c r="O598" s="27"/>
      <c r="P598" s="28"/>
      <c r="Q598" s="28"/>
      <c r="R598" s="28"/>
    </row>
    <row r="599" spans="1:18" ht="17.649999999999999">
      <c r="A599" s="23">
        <v>594</v>
      </c>
      <c r="B599" s="24" t="s">
        <v>113</v>
      </c>
      <c r="C599" s="24" t="s">
        <v>562</v>
      </c>
      <c r="D599" s="25">
        <v>344115.76</v>
      </c>
      <c r="E599" s="25">
        <v>3589460.14</v>
      </c>
      <c r="F599" s="25">
        <v>728554.27969999996</v>
      </c>
      <c r="G599" s="26">
        <f t="shared" si="9"/>
        <v>4662130.1797000002</v>
      </c>
      <c r="H599" s="27"/>
      <c r="I599" s="27"/>
      <c r="J599" s="28"/>
      <c r="K599" s="28"/>
      <c r="L599" s="28"/>
      <c r="M599" s="28"/>
      <c r="N599" s="27"/>
      <c r="O599" s="27"/>
      <c r="P599" s="28"/>
      <c r="Q599" s="28"/>
      <c r="R599" s="28"/>
    </row>
    <row r="600" spans="1:18" ht="17.649999999999999">
      <c r="A600" s="23">
        <v>595</v>
      </c>
      <c r="B600" s="24" t="s">
        <v>113</v>
      </c>
      <c r="C600" s="24" t="s">
        <v>564</v>
      </c>
      <c r="D600" s="25">
        <v>403738.96</v>
      </c>
      <c r="E600" s="25">
        <v>4211387.75</v>
      </c>
      <c r="F600" s="25">
        <v>854787.196</v>
      </c>
      <c r="G600" s="26">
        <f t="shared" si="9"/>
        <v>5469913.9059999995</v>
      </c>
      <c r="H600" s="27"/>
      <c r="I600" s="27"/>
      <c r="J600" s="28"/>
      <c r="K600" s="28"/>
      <c r="L600" s="28"/>
      <c r="M600" s="28"/>
      <c r="N600" s="27"/>
      <c r="O600" s="27"/>
      <c r="P600" s="28"/>
      <c r="Q600" s="28"/>
      <c r="R600" s="28"/>
    </row>
    <row r="601" spans="1:18" ht="35.25">
      <c r="A601" s="23">
        <v>596</v>
      </c>
      <c r="B601" s="24" t="s">
        <v>114</v>
      </c>
      <c r="C601" s="24" t="s">
        <v>568</v>
      </c>
      <c r="D601" s="25">
        <v>252317.96</v>
      </c>
      <c r="E601" s="25">
        <v>2631920.35</v>
      </c>
      <c r="F601" s="25">
        <v>534202.0135</v>
      </c>
      <c r="G601" s="26">
        <f t="shared" si="9"/>
        <v>3418440.3234999999</v>
      </c>
      <c r="H601" s="27"/>
      <c r="I601" s="27"/>
      <c r="J601" s="28"/>
      <c r="K601" s="28"/>
      <c r="L601" s="28"/>
      <c r="M601" s="28"/>
      <c r="N601" s="27"/>
      <c r="O601" s="27"/>
      <c r="P601" s="28"/>
      <c r="Q601" s="28"/>
      <c r="R601" s="28"/>
    </row>
    <row r="602" spans="1:18" ht="35.25">
      <c r="A602" s="23">
        <v>597</v>
      </c>
      <c r="B602" s="24" t="s">
        <v>114</v>
      </c>
      <c r="C602" s="24" t="s">
        <v>570</v>
      </c>
      <c r="D602" s="25">
        <v>253025.75</v>
      </c>
      <c r="E602" s="25">
        <v>2639303.25</v>
      </c>
      <c r="F602" s="25">
        <v>535700.52410000004</v>
      </c>
      <c r="G602" s="26">
        <f t="shared" si="9"/>
        <v>3428029.5241</v>
      </c>
      <c r="H602" s="27"/>
      <c r="I602" s="27"/>
      <c r="J602" s="28"/>
      <c r="K602" s="28"/>
      <c r="L602" s="28"/>
      <c r="M602" s="28"/>
      <c r="N602" s="27"/>
      <c r="O602" s="27"/>
      <c r="P602" s="28"/>
      <c r="Q602" s="28"/>
      <c r="R602" s="28"/>
    </row>
    <row r="603" spans="1:18" ht="17.649999999999999">
      <c r="A603" s="23">
        <v>598</v>
      </c>
      <c r="B603" s="24" t="s">
        <v>114</v>
      </c>
      <c r="C603" s="24" t="s">
        <v>572</v>
      </c>
      <c r="D603" s="25">
        <v>315227.58</v>
      </c>
      <c r="E603" s="25">
        <v>3288128.52</v>
      </c>
      <c r="F603" s="25">
        <v>667392.86930000002</v>
      </c>
      <c r="G603" s="26">
        <f t="shared" si="9"/>
        <v>4270748.9693</v>
      </c>
      <c r="H603" s="27"/>
      <c r="I603" s="27"/>
      <c r="J603" s="28"/>
      <c r="K603" s="28"/>
      <c r="L603" s="28"/>
      <c r="M603" s="28"/>
      <c r="N603" s="27"/>
      <c r="O603" s="27"/>
      <c r="P603" s="28"/>
      <c r="Q603" s="28"/>
      <c r="R603" s="28"/>
    </row>
    <row r="604" spans="1:18" ht="17.649999999999999">
      <c r="A604" s="23">
        <v>599</v>
      </c>
      <c r="B604" s="24" t="s">
        <v>114</v>
      </c>
      <c r="C604" s="24" t="s">
        <v>574</v>
      </c>
      <c r="D604" s="25">
        <v>278654.21999999997</v>
      </c>
      <c r="E604" s="25">
        <v>2906632.93</v>
      </c>
      <c r="F604" s="25">
        <v>589960.54489999998</v>
      </c>
      <c r="G604" s="26">
        <f t="shared" si="9"/>
        <v>3775247.6949000005</v>
      </c>
      <c r="H604" s="27"/>
      <c r="I604" s="27"/>
      <c r="J604" s="28"/>
      <c r="K604" s="28"/>
      <c r="L604" s="28"/>
      <c r="M604" s="28"/>
      <c r="N604" s="27"/>
      <c r="O604" s="27"/>
      <c r="P604" s="28"/>
      <c r="Q604" s="28"/>
      <c r="R604" s="28"/>
    </row>
    <row r="605" spans="1:18" ht="17.649999999999999">
      <c r="A605" s="23">
        <v>600</v>
      </c>
      <c r="B605" s="24" t="s">
        <v>114</v>
      </c>
      <c r="C605" s="24" t="s">
        <v>577</v>
      </c>
      <c r="D605" s="25">
        <v>263694.32</v>
      </c>
      <c r="E605" s="25">
        <v>2750586.75</v>
      </c>
      <c r="F605" s="25">
        <v>558287.78410000005</v>
      </c>
      <c r="G605" s="26">
        <f t="shared" si="9"/>
        <v>3572568.8541000001</v>
      </c>
      <c r="H605" s="27"/>
      <c r="I605" s="27"/>
      <c r="J605" s="28"/>
      <c r="K605" s="28"/>
      <c r="L605" s="28"/>
      <c r="M605" s="28"/>
      <c r="N605" s="27"/>
      <c r="O605" s="27"/>
      <c r="P605" s="28"/>
      <c r="Q605" s="28"/>
      <c r="R605" s="28"/>
    </row>
    <row r="606" spans="1:18" ht="17.649999999999999">
      <c r="A606" s="23">
        <v>601</v>
      </c>
      <c r="B606" s="24" t="s">
        <v>114</v>
      </c>
      <c r="C606" s="24" t="s">
        <v>579</v>
      </c>
      <c r="D606" s="25">
        <v>300334.88</v>
      </c>
      <c r="E606" s="25">
        <v>3132783.21</v>
      </c>
      <c r="F606" s="25">
        <v>635862.36459999997</v>
      </c>
      <c r="G606" s="26">
        <f t="shared" si="9"/>
        <v>4068980.4545999998</v>
      </c>
      <c r="H606" s="27"/>
      <c r="I606" s="27"/>
      <c r="J606" s="28"/>
      <c r="K606" s="28"/>
      <c r="L606" s="28"/>
      <c r="M606" s="28"/>
      <c r="N606" s="27"/>
      <c r="O606" s="27"/>
      <c r="P606" s="28"/>
      <c r="Q606" s="28"/>
      <c r="R606" s="28"/>
    </row>
    <row r="607" spans="1:18" ht="17.649999999999999">
      <c r="A607" s="23">
        <v>602</v>
      </c>
      <c r="B607" s="24" t="s">
        <v>114</v>
      </c>
      <c r="C607" s="24" t="s">
        <v>581</v>
      </c>
      <c r="D607" s="25">
        <v>251725.25</v>
      </c>
      <c r="E607" s="25">
        <v>2625737.79</v>
      </c>
      <c r="F607" s="25">
        <v>532947.13569999998</v>
      </c>
      <c r="G607" s="26">
        <f t="shared" si="9"/>
        <v>3410410.1757</v>
      </c>
      <c r="H607" s="27"/>
      <c r="I607" s="27"/>
      <c r="J607" s="28"/>
      <c r="K607" s="28"/>
      <c r="L607" s="28"/>
      <c r="M607" s="28"/>
      <c r="N607" s="27"/>
      <c r="O607" s="27"/>
      <c r="P607" s="28"/>
      <c r="Q607" s="28"/>
      <c r="R607" s="28"/>
    </row>
    <row r="608" spans="1:18" ht="17.649999999999999">
      <c r="A608" s="23">
        <v>603</v>
      </c>
      <c r="B608" s="24" t="s">
        <v>114</v>
      </c>
      <c r="C608" s="24" t="s">
        <v>582</v>
      </c>
      <c r="D608" s="25">
        <v>261429.6</v>
      </c>
      <c r="E608" s="25">
        <v>2726963.49</v>
      </c>
      <c r="F608" s="25">
        <v>553492.96089999995</v>
      </c>
      <c r="G608" s="26">
        <f t="shared" si="9"/>
        <v>3541886.0509000001</v>
      </c>
      <c r="H608" s="27"/>
      <c r="I608" s="27"/>
      <c r="J608" s="28"/>
      <c r="K608" s="28"/>
      <c r="L608" s="28"/>
      <c r="M608" s="28"/>
      <c r="N608" s="27"/>
      <c r="O608" s="27"/>
      <c r="P608" s="28"/>
      <c r="Q608" s="28"/>
      <c r="R608" s="28"/>
    </row>
    <row r="609" spans="1:18" ht="17.649999999999999">
      <c r="A609" s="23">
        <v>604</v>
      </c>
      <c r="B609" s="24" t="s">
        <v>114</v>
      </c>
      <c r="C609" s="24" t="s">
        <v>584</v>
      </c>
      <c r="D609" s="25">
        <v>257128.98</v>
      </c>
      <c r="E609" s="25">
        <v>2682103.9</v>
      </c>
      <c r="F609" s="25">
        <v>544387.79059999995</v>
      </c>
      <c r="G609" s="26">
        <f t="shared" si="9"/>
        <v>3483620.6705999998</v>
      </c>
      <c r="H609" s="27"/>
      <c r="I609" s="27"/>
      <c r="J609" s="28"/>
      <c r="K609" s="28"/>
      <c r="L609" s="28"/>
      <c r="M609" s="28"/>
      <c r="N609" s="27"/>
      <c r="O609" s="27"/>
      <c r="P609" s="28"/>
      <c r="Q609" s="28"/>
      <c r="R609" s="28"/>
    </row>
    <row r="610" spans="1:18" ht="17.649999999999999">
      <c r="A610" s="23">
        <v>605</v>
      </c>
      <c r="B610" s="24" t="s">
        <v>114</v>
      </c>
      <c r="C610" s="24" t="s">
        <v>586</v>
      </c>
      <c r="D610" s="25">
        <v>291892.2</v>
      </c>
      <c r="E610" s="25">
        <v>3044717.93</v>
      </c>
      <c r="F610" s="25">
        <v>617987.71730000002</v>
      </c>
      <c r="G610" s="26">
        <f t="shared" si="9"/>
        <v>3954597.8473000005</v>
      </c>
      <c r="H610" s="27"/>
      <c r="I610" s="27"/>
      <c r="J610" s="28"/>
      <c r="K610" s="28"/>
      <c r="L610" s="28"/>
      <c r="M610" s="28"/>
      <c r="N610" s="27"/>
      <c r="O610" s="27"/>
      <c r="P610" s="28"/>
      <c r="Q610" s="28"/>
      <c r="R610" s="28"/>
    </row>
    <row r="611" spans="1:18" ht="17.649999999999999">
      <c r="A611" s="23">
        <v>606</v>
      </c>
      <c r="B611" s="24" t="s">
        <v>114</v>
      </c>
      <c r="C611" s="24" t="s">
        <v>588</v>
      </c>
      <c r="D611" s="25">
        <v>309064.40000000002</v>
      </c>
      <c r="E611" s="25">
        <v>3223840.57</v>
      </c>
      <c r="F611" s="25">
        <v>654344.31579999998</v>
      </c>
      <c r="G611" s="26">
        <f t="shared" si="9"/>
        <v>4187249.2857999997</v>
      </c>
      <c r="H611" s="27"/>
      <c r="I611" s="27"/>
      <c r="J611" s="28"/>
      <c r="K611" s="28"/>
      <c r="L611" s="28"/>
      <c r="M611" s="28"/>
      <c r="N611" s="27"/>
      <c r="O611" s="27"/>
      <c r="P611" s="28"/>
      <c r="Q611" s="28"/>
      <c r="R611" s="28"/>
    </row>
    <row r="612" spans="1:18" ht="17.649999999999999">
      <c r="A612" s="23">
        <v>607</v>
      </c>
      <c r="B612" s="24" t="s">
        <v>114</v>
      </c>
      <c r="C612" s="24" t="s">
        <v>590</v>
      </c>
      <c r="D612" s="25">
        <v>357207.22</v>
      </c>
      <c r="E612" s="25">
        <v>3726016.77</v>
      </c>
      <c r="F612" s="25">
        <v>756271.23730000004</v>
      </c>
      <c r="G612" s="26">
        <f t="shared" si="9"/>
        <v>4839495.2273000004</v>
      </c>
      <c r="H612" s="27"/>
      <c r="I612" s="27"/>
      <c r="J612" s="28"/>
      <c r="K612" s="28"/>
      <c r="L612" s="28"/>
      <c r="M612" s="28"/>
      <c r="N612" s="27"/>
      <c r="O612" s="27"/>
      <c r="P612" s="28"/>
      <c r="Q612" s="28"/>
      <c r="R612" s="28"/>
    </row>
    <row r="613" spans="1:18" ht="17.649999999999999">
      <c r="A613" s="23">
        <v>608</v>
      </c>
      <c r="B613" s="24" t="s">
        <v>114</v>
      </c>
      <c r="C613" s="24" t="s">
        <v>592</v>
      </c>
      <c r="D613" s="25">
        <v>332968.65999999997</v>
      </c>
      <c r="E613" s="25">
        <v>3473185.08</v>
      </c>
      <c r="F613" s="25">
        <v>704953.87879999995</v>
      </c>
      <c r="G613" s="26">
        <f t="shared" si="9"/>
        <v>4511107.6188000003</v>
      </c>
      <c r="H613" s="27"/>
      <c r="I613" s="27"/>
      <c r="J613" s="28"/>
      <c r="K613" s="28"/>
      <c r="L613" s="28"/>
      <c r="M613" s="28"/>
      <c r="N613" s="27"/>
      <c r="O613" s="27"/>
      <c r="P613" s="28"/>
      <c r="Q613" s="28"/>
      <c r="R613" s="28"/>
    </row>
    <row r="614" spans="1:18" ht="17.649999999999999">
      <c r="A614" s="23">
        <v>609</v>
      </c>
      <c r="B614" s="24" t="s">
        <v>114</v>
      </c>
      <c r="C614" s="24" t="s">
        <v>594</v>
      </c>
      <c r="D614" s="25">
        <v>290245.53999999998</v>
      </c>
      <c r="E614" s="25">
        <v>3027541.69</v>
      </c>
      <c r="F614" s="25">
        <v>614501.44830000005</v>
      </c>
      <c r="G614" s="26">
        <f t="shared" si="9"/>
        <v>3932288.6782999998</v>
      </c>
      <c r="H614" s="27"/>
      <c r="I614" s="27"/>
      <c r="J614" s="28"/>
      <c r="K614" s="28"/>
      <c r="L614" s="28"/>
      <c r="M614" s="28"/>
      <c r="N614" s="27"/>
      <c r="O614" s="27"/>
      <c r="P614" s="28"/>
      <c r="Q614" s="28"/>
      <c r="R614" s="28"/>
    </row>
    <row r="615" spans="1:18" ht="17.649999999999999">
      <c r="A615" s="23">
        <v>610</v>
      </c>
      <c r="B615" s="24" t="s">
        <v>114</v>
      </c>
      <c r="C615" s="24" t="s">
        <v>596</v>
      </c>
      <c r="D615" s="25">
        <v>228081.12</v>
      </c>
      <c r="E615" s="25">
        <v>2379106.61</v>
      </c>
      <c r="F615" s="25">
        <v>482888.29969999997</v>
      </c>
      <c r="G615" s="26">
        <f t="shared" si="9"/>
        <v>3090076.0296999998</v>
      </c>
      <c r="H615" s="27"/>
      <c r="I615" s="27"/>
      <c r="J615" s="28"/>
      <c r="K615" s="28"/>
      <c r="L615" s="28"/>
      <c r="M615" s="28"/>
      <c r="N615" s="27"/>
      <c r="O615" s="27"/>
      <c r="P615" s="28"/>
      <c r="Q615" s="28"/>
      <c r="R615" s="28"/>
    </row>
    <row r="616" spans="1:18" ht="17.649999999999999">
      <c r="A616" s="23">
        <v>611</v>
      </c>
      <c r="B616" s="24" t="s">
        <v>114</v>
      </c>
      <c r="C616" s="24" t="s">
        <v>336</v>
      </c>
      <c r="D616" s="25">
        <v>293904.11</v>
      </c>
      <c r="E616" s="25">
        <v>3065704.04</v>
      </c>
      <c r="F616" s="25">
        <v>622247.2757</v>
      </c>
      <c r="G616" s="26">
        <f t="shared" si="9"/>
        <v>3981855.4257</v>
      </c>
      <c r="H616" s="27"/>
      <c r="I616" s="27"/>
      <c r="J616" s="28"/>
      <c r="K616" s="28"/>
      <c r="L616" s="28"/>
      <c r="M616" s="28"/>
      <c r="N616" s="27"/>
      <c r="O616" s="27"/>
      <c r="P616" s="28"/>
      <c r="Q616" s="28"/>
      <c r="R616" s="28"/>
    </row>
    <row r="617" spans="1:18" ht="17.649999999999999">
      <c r="A617" s="23">
        <v>612</v>
      </c>
      <c r="B617" s="24" t="s">
        <v>114</v>
      </c>
      <c r="C617" s="24" t="s">
        <v>599</v>
      </c>
      <c r="D617" s="25">
        <v>259116.65</v>
      </c>
      <c r="E617" s="25">
        <v>2702837.27</v>
      </c>
      <c r="F617" s="25">
        <v>548596.0503</v>
      </c>
      <c r="G617" s="26">
        <f t="shared" si="9"/>
        <v>3510549.9703000002</v>
      </c>
      <c r="H617" s="27"/>
      <c r="I617" s="27"/>
      <c r="J617" s="28"/>
      <c r="K617" s="28"/>
      <c r="L617" s="28"/>
      <c r="M617" s="28"/>
      <c r="N617" s="27"/>
      <c r="O617" s="27"/>
      <c r="P617" s="28"/>
      <c r="Q617" s="28"/>
      <c r="R617" s="28"/>
    </row>
    <row r="618" spans="1:18" ht="17.649999999999999">
      <c r="A618" s="23">
        <v>613</v>
      </c>
      <c r="B618" s="24" t="s">
        <v>114</v>
      </c>
      <c r="C618" s="24" t="s">
        <v>601</v>
      </c>
      <c r="D618" s="25">
        <v>270131.92</v>
      </c>
      <c r="E618" s="25">
        <v>2817737.11</v>
      </c>
      <c r="F618" s="25">
        <v>571917.32160000002</v>
      </c>
      <c r="G618" s="26">
        <f t="shared" si="9"/>
        <v>3659786.3515999997</v>
      </c>
      <c r="H618" s="27"/>
      <c r="I618" s="27"/>
      <c r="J618" s="28"/>
      <c r="K618" s="28"/>
      <c r="L618" s="28"/>
      <c r="M618" s="28"/>
      <c r="N618" s="27"/>
      <c r="O618" s="27"/>
      <c r="P618" s="28"/>
      <c r="Q618" s="28"/>
      <c r="R618" s="28"/>
    </row>
    <row r="619" spans="1:18" ht="17.649999999999999">
      <c r="A619" s="23">
        <v>614</v>
      </c>
      <c r="B619" s="24" t="s">
        <v>114</v>
      </c>
      <c r="C619" s="24" t="s">
        <v>604</v>
      </c>
      <c r="D619" s="25">
        <v>286257.28000000003</v>
      </c>
      <c r="E619" s="25">
        <v>2985940.21</v>
      </c>
      <c r="F619" s="25">
        <v>606057.57750000001</v>
      </c>
      <c r="G619" s="26">
        <f t="shared" si="9"/>
        <v>3878255.0675000004</v>
      </c>
      <c r="H619" s="27"/>
      <c r="I619" s="27"/>
      <c r="J619" s="28"/>
      <c r="K619" s="28"/>
      <c r="L619" s="28"/>
      <c r="M619" s="28"/>
      <c r="N619" s="27"/>
      <c r="O619" s="27"/>
      <c r="P619" s="28"/>
      <c r="Q619" s="28"/>
      <c r="R619" s="28"/>
    </row>
    <row r="620" spans="1:18" ht="17.649999999999999">
      <c r="A620" s="23">
        <v>615</v>
      </c>
      <c r="B620" s="24" t="s">
        <v>114</v>
      </c>
      <c r="C620" s="24" t="s">
        <v>344</v>
      </c>
      <c r="D620" s="25">
        <v>283293.88</v>
      </c>
      <c r="E620" s="25">
        <v>2955029.09</v>
      </c>
      <c r="F620" s="25">
        <v>599783.53379999998</v>
      </c>
      <c r="G620" s="26">
        <f t="shared" si="9"/>
        <v>3838106.5037999996</v>
      </c>
      <c r="H620" s="27"/>
      <c r="I620" s="27"/>
      <c r="J620" s="28"/>
      <c r="K620" s="28"/>
      <c r="L620" s="28"/>
      <c r="M620" s="28"/>
      <c r="N620" s="27"/>
      <c r="O620" s="27"/>
      <c r="P620" s="28"/>
      <c r="Q620" s="28"/>
      <c r="R620" s="28"/>
    </row>
    <row r="621" spans="1:18" ht="17.649999999999999">
      <c r="A621" s="23">
        <v>616</v>
      </c>
      <c r="B621" s="24" t="s">
        <v>114</v>
      </c>
      <c r="C621" s="24" t="s">
        <v>607</v>
      </c>
      <c r="D621" s="25">
        <v>306513.3</v>
      </c>
      <c r="E621" s="25">
        <v>3197230.11</v>
      </c>
      <c r="F621" s="25">
        <v>648943.17890000006</v>
      </c>
      <c r="G621" s="26">
        <f t="shared" si="9"/>
        <v>4152686.5888999999</v>
      </c>
      <c r="H621" s="27"/>
      <c r="I621" s="27"/>
      <c r="J621" s="28"/>
      <c r="K621" s="28"/>
      <c r="L621" s="28"/>
      <c r="M621" s="28"/>
      <c r="N621" s="27"/>
      <c r="O621" s="27"/>
      <c r="P621" s="28"/>
      <c r="Q621" s="28"/>
      <c r="R621" s="28"/>
    </row>
    <row r="622" spans="1:18" ht="17.649999999999999">
      <c r="A622" s="23">
        <v>617</v>
      </c>
      <c r="B622" s="24" t="s">
        <v>114</v>
      </c>
      <c r="C622" s="24" t="s">
        <v>609</v>
      </c>
      <c r="D622" s="25">
        <v>278211.65000000002</v>
      </c>
      <c r="E622" s="25">
        <v>2902016.6</v>
      </c>
      <c r="F622" s="25">
        <v>589023.56519999995</v>
      </c>
      <c r="G622" s="26">
        <f t="shared" si="9"/>
        <v>3769251.8152000001</v>
      </c>
      <c r="H622" s="27"/>
      <c r="I622" s="27"/>
      <c r="J622" s="28"/>
      <c r="K622" s="28"/>
      <c r="L622" s="28"/>
      <c r="M622" s="28"/>
      <c r="N622" s="27"/>
      <c r="O622" s="27"/>
      <c r="P622" s="28"/>
      <c r="Q622" s="28"/>
      <c r="R622" s="28"/>
    </row>
    <row r="623" spans="1:18" ht="17.649999999999999">
      <c r="A623" s="23">
        <v>618</v>
      </c>
      <c r="B623" s="24" t="s">
        <v>114</v>
      </c>
      <c r="C623" s="24" t="s">
        <v>611</v>
      </c>
      <c r="D623" s="25">
        <v>342100.27</v>
      </c>
      <c r="E623" s="25">
        <v>3568436.65</v>
      </c>
      <c r="F623" s="25">
        <v>724287.13159999996</v>
      </c>
      <c r="G623" s="26">
        <f t="shared" si="9"/>
        <v>4634824.0515999999</v>
      </c>
      <c r="H623" s="27"/>
      <c r="I623" s="27"/>
      <c r="J623" s="28"/>
      <c r="K623" s="28"/>
      <c r="L623" s="28"/>
      <c r="M623" s="28"/>
      <c r="N623" s="27"/>
      <c r="O623" s="27"/>
      <c r="P623" s="28"/>
      <c r="Q623" s="28"/>
      <c r="R623" s="28"/>
    </row>
    <row r="624" spans="1:18" ht="17.649999999999999">
      <c r="A624" s="23">
        <v>619</v>
      </c>
      <c r="B624" s="24" t="s">
        <v>114</v>
      </c>
      <c r="C624" s="24" t="s">
        <v>613</v>
      </c>
      <c r="D624" s="25">
        <v>283691.27</v>
      </c>
      <c r="E624" s="25">
        <v>2959174.28</v>
      </c>
      <c r="F624" s="25">
        <v>600624.88569999998</v>
      </c>
      <c r="G624" s="26">
        <f t="shared" si="9"/>
        <v>3843490.4356999998</v>
      </c>
      <c r="H624" s="27"/>
      <c r="I624" s="27"/>
      <c r="J624" s="28"/>
      <c r="K624" s="28"/>
      <c r="L624" s="28"/>
      <c r="M624" s="28"/>
      <c r="N624" s="27"/>
      <c r="O624" s="27"/>
      <c r="P624" s="28"/>
      <c r="Q624" s="28"/>
      <c r="R624" s="28"/>
    </row>
    <row r="625" spans="1:18" ht="17.649999999999999">
      <c r="A625" s="23">
        <v>620</v>
      </c>
      <c r="B625" s="24" t="s">
        <v>114</v>
      </c>
      <c r="C625" s="24" t="s">
        <v>615</v>
      </c>
      <c r="D625" s="25">
        <v>373759.72</v>
      </c>
      <c r="E625" s="25">
        <v>3898675.3</v>
      </c>
      <c r="F625" s="25">
        <v>791315.81299999997</v>
      </c>
      <c r="G625" s="26">
        <f t="shared" si="9"/>
        <v>5063750.8329999996</v>
      </c>
      <c r="H625" s="27"/>
      <c r="I625" s="27"/>
      <c r="J625" s="28"/>
      <c r="K625" s="28"/>
      <c r="L625" s="28"/>
      <c r="M625" s="28"/>
      <c r="N625" s="27"/>
      <c r="O625" s="27"/>
      <c r="P625" s="28"/>
      <c r="Q625" s="28"/>
      <c r="R625" s="28"/>
    </row>
    <row r="626" spans="1:18" ht="17.649999999999999">
      <c r="A626" s="23">
        <v>621</v>
      </c>
      <c r="B626" s="24" t="s">
        <v>114</v>
      </c>
      <c r="C626" s="24" t="s">
        <v>617</v>
      </c>
      <c r="D626" s="25">
        <v>255829.81</v>
      </c>
      <c r="E626" s="25">
        <v>2668552.34</v>
      </c>
      <c r="F626" s="25">
        <v>541637.22320000001</v>
      </c>
      <c r="G626" s="26">
        <f t="shared" si="9"/>
        <v>3466019.3731999998</v>
      </c>
      <c r="H626" s="27"/>
      <c r="I626" s="27"/>
      <c r="J626" s="28"/>
      <c r="K626" s="28"/>
      <c r="L626" s="28"/>
      <c r="M626" s="28"/>
      <c r="N626" s="27"/>
      <c r="O626" s="27"/>
      <c r="P626" s="28"/>
      <c r="Q626" s="28"/>
      <c r="R626" s="28"/>
    </row>
    <row r="627" spans="1:18" ht="17.649999999999999">
      <c r="A627" s="23">
        <v>622</v>
      </c>
      <c r="B627" s="24" t="s">
        <v>114</v>
      </c>
      <c r="C627" s="24" t="s">
        <v>619</v>
      </c>
      <c r="D627" s="25">
        <v>309438.36</v>
      </c>
      <c r="E627" s="25">
        <v>3227741.29</v>
      </c>
      <c r="F627" s="25">
        <v>655136.04720000003</v>
      </c>
      <c r="G627" s="26">
        <f t="shared" si="9"/>
        <v>4192315.6971999998</v>
      </c>
      <c r="H627" s="27"/>
      <c r="I627" s="27"/>
      <c r="J627" s="28"/>
      <c r="K627" s="28"/>
      <c r="L627" s="28"/>
      <c r="M627" s="28"/>
      <c r="N627" s="27"/>
      <c r="O627" s="27"/>
      <c r="P627" s="28"/>
      <c r="Q627" s="28"/>
      <c r="R627" s="28"/>
    </row>
    <row r="628" spans="1:18" ht="17.649999999999999">
      <c r="A628" s="23">
        <v>623</v>
      </c>
      <c r="B628" s="24" t="s">
        <v>114</v>
      </c>
      <c r="C628" s="24" t="s">
        <v>621</v>
      </c>
      <c r="D628" s="25">
        <v>310430.53000000003</v>
      </c>
      <c r="E628" s="25">
        <v>3238090.57</v>
      </c>
      <c r="F628" s="25">
        <v>657236.6459</v>
      </c>
      <c r="G628" s="26">
        <f t="shared" si="9"/>
        <v>4205757.7458999995</v>
      </c>
      <c r="H628" s="27"/>
      <c r="I628" s="27"/>
      <c r="J628" s="28"/>
      <c r="K628" s="28"/>
      <c r="L628" s="28"/>
      <c r="M628" s="28"/>
      <c r="N628" s="27"/>
      <c r="O628" s="27"/>
      <c r="P628" s="28"/>
      <c r="Q628" s="28"/>
      <c r="R628" s="28"/>
    </row>
    <row r="629" spans="1:18" ht="17.649999999999999">
      <c r="A629" s="23">
        <v>624</v>
      </c>
      <c r="B629" s="24" t="s">
        <v>114</v>
      </c>
      <c r="C629" s="24" t="s">
        <v>623</v>
      </c>
      <c r="D629" s="25">
        <v>273559.32</v>
      </c>
      <c r="E629" s="25">
        <v>2853488.29</v>
      </c>
      <c r="F629" s="25">
        <v>579173.75289999996</v>
      </c>
      <c r="G629" s="26">
        <f t="shared" si="9"/>
        <v>3706221.3629000001</v>
      </c>
      <c r="H629" s="27"/>
      <c r="I629" s="27"/>
      <c r="J629" s="28"/>
      <c r="K629" s="28"/>
      <c r="L629" s="28"/>
      <c r="M629" s="28"/>
      <c r="N629" s="27"/>
      <c r="O629" s="27"/>
      <c r="P629" s="28"/>
      <c r="Q629" s="28"/>
      <c r="R629" s="28"/>
    </row>
    <row r="630" spans="1:18" ht="17.649999999999999">
      <c r="A630" s="23">
        <v>625</v>
      </c>
      <c r="B630" s="24" t="s">
        <v>114</v>
      </c>
      <c r="C630" s="24" t="s">
        <v>625</v>
      </c>
      <c r="D630" s="25">
        <v>304355.23</v>
      </c>
      <c r="E630" s="25">
        <v>3174719.36</v>
      </c>
      <c r="F630" s="25">
        <v>644374.1642</v>
      </c>
      <c r="G630" s="26">
        <f t="shared" si="9"/>
        <v>4123448.7541999999</v>
      </c>
      <c r="H630" s="27"/>
      <c r="I630" s="27"/>
      <c r="J630" s="28"/>
      <c r="K630" s="28"/>
      <c r="L630" s="28"/>
      <c r="M630" s="28"/>
      <c r="N630" s="27"/>
      <c r="O630" s="27"/>
      <c r="P630" s="28"/>
      <c r="Q630" s="28"/>
      <c r="R630" s="28"/>
    </row>
    <row r="631" spans="1:18" ht="17.649999999999999">
      <c r="A631" s="23">
        <v>626</v>
      </c>
      <c r="B631" s="24" t="s">
        <v>115</v>
      </c>
      <c r="C631" s="24" t="s">
        <v>629</v>
      </c>
      <c r="D631" s="25">
        <v>299543.40999999997</v>
      </c>
      <c r="E631" s="25">
        <v>3124527.38</v>
      </c>
      <c r="F631" s="25">
        <v>634186.67579999997</v>
      </c>
      <c r="G631" s="26">
        <f t="shared" si="9"/>
        <v>4058257.4657999999</v>
      </c>
      <c r="H631" s="27"/>
      <c r="I631" s="27"/>
      <c r="J631" s="28"/>
      <c r="K631" s="28"/>
      <c r="L631" s="28"/>
      <c r="M631" s="28"/>
      <c r="N631" s="27"/>
      <c r="O631" s="27"/>
      <c r="P631" s="28"/>
      <c r="Q631" s="28"/>
      <c r="R631" s="28"/>
    </row>
    <row r="632" spans="1:18" ht="17.649999999999999">
      <c r="A632" s="23">
        <v>627</v>
      </c>
      <c r="B632" s="24" t="s">
        <v>115</v>
      </c>
      <c r="C632" s="24" t="s">
        <v>631</v>
      </c>
      <c r="D632" s="25">
        <v>347859.25</v>
      </c>
      <c r="E632" s="25">
        <v>3628508.4</v>
      </c>
      <c r="F632" s="25">
        <v>736479.92079999996</v>
      </c>
      <c r="G632" s="26">
        <f t="shared" si="9"/>
        <v>4712847.5707999999</v>
      </c>
      <c r="H632" s="27"/>
      <c r="I632" s="27"/>
      <c r="J632" s="28"/>
      <c r="K632" s="28"/>
      <c r="L632" s="28"/>
      <c r="M632" s="28"/>
      <c r="N632" s="27"/>
      <c r="O632" s="27"/>
      <c r="P632" s="28"/>
      <c r="Q632" s="28"/>
      <c r="R632" s="28"/>
    </row>
    <row r="633" spans="1:18" ht="17.649999999999999">
      <c r="A633" s="23">
        <v>628</v>
      </c>
      <c r="B633" s="24" t="s">
        <v>115</v>
      </c>
      <c r="C633" s="24" t="s">
        <v>633</v>
      </c>
      <c r="D633" s="25">
        <v>346505.83</v>
      </c>
      <c r="E633" s="25">
        <v>3614390.85</v>
      </c>
      <c r="F633" s="25">
        <v>733614.47580000001</v>
      </c>
      <c r="G633" s="26">
        <f t="shared" si="9"/>
        <v>4694511.1557999998</v>
      </c>
      <c r="H633" s="27"/>
      <c r="I633" s="27"/>
      <c r="J633" s="28"/>
      <c r="K633" s="28"/>
      <c r="L633" s="28"/>
      <c r="M633" s="28"/>
      <c r="N633" s="27"/>
      <c r="O633" s="27"/>
      <c r="P633" s="28"/>
      <c r="Q633" s="28"/>
      <c r="R633" s="28"/>
    </row>
    <row r="634" spans="1:18" ht="17.649999999999999">
      <c r="A634" s="23">
        <v>629</v>
      </c>
      <c r="B634" s="24" t="s">
        <v>115</v>
      </c>
      <c r="C634" s="24" t="s">
        <v>635</v>
      </c>
      <c r="D634" s="25">
        <v>371240.23</v>
      </c>
      <c r="E634" s="25">
        <v>3872394.54</v>
      </c>
      <c r="F634" s="25">
        <v>785981.59710000001</v>
      </c>
      <c r="G634" s="26">
        <f t="shared" si="9"/>
        <v>5029616.3670999995</v>
      </c>
      <c r="H634" s="27"/>
      <c r="I634" s="27"/>
      <c r="J634" s="28"/>
      <c r="K634" s="28"/>
      <c r="L634" s="28"/>
      <c r="M634" s="28"/>
      <c r="N634" s="27"/>
      <c r="O634" s="27"/>
      <c r="P634" s="28"/>
      <c r="Q634" s="28"/>
      <c r="R634" s="28"/>
    </row>
    <row r="635" spans="1:18" ht="17.649999999999999">
      <c r="A635" s="23">
        <v>630</v>
      </c>
      <c r="B635" s="24" t="s">
        <v>115</v>
      </c>
      <c r="C635" s="24" t="s">
        <v>637</v>
      </c>
      <c r="D635" s="25">
        <v>376660.45</v>
      </c>
      <c r="E635" s="25">
        <v>3928932.72</v>
      </c>
      <c r="F635" s="25">
        <v>797457.1764</v>
      </c>
      <c r="G635" s="26">
        <f t="shared" si="9"/>
        <v>5103050.3464000002</v>
      </c>
      <c r="H635" s="27"/>
      <c r="I635" s="27"/>
      <c r="J635" s="28"/>
      <c r="K635" s="28"/>
      <c r="L635" s="28"/>
      <c r="M635" s="28"/>
      <c r="N635" s="27"/>
      <c r="O635" s="27"/>
      <c r="P635" s="28"/>
      <c r="Q635" s="28"/>
      <c r="R635" s="28"/>
    </row>
    <row r="636" spans="1:18" ht="17.649999999999999">
      <c r="A636" s="23">
        <v>631</v>
      </c>
      <c r="B636" s="24" t="s">
        <v>115</v>
      </c>
      <c r="C636" s="24" t="s">
        <v>638</v>
      </c>
      <c r="D636" s="25">
        <v>387130.27</v>
      </c>
      <c r="E636" s="25">
        <v>4038143.1</v>
      </c>
      <c r="F636" s="25">
        <v>819623.65379999997</v>
      </c>
      <c r="G636" s="26">
        <f t="shared" si="9"/>
        <v>5244897.0238000005</v>
      </c>
      <c r="H636" s="27"/>
      <c r="I636" s="27"/>
      <c r="J636" s="28"/>
      <c r="K636" s="28"/>
      <c r="L636" s="28"/>
      <c r="M636" s="28"/>
      <c r="N636" s="27"/>
      <c r="O636" s="27"/>
      <c r="P636" s="28"/>
      <c r="Q636" s="28"/>
      <c r="R636" s="28"/>
    </row>
    <row r="637" spans="1:18" ht="35.25">
      <c r="A637" s="23">
        <v>632</v>
      </c>
      <c r="B637" s="24" t="s">
        <v>115</v>
      </c>
      <c r="C637" s="24" t="s">
        <v>641</v>
      </c>
      <c r="D637" s="25">
        <v>419703.55</v>
      </c>
      <c r="E637" s="25">
        <v>4377913.84</v>
      </c>
      <c r="F637" s="25">
        <v>888587.06810000003</v>
      </c>
      <c r="G637" s="26">
        <f t="shared" si="9"/>
        <v>5686204.4580999995</v>
      </c>
      <c r="H637" s="27"/>
      <c r="I637" s="27"/>
      <c r="J637" s="28"/>
      <c r="K637" s="28"/>
      <c r="L637" s="28"/>
      <c r="M637" s="28"/>
      <c r="N637" s="27"/>
      <c r="O637" s="27"/>
      <c r="P637" s="28"/>
      <c r="Q637" s="28"/>
      <c r="R637" s="28"/>
    </row>
    <row r="638" spans="1:18" ht="35.25">
      <c r="A638" s="23">
        <v>633</v>
      </c>
      <c r="B638" s="24" t="s">
        <v>115</v>
      </c>
      <c r="C638" s="24" t="s">
        <v>643</v>
      </c>
      <c r="D638" s="25">
        <v>308886.40999999997</v>
      </c>
      <c r="E638" s="25">
        <v>3221983.92</v>
      </c>
      <c r="F638" s="25">
        <v>653967.47210000001</v>
      </c>
      <c r="G638" s="26">
        <f t="shared" si="9"/>
        <v>4184837.8021</v>
      </c>
      <c r="H638" s="27"/>
      <c r="I638" s="27"/>
      <c r="J638" s="28"/>
      <c r="K638" s="28"/>
      <c r="L638" s="28"/>
      <c r="M638" s="28"/>
      <c r="N638" s="27"/>
      <c r="O638" s="27"/>
      <c r="P638" s="28"/>
      <c r="Q638" s="28"/>
      <c r="R638" s="28"/>
    </row>
    <row r="639" spans="1:18" ht="35.25">
      <c r="A639" s="23">
        <v>634</v>
      </c>
      <c r="B639" s="24" t="s">
        <v>115</v>
      </c>
      <c r="C639" s="24" t="s">
        <v>645</v>
      </c>
      <c r="D639" s="25">
        <v>366582.98</v>
      </c>
      <c r="E639" s="25">
        <v>3823814.95</v>
      </c>
      <c r="F639" s="25">
        <v>776121.37580000004</v>
      </c>
      <c r="G639" s="26">
        <f t="shared" si="9"/>
        <v>4966519.3058000002</v>
      </c>
      <c r="H639" s="27"/>
      <c r="I639" s="27"/>
      <c r="J639" s="28"/>
      <c r="K639" s="28"/>
      <c r="L639" s="28"/>
      <c r="M639" s="28"/>
      <c r="N639" s="27"/>
      <c r="O639" s="27"/>
      <c r="P639" s="28"/>
      <c r="Q639" s="28"/>
      <c r="R639" s="28"/>
    </row>
    <row r="640" spans="1:18" ht="35.25">
      <c r="A640" s="23">
        <v>635</v>
      </c>
      <c r="B640" s="24" t="s">
        <v>115</v>
      </c>
      <c r="C640" s="24" t="s">
        <v>647</v>
      </c>
      <c r="D640" s="25">
        <v>383795.53</v>
      </c>
      <c r="E640" s="25">
        <v>4003358.54</v>
      </c>
      <c r="F640" s="25">
        <v>812563.41599999997</v>
      </c>
      <c r="G640" s="26">
        <f t="shared" si="9"/>
        <v>5199717.4860000005</v>
      </c>
      <c r="H640" s="27"/>
      <c r="I640" s="27"/>
      <c r="J640" s="28"/>
      <c r="K640" s="28"/>
      <c r="L640" s="28"/>
      <c r="M640" s="28"/>
      <c r="N640" s="27"/>
      <c r="O640" s="27"/>
      <c r="P640" s="28"/>
      <c r="Q640" s="28"/>
      <c r="R640" s="28"/>
    </row>
    <row r="641" spans="1:18" ht="35.25">
      <c r="A641" s="23">
        <v>636</v>
      </c>
      <c r="B641" s="24" t="s">
        <v>115</v>
      </c>
      <c r="C641" s="24" t="s">
        <v>649</v>
      </c>
      <c r="D641" s="25">
        <v>277574.65999999997</v>
      </c>
      <c r="E641" s="25">
        <v>2895372.17</v>
      </c>
      <c r="F641" s="25">
        <v>587674.9425</v>
      </c>
      <c r="G641" s="26">
        <f t="shared" si="9"/>
        <v>3760621.7725</v>
      </c>
      <c r="H641" s="27"/>
      <c r="I641" s="27"/>
      <c r="J641" s="28"/>
      <c r="K641" s="28"/>
      <c r="L641" s="28"/>
      <c r="M641" s="28"/>
      <c r="N641" s="27"/>
      <c r="O641" s="27"/>
      <c r="P641" s="28"/>
      <c r="Q641" s="28"/>
      <c r="R641" s="28"/>
    </row>
    <row r="642" spans="1:18" ht="17.649999999999999">
      <c r="A642" s="23">
        <v>637</v>
      </c>
      <c r="B642" s="24" t="s">
        <v>115</v>
      </c>
      <c r="C642" s="24" t="s">
        <v>651</v>
      </c>
      <c r="D642" s="25">
        <v>287410.92</v>
      </c>
      <c r="E642" s="25">
        <v>3019526.87</v>
      </c>
      <c r="F642" s="25">
        <v>612874.67550000001</v>
      </c>
      <c r="G642" s="26">
        <f t="shared" si="9"/>
        <v>3919812.4654999999</v>
      </c>
      <c r="H642" s="27"/>
      <c r="I642" s="27"/>
      <c r="J642" s="28"/>
      <c r="K642" s="28"/>
      <c r="L642" s="28"/>
      <c r="M642" s="28"/>
      <c r="N642" s="27"/>
      <c r="O642" s="27"/>
      <c r="P642" s="28"/>
      <c r="Q642" s="28"/>
      <c r="R642" s="28"/>
    </row>
    <row r="643" spans="1:18" ht="17.649999999999999">
      <c r="A643" s="23">
        <v>638</v>
      </c>
      <c r="B643" s="24" t="s">
        <v>115</v>
      </c>
      <c r="C643" s="24" t="s">
        <v>653</v>
      </c>
      <c r="D643" s="25">
        <v>289477.18</v>
      </c>
      <c r="E643" s="25">
        <v>2960051.8</v>
      </c>
      <c r="F643" s="25">
        <v>600802.99569999997</v>
      </c>
      <c r="G643" s="26">
        <f t="shared" si="9"/>
        <v>3850331.9756999998</v>
      </c>
      <c r="H643" s="27"/>
      <c r="I643" s="27"/>
      <c r="J643" s="28"/>
      <c r="K643" s="28"/>
      <c r="L643" s="28"/>
      <c r="M643" s="28"/>
      <c r="N643" s="27"/>
      <c r="O643" s="27"/>
      <c r="P643" s="28"/>
      <c r="Q643" s="28"/>
      <c r="R643" s="28"/>
    </row>
    <row r="644" spans="1:18" ht="17.649999999999999">
      <c r="A644" s="23">
        <v>639</v>
      </c>
      <c r="B644" s="24" t="s">
        <v>115</v>
      </c>
      <c r="C644" s="24" t="s">
        <v>655</v>
      </c>
      <c r="D644" s="25">
        <v>283775.40000000002</v>
      </c>
      <c r="E644" s="25">
        <v>4396458.26</v>
      </c>
      <c r="F644" s="25">
        <v>717842.82949999999</v>
      </c>
      <c r="G644" s="26">
        <f t="shared" si="9"/>
        <v>5398076.4895000001</v>
      </c>
      <c r="H644" s="27"/>
      <c r="I644" s="27"/>
      <c r="J644" s="28"/>
      <c r="K644" s="28"/>
      <c r="L644" s="28"/>
      <c r="M644" s="28"/>
      <c r="N644" s="27"/>
      <c r="O644" s="27"/>
      <c r="P644" s="28"/>
      <c r="Q644" s="28"/>
      <c r="R644" s="28"/>
    </row>
    <row r="645" spans="1:18" ht="17.649999999999999">
      <c r="A645" s="23">
        <v>640</v>
      </c>
      <c r="B645" s="24" t="s">
        <v>115</v>
      </c>
      <c r="C645" s="24" t="s">
        <v>657</v>
      </c>
      <c r="D645" s="25">
        <v>339056.45</v>
      </c>
      <c r="E645" s="25">
        <v>2997973.8</v>
      </c>
      <c r="F645" s="25">
        <v>608500.04099999997</v>
      </c>
      <c r="G645" s="26">
        <f t="shared" si="9"/>
        <v>3945530.2910000002</v>
      </c>
      <c r="H645" s="27"/>
      <c r="I645" s="27"/>
      <c r="J645" s="28"/>
      <c r="K645" s="28"/>
      <c r="L645" s="28"/>
      <c r="M645" s="28"/>
      <c r="N645" s="27"/>
      <c r="O645" s="27"/>
      <c r="P645" s="28"/>
      <c r="Q645" s="28"/>
      <c r="R645" s="28"/>
    </row>
    <row r="646" spans="1:18" ht="17.649999999999999">
      <c r="A646" s="23">
        <v>641</v>
      </c>
      <c r="B646" s="24" t="s">
        <v>115</v>
      </c>
      <c r="C646" s="24" t="s">
        <v>659</v>
      </c>
      <c r="D646" s="25">
        <v>301596.96000000002</v>
      </c>
      <c r="E646" s="25">
        <v>3145947.97</v>
      </c>
      <c r="F646" s="25">
        <v>638534.42150000005</v>
      </c>
      <c r="G646" s="26">
        <f t="shared" ref="G646:G709" si="10">D646+E646+F646</f>
        <v>4086079.3515000003</v>
      </c>
      <c r="H646" s="27"/>
      <c r="I646" s="27"/>
      <c r="J646" s="28"/>
      <c r="K646" s="28"/>
      <c r="L646" s="28"/>
      <c r="M646" s="28"/>
      <c r="N646" s="27"/>
      <c r="O646" s="27"/>
      <c r="P646" s="28"/>
      <c r="Q646" s="28"/>
      <c r="R646" s="28"/>
    </row>
    <row r="647" spans="1:18" ht="17.649999999999999">
      <c r="A647" s="23">
        <v>642</v>
      </c>
      <c r="B647" s="24" t="s">
        <v>115</v>
      </c>
      <c r="C647" s="24" t="s">
        <v>661</v>
      </c>
      <c r="D647" s="25">
        <v>394041.52</v>
      </c>
      <c r="E647" s="25">
        <v>4110234.08</v>
      </c>
      <c r="F647" s="25">
        <v>834255.99129999999</v>
      </c>
      <c r="G647" s="26">
        <f t="shared" si="10"/>
        <v>5338531.5912999995</v>
      </c>
      <c r="H647" s="27"/>
      <c r="I647" s="27"/>
      <c r="J647" s="28"/>
      <c r="K647" s="28"/>
      <c r="L647" s="28"/>
      <c r="M647" s="28"/>
      <c r="N647" s="27"/>
      <c r="O647" s="27"/>
      <c r="P647" s="28"/>
      <c r="Q647" s="28"/>
      <c r="R647" s="28"/>
    </row>
    <row r="648" spans="1:18" ht="17.649999999999999">
      <c r="A648" s="23">
        <v>643</v>
      </c>
      <c r="B648" s="24" t="s">
        <v>115</v>
      </c>
      <c r="C648" s="24" t="s">
        <v>663</v>
      </c>
      <c r="D648" s="25">
        <v>340717.92</v>
      </c>
      <c r="E648" s="25">
        <v>3554017.42</v>
      </c>
      <c r="F648" s="25">
        <v>721360.45409999997</v>
      </c>
      <c r="G648" s="26">
        <f t="shared" si="10"/>
        <v>4616095.7940999996</v>
      </c>
      <c r="H648" s="27"/>
      <c r="I648" s="27"/>
      <c r="J648" s="28"/>
      <c r="K648" s="28"/>
      <c r="L648" s="28"/>
      <c r="M648" s="28"/>
      <c r="N648" s="27"/>
      <c r="O648" s="27"/>
      <c r="P648" s="28"/>
      <c r="Q648" s="28"/>
      <c r="R648" s="28"/>
    </row>
    <row r="649" spans="1:18" ht="17.649999999999999">
      <c r="A649" s="23">
        <v>644</v>
      </c>
      <c r="B649" s="24" t="s">
        <v>115</v>
      </c>
      <c r="C649" s="24" t="s">
        <v>665</v>
      </c>
      <c r="D649" s="25">
        <v>312784.03000000003</v>
      </c>
      <c r="E649" s="25">
        <v>3262639.95</v>
      </c>
      <c r="F649" s="25">
        <v>662219.44389999995</v>
      </c>
      <c r="G649" s="26">
        <f t="shared" si="10"/>
        <v>4237643.4239000008</v>
      </c>
      <c r="H649" s="27"/>
      <c r="I649" s="27"/>
      <c r="J649" s="28"/>
      <c r="K649" s="28"/>
      <c r="L649" s="28"/>
      <c r="M649" s="28"/>
      <c r="N649" s="27"/>
      <c r="O649" s="27"/>
      <c r="P649" s="28"/>
      <c r="Q649" s="28"/>
      <c r="R649" s="28"/>
    </row>
    <row r="650" spans="1:18" ht="17.649999999999999">
      <c r="A650" s="23">
        <v>645</v>
      </c>
      <c r="B650" s="24" t="s">
        <v>115</v>
      </c>
      <c r="C650" s="24" t="s">
        <v>667</v>
      </c>
      <c r="D650" s="25">
        <v>282426.15000000002</v>
      </c>
      <c r="E650" s="25">
        <v>2945977.84</v>
      </c>
      <c r="F650" s="25">
        <v>738460.2794</v>
      </c>
      <c r="G650" s="26">
        <f t="shared" si="10"/>
        <v>3966864.2693999996</v>
      </c>
      <c r="H650" s="27"/>
      <c r="I650" s="27"/>
      <c r="J650" s="28"/>
      <c r="K650" s="28"/>
      <c r="L650" s="28"/>
      <c r="M650" s="28"/>
      <c r="N650" s="27"/>
      <c r="O650" s="27"/>
      <c r="P650" s="28"/>
      <c r="Q650" s="28"/>
      <c r="R650" s="28"/>
    </row>
    <row r="651" spans="1:18" ht="17.649999999999999">
      <c r="A651" s="23">
        <v>646</v>
      </c>
      <c r="B651" s="24" t="s">
        <v>115</v>
      </c>
      <c r="C651" s="24" t="s">
        <v>669</v>
      </c>
      <c r="D651" s="25">
        <v>348794.63</v>
      </c>
      <c r="E651" s="25">
        <v>3638265.28</v>
      </c>
      <c r="F651" s="25">
        <v>684009.63650000002</v>
      </c>
      <c r="G651" s="26">
        <f t="shared" si="10"/>
        <v>4671069.5464999992</v>
      </c>
      <c r="H651" s="27"/>
      <c r="I651" s="27"/>
      <c r="J651" s="28"/>
      <c r="K651" s="28"/>
      <c r="L651" s="28"/>
      <c r="M651" s="28"/>
      <c r="N651" s="27"/>
      <c r="O651" s="27"/>
      <c r="P651" s="28"/>
      <c r="Q651" s="28"/>
      <c r="R651" s="28"/>
    </row>
    <row r="652" spans="1:18" ht="17.649999999999999">
      <c r="A652" s="23">
        <v>647</v>
      </c>
      <c r="B652" s="24" t="s">
        <v>115</v>
      </c>
      <c r="C652" s="24" t="s">
        <v>671</v>
      </c>
      <c r="D652" s="25">
        <v>323076.13</v>
      </c>
      <c r="E652" s="25">
        <v>3369996.44</v>
      </c>
      <c r="F652" s="25">
        <v>708121.80610000005</v>
      </c>
      <c r="G652" s="26">
        <f t="shared" si="10"/>
        <v>4401194.3761</v>
      </c>
      <c r="H652" s="27"/>
      <c r="I652" s="27"/>
      <c r="J652" s="28"/>
      <c r="K652" s="28"/>
      <c r="L652" s="28"/>
      <c r="M652" s="28"/>
      <c r="N652" s="27"/>
      <c r="O652" s="27"/>
      <c r="P652" s="28"/>
      <c r="Q652" s="28"/>
      <c r="R652" s="28"/>
    </row>
    <row r="653" spans="1:18" ht="35.25">
      <c r="A653" s="23">
        <v>648</v>
      </c>
      <c r="B653" s="24" t="s">
        <v>115</v>
      </c>
      <c r="C653" s="24" t="s">
        <v>673</v>
      </c>
      <c r="D653" s="25">
        <v>334464.95</v>
      </c>
      <c r="E653" s="25">
        <v>3488792.9</v>
      </c>
      <c r="F653" s="25">
        <v>606203.90780000004</v>
      </c>
      <c r="G653" s="26">
        <f t="shared" si="10"/>
        <v>4429461.7577999998</v>
      </c>
      <c r="H653" s="27"/>
      <c r="I653" s="27"/>
      <c r="J653" s="28"/>
      <c r="K653" s="28"/>
      <c r="L653" s="28"/>
      <c r="M653" s="28"/>
      <c r="N653" s="27"/>
      <c r="O653" s="27"/>
      <c r="P653" s="28"/>
      <c r="Q653" s="28"/>
      <c r="R653" s="28"/>
    </row>
    <row r="654" spans="1:18" ht="35.25">
      <c r="A654" s="23">
        <v>649</v>
      </c>
      <c r="B654" s="24" t="s">
        <v>115</v>
      </c>
      <c r="C654" s="24" t="s">
        <v>675</v>
      </c>
      <c r="D654" s="25">
        <v>286326.39</v>
      </c>
      <c r="E654" s="25">
        <v>2986661.15</v>
      </c>
      <c r="F654" s="25">
        <v>554736.27910000004</v>
      </c>
      <c r="G654" s="26">
        <f t="shared" si="10"/>
        <v>3827723.8191</v>
      </c>
      <c r="H654" s="27"/>
      <c r="I654" s="27"/>
      <c r="J654" s="28"/>
      <c r="K654" s="28"/>
      <c r="L654" s="28"/>
      <c r="M654" s="28"/>
      <c r="N654" s="27"/>
      <c r="O654" s="27"/>
      <c r="P654" s="28"/>
      <c r="Q654" s="28"/>
      <c r="R654" s="28"/>
    </row>
    <row r="655" spans="1:18" ht="17.649999999999999">
      <c r="A655" s="23">
        <v>650</v>
      </c>
      <c r="B655" s="24" t="s">
        <v>115</v>
      </c>
      <c r="C655" s="24" t="s">
        <v>677</v>
      </c>
      <c r="D655" s="25">
        <v>262016.85</v>
      </c>
      <c r="E655" s="25">
        <v>2733089.11</v>
      </c>
      <c r="F655" s="25">
        <v>597946.39760000003</v>
      </c>
      <c r="G655" s="26">
        <f t="shared" si="10"/>
        <v>3593052.3575999998</v>
      </c>
      <c r="H655" s="27"/>
      <c r="I655" s="27"/>
      <c r="J655" s="28"/>
      <c r="K655" s="28"/>
      <c r="L655" s="28"/>
      <c r="M655" s="28"/>
      <c r="N655" s="27"/>
      <c r="O655" s="27"/>
      <c r="P655" s="28"/>
      <c r="Q655" s="28"/>
      <c r="R655" s="28"/>
    </row>
    <row r="656" spans="1:18" ht="17.649999999999999">
      <c r="A656" s="23">
        <v>651</v>
      </c>
      <c r="B656" s="24" t="s">
        <v>115</v>
      </c>
      <c r="C656" s="24" t="s">
        <v>679</v>
      </c>
      <c r="D656" s="25">
        <v>347318.26</v>
      </c>
      <c r="E656" s="25">
        <v>3622865.28</v>
      </c>
      <c r="F656" s="25">
        <v>735334.53460000001</v>
      </c>
      <c r="G656" s="26">
        <f t="shared" si="10"/>
        <v>4705518.0745999999</v>
      </c>
      <c r="H656" s="27"/>
      <c r="I656" s="27"/>
      <c r="J656" s="28"/>
      <c r="K656" s="28"/>
      <c r="L656" s="28"/>
      <c r="M656" s="28"/>
      <c r="N656" s="27"/>
      <c r="O656" s="27"/>
      <c r="P656" s="28"/>
      <c r="Q656" s="28"/>
      <c r="R656" s="28"/>
    </row>
    <row r="657" spans="1:18" ht="17.649999999999999">
      <c r="A657" s="23">
        <v>652</v>
      </c>
      <c r="B657" s="24" t="s">
        <v>115</v>
      </c>
      <c r="C657" s="24" t="s">
        <v>681</v>
      </c>
      <c r="D657" s="25">
        <v>378412.95</v>
      </c>
      <c r="E657" s="25">
        <v>3947212.98</v>
      </c>
      <c r="F657" s="25">
        <v>801167.52789999999</v>
      </c>
      <c r="G657" s="26">
        <f t="shared" si="10"/>
        <v>5126793.4578999998</v>
      </c>
      <c r="H657" s="27"/>
      <c r="I657" s="27"/>
      <c r="J657" s="28"/>
      <c r="K657" s="28"/>
      <c r="L657" s="28"/>
      <c r="M657" s="28"/>
      <c r="N657" s="27"/>
      <c r="O657" s="27"/>
      <c r="P657" s="28"/>
      <c r="Q657" s="28"/>
      <c r="R657" s="28"/>
    </row>
    <row r="658" spans="1:18" ht="17.649999999999999">
      <c r="A658" s="23">
        <v>653</v>
      </c>
      <c r="B658" s="24" t="s">
        <v>115</v>
      </c>
      <c r="C658" s="24" t="s">
        <v>683</v>
      </c>
      <c r="D658" s="25">
        <v>289828.34000000003</v>
      </c>
      <c r="E658" s="25">
        <v>3023189.88</v>
      </c>
      <c r="F658" s="25">
        <v>613618.15800000005</v>
      </c>
      <c r="G658" s="26">
        <f t="shared" si="10"/>
        <v>3926636.3779999996</v>
      </c>
      <c r="H658" s="27"/>
      <c r="I658" s="27"/>
      <c r="J658" s="28"/>
      <c r="K658" s="28"/>
      <c r="L658" s="28"/>
      <c r="M658" s="28"/>
      <c r="N658" s="27"/>
      <c r="O658" s="27"/>
      <c r="P658" s="28"/>
      <c r="Q658" s="28"/>
      <c r="R658" s="28"/>
    </row>
    <row r="659" spans="1:18" ht="17.649999999999999">
      <c r="A659" s="23">
        <v>654</v>
      </c>
      <c r="B659" s="24" t="s">
        <v>115</v>
      </c>
      <c r="C659" s="24" t="s">
        <v>685</v>
      </c>
      <c r="D659" s="25">
        <v>348552.17</v>
      </c>
      <c r="E659" s="25">
        <v>3635736.18</v>
      </c>
      <c r="F659" s="25">
        <v>737946.94759999996</v>
      </c>
      <c r="G659" s="26">
        <f t="shared" si="10"/>
        <v>4722235.2976000002</v>
      </c>
      <c r="H659" s="27"/>
      <c r="I659" s="27"/>
      <c r="J659" s="28"/>
      <c r="K659" s="28"/>
      <c r="L659" s="28"/>
      <c r="M659" s="28"/>
      <c r="N659" s="27"/>
      <c r="O659" s="27"/>
      <c r="P659" s="28"/>
      <c r="Q659" s="28"/>
      <c r="R659" s="28"/>
    </row>
    <row r="660" spans="1:18" ht="17.649999999999999">
      <c r="A660" s="23">
        <v>655</v>
      </c>
      <c r="B660" s="24" t="s">
        <v>115</v>
      </c>
      <c r="C660" s="24" t="s">
        <v>687</v>
      </c>
      <c r="D660" s="25">
        <v>294294.33</v>
      </c>
      <c r="E660" s="25">
        <v>3069774.45</v>
      </c>
      <c r="F660" s="25">
        <v>623073.44999999995</v>
      </c>
      <c r="G660" s="26">
        <f t="shared" si="10"/>
        <v>3987142.2300000004</v>
      </c>
      <c r="H660" s="27"/>
      <c r="I660" s="27"/>
      <c r="J660" s="28"/>
      <c r="K660" s="28"/>
      <c r="L660" s="28"/>
      <c r="M660" s="28"/>
      <c r="N660" s="27"/>
      <c r="O660" s="27"/>
      <c r="P660" s="28"/>
      <c r="Q660" s="28"/>
      <c r="R660" s="28"/>
    </row>
    <row r="661" spans="1:18" ht="17.649999999999999">
      <c r="A661" s="23">
        <v>656</v>
      </c>
      <c r="B661" s="24" t="s">
        <v>115</v>
      </c>
      <c r="C661" s="24" t="s">
        <v>689</v>
      </c>
      <c r="D661" s="25">
        <v>295579.06</v>
      </c>
      <c r="E661" s="25">
        <v>3083175.39</v>
      </c>
      <c r="F661" s="25">
        <v>625793.44400000002</v>
      </c>
      <c r="G661" s="26">
        <f t="shared" si="10"/>
        <v>4004547.8940000003</v>
      </c>
      <c r="H661" s="27"/>
      <c r="I661" s="27"/>
      <c r="J661" s="28"/>
      <c r="K661" s="28"/>
      <c r="L661" s="28"/>
      <c r="M661" s="28"/>
      <c r="N661" s="27"/>
      <c r="O661" s="27"/>
      <c r="P661" s="28"/>
      <c r="Q661" s="28"/>
      <c r="R661" s="28"/>
    </row>
    <row r="662" spans="1:18" ht="17.649999999999999">
      <c r="A662" s="23">
        <v>657</v>
      </c>
      <c r="B662" s="24" t="s">
        <v>115</v>
      </c>
      <c r="C662" s="24" t="s">
        <v>691</v>
      </c>
      <c r="D662" s="25">
        <v>294143.74</v>
      </c>
      <c r="E662" s="25">
        <v>3068203.7</v>
      </c>
      <c r="F662" s="25">
        <v>622754.63329999999</v>
      </c>
      <c r="G662" s="26">
        <f t="shared" si="10"/>
        <v>3985102.0733000003</v>
      </c>
      <c r="H662" s="27"/>
      <c r="I662" s="27"/>
      <c r="J662" s="28"/>
      <c r="K662" s="28"/>
      <c r="L662" s="28"/>
      <c r="M662" s="28"/>
      <c r="N662" s="27"/>
      <c r="O662" s="27"/>
      <c r="P662" s="28"/>
      <c r="Q662" s="28"/>
      <c r="R662" s="28"/>
    </row>
    <row r="663" spans="1:18" ht="17.649999999999999">
      <c r="A663" s="23">
        <v>658</v>
      </c>
      <c r="B663" s="24" t="s">
        <v>115</v>
      </c>
      <c r="C663" s="24" t="s">
        <v>693</v>
      </c>
      <c r="D663" s="25">
        <v>421481.37</v>
      </c>
      <c r="E663" s="25">
        <v>3536686.69</v>
      </c>
      <c r="F663" s="25">
        <v>892351.03659999999</v>
      </c>
      <c r="G663" s="26">
        <f t="shared" si="10"/>
        <v>4850519.0965999998</v>
      </c>
      <c r="H663" s="27"/>
      <c r="I663" s="27"/>
      <c r="J663" s="28"/>
      <c r="K663" s="28"/>
      <c r="L663" s="28"/>
      <c r="M663" s="28"/>
      <c r="N663" s="27"/>
      <c r="O663" s="27"/>
      <c r="P663" s="28"/>
      <c r="Q663" s="28"/>
      <c r="R663" s="28"/>
    </row>
    <row r="664" spans="1:18" ht="17.649999999999999">
      <c r="A664" s="23">
        <v>659</v>
      </c>
      <c r="B664" s="24" t="s">
        <v>116</v>
      </c>
      <c r="C664" s="24" t="s">
        <v>697</v>
      </c>
      <c r="D664" s="25">
        <v>399946.5</v>
      </c>
      <c r="E664" s="25">
        <v>4171828.72</v>
      </c>
      <c r="F664" s="25">
        <v>846757.88139999995</v>
      </c>
      <c r="G664" s="26">
        <f t="shared" si="10"/>
        <v>5418533.101400001</v>
      </c>
      <c r="H664" s="27"/>
      <c r="I664" s="27"/>
      <c r="J664" s="28"/>
      <c r="K664" s="28"/>
      <c r="L664" s="28"/>
      <c r="M664" s="28"/>
      <c r="N664" s="27"/>
      <c r="O664" s="27"/>
      <c r="P664" s="28"/>
      <c r="Q664" s="28"/>
      <c r="R664" s="28"/>
    </row>
    <row r="665" spans="1:18" ht="17.649999999999999">
      <c r="A665" s="23">
        <v>660</v>
      </c>
      <c r="B665" s="24" t="s">
        <v>116</v>
      </c>
      <c r="C665" s="24" t="s">
        <v>292</v>
      </c>
      <c r="D665" s="25">
        <v>403447.54</v>
      </c>
      <c r="E665" s="25">
        <v>4208348.03</v>
      </c>
      <c r="F665" s="25">
        <v>854170.22239999997</v>
      </c>
      <c r="G665" s="26">
        <f t="shared" si="10"/>
        <v>5465965.7924000006</v>
      </c>
      <c r="H665" s="27"/>
      <c r="I665" s="27"/>
      <c r="J665" s="28"/>
      <c r="K665" s="28"/>
      <c r="L665" s="28"/>
      <c r="M665" s="28"/>
      <c r="N665" s="27"/>
      <c r="O665" s="27"/>
      <c r="P665" s="28"/>
      <c r="Q665" s="28"/>
      <c r="R665" s="28"/>
    </row>
    <row r="666" spans="1:18" ht="17.649999999999999">
      <c r="A666" s="23">
        <v>661</v>
      </c>
      <c r="B666" s="24" t="s">
        <v>116</v>
      </c>
      <c r="C666" s="24" t="s">
        <v>700</v>
      </c>
      <c r="D666" s="25">
        <v>401689.48</v>
      </c>
      <c r="E666" s="25">
        <v>4190009.7</v>
      </c>
      <c r="F666" s="25">
        <v>850448.08299999998</v>
      </c>
      <c r="G666" s="26">
        <f t="shared" si="10"/>
        <v>5442147.2629999993</v>
      </c>
      <c r="H666" s="27"/>
      <c r="I666" s="27"/>
      <c r="J666" s="28"/>
      <c r="K666" s="28"/>
      <c r="L666" s="28"/>
      <c r="M666" s="28"/>
      <c r="N666" s="27"/>
      <c r="O666" s="27"/>
      <c r="P666" s="28"/>
      <c r="Q666" s="28"/>
      <c r="R666" s="28"/>
    </row>
    <row r="667" spans="1:18" ht="17.649999999999999">
      <c r="A667" s="23">
        <v>662</v>
      </c>
      <c r="B667" s="24" t="s">
        <v>116</v>
      </c>
      <c r="C667" s="24" t="s">
        <v>702</v>
      </c>
      <c r="D667" s="25">
        <v>304959.65000000002</v>
      </c>
      <c r="E667" s="25">
        <v>3181024.01</v>
      </c>
      <c r="F667" s="25">
        <v>645653.82050000003</v>
      </c>
      <c r="G667" s="26">
        <f t="shared" si="10"/>
        <v>4131637.4804999996</v>
      </c>
      <c r="H667" s="27"/>
      <c r="I667" s="27"/>
      <c r="J667" s="28"/>
      <c r="K667" s="28"/>
      <c r="L667" s="28"/>
      <c r="M667" s="28"/>
      <c r="N667" s="27"/>
      <c r="O667" s="27"/>
      <c r="P667" s="28"/>
      <c r="Q667" s="28"/>
      <c r="R667" s="28"/>
    </row>
    <row r="668" spans="1:18" ht="17.649999999999999">
      <c r="A668" s="23">
        <v>663</v>
      </c>
      <c r="B668" s="24" t="s">
        <v>116</v>
      </c>
      <c r="C668" s="24" t="s">
        <v>704</v>
      </c>
      <c r="D668" s="25">
        <v>530588.16000000003</v>
      </c>
      <c r="E668" s="25">
        <v>5534547.6399999997</v>
      </c>
      <c r="F668" s="25">
        <v>1123349.5307</v>
      </c>
      <c r="G668" s="26">
        <f t="shared" si="10"/>
        <v>7188485.3306999998</v>
      </c>
      <c r="H668" s="27"/>
      <c r="I668" s="27"/>
      <c r="J668" s="28"/>
      <c r="K668" s="28"/>
      <c r="L668" s="28"/>
      <c r="M668" s="28"/>
      <c r="N668" s="27"/>
      <c r="O668" s="27"/>
      <c r="P668" s="28"/>
      <c r="Q668" s="28"/>
      <c r="R668" s="28"/>
    </row>
    <row r="669" spans="1:18" ht="17.649999999999999">
      <c r="A669" s="23">
        <v>664</v>
      </c>
      <c r="B669" s="24" t="s">
        <v>116</v>
      </c>
      <c r="C669" s="24" t="s">
        <v>706</v>
      </c>
      <c r="D669" s="25">
        <v>458823.77</v>
      </c>
      <c r="E669" s="25">
        <v>4785975.58</v>
      </c>
      <c r="F669" s="25">
        <v>971411.53639999998</v>
      </c>
      <c r="G669" s="26">
        <f t="shared" si="10"/>
        <v>6216210.8863999993</v>
      </c>
      <c r="H669" s="27"/>
      <c r="I669" s="27"/>
      <c r="J669" s="28"/>
      <c r="K669" s="28"/>
      <c r="L669" s="28"/>
      <c r="M669" s="28"/>
      <c r="N669" s="27"/>
      <c r="O669" s="27"/>
      <c r="P669" s="28"/>
      <c r="Q669" s="28"/>
      <c r="R669" s="28"/>
    </row>
    <row r="670" spans="1:18" ht="17.649999999999999">
      <c r="A670" s="23">
        <v>665</v>
      </c>
      <c r="B670" s="24" t="s">
        <v>116</v>
      </c>
      <c r="C670" s="24" t="s">
        <v>708</v>
      </c>
      <c r="D670" s="25">
        <v>402775.46</v>
      </c>
      <c r="E670" s="25">
        <v>4201337.5599999996</v>
      </c>
      <c r="F670" s="25">
        <v>852747.30319999997</v>
      </c>
      <c r="G670" s="26">
        <f t="shared" si="10"/>
        <v>5456860.3231999995</v>
      </c>
      <c r="H670" s="27"/>
      <c r="I670" s="27"/>
      <c r="J670" s="28"/>
      <c r="K670" s="28"/>
      <c r="L670" s="28"/>
      <c r="M670" s="28"/>
      <c r="N670" s="27"/>
      <c r="O670" s="27"/>
      <c r="P670" s="28"/>
      <c r="Q670" s="28"/>
      <c r="R670" s="28"/>
    </row>
    <row r="671" spans="1:18" ht="17.649999999999999">
      <c r="A671" s="23">
        <v>666</v>
      </c>
      <c r="B671" s="24" t="s">
        <v>116</v>
      </c>
      <c r="C671" s="24" t="s">
        <v>711</v>
      </c>
      <c r="D671" s="25">
        <v>355715.71</v>
      </c>
      <c r="E671" s="25">
        <v>3710458.79</v>
      </c>
      <c r="F671" s="25">
        <v>753113.42790000001</v>
      </c>
      <c r="G671" s="26">
        <f t="shared" si="10"/>
        <v>4819287.9278999995</v>
      </c>
      <c r="H671" s="27"/>
      <c r="I671" s="27"/>
      <c r="J671" s="28"/>
      <c r="K671" s="28"/>
      <c r="L671" s="28"/>
      <c r="M671" s="28"/>
      <c r="N671" s="27"/>
      <c r="O671" s="27"/>
      <c r="P671" s="28"/>
      <c r="Q671" s="28"/>
      <c r="R671" s="28"/>
    </row>
    <row r="672" spans="1:18" ht="35.25">
      <c r="A672" s="23">
        <v>667</v>
      </c>
      <c r="B672" s="24" t="s">
        <v>116</v>
      </c>
      <c r="C672" s="24" t="s">
        <v>713</v>
      </c>
      <c r="D672" s="25">
        <v>364848.96</v>
      </c>
      <c r="E672" s="25">
        <v>3805727.51</v>
      </c>
      <c r="F672" s="25">
        <v>772450.15989999997</v>
      </c>
      <c r="G672" s="26">
        <f t="shared" si="10"/>
        <v>4943026.6299000001</v>
      </c>
      <c r="H672" s="27"/>
      <c r="I672" s="27"/>
      <c r="J672" s="28"/>
      <c r="K672" s="28"/>
      <c r="L672" s="28"/>
      <c r="M672" s="28"/>
      <c r="N672" s="27"/>
      <c r="O672" s="27"/>
      <c r="P672" s="28"/>
      <c r="Q672" s="28"/>
      <c r="R672" s="28"/>
    </row>
    <row r="673" spans="1:18" ht="35.25">
      <c r="A673" s="23">
        <v>668</v>
      </c>
      <c r="B673" s="24" t="s">
        <v>116</v>
      </c>
      <c r="C673" s="24" t="s">
        <v>715</v>
      </c>
      <c r="D673" s="25">
        <v>346112.12</v>
      </c>
      <c r="E673" s="25">
        <v>3610284.08</v>
      </c>
      <c r="F673" s="25">
        <v>732780.92249999999</v>
      </c>
      <c r="G673" s="26">
        <f t="shared" si="10"/>
        <v>4689177.1225000005</v>
      </c>
      <c r="H673" s="27"/>
      <c r="I673" s="27"/>
      <c r="J673" s="28"/>
      <c r="K673" s="28"/>
      <c r="L673" s="28"/>
      <c r="M673" s="28"/>
      <c r="N673" s="27"/>
      <c r="O673" s="27"/>
      <c r="P673" s="28"/>
      <c r="Q673" s="28"/>
      <c r="R673" s="28"/>
    </row>
    <row r="674" spans="1:18" ht="17.649999999999999">
      <c r="A674" s="23">
        <v>669</v>
      </c>
      <c r="B674" s="24" t="s">
        <v>116</v>
      </c>
      <c r="C674" s="24" t="s">
        <v>717</v>
      </c>
      <c r="D674" s="25">
        <v>478198.78</v>
      </c>
      <c r="E674" s="25">
        <v>4988075.68</v>
      </c>
      <c r="F674" s="25">
        <v>1012431.8805</v>
      </c>
      <c r="G674" s="26">
        <f t="shared" si="10"/>
        <v>6478706.3404999999</v>
      </c>
      <c r="H674" s="27"/>
      <c r="I674" s="27"/>
      <c r="J674" s="28"/>
      <c r="K674" s="28"/>
      <c r="L674" s="28"/>
      <c r="M674" s="28"/>
      <c r="N674" s="27"/>
      <c r="O674" s="27"/>
      <c r="P674" s="28"/>
      <c r="Q674" s="28"/>
      <c r="R674" s="28"/>
    </row>
    <row r="675" spans="1:18" ht="17.649999999999999">
      <c r="A675" s="23">
        <v>670</v>
      </c>
      <c r="B675" s="24" t="s">
        <v>116</v>
      </c>
      <c r="C675" s="24" t="s">
        <v>719</v>
      </c>
      <c r="D675" s="25">
        <v>321948.44</v>
      </c>
      <c r="E675" s="25">
        <v>3358233.6</v>
      </c>
      <c r="F675" s="25">
        <v>681622.12800000003</v>
      </c>
      <c r="G675" s="26">
        <f t="shared" si="10"/>
        <v>4361804.1679999996</v>
      </c>
      <c r="H675" s="27"/>
      <c r="I675" s="27"/>
      <c r="J675" s="28"/>
      <c r="K675" s="28"/>
      <c r="L675" s="28"/>
      <c r="M675" s="28"/>
      <c r="N675" s="27"/>
      <c r="O675" s="27"/>
      <c r="P675" s="28"/>
      <c r="Q675" s="28"/>
      <c r="R675" s="28"/>
    </row>
    <row r="676" spans="1:18" ht="17.649999999999999">
      <c r="A676" s="23">
        <v>671</v>
      </c>
      <c r="B676" s="24" t="s">
        <v>116</v>
      </c>
      <c r="C676" s="24" t="s">
        <v>720</v>
      </c>
      <c r="D676" s="25">
        <v>429807.4</v>
      </c>
      <c r="E676" s="25">
        <v>4483306.84</v>
      </c>
      <c r="F676" s="25">
        <v>909978.73049999995</v>
      </c>
      <c r="G676" s="26">
        <f t="shared" si="10"/>
        <v>5823092.9704999998</v>
      </c>
      <c r="H676" s="27"/>
      <c r="I676" s="27"/>
      <c r="J676" s="28"/>
      <c r="K676" s="28"/>
      <c r="L676" s="28"/>
      <c r="M676" s="28"/>
      <c r="N676" s="27"/>
      <c r="O676" s="27"/>
      <c r="P676" s="28"/>
      <c r="Q676" s="28"/>
      <c r="R676" s="28"/>
    </row>
    <row r="677" spans="1:18" ht="17.649999999999999">
      <c r="A677" s="23">
        <v>672</v>
      </c>
      <c r="B677" s="24" t="s">
        <v>116</v>
      </c>
      <c r="C677" s="24" t="s">
        <v>722</v>
      </c>
      <c r="D677" s="25">
        <v>429185.76</v>
      </c>
      <c r="E677" s="25">
        <v>4476822.5</v>
      </c>
      <c r="F677" s="25">
        <v>908662.60030000005</v>
      </c>
      <c r="G677" s="26">
        <f t="shared" si="10"/>
        <v>5814670.8602999998</v>
      </c>
      <c r="H677" s="27"/>
      <c r="I677" s="27"/>
      <c r="J677" s="28"/>
      <c r="K677" s="28"/>
      <c r="L677" s="28"/>
      <c r="M677" s="28"/>
      <c r="N677" s="27"/>
      <c r="O677" s="27"/>
      <c r="P677" s="28"/>
      <c r="Q677" s="28"/>
      <c r="R677" s="28"/>
    </row>
    <row r="678" spans="1:18" ht="17.649999999999999">
      <c r="A678" s="23">
        <v>673</v>
      </c>
      <c r="B678" s="24" t="s">
        <v>116</v>
      </c>
      <c r="C678" s="24" t="s">
        <v>724</v>
      </c>
      <c r="D678" s="25">
        <v>339175.32</v>
      </c>
      <c r="E678" s="25">
        <v>3537926.58</v>
      </c>
      <c r="F678" s="25">
        <v>718094.48959999997</v>
      </c>
      <c r="G678" s="26">
        <f t="shared" si="10"/>
        <v>4595196.3895999994</v>
      </c>
      <c r="H678" s="27"/>
      <c r="I678" s="27"/>
      <c r="J678" s="28"/>
      <c r="K678" s="28"/>
      <c r="L678" s="28"/>
      <c r="M678" s="28"/>
      <c r="N678" s="27"/>
      <c r="O678" s="27"/>
      <c r="P678" s="28"/>
      <c r="Q678" s="28"/>
      <c r="R678" s="28"/>
    </row>
    <row r="679" spans="1:18" ht="17.649999999999999">
      <c r="A679" s="23">
        <v>674</v>
      </c>
      <c r="B679" s="24" t="s">
        <v>116</v>
      </c>
      <c r="C679" s="24" t="s">
        <v>726</v>
      </c>
      <c r="D679" s="25">
        <v>432170.96</v>
      </c>
      <c r="E679" s="25">
        <v>4507961.05</v>
      </c>
      <c r="F679" s="25">
        <v>914982.80550000002</v>
      </c>
      <c r="G679" s="26">
        <f t="shared" si="10"/>
        <v>5855114.8154999996</v>
      </c>
      <c r="H679" s="27"/>
      <c r="I679" s="27"/>
      <c r="J679" s="28"/>
      <c r="K679" s="28"/>
      <c r="L679" s="28"/>
      <c r="M679" s="28"/>
      <c r="N679" s="27"/>
      <c r="O679" s="27"/>
      <c r="P679" s="28"/>
      <c r="Q679" s="28"/>
      <c r="R679" s="28"/>
    </row>
    <row r="680" spans="1:18" ht="17.649999999999999">
      <c r="A680" s="23">
        <v>675</v>
      </c>
      <c r="B680" s="24" t="s">
        <v>116</v>
      </c>
      <c r="C680" s="24" t="s">
        <v>728</v>
      </c>
      <c r="D680" s="25">
        <v>459183.57</v>
      </c>
      <c r="E680" s="25">
        <v>4789728.68</v>
      </c>
      <c r="F680" s="25">
        <v>972173.30390000006</v>
      </c>
      <c r="G680" s="26">
        <f t="shared" si="10"/>
        <v>6221085.5538999997</v>
      </c>
      <c r="H680" s="27"/>
      <c r="I680" s="27"/>
      <c r="J680" s="28"/>
      <c r="K680" s="28"/>
      <c r="L680" s="28"/>
      <c r="M680" s="28"/>
      <c r="N680" s="27"/>
      <c r="O680" s="27"/>
      <c r="P680" s="28"/>
      <c r="Q680" s="28"/>
      <c r="R680" s="28"/>
    </row>
    <row r="681" spans="1:18" ht="17.649999999999999">
      <c r="A681" s="23">
        <v>676</v>
      </c>
      <c r="B681" s="24" t="s">
        <v>117</v>
      </c>
      <c r="C681" s="24" t="s">
        <v>732</v>
      </c>
      <c r="D681" s="25">
        <v>305520.81</v>
      </c>
      <c r="E681" s="25">
        <v>3186877.46</v>
      </c>
      <c r="F681" s="25">
        <v>646841.89789999998</v>
      </c>
      <c r="G681" s="26">
        <f t="shared" si="10"/>
        <v>4139240.1678999998</v>
      </c>
      <c r="H681" s="27"/>
      <c r="I681" s="27"/>
      <c r="J681" s="28"/>
      <c r="K681" s="28"/>
      <c r="L681" s="28"/>
      <c r="M681" s="28"/>
      <c r="N681" s="27"/>
      <c r="O681" s="27"/>
      <c r="P681" s="28"/>
      <c r="Q681" s="28"/>
      <c r="R681" s="28"/>
    </row>
    <row r="682" spans="1:18" ht="17.649999999999999">
      <c r="A682" s="23">
        <v>677</v>
      </c>
      <c r="B682" s="24" t="s">
        <v>117</v>
      </c>
      <c r="C682" s="24" t="s">
        <v>735</v>
      </c>
      <c r="D682" s="25">
        <v>381724.52</v>
      </c>
      <c r="E682" s="25">
        <v>3981755.88</v>
      </c>
      <c r="F682" s="25">
        <v>808178.71600000001</v>
      </c>
      <c r="G682" s="26">
        <f t="shared" si="10"/>
        <v>5171659.1160000004</v>
      </c>
      <c r="H682" s="27"/>
      <c r="I682" s="27"/>
      <c r="J682" s="28"/>
      <c r="K682" s="28"/>
      <c r="L682" s="28"/>
      <c r="M682" s="28"/>
      <c r="N682" s="27"/>
      <c r="O682" s="27"/>
      <c r="P682" s="28"/>
      <c r="Q682" s="28"/>
      <c r="R682" s="28"/>
    </row>
    <row r="683" spans="1:18" ht="17.649999999999999">
      <c r="A683" s="23">
        <v>678</v>
      </c>
      <c r="B683" s="24" t="s">
        <v>117</v>
      </c>
      <c r="C683" s="24" t="s">
        <v>737</v>
      </c>
      <c r="D683" s="25">
        <v>351648.35</v>
      </c>
      <c r="E683" s="25">
        <v>3668032.37</v>
      </c>
      <c r="F683" s="25">
        <v>744502.11910000001</v>
      </c>
      <c r="G683" s="26">
        <f t="shared" si="10"/>
        <v>4764182.8391000004</v>
      </c>
      <c r="H683" s="27"/>
      <c r="I683" s="27"/>
      <c r="J683" s="28"/>
      <c r="K683" s="28"/>
      <c r="L683" s="28"/>
      <c r="M683" s="28"/>
      <c r="N683" s="27"/>
      <c r="O683" s="27"/>
      <c r="P683" s="28"/>
      <c r="Q683" s="28"/>
      <c r="R683" s="28"/>
    </row>
    <row r="684" spans="1:18" ht="17.649999999999999">
      <c r="A684" s="23">
        <v>679</v>
      </c>
      <c r="B684" s="24" t="s">
        <v>117</v>
      </c>
      <c r="C684" s="24" t="s">
        <v>739</v>
      </c>
      <c r="D684" s="25">
        <v>375377.57</v>
      </c>
      <c r="E684" s="25">
        <v>3915551.07</v>
      </c>
      <c r="F684" s="25">
        <v>794741.09519999998</v>
      </c>
      <c r="G684" s="26">
        <f t="shared" si="10"/>
        <v>5085669.7352</v>
      </c>
      <c r="H684" s="27"/>
      <c r="I684" s="27"/>
      <c r="J684" s="28"/>
      <c r="K684" s="28"/>
      <c r="L684" s="28"/>
      <c r="M684" s="28"/>
      <c r="N684" s="27"/>
      <c r="O684" s="27"/>
      <c r="P684" s="28"/>
      <c r="Q684" s="28"/>
      <c r="R684" s="28"/>
    </row>
    <row r="685" spans="1:18" ht="17.649999999999999">
      <c r="A685" s="23">
        <v>680</v>
      </c>
      <c r="B685" s="24" t="s">
        <v>117</v>
      </c>
      <c r="C685" s="24" t="s">
        <v>741</v>
      </c>
      <c r="D685" s="25">
        <v>348444.3</v>
      </c>
      <c r="E685" s="25">
        <v>3634610.99</v>
      </c>
      <c r="F685" s="25">
        <v>737718.56599999999</v>
      </c>
      <c r="G685" s="26">
        <f t="shared" si="10"/>
        <v>4720773.8559999997</v>
      </c>
      <c r="H685" s="27"/>
      <c r="I685" s="27"/>
      <c r="J685" s="28"/>
      <c r="K685" s="28"/>
      <c r="L685" s="28"/>
      <c r="M685" s="28"/>
      <c r="N685" s="27"/>
      <c r="O685" s="27"/>
      <c r="P685" s="28"/>
      <c r="Q685" s="28"/>
      <c r="R685" s="28"/>
    </row>
    <row r="686" spans="1:18" ht="17.649999999999999">
      <c r="A686" s="23">
        <v>681</v>
      </c>
      <c r="B686" s="24" t="s">
        <v>117</v>
      </c>
      <c r="C686" s="24" t="s">
        <v>743</v>
      </c>
      <c r="D686" s="25">
        <v>348386.07</v>
      </c>
      <c r="E686" s="25">
        <v>3634003.65</v>
      </c>
      <c r="F686" s="25">
        <v>737595.29440000001</v>
      </c>
      <c r="G686" s="26">
        <f t="shared" si="10"/>
        <v>4719985.0143999998</v>
      </c>
      <c r="H686" s="27"/>
      <c r="I686" s="27"/>
      <c r="J686" s="28"/>
      <c r="K686" s="28"/>
      <c r="L686" s="28"/>
      <c r="M686" s="28"/>
      <c r="N686" s="27"/>
      <c r="O686" s="27"/>
      <c r="P686" s="28"/>
      <c r="Q686" s="28"/>
      <c r="R686" s="28"/>
    </row>
    <row r="687" spans="1:18" ht="17.649999999999999">
      <c r="A687" s="23">
        <v>682</v>
      </c>
      <c r="B687" s="24" t="s">
        <v>117</v>
      </c>
      <c r="C687" s="24" t="s">
        <v>745</v>
      </c>
      <c r="D687" s="25">
        <v>377570.79</v>
      </c>
      <c r="E687" s="25">
        <v>3938428.42</v>
      </c>
      <c r="F687" s="25">
        <v>799384.522</v>
      </c>
      <c r="G687" s="26">
        <f t="shared" si="10"/>
        <v>5115383.7319999998</v>
      </c>
      <c r="H687" s="27"/>
      <c r="I687" s="27"/>
      <c r="J687" s="28"/>
      <c r="K687" s="28"/>
      <c r="L687" s="28"/>
      <c r="M687" s="28"/>
      <c r="N687" s="27"/>
      <c r="O687" s="27"/>
      <c r="P687" s="28"/>
      <c r="Q687" s="28"/>
      <c r="R687" s="28"/>
    </row>
    <row r="688" spans="1:18" ht="17.649999999999999">
      <c r="A688" s="23">
        <v>683</v>
      </c>
      <c r="B688" s="24" t="s">
        <v>117</v>
      </c>
      <c r="C688" s="24" t="s">
        <v>747</v>
      </c>
      <c r="D688" s="25">
        <v>365794.67</v>
      </c>
      <c r="E688" s="25">
        <v>3815592.14</v>
      </c>
      <c r="F688" s="25">
        <v>774452.38919999998</v>
      </c>
      <c r="G688" s="26">
        <f t="shared" si="10"/>
        <v>4955839.1991999997</v>
      </c>
      <c r="H688" s="27"/>
      <c r="I688" s="27"/>
      <c r="J688" s="28"/>
      <c r="K688" s="28"/>
      <c r="L688" s="28"/>
      <c r="M688" s="28"/>
      <c r="N688" s="27"/>
      <c r="O688" s="27"/>
      <c r="P688" s="28"/>
      <c r="Q688" s="28"/>
      <c r="R688" s="28"/>
    </row>
    <row r="689" spans="1:18" ht="17.649999999999999">
      <c r="A689" s="23">
        <v>684</v>
      </c>
      <c r="B689" s="24" t="s">
        <v>117</v>
      </c>
      <c r="C689" s="24" t="s">
        <v>749</v>
      </c>
      <c r="D689" s="25">
        <v>348904.73</v>
      </c>
      <c r="E689" s="25">
        <v>3639413.74</v>
      </c>
      <c r="F689" s="25">
        <v>738693.3824</v>
      </c>
      <c r="G689" s="26">
        <f t="shared" si="10"/>
        <v>4727011.8524000002</v>
      </c>
      <c r="H689" s="27"/>
      <c r="I689" s="27"/>
      <c r="J689" s="28"/>
      <c r="K689" s="28"/>
      <c r="L689" s="28"/>
      <c r="M689" s="28"/>
      <c r="N689" s="27"/>
      <c r="O689" s="27"/>
      <c r="P689" s="28"/>
      <c r="Q689" s="28"/>
      <c r="R689" s="28"/>
    </row>
    <row r="690" spans="1:18" ht="17.649999999999999">
      <c r="A690" s="23">
        <v>685</v>
      </c>
      <c r="B690" s="24" t="s">
        <v>117</v>
      </c>
      <c r="C690" s="24" t="s">
        <v>751</v>
      </c>
      <c r="D690" s="25">
        <v>409146.95</v>
      </c>
      <c r="E690" s="25">
        <v>4267798.3600000003</v>
      </c>
      <c r="F690" s="25">
        <v>866236.88130000001</v>
      </c>
      <c r="G690" s="26">
        <f t="shared" si="10"/>
        <v>5543182.191300001</v>
      </c>
      <c r="H690" s="27"/>
      <c r="I690" s="27"/>
      <c r="J690" s="28"/>
      <c r="K690" s="28"/>
      <c r="L690" s="28"/>
      <c r="M690" s="28"/>
      <c r="N690" s="27"/>
      <c r="O690" s="27"/>
      <c r="P690" s="28"/>
      <c r="Q690" s="28"/>
      <c r="R690" s="28"/>
    </row>
    <row r="691" spans="1:18" ht="17.649999999999999">
      <c r="A691" s="23">
        <v>686</v>
      </c>
      <c r="B691" s="24" t="s">
        <v>117</v>
      </c>
      <c r="C691" s="24" t="s">
        <v>753</v>
      </c>
      <c r="D691" s="25">
        <v>364386.39</v>
      </c>
      <c r="E691" s="25">
        <v>3800902.46</v>
      </c>
      <c r="F691" s="25">
        <v>771470.81880000001</v>
      </c>
      <c r="G691" s="26">
        <f t="shared" si="10"/>
        <v>4936759.6688000001</v>
      </c>
      <c r="H691" s="27"/>
      <c r="I691" s="27"/>
      <c r="J691" s="28"/>
      <c r="K691" s="28"/>
      <c r="L691" s="28"/>
      <c r="M691" s="28"/>
      <c r="N691" s="27"/>
      <c r="O691" s="27"/>
      <c r="P691" s="28"/>
      <c r="Q691" s="28"/>
      <c r="R691" s="28"/>
    </row>
    <row r="692" spans="1:18" ht="17.649999999999999">
      <c r="A692" s="23">
        <v>687</v>
      </c>
      <c r="B692" s="24" t="s">
        <v>117</v>
      </c>
      <c r="C692" s="24" t="s">
        <v>755</v>
      </c>
      <c r="D692" s="25">
        <v>348749.04</v>
      </c>
      <c r="E692" s="25">
        <v>3637789.72</v>
      </c>
      <c r="F692" s="25">
        <v>738363.75390000001</v>
      </c>
      <c r="G692" s="26">
        <f t="shared" si="10"/>
        <v>4724902.5139000006</v>
      </c>
      <c r="H692" s="27"/>
      <c r="I692" s="27"/>
      <c r="J692" s="28"/>
      <c r="K692" s="28"/>
      <c r="L692" s="28"/>
      <c r="M692" s="28"/>
      <c r="N692" s="27"/>
      <c r="O692" s="27"/>
      <c r="P692" s="28"/>
      <c r="Q692" s="28"/>
      <c r="R692" s="28"/>
    </row>
    <row r="693" spans="1:18" ht="17.649999999999999">
      <c r="A693" s="23">
        <v>688</v>
      </c>
      <c r="B693" s="24" t="s">
        <v>117</v>
      </c>
      <c r="C693" s="24" t="s">
        <v>757</v>
      </c>
      <c r="D693" s="25">
        <v>414025.73</v>
      </c>
      <c r="E693" s="25">
        <v>4318688.6900000004</v>
      </c>
      <c r="F693" s="25">
        <v>876566.11369999999</v>
      </c>
      <c r="G693" s="26">
        <f t="shared" si="10"/>
        <v>5609280.5336999996</v>
      </c>
      <c r="H693" s="27"/>
      <c r="I693" s="27"/>
      <c r="J693" s="28"/>
      <c r="K693" s="28"/>
      <c r="L693" s="28"/>
      <c r="M693" s="28"/>
      <c r="N693" s="27"/>
      <c r="O693" s="27"/>
      <c r="P693" s="28"/>
      <c r="Q693" s="28"/>
      <c r="R693" s="28"/>
    </row>
    <row r="694" spans="1:18" ht="17.649999999999999">
      <c r="A694" s="23">
        <v>689</v>
      </c>
      <c r="B694" s="24" t="s">
        <v>117</v>
      </c>
      <c r="C694" s="24" t="s">
        <v>759</v>
      </c>
      <c r="D694" s="25">
        <v>507019.41</v>
      </c>
      <c r="E694" s="25">
        <v>5288702.7</v>
      </c>
      <c r="F694" s="25">
        <v>1073450.2767</v>
      </c>
      <c r="G694" s="26">
        <f t="shared" si="10"/>
        <v>6869172.3867000006</v>
      </c>
      <c r="H694" s="27"/>
      <c r="I694" s="27"/>
      <c r="J694" s="28"/>
      <c r="K694" s="28"/>
      <c r="L694" s="28"/>
      <c r="M694" s="28"/>
      <c r="N694" s="27"/>
      <c r="O694" s="27"/>
      <c r="P694" s="28"/>
      <c r="Q694" s="28"/>
      <c r="R694" s="28"/>
    </row>
    <row r="695" spans="1:18" ht="17.649999999999999">
      <c r="A695" s="23">
        <v>690</v>
      </c>
      <c r="B695" s="24" t="s">
        <v>117</v>
      </c>
      <c r="C695" s="24" t="s">
        <v>761</v>
      </c>
      <c r="D695" s="25">
        <v>409338.71</v>
      </c>
      <c r="E695" s="25">
        <v>4269798.6100000003</v>
      </c>
      <c r="F695" s="25">
        <v>866642.87179999996</v>
      </c>
      <c r="G695" s="26">
        <f t="shared" si="10"/>
        <v>5545780.1918000001</v>
      </c>
      <c r="H695" s="27"/>
      <c r="I695" s="27"/>
      <c r="J695" s="28"/>
      <c r="K695" s="28"/>
      <c r="L695" s="28"/>
      <c r="M695" s="28"/>
      <c r="N695" s="27"/>
      <c r="O695" s="27"/>
      <c r="P695" s="28"/>
      <c r="Q695" s="28"/>
      <c r="R695" s="28"/>
    </row>
    <row r="696" spans="1:18" ht="35.25">
      <c r="A696" s="23">
        <v>691</v>
      </c>
      <c r="B696" s="24" t="s">
        <v>117</v>
      </c>
      <c r="C696" s="24" t="s">
        <v>763</v>
      </c>
      <c r="D696" s="25">
        <v>413058.65</v>
      </c>
      <c r="E696" s="25">
        <v>4308601.17</v>
      </c>
      <c r="F696" s="25">
        <v>874518.64529999997</v>
      </c>
      <c r="G696" s="26">
        <f t="shared" si="10"/>
        <v>5596178.4653000003</v>
      </c>
      <c r="H696" s="27"/>
      <c r="I696" s="27"/>
      <c r="J696" s="28"/>
      <c r="K696" s="28"/>
      <c r="L696" s="28"/>
      <c r="M696" s="28"/>
      <c r="N696" s="27"/>
      <c r="O696" s="27"/>
      <c r="P696" s="28"/>
      <c r="Q696" s="28"/>
      <c r="R696" s="28"/>
    </row>
    <row r="697" spans="1:18" ht="17.649999999999999">
      <c r="A697" s="23">
        <v>692</v>
      </c>
      <c r="B697" s="24" t="s">
        <v>117</v>
      </c>
      <c r="C697" s="24" t="s">
        <v>765</v>
      </c>
      <c r="D697" s="25">
        <v>283789.74</v>
      </c>
      <c r="E697" s="25">
        <v>2960201.46</v>
      </c>
      <c r="F697" s="25">
        <v>600833.37210000004</v>
      </c>
      <c r="G697" s="26">
        <f t="shared" si="10"/>
        <v>3844824.5721000005</v>
      </c>
      <c r="H697" s="27"/>
      <c r="I697" s="27"/>
      <c r="J697" s="28"/>
      <c r="K697" s="28"/>
      <c r="L697" s="28"/>
      <c r="M697" s="28"/>
      <c r="N697" s="27"/>
      <c r="O697" s="27"/>
      <c r="P697" s="28"/>
      <c r="Q697" s="28"/>
      <c r="R697" s="28"/>
    </row>
    <row r="698" spans="1:18" ht="17.649999999999999">
      <c r="A698" s="23">
        <v>693</v>
      </c>
      <c r="B698" s="24" t="s">
        <v>117</v>
      </c>
      <c r="C698" s="24" t="s">
        <v>767</v>
      </c>
      <c r="D698" s="25">
        <v>349204.49</v>
      </c>
      <c r="E698" s="25">
        <v>3642540.54</v>
      </c>
      <c r="F698" s="25">
        <v>739328.03079999995</v>
      </c>
      <c r="G698" s="26">
        <f t="shared" si="10"/>
        <v>4731073.0608000001</v>
      </c>
      <c r="H698" s="27"/>
      <c r="I698" s="27"/>
      <c r="J698" s="28"/>
      <c r="K698" s="28"/>
      <c r="L698" s="28"/>
      <c r="M698" s="28"/>
      <c r="N698" s="27"/>
      <c r="O698" s="27"/>
      <c r="P698" s="28"/>
      <c r="Q698" s="28"/>
      <c r="R698" s="28"/>
    </row>
    <row r="699" spans="1:18" ht="17.649999999999999">
      <c r="A699" s="23">
        <v>694</v>
      </c>
      <c r="B699" s="24" t="s">
        <v>117</v>
      </c>
      <c r="C699" s="24" t="s">
        <v>769</v>
      </c>
      <c r="D699" s="25">
        <v>276778.99</v>
      </c>
      <c r="E699" s="25">
        <v>2887072.52</v>
      </c>
      <c r="F699" s="25">
        <v>585990.36049999995</v>
      </c>
      <c r="G699" s="26">
        <f t="shared" si="10"/>
        <v>3749841.8704999997</v>
      </c>
      <c r="H699" s="27"/>
      <c r="I699" s="27"/>
      <c r="J699" s="28"/>
      <c r="K699" s="28"/>
      <c r="L699" s="28"/>
      <c r="M699" s="28"/>
      <c r="N699" s="27"/>
      <c r="O699" s="27"/>
      <c r="P699" s="28"/>
      <c r="Q699" s="28"/>
      <c r="R699" s="28"/>
    </row>
    <row r="700" spans="1:18" ht="17.649999999999999">
      <c r="A700" s="23">
        <v>695</v>
      </c>
      <c r="B700" s="24" t="s">
        <v>117</v>
      </c>
      <c r="C700" s="24" t="s">
        <v>771</v>
      </c>
      <c r="D700" s="25">
        <v>299383.36</v>
      </c>
      <c r="E700" s="25">
        <v>3122858</v>
      </c>
      <c r="F700" s="25">
        <v>633847.84089999995</v>
      </c>
      <c r="G700" s="26">
        <f t="shared" si="10"/>
        <v>4056089.2008999996</v>
      </c>
      <c r="H700" s="27"/>
      <c r="I700" s="27"/>
      <c r="J700" s="28"/>
      <c r="K700" s="28"/>
      <c r="L700" s="28"/>
      <c r="M700" s="28"/>
      <c r="N700" s="27"/>
      <c r="O700" s="27"/>
      <c r="P700" s="28"/>
      <c r="Q700" s="28"/>
      <c r="R700" s="28"/>
    </row>
    <row r="701" spans="1:18" ht="17.649999999999999">
      <c r="A701" s="23">
        <v>696</v>
      </c>
      <c r="B701" s="24" t="s">
        <v>117</v>
      </c>
      <c r="C701" s="24" t="s">
        <v>773</v>
      </c>
      <c r="D701" s="25">
        <v>309208.52</v>
      </c>
      <c r="E701" s="25">
        <v>3225343.92</v>
      </c>
      <c r="F701" s="25">
        <v>654649.45180000004</v>
      </c>
      <c r="G701" s="26">
        <f t="shared" si="10"/>
        <v>4189201.8917999999</v>
      </c>
      <c r="H701" s="27"/>
      <c r="I701" s="27"/>
      <c r="J701" s="28"/>
      <c r="K701" s="28"/>
      <c r="L701" s="28"/>
      <c r="M701" s="28"/>
      <c r="N701" s="27"/>
      <c r="O701" s="27"/>
      <c r="P701" s="28"/>
      <c r="Q701" s="28"/>
      <c r="R701" s="28"/>
    </row>
    <row r="702" spans="1:18" ht="17.649999999999999">
      <c r="A702" s="23">
        <v>697</v>
      </c>
      <c r="B702" s="24" t="s">
        <v>117</v>
      </c>
      <c r="C702" s="24" t="s">
        <v>775</v>
      </c>
      <c r="D702" s="25">
        <v>574240.38</v>
      </c>
      <c r="E702" s="25">
        <v>5989882.4400000004</v>
      </c>
      <c r="F702" s="25">
        <v>1215769.0323999999</v>
      </c>
      <c r="G702" s="26">
        <f t="shared" si="10"/>
        <v>7779891.8524000002</v>
      </c>
      <c r="H702" s="27"/>
      <c r="I702" s="27"/>
      <c r="J702" s="28"/>
      <c r="K702" s="28"/>
      <c r="L702" s="28"/>
      <c r="M702" s="28"/>
      <c r="N702" s="27"/>
      <c r="O702" s="27"/>
      <c r="P702" s="28"/>
      <c r="Q702" s="28"/>
      <c r="R702" s="28"/>
    </row>
    <row r="703" spans="1:18" ht="17.649999999999999">
      <c r="A703" s="23">
        <v>698</v>
      </c>
      <c r="B703" s="24" t="s">
        <v>117</v>
      </c>
      <c r="C703" s="24" t="s">
        <v>777</v>
      </c>
      <c r="D703" s="25">
        <v>339884.94</v>
      </c>
      <c r="E703" s="25">
        <v>3545328.63</v>
      </c>
      <c r="F703" s="25">
        <v>719596.88749999995</v>
      </c>
      <c r="G703" s="26">
        <f t="shared" si="10"/>
        <v>4604810.4574999996</v>
      </c>
      <c r="H703" s="27"/>
      <c r="I703" s="27"/>
      <c r="J703" s="28"/>
      <c r="K703" s="28"/>
      <c r="L703" s="28"/>
      <c r="M703" s="28"/>
      <c r="N703" s="27"/>
      <c r="O703" s="27"/>
      <c r="P703" s="28"/>
      <c r="Q703" s="28"/>
      <c r="R703" s="28"/>
    </row>
    <row r="704" spans="1:18" ht="17.649999999999999">
      <c r="A704" s="23">
        <v>699</v>
      </c>
      <c r="B704" s="24" t="s">
        <v>118</v>
      </c>
      <c r="C704" s="24" t="s">
        <v>781</v>
      </c>
      <c r="D704" s="25">
        <v>318442.63</v>
      </c>
      <c r="E704" s="25">
        <v>3321664.61</v>
      </c>
      <c r="F704" s="25">
        <v>674199.70420000004</v>
      </c>
      <c r="G704" s="26">
        <f t="shared" si="10"/>
        <v>4314306.9441999998</v>
      </c>
      <c r="H704" s="27"/>
      <c r="I704" s="27"/>
      <c r="J704" s="28"/>
      <c r="K704" s="28"/>
      <c r="L704" s="28"/>
      <c r="M704" s="28"/>
      <c r="N704" s="27"/>
      <c r="O704" s="27"/>
      <c r="P704" s="28"/>
      <c r="Q704" s="28"/>
      <c r="R704" s="28"/>
    </row>
    <row r="705" spans="1:18" ht="17.649999999999999">
      <c r="A705" s="23">
        <v>700</v>
      </c>
      <c r="B705" s="24" t="s">
        <v>118</v>
      </c>
      <c r="C705" s="24" t="s">
        <v>783</v>
      </c>
      <c r="D705" s="25">
        <v>362494.42</v>
      </c>
      <c r="E705" s="25">
        <v>3781167.34</v>
      </c>
      <c r="F705" s="25">
        <v>767465.17209999997</v>
      </c>
      <c r="G705" s="26">
        <f t="shared" si="10"/>
        <v>4911126.9320999999</v>
      </c>
      <c r="H705" s="27"/>
      <c r="I705" s="27"/>
      <c r="J705" s="28"/>
      <c r="K705" s="28"/>
      <c r="L705" s="28"/>
      <c r="M705" s="28"/>
      <c r="N705" s="27"/>
      <c r="O705" s="27"/>
      <c r="P705" s="28"/>
      <c r="Q705" s="28"/>
      <c r="R705" s="28"/>
    </row>
    <row r="706" spans="1:18" ht="17.649999999999999">
      <c r="A706" s="23">
        <v>701</v>
      </c>
      <c r="B706" s="24" t="s">
        <v>118</v>
      </c>
      <c r="C706" s="24" t="s">
        <v>785</v>
      </c>
      <c r="D706" s="25">
        <v>390647.99</v>
      </c>
      <c r="E706" s="25">
        <v>4074836.35</v>
      </c>
      <c r="F706" s="25">
        <v>827071.29839999997</v>
      </c>
      <c r="G706" s="26">
        <f t="shared" si="10"/>
        <v>5292555.6383999996</v>
      </c>
      <c r="H706" s="27"/>
      <c r="I706" s="27"/>
      <c r="J706" s="28"/>
      <c r="K706" s="28"/>
      <c r="L706" s="28"/>
      <c r="M706" s="28"/>
      <c r="N706" s="27"/>
      <c r="O706" s="27"/>
      <c r="P706" s="28"/>
      <c r="Q706" s="28"/>
      <c r="R706" s="28"/>
    </row>
    <row r="707" spans="1:18" ht="17.649999999999999">
      <c r="A707" s="23">
        <v>702</v>
      </c>
      <c r="B707" s="24" t="s">
        <v>118</v>
      </c>
      <c r="C707" s="24" t="s">
        <v>787</v>
      </c>
      <c r="D707" s="25">
        <v>424150.87</v>
      </c>
      <c r="E707" s="25">
        <v>4424303.75</v>
      </c>
      <c r="F707" s="25">
        <v>898002.84730000002</v>
      </c>
      <c r="G707" s="26">
        <f t="shared" si="10"/>
        <v>5746457.4672999997</v>
      </c>
      <c r="H707" s="27"/>
      <c r="I707" s="27"/>
      <c r="J707" s="28"/>
      <c r="K707" s="28"/>
      <c r="L707" s="28"/>
      <c r="M707" s="28"/>
      <c r="N707" s="27"/>
      <c r="O707" s="27"/>
      <c r="P707" s="28"/>
      <c r="Q707" s="28"/>
      <c r="R707" s="28"/>
    </row>
    <row r="708" spans="1:18" ht="17.649999999999999">
      <c r="A708" s="23">
        <v>703</v>
      </c>
      <c r="B708" s="24" t="s">
        <v>118</v>
      </c>
      <c r="C708" s="24" t="s">
        <v>789</v>
      </c>
      <c r="D708" s="25">
        <v>399000.81</v>
      </c>
      <c r="E708" s="25">
        <v>4161964.28</v>
      </c>
      <c r="F708" s="25">
        <v>844755.69240000006</v>
      </c>
      <c r="G708" s="26">
        <f t="shared" si="10"/>
        <v>5405720.7823999999</v>
      </c>
      <c r="H708" s="27"/>
      <c r="I708" s="27"/>
      <c r="J708" s="28"/>
      <c r="K708" s="28"/>
      <c r="L708" s="28"/>
      <c r="M708" s="28"/>
      <c r="N708" s="27"/>
      <c r="O708" s="27"/>
      <c r="P708" s="28"/>
      <c r="Q708" s="28"/>
      <c r="R708" s="28"/>
    </row>
    <row r="709" spans="1:18" ht="17.649999999999999">
      <c r="A709" s="23">
        <v>704</v>
      </c>
      <c r="B709" s="24" t="s">
        <v>118</v>
      </c>
      <c r="C709" s="24" t="s">
        <v>792</v>
      </c>
      <c r="D709" s="25">
        <v>361539.9</v>
      </c>
      <c r="E709" s="25">
        <v>3771210.74</v>
      </c>
      <c r="F709" s="25">
        <v>765444.27590000001</v>
      </c>
      <c r="G709" s="26">
        <f t="shared" si="10"/>
        <v>4898194.9159000004</v>
      </c>
      <c r="H709" s="27"/>
      <c r="I709" s="27"/>
      <c r="J709" s="28"/>
      <c r="K709" s="28"/>
      <c r="L709" s="28"/>
      <c r="M709" s="28"/>
      <c r="N709" s="27"/>
      <c r="O709" s="27"/>
      <c r="P709" s="28"/>
      <c r="Q709" s="28"/>
      <c r="R709" s="28"/>
    </row>
    <row r="710" spans="1:18" ht="17.649999999999999">
      <c r="A710" s="23">
        <v>705</v>
      </c>
      <c r="B710" s="24" t="s">
        <v>118</v>
      </c>
      <c r="C710" s="24" t="s">
        <v>794</v>
      </c>
      <c r="D710" s="25">
        <v>412930.15</v>
      </c>
      <c r="E710" s="25">
        <v>4307260.79</v>
      </c>
      <c r="F710" s="25">
        <v>874246.58689999999</v>
      </c>
      <c r="G710" s="26">
        <f t="shared" ref="G710:G773" si="11">D710+E710+F710</f>
        <v>5594437.5269000009</v>
      </c>
      <c r="H710" s="27"/>
      <c r="I710" s="27"/>
      <c r="J710" s="28"/>
      <c r="K710" s="28"/>
      <c r="L710" s="28"/>
      <c r="M710" s="28"/>
      <c r="N710" s="27"/>
      <c r="O710" s="27"/>
      <c r="P710" s="28"/>
      <c r="Q710" s="28"/>
      <c r="R710" s="28"/>
    </row>
    <row r="711" spans="1:18" ht="17.649999999999999">
      <c r="A711" s="23">
        <v>706</v>
      </c>
      <c r="B711" s="24" t="s">
        <v>118</v>
      </c>
      <c r="C711" s="24" t="s">
        <v>796</v>
      </c>
      <c r="D711" s="25">
        <v>352357.73</v>
      </c>
      <c r="E711" s="25">
        <v>3675431.81</v>
      </c>
      <c r="F711" s="25">
        <v>746003.98560000001</v>
      </c>
      <c r="G711" s="26">
        <f t="shared" si="11"/>
        <v>4773793.5256000003</v>
      </c>
      <c r="H711" s="27"/>
      <c r="I711" s="27"/>
      <c r="J711" s="28"/>
      <c r="K711" s="28"/>
      <c r="L711" s="28"/>
      <c r="M711" s="28"/>
      <c r="N711" s="27"/>
      <c r="O711" s="27"/>
      <c r="P711" s="28"/>
      <c r="Q711" s="28"/>
      <c r="R711" s="28"/>
    </row>
    <row r="712" spans="1:18" ht="17.649999999999999">
      <c r="A712" s="23">
        <v>707</v>
      </c>
      <c r="B712" s="24" t="s">
        <v>118</v>
      </c>
      <c r="C712" s="24" t="s">
        <v>798</v>
      </c>
      <c r="D712" s="25">
        <v>398842.7</v>
      </c>
      <c r="E712" s="25">
        <v>4160315.04</v>
      </c>
      <c r="F712" s="25">
        <v>844420.94550000003</v>
      </c>
      <c r="G712" s="26">
        <f t="shared" si="11"/>
        <v>5403578.6855000006</v>
      </c>
      <c r="H712" s="27"/>
      <c r="I712" s="27"/>
      <c r="J712" s="28"/>
      <c r="K712" s="28"/>
      <c r="L712" s="28"/>
      <c r="M712" s="28"/>
      <c r="N712" s="27"/>
      <c r="O712" s="27"/>
      <c r="P712" s="28"/>
      <c r="Q712" s="28"/>
      <c r="R712" s="28"/>
    </row>
    <row r="713" spans="1:18" ht="17.649999999999999">
      <c r="A713" s="23">
        <v>708</v>
      </c>
      <c r="B713" s="24" t="s">
        <v>118</v>
      </c>
      <c r="C713" s="24" t="s">
        <v>800</v>
      </c>
      <c r="D713" s="25">
        <v>360099.43</v>
      </c>
      <c r="E713" s="25">
        <v>3756185.28</v>
      </c>
      <c r="F713" s="25">
        <v>762394.55240000004</v>
      </c>
      <c r="G713" s="26">
        <f t="shared" si="11"/>
        <v>4878679.2624000004</v>
      </c>
      <c r="H713" s="27"/>
      <c r="I713" s="27"/>
      <c r="J713" s="28"/>
      <c r="K713" s="28"/>
      <c r="L713" s="28"/>
      <c r="M713" s="28"/>
      <c r="N713" s="27"/>
      <c r="O713" s="27"/>
      <c r="P713" s="28"/>
      <c r="Q713" s="28"/>
      <c r="R713" s="28"/>
    </row>
    <row r="714" spans="1:18" ht="17.649999999999999">
      <c r="A714" s="23">
        <v>709</v>
      </c>
      <c r="B714" s="24" t="s">
        <v>118</v>
      </c>
      <c r="C714" s="24" t="s">
        <v>802</v>
      </c>
      <c r="D714" s="25">
        <v>333922.76</v>
      </c>
      <c r="E714" s="25">
        <v>3483137.35</v>
      </c>
      <c r="F714" s="25">
        <v>706973.89520000003</v>
      </c>
      <c r="G714" s="26">
        <f t="shared" si="11"/>
        <v>4524034.0052000005</v>
      </c>
      <c r="H714" s="27"/>
      <c r="I714" s="27"/>
      <c r="J714" s="28"/>
      <c r="K714" s="28"/>
      <c r="L714" s="28"/>
      <c r="M714" s="28"/>
      <c r="N714" s="27"/>
      <c r="O714" s="27"/>
      <c r="P714" s="28"/>
      <c r="Q714" s="28"/>
      <c r="R714" s="28"/>
    </row>
    <row r="715" spans="1:18" ht="17.649999999999999">
      <c r="A715" s="23">
        <v>710</v>
      </c>
      <c r="B715" s="24" t="s">
        <v>118</v>
      </c>
      <c r="C715" s="24" t="s">
        <v>804</v>
      </c>
      <c r="D715" s="25">
        <v>397575.67999999999</v>
      </c>
      <c r="E715" s="25">
        <v>4147098.8</v>
      </c>
      <c r="F715" s="25">
        <v>841738.43920000002</v>
      </c>
      <c r="G715" s="26">
        <f t="shared" si="11"/>
        <v>5386412.9191999994</v>
      </c>
      <c r="H715" s="27"/>
      <c r="I715" s="27"/>
      <c r="J715" s="28"/>
      <c r="K715" s="28"/>
      <c r="L715" s="28"/>
      <c r="M715" s="28"/>
      <c r="N715" s="27"/>
      <c r="O715" s="27"/>
      <c r="P715" s="28"/>
      <c r="Q715" s="28"/>
      <c r="R715" s="28"/>
    </row>
    <row r="716" spans="1:18" ht="17.649999999999999">
      <c r="A716" s="23">
        <v>711</v>
      </c>
      <c r="B716" s="24" t="s">
        <v>118</v>
      </c>
      <c r="C716" s="24" t="s">
        <v>806</v>
      </c>
      <c r="D716" s="25">
        <v>417137.12</v>
      </c>
      <c r="E716" s="25">
        <v>4351143.5</v>
      </c>
      <c r="F716" s="25">
        <v>883153.48010000004</v>
      </c>
      <c r="G716" s="26">
        <f t="shared" si="11"/>
        <v>5651434.1001000004</v>
      </c>
      <c r="H716" s="27"/>
      <c r="I716" s="27"/>
      <c r="J716" s="28"/>
      <c r="K716" s="28"/>
      <c r="L716" s="28"/>
      <c r="M716" s="28"/>
      <c r="N716" s="27"/>
      <c r="O716" s="27"/>
      <c r="P716" s="28"/>
      <c r="Q716" s="28"/>
      <c r="R716" s="28"/>
    </row>
    <row r="717" spans="1:18" ht="17.649999999999999">
      <c r="A717" s="23">
        <v>712</v>
      </c>
      <c r="B717" s="24" t="s">
        <v>118</v>
      </c>
      <c r="C717" s="24" t="s">
        <v>808</v>
      </c>
      <c r="D717" s="25">
        <v>375862.64</v>
      </c>
      <c r="E717" s="25">
        <v>3920610.8</v>
      </c>
      <c r="F717" s="25">
        <v>795768.07200000004</v>
      </c>
      <c r="G717" s="26">
        <f t="shared" si="11"/>
        <v>5092241.5119999992</v>
      </c>
      <c r="H717" s="27"/>
      <c r="I717" s="27"/>
      <c r="J717" s="28"/>
      <c r="K717" s="28"/>
      <c r="L717" s="28"/>
      <c r="M717" s="28"/>
      <c r="N717" s="27"/>
      <c r="O717" s="27"/>
      <c r="P717" s="28"/>
      <c r="Q717" s="28"/>
      <c r="R717" s="28"/>
    </row>
    <row r="718" spans="1:18" ht="17.649999999999999">
      <c r="A718" s="23">
        <v>713</v>
      </c>
      <c r="B718" s="24" t="s">
        <v>118</v>
      </c>
      <c r="C718" s="24" t="s">
        <v>810</v>
      </c>
      <c r="D718" s="25">
        <v>336561.97</v>
      </c>
      <c r="E718" s="25">
        <v>3510666.8</v>
      </c>
      <c r="F718" s="25">
        <v>712561.56019999995</v>
      </c>
      <c r="G718" s="26">
        <f t="shared" si="11"/>
        <v>4559790.3301999997</v>
      </c>
      <c r="H718" s="27"/>
      <c r="I718" s="27"/>
      <c r="J718" s="28"/>
      <c r="K718" s="28"/>
      <c r="L718" s="28"/>
      <c r="M718" s="28"/>
      <c r="N718" s="27"/>
      <c r="O718" s="27"/>
      <c r="P718" s="28"/>
      <c r="Q718" s="28"/>
      <c r="R718" s="28"/>
    </row>
    <row r="719" spans="1:18" ht="17.649999999999999">
      <c r="A719" s="23">
        <v>714</v>
      </c>
      <c r="B719" s="24" t="s">
        <v>118</v>
      </c>
      <c r="C719" s="24" t="s">
        <v>812</v>
      </c>
      <c r="D719" s="25">
        <v>374000.41</v>
      </c>
      <c r="E719" s="25">
        <v>3901185.98</v>
      </c>
      <c r="F719" s="25">
        <v>791825.40689999994</v>
      </c>
      <c r="G719" s="26">
        <f t="shared" si="11"/>
        <v>5067011.7968999995</v>
      </c>
      <c r="H719" s="27"/>
      <c r="I719" s="27"/>
      <c r="J719" s="28"/>
      <c r="K719" s="28"/>
      <c r="L719" s="28"/>
      <c r="M719" s="28"/>
      <c r="N719" s="27"/>
      <c r="O719" s="27"/>
      <c r="P719" s="28"/>
      <c r="Q719" s="28"/>
      <c r="R719" s="28"/>
    </row>
    <row r="720" spans="1:18" ht="17.649999999999999">
      <c r="A720" s="23">
        <v>715</v>
      </c>
      <c r="B720" s="24" t="s">
        <v>118</v>
      </c>
      <c r="C720" s="24" t="s">
        <v>814</v>
      </c>
      <c r="D720" s="25">
        <v>370979.05</v>
      </c>
      <c r="E720" s="25">
        <v>3869670.25</v>
      </c>
      <c r="F720" s="25">
        <v>785428.64659999998</v>
      </c>
      <c r="G720" s="26">
        <f t="shared" si="11"/>
        <v>5026077.9465999994</v>
      </c>
      <c r="H720" s="27"/>
      <c r="I720" s="27"/>
      <c r="J720" s="28"/>
      <c r="K720" s="28"/>
      <c r="L720" s="28"/>
      <c r="M720" s="28"/>
      <c r="N720" s="27"/>
      <c r="O720" s="27"/>
      <c r="P720" s="28"/>
      <c r="Q720" s="28"/>
      <c r="R720" s="28"/>
    </row>
    <row r="721" spans="1:18" ht="17.649999999999999">
      <c r="A721" s="23">
        <v>716</v>
      </c>
      <c r="B721" s="24" t="s">
        <v>118</v>
      </c>
      <c r="C721" s="24" t="s">
        <v>816</v>
      </c>
      <c r="D721" s="25">
        <v>415391.37</v>
      </c>
      <c r="E721" s="25">
        <v>4332933.68</v>
      </c>
      <c r="F721" s="25">
        <v>879457.42429999996</v>
      </c>
      <c r="G721" s="26">
        <f t="shared" si="11"/>
        <v>5627782.4742999999</v>
      </c>
      <c r="H721" s="27"/>
      <c r="I721" s="27"/>
      <c r="J721" s="28"/>
      <c r="K721" s="28"/>
      <c r="L721" s="28"/>
      <c r="M721" s="28"/>
      <c r="N721" s="27"/>
      <c r="O721" s="27"/>
      <c r="P721" s="28"/>
      <c r="Q721" s="28"/>
      <c r="R721" s="28"/>
    </row>
    <row r="722" spans="1:18" ht="17.649999999999999">
      <c r="A722" s="23">
        <v>717</v>
      </c>
      <c r="B722" s="24" t="s">
        <v>118</v>
      </c>
      <c r="C722" s="24" t="s">
        <v>818</v>
      </c>
      <c r="D722" s="25">
        <v>382974.1</v>
      </c>
      <c r="E722" s="25">
        <v>3994790.23</v>
      </c>
      <c r="F722" s="25">
        <v>810824.30299999996</v>
      </c>
      <c r="G722" s="26">
        <f t="shared" si="11"/>
        <v>5188588.6330000004</v>
      </c>
      <c r="H722" s="27"/>
      <c r="I722" s="27"/>
      <c r="J722" s="28"/>
      <c r="K722" s="28"/>
      <c r="L722" s="28"/>
      <c r="M722" s="28"/>
      <c r="N722" s="27"/>
      <c r="O722" s="27"/>
      <c r="P722" s="28"/>
      <c r="Q722" s="28"/>
      <c r="R722" s="28"/>
    </row>
    <row r="723" spans="1:18" ht="17.649999999999999">
      <c r="A723" s="23">
        <v>718</v>
      </c>
      <c r="B723" s="24" t="s">
        <v>118</v>
      </c>
      <c r="C723" s="24" t="s">
        <v>820</v>
      </c>
      <c r="D723" s="25">
        <v>348512.02</v>
      </c>
      <c r="E723" s="25">
        <v>3635317.4</v>
      </c>
      <c r="F723" s="25">
        <v>737861.94640000002</v>
      </c>
      <c r="G723" s="26">
        <f t="shared" si="11"/>
        <v>4721691.3663999997</v>
      </c>
      <c r="H723" s="27"/>
      <c r="I723" s="27"/>
      <c r="J723" s="28"/>
      <c r="K723" s="28"/>
      <c r="L723" s="28"/>
      <c r="M723" s="28"/>
      <c r="N723" s="27"/>
      <c r="O723" s="27"/>
      <c r="P723" s="28"/>
      <c r="Q723" s="28"/>
      <c r="R723" s="28"/>
    </row>
    <row r="724" spans="1:18" ht="17.649999999999999">
      <c r="A724" s="23">
        <v>719</v>
      </c>
      <c r="B724" s="24" t="s">
        <v>118</v>
      </c>
      <c r="C724" s="24" t="s">
        <v>822</v>
      </c>
      <c r="D724" s="25">
        <v>359262.27</v>
      </c>
      <c r="E724" s="25">
        <v>3747452.91</v>
      </c>
      <c r="F724" s="25">
        <v>760622.1398</v>
      </c>
      <c r="G724" s="26">
        <f t="shared" si="11"/>
        <v>4867337.3198000006</v>
      </c>
      <c r="H724" s="27"/>
      <c r="I724" s="27"/>
      <c r="J724" s="28"/>
      <c r="K724" s="28"/>
      <c r="L724" s="28"/>
      <c r="M724" s="28"/>
      <c r="N724" s="27"/>
      <c r="O724" s="27"/>
      <c r="P724" s="28"/>
      <c r="Q724" s="28"/>
      <c r="R724" s="28"/>
    </row>
    <row r="725" spans="1:18" ht="17.649999999999999">
      <c r="A725" s="23">
        <v>720</v>
      </c>
      <c r="B725" s="24" t="s">
        <v>118</v>
      </c>
      <c r="C725" s="24" t="s">
        <v>824</v>
      </c>
      <c r="D725" s="25">
        <v>345666.13</v>
      </c>
      <c r="E725" s="25">
        <v>3605632</v>
      </c>
      <c r="F725" s="25">
        <v>731836.68770000001</v>
      </c>
      <c r="G725" s="26">
        <f t="shared" si="11"/>
        <v>4683134.8176999995</v>
      </c>
      <c r="H725" s="27"/>
      <c r="I725" s="27"/>
      <c r="J725" s="28"/>
      <c r="K725" s="28"/>
      <c r="L725" s="28"/>
      <c r="M725" s="28"/>
      <c r="N725" s="27"/>
      <c r="O725" s="27"/>
      <c r="P725" s="28"/>
      <c r="Q725" s="28"/>
      <c r="R725" s="28"/>
    </row>
    <row r="726" spans="1:18" ht="17.649999999999999">
      <c r="A726" s="23">
        <v>721</v>
      </c>
      <c r="B726" s="24" t="s">
        <v>118</v>
      </c>
      <c r="C726" s="24" t="s">
        <v>826</v>
      </c>
      <c r="D726" s="25">
        <v>324061.92</v>
      </c>
      <c r="E726" s="25">
        <v>3380279.2</v>
      </c>
      <c r="F726" s="25">
        <v>686096.73360000004</v>
      </c>
      <c r="G726" s="26">
        <f t="shared" si="11"/>
        <v>4390437.8536</v>
      </c>
      <c r="H726" s="27"/>
      <c r="I726" s="27"/>
      <c r="J726" s="28"/>
      <c r="K726" s="28"/>
      <c r="L726" s="28"/>
      <c r="M726" s="28"/>
      <c r="N726" s="27"/>
      <c r="O726" s="27"/>
      <c r="P726" s="28"/>
      <c r="Q726" s="28"/>
      <c r="R726" s="28"/>
    </row>
    <row r="727" spans="1:18" ht="17.649999999999999">
      <c r="A727" s="23">
        <v>722</v>
      </c>
      <c r="B727" s="24" t="s">
        <v>119</v>
      </c>
      <c r="C727" s="24" t="s">
        <v>830</v>
      </c>
      <c r="D727" s="25">
        <v>321654.95</v>
      </c>
      <c r="E727" s="25">
        <v>3355172.12</v>
      </c>
      <c r="F727" s="25">
        <v>681000.73860000004</v>
      </c>
      <c r="G727" s="26">
        <f t="shared" si="11"/>
        <v>4357827.8086000001</v>
      </c>
      <c r="H727" s="27"/>
      <c r="I727" s="27"/>
      <c r="J727" s="28"/>
      <c r="K727" s="28"/>
      <c r="L727" s="28"/>
      <c r="M727" s="28"/>
      <c r="N727" s="27"/>
      <c r="O727" s="27"/>
      <c r="P727" s="28"/>
      <c r="Q727" s="28"/>
      <c r="R727" s="28"/>
    </row>
    <row r="728" spans="1:18" ht="17.649999999999999">
      <c r="A728" s="23">
        <v>723</v>
      </c>
      <c r="B728" s="24" t="s">
        <v>119</v>
      </c>
      <c r="C728" s="24" t="s">
        <v>832</v>
      </c>
      <c r="D728" s="25">
        <v>550425.68000000005</v>
      </c>
      <c r="E728" s="25">
        <v>5741472.1600000001</v>
      </c>
      <c r="F728" s="25">
        <v>1165349.0904000001</v>
      </c>
      <c r="G728" s="26">
        <f t="shared" si="11"/>
        <v>7457246.9304</v>
      </c>
      <c r="H728" s="27"/>
      <c r="I728" s="27"/>
      <c r="J728" s="28"/>
      <c r="K728" s="28"/>
      <c r="L728" s="28"/>
      <c r="M728" s="28"/>
      <c r="N728" s="27"/>
      <c r="O728" s="27"/>
      <c r="P728" s="28"/>
      <c r="Q728" s="28"/>
      <c r="R728" s="28"/>
    </row>
    <row r="729" spans="1:18" ht="17.649999999999999">
      <c r="A729" s="23">
        <v>724</v>
      </c>
      <c r="B729" s="24" t="s">
        <v>119</v>
      </c>
      <c r="C729" s="24" t="s">
        <v>834</v>
      </c>
      <c r="D729" s="25">
        <v>378041.2</v>
      </c>
      <c r="E729" s="25">
        <v>3943335.25</v>
      </c>
      <c r="F729" s="25">
        <v>800380.46340000001</v>
      </c>
      <c r="G729" s="26">
        <f t="shared" si="11"/>
        <v>5121756.9134</v>
      </c>
      <c r="H729" s="27"/>
      <c r="I729" s="27"/>
      <c r="J729" s="28"/>
      <c r="K729" s="28"/>
      <c r="L729" s="28"/>
      <c r="M729" s="28"/>
      <c r="N729" s="27"/>
      <c r="O729" s="27"/>
      <c r="P729" s="28"/>
      <c r="Q729" s="28"/>
      <c r="R729" s="28"/>
    </row>
    <row r="730" spans="1:18" ht="17.649999999999999">
      <c r="A730" s="23">
        <v>725</v>
      </c>
      <c r="B730" s="24" t="s">
        <v>119</v>
      </c>
      <c r="C730" s="24" t="s">
        <v>836</v>
      </c>
      <c r="D730" s="25">
        <v>451383.45</v>
      </c>
      <c r="E730" s="25">
        <v>4708365.87</v>
      </c>
      <c r="F730" s="25">
        <v>955659.05980000005</v>
      </c>
      <c r="G730" s="26">
        <f t="shared" si="11"/>
        <v>6115408.3798000002</v>
      </c>
      <c r="H730" s="27"/>
      <c r="I730" s="27"/>
      <c r="J730" s="28"/>
      <c r="K730" s="28"/>
      <c r="L730" s="28"/>
      <c r="M730" s="28"/>
      <c r="N730" s="27"/>
      <c r="O730" s="27"/>
      <c r="P730" s="28"/>
      <c r="Q730" s="28"/>
      <c r="R730" s="28"/>
    </row>
    <row r="731" spans="1:18" ht="17.649999999999999">
      <c r="A731" s="23">
        <v>726</v>
      </c>
      <c r="B731" s="24" t="s">
        <v>119</v>
      </c>
      <c r="C731" s="24" t="s">
        <v>838</v>
      </c>
      <c r="D731" s="25">
        <v>487650.06</v>
      </c>
      <c r="E731" s="25">
        <v>5086661.7300000004</v>
      </c>
      <c r="F731" s="25">
        <v>1032441.9331</v>
      </c>
      <c r="G731" s="26">
        <f t="shared" si="11"/>
        <v>6606753.7231000001</v>
      </c>
      <c r="H731" s="27"/>
      <c r="I731" s="27"/>
      <c r="J731" s="28"/>
      <c r="K731" s="28"/>
      <c r="L731" s="28"/>
      <c r="M731" s="28"/>
      <c r="N731" s="27"/>
      <c r="O731" s="27"/>
      <c r="P731" s="28"/>
      <c r="Q731" s="28"/>
      <c r="R731" s="28"/>
    </row>
    <row r="732" spans="1:18" ht="17.649999999999999">
      <c r="A732" s="23">
        <v>727</v>
      </c>
      <c r="B732" s="24" t="s">
        <v>119</v>
      </c>
      <c r="C732" s="24" t="s">
        <v>840</v>
      </c>
      <c r="D732" s="25">
        <v>337819.81</v>
      </c>
      <c r="E732" s="25">
        <v>3523787.31</v>
      </c>
      <c r="F732" s="25">
        <v>715224.63560000004</v>
      </c>
      <c r="G732" s="26">
        <f t="shared" si="11"/>
        <v>4576831.7555999998</v>
      </c>
      <c r="H732" s="27"/>
      <c r="I732" s="27"/>
      <c r="J732" s="28"/>
      <c r="K732" s="28"/>
      <c r="L732" s="28"/>
      <c r="M732" s="28"/>
      <c r="N732" s="27"/>
      <c r="O732" s="27"/>
      <c r="P732" s="28"/>
      <c r="Q732" s="28"/>
      <c r="R732" s="28"/>
    </row>
    <row r="733" spans="1:18" ht="17.649999999999999">
      <c r="A733" s="23">
        <v>728</v>
      </c>
      <c r="B733" s="24" t="s">
        <v>119</v>
      </c>
      <c r="C733" s="24" t="s">
        <v>842</v>
      </c>
      <c r="D733" s="25">
        <v>324924.59000000003</v>
      </c>
      <c r="E733" s="25">
        <v>3389277.67</v>
      </c>
      <c r="F733" s="25">
        <v>687923.15590000001</v>
      </c>
      <c r="G733" s="26">
        <f t="shared" si="11"/>
        <v>4402125.4158999994</v>
      </c>
      <c r="H733" s="27"/>
      <c r="I733" s="27"/>
      <c r="J733" s="28"/>
      <c r="K733" s="28"/>
      <c r="L733" s="28"/>
      <c r="M733" s="28"/>
      <c r="N733" s="27"/>
      <c r="O733" s="27"/>
      <c r="P733" s="28"/>
      <c r="Q733" s="28"/>
      <c r="R733" s="28"/>
    </row>
    <row r="734" spans="1:18" ht="17.649999999999999">
      <c r="A734" s="23">
        <v>729</v>
      </c>
      <c r="B734" s="24" t="s">
        <v>119</v>
      </c>
      <c r="C734" s="24" t="s">
        <v>844</v>
      </c>
      <c r="D734" s="25">
        <v>504327.4</v>
      </c>
      <c r="E734" s="25">
        <v>5260622.45</v>
      </c>
      <c r="F734" s="25">
        <v>1067750.8174999999</v>
      </c>
      <c r="G734" s="26">
        <f t="shared" si="11"/>
        <v>6832700.6675000004</v>
      </c>
      <c r="H734" s="27"/>
      <c r="I734" s="27"/>
      <c r="J734" s="28"/>
      <c r="K734" s="28"/>
      <c r="L734" s="28"/>
      <c r="M734" s="28"/>
      <c r="N734" s="27"/>
      <c r="O734" s="27"/>
      <c r="P734" s="28"/>
      <c r="Q734" s="28"/>
      <c r="R734" s="28"/>
    </row>
    <row r="735" spans="1:18" ht="17.649999999999999">
      <c r="A735" s="23">
        <v>730</v>
      </c>
      <c r="B735" s="24" t="s">
        <v>119</v>
      </c>
      <c r="C735" s="24" t="s">
        <v>846</v>
      </c>
      <c r="D735" s="25">
        <v>359000.05</v>
      </c>
      <c r="E735" s="25">
        <v>3744717.68</v>
      </c>
      <c r="F735" s="25">
        <v>760066.96810000006</v>
      </c>
      <c r="G735" s="26">
        <f t="shared" si="11"/>
        <v>4863784.6980999997</v>
      </c>
      <c r="H735" s="27"/>
      <c r="I735" s="27"/>
      <c r="J735" s="28"/>
      <c r="K735" s="28"/>
      <c r="L735" s="28"/>
      <c r="M735" s="28"/>
      <c r="N735" s="27"/>
      <c r="O735" s="27"/>
      <c r="P735" s="28"/>
      <c r="Q735" s="28"/>
      <c r="R735" s="28"/>
    </row>
    <row r="736" spans="1:18" ht="17.649999999999999">
      <c r="A736" s="23">
        <v>731</v>
      </c>
      <c r="B736" s="24" t="s">
        <v>119</v>
      </c>
      <c r="C736" s="24" t="s">
        <v>849</v>
      </c>
      <c r="D736" s="25">
        <v>331463.93</v>
      </c>
      <c r="E736" s="25">
        <v>3457489.27</v>
      </c>
      <c r="F736" s="25">
        <v>701768.09510000004</v>
      </c>
      <c r="G736" s="26">
        <f t="shared" si="11"/>
        <v>4490721.2950999998</v>
      </c>
      <c r="H736" s="27"/>
      <c r="I736" s="27"/>
      <c r="J736" s="28"/>
      <c r="K736" s="28"/>
      <c r="L736" s="28"/>
      <c r="M736" s="28"/>
      <c r="N736" s="27"/>
      <c r="O736" s="27"/>
      <c r="P736" s="28"/>
      <c r="Q736" s="28"/>
      <c r="R736" s="28"/>
    </row>
    <row r="737" spans="1:18" ht="17.649999999999999">
      <c r="A737" s="23">
        <v>732</v>
      </c>
      <c r="B737" s="24" t="s">
        <v>119</v>
      </c>
      <c r="C737" s="24" t="s">
        <v>851</v>
      </c>
      <c r="D737" s="25">
        <v>494649.59</v>
      </c>
      <c r="E737" s="25">
        <v>5159673.5599999996</v>
      </c>
      <c r="F737" s="25">
        <v>1047261.1769</v>
      </c>
      <c r="G737" s="26">
        <f t="shared" si="11"/>
        <v>6701584.3268999998</v>
      </c>
      <c r="H737" s="27"/>
      <c r="I737" s="27"/>
      <c r="J737" s="28"/>
      <c r="K737" s="28"/>
      <c r="L737" s="28"/>
      <c r="M737" s="28"/>
      <c r="N737" s="27"/>
      <c r="O737" s="27"/>
      <c r="P737" s="28"/>
      <c r="Q737" s="28"/>
      <c r="R737" s="28"/>
    </row>
    <row r="738" spans="1:18" ht="17.649999999999999">
      <c r="A738" s="23">
        <v>733</v>
      </c>
      <c r="B738" s="24" t="s">
        <v>119</v>
      </c>
      <c r="C738" s="24" t="s">
        <v>853</v>
      </c>
      <c r="D738" s="25">
        <v>391531.14</v>
      </c>
      <c r="E738" s="25">
        <v>4084048.43</v>
      </c>
      <c r="F738" s="25">
        <v>828941.07920000004</v>
      </c>
      <c r="G738" s="26">
        <f t="shared" si="11"/>
        <v>5304520.6491999999</v>
      </c>
      <c r="H738" s="27"/>
      <c r="I738" s="27"/>
      <c r="J738" s="28"/>
      <c r="K738" s="28"/>
      <c r="L738" s="28"/>
      <c r="M738" s="28"/>
      <c r="N738" s="27"/>
      <c r="O738" s="27"/>
      <c r="P738" s="28"/>
      <c r="Q738" s="28"/>
      <c r="R738" s="28"/>
    </row>
    <row r="739" spans="1:18" ht="17.649999999999999">
      <c r="A739" s="23">
        <v>734</v>
      </c>
      <c r="B739" s="24" t="s">
        <v>119</v>
      </c>
      <c r="C739" s="24" t="s">
        <v>855</v>
      </c>
      <c r="D739" s="25">
        <v>336515.79</v>
      </c>
      <c r="E739" s="25">
        <v>3510185.14</v>
      </c>
      <c r="F739" s="25">
        <v>712463.79819999996</v>
      </c>
      <c r="G739" s="26">
        <f t="shared" si="11"/>
        <v>4559164.7281999998</v>
      </c>
      <c r="H739" s="27"/>
      <c r="I739" s="27"/>
      <c r="J739" s="28"/>
      <c r="K739" s="28"/>
      <c r="L739" s="28"/>
      <c r="M739" s="28"/>
      <c r="N739" s="27"/>
      <c r="O739" s="27"/>
      <c r="P739" s="28"/>
      <c r="Q739" s="28"/>
      <c r="R739" s="28"/>
    </row>
    <row r="740" spans="1:18" ht="17.649999999999999">
      <c r="A740" s="23">
        <v>735</v>
      </c>
      <c r="B740" s="24" t="s">
        <v>119</v>
      </c>
      <c r="C740" s="24" t="s">
        <v>857</v>
      </c>
      <c r="D740" s="25">
        <v>482011.08</v>
      </c>
      <c r="E740" s="25">
        <v>5027841.6900000004</v>
      </c>
      <c r="F740" s="25">
        <v>1020503.205</v>
      </c>
      <c r="G740" s="26">
        <f t="shared" si="11"/>
        <v>6530355.9750000006</v>
      </c>
      <c r="H740" s="27"/>
      <c r="I740" s="27"/>
      <c r="J740" s="28"/>
      <c r="K740" s="28"/>
      <c r="L740" s="28"/>
      <c r="M740" s="28"/>
      <c r="N740" s="27"/>
      <c r="O740" s="27"/>
      <c r="P740" s="28"/>
      <c r="Q740" s="28"/>
      <c r="R740" s="28"/>
    </row>
    <row r="741" spans="1:18" ht="17.649999999999999">
      <c r="A741" s="23">
        <v>736</v>
      </c>
      <c r="B741" s="24" t="s">
        <v>119</v>
      </c>
      <c r="C741" s="24" t="s">
        <v>859</v>
      </c>
      <c r="D741" s="25">
        <v>319531.55</v>
      </c>
      <c r="E741" s="25">
        <v>3333023.1</v>
      </c>
      <c r="F741" s="25">
        <v>676505.14190000005</v>
      </c>
      <c r="G741" s="26">
        <f t="shared" si="11"/>
        <v>4329059.7918999996</v>
      </c>
      <c r="H741" s="27"/>
      <c r="I741" s="27"/>
      <c r="J741" s="28"/>
      <c r="K741" s="28"/>
      <c r="L741" s="28"/>
      <c r="M741" s="28"/>
      <c r="N741" s="27"/>
      <c r="O741" s="27"/>
      <c r="P741" s="28"/>
      <c r="Q741" s="28"/>
      <c r="R741" s="28"/>
    </row>
    <row r="742" spans="1:18" ht="17.649999999999999">
      <c r="A742" s="23">
        <v>737</v>
      </c>
      <c r="B742" s="24" t="s">
        <v>119</v>
      </c>
      <c r="C742" s="24" t="s">
        <v>861</v>
      </c>
      <c r="D742" s="25">
        <v>346627.73</v>
      </c>
      <c r="E742" s="25">
        <v>3615662.39</v>
      </c>
      <c r="F742" s="25">
        <v>733872.56030000001</v>
      </c>
      <c r="G742" s="26">
        <f t="shared" si="11"/>
        <v>4696162.6803000001</v>
      </c>
      <c r="H742" s="27"/>
      <c r="I742" s="27"/>
      <c r="J742" s="28"/>
      <c r="K742" s="28"/>
      <c r="L742" s="28"/>
      <c r="M742" s="28"/>
      <c r="N742" s="27"/>
      <c r="O742" s="27"/>
      <c r="P742" s="28"/>
      <c r="Q742" s="28"/>
      <c r="R742" s="28"/>
    </row>
    <row r="743" spans="1:18" ht="17.649999999999999">
      <c r="A743" s="23">
        <v>738</v>
      </c>
      <c r="B743" s="24" t="s">
        <v>120</v>
      </c>
      <c r="C743" s="24" t="s">
        <v>865</v>
      </c>
      <c r="D743" s="25">
        <v>358219.14</v>
      </c>
      <c r="E743" s="25">
        <v>3736572.07</v>
      </c>
      <c r="F743" s="25">
        <v>758413.65060000005</v>
      </c>
      <c r="G743" s="26">
        <f t="shared" si="11"/>
        <v>4853204.8606000002</v>
      </c>
      <c r="H743" s="27"/>
      <c r="I743" s="27"/>
      <c r="J743" s="28"/>
      <c r="K743" s="28"/>
      <c r="L743" s="28"/>
      <c r="M743" s="28"/>
      <c r="N743" s="27"/>
      <c r="O743" s="27"/>
      <c r="P743" s="28"/>
      <c r="Q743" s="28"/>
      <c r="R743" s="28"/>
    </row>
    <row r="744" spans="1:18" ht="17.649999999999999">
      <c r="A744" s="23">
        <v>739</v>
      </c>
      <c r="B744" s="24" t="s">
        <v>120</v>
      </c>
      <c r="C744" s="24" t="s">
        <v>867</v>
      </c>
      <c r="D744" s="25">
        <v>396404.95</v>
      </c>
      <c r="E744" s="25">
        <v>4134886.93</v>
      </c>
      <c r="F744" s="25">
        <v>839259.78980000003</v>
      </c>
      <c r="G744" s="26">
        <f t="shared" si="11"/>
        <v>5370551.6698000003</v>
      </c>
      <c r="H744" s="27"/>
      <c r="I744" s="27"/>
      <c r="J744" s="28"/>
      <c r="K744" s="28"/>
      <c r="L744" s="28"/>
      <c r="M744" s="28"/>
      <c r="N744" s="27"/>
      <c r="O744" s="27"/>
      <c r="P744" s="28"/>
      <c r="Q744" s="28"/>
      <c r="R744" s="28"/>
    </row>
    <row r="745" spans="1:18" ht="17.649999999999999">
      <c r="A745" s="23">
        <v>740</v>
      </c>
      <c r="B745" s="24" t="s">
        <v>120</v>
      </c>
      <c r="C745" s="24" t="s">
        <v>869</v>
      </c>
      <c r="D745" s="25">
        <v>331905.86</v>
      </c>
      <c r="E745" s="25">
        <v>3462099.07</v>
      </c>
      <c r="F745" s="25">
        <v>702703.74820000003</v>
      </c>
      <c r="G745" s="26">
        <f t="shared" si="11"/>
        <v>4496708.6782</v>
      </c>
      <c r="H745" s="27"/>
      <c r="I745" s="27"/>
      <c r="J745" s="28"/>
      <c r="K745" s="28"/>
      <c r="L745" s="28"/>
      <c r="M745" s="28"/>
      <c r="N745" s="27"/>
      <c r="O745" s="27"/>
      <c r="P745" s="28"/>
      <c r="Q745" s="28"/>
      <c r="R745" s="28"/>
    </row>
    <row r="746" spans="1:18" ht="17.649999999999999">
      <c r="A746" s="23">
        <v>741</v>
      </c>
      <c r="B746" s="24" t="s">
        <v>120</v>
      </c>
      <c r="C746" s="24" t="s">
        <v>871</v>
      </c>
      <c r="D746" s="25">
        <v>371613.56</v>
      </c>
      <c r="E746" s="25">
        <v>3876288.75</v>
      </c>
      <c r="F746" s="25">
        <v>786772.00520000001</v>
      </c>
      <c r="G746" s="26">
        <f t="shared" si="11"/>
        <v>5034674.3151999991</v>
      </c>
      <c r="H746" s="27"/>
      <c r="I746" s="27"/>
      <c r="J746" s="28"/>
      <c r="K746" s="28"/>
      <c r="L746" s="28"/>
      <c r="M746" s="28"/>
      <c r="N746" s="27"/>
      <c r="O746" s="27"/>
      <c r="P746" s="28"/>
      <c r="Q746" s="28"/>
      <c r="R746" s="28"/>
    </row>
    <row r="747" spans="1:18" ht="17.649999999999999">
      <c r="A747" s="23">
        <v>742</v>
      </c>
      <c r="B747" s="24" t="s">
        <v>120</v>
      </c>
      <c r="C747" s="24" t="s">
        <v>873</v>
      </c>
      <c r="D747" s="25">
        <v>521216.44</v>
      </c>
      <c r="E747" s="25">
        <v>5436791.5</v>
      </c>
      <c r="F747" s="25">
        <v>1103507.9257</v>
      </c>
      <c r="G747" s="26">
        <f t="shared" si="11"/>
        <v>7061515.8657000009</v>
      </c>
      <c r="H747" s="27"/>
      <c r="I747" s="27"/>
      <c r="J747" s="28"/>
      <c r="K747" s="28"/>
      <c r="L747" s="28"/>
      <c r="M747" s="28"/>
      <c r="N747" s="27"/>
      <c r="O747" s="27"/>
      <c r="P747" s="28"/>
      <c r="Q747" s="28"/>
      <c r="R747" s="28"/>
    </row>
    <row r="748" spans="1:18" ht="17.649999999999999">
      <c r="A748" s="23">
        <v>743</v>
      </c>
      <c r="B748" s="24" t="s">
        <v>120</v>
      </c>
      <c r="C748" s="24" t="s">
        <v>875</v>
      </c>
      <c r="D748" s="25">
        <v>431953.81</v>
      </c>
      <c r="E748" s="25">
        <v>4505695.95</v>
      </c>
      <c r="F748" s="25">
        <v>914523.05900000001</v>
      </c>
      <c r="G748" s="26">
        <f t="shared" si="11"/>
        <v>5852172.8190000001</v>
      </c>
      <c r="H748" s="27"/>
      <c r="I748" s="27"/>
      <c r="J748" s="28"/>
      <c r="K748" s="28"/>
      <c r="L748" s="28"/>
      <c r="M748" s="28"/>
      <c r="N748" s="27"/>
      <c r="O748" s="27"/>
      <c r="P748" s="28"/>
      <c r="Q748" s="28"/>
      <c r="R748" s="28"/>
    </row>
    <row r="749" spans="1:18" ht="17.649999999999999">
      <c r="A749" s="23">
        <v>744</v>
      </c>
      <c r="B749" s="24" t="s">
        <v>120</v>
      </c>
      <c r="C749" s="24" t="s">
        <v>877</v>
      </c>
      <c r="D749" s="25">
        <v>397686.99</v>
      </c>
      <c r="E749" s="25">
        <v>4148259.89</v>
      </c>
      <c r="F749" s="25">
        <v>841974.10690000001</v>
      </c>
      <c r="G749" s="26">
        <f t="shared" si="11"/>
        <v>5387920.9868999999</v>
      </c>
      <c r="H749" s="27"/>
      <c r="I749" s="27"/>
      <c r="J749" s="28"/>
      <c r="K749" s="28"/>
      <c r="L749" s="28"/>
      <c r="M749" s="28"/>
      <c r="N749" s="27"/>
      <c r="O749" s="27"/>
      <c r="P749" s="28"/>
      <c r="Q749" s="28"/>
      <c r="R749" s="28"/>
    </row>
    <row r="750" spans="1:18" ht="17.649999999999999">
      <c r="A750" s="23">
        <v>745</v>
      </c>
      <c r="B750" s="24" t="s">
        <v>120</v>
      </c>
      <c r="C750" s="24" t="s">
        <v>879</v>
      </c>
      <c r="D750" s="25">
        <v>345508.42</v>
      </c>
      <c r="E750" s="25">
        <v>3603986.98</v>
      </c>
      <c r="F750" s="25">
        <v>731502.79870000004</v>
      </c>
      <c r="G750" s="26">
        <f t="shared" si="11"/>
        <v>4680998.1986999996</v>
      </c>
      <c r="H750" s="27"/>
      <c r="I750" s="27"/>
      <c r="J750" s="28"/>
      <c r="K750" s="28"/>
      <c r="L750" s="28"/>
      <c r="M750" s="28"/>
      <c r="N750" s="27"/>
      <c r="O750" s="27"/>
      <c r="P750" s="28"/>
      <c r="Q750" s="28"/>
      <c r="R750" s="28"/>
    </row>
    <row r="751" spans="1:18" ht="17.649999999999999">
      <c r="A751" s="23">
        <v>746</v>
      </c>
      <c r="B751" s="24" t="s">
        <v>120</v>
      </c>
      <c r="C751" s="24" t="s">
        <v>881</v>
      </c>
      <c r="D751" s="25">
        <v>455670.33</v>
      </c>
      <c r="E751" s="25">
        <v>4753082.16</v>
      </c>
      <c r="F751" s="25">
        <v>964735.14469999995</v>
      </c>
      <c r="G751" s="26">
        <f t="shared" si="11"/>
        <v>6173487.6347000003</v>
      </c>
      <c r="H751" s="27"/>
      <c r="I751" s="27"/>
      <c r="J751" s="28"/>
      <c r="K751" s="28"/>
      <c r="L751" s="28"/>
      <c r="M751" s="28"/>
      <c r="N751" s="27"/>
      <c r="O751" s="27"/>
      <c r="P751" s="28"/>
      <c r="Q751" s="28"/>
      <c r="R751" s="28"/>
    </row>
    <row r="752" spans="1:18" ht="17.649999999999999">
      <c r="A752" s="23">
        <v>747</v>
      </c>
      <c r="B752" s="24" t="s">
        <v>120</v>
      </c>
      <c r="C752" s="24" t="s">
        <v>883</v>
      </c>
      <c r="D752" s="25">
        <v>321363.59000000003</v>
      </c>
      <c r="E752" s="25">
        <v>3352133.02</v>
      </c>
      <c r="F752" s="25">
        <v>680383.89020000002</v>
      </c>
      <c r="G752" s="26">
        <f t="shared" si="11"/>
        <v>4353880.5001999997</v>
      </c>
      <c r="H752" s="27"/>
      <c r="I752" s="27"/>
      <c r="J752" s="28"/>
      <c r="K752" s="28"/>
      <c r="L752" s="28"/>
      <c r="M752" s="28"/>
      <c r="N752" s="27"/>
      <c r="O752" s="27"/>
      <c r="P752" s="28"/>
      <c r="Q752" s="28"/>
      <c r="R752" s="28"/>
    </row>
    <row r="753" spans="1:18" ht="17.649999999999999">
      <c r="A753" s="23">
        <v>748</v>
      </c>
      <c r="B753" s="24" t="s">
        <v>120</v>
      </c>
      <c r="C753" s="24" t="s">
        <v>885</v>
      </c>
      <c r="D753" s="25">
        <v>307815.23</v>
      </c>
      <c r="E753" s="25">
        <v>3210810.47</v>
      </c>
      <c r="F753" s="25">
        <v>651699.59039999999</v>
      </c>
      <c r="G753" s="26">
        <f t="shared" si="11"/>
        <v>4170325.2904000003</v>
      </c>
      <c r="H753" s="27"/>
      <c r="I753" s="27"/>
      <c r="J753" s="28"/>
      <c r="K753" s="28"/>
      <c r="L753" s="28"/>
      <c r="M753" s="28"/>
      <c r="N753" s="27"/>
      <c r="O753" s="27"/>
      <c r="P753" s="28"/>
      <c r="Q753" s="28"/>
      <c r="R753" s="28"/>
    </row>
    <row r="754" spans="1:18" ht="17.649999999999999">
      <c r="A754" s="23">
        <v>749</v>
      </c>
      <c r="B754" s="24" t="s">
        <v>120</v>
      </c>
      <c r="C754" s="24" t="s">
        <v>887</v>
      </c>
      <c r="D754" s="25">
        <v>330024.99</v>
      </c>
      <c r="E754" s="25">
        <v>3442479.84</v>
      </c>
      <c r="F754" s="25">
        <v>698721.62320000003</v>
      </c>
      <c r="G754" s="26">
        <f t="shared" si="11"/>
        <v>4471226.4532000003</v>
      </c>
      <c r="H754" s="27"/>
      <c r="I754" s="27"/>
      <c r="J754" s="28"/>
      <c r="K754" s="28"/>
      <c r="L754" s="28"/>
      <c r="M754" s="28"/>
      <c r="N754" s="27"/>
      <c r="O754" s="27"/>
      <c r="P754" s="28"/>
      <c r="Q754" s="28"/>
      <c r="R754" s="28"/>
    </row>
    <row r="755" spans="1:18" ht="17.649999999999999">
      <c r="A755" s="23">
        <v>750</v>
      </c>
      <c r="B755" s="24" t="s">
        <v>120</v>
      </c>
      <c r="C755" s="24" t="s">
        <v>889</v>
      </c>
      <c r="D755" s="25">
        <v>358941.22</v>
      </c>
      <c r="E755" s="25">
        <v>3744103.98</v>
      </c>
      <c r="F755" s="25">
        <v>759942.40520000004</v>
      </c>
      <c r="G755" s="26">
        <f t="shared" si="11"/>
        <v>4862987.6052000001</v>
      </c>
      <c r="H755" s="27"/>
      <c r="I755" s="27"/>
      <c r="J755" s="28"/>
      <c r="K755" s="28"/>
      <c r="L755" s="28"/>
      <c r="M755" s="28"/>
      <c r="N755" s="27"/>
      <c r="O755" s="27"/>
      <c r="P755" s="28"/>
      <c r="Q755" s="28"/>
      <c r="R755" s="28"/>
    </row>
    <row r="756" spans="1:18" ht="17.649999999999999">
      <c r="A756" s="23">
        <v>751</v>
      </c>
      <c r="B756" s="24" t="s">
        <v>120</v>
      </c>
      <c r="C756" s="24" t="s">
        <v>891</v>
      </c>
      <c r="D756" s="25">
        <v>394973.97</v>
      </c>
      <c r="E756" s="25">
        <v>4119960.5</v>
      </c>
      <c r="F756" s="25">
        <v>836230.16689999995</v>
      </c>
      <c r="G756" s="26">
        <f t="shared" si="11"/>
        <v>5351164.6368999993</v>
      </c>
      <c r="H756" s="27"/>
      <c r="I756" s="27"/>
      <c r="J756" s="28"/>
      <c r="K756" s="28"/>
      <c r="L756" s="28"/>
      <c r="M756" s="28"/>
      <c r="N756" s="27"/>
      <c r="O756" s="27"/>
      <c r="P756" s="28"/>
      <c r="Q756" s="28"/>
      <c r="R756" s="28"/>
    </row>
    <row r="757" spans="1:18" ht="17.649999999999999">
      <c r="A757" s="23">
        <v>752</v>
      </c>
      <c r="B757" s="24" t="s">
        <v>120</v>
      </c>
      <c r="C757" s="24" t="s">
        <v>893</v>
      </c>
      <c r="D757" s="25">
        <v>366334.41</v>
      </c>
      <c r="E757" s="25">
        <v>3821222.16</v>
      </c>
      <c r="F757" s="25">
        <v>775595.11620000005</v>
      </c>
      <c r="G757" s="26">
        <f t="shared" si="11"/>
        <v>4963151.6862000003</v>
      </c>
      <c r="H757" s="27"/>
      <c r="I757" s="27"/>
      <c r="J757" s="28"/>
      <c r="K757" s="28"/>
      <c r="L757" s="28"/>
      <c r="M757" s="28"/>
      <c r="N757" s="27"/>
      <c r="O757" s="27"/>
      <c r="P757" s="28"/>
      <c r="Q757" s="28"/>
      <c r="R757" s="28"/>
    </row>
    <row r="758" spans="1:18" ht="17.649999999999999">
      <c r="A758" s="23">
        <v>753</v>
      </c>
      <c r="B758" s="24" t="s">
        <v>120</v>
      </c>
      <c r="C758" s="24" t="s">
        <v>895</v>
      </c>
      <c r="D758" s="25">
        <v>381783.24</v>
      </c>
      <c r="E758" s="25">
        <v>3982368.42</v>
      </c>
      <c r="F758" s="25">
        <v>808303.04280000005</v>
      </c>
      <c r="G758" s="26">
        <f t="shared" si="11"/>
        <v>5172454.7028000001</v>
      </c>
      <c r="H758" s="27"/>
      <c r="I758" s="27"/>
      <c r="J758" s="28"/>
      <c r="K758" s="28"/>
      <c r="L758" s="28"/>
      <c r="M758" s="28"/>
      <c r="N758" s="27"/>
      <c r="O758" s="27"/>
      <c r="P758" s="28"/>
      <c r="Q758" s="28"/>
      <c r="R758" s="28"/>
    </row>
    <row r="759" spans="1:18" ht="17.649999999999999">
      <c r="A759" s="23">
        <v>754</v>
      </c>
      <c r="B759" s="24" t="s">
        <v>120</v>
      </c>
      <c r="C759" s="24" t="s">
        <v>897</v>
      </c>
      <c r="D759" s="25">
        <v>380875.99</v>
      </c>
      <c r="E759" s="25">
        <v>3972904.92</v>
      </c>
      <c r="F759" s="25">
        <v>806382.23199999996</v>
      </c>
      <c r="G759" s="26">
        <f t="shared" si="11"/>
        <v>5160163.142</v>
      </c>
      <c r="H759" s="27"/>
      <c r="I759" s="27"/>
      <c r="J759" s="28"/>
      <c r="K759" s="28"/>
      <c r="L759" s="28"/>
      <c r="M759" s="28"/>
      <c r="N759" s="27"/>
      <c r="O759" s="27"/>
      <c r="P759" s="28"/>
      <c r="Q759" s="28"/>
      <c r="R759" s="28"/>
    </row>
    <row r="760" spans="1:18" ht="17.649999999999999">
      <c r="A760" s="23">
        <v>755</v>
      </c>
      <c r="B760" s="24" t="s">
        <v>121</v>
      </c>
      <c r="C760" s="24" t="s">
        <v>901</v>
      </c>
      <c r="D760" s="25">
        <v>358507.31</v>
      </c>
      <c r="E760" s="25">
        <v>3739577.89</v>
      </c>
      <c r="F760" s="25">
        <v>759023.7439</v>
      </c>
      <c r="G760" s="26">
        <f t="shared" si="11"/>
        <v>4857108.9439000003</v>
      </c>
      <c r="H760" s="27"/>
      <c r="I760" s="27"/>
      <c r="J760" s="28"/>
      <c r="K760" s="28"/>
      <c r="L760" s="28"/>
      <c r="M760" s="28"/>
      <c r="N760" s="27"/>
      <c r="O760" s="27"/>
      <c r="P760" s="28"/>
      <c r="Q760" s="28"/>
      <c r="R760" s="28"/>
    </row>
    <row r="761" spans="1:18" ht="17.649999999999999">
      <c r="A761" s="23">
        <v>756</v>
      </c>
      <c r="B761" s="24" t="s">
        <v>121</v>
      </c>
      <c r="C761" s="24" t="s">
        <v>903</v>
      </c>
      <c r="D761" s="25">
        <v>347124.68</v>
      </c>
      <c r="E761" s="25">
        <v>3620846.04</v>
      </c>
      <c r="F761" s="25">
        <v>734924.68960000004</v>
      </c>
      <c r="G761" s="26">
        <f t="shared" si="11"/>
        <v>4702895.4095999999</v>
      </c>
      <c r="H761" s="27"/>
      <c r="I761" s="27"/>
      <c r="J761" s="28"/>
      <c r="K761" s="28"/>
      <c r="L761" s="28"/>
      <c r="M761" s="28"/>
      <c r="N761" s="27"/>
      <c r="O761" s="27"/>
      <c r="P761" s="28"/>
      <c r="Q761" s="28"/>
      <c r="R761" s="28"/>
    </row>
    <row r="762" spans="1:18" ht="17.649999999999999">
      <c r="A762" s="23">
        <v>757</v>
      </c>
      <c r="B762" s="24" t="s">
        <v>121</v>
      </c>
      <c r="C762" s="24" t="s">
        <v>905</v>
      </c>
      <c r="D762" s="25">
        <v>409663.98</v>
      </c>
      <c r="E762" s="25">
        <v>4273191.42</v>
      </c>
      <c r="F762" s="25">
        <v>867331.51249999995</v>
      </c>
      <c r="G762" s="26">
        <f t="shared" si="11"/>
        <v>5550186.9125000006</v>
      </c>
      <c r="H762" s="27"/>
      <c r="I762" s="27"/>
      <c r="J762" s="28"/>
      <c r="K762" s="28"/>
      <c r="L762" s="28"/>
      <c r="M762" s="28"/>
      <c r="N762" s="27"/>
      <c r="O762" s="27"/>
      <c r="P762" s="28"/>
      <c r="Q762" s="28"/>
      <c r="R762" s="28"/>
    </row>
    <row r="763" spans="1:18" ht="17.649999999999999">
      <c r="A763" s="23">
        <v>758</v>
      </c>
      <c r="B763" s="24" t="s">
        <v>121</v>
      </c>
      <c r="C763" s="24" t="s">
        <v>907</v>
      </c>
      <c r="D763" s="25">
        <v>452149.52</v>
      </c>
      <c r="E763" s="25">
        <v>4716356.6900000004</v>
      </c>
      <c r="F763" s="25">
        <v>957280.95880000002</v>
      </c>
      <c r="G763" s="26">
        <f t="shared" si="11"/>
        <v>6125787.168800001</v>
      </c>
      <c r="H763" s="27"/>
      <c r="I763" s="27"/>
      <c r="J763" s="28"/>
      <c r="K763" s="28"/>
      <c r="L763" s="28"/>
      <c r="M763" s="28"/>
      <c r="N763" s="27"/>
      <c r="O763" s="27"/>
      <c r="P763" s="28"/>
      <c r="Q763" s="28"/>
      <c r="R763" s="28"/>
    </row>
    <row r="764" spans="1:18" ht="17.649999999999999">
      <c r="A764" s="23">
        <v>759</v>
      </c>
      <c r="B764" s="24" t="s">
        <v>121</v>
      </c>
      <c r="C764" s="24" t="s">
        <v>909</v>
      </c>
      <c r="D764" s="25">
        <v>393547.97</v>
      </c>
      <c r="E764" s="25">
        <v>4105085.86</v>
      </c>
      <c r="F764" s="25">
        <v>833211.05559999996</v>
      </c>
      <c r="G764" s="26">
        <f t="shared" si="11"/>
        <v>5331844.8855999997</v>
      </c>
      <c r="H764" s="27"/>
      <c r="I764" s="27"/>
      <c r="J764" s="28"/>
      <c r="K764" s="28"/>
      <c r="L764" s="28"/>
      <c r="M764" s="28"/>
      <c r="N764" s="27"/>
      <c r="O764" s="27"/>
      <c r="P764" s="28"/>
      <c r="Q764" s="28"/>
      <c r="R764" s="28"/>
    </row>
    <row r="765" spans="1:18" ht="17.649999999999999">
      <c r="A765" s="23">
        <v>760</v>
      </c>
      <c r="B765" s="24" t="s">
        <v>121</v>
      </c>
      <c r="C765" s="24" t="s">
        <v>911</v>
      </c>
      <c r="D765" s="25">
        <v>546464.03</v>
      </c>
      <c r="E765" s="25">
        <v>5700148.25</v>
      </c>
      <c r="F765" s="25">
        <v>1156961.558</v>
      </c>
      <c r="G765" s="26">
        <f t="shared" si="11"/>
        <v>7403573.8380000005</v>
      </c>
      <c r="H765" s="27"/>
      <c r="I765" s="27"/>
      <c r="J765" s="28"/>
      <c r="K765" s="28"/>
      <c r="L765" s="28"/>
      <c r="M765" s="28"/>
      <c r="N765" s="27"/>
      <c r="O765" s="27"/>
      <c r="P765" s="28"/>
      <c r="Q765" s="28"/>
      <c r="R765" s="28"/>
    </row>
    <row r="766" spans="1:18" ht="17.649999999999999">
      <c r="A766" s="23">
        <v>761</v>
      </c>
      <c r="B766" s="24" t="s">
        <v>121</v>
      </c>
      <c r="C766" s="24" t="s">
        <v>913</v>
      </c>
      <c r="D766" s="25">
        <v>415015.72</v>
      </c>
      <c r="E766" s="25">
        <v>4329015.3</v>
      </c>
      <c r="F766" s="25">
        <v>878662.10950000002</v>
      </c>
      <c r="G766" s="26">
        <f t="shared" si="11"/>
        <v>5622693.1294999998</v>
      </c>
      <c r="H766" s="27"/>
      <c r="I766" s="27"/>
      <c r="J766" s="28"/>
      <c r="K766" s="28"/>
      <c r="L766" s="28"/>
      <c r="M766" s="28"/>
      <c r="N766" s="27"/>
      <c r="O766" s="27"/>
      <c r="P766" s="28"/>
      <c r="Q766" s="28"/>
      <c r="R766" s="28"/>
    </row>
    <row r="767" spans="1:18" ht="17.649999999999999">
      <c r="A767" s="23">
        <v>762</v>
      </c>
      <c r="B767" s="24" t="s">
        <v>121</v>
      </c>
      <c r="C767" s="24" t="s">
        <v>827</v>
      </c>
      <c r="D767" s="25">
        <v>376532.26</v>
      </c>
      <c r="E767" s="25">
        <v>3927595.58</v>
      </c>
      <c r="F767" s="25">
        <v>797185.77560000005</v>
      </c>
      <c r="G767" s="26">
        <f t="shared" si="11"/>
        <v>5101313.6156000001</v>
      </c>
      <c r="H767" s="27"/>
      <c r="I767" s="27"/>
      <c r="J767" s="28"/>
      <c r="K767" s="28"/>
      <c r="L767" s="28"/>
      <c r="M767" s="28"/>
      <c r="N767" s="27"/>
      <c r="O767" s="27"/>
      <c r="P767" s="28"/>
      <c r="Q767" s="28"/>
      <c r="R767" s="28"/>
    </row>
    <row r="768" spans="1:18" ht="17.649999999999999">
      <c r="A768" s="23">
        <v>763</v>
      </c>
      <c r="B768" s="24" t="s">
        <v>121</v>
      </c>
      <c r="C768" s="24" t="s">
        <v>916</v>
      </c>
      <c r="D768" s="25">
        <v>407042.02</v>
      </c>
      <c r="E768" s="25">
        <v>4245841.8899999997</v>
      </c>
      <c r="F768" s="25">
        <v>861780.36699999997</v>
      </c>
      <c r="G768" s="26">
        <f t="shared" si="11"/>
        <v>5514664.2769999998</v>
      </c>
      <c r="H768" s="27"/>
      <c r="I768" s="27"/>
      <c r="J768" s="28"/>
      <c r="K768" s="28"/>
      <c r="L768" s="28"/>
      <c r="M768" s="28"/>
      <c r="N768" s="27"/>
      <c r="O768" s="27"/>
      <c r="P768" s="28"/>
      <c r="Q768" s="28"/>
      <c r="R768" s="28"/>
    </row>
    <row r="769" spans="1:18" ht="17.649999999999999">
      <c r="A769" s="23">
        <v>764</v>
      </c>
      <c r="B769" s="24" t="s">
        <v>121</v>
      </c>
      <c r="C769" s="24" t="s">
        <v>918</v>
      </c>
      <c r="D769" s="25">
        <v>537262.27</v>
      </c>
      <c r="E769" s="25">
        <v>5604165.0300000003</v>
      </c>
      <c r="F769" s="25">
        <v>1137479.8034000001</v>
      </c>
      <c r="G769" s="26">
        <f t="shared" si="11"/>
        <v>7278907.1034000013</v>
      </c>
      <c r="H769" s="27"/>
      <c r="I769" s="27"/>
      <c r="J769" s="28"/>
      <c r="K769" s="28"/>
      <c r="L769" s="28"/>
      <c r="M769" s="28"/>
      <c r="N769" s="27"/>
      <c r="O769" s="27"/>
      <c r="P769" s="28"/>
      <c r="Q769" s="28"/>
      <c r="R769" s="28"/>
    </row>
    <row r="770" spans="1:18" ht="17.649999999999999">
      <c r="A770" s="23">
        <v>765</v>
      </c>
      <c r="B770" s="24" t="s">
        <v>121</v>
      </c>
      <c r="C770" s="24" t="s">
        <v>920</v>
      </c>
      <c r="D770" s="25">
        <v>335455.8</v>
      </c>
      <c r="E770" s="25">
        <v>3499128.38</v>
      </c>
      <c r="F770" s="25">
        <v>710219.60239999997</v>
      </c>
      <c r="G770" s="26">
        <f t="shared" si="11"/>
        <v>4544803.7823999999</v>
      </c>
      <c r="H770" s="27"/>
      <c r="I770" s="27"/>
      <c r="J770" s="28"/>
      <c r="K770" s="28"/>
      <c r="L770" s="28"/>
      <c r="M770" s="28"/>
      <c r="N770" s="27"/>
      <c r="O770" s="27"/>
      <c r="P770" s="28"/>
      <c r="Q770" s="28"/>
      <c r="R770" s="28"/>
    </row>
    <row r="771" spans="1:18" ht="17.649999999999999">
      <c r="A771" s="23">
        <v>766</v>
      </c>
      <c r="B771" s="24" t="s">
        <v>121</v>
      </c>
      <c r="C771" s="24" t="s">
        <v>922</v>
      </c>
      <c r="D771" s="25">
        <v>387456.99</v>
      </c>
      <c r="E771" s="25">
        <v>4041551.11</v>
      </c>
      <c r="F771" s="25">
        <v>820315.37970000005</v>
      </c>
      <c r="G771" s="26">
        <f t="shared" si="11"/>
        <v>5249323.4797</v>
      </c>
      <c r="H771" s="27"/>
      <c r="I771" s="27"/>
      <c r="J771" s="28"/>
      <c r="K771" s="28"/>
      <c r="L771" s="28"/>
      <c r="M771" s="28"/>
      <c r="N771" s="27"/>
      <c r="O771" s="27"/>
      <c r="P771" s="28"/>
      <c r="Q771" s="28"/>
      <c r="R771" s="28"/>
    </row>
    <row r="772" spans="1:18" ht="17.649999999999999">
      <c r="A772" s="23">
        <v>767</v>
      </c>
      <c r="B772" s="24" t="s">
        <v>121</v>
      </c>
      <c r="C772" s="24" t="s">
        <v>924</v>
      </c>
      <c r="D772" s="25">
        <v>410497.95</v>
      </c>
      <c r="E772" s="25">
        <v>4281890.54</v>
      </c>
      <c r="F772" s="25">
        <v>869097.1777</v>
      </c>
      <c r="G772" s="26">
        <f t="shared" si="11"/>
        <v>5561485.6677000001</v>
      </c>
      <c r="H772" s="27"/>
      <c r="I772" s="27"/>
      <c r="J772" s="28"/>
      <c r="K772" s="28"/>
      <c r="L772" s="28"/>
      <c r="M772" s="28"/>
      <c r="N772" s="27"/>
      <c r="O772" s="27"/>
      <c r="P772" s="28"/>
      <c r="Q772" s="28"/>
      <c r="R772" s="28"/>
    </row>
    <row r="773" spans="1:18" ht="17.649999999999999">
      <c r="A773" s="23">
        <v>768</v>
      </c>
      <c r="B773" s="24" t="s">
        <v>121</v>
      </c>
      <c r="C773" s="24" t="s">
        <v>926</v>
      </c>
      <c r="D773" s="25">
        <v>453356.79999999999</v>
      </c>
      <c r="E773" s="25">
        <v>4728949.84</v>
      </c>
      <c r="F773" s="25">
        <v>959836.99750000006</v>
      </c>
      <c r="G773" s="26">
        <f t="shared" si="11"/>
        <v>6142143.6374999993</v>
      </c>
      <c r="H773" s="27"/>
      <c r="I773" s="27"/>
      <c r="J773" s="28"/>
      <c r="K773" s="28"/>
      <c r="L773" s="28"/>
      <c r="M773" s="28"/>
      <c r="N773" s="27"/>
      <c r="O773" s="27"/>
      <c r="P773" s="28"/>
      <c r="Q773" s="28"/>
      <c r="R773" s="28"/>
    </row>
    <row r="774" spans="1:18" ht="17.649999999999999">
      <c r="A774" s="23">
        <v>769</v>
      </c>
      <c r="B774" s="24" t="s">
        <v>930</v>
      </c>
      <c r="C774" s="24" t="s">
        <v>931</v>
      </c>
      <c r="D774" s="25">
        <v>299474.25</v>
      </c>
      <c r="E774" s="25">
        <v>3123806</v>
      </c>
      <c r="F774" s="25">
        <v>634040.25659999996</v>
      </c>
      <c r="G774" s="26">
        <f t="shared" ref="G774:G779" si="12">D774+E774+F774</f>
        <v>4057320.5066</v>
      </c>
      <c r="H774" s="27"/>
      <c r="I774" s="27"/>
      <c r="J774" s="28"/>
      <c r="K774" s="28"/>
      <c r="L774" s="28"/>
      <c r="M774" s="28"/>
      <c r="N774" s="27"/>
      <c r="O774" s="27"/>
      <c r="P774" s="28"/>
      <c r="Q774" s="28"/>
      <c r="R774" s="28"/>
    </row>
    <row r="775" spans="1:18" ht="35.25">
      <c r="A775" s="23">
        <v>770</v>
      </c>
      <c r="B775" s="24" t="s">
        <v>930</v>
      </c>
      <c r="C775" s="24" t="s">
        <v>933</v>
      </c>
      <c r="D775" s="25">
        <v>764486.87</v>
      </c>
      <c r="E775" s="25">
        <v>7974337.3399999999</v>
      </c>
      <c r="F775" s="25">
        <v>1618554.7031</v>
      </c>
      <c r="G775" s="26">
        <f t="shared" si="12"/>
        <v>10357378.913099999</v>
      </c>
      <c r="H775" s="27"/>
      <c r="I775" s="27"/>
      <c r="J775" s="28"/>
      <c r="K775" s="28"/>
      <c r="L775" s="28"/>
      <c r="M775" s="28"/>
      <c r="N775" s="27"/>
      <c r="O775" s="27"/>
      <c r="P775" s="28"/>
      <c r="Q775" s="28"/>
      <c r="R775" s="28"/>
    </row>
    <row r="776" spans="1:18" ht="17.649999999999999">
      <c r="A776" s="23">
        <v>771</v>
      </c>
      <c r="B776" s="24" t="s">
        <v>930</v>
      </c>
      <c r="C776" s="24" t="s">
        <v>935</v>
      </c>
      <c r="D776" s="25">
        <v>430614.55</v>
      </c>
      <c r="E776" s="25">
        <v>4491726.1500000004</v>
      </c>
      <c r="F776" s="25">
        <v>911687.60250000004</v>
      </c>
      <c r="G776" s="26">
        <f t="shared" si="12"/>
        <v>5834028.3025000002</v>
      </c>
      <c r="H776" s="27"/>
      <c r="I776" s="27"/>
      <c r="J776" s="28"/>
      <c r="K776" s="28"/>
      <c r="L776" s="28"/>
      <c r="M776" s="28"/>
      <c r="N776" s="27"/>
      <c r="O776" s="27"/>
      <c r="P776" s="28"/>
      <c r="Q776" s="28"/>
      <c r="R776" s="28"/>
    </row>
    <row r="777" spans="1:18" ht="17.649999999999999">
      <c r="A777" s="23">
        <v>772</v>
      </c>
      <c r="B777" s="24" t="s">
        <v>930</v>
      </c>
      <c r="C777" s="24" t="s">
        <v>937</v>
      </c>
      <c r="D777" s="25">
        <v>369042.38</v>
      </c>
      <c r="E777" s="25">
        <v>3849468.86</v>
      </c>
      <c r="F777" s="25">
        <v>781328.36210000003</v>
      </c>
      <c r="G777" s="26">
        <f t="shared" si="12"/>
        <v>4999839.6020999998</v>
      </c>
      <c r="H777" s="27"/>
      <c r="I777" s="27"/>
      <c r="J777" s="28"/>
      <c r="K777" s="28"/>
      <c r="L777" s="28"/>
      <c r="M777" s="28"/>
      <c r="N777" s="27"/>
      <c r="O777" s="27"/>
      <c r="P777" s="28"/>
      <c r="Q777" s="28"/>
      <c r="R777" s="28"/>
    </row>
    <row r="778" spans="1:18" ht="17.649999999999999">
      <c r="A778" s="23">
        <v>773</v>
      </c>
      <c r="B778" s="24" t="s">
        <v>930</v>
      </c>
      <c r="C778" s="24" t="s">
        <v>939</v>
      </c>
      <c r="D778" s="25">
        <v>350653.01</v>
      </c>
      <c r="E778" s="25">
        <v>3657649.97</v>
      </c>
      <c r="F778" s="25">
        <v>742394.79909999995</v>
      </c>
      <c r="G778" s="26">
        <f t="shared" si="12"/>
        <v>4750697.7791000009</v>
      </c>
      <c r="H778" s="27"/>
      <c r="I778" s="27"/>
      <c r="J778" s="28"/>
      <c r="K778" s="28"/>
      <c r="L778" s="28"/>
      <c r="M778" s="28"/>
      <c r="N778" s="27"/>
      <c r="O778" s="27"/>
      <c r="P778" s="28"/>
      <c r="Q778" s="28"/>
      <c r="R778" s="28"/>
    </row>
    <row r="779" spans="1:18" ht="17.649999999999999">
      <c r="A779" s="23">
        <v>774</v>
      </c>
      <c r="B779" s="24" t="s">
        <v>930</v>
      </c>
      <c r="C779" s="24" t="s">
        <v>941</v>
      </c>
      <c r="D779" s="25">
        <v>360694.99</v>
      </c>
      <c r="E779" s="25">
        <v>3762397.58</v>
      </c>
      <c r="F779" s="25">
        <v>763655.46530000004</v>
      </c>
      <c r="G779" s="26">
        <f t="shared" si="12"/>
        <v>4886748.0353000006</v>
      </c>
      <c r="H779" s="27"/>
      <c r="I779" s="27"/>
      <c r="J779" s="28"/>
      <c r="K779" s="28"/>
      <c r="L779" s="28"/>
      <c r="M779" s="28"/>
      <c r="N779" s="27"/>
      <c r="O779" s="27"/>
      <c r="P779" s="28"/>
      <c r="Q779" s="28"/>
      <c r="R779" s="28"/>
    </row>
    <row r="780" spans="1:18" ht="17.649999999999999">
      <c r="A780" s="30"/>
      <c r="B780" s="214" t="s">
        <v>44</v>
      </c>
      <c r="C780" s="215"/>
      <c r="D780" s="31">
        <f t="shared" ref="D780:G780" si="13">SUM(D6:D779)</f>
        <v>283396119.91000009</v>
      </c>
      <c r="E780" s="31">
        <f t="shared" si="13"/>
        <v>2956095580.5399981</v>
      </c>
      <c r="F780" s="31">
        <f t="shared" si="13"/>
        <v>600000000.00010026</v>
      </c>
      <c r="G780" s="31">
        <f t="shared" si="13"/>
        <v>3839491700.4500999</v>
      </c>
    </row>
  </sheetData>
  <mergeCells count="4">
    <mergeCell ref="A1:G1"/>
    <mergeCell ref="A2:G2"/>
    <mergeCell ref="A3:G3"/>
    <mergeCell ref="B780:C780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3"/>
  <sheetViews>
    <sheetView workbookViewId="0">
      <selection activeCell="D4" sqref="D4"/>
    </sheetView>
  </sheetViews>
  <sheetFormatPr defaultColWidth="9" defaultRowHeight="12.75"/>
  <cols>
    <col min="1" max="1" width="5" customWidth="1"/>
    <col min="2" max="3" width="20.33203125" customWidth="1"/>
    <col min="4" max="5" width="22.1328125" customWidth="1"/>
    <col min="6" max="6" width="22" customWidth="1"/>
  </cols>
  <sheetData>
    <row r="1" spans="1:6" ht="19.899999999999999">
      <c r="A1" s="172" t="s">
        <v>17</v>
      </c>
      <c r="B1" s="172"/>
      <c r="C1" s="172"/>
      <c r="D1" s="172"/>
      <c r="E1" s="172"/>
      <c r="F1" s="172"/>
    </row>
    <row r="2" spans="1:6" ht="19.899999999999999">
      <c r="A2" s="172" t="s">
        <v>62</v>
      </c>
      <c r="B2" s="172"/>
      <c r="C2" s="172"/>
      <c r="D2" s="172"/>
      <c r="E2" s="172"/>
      <c r="F2" s="172"/>
    </row>
    <row r="3" spans="1:6" ht="35.450000000000003" customHeight="1">
      <c r="A3" s="216" t="s">
        <v>955</v>
      </c>
      <c r="B3" s="216"/>
      <c r="C3" s="216"/>
      <c r="D3" s="216"/>
      <c r="E3" s="216"/>
      <c r="F3" s="216"/>
    </row>
    <row r="4" spans="1:6" ht="51.75">
      <c r="A4" s="2" t="s">
        <v>951</v>
      </c>
      <c r="B4" s="2" t="s">
        <v>957</v>
      </c>
      <c r="C4" s="3" t="s">
        <v>952</v>
      </c>
      <c r="D4" s="4" t="s">
        <v>953</v>
      </c>
      <c r="E4" s="4" t="s">
        <v>959</v>
      </c>
      <c r="F4" s="5" t="s">
        <v>948</v>
      </c>
    </row>
    <row r="5" spans="1:6" ht="15">
      <c r="A5" s="6"/>
      <c r="B5" s="6"/>
      <c r="C5" s="153" t="s">
        <v>29</v>
      </c>
      <c r="D5" s="153" t="s">
        <v>29</v>
      </c>
      <c r="E5" s="153" t="s">
        <v>29</v>
      </c>
      <c r="F5" s="153" t="s">
        <v>29</v>
      </c>
    </row>
    <row r="6" spans="1:6" ht="17.649999999999999">
      <c r="A6" s="8">
        <v>1</v>
      </c>
      <c r="B6" s="9" t="s">
        <v>961</v>
      </c>
      <c r="C6" s="10">
        <v>5882217.7949999999</v>
      </c>
      <c r="D6" s="10">
        <v>61357219.808399998</v>
      </c>
      <c r="E6" s="10">
        <v>12453701.472899999</v>
      </c>
      <c r="F6" s="11">
        <f>SUM(C6:E6)</f>
        <v>79693139.076299995</v>
      </c>
    </row>
    <row r="7" spans="1:6" ht="35.25">
      <c r="A7" s="8">
        <v>2</v>
      </c>
      <c r="B7" s="9" t="s">
        <v>962</v>
      </c>
      <c r="C7" s="10">
        <v>7419573.5129000004</v>
      </c>
      <c r="D7" s="10">
        <v>77393326.592099994</v>
      </c>
      <c r="E7" s="10">
        <v>15708557.010600001</v>
      </c>
      <c r="F7" s="11">
        <f t="shared" ref="F7:F42" si="0">SUM(C7:E7)</f>
        <v>100521457.11559999</v>
      </c>
    </row>
    <row r="8" spans="1:6" ht="35.25">
      <c r="A8" s="8">
        <v>3</v>
      </c>
      <c r="B8" s="9" t="s">
        <v>963</v>
      </c>
      <c r="C8" s="10">
        <v>9882435.9244999997</v>
      </c>
      <c r="D8" s="10">
        <v>103083363.1763</v>
      </c>
      <c r="E8" s="10">
        <v>20922874.859999999</v>
      </c>
      <c r="F8" s="11">
        <f t="shared" si="0"/>
        <v>133888673.96080001</v>
      </c>
    </row>
    <row r="9" spans="1:6" ht="35.25">
      <c r="A9" s="8">
        <v>4</v>
      </c>
      <c r="B9" s="9" t="s">
        <v>964</v>
      </c>
      <c r="C9" s="10">
        <v>7459669.6744999997</v>
      </c>
      <c r="D9" s="10">
        <v>77811568.334399998</v>
      </c>
      <c r="E9" s="10">
        <v>15793447.7181</v>
      </c>
      <c r="F9" s="11">
        <f t="shared" si="0"/>
        <v>101064685.727</v>
      </c>
    </row>
    <row r="10" spans="1:6" ht="17.649999999999999">
      <c r="A10" s="8">
        <v>5</v>
      </c>
      <c r="B10" s="9" t="s">
        <v>965</v>
      </c>
      <c r="C10" s="10">
        <v>8468201.2565000001</v>
      </c>
      <c r="D10" s="10">
        <v>88331527.998999998</v>
      </c>
      <c r="E10" s="10">
        <v>17928688.486400001</v>
      </c>
      <c r="F10" s="11">
        <f t="shared" si="0"/>
        <v>114728417.7419</v>
      </c>
    </row>
    <row r="11" spans="1:6" ht="17.649999999999999">
      <c r="A11" s="8">
        <v>6</v>
      </c>
      <c r="B11" s="9" t="s">
        <v>966</v>
      </c>
      <c r="C11" s="10">
        <v>3446867.8758</v>
      </c>
      <c r="D11" s="10">
        <v>35954165.123800002</v>
      </c>
      <c r="E11" s="10">
        <v>7297632.4637000002</v>
      </c>
      <c r="F11" s="11">
        <f t="shared" si="0"/>
        <v>46698665.463300005</v>
      </c>
    </row>
    <row r="12" spans="1:6" ht="17.649999999999999">
      <c r="A12" s="8">
        <v>7</v>
      </c>
      <c r="B12" s="9" t="s">
        <v>967</v>
      </c>
      <c r="C12" s="10">
        <v>9214713.5798000004</v>
      </c>
      <c r="D12" s="10">
        <v>96118373.421700001</v>
      </c>
      <c r="E12" s="10">
        <v>19509187.8737</v>
      </c>
      <c r="F12" s="11">
        <f t="shared" si="0"/>
        <v>124842274.8752</v>
      </c>
    </row>
    <row r="13" spans="1:6" ht="17.649999999999999">
      <c r="A13" s="8">
        <v>8</v>
      </c>
      <c r="B13" s="9" t="s">
        <v>968</v>
      </c>
      <c r="C13" s="10">
        <v>10004417.518300001</v>
      </c>
      <c r="D13" s="10">
        <v>104355749.1565</v>
      </c>
      <c r="E13" s="10">
        <v>21181131.593400002</v>
      </c>
      <c r="F13" s="11">
        <f t="shared" si="0"/>
        <v>135541298.26819998</v>
      </c>
    </row>
    <row r="14" spans="1:6" ht="35.25">
      <c r="A14" s="8">
        <v>9</v>
      </c>
      <c r="B14" s="9" t="s">
        <v>969</v>
      </c>
      <c r="C14" s="10">
        <v>6449532.8756999997</v>
      </c>
      <c r="D14" s="10">
        <v>67274864.702099994</v>
      </c>
      <c r="E14" s="10">
        <v>13654808.419399999</v>
      </c>
      <c r="F14" s="11">
        <f t="shared" si="0"/>
        <v>87379205.997199982</v>
      </c>
    </row>
    <row r="15" spans="1:6" ht="17.649999999999999">
      <c r="A15" s="8">
        <v>10</v>
      </c>
      <c r="B15" s="9" t="s">
        <v>970</v>
      </c>
      <c r="C15" s="10">
        <v>8264151.3755000001</v>
      </c>
      <c r="D15" s="10">
        <v>86203090.422499999</v>
      </c>
      <c r="E15" s="10">
        <v>17496678.5902</v>
      </c>
      <c r="F15" s="11">
        <f t="shared" si="0"/>
        <v>111963920.38819999</v>
      </c>
    </row>
    <row r="16" spans="1:6" ht="17.649999999999999">
      <c r="A16" s="8">
        <v>11</v>
      </c>
      <c r="B16" s="9" t="s">
        <v>971</v>
      </c>
      <c r="C16" s="10">
        <v>4770948.7659</v>
      </c>
      <c r="D16" s="10">
        <v>49765609.218900003</v>
      </c>
      <c r="E16" s="10">
        <v>10100947.2521</v>
      </c>
      <c r="F16" s="11">
        <f t="shared" si="0"/>
        <v>64637505.236900002</v>
      </c>
    </row>
    <row r="17" spans="1:6" ht="17.649999999999999">
      <c r="A17" s="8">
        <v>12</v>
      </c>
      <c r="B17" s="9" t="s">
        <v>972</v>
      </c>
      <c r="C17" s="10">
        <v>6323194.3618000001</v>
      </c>
      <c r="D17" s="10">
        <v>65957031.830600001</v>
      </c>
      <c r="E17" s="10">
        <v>13387327.310699999</v>
      </c>
      <c r="F17" s="11">
        <f t="shared" si="0"/>
        <v>85667553.503100008</v>
      </c>
    </row>
    <row r="18" spans="1:6" ht="17.649999999999999">
      <c r="A18" s="8">
        <v>13</v>
      </c>
      <c r="B18" s="9" t="s">
        <v>973</v>
      </c>
      <c r="C18" s="10">
        <v>5020845.6299000001</v>
      </c>
      <c r="D18" s="10">
        <v>52372275.162500001</v>
      </c>
      <c r="E18" s="10">
        <v>10630023.3675</v>
      </c>
      <c r="F18" s="11">
        <f t="shared" si="0"/>
        <v>68023144.15990001</v>
      </c>
    </row>
    <row r="19" spans="1:6" ht="17.649999999999999">
      <c r="A19" s="8">
        <v>14</v>
      </c>
      <c r="B19" s="9" t="s">
        <v>974</v>
      </c>
      <c r="C19" s="10">
        <v>6424459.4785000002</v>
      </c>
      <c r="D19" s="10">
        <v>67013324.923500001</v>
      </c>
      <c r="E19" s="10">
        <v>13601723.577299999</v>
      </c>
      <c r="F19" s="11">
        <f t="shared" si="0"/>
        <v>87039507.979299992</v>
      </c>
    </row>
    <row r="20" spans="1:6" ht="17.649999999999999">
      <c r="A20" s="8">
        <v>15</v>
      </c>
      <c r="B20" s="9" t="s">
        <v>975</v>
      </c>
      <c r="C20" s="10">
        <v>4402044.1218999997</v>
      </c>
      <c r="D20" s="10">
        <v>45917577.041299999</v>
      </c>
      <c r="E20" s="10">
        <v>9319910.4947999995</v>
      </c>
      <c r="F20" s="11">
        <f t="shared" si="0"/>
        <v>59639531.658</v>
      </c>
    </row>
    <row r="21" spans="1:6" ht="17.649999999999999">
      <c r="A21" s="8">
        <v>16</v>
      </c>
      <c r="B21" s="9" t="s">
        <v>976</v>
      </c>
      <c r="C21" s="10">
        <v>8610204.8104999997</v>
      </c>
      <c r="D21" s="10">
        <v>89812762.386700004</v>
      </c>
      <c r="E21" s="10">
        <v>18229335.271499999</v>
      </c>
      <c r="F21" s="11">
        <f t="shared" si="0"/>
        <v>116652302.46869999</v>
      </c>
    </row>
    <row r="22" spans="1:6" ht="17.649999999999999">
      <c r="A22" s="8">
        <v>17</v>
      </c>
      <c r="B22" s="9" t="s">
        <v>977</v>
      </c>
      <c r="C22" s="10">
        <v>9045830.8312999997</v>
      </c>
      <c r="D22" s="10">
        <v>94356763.045000002</v>
      </c>
      <c r="E22" s="10">
        <v>19151633.0528</v>
      </c>
      <c r="F22" s="11">
        <f t="shared" si="0"/>
        <v>122554226.92910001</v>
      </c>
    </row>
    <row r="23" spans="1:6" ht="17.649999999999999">
      <c r="A23" s="8">
        <v>18</v>
      </c>
      <c r="B23" s="9" t="s">
        <v>978</v>
      </c>
      <c r="C23" s="10">
        <v>10172893.3201</v>
      </c>
      <c r="D23" s="10">
        <v>106113114.6894</v>
      </c>
      <c r="E23" s="10">
        <v>21537824.836599998</v>
      </c>
      <c r="F23" s="11">
        <f t="shared" si="0"/>
        <v>137823832.8461</v>
      </c>
    </row>
    <row r="24" spans="1:6" ht="17.649999999999999">
      <c r="A24" s="8">
        <v>19</v>
      </c>
      <c r="B24" s="9" t="s">
        <v>979</v>
      </c>
      <c r="C24" s="10">
        <v>16196118.0408</v>
      </c>
      <c r="D24" s="10">
        <v>168941173.08719999</v>
      </c>
      <c r="E24" s="10">
        <v>34290063.054799996</v>
      </c>
      <c r="F24" s="11">
        <f t="shared" si="0"/>
        <v>219427354.18279999</v>
      </c>
    </row>
    <row r="25" spans="1:6" ht="17.649999999999999">
      <c r="A25" s="8">
        <v>20</v>
      </c>
      <c r="B25" s="9" t="s">
        <v>980</v>
      </c>
      <c r="C25" s="10">
        <v>12330380.345699999</v>
      </c>
      <c r="D25" s="10">
        <v>128617790.6919</v>
      </c>
      <c r="E25" s="10">
        <v>26105608.669599999</v>
      </c>
      <c r="F25" s="11">
        <f t="shared" si="0"/>
        <v>167053779.70720002</v>
      </c>
    </row>
    <row r="26" spans="1:6" ht="17.649999999999999">
      <c r="A26" s="8">
        <v>21</v>
      </c>
      <c r="B26" s="9" t="s">
        <v>981</v>
      </c>
      <c r="C26" s="10">
        <v>7781793.5305000003</v>
      </c>
      <c r="D26" s="10">
        <v>81171631.649000004</v>
      </c>
      <c r="E26" s="10">
        <v>16475441.2238</v>
      </c>
      <c r="F26" s="11">
        <f t="shared" si="0"/>
        <v>105428866.4033</v>
      </c>
    </row>
    <row r="27" spans="1:6" ht="17.649999999999999">
      <c r="A27" s="8">
        <v>22</v>
      </c>
      <c r="B27" s="9" t="s">
        <v>982</v>
      </c>
      <c r="C27" s="10">
        <v>8043053.6184</v>
      </c>
      <c r="D27" s="10">
        <v>83896827.010700002</v>
      </c>
      <c r="E27" s="10">
        <v>17028575.306699999</v>
      </c>
      <c r="F27" s="11">
        <f t="shared" si="0"/>
        <v>108968455.93579999</v>
      </c>
    </row>
    <row r="28" spans="1:6" ht="17.649999999999999">
      <c r="A28" s="8">
        <v>23</v>
      </c>
      <c r="B28" s="9" t="s">
        <v>983</v>
      </c>
      <c r="C28" s="10">
        <v>5691302.9040999999</v>
      </c>
      <c r="D28" s="10">
        <v>59365792.876599997</v>
      </c>
      <c r="E28" s="10">
        <v>12049500.6862</v>
      </c>
      <c r="F28" s="11">
        <f t="shared" si="0"/>
        <v>77106596.466899991</v>
      </c>
    </row>
    <row r="29" spans="1:6" ht="17.649999999999999">
      <c r="A29" s="8">
        <v>24</v>
      </c>
      <c r="B29" s="9" t="s">
        <v>984</v>
      </c>
      <c r="C29" s="10">
        <v>9695112.8024000004</v>
      </c>
      <c r="D29" s="10">
        <v>101129401.8699</v>
      </c>
      <c r="E29" s="10">
        <v>20526278.487599999</v>
      </c>
      <c r="F29" s="11">
        <f t="shared" si="0"/>
        <v>131350793.15990001</v>
      </c>
    </row>
    <row r="30" spans="1:6" ht="35.25">
      <c r="A30" s="8">
        <v>25</v>
      </c>
      <c r="B30" s="9" t="s">
        <v>985</v>
      </c>
      <c r="C30" s="10">
        <v>5077623.1113999998</v>
      </c>
      <c r="D30" s="10">
        <v>52964519.200099997</v>
      </c>
      <c r="E30" s="10">
        <v>10750231.396</v>
      </c>
      <c r="F30" s="11">
        <f t="shared" si="0"/>
        <v>68792373.707499996</v>
      </c>
    </row>
    <row r="31" spans="1:6" ht="17.649999999999999">
      <c r="A31" s="8">
        <v>26</v>
      </c>
      <c r="B31" s="9" t="s">
        <v>986</v>
      </c>
      <c r="C31" s="10">
        <v>9398288.7061000001</v>
      </c>
      <c r="D31" s="10">
        <v>98033239.508100003</v>
      </c>
      <c r="E31" s="10">
        <v>19897849.072099999</v>
      </c>
      <c r="F31" s="11">
        <f t="shared" si="0"/>
        <v>127329377.2863</v>
      </c>
    </row>
    <row r="32" spans="1:6" ht="17.649999999999999">
      <c r="A32" s="8">
        <v>27</v>
      </c>
      <c r="B32" s="9" t="s">
        <v>987</v>
      </c>
      <c r="C32" s="10">
        <v>6704705.1820999999</v>
      </c>
      <c r="D32" s="10">
        <v>69936558.612499997</v>
      </c>
      <c r="E32" s="10">
        <v>14195053.584799999</v>
      </c>
      <c r="F32" s="11">
        <f t="shared" si="0"/>
        <v>90836317.3794</v>
      </c>
    </row>
    <row r="33" spans="1:6" ht="17.649999999999999">
      <c r="A33" s="8">
        <v>28</v>
      </c>
      <c r="B33" s="9" t="s">
        <v>988</v>
      </c>
      <c r="C33" s="10">
        <v>6403417.551</v>
      </c>
      <c r="D33" s="10">
        <v>66793837.272600003</v>
      </c>
      <c r="E33" s="10">
        <v>13557174.073799999</v>
      </c>
      <c r="F33" s="11">
        <f t="shared" si="0"/>
        <v>86754428.897400007</v>
      </c>
    </row>
    <row r="34" spans="1:6" ht="17.649999999999999">
      <c r="A34" s="8">
        <v>29</v>
      </c>
      <c r="B34" s="9" t="s">
        <v>989</v>
      </c>
      <c r="C34" s="10">
        <v>8673590.9717999995</v>
      </c>
      <c r="D34" s="10">
        <v>90473941.348700002</v>
      </c>
      <c r="E34" s="10">
        <v>18363535.051600002</v>
      </c>
      <c r="F34" s="11">
        <f t="shared" si="0"/>
        <v>117511067.3721</v>
      </c>
    </row>
    <row r="35" spans="1:6" ht="17.649999999999999">
      <c r="A35" s="8">
        <v>30</v>
      </c>
      <c r="B35" s="9" t="s">
        <v>990</v>
      </c>
      <c r="C35" s="10">
        <v>10941058.26</v>
      </c>
      <c r="D35" s="10">
        <v>114125817.8427</v>
      </c>
      <c r="E35" s="10">
        <v>23164166.665199999</v>
      </c>
      <c r="F35" s="11">
        <f t="shared" si="0"/>
        <v>148231042.76790002</v>
      </c>
    </row>
    <row r="36" spans="1:6" ht="17.649999999999999">
      <c r="A36" s="8">
        <v>31</v>
      </c>
      <c r="B36" s="9" t="s">
        <v>991</v>
      </c>
      <c r="C36" s="10">
        <v>6858577.5811999999</v>
      </c>
      <c r="D36" s="10">
        <v>71541596.531499997</v>
      </c>
      <c r="E36" s="10">
        <v>14520828.826199999</v>
      </c>
      <c r="F36" s="11">
        <f t="shared" si="0"/>
        <v>92921002.938899994</v>
      </c>
    </row>
    <row r="37" spans="1:6" ht="17.649999999999999">
      <c r="A37" s="8">
        <v>32</v>
      </c>
      <c r="B37" s="9" t="s">
        <v>992</v>
      </c>
      <c r="C37" s="10">
        <v>8501587.1300000008</v>
      </c>
      <c r="D37" s="10">
        <v>88679774.950000003</v>
      </c>
      <c r="E37" s="10">
        <v>17999372.319600102</v>
      </c>
      <c r="F37" s="11">
        <f t="shared" si="0"/>
        <v>115180734.3996001</v>
      </c>
    </row>
    <row r="38" spans="1:6" ht="17.649999999999999">
      <c r="A38" s="8">
        <v>33</v>
      </c>
      <c r="B38" s="9" t="s">
        <v>993</v>
      </c>
      <c r="C38" s="10">
        <v>8562414.0808000006</v>
      </c>
      <c r="D38" s="10">
        <v>89314258.864700004</v>
      </c>
      <c r="E38" s="10">
        <v>18128153.795699999</v>
      </c>
      <c r="F38" s="11">
        <f t="shared" si="0"/>
        <v>116004826.7412</v>
      </c>
    </row>
    <row r="39" spans="1:6" ht="17.649999999999999">
      <c r="A39" s="8">
        <v>34</v>
      </c>
      <c r="B39" s="9" t="s">
        <v>994</v>
      </c>
      <c r="C39" s="10">
        <v>6417557.9996999996</v>
      </c>
      <c r="D39" s="10">
        <v>66941335.825199999</v>
      </c>
      <c r="E39" s="10">
        <v>13587111.919</v>
      </c>
      <c r="F39" s="11">
        <f t="shared" si="0"/>
        <v>86946005.743900001</v>
      </c>
    </row>
    <row r="40" spans="1:6" ht="17.649999999999999">
      <c r="A40" s="8">
        <v>35</v>
      </c>
      <c r="B40" s="9" t="s">
        <v>995</v>
      </c>
      <c r="C40" s="10">
        <v>6452292.1508999998</v>
      </c>
      <c r="D40" s="10">
        <v>67303646.608899996</v>
      </c>
      <c r="E40" s="10">
        <v>13660650.295700001</v>
      </c>
      <c r="F40" s="11">
        <f t="shared" si="0"/>
        <v>87416589.055500001</v>
      </c>
    </row>
    <row r="41" spans="1:6" ht="17.649999999999999">
      <c r="A41" s="8">
        <v>36</v>
      </c>
      <c r="B41" s="9" t="s">
        <v>996</v>
      </c>
      <c r="C41" s="10">
        <v>5830077.2818</v>
      </c>
      <c r="D41" s="10">
        <v>60813343.834700003</v>
      </c>
      <c r="E41" s="10">
        <v>12343310.7312</v>
      </c>
      <c r="F41" s="11">
        <f t="shared" si="0"/>
        <v>78986731.8477</v>
      </c>
    </row>
    <row r="42" spans="1:6" ht="35.25">
      <c r="A42" s="8">
        <v>37</v>
      </c>
      <c r="B42" s="9" t="s">
        <v>997</v>
      </c>
      <c r="C42" s="10">
        <v>2574966.0473000002</v>
      </c>
      <c r="D42" s="10">
        <v>26859385.910500001</v>
      </c>
      <c r="E42" s="10">
        <v>5451661.1886999998</v>
      </c>
      <c r="F42" s="11">
        <f t="shared" si="0"/>
        <v>34886013.146499999</v>
      </c>
    </row>
    <row r="43" spans="1:6" ht="17.25">
      <c r="A43" s="217" t="s">
        <v>44</v>
      </c>
      <c r="B43" s="217"/>
      <c r="C43" s="13">
        <f>SUM(C6:C42)</f>
        <v>283396120.0043999</v>
      </c>
      <c r="D43" s="13">
        <f t="shared" ref="D43:F43" si="1">SUM(D6:D42)</f>
        <v>2956095580.5302</v>
      </c>
      <c r="E43" s="13">
        <f t="shared" si="1"/>
        <v>600000000</v>
      </c>
      <c r="F43" s="13">
        <f t="shared" si="1"/>
        <v>3839491700.5345998</v>
      </c>
    </row>
  </sheetData>
  <mergeCells count="4">
    <mergeCell ref="A1:F1"/>
    <mergeCell ref="A2:F2"/>
    <mergeCell ref="A3:F3"/>
    <mergeCell ref="A43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MONTHENTRY</vt:lpstr>
      <vt:lpstr>Sum &amp; FG</vt:lpstr>
      <vt:lpstr>State Details</vt:lpstr>
      <vt:lpstr>LGCs Details</vt:lpstr>
      <vt:lpstr>Sum</vt:lpstr>
      <vt:lpstr>Ecology to States</vt:lpstr>
      <vt:lpstr>ECOLOGY TO INDIVIDUAL LGCS</vt:lpstr>
      <vt:lpstr>Ecology to LGCs</vt:lpstr>
      <vt:lpstr>acctmonth</vt:lpstr>
      <vt:lpstr>previuosmonth</vt:lpstr>
      <vt:lpstr>'LGCs Details'!Print_Area</vt:lpstr>
      <vt:lpstr>'State Details'!Print_Area</vt:lpstr>
      <vt:lpstr>Sum!Print_Area</vt:lpstr>
      <vt:lpstr>'Sum &amp; FG'!Print_Area</vt:lpstr>
    </vt:vector>
  </TitlesOfParts>
  <Company>OAGF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FUNDS</dc:creator>
  <cp:lastModifiedBy>MOSES WANIKO</cp:lastModifiedBy>
  <cp:lastPrinted>2024-12-04T07:42:00Z</cp:lastPrinted>
  <dcterms:created xsi:type="dcterms:W3CDTF">2003-11-12T08:54:00Z</dcterms:created>
  <dcterms:modified xsi:type="dcterms:W3CDTF">2025-05-09T22:34:09Z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F378F30C4C47429EBAEA2EF1CE4AE753_13</vt:lpwstr>
  </property>
  <property fmtid="{D5CDD505-2E9C-101B-9397-08002B2CF9AE}" pid="3" name="KSOProductBuildVer">
    <vt:lpwstr>1033-12.2.0.18911</vt:lpwstr>
  </property>
</Properties>
</file>