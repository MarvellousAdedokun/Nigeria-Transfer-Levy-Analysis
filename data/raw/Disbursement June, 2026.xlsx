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ik\Downloads\FAAC_June_2026\"/>
    </mc:Choice>
  </mc:AlternateContent>
  <xr:revisionPtr revIDLastSave="0" documentId="13_ncr:1_{AAB15A3F-5BF7-4B2D-A568-CD47618BB58E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MONTHENTRY" sheetId="8" state="hidden" r:id="rId1"/>
    <sheet name="Sum &amp; FG" sheetId="4" r:id="rId2"/>
    <sheet name="State Details" sheetId="12" r:id="rId3"/>
    <sheet name="LGCs Details" sheetId="26" r:id="rId4"/>
    <sheet name="Sum LGCs" sheetId="31" r:id="rId5"/>
    <sheet name="Ecology to States" sheetId="13" r:id="rId6"/>
    <sheet name="Ecology to LGCs" sheetId="21" r:id="rId7"/>
    <sheet name="ECOLOGY TO INDIVIDUAL LGCS" sheetId="19" r:id="rId8"/>
  </sheets>
  <definedNames>
    <definedName name="ACCTDATE">#REF!</definedName>
    <definedName name="acctmonth">MONTHENTRY!$F$6</definedName>
    <definedName name="previuosmonth">MONTHENTRY!$B$6</definedName>
    <definedName name="_xlnm.Print_Area" localSheetId="3">'LGCs Details'!$5:$6</definedName>
    <definedName name="_xlnm.Print_Area" localSheetId="2">'State Details'!$A$1:$S$47</definedName>
    <definedName name="_xlnm.Print_Area" localSheetId="1">'Sum &amp; FG'!$A$1:$H$46</definedName>
    <definedName name="_xlnm.Print_Area" localSheetId="4">'Sum LGCs'!$A$1:$I$43</definedName>
  </definedNames>
  <calcPr calcId="181029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9" i="12" l="1"/>
  <c r="U412" i="26"/>
  <c r="R412" i="26"/>
  <c r="W412" i="26" s="1"/>
  <c r="W410" i="26"/>
  <c r="W409" i="26"/>
  <c r="W408" i="26"/>
  <c r="W407" i="26"/>
  <c r="W406" i="26"/>
  <c r="W405" i="26"/>
  <c r="W411" i="26"/>
  <c r="W403" i="26"/>
  <c r="W402" i="26"/>
  <c r="W401" i="26"/>
  <c r="W400" i="26"/>
  <c r="W399" i="26"/>
  <c r="W398" i="26"/>
  <c r="W397" i="26"/>
  <c r="W396" i="26"/>
  <c r="W404" i="26" s="1"/>
  <c r="W395" i="26"/>
  <c r="W394" i="26"/>
  <c r="W393" i="26"/>
  <c r="W392" i="26"/>
  <c r="W391" i="26"/>
  <c r="W390" i="26"/>
  <c r="W388" i="26"/>
  <c r="W387" i="26"/>
  <c r="W386" i="26"/>
  <c r="W385" i="26"/>
  <c r="W384" i="26"/>
  <c r="W383" i="26"/>
  <c r="W382" i="26"/>
  <c r="W381" i="26"/>
  <c r="W380" i="26"/>
  <c r="W379" i="26"/>
  <c r="W378" i="26"/>
  <c r="W377" i="26"/>
  <c r="W376" i="26"/>
  <c r="W375" i="26"/>
  <c r="W374" i="26"/>
  <c r="W373" i="26"/>
  <c r="W389" i="26" s="1"/>
  <c r="W372" i="26"/>
  <c r="W370" i="26"/>
  <c r="W369" i="26"/>
  <c r="W368" i="26"/>
  <c r="W367" i="26"/>
  <c r="W366" i="26"/>
  <c r="W365" i="26"/>
  <c r="W364" i="26"/>
  <c r="W363" i="26"/>
  <c r="W362" i="26"/>
  <c r="W361" i="26"/>
  <c r="W360" i="26"/>
  <c r="W359" i="26"/>
  <c r="W358" i="26"/>
  <c r="W357" i="26"/>
  <c r="W356" i="26"/>
  <c r="W355" i="26"/>
  <c r="W353" i="26"/>
  <c r="W354" i="26" s="1"/>
  <c r="W352" i="26"/>
  <c r="W351" i="26"/>
  <c r="W350" i="26"/>
  <c r="W349" i="26"/>
  <c r="W348" i="26"/>
  <c r="W347" i="26"/>
  <c r="W346" i="26"/>
  <c r="W345" i="26"/>
  <c r="W344" i="26"/>
  <c r="W343" i="26"/>
  <c r="W342" i="26"/>
  <c r="W341" i="26"/>
  <c r="W340" i="26"/>
  <c r="W339" i="26"/>
  <c r="W338" i="26"/>
  <c r="W337" i="26"/>
  <c r="W336" i="26"/>
  <c r="W335" i="26"/>
  <c r="W334" i="26"/>
  <c r="W333" i="26"/>
  <c r="W332" i="26"/>
  <c r="W331" i="26"/>
  <c r="W329" i="26"/>
  <c r="W328" i="26"/>
  <c r="W330" i="26" s="1"/>
  <c r="W327" i="26"/>
  <c r="W326" i="26"/>
  <c r="W325" i="26"/>
  <c r="W324" i="26"/>
  <c r="W323" i="26"/>
  <c r="W322" i="26"/>
  <c r="W321" i="26"/>
  <c r="W320" i="26"/>
  <c r="W319" i="26"/>
  <c r="W318" i="26"/>
  <c r="W317" i="26"/>
  <c r="W316" i="26"/>
  <c r="W315" i="26"/>
  <c r="W314" i="26"/>
  <c r="W313" i="26"/>
  <c r="W312" i="26"/>
  <c r="W311" i="26"/>
  <c r="W310" i="26"/>
  <c r="W309" i="26"/>
  <c r="W308" i="26"/>
  <c r="W307" i="26"/>
  <c r="W305" i="26"/>
  <c r="W304" i="26"/>
  <c r="W303" i="26"/>
  <c r="W302" i="26"/>
  <c r="W301" i="26"/>
  <c r="W300" i="26"/>
  <c r="W299" i="26"/>
  <c r="W298" i="26"/>
  <c r="W297" i="26"/>
  <c r="W296" i="26"/>
  <c r="W295" i="26"/>
  <c r="W294" i="26"/>
  <c r="W293" i="26"/>
  <c r="W292" i="26"/>
  <c r="W306" i="26" s="1"/>
  <c r="W291" i="26"/>
  <c r="W290" i="26"/>
  <c r="W289" i="26"/>
  <c r="W287" i="26"/>
  <c r="W286" i="26"/>
  <c r="W285" i="26"/>
  <c r="W284" i="26"/>
  <c r="W283" i="26"/>
  <c r="W282" i="26"/>
  <c r="W281" i="26"/>
  <c r="W280" i="26"/>
  <c r="W279" i="26"/>
  <c r="W278" i="26"/>
  <c r="W277" i="26"/>
  <c r="W276" i="26"/>
  <c r="W275" i="26"/>
  <c r="W274" i="26"/>
  <c r="W273" i="26"/>
  <c r="W272" i="26"/>
  <c r="W271" i="26"/>
  <c r="W270" i="26"/>
  <c r="W269" i="26"/>
  <c r="W268" i="26"/>
  <c r="W267" i="26"/>
  <c r="W266" i="26"/>
  <c r="W265" i="26"/>
  <c r="W264" i="26"/>
  <c r="W263" i="26"/>
  <c r="W262" i="26"/>
  <c r="W261" i="26"/>
  <c r="W260" i="26"/>
  <c r="W259" i="26"/>
  <c r="W258" i="26"/>
  <c r="W257" i="26"/>
  <c r="W256" i="26"/>
  <c r="W288" i="26" s="1"/>
  <c r="W255" i="26"/>
  <c r="W253" i="26"/>
  <c r="W252" i="26"/>
  <c r="W251" i="26"/>
  <c r="W250" i="26"/>
  <c r="W249" i="26"/>
  <c r="W248" i="26"/>
  <c r="W247" i="26"/>
  <c r="W246" i="26"/>
  <c r="W245" i="26"/>
  <c r="W244" i="26"/>
  <c r="W243" i="26"/>
  <c r="W242" i="26"/>
  <c r="W241" i="26"/>
  <c r="W240" i="26"/>
  <c r="W239" i="26"/>
  <c r="W238" i="26"/>
  <c r="W237" i="26"/>
  <c r="W236" i="26"/>
  <c r="W235" i="26"/>
  <c r="W234" i="26"/>
  <c r="W233" i="26"/>
  <c r="W232" i="26"/>
  <c r="W231" i="26"/>
  <c r="W230" i="26"/>
  <c r="W229" i="26"/>
  <c r="W228" i="26"/>
  <c r="W227" i="26"/>
  <c r="W226" i="26"/>
  <c r="W225" i="26"/>
  <c r="W254" i="26" s="1"/>
  <c r="W224" i="26"/>
  <c r="W222" i="26"/>
  <c r="W221" i="26"/>
  <c r="W220" i="26"/>
  <c r="W219" i="26"/>
  <c r="W218" i="26"/>
  <c r="W217" i="26"/>
  <c r="W216" i="26"/>
  <c r="W215" i="26"/>
  <c r="W214" i="26"/>
  <c r="W213" i="26"/>
  <c r="W212" i="26"/>
  <c r="W211" i="26"/>
  <c r="W210" i="26"/>
  <c r="W209" i="26"/>
  <c r="W208" i="26"/>
  <c r="W207" i="26"/>
  <c r="W223" i="26" s="1"/>
  <c r="W206" i="26"/>
  <c r="W205" i="26"/>
  <c r="W203" i="26"/>
  <c r="W202" i="26"/>
  <c r="W201" i="26"/>
  <c r="W200" i="26"/>
  <c r="W199" i="26"/>
  <c r="W198" i="26"/>
  <c r="W197" i="26"/>
  <c r="W196" i="26"/>
  <c r="W195" i="26"/>
  <c r="W194" i="26"/>
  <c r="W193" i="26"/>
  <c r="W192" i="26"/>
  <c r="W191" i="26"/>
  <c r="W190" i="26"/>
  <c r="W189" i="26"/>
  <c r="W188" i="26"/>
  <c r="W187" i="26"/>
  <c r="W186" i="26"/>
  <c r="W185" i="26"/>
  <c r="W184" i="26"/>
  <c r="W204" i="26" s="1"/>
  <c r="W182" i="26"/>
  <c r="W181" i="26"/>
  <c r="W180" i="26"/>
  <c r="W179" i="26"/>
  <c r="W178" i="26"/>
  <c r="W177" i="26"/>
  <c r="W176" i="26"/>
  <c r="W175" i="26"/>
  <c r="W174" i="26"/>
  <c r="W173" i="26"/>
  <c r="W172" i="26"/>
  <c r="W171" i="26"/>
  <c r="W170" i="26"/>
  <c r="W169" i="26"/>
  <c r="W168" i="26"/>
  <c r="W167" i="26"/>
  <c r="W166" i="26"/>
  <c r="W165" i="26"/>
  <c r="W164" i="26"/>
  <c r="W163" i="26"/>
  <c r="W162" i="26"/>
  <c r="W161" i="26"/>
  <c r="W160" i="26"/>
  <c r="W159" i="26"/>
  <c r="W183" i="26" s="1"/>
  <c r="W158" i="26"/>
  <c r="W156" i="26"/>
  <c r="W157" i="26" s="1"/>
  <c r="W155" i="26"/>
  <c r="W154" i="26"/>
  <c r="W153" i="26"/>
  <c r="W152" i="26"/>
  <c r="W151" i="26"/>
  <c r="W150" i="26"/>
  <c r="W149" i="26"/>
  <c r="W148" i="26"/>
  <c r="W147" i="26"/>
  <c r="W146" i="26"/>
  <c r="W145" i="26"/>
  <c r="W144" i="26"/>
  <c r="W143" i="26"/>
  <c r="W142" i="26"/>
  <c r="W141" i="26"/>
  <c r="W140" i="26"/>
  <c r="W139" i="26"/>
  <c r="W138" i="26"/>
  <c r="W137" i="26"/>
  <c r="W136" i="26"/>
  <c r="W135" i="26"/>
  <c r="W134" i="26"/>
  <c r="W133" i="26"/>
  <c r="W132" i="26"/>
  <c r="W131" i="26"/>
  <c r="W130" i="26"/>
  <c r="W129" i="26"/>
  <c r="W128" i="26"/>
  <c r="W127" i="26"/>
  <c r="W126" i="26"/>
  <c r="W125" i="26"/>
  <c r="W124" i="26"/>
  <c r="W123" i="26"/>
  <c r="W121" i="26"/>
  <c r="W120" i="26"/>
  <c r="W119" i="26"/>
  <c r="W118" i="26"/>
  <c r="W117" i="26"/>
  <c r="W116" i="26"/>
  <c r="W115" i="26"/>
  <c r="W114" i="26"/>
  <c r="W113" i="26"/>
  <c r="W112" i="26"/>
  <c r="W111" i="26"/>
  <c r="W110" i="26"/>
  <c r="W109" i="26"/>
  <c r="W108" i="26"/>
  <c r="W107" i="26"/>
  <c r="W106" i="26"/>
  <c r="W122" i="26" s="1"/>
  <c r="W104" i="26"/>
  <c r="W103" i="26"/>
  <c r="W102" i="26"/>
  <c r="W101" i="26"/>
  <c r="W100" i="26"/>
  <c r="W99" i="26"/>
  <c r="W98" i="26"/>
  <c r="W97" i="26"/>
  <c r="W96" i="26"/>
  <c r="W95" i="26"/>
  <c r="W94" i="26"/>
  <c r="W93" i="26"/>
  <c r="W92" i="26"/>
  <c r="W91" i="26"/>
  <c r="W90" i="26"/>
  <c r="W89" i="26"/>
  <c r="W105" i="26" s="1"/>
  <c r="W88" i="26"/>
  <c r="W87" i="26"/>
  <c r="W86" i="26"/>
  <c r="W85" i="26"/>
  <c r="W84" i="26"/>
  <c r="W82" i="26"/>
  <c r="W81" i="26"/>
  <c r="W80" i="26"/>
  <c r="W79" i="26"/>
  <c r="W78" i="26"/>
  <c r="W77" i="26"/>
  <c r="W76" i="26"/>
  <c r="W75" i="26"/>
  <c r="W74" i="26"/>
  <c r="W73" i="26"/>
  <c r="W72" i="26"/>
  <c r="W71" i="26"/>
  <c r="W70" i="26"/>
  <c r="W69" i="26"/>
  <c r="W68" i="26"/>
  <c r="W67" i="26"/>
  <c r="W83" i="26" s="1"/>
  <c r="W66" i="26"/>
  <c r="W65" i="26"/>
  <c r="W64" i="26"/>
  <c r="W63" i="26"/>
  <c r="W62" i="26"/>
  <c r="W60" i="26"/>
  <c r="W59" i="26"/>
  <c r="W58" i="26"/>
  <c r="W57" i="26"/>
  <c r="W56" i="26"/>
  <c r="W55" i="26"/>
  <c r="W54" i="26"/>
  <c r="W53" i="26"/>
  <c r="W52" i="26"/>
  <c r="W51" i="26"/>
  <c r="W50" i="26"/>
  <c r="W49" i="26"/>
  <c r="W48" i="26"/>
  <c r="W47" i="26"/>
  <c r="W46" i="26"/>
  <c r="W45" i="26"/>
  <c r="W44" i="26"/>
  <c r="W43" i="26"/>
  <c r="W42" i="26"/>
  <c r="W41" i="26"/>
  <c r="W40" i="26"/>
  <c r="W39" i="26"/>
  <c r="W38" i="26"/>
  <c r="W37" i="26"/>
  <c r="W36" i="26"/>
  <c r="W35" i="26"/>
  <c r="W34" i="26"/>
  <c r="W33" i="26"/>
  <c r="W32" i="26"/>
  <c r="W31" i="26"/>
  <c r="W30" i="26"/>
  <c r="W29" i="26"/>
  <c r="W28" i="26"/>
  <c r="W27" i="26"/>
  <c r="W61" i="26" s="1"/>
  <c r="W26" i="26"/>
  <c r="W25" i="26"/>
  <c r="W24" i="26"/>
  <c r="W23" i="26"/>
  <c r="W22" i="26"/>
  <c r="W21" i="26"/>
  <c r="W20" i="26"/>
  <c r="W19" i="26"/>
  <c r="W18" i="26"/>
  <c r="W17" i="26"/>
  <c r="W16" i="26"/>
  <c r="W15" i="26"/>
  <c r="W14" i="26"/>
  <c r="W13" i="26"/>
  <c r="W12" i="26"/>
  <c r="W11" i="26"/>
  <c r="W10" i="26"/>
  <c r="W9" i="26"/>
  <c r="W8" i="26"/>
  <c r="W7" i="26"/>
  <c r="K387" i="26"/>
  <c r="K335" i="26"/>
  <c r="K295" i="26"/>
  <c r="J201" i="26"/>
  <c r="K182" i="26"/>
  <c r="K121" i="26"/>
  <c r="K100" i="26"/>
  <c r="H43" i="31"/>
  <c r="E43" i="31"/>
  <c r="C43" i="31"/>
  <c r="G42" i="31"/>
  <c r="I42" i="31" s="1"/>
  <c r="G41" i="31"/>
  <c r="I41" i="31" s="1"/>
  <c r="G40" i="31"/>
  <c r="I40" i="31" s="1"/>
  <c r="F39" i="31"/>
  <c r="G39" i="31" s="1"/>
  <c r="I39" i="31" s="1"/>
  <c r="I38" i="31"/>
  <c r="G38" i="31"/>
  <c r="F37" i="31"/>
  <c r="G37" i="31" s="1"/>
  <c r="I37" i="31" s="1"/>
  <c r="F36" i="31"/>
  <c r="G36" i="31" s="1"/>
  <c r="I36" i="31" s="1"/>
  <c r="I35" i="31"/>
  <c r="G35" i="31"/>
  <c r="I34" i="31"/>
  <c r="G34" i="31"/>
  <c r="G33" i="31"/>
  <c r="I33" i="31" s="1"/>
  <c r="F33" i="31"/>
  <c r="G32" i="31"/>
  <c r="I32" i="31" s="1"/>
  <c r="G31" i="31"/>
  <c r="I31" i="31" s="1"/>
  <c r="F31" i="31"/>
  <c r="G30" i="31"/>
  <c r="I30" i="31" s="1"/>
  <c r="F30" i="31"/>
  <c r="G29" i="31"/>
  <c r="I29" i="31" s="1"/>
  <c r="G28" i="31"/>
  <c r="I28" i="31" s="1"/>
  <c r="F28" i="31"/>
  <c r="G27" i="31"/>
  <c r="I27" i="31" s="1"/>
  <c r="F27" i="31"/>
  <c r="G26" i="31"/>
  <c r="I26" i="31" s="1"/>
  <c r="F26" i="31"/>
  <c r="I25" i="31"/>
  <c r="G25" i="31"/>
  <c r="G24" i="31"/>
  <c r="I24" i="31" s="1"/>
  <c r="F23" i="31"/>
  <c r="G23" i="31" s="1"/>
  <c r="I23" i="31" s="1"/>
  <c r="G22" i="31"/>
  <c r="I22" i="31" s="1"/>
  <c r="F21" i="31"/>
  <c r="G21" i="31" s="1"/>
  <c r="I21" i="31" s="1"/>
  <c r="F20" i="31"/>
  <c r="G20" i="31" s="1"/>
  <c r="I20" i="31" s="1"/>
  <c r="G19" i="31"/>
  <c r="I19" i="31" s="1"/>
  <c r="G18" i="31"/>
  <c r="I18" i="31" s="1"/>
  <c r="F17" i="31"/>
  <c r="G17" i="31" s="1"/>
  <c r="I17" i="31" s="1"/>
  <c r="G16" i="31"/>
  <c r="D16" i="31"/>
  <c r="D43" i="31" s="1"/>
  <c r="F15" i="31"/>
  <c r="G15" i="31" s="1"/>
  <c r="I15" i="31" s="1"/>
  <c r="F14" i="31"/>
  <c r="G14" i="31" s="1"/>
  <c r="I14" i="31" s="1"/>
  <c r="G13" i="31"/>
  <c r="I13" i="31" s="1"/>
  <c r="F12" i="31"/>
  <c r="G12" i="31" s="1"/>
  <c r="I12" i="31" s="1"/>
  <c r="F11" i="31"/>
  <c r="G11" i="31" s="1"/>
  <c r="I11" i="31" s="1"/>
  <c r="G10" i="31"/>
  <c r="I10" i="31" s="1"/>
  <c r="G9" i="31"/>
  <c r="I9" i="31" s="1"/>
  <c r="F8" i="31"/>
  <c r="G8" i="31" s="1"/>
  <c r="I8" i="31" s="1"/>
  <c r="I7" i="31"/>
  <c r="G7" i="31"/>
  <c r="F6" i="31"/>
  <c r="F43" i="31" s="1"/>
  <c r="Q10" i="12"/>
  <c r="F240" i="26"/>
  <c r="F239" i="26"/>
  <c r="F238" i="26"/>
  <c r="F237" i="26"/>
  <c r="F236" i="26"/>
  <c r="F235" i="26"/>
  <c r="F234" i="26"/>
  <c r="F233" i="26"/>
  <c r="F232" i="26"/>
  <c r="F231" i="26"/>
  <c r="F230" i="26"/>
  <c r="F229" i="26"/>
  <c r="F228" i="26"/>
  <c r="W371" i="26" l="1"/>
  <c r="I16" i="31"/>
  <c r="G6" i="31"/>
  <c r="T370" i="26"/>
  <c r="T369" i="26"/>
  <c r="T368" i="26"/>
  <c r="T367" i="26"/>
  <c r="T366" i="26"/>
  <c r="T365" i="26"/>
  <c r="T364" i="26"/>
  <c r="T363" i="26"/>
  <c r="T362" i="26"/>
  <c r="T361" i="26"/>
  <c r="T360" i="26"/>
  <c r="T359" i="26"/>
  <c r="T358" i="26"/>
  <c r="T357" i="26"/>
  <c r="T356" i="26"/>
  <c r="T355" i="26"/>
  <c r="T305" i="26"/>
  <c r="T304" i="26"/>
  <c r="T303" i="26"/>
  <c r="T302" i="26"/>
  <c r="T301" i="26"/>
  <c r="T300" i="26"/>
  <c r="T299" i="26"/>
  <c r="T298" i="26"/>
  <c r="T297" i="26"/>
  <c r="T296" i="26"/>
  <c r="T295" i="26"/>
  <c r="T294" i="26"/>
  <c r="T293" i="26"/>
  <c r="T292" i="26"/>
  <c r="T291" i="26"/>
  <c r="T290" i="26"/>
  <c r="T289" i="26"/>
  <c r="T182" i="26"/>
  <c r="T181" i="26"/>
  <c r="T180" i="26"/>
  <c r="T179" i="26"/>
  <c r="T178" i="26"/>
  <c r="T177" i="26"/>
  <c r="T176" i="26"/>
  <c r="T175" i="26"/>
  <c r="T174" i="26"/>
  <c r="T173" i="26"/>
  <c r="T172" i="26"/>
  <c r="T171" i="26"/>
  <c r="T170" i="26"/>
  <c r="T169" i="26"/>
  <c r="T168" i="26"/>
  <c r="T167" i="26"/>
  <c r="T166" i="26"/>
  <c r="T165" i="26"/>
  <c r="T164" i="26"/>
  <c r="T163" i="26"/>
  <c r="T162" i="26"/>
  <c r="T161" i="26"/>
  <c r="T160" i="26"/>
  <c r="T159" i="26"/>
  <c r="T158" i="26"/>
  <c r="T156" i="26"/>
  <c r="T155" i="26"/>
  <c r="T154" i="26"/>
  <c r="T153" i="26"/>
  <c r="T152" i="26"/>
  <c r="T151" i="26"/>
  <c r="T150" i="26"/>
  <c r="T149" i="26"/>
  <c r="T148" i="26"/>
  <c r="T147" i="26"/>
  <c r="T146" i="26"/>
  <c r="T145" i="26"/>
  <c r="T144" i="26"/>
  <c r="T121" i="26"/>
  <c r="T120" i="26"/>
  <c r="T119" i="26"/>
  <c r="T118" i="26"/>
  <c r="T117" i="26"/>
  <c r="T116" i="26"/>
  <c r="T115" i="26"/>
  <c r="T114" i="26"/>
  <c r="T113" i="26"/>
  <c r="T112" i="26"/>
  <c r="T111" i="26"/>
  <c r="T110" i="26"/>
  <c r="T109" i="26"/>
  <c r="T108" i="26"/>
  <c r="T107" i="26"/>
  <c r="T106" i="26"/>
  <c r="T104" i="26"/>
  <c r="T103" i="26"/>
  <c r="T102" i="26"/>
  <c r="T101" i="26"/>
  <c r="T100" i="26"/>
  <c r="T99" i="26"/>
  <c r="T98" i="26"/>
  <c r="T97" i="26"/>
  <c r="T96" i="26"/>
  <c r="T95" i="26"/>
  <c r="T94" i="26"/>
  <c r="T93" i="26"/>
  <c r="T92" i="26"/>
  <c r="T91" i="26"/>
  <c r="T90" i="26"/>
  <c r="T89" i="26"/>
  <c r="T88" i="26"/>
  <c r="T87" i="26"/>
  <c r="T86" i="26"/>
  <c r="T85" i="26"/>
  <c r="T84" i="26"/>
  <c r="T82" i="26"/>
  <c r="T81" i="26"/>
  <c r="T80" i="26"/>
  <c r="T79" i="26"/>
  <c r="T78" i="26"/>
  <c r="T77" i="26"/>
  <c r="T76" i="26"/>
  <c r="T75" i="26"/>
  <c r="T74" i="26"/>
  <c r="T73" i="26"/>
  <c r="T72" i="26"/>
  <c r="T71" i="26"/>
  <c r="T70" i="26"/>
  <c r="T69" i="26"/>
  <c r="T68" i="26"/>
  <c r="T67" i="26"/>
  <c r="T66" i="26"/>
  <c r="T65" i="26"/>
  <c r="T64" i="26"/>
  <c r="T63" i="26"/>
  <c r="T62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06" i="26"/>
  <c r="H305" i="26"/>
  <c r="H304" i="26"/>
  <c r="H303" i="26"/>
  <c r="H302" i="26"/>
  <c r="H301" i="26"/>
  <c r="H300" i="26"/>
  <c r="H299" i="26"/>
  <c r="H298" i="26"/>
  <c r="H297" i="26"/>
  <c r="H296" i="26"/>
  <c r="I242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I7" i="26"/>
  <c r="I20" i="12"/>
  <c r="G46" i="12"/>
  <c r="I45" i="12"/>
  <c r="I44" i="12"/>
  <c r="I43" i="12"/>
  <c r="I42" i="12"/>
  <c r="I41" i="12"/>
  <c r="I40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19" i="12"/>
  <c r="I18" i="12"/>
  <c r="I17" i="12"/>
  <c r="I16" i="12"/>
  <c r="I15" i="12"/>
  <c r="I14" i="12"/>
  <c r="I13" i="12"/>
  <c r="I12" i="12"/>
  <c r="I11" i="12"/>
  <c r="I10" i="12"/>
  <c r="V26" i="26"/>
  <c r="S26" i="26"/>
  <c r="U26" i="26" s="1"/>
  <c r="Q26" i="26"/>
  <c r="J413" i="26"/>
  <c r="H413" i="26"/>
  <c r="G413" i="26"/>
  <c r="F413" i="26"/>
  <c r="E413" i="26"/>
  <c r="S306" i="26"/>
  <c r="I202" i="26"/>
  <c r="E779" i="19"/>
  <c r="E778" i="19"/>
  <c r="E777" i="19"/>
  <c r="E776" i="19"/>
  <c r="E775" i="19"/>
  <c r="E774" i="19"/>
  <c r="E773" i="19"/>
  <c r="E772" i="19"/>
  <c r="E771" i="19"/>
  <c r="E770" i="19"/>
  <c r="E769" i="19"/>
  <c r="E768" i="19"/>
  <c r="E767" i="19"/>
  <c r="E766" i="19"/>
  <c r="E765" i="19"/>
  <c r="E764" i="19"/>
  <c r="E763" i="19"/>
  <c r="E762" i="19"/>
  <c r="E761" i="19"/>
  <c r="E760" i="19"/>
  <c r="E759" i="19"/>
  <c r="E758" i="19"/>
  <c r="E757" i="19"/>
  <c r="E756" i="19"/>
  <c r="E755" i="19"/>
  <c r="E754" i="19"/>
  <c r="E753" i="19"/>
  <c r="E752" i="19"/>
  <c r="E751" i="19"/>
  <c r="E750" i="19"/>
  <c r="E749" i="19"/>
  <c r="E748" i="19"/>
  <c r="E747" i="19"/>
  <c r="E746" i="19"/>
  <c r="E745" i="19"/>
  <c r="E744" i="19"/>
  <c r="E743" i="19"/>
  <c r="E742" i="19"/>
  <c r="E741" i="19"/>
  <c r="E740" i="19"/>
  <c r="E739" i="19"/>
  <c r="E738" i="19"/>
  <c r="E737" i="19"/>
  <c r="E736" i="19"/>
  <c r="E735" i="19"/>
  <c r="E734" i="19"/>
  <c r="E733" i="19"/>
  <c r="E732" i="19"/>
  <c r="E731" i="19"/>
  <c r="E730" i="19"/>
  <c r="E729" i="19"/>
  <c r="E728" i="19"/>
  <c r="E727" i="19"/>
  <c r="E726" i="19"/>
  <c r="E725" i="19"/>
  <c r="E724" i="19"/>
  <c r="E723" i="19"/>
  <c r="E722" i="19"/>
  <c r="E721" i="19"/>
  <c r="E720" i="19"/>
  <c r="E719" i="19"/>
  <c r="E718" i="19"/>
  <c r="E717" i="19"/>
  <c r="E716" i="19"/>
  <c r="E715" i="19"/>
  <c r="E714" i="19"/>
  <c r="E713" i="19"/>
  <c r="E712" i="19"/>
  <c r="E711" i="19"/>
  <c r="E710" i="19"/>
  <c r="E709" i="19"/>
  <c r="E708" i="19"/>
  <c r="E707" i="19"/>
  <c r="E706" i="19"/>
  <c r="E705" i="19"/>
  <c r="E704" i="19"/>
  <c r="E703" i="19"/>
  <c r="E702" i="19"/>
  <c r="E701" i="19"/>
  <c r="E700" i="19"/>
  <c r="E699" i="19"/>
  <c r="E698" i="19"/>
  <c r="E697" i="19"/>
  <c r="E696" i="19"/>
  <c r="E695" i="19"/>
  <c r="E694" i="19"/>
  <c r="E693" i="19"/>
  <c r="E692" i="19"/>
  <c r="E691" i="19"/>
  <c r="E690" i="19"/>
  <c r="E689" i="19"/>
  <c r="E688" i="19"/>
  <c r="E687" i="19"/>
  <c r="E686" i="19"/>
  <c r="E685" i="19"/>
  <c r="E684" i="19"/>
  <c r="E683" i="19"/>
  <c r="E682" i="19"/>
  <c r="E681" i="19"/>
  <c r="E680" i="19"/>
  <c r="E679" i="19"/>
  <c r="E678" i="19"/>
  <c r="E677" i="19"/>
  <c r="E676" i="19"/>
  <c r="E675" i="19"/>
  <c r="E674" i="19"/>
  <c r="E673" i="19"/>
  <c r="E672" i="19"/>
  <c r="E671" i="19"/>
  <c r="E670" i="19"/>
  <c r="E669" i="19"/>
  <c r="E668" i="19"/>
  <c r="E667" i="19"/>
  <c r="E666" i="19"/>
  <c r="E665" i="19"/>
  <c r="E664" i="19"/>
  <c r="E663" i="19"/>
  <c r="E662" i="19"/>
  <c r="E661" i="19"/>
  <c r="E660" i="19"/>
  <c r="E659" i="19"/>
  <c r="E658" i="19"/>
  <c r="E657" i="19"/>
  <c r="E656" i="19"/>
  <c r="E655" i="19"/>
  <c r="E654" i="19"/>
  <c r="E653" i="19"/>
  <c r="E652" i="19"/>
  <c r="E651" i="19"/>
  <c r="E650" i="19"/>
  <c r="E649" i="19"/>
  <c r="E648" i="19"/>
  <c r="E647" i="19"/>
  <c r="E646" i="19"/>
  <c r="E645" i="19"/>
  <c r="E644" i="19"/>
  <c r="E643" i="19"/>
  <c r="E642" i="19"/>
  <c r="E641" i="19"/>
  <c r="E640" i="19"/>
  <c r="E639" i="19"/>
  <c r="E638" i="19"/>
  <c r="E637" i="19"/>
  <c r="E636" i="19"/>
  <c r="E635" i="19"/>
  <c r="E634" i="19"/>
  <c r="E633" i="19"/>
  <c r="E632" i="19"/>
  <c r="E631" i="19"/>
  <c r="E630" i="19"/>
  <c r="E629" i="19"/>
  <c r="E628" i="19"/>
  <c r="E627" i="19"/>
  <c r="E626" i="19"/>
  <c r="E625" i="19"/>
  <c r="E624" i="19"/>
  <c r="E623" i="19"/>
  <c r="E622" i="19"/>
  <c r="E621" i="19"/>
  <c r="E620" i="19"/>
  <c r="E619" i="19"/>
  <c r="E618" i="19"/>
  <c r="E617" i="19"/>
  <c r="E616" i="19"/>
  <c r="E615" i="19"/>
  <c r="E614" i="19"/>
  <c r="E613" i="19"/>
  <c r="E612" i="19"/>
  <c r="E611" i="19"/>
  <c r="E610" i="19"/>
  <c r="E609" i="19"/>
  <c r="E608" i="19"/>
  <c r="E607" i="19"/>
  <c r="E606" i="19"/>
  <c r="E605" i="19"/>
  <c r="E604" i="19"/>
  <c r="E603" i="19"/>
  <c r="E602" i="19"/>
  <c r="E601" i="19"/>
  <c r="E600" i="19"/>
  <c r="E599" i="19"/>
  <c r="E598" i="19"/>
  <c r="E597" i="19"/>
  <c r="E596" i="19"/>
  <c r="E595" i="19"/>
  <c r="E594" i="19"/>
  <c r="E593" i="19"/>
  <c r="E592" i="19"/>
  <c r="E591" i="19"/>
  <c r="E590" i="19"/>
  <c r="E589" i="19"/>
  <c r="E588" i="19"/>
  <c r="E587" i="19"/>
  <c r="E586" i="19"/>
  <c r="E585" i="19"/>
  <c r="E584" i="19"/>
  <c r="E583" i="19"/>
  <c r="E582" i="19"/>
  <c r="E581" i="19"/>
  <c r="E580" i="19"/>
  <c r="E579" i="19"/>
  <c r="E578" i="19"/>
  <c r="E577" i="19"/>
  <c r="E576" i="19"/>
  <c r="E575" i="19"/>
  <c r="E574" i="19"/>
  <c r="E573" i="19"/>
  <c r="E572" i="19"/>
  <c r="E571" i="19"/>
  <c r="E570" i="19"/>
  <c r="E569" i="19"/>
  <c r="E568" i="19"/>
  <c r="E567" i="19"/>
  <c r="E566" i="19"/>
  <c r="E565" i="19"/>
  <c r="E564" i="19"/>
  <c r="E563" i="19"/>
  <c r="E562" i="19"/>
  <c r="E561" i="19"/>
  <c r="E560" i="19"/>
  <c r="E559" i="19"/>
  <c r="E558" i="19"/>
  <c r="E557" i="19"/>
  <c r="E556" i="19"/>
  <c r="E555" i="19"/>
  <c r="E554" i="19"/>
  <c r="E553" i="19"/>
  <c r="E552" i="19"/>
  <c r="E551" i="19"/>
  <c r="E550" i="19"/>
  <c r="E549" i="19"/>
  <c r="E548" i="19"/>
  <c r="E547" i="19"/>
  <c r="E546" i="19"/>
  <c r="E545" i="19"/>
  <c r="E544" i="19"/>
  <c r="E543" i="19"/>
  <c r="E542" i="19"/>
  <c r="E541" i="19"/>
  <c r="E540" i="19"/>
  <c r="E539" i="19"/>
  <c r="E538" i="19"/>
  <c r="E537" i="19"/>
  <c r="E536" i="19"/>
  <c r="E535" i="19"/>
  <c r="E534" i="19"/>
  <c r="E533" i="19"/>
  <c r="E532" i="19"/>
  <c r="E531" i="19"/>
  <c r="E530" i="19"/>
  <c r="E529" i="19"/>
  <c r="E528" i="19"/>
  <c r="E527" i="19"/>
  <c r="E526" i="19"/>
  <c r="E525" i="19"/>
  <c r="E524" i="19"/>
  <c r="E523" i="19"/>
  <c r="E522" i="19"/>
  <c r="E521" i="19"/>
  <c r="E520" i="19"/>
  <c r="E519" i="19"/>
  <c r="E518" i="19"/>
  <c r="E517" i="19"/>
  <c r="E516" i="19"/>
  <c r="E515" i="19"/>
  <c r="E514" i="19"/>
  <c r="E513" i="19"/>
  <c r="E512" i="19"/>
  <c r="E511" i="19"/>
  <c r="E510" i="19"/>
  <c r="E509" i="19"/>
  <c r="E508" i="19"/>
  <c r="E507" i="19"/>
  <c r="E506" i="19"/>
  <c r="E505" i="19"/>
  <c r="E504" i="19"/>
  <c r="E503" i="19"/>
  <c r="E502" i="19"/>
  <c r="E501" i="19"/>
  <c r="E500" i="19"/>
  <c r="E499" i="19"/>
  <c r="E498" i="19"/>
  <c r="E497" i="19"/>
  <c r="E496" i="19"/>
  <c r="E495" i="19"/>
  <c r="E494" i="19"/>
  <c r="E493" i="19"/>
  <c r="E492" i="19"/>
  <c r="E491" i="19"/>
  <c r="E490" i="19"/>
  <c r="E489" i="19"/>
  <c r="E488" i="19"/>
  <c r="E487" i="19"/>
  <c r="E486" i="19"/>
  <c r="E485" i="19"/>
  <c r="E484" i="19"/>
  <c r="E483" i="19"/>
  <c r="E482" i="19"/>
  <c r="E481" i="19"/>
  <c r="E480" i="19"/>
  <c r="E479" i="19"/>
  <c r="E478" i="19"/>
  <c r="E477" i="19"/>
  <c r="E476" i="19"/>
  <c r="E475" i="19"/>
  <c r="E474" i="19"/>
  <c r="E473" i="19"/>
  <c r="E472" i="19"/>
  <c r="E471" i="19"/>
  <c r="E470" i="19"/>
  <c r="E469" i="19"/>
  <c r="E468" i="19"/>
  <c r="E467" i="19"/>
  <c r="E466" i="19"/>
  <c r="E465" i="19"/>
  <c r="E464" i="19"/>
  <c r="E463" i="19"/>
  <c r="E462" i="19"/>
  <c r="E461" i="19"/>
  <c r="E460" i="19"/>
  <c r="E459" i="19"/>
  <c r="E458" i="19"/>
  <c r="E457" i="19"/>
  <c r="E456" i="19"/>
  <c r="E455" i="19"/>
  <c r="E454" i="19"/>
  <c r="E453" i="19"/>
  <c r="E452" i="19"/>
  <c r="E451" i="19"/>
  <c r="E450" i="19"/>
  <c r="E449" i="19"/>
  <c r="E448" i="19"/>
  <c r="E447" i="19"/>
  <c r="E446" i="19"/>
  <c r="E445" i="19"/>
  <c r="E444" i="19"/>
  <c r="E443" i="19"/>
  <c r="E442" i="19"/>
  <c r="E441" i="19"/>
  <c r="E440" i="19"/>
  <c r="E439" i="19"/>
  <c r="E438" i="19"/>
  <c r="E437" i="19"/>
  <c r="E436" i="19"/>
  <c r="E435" i="19"/>
  <c r="E434" i="19"/>
  <c r="E433" i="19"/>
  <c r="E432" i="19"/>
  <c r="E431" i="19"/>
  <c r="E430" i="19"/>
  <c r="E429" i="19"/>
  <c r="E428" i="19"/>
  <c r="E427" i="19"/>
  <c r="E426" i="19"/>
  <c r="E425" i="19"/>
  <c r="E424" i="19"/>
  <c r="E423" i="19"/>
  <c r="E422" i="19"/>
  <c r="E421" i="19"/>
  <c r="E420" i="19"/>
  <c r="E419" i="19"/>
  <c r="E418" i="19"/>
  <c r="E417" i="19"/>
  <c r="E416" i="19"/>
  <c r="E415" i="19"/>
  <c r="E414" i="19"/>
  <c r="E413" i="19"/>
  <c r="E412" i="19"/>
  <c r="E411" i="19"/>
  <c r="E410" i="19"/>
  <c r="E409" i="19"/>
  <c r="E408" i="19"/>
  <c r="E407" i="19"/>
  <c r="E406" i="19"/>
  <c r="E405" i="19"/>
  <c r="E404" i="19"/>
  <c r="E403" i="19"/>
  <c r="E402" i="19"/>
  <c r="E401" i="19"/>
  <c r="E400" i="19"/>
  <c r="E399" i="19"/>
  <c r="E398" i="19"/>
  <c r="E397" i="19"/>
  <c r="E396" i="19"/>
  <c r="E395" i="19"/>
  <c r="E394" i="19"/>
  <c r="E393" i="19"/>
  <c r="E392" i="19"/>
  <c r="E391" i="19"/>
  <c r="E390" i="19"/>
  <c r="E389" i="19"/>
  <c r="E388" i="19"/>
  <c r="E387" i="19"/>
  <c r="E386" i="19"/>
  <c r="E385" i="19"/>
  <c r="E384" i="19"/>
  <c r="E383" i="19"/>
  <c r="E382" i="19"/>
  <c r="E381" i="19"/>
  <c r="E380" i="19"/>
  <c r="E379" i="19"/>
  <c r="E378" i="19"/>
  <c r="E377" i="19"/>
  <c r="E376" i="19"/>
  <c r="E375" i="19"/>
  <c r="E374" i="19"/>
  <c r="E373" i="19"/>
  <c r="E372" i="19"/>
  <c r="E371" i="19"/>
  <c r="E370" i="19"/>
  <c r="E369" i="19"/>
  <c r="E368" i="19"/>
  <c r="E367" i="19"/>
  <c r="E366" i="19"/>
  <c r="E365" i="19"/>
  <c r="E364" i="19"/>
  <c r="E363" i="19"/>
  <c r="E362" i="19"/>
  <c r="E361" i="19"/>
  <c r="E360" i="19"/>
  <c r="E359" i="19"/>
  <c r="E358" i="19"/>
  <c r="E357" i="19"/>
  <c r="E356" i="19"/>
  <c r="E355" i="19"/>
  <c r="E354" i="19"/>
  <c r="E353" i="19"/>
  <c r="E352" i="19"/>
  <c r="E351" i="19"/>
  <c r="E350" i="19"/>
  <c r="E349" i="19"/>
  <c r="E348" i="19"/>
  <c r="E347" i="19"/>
  <c r="E346" i="19"/>
  <c r="E345" i="19"/>
  <c r="E344" i="19"/>
  <c r="E343" i="19"/>
  <c r="E342" i="19"/>
  <c r="E341" i="19"/>
  <c r="E340" i="19"/>
  <c r="E339" i="19"/>
  <c r="E338" i="19"/>
  <c r="E337" i="19"/>
  <c r="E336" i="19"/>
  <c r="E335" i="19"/>
  <c r="E334" i="19"/>
  <c r="E333" i="19"/>
  <c r="E332" i="19"/>
  <c r="E331" i="19"/>
  <c r="E330" i="19"/>
  <c r="E329" i="19"/>
  <c r="E328" i="19"/>
  <c r="E327" i="19"/>
  <c r="E326" i="19"/>
  <c r="E325" i="19"/>
  <c r="E324" i="19"/>
  <c r="E323" i="19"/>
  <c r="E322" i="19"/>
  <c r="E321" i="19"/>
  <c r="E320" i="19"/>
  <c r="E319" i="19"/>
  <c r="E318" i="19"/>
  <c r="E317" i="19"/>
  <c r="E316" i="19"/>
  <c r="E315" i="19"/>
  <c r="E314" i="19"/>
  <c r="E313" i="19"/>
  <c r="E312" i="19"/>
  <c r="E311" i="19"/>
  <c r="E310" i="19"/>
  <c r="E309" i="19"/>
  <c r="E308" i="19"/>
  <c r="E307" i="19"/>
  <c r="E306" i="19"/>
  <c r="E305" i="19"/>
  <c r="E304" i="19"/>
  <c r="E303" i="19"/>
  <c r="E302" i="19"/>
  <c r="E301" i="19"/>
  <c r="E300" i="19"/>
  <c r="E299" i="19"/>
  <c r="E298" i="19"/>
  <c r="E297" i="19"/>
  <c r="E296" i="19"/>
  <c r="E295" i="19"/>
  <c r="E294" i="19"/>
  <c r="E293" i="19"/>
  <c r="E292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E269" i="19"/>
  <c r="E268" i="19"/>
  <c r="E267" i="19"/>
  <c r="E266" i="19"/>
  <c r="E265" i="19"/>
  <c r="E264" i="19"/>
  <c r="E263" i="19"/>
  <c r="E262" i="19"/>
  <c r="E261" i="19"/>
  <c r="E260" i="19"/>
  <c r="E259" i="19"/>
  <c r="E258" i="19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E173" i="19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I6" i="31" l="1"/>
  <c r="I43" i="31" s="1"/>
  <c r="G43" i="31"/>
  <c r="I46" i="12"/>
  <c r="H51" i="12" s="1"/>
  <c r="H53" i="12" s="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41" i="13" l="1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E20" i="4" l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C11" i="4"/>
  <c r="C21" i="4" s="1"/>
  <c r="D780" i="19" l="1"/>
  <c r="C43" i="21"/>
  <c r="D43" i="21"/>
  <c r="C42" i="13"/>
  <c r="D42" i="13"/>
  <c r="L413" i="26"/>
  <c r="I412" i="26"/>
  <c r="K412" i="26" s="1"/>
  <c r="V411" i="26"/>
  <c r="T411" i="26"/>
  <c r="S411" i="26"/>
  <c r="U411" i="26" s="1"/>
  <c r="Q411" i="26"/>
  <c r="I411" i="26"/>
  <c r="K411" i="26" s="1"/>
  <c r="U410" i="26"/>
  <c r="I410" i="26"/>
  <c r="K410" i="26" s="1"/>
  <c r="U409" i="26"/>
  <c r="I409" i="26"/>
  <c r="K409" i="26" s="1"/>
  <c r="U408" i="26"/>
  <c r="I408" i="26"/>
  <c r="K408" i="26" s="1"/>
  <c r="U407" i="26"/>
  <c r="I407" i="26"/>
  <c r="K407" i="26" s="1"/>
  <c r="U406" i="26"/>
  <c r="I406" i="26"/>
  <c r="K406" i="26" s="1"/>
  <c r="U405" i="26"/>
  <c r="I405" i="26"/>
  <c r="K405" i="26" s="1"/>
  <c r="V404" i="26"/>
  <c r="T404" i="26"/>
  <c r="S404" i="26"/>
  <c r="Q404" i="26"/>
  <c r="I404" i="26"/>
  <c r="K404" i="26" s="1"/>
  <c r="U403" i="26"/>
  <c r="I403" i="26"/>
  <c r="K403" i="26" s="1"/>
  <c r="U402" i="26"/>
  <c r="I402" i="26"/>
  <c r="K402" i="26" s="1"/>
  <c r="U401" i="26"/>
  <c r="I401" i="26"/>
  <c r="K401" i="26" s="1"/>
  <c r="U400" i="26"/>
  <c r="I400" i="26"/>
  <c r="K400" i="26" s="1"/>
  <c r="U399" i="26"/>
  <c r="I399" i="26"/>
  <c r="K399" i="26" s="1"/>
  <c r="U398" i="26"/>
  <c r="I398" i="26"/>
  <c r="K398" i="26" s="1"/>
  <c r="U397" i="26"/>
  <c r="I397" i="26"/>
  <c r="K397" i="26" s="1"/>
  <c r="U396" i="26"/>
  <c r="I396" i="26"/>
  <c r="K396" i="26" s="1"/>
  <c r="U395" i="26"/>
  <c r="I395" i="26"/>
  <c r="K395" i="26" s="1"/>
  <c r="U394" i="26"/>
  <c r="I394" i="26"/>
  <c r="K394" i="26" s="1"/>
  <c r="U393" i="26"/>
  <c r="I393" i="26"/>
  <c r="K393" i="26" s="1"/>
  <c r="U392" i="26"/>
  <c r="I392" i="26"/>
  <c r="K392" i="26" s="1"/>
  <c r="U391" i="26"/>
  <c r="I391" i="26"/>
  <c r="K391" i="26" s="1"/>
  <c r="U390" i="26"/>
  <c r="I390" i="26"/>
  <c r="K390" i="26" s="1"/>
  <c r="V389" i="26"/>
  <c r="T389" i="26"/>
  <c r="S389" i="26"/>
  <c r="U389" i="26" s="1"/>
  <c r="Q389" i="26"/>
  <c r="I389" i="26"/>
  <c r="K389" i="26" s="1"/>
  <c r="U388" i="26"/>
  <c r="I388" i="26"/>
  <c r="U387" i="26"/>
  <c r="J387" i="26"/>
  <c r="G387" i="26"/>
  <c r="E387" i="26"/>
  <c r="U386" i="26"/>
  <c r="I386" i="26"/>
  <c r="K386" i="26" s="1"/>
  <c r="U385" i="26"/>
  <c r="I385" i="26"/>
  <c r="K385" i="26" s="1"/>
  <c r="U384" i="26"/>
  <c r="I384" i="26"/>
  <c r="K384" i="26" s="1"/>
  <c r="U383" i="26"/>
  <c r="I383" i="26"/>
  <c r="K383" i="26" s="1"/>
  <c r="U382" i="26"/>
  <c r="I382" i="26"/>
  <c r="K382" i="26" s="1"/>
  <c r="U381" i="26"/>
  <c r="I381" i="26"/>
  <c r="K381" i="26" s="1"/>
  <c r="U380" i="26"/>
  <c r="I380" i="26"/>
  <c r="K380" i="26" s="1"/>
  <c r="U379" i="26"/>
  <c r="I379" i="26"/>
  <c r="K379" i="26" s="1"/>
  <c r="U378" i="26"/>
  <c r="I378" i="26"/>
  <c r="K378" i="26" s="1"/>
  <c r="U377" i="26"/>
  <c r="I377" i="26"/>
  <c r="K377" i="26" s="1"/>
  <c r="U376" i="26"/>
  <c r="I376" i="26"/>
  <c r="K376" i="26" s="1"/>
  <c r="U375" i="26"/>
  <c r="I375" i="26"/>
  <c r="K375" i="26" s="1"/>
  <c r="U374" i="26"/>
  <c r="I374" i="26"/>
  <c r="K374" i="26" s="1"/>
  <c r="U373" i="26"/>
  <c r="I373" i="26"/>
  <c r="K373" i="26" s="1"/>
  <c r="U372" i="26"/>
  <c r="I372" i="26"/>
  <c r="K372" i="26" s="1"/>
  <c r="V371" i="26"/>
  <c r="S371" i="26"/>
  <c r="Q371" i="26"/>
  <c r="I371" i="26"/>
  <c r="K371" i="26" s="1"/>
  <c r="I370" i="26"/>
  <c r="K370" i="26" s="1"/>
  <c r="I369" i="26"/>
  <c r="K369" i="26" s="1"/>
  <c r="I368" i="26"/>
  <c r="K368" i="26" s="1"/>
  <c r="I367" i="26"/>
  <c r="K367" i="26" s="1"/>
  <c r="I366" i="26"/>
  <c r="K366" i="26" s="1"/>
  <c r="I365" i="26"/>
  <c r="K365" i="26" s="1"/>
  <c r="I364" i="26"/>
  <c r="K364" i="26" s="1"/>
  <c r="J363" i="26"/>
  <c r="H363" i="26"/>
  <c r="G363" i="26"/>
  <c r="E363" i="26"/>
  <c r="I362" i="26"/>
  <c r="K362" i="26" s="1"/>
  <c r="I361" i="26"/>
  <c r="K361" i="26" s="1"/>
  <c r="I360" i="26"/>
  <c r="K360" i="26" s="1"/>
  <c r="I359" i="26"/>
  <c r="K359" i="26" s="1"/>
  <c r="I358" i="26"/>
  <c r="K358" i="26" s="1"/>
  <c r="I357" i="26"/>
  <c r="K357" i="26" s="1"/>
  <c r="U356" i="26"/>
  <c r="I356" i="26"/>
  <c r="K356" i="26" s="1"/>
  <c r="I355" i="26"/>
  <c r="K355" i="26" s="1"/>
  <c r="V354" i="26"/>
  <c r="T354" i="26"/>
  <c r="S354" i="26"/>
  <c r="Q354" i="26"/>
  <c r="I354" i="26"/>
  <c r="K354" i="26" s="1"/>
  <c r="U353" i="26"/>
  <c r="I353" i="26"/>
  <c r="K353" i="26" s="1"/>
  <c r="U352" i="26"/>
  <c r="I352" i="26"/>
  <c r="K352" i="26" s="1"/>
  <c r="U351" i="26"/>
  <c r="I351" i="26"/>
  <c r="K351" i="26" s="1"/>
  <c r="U350" i="26"/>
  <c r="I350" i="26"/>
  <c r="K350" i="26" s="1"/>
  <c r="U349" i="26"/>
  <c r="I349" i="26"/>
  <c r="K349" i="26" s="1"/>
  <c r="U348" i="26"/>
  <c r="I348" i="26"/>
  <c r="K348" i="26" s="1"/>
  <c r="U347" i="26"/>
  <c r="I347" i="26"/>
  <c r="K347" i="26" s="1"/>
  <c r="U346" i="26"/>
  <c r="I346" i="26"/>
  <c r="K346" i="26" s="1"/>
  <c r="U345" i="26"/>
  <c r="I345" i="26"/>
  <c r="K345" i="26" s="1"/>
  <c r="U344" i="26"/>
  <c r="I344" i="26"/>
  <c r="K344" i="26" s="1"/>
  <c r="U343" i="26"/>
  <c r="I343" i="26"/>
  <c r="K343" i="26" s="1"/>
  <c r="U342" i="26"/>
  <c r="I342" i="26"/>
  <c r="K342" i="26" s="1"/>
  <c r="U341" i="26"/>
  <c r="I341" i="26"/>
  <c r="K341" i="26" s="1"/>
  <c r="U340" i="26"/>
  <c r="I340" i="26"/>
  <c r="K340" i="26" s="1"/>
  <c r="U339" i="26"/>
  <c r="I339" i="26"/>
  <c r="K339" i="26" s="1"/>
  <c r="U338" i="26"/>
  <c r="I338" i="26"/>
  <c r="K338" i="26" s="1"/>
  <c r="U337" i="26"/>
  <c r="I337" i="26"/>
  <c r="K337" i="26" s="1"/>
  <c r="U336" i="26"/>
  <c r="I336" i="26"/>
  <c r="U335" i="26"/>
  <c r="L335" i="26"/>
  <c r="J335" i="26"/>
  <c r="H335" i="26"/>
  <c r="G335" i="26"/>
  <c r="E335" i="26"/>
  <c r="U334" i="26"/>
  <c r="I334" i="26"/>
  <c r="K334" i="26" s="1"/>
  <c r="U333" i="26"/>
  <c r="I333" i="26"/>
  <c r="K333" i="26" s="1"/>
  <c r="U332" i="26"/>
  <c r="I332" i="26"/>
  <c r="K332" i="26" s="1"/>
  <c r="U331" i="26"/>
  <c r="I331" i="26"/>
  <c r="K331" i="26" s="1"/>
  <c r="V330" i="26"/>
  <c r="T330" i="26"/>
  <c r="S330" i="26"/>
  <c r="Q330" i="26"/>
  <c r="I330" i="26"/>
  <c r="K330" i="26" s="1"/>
  <c r="U329" i="26"/>
  <c r="I329" i="26"/>
  <c r="K329" i="26" s="1"/>
  <c r="U328" i="26"/>
  <c r="I328" i="26"/>
  <c r="K328" i="26" s="1"/>
  <c r="U327" i="26"/>
  <c r="I327" i="26"/>
  <c r="K327" i="26" s="1"/>
  <c r="U326" i="26"/>
  <c r="I326" i="26"/>
  <c r="K326" i="26" s="1"/>
  <c r="U325" i="26"/>
  <c r="I325" i="26"/>
  <c r="K325" i="26" s="1"/>
  <c r="U324" i="26"/>
  <c r="I324" i="26"/>
  <c r="K324" i="26" s="1"/>
  <c r="U323" i="26"/>
  <c r="I323" i="26"/>
  <c r="K323" i="26" s="1"/>
  <c r="U322" i="26"/>
  <c r="I322" i="26"/>
  <c r="K322" i="26" s="1"/>
  <c r="U321" i="26"/>
  <c r="I321" i="26"/>
  <c r="K321" i="26" s="1"/>
  <c r="U320" i="26"/>
  <c r="I320" i="26"/>
  <c r="K320" i="26" s="1"/>
  <c r="U319" i="26"/>
  <c r="I319" i="26"/>
  <c r="K319" i="26" s="1"/>
  <c r="U318" i="26"/>
  <c r="I318" i="26"/>
  <c r="K318" i="26" s="1"/>
  <c r="U317" i="26"/>
  <c r="I317" i="26"/>
  <c r="K317" i="26" s="1"/>
  <c r="U316" i="26"/>
  <c r="I316" i="26"/>
  <c r="K316" i="26" s="1"/>
  <c r="U315" i="26"/>
  <c r="I315" i="26"/>
  <c r="K315" i="26" s="1"/>
  <c r="U314" i="26"/>
  <c r="I314" i="26"/>
  <c r="K314" i="26" s="1"/>
  <c r="U313" i="26"/>
  <c r="I313" i="26"/>
  <c r="K313" i="26" s="1"/>
  <c r="U312" i="26"/>
  <c r="I312" i="26"/>
  <c r="K312" i="26" s="1"/>
  <c r="U311" i="26"/>
  <c r="I311" i="26"/>
  <c r="K311" i="26" s="1"/>
  <c r="U310" i="26"/>
  <c r="I310" i="26"/>
  <c r="K310" i="26" s="1"/>
  <c r="U309" i="26"/>
  <c r="I309" i="26"/>
  <c r="K309" i="26" s="1"/>
  <c r="U308" i="26"/>
  <c r="I308" i="26"/>
  <c r="U307" i="26"/>
  <c r="J307" i="26"/>
  <c r="G307" i="26"/>
  <c r="E307" i="26"/>
  <c r="V306" i="26"/>
  <c r="Q306" i="26"/>
  <c r="I306" i="26"/>
  <c r="K306" i="26" s="1"/>
  <c r="K307" i="26" s="1"/>
  <c r="I305" i="26"/>
  <c r="K305" i="26" s="1"/>
  <c r="I304" i="26"/>
  <c r="K304" i="26" s="1"/>
  <c r="I303" i="26"/>
  <c r="K303" i="26" s="1"/>
  <c r="I302" i="26"/>
  <c r="K302" i="26" s="1"/>
  <c r="I301" i="26"/>
  <c r="K301" i="26" s="1"/>
  <c r="I300" i="26"/>
  <c r="K300" i="26" s="1"/>
  <c r="I299" i="26"/>
  <c r="K299" i="26" s="1"/>
  <c r="I298" i="26"/>
  <c r="K298" i="26" s="1"/>
  <c r="I297" i="26"/>
  <c r="K297" i="26" s="1"/>
  <c r="I296" i="26"/>
  <c r="J295" i="26"/>
  <c r="H295" i="26"/>
  <c r="G295" i="26"/>
  <c r="E295" i="26"/>
  <c r="I294" i="26"/>
  <c r="K294" i="26" s="1"/>
  <c r="I293" i="26"/>
  <c r="K293" i="26" s="1"/>
  <c r="I292" i="26"/>
  <c r="K292" i="26" s="1"/>
  <c r="I291" i="26"/>
  <c r="K291" i="26" s="1"/>
  <c r="I290" i="26"/>
  <c r="K290" i="26" s="1"/>
  <c r="I289" i="26"/>
  <c r="K289" i="26" s="1"/>
  <c r="V288" i="26"/>
  <c r="T288" i="26"/>
  <c r="S288" i="26"/>
  <c r="U288" i="26" s="1"/>
  <c r="Q288" i="26"/>
  <c r="I288" i="26"/>
  <c r="K288" i="26" s="1"/>
  <c r="U287" i="26"/>
  <c r="I287" i="26"/>
  <c r="K287" i="26" s="1"/>
  <c r="U286" i="26"/>
  <c r="I286" i="26"/>
  <c r="K286" i="26" s="1"/>
  <c r="U285" i="26"/>
  <c r="I285" i="26"/>
  <c r="K285" i="26" s="1"/>
  <c r="U284" i="26"/>
  <c r="I284" i="26"/>
  <c r="K284" i="26" s="1"/>
  <c r="U283" i="26"/>
  <c r="I283" i="26"/>
  <c r="K283" i="26" s="1"/>
  <c r="U282" i="26"/>
  <c r="I282" i="26"/>
  <c r="K282" i="26" s="1"/>
  <c r="U281" i="26"/>
  <c r="I281" i="26"/>
  <c r="K281" i="26" s="1"/>
  <c r="U280" i="26"/>
  <c r="I280" i="26"/>
  <c r="K280" i="26" s="1"/>
  <c r="U279" i="26"/>
  <c r="I279" i="26"/>
  <c r="K279" i="26" s="1"/>
  <c r="U278" i="26"/>
  <c r="I278" i="26"/>
  <c r="U277" i="26"/>
  <c r="J277" i="26"/>
  <c r="H277" i="26"/>
  <c r="G277" i="26"/>
  <c r="E277" i="26"/>
  <c r="U276" i="26"/>
  <c r="I276" i="26"/>
  <c r="K276" i="26" s="1"/>
  <c r="U275" i="26"/>
  <c r="I275" i="26"/>
  <c r="K275" i="26" s="1"/>
  <c r="K277" i="26" s="1"/>
  <c r="U274" i="26"/>
  <c r="I274" i="26"/>
  <c r="K274" i="26" s="1"/>
  <c r="U273" i="26"/>
  <c r="I273" i="26"/>
  <c r="K273" i="26" s="1"/>
  <c r="U272" i="26"/>
  <c r="I272" i="26"/>
  <c r="K272" i="26" s="1"/>
  <c r="U271" i="26"/>
  <c r="I271" i="26"/>
  <c r="K271" i="26" s="1"/>
  <c r="U270" i="26"/>
  <c r="I270" i="26"/>
  <c r="K270" i="26" s="1"/>
  <c r="U269" i="26"/>
  <c r="I269" i="26"/>
  <c r="K269" i="26" s="1"/>
  <c r="U268" i="26"/>
  <c r="I268" i="26"/>
  <c r="K268" i="26" s="1"/>
  <c r="U267" i="26"/>
  <c r="I267" i="26"/>
  <c r="K267" i="26" s="1"/>
  <c r="U266" i="26"/>
  <c r="I266" i="26"/>
  <c r="K266" i="26" s="1"/>
  <c r="U265" i="26"/>
  <c r="I265" i="26"/>
  <c r="K265" i="26" s="1"/>
  <c r="U264" i="26"/>
  <c r="I264" i="26"/>
  <c r="K264" i="26" s="1"/>
  <c r="U263" i="26"/>
  <c r="I263" i="26"/>
  <c r="K263" i="26" s="1"/>
  <c r="U262" i="26"/>
  <c r="I262" i="26"/>
  <c r="K262" i="26" s="1"/>
  <c r="U261" i="26"/>
  <c r="I261" i="26"/>
  <c r="K261" i="26" s="1"/>
  <c r="U260" i="26"/>
  <c r="J260" i="26"/>
  <c r="H260" i="26"/>
  <c r="G260" i="26"/>
  <c r="E260" i="26"/>
  <c r="U259" i="26"/>
  <c r="I259" i="26"/>
  <c r="K259" i="26" s="1"/>
  <c r="U258" i="26"/>
  <c r="I258" i="26"/>
  <c r="K258" i="26" s="1"/>
  <c r="K260" i="26" s="1"/>
  <c r="U257" i="26"/>
  <c r="I257" i="26"/>
  <c r="K257" i="26" s="1"/>
  <c r="U256" i="26"/>
  <c r="I256" i="26"/>
  <c r="K256" i="26" s="1"/>
  <c r="U255" i="26"/>
  <c r="I255" i="26"/>
  <c r="K255" i="26" s="1"/>
  <c r="V254" i="26"/>
  <c r="T254" i="26"/>
  <c r="S254" i="26"/>
  <c r="Q254" i="26"/>
  <c r="I254" i="26"/>
  <c r="K254" i="26" s="1"/>
  <c r="U253" i="26"/>
  <c r="I253" i="26"/>
  <c r="K253" i="26" s="1"/>
  <c r="U252" i="26"/>
  <c r="I252" i="26"/>
  <c r="K252" i="26" s="1"/>
  <c r="U251" i="26"/>
  <c r="I251" i="26"/>
  <c r="K251" i="26" s="1"/>
  <c r="U250" i="26"/>
  <c r="I250" i="26"/>
  <c r="K250" i="26" s="1"/>
  <c r="U249" i="26"/>
  <c r="I249" i="26"/>
  <c r="K249" i="26" s="1"/>
  <c r="U248" i="26"/>
  <c r="I248" i="26"/>
  <c r="K248" i="26" s="1"/>
  <c r="U247" i="26"/>
  <c r="I247" i="26"/>
  <c r="K247" i="26" s="1"/>
  <c r="U246" i="26"/>
  <c r="I246" i="26"/>
  <c r="K246" i="26" s="1"/>
  <c r="U245" i="26"/>
  <c r="I245" i="26"/>
  <c r="K245" i="26" s="1"/>
  <c r="U244" i="26"/>
  <c r="I244" i="26"/>
  <c r="K244" i="26" s="1"/>
  <c r="U243" i="26"/>
  <c r="I243" i="26"/>
  <c r="K243" i="26" s="1"/>
  <c r="U242" i="26"/>
  <c r="U241" i="26"/>
  <c r="J241" i="26"/>
  <c r="H241" i="26"/>
  <c r="G241" i="26"/>
  <c r="E241" i="26"/>
  <c r="U240" i="26"/>
  <c r="I240" i="26"/>
  <c r="U239" i="26"/>
  <c r="I239" i="26"/>
  <c r="U238" i="26"/>
  <c r="I238" i="26"/>
  <c r="U237" i="26"/>
  <c r="I237" i="26"/>
  <c r="U236" i="26"/>
  <c r="I236" i="26"/>
  <c r="K236" i="26"/>
  <c r="U235" i="26"/>
  <c r="I235" i="26"/>
  <c r="U234" i="26"/>
  <c r="I234" i="26"/>
  <c r="U233" i="26"/>
  <c r="I233" i="26"/>
  <c r="K233" i="26" s="1"/>
  <c r="U232" i="26"/>
  <c r="I232" i="26"/>
  <c r="K232" i="26"/>
  <c r="U231" i="26"/>
  <c r="I231" i="26"/>
  <c r="U230" i="26"/>
  <c r="I230" i="26"/>
  <c r="U229" i="26"/>
  <c r="I229" i="26"/>
  <c r="U228" i="26"/>
  <c r="I228" i="26"/>
  <c r="U227" i="26"/>
  <c r="J227" i="26"/>
  <c r="H227" i="26"/>
  <c r="G227" i="26"/>
  <c r="E227" i="26"/>
  <c r="U226" i="26"/>
  <c r="I226" i="26"/>
  <c r="K226" i="26" s="1"/>
  <c r="U225" i="26"/>
  <c r="I225" i="26"/>
  <c r="K225" i="26" s="1"/>
  <c r="K227" i="26" s="1"/>
  <c r="U224" i="26"/>
  <c r="I224" i="26"/>
  <c r="K224" i="26" s="1"/>
  <c r="V223" i="26"/>
  <c r="T223" i="26"/>
  <c r="S223" i="26"/>
  <c r="Q223" i="26"/>
  <c r="I223" i="26"/>
  <c r="K223" i="26" s="1"/>
  <c r="U222" i="26"/>
  <c r="I222" i="26"/>
  <c r="K222" i="26" s="1"/>
  <c r="U221" i="26"/>
  <c r="I221" i="26"/>
  <c r="K221" i="26" s="1"/>
  <c r="U220" i="26"/>
  <c r="I220" i="26"/>
  <c r="K220" i="26" s="1"/>
  <c r="U219" i="26"/>
  <c r="I219" i="26"/>
  <c r="K219" i="26" s="1"/>
  <c r="U218" i="26"/>
  <c r="I218" i="26"/>
  <c r="K218" i="26" s="1"/>
  <c r="U217" i="26"/>
  <c r="I217" i="26"/>
  <c r="K217" i="26" s="1"/>
  <c r="U216" i="26"/>
  <c r="I216" i="26"/>
  <c r="K216" i="26" s="1"/>
  <c r="U215" i="26"/>
  <c r="I215" i="26"/>
  <c r="K215" i="26" s="1"/>
  <c r="U214" i="26"/>
  <c r="I214" i="26"/>
  <c r="K214" i="26" s="1"/>
  <c r="U213" i="26"/>
  <c r="I213" i="26"/>
  <c r="K213" i="26" s="1"/>
  <c r="U212" i="26"/>
  <c r="I212" i="26"/>
  <c r="K212" i="26" s="1"/>
  <c r="U211" i="26"/>
  <c r="I211" i="26"/>
  <c r="K211" i="26" s="1"/>
  <c r="U210" i="26"/>
  <c r="I210" i="26"/>
  <c r="K210" i="26" s="1"/>
  <c r="U209" i="26"/>
  <c r="I209" i="26"/>
  <c r="K209" i="26" s="1"/>
  <c r="U208" i="26"/>
  <c r="I208" i="26"/>
  <c r="K208" i="26" s="1"/>
  <c r="U207" i="26"/>
  <c r="I207" i="26"/>
  <c r="K207" i="26" s="1"/>
  <c r="U206" i="26"/>
  <c r="I206" i="26"/>
  <c r="K206" i="26" s="1"/>
  <c r="U205" i="26"/>
  <c r="I205" i="26"/>
  <c r="K205" i="26" s="1"/>
  <c r="V204" i="26"/>
  <c r="T204" i="26"/>
  <c r="S204" i="26"/>
  <c r="Q204" i="26"/>
  <c r="I204" i="26"/>
  <c r="K204" i="26" s="1"/>
  <c r="U203" i="26"/>
  <c r="I203" i="26"/>
  <c r="K203" i="26" s="1"/>
  <c r="U202" i="26"/>
  <c r="U201" i="26"/>
  <c r="H201" i="26"/>
  <c r="G201" i="26"/>
  <c r="E201" i="26"/>
  <c r="U200" i="26"/>
  <c r="I200" i="26"/>
  <c r="K200" i="26" s="1"/>
  <c r="K201" i="26" s="1"/>
  <c r="U199" i="26"/>
  <c r="I199" i="26"/>
  <c r="K199" i="26" s="1"/>
  <c r="U198" i="26"/>
  <c r="I198" i="26"/>
  <c r="K198" i="26" s="1"/>
  <c r="U197" i="26"/>
  <c r="I197" i="26"/>
  <c r="K197" i="26" s="1"/>
  <c r="U196" i="26"/>
  <c r="I196" i="26"/>
  <c r="K196" i="26" s="1"/>
  <c r="U195" i="26"/>
  <c r="I195" i="26"/>
  <c r="K195" i="26" s="1"/>
  <c r="U194" i="26"/>
  <c r="I194" i="26"/>
  <c r="K194" i="26" s="1"/>
  <c r="U193" i="26"/>
  <c r="I193" i="26"/>
  <c r="K193" i="26" s="1"/>
  <c r="U192" i="26"/>
  <c r="I192" i="26"/>
  <c r="K192" i="26" s="1"/>
  <c r="U191" i="26"/>
  <c r="I191" i="26"/>
  <c r="K191" i="26" s="1"/>
  <c r="U190" i="26"/>
  <c r="I190" i="26"/>
  <c r="K190" i="26" s="1"/>
  <c r="U189" i="26"/>
  <c r="I189" i="26"/>
  <c r="K189" i="26" s="1"/>
  <c r="U188" i="26"/>
  <c r="I188" i="26"/>
  <c r="K188" i="26" s="1"/>
  <c r="U187" i="26"/>
  <c r="I187" i="26"/>
  <c r="K187" i="26" s="1"/>
  <c r="U186" i="26"/>
  <c r="I186" i="26"/>
  <c r="K186" i="26" s="1"/>
  <c r="U185" i="26"/>
  <c r="I185" i="26"/>
  <c r="K185" i="26" s="1"/>
  <c r="U184" i="26"/>
  <c r="I184" i="26"/>
  <c r="K184" i="26" s="1"/>
  <c r="V183" i="26"/>
  <c r="S183" i="26"/>
  <c r="Q183" i="26"/>
  <c r="I183" i="26"/>
  <c r="J182" i="26"/>
  <c r="H182" i="26"/>
  <c r="G182" i="26"/>
  <c r="E182" i="26"/>
  <c r="U181" i="26"/>
  <c r="I181" i="26"/>
  <c r="K181" i="26" s="1"/>
  <c r="I180" i="26"/>
  <c r="K180" i="26" s="1"/>
  <c r="I179" i="26"/>
  <c r="K179" i="26" s="1"/>
  <c r="I178" i="26"/>
  <c r="K178" i="26" s="1"/>
  <c r="I177" i="26"/>
  <c r="K177" i="26" s="1"/>
  <c r="I176" i="26"/>
  <c r="K176" i="26" s="1"/>
  <c r="I175" i="26"/>
  <c r="K175" i="26" s="1"/>
  <c r="I174" i="26"/>
  <c r="K174" i="26" s="1"/>
  <c r="I173" i="26"/>
  <c r="K173" i="26" s="1"/>
  <c r="I172" i="26"/>
  <c r="K172" i="26" s="1"/>
  <c r="I171" i="26"/>
  <c r="K171" i="26" s="1"/>
  <c r="I170" i="26"/>
  <c r="K170" i="26" s="1"/>
  <c r="U169" i="26"/>
  <c r="I169" i="26"/>
  <c r="K169" i="26" s="1"/>
  <c r="I168" i="26"/>
  <c r="K168" i="26" s="1"/>
  <c r="I167" i="26"/>
  <c r="K167" i="26" s="1"/>
  <c r="I166" i="26"/>
  <c r="K166" i="26" s="1"/>
  <c r="U165" i="26"/>
  <c r="I165" i="26"/>
  <c r="K165" i="26" s="1"/>
  <c r="I164" i="26"/>
  <c r="K164" i="26" s="1"/>
  <c r="I163" i="26"/>
  <c r="K163" i="26" s="1"/>
  <c r="I162" i="26"/>
  <c r="K162" i="26" s="1"/>
  <c r="I161" i="26"/>
  <c r="K161" i="26" s="1"/>
  <c r="I160" i="26"/>
  <c r="K160" i="26" s="1"/>
  <c r="I159" i="26"/>
  <c r="K159" i="26" s="1"/>
  <c r="I158" i="26"/>
  <c r="K158" i="26" s="1"/>
  <c r="V157" i="26"/>
  <c r="S157" i="26"/>
  <c r="Q157" i="26"/>
  <c r="I157" i="26"/>
  <c r="K157" i="26" s="1"/>
  <c r="I156" i="26"/>
  <c r="K156" i="26" s="1"/>
  <c r="U155" i="26"/>
  <c r="I155" i="26"/>
  <c r="J154" i="26"/>
  <c r="G154" i="26"/>
  <c r="E154" i="26"/>
  <c r="U153" i="26"/>
  <c r="I153" i="26"/>
  <c r="K153" i="26" s="1"/>
  <c r="K154" i="26" s="1"/>
  <c r="I152" i="26"/>
  <c r="K152" i="26" s="1"/>
  <c r="I151" i="26"/>
  <c r="K151" i="26" s="1"/>
  <c r="I150" i="26"/>
  <c r="K150" i="26" s="1"/>
  <c r="I149" i="26"/>
  <c r="K149" i="26" s="1"/>
  <c r="I148" i="26"/>
  <c r="K148" i="26" s="1"/>
  <c r="I147" i="26"/>
  <c r="K147" i="26" s="1"/>
  <c r="I146" i="26"/>
  <c r="K146" i="26" s="1"/>
  <c r="I145" i="26"/>
  <c r="K145" i="26" s="1"/>
  <c r="I144" i="26"/>
  <c r="K144" i="26" s="1"/>
  <c r="V143" i="26"/>
  <c r="T143" i="26"/>
  <c r="S143" i="26"/>
  <c r="Q143" i="26"/>
  <c r="I143" i="26"/>
  <c r="K143" i="26" s="1"/>
  <c r="U142" i="26"/>
  <c r="I142" i="26"/>
  <c r="K142" i="26" s="1"/>
  <c r="U141" i="26"/>
  <c r="I141" i="26"/>
  <c r="K141" i="26" s="1"/>
  <c r="U140" i="26"/>
  <c r="I140" i="26"/>
  <c r="K140" i="26" s="1"/>
  <c r="U139" i="26"/>
  <c r="I139" i="26"/>
  <c r="K139" i="26" s="1"/>
  <c r="U138" i="26"/>
  <c r="I138" i="26"/>
  <c r="K138" i="26" s="1"/>
  <c r="U137" i="26"/>
  <c r="I137" i="26"/>
  <c r="K137" i="26" s="1"/>
  <c r="U136" i="26"/>
  <c r="I136" i="26"/>
  <c r="K136" i="26" s="1"/>
  <c r="U135" i="26"/>
  <c r="I135" i="26"/>
  <c r="K135" i="26" s="1"/>
  <c r="U134" i="26"/>
  <c r="I134" i="26"/>
  <c r="K134" i="26" s="1"/>
  <c r="U133" i="26"/>
  <c r="I133" i="26"/>
  <c r="K133" i="26" s="1"/>
  <c r="U132" i="26"/>
  <c r="I132" i="26"/>
  <c r="K132" i="26" s="1"/>
  <c r="U131" i="26"/>
  <c r="I131" i="26"/>
  <c r="U130" i="26"/>
  <c r="J130" i="26"/>
  <c r="H130" i="26"/>
  <c r="G130" i="26"/>
  <c r="E130" i="26"/>
  <c r="U129" i="26"/>
  <c r="I129" i="26"/>
  <c r="K129" i="26" s="1"/>
  <c r="U128" i="26"/>
  <c r="I128" i="26"/>
  <c r="K128" i="26" s="1"/>
  <c r="K130" i="26" s="1"/>
  <c r="U127" i="26"/>
  <c r="I127" i="26"/>
  <c r="K127" i="26" s="1"/>
  <c r="U126" i="26"/>
  <c r="I126" i="26"/>
  <c r="K126" i="26" s="1"/>
  <c r="U125" i="26"/>
  <c r="I125" i="26"/>
  <c r="K125" i="26" s="1"/>
  <c r="U124" i="26"/>
  <c r="I124" i="26"/>
  <c r="K124" i="26" s="1"/>
  <c r="U123" i="26"/>
  <c r="I123" i="26"/>
  <c r="K123" i="26" s="1"/>
  <c r="V122" i="26"/>
  <c r="S122" i="26"/>
  <c r="Q122" i="26"/>
  <c r="I122" i="26"/>
  <c r="J121" i="26"/>
  <c r="H121" i="26"/>
  <c r="G121" i="26"/>
  <c r="E121" i="26"/>
  <c r="I120" i="26"/>
  <c r="K120" i="26" s="1"/>
  <c r="I119" i="26"/>
  <c r="K119" i="26" s="1"/>
  <c r="I118" i="26"/>
  <c r="K118" i="26" s="1"/>
  <c r="I117" i="26"/>
  <c r="K117" i="26" s="1"/>
  <c r="I116" i="26"/>
  <c r="K116" i="26" s="1"/>
  <c r="I115" i="26"/>
  <c r="K115" i="26" s="1"/>
  <c r="I114" i="26"/>
  <c r="K114" i="26" s="1"/>
  <c r="I113" i="26"/>
  <c r="K113" i="26" s="1"/>
  <c r="I112" i="26"/>
  <c r="K112" i="26" s="1"/>
  <c r="I111" i="26"/>
  <c r="K111" i="26" s="1"/>
  <c r="I110" i="26"/>
  <c r="K110" i="26" s="1"/>
  <c r="I109" i="26"/>
  <c r="K109" i="26" s="1"/>
  <c r="I108" i="26"/>
  <c r="K108" i="26" s="1"/>
  <c r="I107" i="26"/>
  <c r="K107" i="26" s="1"/>
  <c r="I106" i="26"/>
  <c r="K106" i="26" s="1"/>
  <c r="V105" i="26"/>
  <c r="S105" i="26"/>
  <c r="Q105" i="26"/>
  <c r="I105" i="26"/>
  <c r="K105" i="26" s="1"/>
  <c r="I104" i="26"/>
  <c r="K104" i="26" s="1"/>
  <c r="I103" i="26"/>
  <c r="K103" i="26" s="1"/>
  <c r="I102" i="26"/>
  <c r="K102" i="26" s="1"/>
  <c r="I101" i="26"/>
  <c r="J100" i="26"/>
  <c r="H100" i="26"/>
  <c r="G100" i="26"/>
  <c r="E100" i="26"/>
  <c r="I99" i="26"/>
  <c r="K99" i="26" s="1"/>
  <c r="I98" i="26"/>
  <c r="K98" i="26" s="1"/>
  <c r="I97" i="26"/>
  <c r="K97" i="26" s="1"/>
  <c r="I96" i="26"/>
  <c r="K96" i="26" s="1"/>
  <c r="I95" i="26"/>
  <c r="K95" i="26" s="1"/>
  <c r="I94" i="26"/>
  <c r="K94" i="26" s="1"/>
  <c r="I93" i="26"/>
  <c r="K93" i="26" s="1"/>
  <c r="U92" i="26"/>
  <c r="I92" i="26"/>
  <c r="K92" i="26" s="1"/>
  <c r="I91" i="26"/>
  <c r="K91" i="26" s="1"/>
  <c r="I90" i="26"/>
  <c r="K90" i="26" s="1"/>
  <c r="I89" i="26"/>
  <c r="K89" i="26" s="1"/>
  <c r="I88" i="26"/>
  <c r="K88" i="26" s="1"/>
  <c r="I87" i="26"/>
  <c r="K87" i="26" s="1"/>
  <c r="I86" i="26"/>
  <c r="K86" i="26" s="1"/>
  <c r="I85" i="26"/>
  <c r="K85" i="26" s="1"/>
  <c r="U84" i="26"/>
  <c r="I84" i="26"/>
  <c r="K84" i="26" s="1"/>
  <c r="V83" i="26"/>
  <c r="S83" i="26"/>
  <c r="Q83" i="26"/>
  <c r="I83" i="26"/>
  <c r="K83" i="26" s="1"/>
  <c r="I82" i="26"/>
  <c r="K82" i="26" s="1"/>
  <c r="I81" i="26"/>
  <c r="K81" i="26" s="1"/>
  <c r="U80" i="26"/>
  <c r="I80" i="26"/>
  <c r="K80" i="26" s="1"/>
  <c r="I79" i="26"/>
  <c r="J78" i="26"/>
  <c r="H78" i="26"/>
  <c r="G78" i="26"/>
  <c r="E78" i="26"/>
  <c r="I77" i="26"/>
  <c r="K77" i="26" s="1"/>
  <c r="K78" i="26" s="1"/>
  <c r="I76" i="26"/>
  <c r="K76" i="26" s="1"/>
  <c r="I75" i="26"/>
  <c r="K75" i="26" s="1"/>
  <c r="U74" i="26"/>
  <c r="I74" i="26"/>
  <c r="K74" i="26" s="1"/>
  <c r="I73" i="26"/>
  <c r="K73" i="26" s="1"/>
  <c r="I72" i="26"/>
  <c r="K72" i="26" s="1"/>
  <c r="I71" i="26"/>
  <c r="K71" i="26" s="1"/>
  <c r="I70" i="26"/>
  <c r="K70" i="26" s="1"/>
  <c r="I69" i="26"/>
  <c r="K69" i="26" s="1"/>
  <c r="I68" i="26"/>
  <c r="K68" i="26" s="1"/>
  <c r="I67" i="26"/>
  <c r="K67" i="26" s="1"/>
  <c r="U66" i="26"/>
  <c r="I66" i="26"/>
  <c r="K66" i="26" s="1"/>
  <c r="I65" i="26"/>
  <c r="K65" i="26" s="1"/>
  <c r="I64" i="26"/>
  <c r="K64" i="26" s="1"/>
  <c r="I63" i="26"/>
  <c r="K63" i="26" s="1"/>
  <c r="I62" i="26"/>
  <c r="K62" i="26" s="1"/>
  <c r="V61" i="26"/>
  <c r="T61" i="26"/>
  <c r="S61" i="26"/>
  <c r="Q61" i="26"/>
  <c r="I61" i="26"/>
  <c r="K61" i="26" s="1"/>
  <c r="U60" i="26"/>
  <c r="I60" i="26"/>
  <c r="K60" i="26" s="1"/>
  <c r="U59" i="26"/>
  <c r="I59" i="26"/>
  <c r="K59" i="26" s="1"/>
  <c r="U58" i="26"/>
  <c r="I58" i="26"/>
  <c r="K58" i="26" s="1"/>
  <c r="U57" i="26"/>
  <c r="I57" i="26"/>
  <c r="K57" i="26" s="1"/>
  <c r="U56" i="26"/>
  <c r="I56" i="26"/>
  <c r="K56" i="26" s="1"/>
  <c r="U55" i="26"/>
  <c r="I55" i="26"/>
  <c r="K55" i="26" s="1"/>
  <c r="U54" i="26"/>
  <c r="I54" i="26"/>
  <c r="K54" i="26" s="1"/>
  <c r="U53" i="26"/>
  <c r="I53" i="26"/>
  <c r="K53" i="26" s="1"/>
  <c r="U52" i="26"/>
  <c r="I52" i="26"/>
  <c r="K52" i="26" s="1"/>
  <c r="U51" i="26"/>
  <c r="I51" i="26"/>
  <c r="K51" i="26" s="1"/>
  <c r="U50" i="26"/>
  <c r="I50" i="26"/>
  <c r="K50" i="26" s="1"/>
  <c r="U49" i="26"/>
  <c r="I49" i="26"/>
  <c r="K49" i="26" s="1"/>
  <c r="U48" i="26"/>
  <c r="I48" i="26"/>
  <c r="K48" i="26" s="1"/>
  <c r="U47" i="26"/>
  <c r="I47" i="26"/>
  <c r="U46" i="26"/>
  <c r="J46" i="26"/>
  <c r="H46" i="26"/>
  <c r="G46" i="26"/>
  <c r="E46" i="26"/>
  <c r="U45" i="26"/>
  <c r="I45" i="26"/>
  <c r="K45" i="26" s="1"/>
  <c r="K46" i="26" s="1"/>
  <c r="U44" i="26"/>
  <c r="I44" i="26"/>
  <c r="K44" i="26" s="1"/>
  <c r="U43" i="26"/>
  <c r="I43" i="26"/>
  <c r="K43" i="26" s="1"/>
  <c r="U42" i="26"/>
  <c r="I42" i="26"/>
  <c r="K42" i="26" s="1"/>
  <c r="U41" i="26"/>
  <c r="I41" i="26"/>
  <c r="K41" i="26" s="1"/>
  <c r="U40" i="26"/>
  <c r="I40" i="26"/>
  <c r="K40" i="26" s="1"/>
  <c r="U39" i="26"/>
  <c r="I39" i="26"/>
  <c r="K39" i="26" s="1"/>
  <c r="U38" i="26"/>
  <c r="I38" i="26"/>
  <c r="K38" i="26" s="1"/>
  <c r="U37" i="26"/>
  <c r="I37" i="26"/>
  <c r="K37" i="26" s="1"/>
  <c r="U36" i="26"/>
  <c r="I36" i="26"/>
  <c r="K36" i="26" s="1"/>
  <c r="U35" i="26"/>
  <c r="I35" i="26"/>
  <c r="K35" i="26" s="1"/>
  <c r="U34" i="26"/>
  <c r="I34" i="26"/>
  <c r="K34" i="26" s="1"/>
  <c r="U33" i="26"/>
  <c r="I33" i="26"/>
  <c r="K33" i="26" s="1"/>
  <c r="U32" i="26"/>
  <c r="I32" i="26"/>
  <c r="K32" i="26" s="1"/>
  <c r="U31" i="26"/>
  <c r="I31" i="26"/>
  <c r="K31" i="26" s="1"/>
  <c r="U30" i="26"/>
  <c r="I30" i="26"/>
  <c r="K30" i="26" s="1"/>
  <c r="U29" i="26"/>
  <c r="I29" i="26"/>
  <c r="K29" i="26" s="1"/>
  <c r="U28" i="26"/>
  <c r="I28" i="26"/>
  <c r="K28" i="26" s="1"/>
  <c r="U27" i="26"/>
  <c r="I27" i="26"/>
  <c r="K27" i="26" s="1"/>
  <c r="I26" i="26"/>
  <c r="K26" i="26" s="1"/>
  <c r="U25" i="26"/>
  <c r="I25" i="26"/>
  <c r="U24" i="26"/>
  <c r="J24" i="26"/>
  <c r="H24" i="26"/>
  <c r="G24" i="26"/>
  <c r="E24" i="26"/>
  <c r="U23" i="26"/>
  <c r="I23" i="26"/>
  <c r="K23" i="26" s="1"/>
  <c r="K24" i="26" s="1"/>
  <c r="U22" i="26"/>
  <c r="I22" i="26"/>
  <c r="K22" i="26" s="1"/>
  <c r="U21" i="26"/>
  <c r="I21" i="26"/>
  <c r="K21" i="26" s="1"/>
  <c r="U20" i="26"/>
  <c r="I20" i="26"/>
  <c r="K20" i="26" s="1"/>
  <c r="U19" i="26"/>
  <c r="I19" i="26"/>
  <c r="K19" i="26" s="1"/>
  <c r="U18" i="26"/>
  <c r="I18" i="26"/>
  <c r="K18" i="26" s="1"/>
  <c r="U17" i="26"/>
  <c r="I17" i="26"/>
  <c r="K17" i="26" s="1"/>
  <c r="U16" i="26"/>
  <c r="I16" i="26"/>
  <c r="K16" i="26" s="1"/>
  <c r="U15" i="26"/>
  <c r="I15" i="26"/>
  <c r="K15" i="26" s="1"/>
  <c r="U14" i="26"/>
  <c r="I14" i="26"/>
  <c r="K14" i="26" s="1"/>
  <c r="U13" i="26"/>
  <c r="I13" i="26"/>
  <c r="K13" i="26" s="1"/>
  <c r="U12" i="26"/>
  <c r="I12" i="26"/>
  <c r="K12" i="26" s="1"/>
  <c r="U11" i="26"/>
  <c r="I11" i="26"/>
  <c r="K11" i="26" s="1"/>
  <c r="U10" i="26"/>
  <c r="I10" i="26"/>
  <c r="K10" i="26" s="1"/>
  <c r="U9" i="26"/>
  <c r="I9" i="26"/>
  <c r="K9" i="26" s="1"/>
  <c r="U8" i="26"/>
  <c r="I8" i="26"/>
  <c r="K8" i="26" s="1"/>
  <c r="U7" i="26"/>
  <c r="K7" i="26"/>
  <c r="O46" i="12"/>
  <c r="N46" i="12"/>
  <c r="K46" i="12"/>
  <c r="H46" i="12"/>
  <c r="E46" i="12"/>
  <c r="D46" i="12"/>
  <c r="P45" i="12"/>
  <c r="M45" i="12"/>
  <c r="F45" i="12"/>
  <c r="Q45" i="12" s="1"/>
  <c r="P44" i="12"/>
  <c r="M44" i="12"/>
  <c r="F44" i="12"/>
  <c r="Q44" i="12" s="1"/>
  <c r="P43" i="12"/>
  <c r="L43" i="12"/>
  <c r="M43" i="12" s="1"/>
  <c r="F43" i="12"/>
  <c r="Q43" i="12" s="1"/>
  <c r="P42" i="12"/>
  <c r="M42" i="12"/>
  <c r="F42" i="12"/>
  <c r="Q42" i="12" s="1"/>
  <c r="P41" i="12"/>
  <c r="L41" i="12"/>
  <c r="M41" i="12" s="1"/>
  <c r="F41" i="12"/>
  <c r="Q41" i="12" s="1"/>
  <c r="P40" i="12"/>
  <c r="L40" i="12"/>
  <c r="M40" i="12" s="1"/>
  <c r="F40" i="12"/>
  <c r="Q40" i="12" s="1"/>
  <c r="P39" i="12"/>
  <c r="M39" i="12"/>
  <c r="F39" i="12"/>
  <c r="Q39" i="12" s="1"/>
  <c r="P38" i="12"/>
  <c r="M38" i="12"/>
  <c r="F38" i="12"/>
  <c r="Q38" i="12" s="1"/>
  <c r="P37" i="12"/>
  <c r="L37" i="12"/>
  <c r="M37" i="12" s="1"/>
  <c r="F37" i="12"/>
  <c r="Q37" i="12" s="1"/>
  <c r="P36" i="12"/>
  <c r="M36" i="12"/>
  <c r="F36" i="12"/>
  <c r="Q36" i="12" s="1"/>
  <c r="P35" i="12"/>
  <c r="L35" i="12"/>
  <c r="M35" i="12" s="1"/>
  <c r="F35" i="12"/>
  <c r="Q35" i="12" s="1"/>
  <c r="P34" i="12"/>
  <c r="L34" i="12"/>
  <c r="M34" i="12" s="1"/>
  <c r="F34" i="12"/>
  <c r="Q34" i="12" s="1"/>
  <c r="P33" i="12"/>
  <c r="M33" i="12"/>
  <c r="F33" i="12"/>
  <c r="Q33" i="12" s="1"/>
  <c r="P32" i="12"/>
  <c r="L32" i="12"/>
  <c r="M32" i="12" s="1"/>
  <c r="F32" i="12"/>
  <c r="Q32" i="12" s="1"/>
  <c r="P31" i="12"/>
  <c r="L31" i="12"/>
  <c r="M31" i="12" s="1"/>
  <c r="F31" i="12"/>
  <c r="Q31" i="12" s="1"/>
  <c r="P30" i="12"/>
  <c r="L30" i="12"/>
  <c r="M30" i="12" s="1"/>
  <c r="F30" i="12"/>
  <c r="Q30" i="12" s="1"/>
  <c r="P29" i="12"/>
  <c r="M29" i="12"/>
  <c r="F29" i="12"/>
  <c r="Q29" i="12" s="1"/>
  <c r="P28" i="12"/>
  <c r="M28" i="12"/>
  <c r="F28" i="12"/>
  <c r="Q28" i="12" s="1"/>
  <c r="P27" i="12"/>
  <c r="L27" i="12"/>
  <c r="M27" i="12" s="1"/>
  <c r="F27" i="12"/>
  <c r="Q27" i="12" s="1"/>
  <c r="P26" i="12"/>
  <c r="M26" i="12"/>
  <c r="F26" i="12"/>
  <c r="Q26" i="12" s="1"/>
  <c r="P25" i="12"/>
  <c r="L25" i="12"/>
  <c r="M25" i="12" s="1"/>
  <c r="F25" i="12"/>
  <c r="Q25" i="12" s="1"/>
  <c r="P24" i="12"/>
  <c r="L24" i="12"/>
  <c r="M24" i="12" s="1"/>
  <c r="F24" i="12"/>
  <c r="Q24" i="12" s="1"/>
  <c r="P23" i="12"/>
  <c r="M23" i="12"/>
  <c r="F23" i="12"/>
  <c r="Q23" i="12" s="1"/>
  <c r="P22" i="12"/>
  <c r="M22" i="12"/>
  <c r="F22" i="12"/>
  <c r="Q22" i="12" s="1"/>
  <c r="P21" i="12"/>
  <c r="M21" i="12"/>
  <c r="L21" i="12"/>
  <c r="F21" i="12"/>
  <c r="Q21" i="12" s="1"/>
  <c r="P20" i="12"/>
  <c r="M20" i="12"/>
  <c r="F20" i="12"/>
  <c r="P19" i="12"/>
  <c r="L19" i="12"/>
  <c r="M19" i="12" s="1"/>
  <c r="F19" i="12"/>
  <c r="Q19" i="12" s="1"/>
  <c r="P18" i="12"/>
  <c r="L18" i="12"/>
  <c r="M18" i="12" s="1"/>
  <c r="F18" i="12"/>
  <c r="Q18" i="12" s="1"/>
  <c r="P17" i="12"/>
  <c r="M17" i="12"/>
  <c r="F17" i="12"/>
  <c r="Q17" i="12" s="1"/>
  <c r="P16" i="12"/>
  <c r="M16" i="12"/>
  <c r="L16" i="12"/>
  <c r="F16" i="12"/>
  <c r="Q16" i="12" s="1"/>
  <c r="P15" i="12"/>
  <c r="L15" i="12"/>
  <c r="M15" i="12" s="1"/>
  <c r="F15" i="12"/>
  <c r="Q15" i="12" s="1"/>
  <c r="P14" i="12"/>
  <c r="M14" i="12"/>
  <c r="F14" i="12"/>
  <c r="Q14" i="12" s="1"/>
  <c r="P13" i="12"/>
  <c r="M13" i="12"/>
  <c r="F13" i="12"/>
  <c r="Q13" i="12" s="1"/>
  <c r="P12" i="12"/>
  <c r="L12" i="12"/>
  <c r="M12" i="12" s="1"/>
  <c r="F12" i="12"/>
  <c r="Q12" i="12" s="1"/>
  <c r="P11" i="12"/>
  <c r="M11" i="12"/>
  <c r="F11" i="12"/>
  <c r="Q11" i="12" s="1"/>
  <c r="P10" i="12"/>
  <c r="L10" i="12"/>
  <c r="F10" i="12"/>
  <c r="F33" i="4"/>
  <c r="D33" i="4"/>
  <c r="C33" i="4"/>
  <c r="E32" i="4"/>
  <c r="G32" i="4" s="1"/>
  <c r="E31" i="4"/>
  <c r="G31" i="4" s="1"/>
  <c r="E30" i="4"/>
  <c r="G30" i="4" s="1"/>
  <c r="E29" i="4"/>
  <c r="G29" i="4" s="1"/>
  <c r="E28" i="4"/>
  <c r="E21" i="4"/>
  <c r="D21" i="4"/>
  <c r="G5" i="8"/>
  <c r="B5" i="8" s="1"/>
  <c r="F5" i="8"/>
  <c r="F16" i="8" s="1"/>
  <c r="C1" i="8"/>
  <c r="B1" i="8"/>
  <c r="U223" i="26" l="1"/>
  <c r="K363" i="26"/>
  <c r="J20" i="12"/>
  <c r="Q20" i="12"/>
  <c r="L46" i="12"/>
  <c r="P46" i="12"/>
  <c r="E33" i="4"/>
  <c r="G28" i="4"/>
  <c r="I413" i="26"/>
  <c r="U366" i="26"/>
  <c r="U360" i="26"/>
  <c r="U370" i="26"/>
  <c r="U357" i="26"/>
  <c r="U363" i="26"/>
  <c r="U367" i="26"/>
  <c r="U361" i="26"/>
  <c r="U358" i="26"/>
  <c r="U364" i="26"/>
  <c r="U362" i="26"/>
  <c r="U368" i="26"/>
  <c r="U359" i="26"/>
  <c r="U365" i="26"/>
  <c r="U369" i="26"/>
  <c r="U299" i="26"/>
  <c r="U303" i="26"/>
  <c r="U291" i="26"/>
  <c r="U300" i="26"/>
  <c r="U290" i="26"/>
  <c r="U297" i="26"/>
  <c r="U304" i="26"/>
  <c r="U301" i="26"/>
  <c r="U292" i="26"/>
  <c r="T306" i="26"/>
  <c r="U306" i="26" s="1"/>
  <c r="U295" i="26"/>
  <c r="U298" i="26"/>
  <c r="U302" i="26"/>
  <c r="U305" i="26"/>
  <c r="U293" i="26"/>
  <c r="U294" i="26"/>
  <c r="U296" i="26"/>
  <c r="U168" i="26"/>
  <c r="U175" i="26"/>
  <c r="U161" i="26"/>
  <c r="U172" i="26"/>
  <c r="U179" i="26"/>
  <c r="U164" i="26"/>
  <c r="T183" i="26"/>
  <c r="U176" i="26"/>
  <c r="U162" i="26"/>
  <c r="U180" i="26"/>
  <c r="U182" i="26"/>
  <c r="U167" i="26"/>
  <c r="U171" i="26"/>
  <c r="U159" i="26"/>
  <c r="U166" i="26"/>
  <c r="U173" i="26"/>
  <c r="U160" i="26"/>
  <c r="U174" i="26"/>
  <c r="U178" i="26"/>
  <c r="U163" i="26"/>
  <c r="U170" i="26"/>
  <c r="U177" i="26"/>
  <c r="U145" i="26"/>
  <c r="U154" i="26"/>
  <c r="U152" i="26"/>
  <c r="U148" i="26"/>
  <c r="U146" i="26"/>
  <c r="U149" i="26"/>
  <c r="U151" i="26"/>
  <c r="U150" i="26"/>
  <c r="T157" i="26"/>
  <c r="U157" i="26" s="1"/>
  <c r="U147" i="26"/>
  <c r="U156" i="26"/>
  <c r="U90" i="26"/>
  <c r="U103" i="26"/>
  <c r="U87" i="26"/>
  <c r="U94" i="26"/>
  <c r="U100" i="26"/>
  <c r="U106" i="26"/>
  <c r="U117" i="26"/>
  <c r="U91" i="26"/>
  <c r="U98" i="26"/>
  <c r="U104" i="26"/>
  <c r="U110" i="26"/>
  <c r="U114" i="26"/>
  <c r="U95" i="26"/>
  <c r="U107" i="26"/>
  <c r="U97" i="26"/>
  <c r="U120" i="26"/>
  <c r="U101" i="26"/>
  <c r="U88" i="26"/>
  <c r="U99" i="26"/>
  <c r="U111" i="26"/>
  <c r="U115" i="26"/>
  <c r="U118" i="26"/>
  <c r="U113" i="26"/>
  <c r="U85" i="26"/>
  <c r="U108" i="26"/>
  <c r="U121" i="26"/>
  <c r="U89" i="26"/>
  <c r="U96" i="26"/>
  <c r="U102" i="26"/>
  <c r="U112" i="26"/>
  <c r="U119" i="26"/>
  <c r="U86" i="26"/>
  <c r="U93" i="26"/>
  <c r="U109" i="26"/>
  <c r="U116" i="26"/>
  <c r="U64" i="26"/>
  <c r="U71" i="26"/>
  <c r="U68" i="26"/>
  <c r="U75" i="26"/>
  <c r="U81" i="26"/>
  <c r="U65" i="26"/>
  <c r="U72" i="26"/>
  <c r="U78" i="26"/>
  <c r="U67" i="26"/>
  <c r="U69" i="26"/>
  <c r="U76" i="26"/>
  <c r="U82" i="26"/>
  <c r="U62" i="26"/>
  <c r="U73" i="26"/>
  <c r="U79" i="26"/>
  <c r="U77" i="26"/>
  <c r="U63" i="26"/>
  <c r="U70" i="26"/>
  <c r="K229" i="26"/>
  <c r="K237" i="26"/>
  <c r="K240" i="26"/>
  <c r="I24" i="26"/>
  <c r="I46" i="26"/>
  <c r="K25" i="26"/>
  <c r="I100" i="26"/>
  <c r="K79" i="26"/>
  <c r="I154" i="26"/>
  <c r="K131" i="26"/>
  <c r="F241" i="26"/>
  <c r="K228" i="26"/>
  <c r="I277" i="26"/>
  <c r="I295" i="26"/>
  <c r="K278" i="26"/>
  <c r="I307" i="26"/>
  <c r="K296" i="26"/>
  <c r="I121" i="26"/>
  <c r="K101" i="26"/>
  <c r="I182" i="26"/>
  <c r="K155" i="26"/>
  <c r="I201" i="26"/>
  <c r="K183" i="26"/>
  <c r="U61" i="26"/>
  <c r="I78" i="26"/>
  <c r="K47" i="26"/>
  <c r="T83" i="26"/>
  <c r="T105" i="26"/>
  <c r="T122" i="26"/>
  <c r="I130" i="26"/>
  <c r="K122" i="26"/>
  <c r="U144" i="26"/>
  <c r="I227" i="26"/>
  <c r="K202" i="26"/>
  <c r="U204" i="26"/>
  <c r="K230" i="26"/>
  <c r="K231" i="26"/>
  <c r="K234" i="26"/>
  <c r="K235" i="26"/>
  <c r="K238" i="26"/>
  <c r="K239" i="26"/>
  <c r="I260" i="26"/>
  <c r="K242" i="26"/>
  <c r="H307" i="26"/>
  <c r="I335" i="26"/>
  <c r="K308" i="26"/>
  <c r="U330" i="26"/>
  <c r="I363" i="26"/>
  <c r="K336" i="26"/>
  <c r="U354" i="26"/>
  <c r="T371" i="26"/>
  <c r="H387" i="26"/>
  <c r="K388" i="26"/>
  <c r="K413" i="26" s="1"/>
  <c r="U404" i="26"/>
  <c r="H154" i="26"/>
  <c r="U143" i="26"/>
  <c r="U183" i="26"/>
  <c r="U158" i="26"/>
  <c r="I241" i="26"/>
  <c r="U254" i="26"/>
  <c r="U289" i="26"/>
  <c r="I387" i="26"/>
  <c r="U371" i="26"/>
  <c r="U355" i="26"/>
  <c r="E780" i="19"/>
  <c r="M10" i="12"/>
  <c r="M46" i="12" s="1"/>
  <c r="J11" i="12"/>
  <c r="R11" i="12" s="1"/>
  <c r="J22" i="12"/>
  <c r="R22" i="12" s="1"/>
  <c r="J23" i="12"/>
  <c r="R23" i="12" s="1"/>
  <c r="J26" i="12"/>
  <c r="R26" i="12" s="1"/>
  <c r="J33" i="12"/>
  <c r="R33" i="12" s="1"/>
  <c r="J36" i="12"/>
  <c r="R36" i="12" s="1"/>
  <c r="J44" i="12"/>
  <c r="R44" i="12" s="1"/>
  <c r="J45" i="12"/>
  <c r="R45" i="12" s="1"/>
  <c r="J13" i="12"/>
  <c r="R13" i="12" s="1"/>
  <c r="J14" i="12"/>
  <c r="R14" i="12" s="1"/>
  <c r="J17" i="12"/>
  <c r="R17" i="12" s="1"/>
  <c r="R20" i="12"/>
  <c r="J28" i="12"/>
  <c r="R28" i="12" s="1"/>
  <c r="J29" i="12"/>
  <c r="R29" i="12" s="1"/>
  <c r="J38" i="12"/>
  <c r="R38" i="12" s="1"/>
  <c r="J39" i="12"/>
  <c r="R39" i="12" s="1"/>
  <c r="J42" i="12"/>
  <c r="R42" i="12" s="1"/>
  <c r="J12" i="12"/>
  <c r="R12" i="12" s="1"/>
  <c r="J15" i="12"/>
  <c r="R15" i="12" s="1"/>
  <c r="J16" i="12"/>
  <c r="R16" i="12" s="1"/>
  <c r="J21" i="12"/>
  <c r="R21" i="12" s="1"/>
  <c r="J24" i="12"/>
  <c r="R24" i="12" s="1"/>
  <c r="J25" i="12"/>
  <c r="R25" i="12" s="1"/>
  <c r="J34" i="12"/>
  <c r="R34" i="12" s="1"/>
  <c r="J35" i="12"/>
  <c r="R35" i="12" s="1"/>
  <c r="J43" i="12"/>
  <c r="R43" i="12" s="1"/>
  <c r="F46" i="12"/>
  <c r="J10" i="12"/>
  <c r="R10" i="12" s="1"/>
  <c r="J18" i="12"/>
  <c r="R18" i="12" s="1"/>
  <c r="J19" i="12"/>
  <c r="R19" i="12" s="1"/>
  <c r="J27" i="12"/>
  <c r="R27" i="12" s="1"/>
  <c r="J30" i="12"/>
  <c r="R30" i="12" s="1"/>
  <c r="J31" i="12"/>
  <c r="R31" i="12" s="1"/>
  <c r="J32" i="12"/>
  <c r="R32" i="12" s="1"/>
  <c r="J37" i="12"/>
  <c r="R37" i="12" s="1"/>
  <c r="J40" i="12"/>
  <c r="R40" i="12" s="1"/>
  <c r="J41" i="12"/>
  <c r="R41" i="12" s="1"/>
  <c r="G33" i="4"/>
  <c r="B17" i="8"/>
  <c r="B13" i="8"/>
  <c r="B9" i="8"/>
  <c r="B15" i="8"/>
  <c r="B11" i="8"/>
  <c r="B16" i="8"/>
  <c r="B12" i="8"/>
  <c r="B8" i="8"/>
  <c r="B19" i="8"/>
  <c r="B18" i="8"/>
  <c r="B14" i="8"/>
  <c r="B10" i="8"/>
  <c r="F10" i="8"/>
  <c r="F18" i="8"/>
  <c r="F6" i="8"/>
  <c r="F11" i="8"/>
  <c r="F19" i="8"/>
  <c r="C5" i="8"/>
  <c r="B6" i="8" s="1"/>
  <c r="F9" i="8"/>
  <c r="F13" i="8"/>
  <c r="F17" i="8"/>
  <c r="F14" i="8"/>
  <c r="F15" i="8"/>
  <c r="F8" i="8"/>
  <c r="F12" i="8"/>
  <c r="K241" i="26" l="1"/>
  <c r="U122" i="26"/>
  <c r="U105" i="26"/>
  <c r="U83" i="26"/>
  <c r="Q46" i="12"/>
  <c r="J46" i="12"/>
  <c r="R46" i="12"/>
  <c r="R50" i="12" s="1"/>
</calcChain>
</file>

<file path=xl/sharedStrings.xml><?xml version="1.0" encoding="utf-8"?>
<sst xmlns="http://schemas.openxmlformats.org/spreadsheetml/2006/main" count="2750" uniqueCount="991">
  <si>
    <t>PREVIOUS MONTH</t>
  </si>
  <si>
    <t>CURRENTMONTH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</si>
  <si>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</si>
  <si>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</si>
  <si>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</si>
  <si>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</si>
  <si>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</si>
  <si>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</si>
  <si>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</si>
  <si>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</si>
  <si>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</si>
  <si>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</si>
  <si>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</si>
  <si>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</si>
  <si>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</si>
  <si>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</si>
  <si>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</si>
  <si>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Office of the Accountant General of the Federation</t>
  </si>
  <si>
    <t xml:space="preserve">  Federation Account Department</t>
  </si>
  <si>
    <t>Table I</t>
  </si>
  <si>
    <t>S/n</t>
  </si>
  <si>
    <t>Beneficiaries</t>
  </si>
  <si>
    <t>Statutory</t>
  </si>
  <si>
    <t>Value Added Tax (VAT)</t>
  </si>
  <si>
    <t>Total</t>
  </si>
  <si>
    <t>₦</t>
  </si>
  <si>
    <t>FGN (see Table II)</t>
  </si>
  <si>
    <t>State (see Table III)</t>
  </si>
  <si>
    <t>LGCs (see Table IV)</t>
  </si>
  <si>
    <t>13% Derivation Fund</t>
  </si>
  <si>
    <t xml:space="preserve"> Cost of Collections - NRS</t>
  </si>
  <si>
    <t xml:space="preserve"> Cost of Collections - NUPRC</t>
  </si>
  <si>
    <t>Transfer to MDGIF</t>
  </si>
  <si>
    <t xml:space="preserve">13% Refunds on Subsidy, Priority Projects </t>
  </si>
  <si>
    <t>North East Development Commission</t>
  </si>
  <si>
    <t>Transfer to NSIA</t>
  </si>
  <si>
    <t>0.5% Deduction from Non-Oil Revenue to RMAFC</t>
  </si>
  <si>
    <t>Infrastructure Development Fund to States</t>
  </si>
  <si>
    <t>TOTAL</t>
  </si>
  <si>
    <t>Table II</t>
  </si>
  <si>
    <t>Gross Statutory Allocation</t>
  </si>
  <si>
    <t>Total Deduction</t>
  </si>
  <si>
    <t>Net Statutory Allocation</t>
  </si>
  <si>
    <t>Value Added Tax</t>
  </si>
  <si>
    <t>FGN (CRF Account)</t>
  </si>
  <si>
    <t>Share of Derivation &amp; Ecology</t>
  </si>
  <si>
    <t>Stabilization</t>
  </si>
  <si>
    <t>Development of Natural Resources</t>
  </si>
  <si>
    <t>FCT-Abuja</t>
  </si>
  <si>
    <r>
      <rPr>
        <sz val="16"/>
        <rFont val="Times New Roman"/>
        <family val="1"/>
      </rPr>
      <t xml:space="preserve">Source: </t>
    </r>
    <r>
      <rPr>
        <b/>
        <sz val="16"/>
        <rFont val="Times New Roman"/>
        <family val="1"/>
      </rPr>
      <t>Office of the Accountant-General of the Federation</t>
    </r>
  </si>
  <si>
    <t>……………………………………………………………</t>
  </si>
  <si>
    <t>Mr. Taiwo Oyedele</t>
  </si>
  <si>
    <t>Hon. Minister of Finance and Coordinating Minister of the Economy</t>
  </si>
  <si>
    <t>Abuja. Nigeria.</t>
  </si>
  <si>
    <t>Office  of the Accountant General of the Federation</t>
  </si>
  <si>
    <t>Federation Account Department</t>
  </si>
  <si>
    <t>Table III</t>
  </si>
  <si>
    <t>6=4+5</t>
  </si>
  <si>
    <t>10=6-(7+8+9)</t>
  </si>
  <si>
    <t>No. of LGCs</t>
  </si>
  <si>
    <t>Statutory Allocation</t>
  </si>
  <si>
    <t>13% Share of Derivation (Net)</t>
  </si>
  <si>
    <t>Gross Total</t>
  </si>
  <si>
    <t>Deductions</t>
  </si>
  <si>
    <t>TOTAL Share of Ecology</t>
  </si>
  <si>
    <t>Transfer of 50% Share of Ecology to NDDC/HYPPADEC</t>
  </si>
  <si>
    <t>Net Share of Ecology</t>
  </si>
  <si>
    <t>Gross VAT Allocation</t>
  </si>
  <si>
    <t>VAT Deduction</t>
  </si>
  <si>
    <t>Net VAT Allocation</t>
  </si>
  <si>
    <t>Total Gross Amount</t>
  </si>
  <si>
    <t>Total Net Amount</t>
  </si>
  <si>
    <t>External Debt</t>
  </si>
  <si>
    <t>Contractual Obligation (ISPO)</t>
  </si>
  <si>
    <t xml:space="preserve">Other Deductions   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</si>
  <si>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</si>
  <si>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</si>
  <si>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</si>
  <si>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</si>
  <si>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</si>
  <si>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</si>
  <si>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</si>
  <si>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</si>
  <si>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</si>
  <si>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</si>
  <si>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</si>
  <si>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</si>
  <si>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</si>
  <si>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</si>
  <si>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</si>
  <si>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</si>
  <si>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</si>
  <si>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</si>
  <si>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</si>
  <si>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</si>
  <si>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</si>
  <si>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</si>
  <si>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</si>
  <si>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</si>
  <si>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</si>
  <si>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</si>
  <si>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</si>
  <si>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</si>
  <si>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</si>
  <si>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</si>
  <si>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</si>
  <si>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</si>
  <si>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</si>
  <si>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</si>
  <si>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</si>
  <si>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</si>
  <si>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Office of the Accountant-General of the Federation</t>
  </si>
  <si>
    <t>States</t>
  </si>
  <si>
    <t>Local Government Councils</t>
  </si>
  <si>
    <t>Deduction</t>
  </si>
  <si>
    <t>Total Net Allocation</t>
  </si>
  <si>
    <t>State</t>
  </si>
  <si>
    <t>ABA NORTH</t>
  </si>
  <si>
    <t>KUNCHI</t>
  </si>
  <si>
    <t>ABA SOUTH</t>
  </si>
  <si>
    <t>KURA</t>
  </si>
  <si>
    <t>AROCHUKWU</t>
  </si>
  <si>
    <t>MADOBI</t>
  </si>
  <si>
    <t>BENDE</t>
  </si>
  <si>
    <t>MAKODA</t>
  </si>
  <si>
    <t>IKWUANO</t>
  </si>
  <si>
    <t>MINJIBIR</t>
  </si>
  <si>
    <t>ISIALA NGWA NORTH</t>
  </si>
  <si>
    <t>ISIALA NGWA SOUTH</t>
  </si>
  <si>
    <t>RANO</t>
  </si>
  <si>
    <t>ISUIKWUATO</t>
  </si>
  <si>
    <t>RIMIN GADO</t>
  </si>
  <si>
    <t>NNEOCHI</t>
  </si>
  <si>
    <t>ROGO</t>
  </si>
  <si>
    <t>OBIOMA NGWA</t>
  </si>
  <si>
    <t>SHANONO</t>
  </si>
  <si>
    <t>OHAFIA</t>
  </si>
  <si>
    <t>SUMAILA</t>
  </si>
  <si>
    <t>OSISIOMA</t>
  </si>
  <si>
    <t>TAKAI</t>
  </si>
  <si>
    <t>UGWUNAGBO</t>
  </si>
  <si>
    <t>TARAUNI</t>
  </si>
  <si>
    <t>UKWA EAST</t>
  </si>
  <si>
    <t>TOFA</t>
  </si>
  <si>
    <t>UKWA WEST</t>
  </si>
  <si>
    <t>TSANYAWA</t>
  </si>
  <si>
    <t>UMUAHIA NORTH</t>
  </si>
  <si>
    <t>TUDUN WADA</t>
  </si>
  <si>
    <t>UMUAHIA SOUTH</t>
  </si>
  <si>
    <t>UNGOGO</t>
  </si>
  <si>
    <t>ABIA TOTAL</t>
  </si>
  <si>
    <t>WARAWA</t>
  </si>
  <si>
    <t xml:space="preserve">ADAMAWA </t>
  </si>
  <si>
    <t>DEMSA</t>
  </si>
  <si>
    <t>WUDIL</t>
  </si>
  <si>
    <t>FUFORE</t>
  </si>
  <si>
    <t>KANO TOTAL</t>
  </si>
  <si>
    <t>GANYE</t>
  </si>
  <si>
    <t>BAKORI</t>
  </si>
  <si>
    <t>GIREI</t>
  </si>
  <si>
    <t>BATAGARAWA</t>
  </si>
  <si>
    <t>GOMBI</t>
  </si>
  <si>
    <t>BATSARI</t>
  </si>
  <si>
    <t>GUYUK</t>
  </si>
  <si>
    <t>BAURE</t>
  </si>
  <si>
    <t>HONG</t>
  </si>
  <si>
    <t>BINDAWA</t>
  </si>
  <si>
    <t>JADA</t>
  </si>
  <si>
    <t>CHARANCHI</t>
  </si>
  <si>
    <t>YOLA-NORTH</t>
  </si>
  <si>
    <t>DAN-MUSA</t>
  </si>
  <si>
    <t>LAMURDE</t>
  </si>
  <si>
    <t>DANDUME</t>
  </si>
  <si>
    <t>MADAGALI</t>
  </si>
  <si>
    <t>DANJA</t>
  </si>
  <si>
    <t>MAIHA</t>
  </si>
  <si>
    <t>DAURA</t>
  </si>
  <si>
    <t>MAYO-BELWA</t>
  </si>
  <si>
    <t>DUTSI</t>
  </si>
  <si>
    <t>MICHIKA</t>
  </si>
  <si>
    <t>DUTSINMA</t>
  </si>
  <si>
    <t>MUBI NORTH</t>
  </si>
  <si>
    <t>FASKARI</t>
  </si>
  <si>
    <t>MUBI SOUTH</t>
  </si>
  <si>
    <t>FUNTUA</t>
  </si>
  <si>
    <t>NUMAN</t>
  </si>
  <si>
    <t>INGAWA</t>
  </si>
  <si>
    <t>SHELLENG</t>
  </si>
  <si>
    <t>JIBIA</t>
  </si>
  <si>
    <t>SONG</t>
  </si>
  <si>
    <t>KAFUR</t>
  </si>
  <si>
    <t>TOUNGO</t>
  </si>
  <si>
    <t>KAITA</t>
  </si>
  <si>
    <t>YOLA-SOUTH</t>
  </si>
  <si>
    <t>KANKARA</t>
  </si>
  <si>
    <t>ADAMAWA TOTAL</t>
  </si>
  <si>
    <t>KANKIA</t>
  </si>
  <si>
    <t xml:space="preserve">AKWA IBOM </t>
  </si>
  <si>
    <t>ABAK</t>
  </si>
  <si>
    <t>EASTERN OBOLO</t>
  </si>
  <si>
    <t>KURFI</t>
  </si>
  <si>
    <t>EKET</t>
  </si>
  <si>
    <t>KUSADA</t>
  </si>
  <si>
    <t>EKPE ATAI</t>
  </si>
  <si>
    <t>MAIADUA</t>
  </si>
  <si>
    <t>ESSIEN UDIM</t>
  </si>
  <si>
    <t>MALUMFASHI</t>
  </si>
  <si>
    <t>ETIM EKPO</t>
  </si>
  <si>
    <t>MANI</t>
  </si>
  <si>
    <t>ETINAN</t>
  </si>
  <si>
    <t>MASHI</t>
  </si>
  <si>
    <t>IBENO</t>
  </si>
  <si>
    <t>MATAZU</t>
  </si>
  <si>
    <t>IBESIKPO ASUTAN</t>
  </si>
  <si>
    <t>MUSAWA</t>
  </si>
  <si>
    <t>IBIONO IBOM</t>
  </si>
  <si>
    <t>RIMI</t>
  </si>
  <si>
    <t>IKA</t>
  </si>
  <si>
    <t>SABUWA</t>
  </si>
  <si>
    <t>IKONO</t>
  </si>
  <si>
    <t>SAFANA</t>
  </si>
  <si>
    <t>IKOT ABASI</t>
  </si>
  <si>
    <t>SANDAMU</t>
  </si>
  <si>
    <t>IKOT EKPENE</t>
  </si>
  <si>
    <t>ZANGO</t>
  </si>
  <si>
    <t>INI</t>
  </si>
  <si>
    <t>KATSINA TOTAL</t>
  </si>
  <si>
    <t>ITU</t>
  </si>
  <si>
    <t>ALIERU</t>
  </si>
  <si>
    <t>MBO</t>
  </si>
  <si>
    <t>AREWA</t>
  </si>
  <si>
    <t>MKPAT ENIN</t>
  </si>
  <si>
    <t>ARGUNGU</t>
  </si>
  <si>
    <t>NSIT IBOM</t>
  </si>
  <si>
    <t>AUGIE</t>
  </si>
  <si>
    <t>NSIT UBIUM</t>
  </si>
  <si>
    <t>BAGUDO</t>
  </si>
  <si>
    <t>OBAT AKARA</t>
  </si>
  <si>
    <t>BIRNIN -KEBBI</t>
  </si>
  <si>
    <t>OKOBO</t>
  </si>
  <si>
    <t>BUNZA</t>
  </si>
  <si>
    <t>ONNA</t>
  </si>
  <si>
    <t>DANDI KAMBA</t>
  </si>
  <si>
    <t>ORON</t>
  </si>
  <si>
    <t>DANKO /WASAGU</t>
  </si>
  <si>
    <t>ORUK ANAM</t>
  </si>
  <si>
    <t>FAKAI</t>
  </si>
  <si>
    <t>UDUNG UKO</t>
  </si>
  <si>
    <t>GWANDU</t>
  </si>
  <si>
    <t>UKANAFUN</t>
  </si>
  <si>
    <t>JEGA</t>
  </si>
  <si>
    <t>UQUO</t>
  </si>
  <si>
    <t>KALGO</t>
  </si>
  <si>
    <t>URUAN</t>
  </si>
  <si>
    <t>KOKO/BESSE</t>
  </si>
  <si>
    <t>URUE OFFONG/ORUK</t>
  </si>
  <si>
    <t>MAIYAMA</t>
  </si>
  <si>
    <t>UYO</t>
  </si>
  <si>
    <t>NGASKI</t>
  </si>
  <si>
    <t>AKWA IBOM TOTAL</t>
  </si>
  <si>
    <t>SAKABA</t>
  </si>
  <si>
    <t xml:space="preserve">ANAMBRA </t>
  </si>
  <si>
    <t>AGUATA</t>
  </si>
  <si>
    <t>SHANGA</t>
  </si>
  <si>
    <t>ANAMBRA EAST</t>
  </si>
  <si>
    <t>SURU</t>
  </si>
  <si>
    <t>ANAMBRA WEST</t>
  </si>
  <si>
    <t>YAURI</t>
  </si>
  <si>
    <t>ANIOCHA</t>
  </si>
  <si>
    <t>ZURU</t>
  </si>
  <si>
    <t>AWKA NORTH</t>
  </si>
  <si>
    <t>KEBBI TOTAL</t>
  </si>
  <si>
    <t>AWKA SOUTH</t>
  </si>
  <si>
    <t>ADAVI</t>
  </si>
  <si>
    <t>AYAMELUM</t>
  </si>
  <si>
    <t>AJAOKUTA</t>
  </si>
  <si>
    <t>DUNUKOFIA</t>
  </si>
  <si>
    <t>ANKPA</t>
  </si>
  <si>
    <t>EKWUSIGWO</t>
  </si>
  <si>
    <t>BASSA</t>
  </si>
  <si>
    <t>IDEMILI NORTH</t>
  </si>
  <si>
    <t>DEKINA</t>
  </si>
  <si>
    <t>IDEMILI SOUTH</t>
  </si>
  <si>
    <t>IBAJI</t>
  </si>
  <si>
    <t>IHIALA</t>
  </si>
  <si>
    <t>IDAH</t>
  </si>
  <si>
    <t>NJIKOKA</t>
  </si>
  <si>
    <t>IGALAMELA</t>
  </si>
  <si>
    <t>NNEWI NORTH</t>
  </si>
  <si>
    <t>IJUMU</t>
  </si>
  <si>
    <t>NNEWI SOUTH</t>
  </si>
  <si>
    <t>KABBA/BUNU</t>
  </si>
  <si>
    <t>OGBARU</t>
  </si>
  <si>
    <t>ONISHA NORTH</t>
  </si>
  <si>
    <t>KOTON KARFE</t>
  </si>
  <si>
    <t>ONISHA SOUTH</t>
  </si>
  <si>
    <t>MOPA-MURO</t>
  </si>
  <si>
    <t>ORUMBA NORTH</t>
  </si>
  <si>
    <t>OFU</t>
  </si>
  <si>
    <t>ORUMBA SOUTH</t>
  </si>
  <si>
    <t>OGORI/MAGONGO</t>
  </si>
  <si>
    <t>OYI</t>
  </si>
  <si>
    <t>OKEHI</t>
  </si>
  <si>
    <t>ANAMBRA TOTAL</t>
  </si>
  <si>
    <t>OKENE</t>
  </si>
  <si>
    <t xml:space="preserve">BAUCHI </t>
  </si>
  <si>
    <t>ALKALERI</t>
  </si>
  <si>
    <t>OLAMABORO</t>
  </si>
  <si>
    <t>OMALA</t>
  </si>
  <si>
    <t>BOGORO</t>
  </si>
  <si>
    <t>YAGBA EAST</t>
  </si>
  <si>
    <t>DAMBAN</t>
  </si>
  <si>
    <t>YAGBA WEST</t>
  </si>
  <si>
    <t>DARAZO</t>
  </si>
  <si>
    <t>KOGI TOTAL</t>
  </si>
  <si>
    <t>DASS</t>
  </si>
  <si>
    <t>ASA</t>
  </si>
  <si>
    <t>GAMAWA</t>
  </si>
  <si>
    <t>BARUTEN</t>
  </si>
  <si>
    <t>GANJUWA</t>
  </si>
  <si>
    <t>EDU</t>
  </si>
  <si>
    <t>GIADE</t>
  </si>
  <si>
    <t>I/GADAU</t>
  </si>
  <si>
    <t>IFELODUN</t>
  </si>
  <si>
    <t>JAMA'ARE</t>
  </si>
  <si>
    <t>ILORIN EAST</t>
  </si>
  <si>
    <t>KATAGUM</t>
  </si>
  <si>
    <t>ILORIN SOUTH</t>
  </si>
  <si>
    <t>KIRFI</t>
  </si>
  <si>
    <t>ILORIN WEST</t>
  </si>
  <si>
    <t>MISAU</t>
  </si>
  <si>
    <t>IREPODUN</t>
  </si>
  <si>
    <t>NINGI</t>
  </si>
  <si>
    <t>KAI AMA</t>
  </si>
  <si>
    <t>SHIRA</t>
  </si>
  <si>
    <t>MORO</t>
  </si>
  <si>
    <t>TAFAWA BALEWA</t>
  </si>
  <si>
    <t>OFFA</t>
  </si>
  <si>
    <t>TORO</t>
  </si>
  <si>
    <t>OKE-ERO</t>
  </si>
  <si>
    <t>WARJI</t>
  </si>
  <si>
    <t>OSIN</t>
  </si>
  <si>
    <t>ZAKI</t>
  </si>
  <si>
    <t>OYUN</t>
  </si>
  <si>
    <t>BAUCHI TOTAL</t>
  </si>
  <si>
    <t>PATEGI</t>
  </si>
  <si>
    <t xml:space="preserve">BAYELSA </t>
  </si>
  <si>
    <t>BRASS</t>
  </si>
  <si>
    <t>KWARA TOTAL</t>
  </si>
  <si>
    <t>EKERMOR</t>
  </si>
  <si>
    <t>AGEGE</t>
  </si>
  <si>
    <t>KOLOKUMA/OPOKUMA</t>
  </si>
  <si>
    <t>AJEROMI/IFELODUN</t>
  </si>
  <si>
    <t>NEMBE</t>
  </si>
  <si>
    <t>ALIMOSHO</t>
  </si>
  <si>
    <t>OGBIA</t>
  </si>
  <si>
    <t>AMOWO-ODOFIN</t>
  </si>
  <si>
    <t>SAGBAMA</t>
  </si>
  <si>
    <t>APAPA</t>
  </si>
  <si>
    <t>SOUTHERN IJAW</t>
  </si>
  <si>
    <t>BADAGRY</t>
  </si>
  <si>
    <t>YENAGOA</t>
  </si>
  <si>
    <t>EPE</t>
  </si>
  <si>
    <t>BAYELSA TOTAL</t>
  </si>
  <si>
    <t>ETI-OSA</t>
  </si>
  <si>
    <t xml:space="preserve">BENUE </t>
  </si>
  <si>
    <t>ADO</t>
  </si>
  <si>
    <t>IBEJU-LEKKI</t>
  </si>
  <si>
    <t>AGATU</t>
  </si>
  <si>
    <t>IFAKO/IJAYE</t>
  </si>
  <si>
    <t>APA</t>
  </si>
  <si>
    <t>IKEJA</t>
  </si>
  <si>
    <t>BURUKU</t>
  </si>
  <si>
    <t>IKORODU</t>
  </si>
  <si>
    <t>GBOKO</t>
  </si>
  <si>
    <t>KOSOFE</t>
  </si>
  <si>
    <t>GUMA</t>
  </si>
  <si>
    <t>LAGOS ISLAND</t>
  </si>
  <si>
    <t>GWER EAST</t>
  </si>
  <si>
    <t>LAGOS MAINLAND</t>
  </si>
  <si>
    <t>GWER WEST</t>
  </si>
  <si>
    <t>MUSHIN</t>
  </si>
  <si>
    <t>KATSINA ALA</t>
  </si>
  <si>
    <t>OJO</t>
  </si>
  <si>
    <t>KONSHISHA</t>
  </si>
  <si>
    <t>OSHODI/ISOLO</t>
  </si>
  <si>
    <t>KWANDE</t>
  </si>
  <si>
    <t>SOMOLU</t>
  </si>
  <si>
    <t>LOGO</t>
  </si>
  <si>
    <t>SURULERE</t>
  </si>
  <si>
    <t>MAKURDI</t>
  </si>
  <si>
    <t>LAGOS TOTAL</t>
  </si>
  <si>
    <t>OBI</t>
  </si>
  <si>
    <t>AKWANGA</t>
  </si>
  <si>
    <t>OGBADIBO</t>
  </si>
  <si>
    <t>AWE</t>
  </si>
  <si>
    <t>OHIMINI</t>
  </si>
  <si>
    <t>DOMA</t>
  </si>
  <si>
    <t>OJU</t>
  </si>
  <si>
    <t>KARU</t>
  </si>
  <si>
    <t>OKPOKWU</t>
  </si>
  <si>
    <t>KEANA</t>
  </si>
  <si>
    <t>OTUKPO</t>
  </si>
  <si>
    <t>KEFFI</t>
  </si>
  <si>
    <t>TARKA</t>
  </si>
  <si>
    <t>KOKONA</t>
  </si>
  <si>
    <t>UKUM</t>
  </si>
  <si>
    <t>LAFIA</t>
  </si>
  <si>
    <t>USHONGO</t>
  </si>
  <si>
    <t>NASARAWA</t>
  </si>
  <si>
    <t>VANDEIKYA</t>
  </si>
  <si>
    <t>NASARAWA EGGON</t>
  </si>
  <si>
    <t>BENUE TOTAL</t>
  </si>
  <si>
    <t xml:space="preserve">BORNO </t>
  </si>
  <si>
    <t>ABADAN</t>
  </si>
  <si>
    <t>TOTO</t>
  </si>
  <si>
    <t>ASKIRA UBA</t>
  </si>
  <si>
    <t>WAMBA</t>
  </si>
  <si>
    <t>BAMA</t>
  </si>
  <si>
    <t>NASSARAWA TOTAL</t>
  </si>
  <si>
    <t>BAYO</t>
  </si>
  <si>
    <t>AGAIE</t>
  </si>
  <si>
    <t>BIU</t>
  </si>
  <si>
    <t>AGWARA</t>
  </si>
  <si>
    <t>CHIBOK</t>
  </si>
  <si>
    <t>BIDA</t>
  </si>
  <si>
    <t>DAMBOA</t>
  </si>
  <si>
    <t>BORGU</t>
  </si>
  <si>
    <t>DIKWA</t>
  </si>
  <si>
    <t>BOSSO</t>
  </si>
  <si>
    <t>GUBIO</t>
  </si>
  <si>
    <t>EDATI</t>
  </si>
  <si>
    <t>GUZAMALA</t>
  </si>
  <si>
    <t>GBAKO</t>
  </si>
  <si>
    <t>GWOZA</t>
  </si>
  <si>
    <t>GURARA</t>
  </si>
  <si>
    <t>HAWUL</t>
  </si>
  <si>
    <t>KATCHA</t>
  </si>
  <si>
    <t>JERE</t>
  </si>
  <si>
    <t>KONTAGORA</t>
  </si>
  <si>
    <t>KAGA</t>
  </si>
  <si>
    <t>LAPAI</t>
  </si>
  <si>
    <t>KALA BALGE</t>
  </si>
  <si>
    <t>LAVUN</t>
  </si>
  <si>
    <t>KONDUGA</t>
  </si>
  <si>
    <t>MAGAMA</t>
  </si>
  <si>
    <t>KUKAWA</t>
  </si>
  <si>
    <t>MARIGA</t>
  </si>
  <si>
    <t>KWAYA KUSAR</t>
  </si>
  <si>
    <t>MASHEGU</t>
  </si>
  <si>
    <t>MAFA</t>
  </si>
  <si>
    <t>MINNA</t>
  </si>
  <si>
    <t>MAGUMERI</t>
  </si>
  <si>
    <t>MOKWA</t>
  </si>
  <si>
    <t>MAIDUGURI METRO</t>
  </si>
  <si>
    <t>MUYA</t>
  </si>
  <si>
    <t>MARTE</t>
  </si>
  <si>
    <t>PAIKORO</t>
  </si>
  <si>
    <t>MOBBAR</t>
  </si>
  <si>
    <t>RAFI</t>
  </si>
  <si>
    <t>MONGUNO</t>
  </si>
  <si>
    <t>RIJAU</t>
  </si>
  <si>
    <t>NGALA</t>
  </si>
  <si>
    <t>SHIRORO</t>
  </si>
  <si>
    <t>NGANZAI</t>
  </si>
  <si>
    <t>SULEJA</t>
  </si>
  <si>
    <t>SHANI</t>
  </si>
  <si>
    <t>TAFA</t>
  </si>
  <si>
    <t>BORNO TOTAL</t>
  </si>
  <si>
    <t>WUSHISHI</t>
  </si>
  <si>
    <t xml:space="preserve">CROSS RIVER </t>
  </si>
  <si>
    <t>ABI</t>
  </si>
  <si>
    <t>NIGER TOTAL</t>
  </si>
  <si>
    <t>AKAMKPA</t>
  </si>
  <si>
    <t>ABEOKUTA NORTH</t>
  </si>
  <si>
    <t>AKPABUYO</t>
  </si>
  <si>
    <t>ABEOKUTA SOUTH</t>
  </si>
  <si>
    <t>BAKASSI</t>
  </si>
  <si>
    <t>ADO-ODO/OTA</t>
  </si>
  <si>
    <t>BEKWARA</t>
  </si>
  <si>
    <t>EGBADO NORTH</t>
  </si>
  <si>
    <t>BIASE</t>
  </si>
  <si>
    <t>EGBADO SOUTH</t>
  </si>
  <si>
    <t>BOKI</t>
  </si>
  <si>
    <t>EWEKORO</t>
  </si>
  <si>
    <t>CALABAR MUNICIPAL</t>
  </si>
  <si>
    <t>REMO NORTH</t>
  </si>
  <si>
    <t>CALABAR SOUTH</t>
  </si>
  <si>
    <t>IFO</t>
  </si>
  <si>
    <t>ETUNG</t>
  </si>
  <si>
    <t>IJEBU EAST</t>
  </si>
  <si>
    <t>IKOM</t>
  </si>
  <si>
    <t>IJEBU NORTH</t>
  </si>
  <si>
    <t>OBANLIKU</t>
  </si>
  <si>
    <t>IJEBU ODE</t>
  </si>
  <si>
    <t>OBUBRA</t>
  </si>
  <si>
    <t>IKENNE</t>
  </si>
  <si>
    <t>OBUDU</t>
  </si>
  <si>
    <t>IJEBU NORTH EAST</t>
  </si>
  <si>
    <t>ODUKPANI</t>
  </si>
  <si>
    <t>IMEKO-AFON</t>
  </si>
  <si>
    <t>OGAJA</t>
  </si>
  <si>
    <t>IPOKIA</t>
  </si>
  <si>
    <t>YAKURR</t>
  </si>
  <si>
    <t>OBAFEMI/OWODE</t>
  </si>
  <si>
    <t>YALA</t>
  </si>
  <si>
    <t>ODEDAH</t>
  </si>
  <si>
    <t>CROSS RIVER TOTAL</t>
  </si>
  <si>
    <t>ODOGBOLU</t>
  </si>
  <si>
    <t xml:space="preserve">DELTA </t>
  </si>
  <si>
    <t>ANIOCHA NORTH</t>
  </si>
  <si>
    <t>OGUN WATERSIDE</t>
  </si>
  <si>
    <t>ANIOCHA SOUTH</t>
  </si>
  <si>
    <t>SHAGAMU</t>
  </si>
  <si>
    <t>BOMADI</t>
  </si>
  <si>
    <t>OGUN TOTAL</t>
  </si>
  <si>
    <t>BURUTU</t>
  </si>
  <si>
    <t>AKOKO NORTH EAST</t>
  </si>
  <si>
    <t>ETHIOPE EAST</t>
  </si>
  <si>
    <t>AKOKO NORTH WEST</t>
  </si>
  <si>
    <t>ETHIOPE WEST</t>
  </si>
  <si>
    <t>AKOKO SOUTH WEST</t>
  </si>
  <si>
    <t>IKA NORTH EAST</t>
  </si>
  <si>
    <t>AKOKO SOUTH EAST</t>
  </si>
  <si>
    <t>IKA SOUTH</t>
  </si>
  <si>
    <t>AKURE NORTH</t>
  </si>
  <si>
    <t>ISOKO NORTH</t>
  </si>
  <si>
    <t>AKURE SOUTH</t>
  </si>
  <si>
    <t>ISOKO SOUTH</t>
  </si>
  <si>
    <t>IDANRE</t>
  </si>
  <si>
    <t>NDOKWA EAST</t>
  </si>
  <si>
    <t>IFEDORE</t>
  </si>
  <si>
    <t>NDOKWA WEST</t>
  </si>
  <si>
    <t>OKITIPUPA</t>
  </si>
  <si>
    <t>OKPE</t>
  </si>
  <si>
    <t>ILAJE</t>
  </si>
  <si>
    <t>OSHIMILI NORTH</t>
  </si>
  <si>
    <t>ESE-EDO</t>
  </si>
  <si>
    <t>OSHIMILI SOUTH</t>
  </si>
  <si>
    <t>ILE-OLUJI-OKEIGBO</t>
  </si>
  <si>
    <t>PATANI</t>
  </si>
  <si>
    <t>IRELE</t>
  </si>
  <si>
    <t>SAPELE</t>
  </si>
  <si>
    <t>ODIGBO</t>
  </si>
  <si>
    <t>UDU</t>
  </si>
  <si>
    <t>ONDO EAST</t>
  </si>
  <si>
    <t>UGHELLI NORTH</t>
  </si>
  <si>
    <t>ONDO WEST</t>
  </si>
  <si>
    <t>UGHELLI SOUTH</t>
  </si>
  <si>
    <t>OSE</t>
  </si>
  <si>
    <t>UKWUANI</t>
  </si>
  <si>
    <t>OWO</t>
  </si>
  <si>
    <t>UVWIE</t>
  </si>
  <si>
    <t>ONDO TOTAL</t>
  </si>
  <si>
    <t>WARRI SOUTH</t>
  </si>
  <si>
    <t>ATAKUMOSA EAST</t>
  </si>
  <si>
    <t>WARRI NORTH</t>
  </si>
  <si>
    <t>ATAKUMOSA WEST</t>
  </si>
  <si>
    <t>WARRI SOUTH-WEST</t>
  </si>
  <si>
    <t>AIYEDADE</t>
  </si>
  <si>
    <t>DELTA TOTAL</t>
  </si>
  <si>
    <t>AIYEDIRE</t>
  </si>
  <si>
    <t xml:space="preserve">EBONYI </t>
  </si>
  <si>
    <t>ABAKALIKI</t>
  </si>
  <si>
    <t>BOLUWADURO</t>
  </si>
  <si>
    <t>AFIKPO NORTH</t>
  </si>
  <si>
    <t>BORIPE</t>
  </si>
  <si>
    <t xml:space="preserve">AFIKPO SOUTH </t>
  </si>
  <si>
    <t>EDE NORTH</t>
  </si>
  <si>
    <t>EDE SOUTH</t>
  </si>
  <si>
    <t>EZZA NORTH</t>
  </si>
  <si>
    <t>EGBEDORE</t>
  </si>
  <si>
    <t>EZZA SOUTH</t>
  </si>
  <si>
    <t>EJIGBO</t>
  </si>
  <si>
    <t>IKWO</t>
  </si>
  <si>
    <t>IFE CENTRAL</t>
  </si>
  <si>
    <t>ISHIELU</t>
  </si>
  <si>
    <t>IFE EAST</t>
  </si>
  <si>
    <t>IVO</t>
  </si>
  <si>
    <t>IFE NORTH</t>
  </si>
  <si>
    <t>IZZI</t>
  </si>
  <si>
    <t>IFE SOUTH</t>
  </si>
  <si>
    <t>OHAOZARA</t>
  </si>
  <si>
    <t>IFEDAYO</t>
  </si>
  <si>
    <t>OHAUKWU</t>
  </si>
  <si>
    <t>ONICHA</t>
  </si>
  <si>
    <t>ILA</t>
  </si>
  <si>
    <t>EBONYI TOTAL</t>
  </si>
  <si>
    <t>ILESHA EAST</t>
  </si>
  <si>
    <t>EDO TOTAL</t>
  </si>
  <si>
    <t>AKOKO EDO</t>
  </si>
  <si>
    <t>ILESHA WEST</t>
  </si>
  <si>
    <t>EGOR</t>
  </si>
  <si>
    <t>ESAN CENTRAL</t>
  </si>
  <si>
    <t>IREWOLE</t>
  </si>
  <si>
    <t>ESAN NORTH EAST</t>
  </si>
  <si>
    <t>ISOKAN</t>
  </si>
  <si>
    <t>ESAN SOUTH EAST</t>
  </si>
  <si>
    <t>IWO</t>
  </si>
  <si>
    <t>ESAN WEST</t>
  </si>
  <si>
    <t>OBOKUN</t>
  </si>
  <si>
    <t>ETSAKO CENTRAL</t>
  </si>
  <si>
    <t>ODO-OTIN</t>
  </si>
  <si>
    <t>ETSAKO EAST</t>
  </si>
  <si>
    <t>OLA-OLUWA</t>
  </si>
  <si>
    <t>ETSAKO WEST</t>
  </si>
  <si>
    <t>OLORUNDA</t>
  </si>
  <si>
    <t>IGUEBEN</t>
  </si>
  <si>
    <t>ORIADE</t>
  </si>
  <si>
    <t>IKPOBA OKHA</t>
  </si>
  <si>
    <t>OROLU</t>
  </si>
  <si>
    <t>OREDO</t>
  </si>
  <si>
    <t>OSOGBO</t>
  </si>
  <si>
    <t>ORHIONWON</t>
  </si>
  <si>
    <t>OSUN TOTAL</t>
  </si>
  <si>
    <t>OVIA NORTH EAST</t>
  </si>
  <si>
    <t>AFIJIO</t>
  </si>
  <si>
    <t>OVIA SOUTH WEST</t>
  </si>
  <si>
    <t>AKINYELE</t>
  </si>
  <si>
    <t>OWAN EAST</t>
  </si>
  <si>
    <t>ATIBA</t>
  </si>
  <si>
    <t>OWAN WEST</t>
  </si>
  <si>
    <t>ATISBO</t>
  </si>
  <si>
    <t>UHUNMWODE</t>
  </si>
  <si>
    <t>EGBEDA</t>
  </si>
  <si>
    <t>IBADAN NORTH</t>
  </si>
  <si>
    <t xml:space="preserve">EKITI </t>
  </si>
  <si>
    <t>ADO EKITI</t>
  </si>
  <si>
    <t>IBADAN NORTH EAST</t>
  </si>
  <si>
    <t>AIYEKIRE</t>
  </si>
  <si>
    <t>IBADAN NORTH WEST</t>
  </si>
  <si>
    <t>EFON</t>
  </si>
  <si>
    <t>IBADAN SOUTH EAST</t>
  </si>
  <si>
    <t>EKITI EAST</t>
  </si>
  <si>
    <t>IBADAN SOUTH WEST</t>
  </si>
  <si>
    <t>EKITI SOUTH WEST</t>
  </si>
  <si>
    <t>IBARAPA CENTRAL</t>
  </si>
  <si>
    <t>EKITI WEST</t>
  </si>
  <si>
    <t>IBARAPA NORTH</t>
  </si>
  <si>
    <t>EMURE</t>
  </si>
  <si>
    <t>IDO</t>
  </si>
  <si>
    <t>IDO-OSI</t>
  </si>
  <si>
    <t>SAKI WEST</t>
  </si>
  <si>
    <t>IJERO</t>
  </si>
  <si>
    <t>IFELOJU</t>
  </si>
  <si>
    <t>IKERE</t>
  </si>
  <si>
    <t>IREPO</t>
  </si>
  <si>
    <t>IKOLE</t>
  </si>
  <si>
    <t>ISEYIN</t>
  </si>
  <si>
    <t>ILEJEMEJI</t>
  </si>
  <si>
    <t>ITESIWAJU</t>
  </si>
  <si>
    <t>IREPODUN/IFELODUN</t>
  </si>
  <si>
    <t>IWAJOWA</t>
  </si>
  <si>
    <t>ISE/ORUN</t>
  </si>
  <si>
    <t>OLORUNSOGO</t>
  </si>
  <si>
    <t>MOBA</t>
  </si>
  <si>
    <t>KAJOLA</t>
  </si>
  <si>
    <t>OYE</t>
  </si>
  <si>
    <t>LAGELU</t>
  </si>
  <si>
    <t>EKITI TOTAL</t>
  </si>
  <si>
    <t>OGBOMOSHO NORTH</t>
  </si>
  <si>
    <t>AGWU</t>
  </si>
  <si>
    <t>OGBOMOSHO SOUTH</t>
  </si>
  <si>
    <t>ANINRI</t>
  </si>
  <si>
    <t>OGO-OLUWA</t>
  </si>
  <si>
    <t>ENUGU EAST</t>
  </si>
  <si>
    <t>OLUYOLE</t>
  </si>
  <si>
    <t>ENUGU NORTH</t>
  </si>
  <si>
    <t>ONA-ARA</t>
  </si>
  <si>
    <t>ENUGU SOUTH</t>
  </si>
  <si>
    <t>ORELOPE</t>
  </si>
  <si>
    <t>EZEAGU</t>
  </si>
  <si>
    <t>ORI IRE</t>
  </si>
  <si>
    <t>IGBO ETITI</t>
  </si>
  <si>
    <t>OYO EAST</t>
  </si>
  <si>
    <t>IGBO EZE NORTH</t>
  </si>
  <si>
    <t>OYO WEST</t>
  </si>
  <si>
    <t>IGBO EZE SOUTH</t>
  </si>
  <si>
    <t>SAKI EAST</t>
  </si>
  <si>
    <t>ISI UZO</t>
  </si>
  <si>
    <t>IFEDAPO</t>
  </si>
  <si>
    <t>NKANU EAST</t>
  </si>
  <si>
    <t>OYO TOTAL</t>
  </si>
  <si>
    <t>NKANU WEST</t>
  </si>
  <si>
    <t>BARKIN LADI</t>
  </si>
  <si>
    <t>NSUKKA</t>
  </si>
  <si>
    <t>OJI RIVER</t>
  </si>
  <si>
    <t>BOKKOS</t>
  </si>
  <si>
    <t>UDENU</t>
  </si>
  <si>
    <t>JOS EAST</t>
  </si>
  <si>
    <t>UDI</t>
  </si>
  <si>
    <t>JOS NORTH</t>
  </si>
  <si>
    <t>UZO UWANI</t>
  </si>
  <si>
    <t>JOS SOUTH</t>
  </si>
  <si>
    <t>ENUGU TOTAL</t>
  </si>
  <si>
    <t>KANAM</t>
  </si>
  <si>
    <t xml:space="preserve">GOMBE </t>
  </si>
  <si>
    <t>AKKO</t>
  </si>
  <si>
    <t>KANKE</t>
  </si>
  <si>
    <t>BALANGA</t>
  </si>
  <si>
    <t>LANGTANG NORTH</t>
  </si>
  <si>
    <t>BILLIRI</t>
  </si>
  <si>
    <t>LANGTANG SOUTH</t>
  </si>
  <si>
    <t>DUKKU</t>
  </si>
  <si>
    <t>MANGU</t>
  </si>
  <si>
    <t>FUNAKAYE</t>
  </si>
  <si>
    <t>MIKANG</t>
  </si>
  <si>
    <t>PANKSHIN</t>
  </si>
  <si>
    <t>KALTUNGO</t>
  </si>
  <si>
    <t>QUAN-PAN</t>
  </si>
  <si>
    <t>KWAMI</t>
  </si>
  <si>
    <t>RIYOM</t>
  </si>
  <si>
    <t>NAFADA</t>
  </si>
  <si>
    <t>SHENDAM</t>
  </si>
  <si>
    <t>SHOMGOM</t>
  </si>
  <si>
    <t>WASE</t>
  </si>
  <si>
    <t>YAMALTU/DEBA</t>
  </si>
  <si>
    <t>PLATEAU TOTAL</t>
  </si>
  <si>
    <t>GOMBE TOTAL</t>
  </si>
  <si>
    <t>AHOADA</t>
  </si>
  <si>
    <t xml:space="preserve">IMO </t>
  </si>
  <si>
    <t>ABOH MBAISE</t>
  </si>
  <si>
    <t>AHOADA WEST</t>
  </si>
  <si>
    <t>AHIAZU MBAISE</t>
  </si>
  <si>
    <t>AKUKUTORU</t>
  </si>
  <si>
    <t>EHIME MBANO</t>
  </si>
  <si>
    <t>ANDONI</t>
  </si>
  <si>
    <t>EZINIHITTE MBAISE</t>
  </si>
  <si>
    <t>ASARITORU</t>
  </si>
  <si>
    <t>IDEATO NORTH</t>
  </si>
  <si>
    <t>BONNY</t>
  </si>
  <si>
    <t>IDEATO SOUTH</t>
  </si>
  <si>
    <t>DEGEMA</t>
  </si>
  <si>
    <t>IHITTE UBOMA</t>
  </si>
  <si>
    <t>ELEME</t>
  </si>
  <si>
    <t>IKEDURU</t>
  </si>
  <si>
    <t>EMOHUA</t>
  </si>
  <si>
    <t>ISIALA MBANO</t>
  </si>
  <si>
    <t>ETCHE</t>
  </si>
  <si>
    <t>ISU</t>
  </si>
  <si>
    <t>GONAKA</t>
  </si>
  <si>
    <t>MBAITOLI</t>
  </si>
  <si>
    <t>IKWERRE</t>
  </si>
  <si>
    <t>NGOR/OKPALA</t>
  </si>
  <si>
    <t>KHANA</t>
  </si>
  <si>
    <t>NJABA</t>
  </si>
  <si>
    <t>OBIO/AKPOR</t>
  </si>
  <si>
    <t>NKWANGELE</t>
  </si>
  <si>
    <t>OBUA/ODUAL</t>
  </si>
  <si>
    <t>NKWERRE</t>
  </si>
  <si>
    <t>OGBA/EGBEMA/NDONI</t>
  </si>
  <si>
    <t>OBOWO</t>
  </si>
  <si>
    <t>OGU/BOLO</t>
  </si>
  <si>
    <t>OGUTA</t>
  </si>
  <si>
    <t>OKRIKA</t>
  </si>
  <si>
    <t>OHAJI/EGBEMA</t>
  </si>
  <si>
    <t>OMUMMA</t>
  </si>
  <si>
    <t>OKIGWE</t>
  </si>
  <si>
    <t>OPOBO/NKORO</t>
  </si>
  <si>
    <t>ONUIMO</t>
  </si>
  <si>
    <t>OYIGBO</t>
  </si>
  <si>
    <t>ORLU</t>
  </si>
  <si>
    <t>PORT HARCOURT</t>
  </si>
  <si>
    <t>ORSU</t>
  </si>
  <si>
    <t>TAI</t>
  </si>
  <si>
    <t>ORU</t>
  </si>
  <si>
    <t>RIVERS TOTAL</t>
  </si>
  <si>
    <t>ORU WEST</t>
  </si>
  <si>
    <t>BINJI</t>
  </si>
  <si>
    <t>OWERRI MUNICIPAL</t>
  </si>
  <si>
    <t>BODINGA</t>
  </si>
  <si>
    <t>OWERRI NORTH</t>
  </si>
  <si>
    <t>DANGE-SHUNI</t>
  </si>
  <si>
    <t>OWERRI WEST</t>
  </si>
  <si>
    <t>GADA</t>
  </si>
  <si>
    <t>IMO TOTAL</t>
  </si>
  <si>
    <t>GORONYO</t>
  </si>
  <si>
    <t xml:space="preserve">JIGAWA </t>
  </si>
  <si>
    <t>AUYO</t>
  </si>
  <si>
    <t>GUDU</t>
  </si>
  <si>
    <t>BABURA</t>
  </si>
  <si>
    <t>GWADABAWA</t>
  </si>
  <si>
    <t>BIRNIN KUDU</t>
  </si>
  <si>
    <t>ILLELA</t>
  </si>
  <si>
    <t>BIRNIWA</t>
  </si>
  <si>
    <t>ISA</t>
  </si>
  <si>
    <t>GAGARAWA</t>
  </si>
  <si>
    <t>KEBBE</t>
  </si>
  <si>
    <t>BUJI</t>
  </si>
  <si>
    <t>KWARE</t>
  </si>
  <si>
    <t>DUTSE</t>
  </si>
  <si>
    <t>RABAH</t>
  </si>
  <si>
    <t>GARKI</t>
  </si>
  <si>
    <t>SABON BIRNI</t>
  </si>
  <si>
    <t>GUMEL</t>
  </si>
  <si>
    <t>SHAGARI</t>
  </si>
  <si>
    <t>GURI</t>
  </si>
  <si>
    <t>SILAME</t>
  </si>
  <si>
    <t>GWARAM</t>
  </si>
  <si>
    <t>SOKOTO NORTH</t>
  </si>
  <si>
    <t>GWIWA</t>
  </si>
  <si>
    <t>SOKOTO SOUTH</t>
  </si>
  <si>
    <t>HADEJIA</t>
  </si>
  <si>
    <t>TAMBUWAL</t>
  </si>
  <si>
    <t>JAHUN</t>
  </si>
  <si>
    <t>TANGAZA</t>
  </si>
  <si>
    <t>KAFIN HAUSA</t>
  </si>
  <si>
    <t>TURETA</t>
  </si>
  <si>
    <t>KAUGAMA</t>
  </si>
  <si>
    <t>WAMAKKO</t>
  </si>
  <si>
    <t>KAZAURE</t>
  </si>
  <si>
    <t>WURNO</t>
  </si>
  <si>
    <t>KIRI-KASAMMA</t>
  </si>
  <si>
    <t>YABO</t>
  </si>
  <si>
    <t>KIYAWA</t>
  </si>
  <si>
    <t>SOKOTO TOTAL</t>
  </si>
  <si>
    <t>MAIGATARI</t>
  </si>
  <si>
    <t>ARDO KOLA</t>
  </si>
  <si>
    <t>MALAM MADORI</t>
  </si>
  <si>
    <t>BALI</t>
  </si>
  <si>
    <t>MIGA</t>
  </si>
  <si>
    <t>DONGA</t>
  </si>
  <si>
    <t>RINGIM</t>
  </si>
  <si>
    <t>GASHAKA</t>
  </si>
  <si>
    <t>RONI</t>
  </si>
  <si>
    <t>GASSOL</t>
  </si>
  <si>
    <t>SULE TAKARKAR</t>
  </si>
  <si>
    <t>IBI</t>
  </si>
  <si>
    <t>TAURA</t>
  </si>
  <si>
    <t>JALINGO</t>
  </si>
  <si>
    <t>YANKWASHI</t>
  </si>
  <si>
    <t>KARIM LAMIDU</t>
  </si>
  <si>
    <t>JIGAWA TOTAL</t>
  </si>
  <si>
    <t>KURMI</t>
  </si>
  <si>
    <t xml:space="preserve">KADUNA </t>
  </si>
  <si>
    <t>BIRNIN GWARI</t>
  </si>
  <si>
    <t>LAU</t>
  </si>
  <si>
    <t>CHIKUN</t>
  </si>
  <si>
    <t>SARDAUNA</t>
  </si>
  <si>
    <t>GIWA</t>
  </si>
  <si>
    <t>TAKUM</t>
  </si>
  <si>
    <t>KAJURU</t>
  </si>
  <si>
    <t>USSA</t>
  </si>
  <si>
    <t>IGABI</t>
  </si>
  <si>
    <t>WUKARI</t>
  </si>
  <si>
    <t>IKARA</t>
  </si>
  <si>
    <t>YORRO</t>
  </si>
  <si>
    <t>JABA</t>
  </si>
  <si>
    <t>ZING</t>
  </si>
  <si>
    <t>JEMA'A</t>
  </si>
  <si>
    <t>TARABA TOTAL</t>
  </si>
  <si>
    <t>KACHIA</t>
  </si>
  <si>
    <t>BADE</t>
  </si>
  <si>
    <t>KADUNA NORTH</t>
  </si>
  <si>
    <t>BURSARI</t>
  </si>
  <si>
    <t>KADUNA SOUTH</t>
  </si>
  <si>
    <t>DAMATURU</t>
  </si>
  <si>
    <t>KAGARKO</t>
  </si>
  <si>
    <t>FIKA</t>
  </si>
  <si>
    <t>KAURA</t>
  </si>
  <si>
    <t>FUNE</t>
  </si>
  <si>
    <t>KAURU</t>
  </si>
  <si>
    <t>GEIDAM</t>
  </si>
  <si>
    <t>KUBAU</t>
  </si>
  <si>
    <t>GUJBA</t>
  </si>
  <si>
    <t>KUDAN</t>
  </si>
  <si>
    <t>GULAMI</t>
  </si>
  <si>
    <t>LERE</t>
  </si>
  <si>
    <t>JAKUSKO</t>
  </si>
  <si>
    <t>MAKARFI</t>
  </si>
  <si>
    <t>KARASUWA</t>
  </si>
  <si>
    <t>SABON GARI</t>
  </si>
  <si>
    <t>MACHINA</t>
  </si>
  <si>
    <t>SANGA</t>
  </si>
  <si>
    <t>NANGERE</t>
  </si>
  <si>
    <t>SOBA</t>
  </si>
  <si>
    <t>NGURU</t>
  </si>
  <si>
    <t>ZANGON KATAF</t>
  </si>
  <si>
    <t>POTISKUM</t>
  </si>
  <si>
    <t>ZARIA</t>
  </si>
  <si>
    <t>TARMUA</t>
  </si>
  <si>
    <t>KADUNA TOTAL</t>
  </si>
  <si>
    <t>YUNUSARI</t>
  </si>
  <si>
    <t>AJINGI</t>
  </si>
  <si>
    <t>YUSUFARI</t>
  </si>
  <si>
    <t>ALBASU</t>
  </si>
  <si>
    <t>YOBE TOTAL</t>
  </si>
  <si>
    <t>BAGWAI</t>
  </si>
  <si>
    <t>ANKA</t>
  </si>
  <si>
    <t>BEBEJI</t>
  </si>
  <si>
    <t>BAKURA</t>
  </si>
  <si>
    <t>BICHI</t>
  </si>
  <si>
    <t>BUKKUYUM</t>
  </si>
  <si>
    <t>BUNKURE</t>
  </si>
  <si>
    <t>BUNGUDU</t>
  </si>
  <si>
    <t>DALA</t>
  </si>
  <si>
    <t>GUMMI</t>
  </si>
  <si>
    <t>DANBATTA</t>
  </si>
  <si>
    <t>GUSAU</t>
  </si>
  <si>
    <t>DAWAKIN KUDU</t>
  </si>
  <si>
    <t>KAURA NAMODA</t>
  </si>
  <si>
    <t>DAWAKIN TOFA</t>
  </si>
  <si>
    <t>DOGUWA</t>
  </si>
  <si>
    <t>MARADUN</t>
  </si>
  <si>
    <t>FAGGE</t>
  </si>
  <si>
    <t>MARU</t>
  </si>
  <si>
    <t>GABASAWA</t>
  </si>
  <si>
    <t>SHINKAFI</t>
  </si>
  <si>
    <t>GARKO</t>
  </si>
  <si>
    <t>TALATA MAFARA</t>
  </si>
  <si>
    <t>GARUN MALLAM</t>
  </si>
  <si>
    <t>TSAFE</t>
  </si>
  <si>
    <t>GAYA</t>
  </si>
  <si>
    <t>ZURMI</t>
  </si>
  <si>
    <t>GEZAWA</t>
  </si>
  <si>
    <t>ZAMFARA TOTAL</t>
  </si>
  <si>
    <t>GWALE</t>
  </si>
  <si>
    <t>FCT-ABUJA</t>
  </si>
  <si>
    <t>ABAJI</t>
  </si>
  <si>
    <t>GWARZO</t>
  </si>
  <si>
    <t>ABUJA MUNICIPAL</t>
  </si>
  <si>
    <t>KABO</t>
  </si>
  <si>
    <t>BWARI</t>
  </si>
  <si>
    <t>KANO MUNICIPAL</t>
  </si>
  <si>
    <t>GWAGWALADA</t>
  </si>
  <si>
    <t>KARAYE</t>
  </si>
  <si>
    <t>KUJE</t>
  </si>
  <si>
    <t>KIBIYA</t>
  </si>
  <si>
    <t>KWALI</t>
  </si>
  <si>
    <t>KIRU</t>
  </si>
  <si>
    <t>FCT-ABUJA TOTAL</t>
  </si>
  <si>
    <t>KUMBOTSO</t>
  </si>
  <si>
    <t>Grand Total</t>
  </si>
  <si>
    <t>`</t>
  </si>
  <si>
    <t>Total Ecology Fund</t>
  </si>
  <si>
    <t>VAT</t>
  </si>
  <si>
    <t>S/N</t>
  </si>
  <si>
    <t>Gross Statutory Allocation (Ecology)</t>
  </si>
  <si>
    <t>STATE</t>
  </si>
  <si>
    <t>ABIA  LGCS</t>
  </si>
  <si>
    <t>ADAMAWA  LGCS</t>
  </si>
  <si>
    <t>AKWA IBOM  LGCS</t>
  </si>
  <si>
    <t>ANAMBRA  LGCS</t>
  </si>
  <si>
    <t>BAUCHI  LGCS</t>
  </si>
  <si>
    <t>BAYELSA  LGCS</t>
  </si>
  <si>
    <t>BENUE  LGCS</t>
  </si>
  <si>
    <t>BORNO  LGCS</t>
  </si>
  <si>
    <t>CROSS RIVER  LGCS</t>
  </si>
  <si>
    <t>DELTA  LGCS</t>
  </si>
  <si>
    <t>EBONYI  LGCS</t>
  </si>
  <si>
    <t>EDO  LGCS</t>
  </si>
  <si>
    <t>EKITI  LGCS</t>
  </si>
  <si>
    <t>ENUGU  LGCS</t>
  </si>
  <si>
    <t>GOMBE  LGCS</t>
  </si>
  <si>
    <t>IMO  LGCS</t>
  </si>
  <si>
    <t>JIGAWA  LGCS</t>
  </si>
  <si>
    <t>KADUNA  LGCS</t>
  </si>
  <si>
    <t>KANO  LGCS</t>
  </si>
  <si>
    <t>KATSINA  LGCS</t>
  </si>
  <si>
    <t>KEBBI  LGCS</t>
  </si>
  <si>
    <t>KOGI  LGCS</t>
  </si>
  <si>
    <t>KWARA  LGCS</t>
  </si>
  <si>
    <t>LAGOS  LGCS</t>
  </si>
  <si>
    <t>NASSARAWA  LGCS</t>
  </si>
  <si>
    <t>NIGER  LGCS</t>
  </si>
  <si>
    <t>OGUN  LGCS</t>
  </si>
  <si>
    <t>ONDO  LGCS</t>
  </si>
  <si>
    <t>OSUN  LGCS</t>
  </si>
  <si>
    <t>OYO  LGCS</t>
  </si>
  <si>
    <t>PLATEAU  LGCS</t>
  </si>
  <si>
    <t>RIVERS  LGCS</t>
  </si>
  <si>
    <t>SOKOTO  LGCS</t>
  </si>
  <si>
    <t>TARABA  LGCS</t>
  </si>
  <si>
    <t>YOBE  LGCS</t>
  </si>
  <si>
    <t>ZAMFARA  LGCS</t>
  </si>
  <si>
    <t>FCT-ABUJA  LGCS</t>
  </si>
  <si>
    <t>S/NO</t>
  </si>
  <si>
    <t>LOCAL GOVERNMENT COUNCILS</t>
  </si>
  <si>
    <t>Total (Ecology)</t>
  </si>
  <si>
    <t>Summary of Gross Revenue Allocation by Federation Account Allocation Committee for the Month of  May, 2026 Shared in June, 2026</t>
  </si>
  <si>
    <t>National Security Emergengy Fund</t>
  </si>
  <si>
    <t>Tax Refund to NRS</t>
  </si>
  <si>
    <t>Summary of Gross Revenue Allocation to FGN by Federation Account Allocation Committee for the Month of May, 2026 Shared in June , 2026</t>
  </si>
  <si>
    <t>Distribution of Revenue Allocation to State Governments by Federation Account Allocation Committee for the month of May, 2026 Shared in June, 2026</t>
  </si>
  <si>
    <t>Details of Distribution of Ecology Revenue Allocation to States by Federation Account Allocation Committee for the month of May, 2026 Shared in June, 2026</t>
  </si>
  <si>
    <t>17=6+11+12+15</t>
  </si>
  <si>
    <t>18=10+11+14+17</t>
  </si>
  <si>
    <t>Summary of Distribution of Revenue Allocation to Local Government Councils by Federation Account Allocation Committee for the month of May, 2026 Shared in June, 2026</t>
  </si>
  <si>
    <t xml:space="preserve"> Distribution of Ecology to Local Government Councils by Federation Account Allocation Committee for the month of  May, 2026 Shared June, 2026</t>
  </si>
  <si>
    <t xml:space="preserve"> Distribution of Ecology to Local Government Councils by Federation Account Allocation Committee for the month of May, 2026 Shared in June, 2026</t>
  </si>
  <si>
    <t xml:space="preserve"> Distribution  of Revenue Allocation to Local Government Councils by Federation Account Allocation Committee for the Month of May, 2026 Shared in June,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</si>
</sst>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 &quot;#,##0.00;\-&quot; &quot;#,##0.00"/>
    <numFmt numFmtId="165" formatCode="_(* #,##0.00_);_(* \(#,##0.00\);_(* &quot;-&quot;??_);_(@_)"/>
    <numFmt numFmtId="166" formatCode="#,##0.00_ ;\-#,##0.00&quot; &quot;"/>
    <numFmt numFmtId="167" formatCode="#,##0.0000000_ ;\-#,##0.0000000&quot; &quot;"/>
  </numFmts>
  <fonts count="33">
    <font>
      <sz val="10"/>
      <name val="Arial"/>
      <charset val="134"/>
    </font>
    <font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b/>
      <sz val="13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name val="Times New Roman"/>
      <family val="1"/>
    </font>
    <font>
      <b/>
      <sz val="24"/>
      <name val="Times New Roman"/>
      <family val="1"/>
    </font>
    <font>
      <b/>
      <sz val="18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u/>
      <sz val="16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u val="singleAccounting"/>
      <sz val="10"/>
      <name val="Times New Roman"/>
      <family val="1"/>
    </font>
    <font>
      <sz val="18"/>
      <name val="Times New Roman"/>
      <family val="1"/>
    </font>
    <font>
      <b/>
      <u/>
      <sz val="14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b/>
      <sz val="22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b/>
      <sz val="22"/>
      <name val="Times New Roman"/>
      <family val="1"/>
    </font>
    <font>
      <b/>
      <sz val="1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8">
    <xf numFmtId="0" fontId="0" fillId="0" borderId="0"/>
    <xf numFmtId="165" fontId="3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</cellStyleXfs>
  <cellXfs count="20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2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 wrapText="1"/>
    </xf>
    <xf numFmtId="165" fontId="3" fillId="0" borderId="3" xfId="1" applyFont="1" applyBorder="1" applyAlignment="1">
      <alignment horizontal="center" wrapText="1"/>
    </xf>
    <xf numFmtId="165" fontId="5" fillId="0" borderId="1" xfId="1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8" fillId="0" borderId="1" xfId="2" applyFont="1" applyBorder="1" applyAlignment="1">
      <alignment horizontal="right" wrapText="1"/>
    </xf>
    <xf numFmtId="0" fontId="8" fillId="0" borderId="1" xfId="2" applyFont="1" applyBorder="1" applyAlignment="1">
      <alignment wrapText="1"/>
    </xf>
    <xf numFmtId="164" fontId="8" fillId="0" borderId="1" xfId="2" applyNumberFormat="1" applyFont="1" applyBorder="1" applyAlignment="1">
      <alignment horizontal="right" wrapText="1"/>
    </xf>
    <xf numFmtId="164" fontId="9" fillId="0" borderId="1" xfId="0" applyNumberFormat="1" applyFont="1" applyBorder="1"/>
    <xf numFmtId="164" fontId="1" fillId="0" borderId="0" xfId="0" applyNumberFormat="1" applyFont="1"/>
    <xf numFmtId="165" fontId="1" fillId="0" borderId="0" xfId="1" applyFont="1"/>
    <xf numFmtId="0" fontId="9" fillId="0" borderId="1" xfId="0" applyFont="1" applyBorder="1"/>
    <xf numFmtId="164" fontId="3" fillId="0" borderId="1" xfId="0" applyNumberFormat="1" applyFont="1" applyBorder="1"/>
    <xf numFmtId="0" fontId="10" fillId="2" borderId="1" xfId="4" applyFont="1" applyFill="1" applyBorder="1" applyAlignment="1">
      <alignment horizontal="center"/>
    </xf>
    <xf numFmtId="165" fontId="3" fillId="0" borderId="1" xfId="1" applyFont="1" applyBorder="1" applyAlignment="1">
      <alignment wrapText="1"/>
    </xf>
    <xf numFmtId="0" fontId="11" fillId="2" borderId="1" xfId="4" applyFont="1" applyFill="1" applyBorder="1" applyAlignment="1">
      <alignment horizontal="center"/>
    </xf>
    <xf numFmtId="0" fontId="8" fillId="0" borderId="1" xfId="4" applyFont="1" applyBorder="1" applyAlignment="1">
      <alignment horizontal="right" wrapText="1"/>
    </xf>
    <xf numFmtId="0" fontId="8" fillId="0" borderId="1" xfId="4" applyFont="1" applyBorder="1" applyAlignment="1">
      <alignment wrapText="1"/>
    </xf>
    <xf numFmtId="164" fontId="8" fillId="0" borderId="1" xfId="4" applyNumberFormat="1" applyFont="1" applyBorder="1" applyAlignment="1">
      <alignment horizontal="right" wrapText="1"/>
    </xf>
    <xf numFmtId="39" fontId="9" fillId="0" borderId="1" xfId="0" applyNumberFormat="1" applyFont="1" applyBorder="1"/>
    <xf numFmtId="0" fontId="9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Font="1" applyBorder="1" applyAlignment="1">
      <alignment wrapText="1"/>
    </xf>
    <xf numFmtId="0" fontId="3" fillId="0" borderId="0" xfId="0" applyFont="1" applyAlignment="1">
      <alignment wrapText="1"/>
    </xf>
    <xf numFmtId="0" fontId="8" fillId="2" borderId="1" xfId="6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6" applyFont="1" applyBorder="1" applyAlignment="1">
      <alignment horizontal="right" wrapText="1"/>
    </xf>
    <xf numFmtId="0" fontId="8" fillId="0" borderId="1" xfId="6" applyFont="1" applyBorder="1" applyAlignment="1">
      <alignment wrapText="1"/>
    </xf>
    <xf numFmtId="165" fontId="9" fillId="0" borderId="1" xfId="1" applyFont="1" applyBorder="1"/>
    <xf numFmtId="43" fontId="9" fillId="0" borderId="1" xfId="0" applyNumberFormat="1" applyFont="1" applyBorder="1"/>
    <xf numFmtId="43" fontId="9" fillId="0" borderId="0" xfId="0" applyNumberFormat="1" applyFont="1"/>
    <xf numFmtId="165" fontId="9" fillId="0" borderId="0" xfId="0" applyNumberFormat="1" applyFont="1"/>
    <xf numFmtId="165" fontId="3" fillId="0" borderId="1" xfId="0" applyNumberFormat="1" applyFont="1" applyBorder="1"/>
    <xf numFmtId="165" fontId="3" fillId="0" borderId="0" xfId="0" applyNumberFormat="1" applyFont="1"/>
    <xf numFmtId="165" fontId="12" fillId="0" borderId="1" xfId="1" applyFont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165" fontId="7" fillId="0" borderId="1" xfId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5" fillId="2" borderId="1" xfId="7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5" fillId="2" borderId="4" xfId="7" applyFont="1" applyFill="1" applyBorder="1" applyAlignment="1">
      <alignment horizontal="center" wrapText="1"/>
    </xf>
    <xf numFmtId="0" fontId="8" fillId="0" borderId="1" xfId="3" applyFont="1" applyBorder="1" applyAlignment="1">
      <alignment horizontal="right" wrapText="1"/>
    </xf>
    <xf numFmtId="0" fontId="8" fillId="0" borderId="1" xfId="3" applyFont="1" applyBorder="1" applyAlignment="1">
      <alignment wrapText="1"/>
    </xf>
    <xf numFmtId="165" fontId="8" fillId="0" borderId="1" xfId="1" applyFont="1" applyBorder="1" applyAlignment="1">
      <alignment wrapText="1"/>
    </xf>
    <xf numFmtId="164" fontId="8" fillId="0" borderId="1" xfId="3" applyNumberFormat="1" applyFont="1" applyBorder="1" applyAlignment="1">
      <alignment horizontal="right" wrapText="1"/>
    </xf>
    <xf numFmtId="166" fontId="9" fillId="0" borderId="1" xfId="0" applyNumberFormat="1" applyFont="1" applyBorder="1"/>
    <xf numFmtId="167" fontId="9" fillId="0" borderId="0" xfId="0" applyNumberFormat="1" applyFont="1"/>
    <xf numFmtId="0" fontId="1" fillId="0" borderId="0" xfId="0" applyFont="1" applyAlignment="1">
      <alignment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" fillId="3" borderId="0" xfId="0" applyFont="1" applyFill="1"/>
    <xf numFmtId="0" fontId="1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5" fontId="1" fillId="0" borderId="1" xfId="1" applyFont="1" applyBorder="1"/>
    <xf numFmtId="165" fontId="16" fillId="0" borderId="1" xfId="0" applyNumberFormat="1" applyFont="1" applyBorder="1"/>
    <xf numFmtId="1" fontId="1" fillId="0" borderId="1" xfId="0" applyNumberFormat="1" applyFont="1" applyBorder="1"/>
    <xf numFmtId="165" fontId="16" fillId="0" borderId="7" xfId="1" applyFont="1" applyBorder="1"/>
    <xf numFmtId="165" fontId="16" fillId="0" borderId="1" xfId="1" applyFont="1" applyBorder="1"/>
    <xf numFmtId="0" fontId="16" fillId="0" borderId="3" xfId="0" applyFont="1" applyBorder="1" applyAlignment="1">
      <alignment vertical="center"/>
    </xf>
    <xf numFmtId="0" fontId="1" fillId="0" borderId="7" xfId="0" applyFont="1" applyBorder="1"/>
    <xf numFmtId="0" fontId="1" fillId="0" borderId="3" xfId="0" applyFont="1" applyBorder="1"/>
    <xf numFmtId="1" fontId="1" fillId="0" borderId="4" xfId="0" applyNumberFormat="1" applyFont="1" applyBorder="1"/>
    <xf numFmtId="165" fontId="1" fillId="0" borderId="5" xfId="1" applyFont="1" applyBorder="1"/>
    <xf numFmtId="165" fontId="1" fillId="0" borderId="1" xfId="1" applyFont="1" applyBorder="1" applyAlignment="1">
      <alignment wrapText="1"/>
    </xf>
    <xf numFmtId="165" fontId="1" fillId="0" borderId="1" xfId="1" applyFont="1" applyBorder="1" applyAlignment="1">
      <alignment horizontal="left" wrapText="1"/>
    </xf>
    <xf numFmtId="165" fontId="1" fillId="0" borderId="0" xfId="0" applyNumberFormat="1" applyFont="1"/>
    <xf numFmtId="164" fontId="19" fillId="0" borderId="1" xfId="5" applyNumberFormat="1" applyFont="1" applyBorder="1" applyAlignment="1">
      <alignment horizontal="right" wrapText="1"/>
    </xf>
    <xf numFmtId="4" fontId="19" fillId="0" borderId="1" xfId="0" applyNumberFormat="1" applyFont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0" fontId="16" fillId="3" borderId="0" xfId="0" applyFont="1" applyFill="1"/>
    <xf numFmtId="165" fontId="16" fillId="0" borderId="11" xfId="1" applyFont="1" applyBorder="1"/>
    <xf numFmtId="165" fontId="16" fillId="0" borderId="12" xfId="1" applyFont="1" applyBorder="1"/>
    <xf numFmtId="165" fontId="16" fillId="0" borderId="13" xfId="1" applyFon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65" fontId="16" fillId="4" borderId="1" xfId="0" applyNumberFormat="1" applyFont="1" applyFill="1" applyBorder="1"/>
    <xf numFmtId="0" fontId="1" fillId="0" borderId="10" xfId="0" applyFont="1" applyBorder="1"/>
    <xf numFmtId="165" fontId="1" fillId="4" borderId="0" xfId="0" applyNumberFormat="1" applyFont="1" applyFill="1"/>
    <xf numFmtId="165" fontId="1" fillId="0" borderId="8" xfId="1" applyFont="1" applyFill="1" applyBorder="1"/>
    <xf numFmtId="43" fontId="21" fillId="0" borderId="0" xfId="0" applyNumberFormat="1" applyFont="1"/>
    <xf numFmtId="43" fontId="1" fillId="0" borderId="0" xfId="0" applyNumberFormat="1" applyFont="1"/>
    <xf numFmtId="0" fontId="1" fillId="4" borderId="0" xfId="0" applyFont="1" applyFill="1"/>
    <xf numFmtId="0" fontId="24" fillId="0" borderId="1" xfId="0" applyFont="1" applyBorder="1"/>
    <xf numFmtId="39" fontId="24" fillId="0" borderId="1" xfId="0" applyNumberFormat="1" applyFont="1" applyBorder="1"/>
    <xf numFmtId="37" fontId="24" fillId="0" borderId="1" xfId="0" applyNumberFormat="1" applyFont="1" applyBorder="1" applyAlignment="1">
      <alignment horizontal="center"/>
    </xf>
    <xf numFmtId="165" fontId="24" fillId="0" borderId="1" xfId="1" applyFont="1" applyBorder="1"/>
    <xf numFmtId="165" fontId="24" fillId="0" borderId="1" xfId="0" applyNumberFormat="1" applyFont="1" applyBorder="1"/>
    <xf numFmtId="165" fontId="7" fillId="0" borderId="5" xfId="0" applyNumberFormat="1" applyFont="1" applyBorder="1"/>
    <xf numFmtId="0" fontId="24" fillId="0" borderId="1" xfId="0" applyFont="1" applyBorder="1" applyAlignment="1">
      <alignment horizontal="center"/>
    </xf>
    <xf numFmtId="165" fontId="7" fillId="0" borderId="1" xfId="1" applyFont="1" applyBorder="1"/>
    <xf numFmtId="0" fontId="1" fillId="4" borderId="0" xfId="0" applyFont="1" applyFill="1" applyAlignment="1">
      <alignment horizontal="right"/>
    </xf>
    <xf numFmtId="43" fontId="1" fillId="4" borderId="0" xfId="0" applyNumberFormat="1" applyFont="1" applyFill="1"/>
    <xf numFmtId="165" fontId="16" fillId="4" borderId="8" xfId="1" applyFont="1" applyFill="1" applyBorder="1"/>
    <xf numFmtId="165" fontId="1" fillId="4" borderId="0" xfId="0" applyNumberFormat="1" applyFont="1" applyFill="1" applyAlignment="1">
      <alignment horizontal="right"/>
    </xf>
    <xf numFmtId="0" fontId="16" fillId="0" borderId="0" xfId="0" applyFont="1"/>
    <xf numFmtId="0" fontId="25" fillId="0" borderId="0" xfId="0" applyFont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165" fontId="25" fillId="0" borderId="0" xfId="1" applyFont="1"/>
    <xf numFmtId="0" fontId="25" fillId="0" borderId="1" xfId="0" applyFont="1" applyBorder="1"/>
    <xf numFmtId="165" fontId="2" fillId="0" borderId="1" xfId="1" applyFont="1" applyBorder="1" applyAlignment="1"/>
    <xf numFmtId="165" fontId="2" fillId="0" borderId="1" xfId="0" applyNumberFormat="1" applyFont="1" applyBorder="1"/>
    <xf numFmtId="165" fontId="25" fillId="0" borderId="0" xfId="0" applyNumberFormat="1" applyFont="1"/>
    <xf numFmtId="165" fontId="2" fillId="0" borderId="1" xfId="1" applyFont="1" applyBorder="1" applyAlignment="1">
      <alignment horizontal="center"/>
    </xf>
    <xf numFmtId="0" fontId="28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43" fontId="25" fillId="0" borderId="0" xfId="0" applyNumberFormat="1" applyFont="1"/>
    <xf numFmtId="43" fontId="2" fillId="0" borderId="0" xfId="0" applyNumberFormat="1" applyFont="1" applyAlignment="1">
      <alignment horizontal="center" wrapText="1"/>
    </xf>
    <xf numFmtId="165" fontId="2" fillId="0" borderId="0" xfId="1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165" fontId="25" fillId="0" borderId="1" xfId="1" applyFont="1" applyBorder="1"/>
    <xf numFmtId="165" fontId="25" fillId="0" borderId="3" xfId="1" applyFont="1" applyBorder="1"/>
    <xf numFmtId="165" fontId="25" fillId="0" borderId="5" xfId="1" applyFont="1" applyBorder="1"/>
    <xf numFmtId="165" fontId="2" fillId="0" borderId="17" xfId="1" applyFont="1" applyBorder="1"/>
    <xf numFmtId="0" fontId="2" fillId="0" borderId="0" xfId="0" applyFont="1"/>
    <xf numFmtId="165" fontId="2" fillId="0" borderId="0" xfId="1" applyFont="1"/>
    <xf numFmtId="0" fontId="0" fillId="5" borderId="0" xfId="0" applyFill="1" applyProtection="1">
      <protection locked="0"/>
    </xf>
    <xf numFmtId="17" fontId="30" fillId="5" borderId="0" xfId="0" applyNumberFormat="1" applyFont="1" applyFill="1"/>
    <xf numFmtId="2" fontId="0" fillId="0" borderId="0" xfId="0" applyNumberFormat="1"/>
    <xf numFmtId="17" fontId="0" fillId="0" borderId="0" xfId="0" applyNumberFormat="1"/>
    <xf numFmtId="0" fontId="14" fillId="0" borderId="1" xfId="0" quotePrefix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6" fillId="0" borderId="15" xfId="0" applyFont="1" applyBorder="1" applyAlignment="1">
      <alignment horizontal="center" wrapText="1"/>
    </xf>
    <xf numFmtId="0" fontId="29" fillId="0" borderId="16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7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8">
    <cellStyle name="Comma" xfId="1" builtinId="3"/>
    <cellStyle name="Normal" xfId="0" builtinId="0"/>
    <cellStyle name="Normal_ECO INDIVIDUALS LGCS NOV 22" xfId="2" xr:uid="{00000000-0005-0000-0000-000002000000}"/>
    <cellStyle name="Normal_lgc eco dec 21" xfId="3" xr:uid="{00000000-0005-0000-0000-000005000000}"/>
    <cellStyle name="Normal_LGCs Ceo oct 23" xfId="4" xr:uid="{00000000-0005-0000-0000-000006000000}"/>
    <cellStyle name="Normal_lgcs data" xfId="5" xr:uid="{00000000-0005-0000-0000-000007000000}"/>
    <cellStyle name="Normal_states eco dec 21" xfId="6" xr:uid="{00000000-0005-0000-0000-00000A000000}"/>
    <cellStyle name="Normal_TOTALDATA_1" xfId="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A20" sqref="A20"/>
    </sheetView>
  </sheetViews>
  <sheetFormatPr defaultColWidth="9" defaultRowHeight="12.75"/>
  <cols>
    <col min="2" max="2" width="23" customWidth="1"/>
    <col min="6" max="6" width="24.59765625" customWidth="1"/>
  </cols>
  <sheetData>
    <row r="1" spans="1:8" ht="23.1" customHeight="1">
      <c r="B1">
        <f ca="1">MONTH(NOW())</f>
        <v>8</v>
      </c>
      <c r="C1">
        <f ca="1">YEAR(NOW())</f>
        <v>2026</v>
      </c>
    </row>
    <row r="2" spans="1:8" ht="23.1" customHeight="1"/>
    <row r="3" spans="1:8" ht="23.1" customHeight="1">
      <c r="B3" t="s">
        <v>0</v>
      </c>
      <c r="F3" t="s">
        <v>1</v>
      </c>
    </row>
    <row r="4" spans="1:8" ht="23.1" customHeight="1">
      <c r="B4" t="s">
        <v>2</v>
      </c>
      <c r="C4" t="s">
        <v>3</v>
      </c>
      <c r="D4" t="s">
        <v>4</v>
      </c>
      <c r="F4" t="s">
        <v>2</v>
      </c>
      <c r="G4" t="s">
        <v>3</v>
      </c>
      <c r="H4" t="s">
        <v>4</v>
      </c>
    </row>
    <row r="5" spans="1:8" ht="23.1" customHeight="1">
      <c r="B5" s="135" t="e">
        <f>IF(G5=1,F5-1,F5)</f>
        <v>#REF!</v>
      </c>
      <c r="C5" s="135" t="e">
        <f>IF(G5=1,12,G5-1)</f>
        <v>#REF!</v>
      </c>
      <c r="F5" t="e">
        <f>YEAR(ACCTDATE)</f>
        <v>#REF!</v>
      </c>
      <c r="G5" t="e">
        <f>MONTH(ACCTDATE)</f>
        <v>#REF!</v>
      </c>
    </row>
    <row r="6" spans="1:8" ht="23.1" customHeight="1">
      <c r="B6" s="136" t="e">
        <f>LOOKUP(C5,A8:B19)</f>
        <v>#REF!</v>
      </c>
      <c r="F6" s="136" t="e">
        <f>IF(G5=1,LOOKUP(G5,E8:F19),LOOKUP(G5,A8:B19))</f>
        <v>#REF!</v>
      </c>
    </row>
    <row r="8" spans="1:8">
      <c r="A8">
        <v>1</v>
      </c>
      <c r="B8" s="137" t="e">
        <f>D8&amp;"-"&amp;RIGHT(B$5,2)</f>
        <v>#REF!</v>
      </c>
      <c r="D8" s="138" t="s">
        <v>5</v>
      </c>
      <c r="E8">
        <v>1</v>
      </c>
      <c r="F8" s="137" t="e">
        <f>D8&amp;"-"&amp;RIGHT(F$5,2)</f>
        <v>#REF!</v>
      </c>
    </row>
    <row r="9" spans="1:8">
      <c r="A9">
        <v>2</v>
      </c>
      <c r="B9" s="137" t="e">
        <f t="shared" ref="B9:B19" si="0">D9&amp;"-"&amp;RIGHT(B$5,2)</f>
        <v>#REF!</v>
      </c>
      <c r="D9" s="138" t="s">
        <v>6</v>
      </c>
      <c r="E9">
        <v>2</v>
      </c>
      <c r="F9" s="137" t="e">
        <f t="shared" ref="F9:F19" si="1">D9&amp;"-"&amp;RIGHT(F$5,2)</f>
        <v>#REF!</v>
      </c>
    </row>
    <row r="10" spans="1:8">
      <c r="A10">
        <v>3</v>
      </c>
      <c r="B10" s="137" t="e">
        <f t="shared" si="0"/>
        <v>#REF!</v>
      </c>
      <c r="D10" s="138" t="s">
        <v>7</v>
      </c>
      <c r="E10">
        <v>3</v>
      </c>
      <c r="F10" s="137" t="e">
        <f t="shared" si="1"/>
        <v>#REF!</v>
      </c>
    </row>
    <row r="11" spans="1:8">
      <c r="A11">
        <v>4</v>
      </c>
      <c r="B11" s="137" t="e">
        <f t="shared" si="0"/>
        <v>#REF!</v>
      </c>
      <c r="D11" s="138" t="s">
        <v>8</v>
      </c>
      <c r="E11">
        <v>4</v>
      </c>
      <c r="F11" s="137" t="e">
        <f t="shared" si="1"/>
        <v>#REF!</v>
      </c>
    </row>
    <row r="12" spans="1:8">
      <c r="A12">
        <v>5</v>
      </c>
      <c r="B12" s="137" t="e">
        <f t="shared" si="0"/>
        <v>#REF!</v>
      </c>
      <c r="D12" s="138" t="s">
        <v>9</v>
      </c>
      <c r="E12">
        <v>5</v>
      </c>
      <c r="F12" s="137" t="e">
        <f t="shared" si="1"/>
        <v>#REF!</v>
      </c>
    </row>
    <row r="13" spans="1:8">
      <c r="A13">
        <v>6</v>
      </c>
      <c r="B13" s="137" t="e">
        <f t="shared" si="0"/>
        <v>#REF!</v>
      </c>
      <c r="D13" s="138" t="s">
        <v>10</v>
      </c>
      <c r="E13">
        <v>6</v>
      </c>
      <c r="F13" s="137" t="e">
        <f t="shared" si="1"/>
        <v>#REF!</v>
      </c>
    </row>
    <row r="14" spans="1:8">
      <c r="A14">
        <v>7</v>
      </c>
      <c r="B14" s="137" t="e">
        <f t="shared" si="0"/>
        <v>#REF!</v>
      </c>
      <c r="D14" s="138" t="s">
        <v>11</v>
      </c>
      <c r="E14">
        <v>7</v>
      </c>
      <c r="F14" s="137" t="e">
        <f t="shared" si="1"/>
        <v>#REF!</v>
      </c>
    </row>
    <row r="15" spans="1:8">
      <c r="A15">
        <v>8</v>
      </c>
      <c r="B15" s="137" t="e">
        <f t="shared" si="0"/>
        <v>#REF!</v>
      </c>
      <c r="D15" s="138" t="s">
        <v>12</v>
      </c>
      <c r="E15">
        <v>8</v>
      </c>
      <c r="F15" s="137" t="e">
        <f t="shared" si="1"/>
        <v>#REF!</v>
      </c>
    </row>
    <row r="16" spans="1:8">
      <c r="A16">
        <v>9</v>
      </c>
      <c r="B16" s="137" t="e">
        <f t="shared" si="0"/>
        <v>#REF!</v>
      </c>
      <c r="D16" s="138" t="s">
        <v>13</v>
      </c>
      <c r="E16">
        <v>9</v>
      </c>
      <c r="F16" s="137" t="e">
        <f t="shared" si="1"/>
        <v>#REF!</v>
      </c>
    </row>
    <row r="17" spans="1:6">
      <c r="A17">
        <v>10</v>
      </c>
      <c r="B17" s="137" t="e">
        <f t="shared" si="0"/>
        <v>#REF!</v>
      </c>
      <c r="D17" s="138" t="s">
        <v>14</v>
      </c>
      <c r="E17">
        <v>10</v>
      </c>
      <c r="F17" s="137" t="e">
        <f t="shared" si="1"/>
        <v>#REF!</v>
      </c>
    </row>
    <row r="18" spans="1:6">
      <c r="A18">
        <v>11</v>
      </c>
      <c r="B18" s="137" t="e">
        <f t="shared" si="0"/>
        <v>#REF!</v>
      </c>
      <c r="D18" s="138" t="s">
        <v>15</v>
      </c>
      <c r="E18">
        <v>11</v>
      </c>
      <c r="F18" s="137" t="e">
        <f t="shared" si="1"/>
        <v>#REF!</v>
      </c>
    </row>
    <row r="19" spans="1:6">
      <c r="A19">
        <v>12</v>
      </c>
      <c r="B19" s="137" t="e">
        <f t="shared" si="0"/>
        <v>#REF!</v>
      </c>
      <c r="D19" s="138" t="s">
        <v>16</v>
      </c>
      <c r="E19">
        <v>12</v>
      </c>
      <c r="F19" s="137" t="e">
        <f t="shared" si="1"/>
        <v>#REF!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43"/>
  <sheetViews>
    <sheetView tabSelected="1" topLeftCell="A20" zoomScale="60" zoomScaleNormal="60" workbookViewId="0">
      <selection activeCell="N33" sqref="N33"/>
    </sheetView>
  </sheetViews>
  <sheetFormatPr defaultColWidth="9.1328125" defaultRowHeight="20.25"/>
  <cols>
    <col min="1" max="1" width="6.265625" style="110" customWidth="1"/>
    <col min="2" max="2" width="27.73046875" style="110" customWidth="1"/>
    <col min="3" max="3" width="29.19921875" style="110" bestFit="1" customWidth="1"/>
    <col min="4" max="4" width="27.9296875" style="110" bestFit="1" customWidth="1"/>
    <col min="5" max="5" width="29.19921875" style="110" bestFit="1" customWidth="1"/>
    <col min="6" max="6" width="25.3984375" style="110" bestFit="1" customWidth="1"/>
    <col min="7" max="7" width="26.9296875" style="110" bestFit="1" customWidth="1"/>
    <col min="8" max="8" width="11.06640625" style="110" customWidth="1"/>
    <col min="9" max="16384" width="9.1328125" style="110"/>
  </cols>
  <sheetData>
    <row r="1" spans="1:8" ht="30" customHeight="1">
      <c r="A1" s="148" t="s">
        <v>17</v>
      </c>
      <c r="B1" s="148"/>
      <c r="C1" s="148"/>
      <c r="D1" s="148"/>
      <c r="E1" s="148"/>
    </row>
    <row r="2" spans="1:8" ht="30" customHeight="1">
      <c r="A2" s="149" t="s">
        <v>18</v>
      </c>
      <c r="B2" s="149"/>
      <c r="C2" s="149"/>
      <c r="D2" s="149"/>
      <c r="E2" s="149"/>
    </row>
    <row r="3" spans="1:8" ht="30" customHeight="1">
      <c r="A3" s="149" t="s">
        <v>19</v>
      </c>
      <c r="B3" s="149"/>
      <c r="C3" s="149"/>
      <c r="D3" s="149"/>
      <c r="E3" s="149"/>
    </row>
    <row r="4" spans="1:8" ht="51.6" customHeight="1">
      <c r="A4" s="150" t="s">
        <v>979</v>
      </c>
      <c r="B4" s="150"/>
      <c r="C4" s="150"/>
      <c r="D4" s="150"/>
      <c r="E4" s="150"/>
    </row>
    <row r="5" spans="1:8" ht="76.150000000000006" customHeight="1">
      <c r="A5" s="111" t="s">
        <v>20</v>
      </c>
      <c r="B5" s="112" t="s">
        <v>21</v>
      </c>
      <c r="C5" s="112" t="s">
        <v>22</v>
      </c>
      <c r="D5" s="114" t="s">
        <v>23</v>
      </c>
      <c r="E5" s="112" t="s">
        <v>24</v>
      </c>
    </row>
    <row r="6" spans="1:8" ht="30" customHeight="1">
      <c r="A6" s="2"/>
      <c r="B6" s="2"/>
      <c r="C6" s="139" t="s">
        <v>25</v>
      </c>
      <c r="D6" s="139" t="s">
        <v>25</v>
      </c>
      <c r="E6" s="139" t="s">
        <v>25</v>
      </c>
      <c r="F6" s="115"/>
      <c r="G6" s="115"/>
    </row>
    <row r="7" spans="1:8" ht="30" customHeight="1">
      <c r="A7" s="116">
        <v>1</v>
      </c>
      <c r="B7" s="116" t="s">
        <v>26</v>
      </c>
      <c r="C7" s="117">
        <v>749801586689.9646</v>
      </c>
      <c r="D7" s="118">
        <v>68878498685.593994</v>
      </c>
      <c r="E7" s="117">
        <f>C7+D7</f>
        <v>818680085375.55859</v>
      </c>
      <c r="F7" s="119"/>
      <c r="G7" s="115"/>
      <c r="H7" s="115"/>
    </row>
    <row r="8" spans="1:8" ht="30" customHeight="1">
      <c r="A8" s="116">
        <v>2</v>
      </c>
      <c r="B8" s="116" t="s">
        <v>27</v>
      </c>
      <c r="C8" s="117">
        <v>380309384896.65637</v>
      </c>
      <c r="D8" s="120">
        <v>378831742770.76703</v>
      </c>
      <c r="E8" s="117">
        <f t="shared" ref="E8:E20" si="0">C8+D8</f>
        <v>759141127667.42334</v>
      </c>
      <c r="F8" s="119"/>
      <c r="G8" s="115"/>
      <c r="H8" s="115"/>
    </row>
    <row r="9" spans="1:8" ht="30" customHeight="1">
      <c r="A9" s="116">
        <v>3</v>
      </c>
      <c r="B9" s="116" t="s">
        <v>28</v>
      </c>
      <c r="C9" s="117">
        <v>293202594643.38019</v>
      </c>
      <c r="D9" s="120">
        <v>241074745399.57889</v>
      </c>
      <c r="E9" s="117">
        <f t="shared" si="0"/>
        <v>534277340042.95911</v>
      </c>
      <c r="F9" s="119"/>
      <c r="G9" s="115"/>
      <c r="H9" s="115"/>
    </row>
    <row r="10" spans="1:8" ht="30" customHeight="1">
      <c r="A10" s="116">
        <v>4</v>
      </c>
      <c r="B10" s="116" t="s">
        <v>29</v>
      </c>
      <c r="C10" s="117">
        <v>188131688264.32999</v>
      </c>
      <c r="D10" s="120">
        <v>0</v>
      </c>
      <c r="E10" s="117">
        <f t="shared" si="0"/>
        <v>188131688264.32999</v>
      </c>
      <c r="F10" s="119"/>
      <c r="G10" s="115"/>
      <c r="H10" s="115"/>
    </row>
    <row r="11" spans="1:8" ht="30" customHeight="1">
      <c r="A11" s="116">
        <v>5</v>
      </c>
      <c r="B11" s="121" t="s">
        <v>30</v>
      </c>
      <c r="C11" s="117">
        <f>33896866710.03+21050966930.98</f>
        <v>54947833641.009995</v>
      </c>
      <c r="D11" s="120">
        <v>29746706407.080002</v>
      </c>
      <c r="E11" s="117">
        <f t="shared" si="0"/>
        <v>84694540048.089996</v>
      </c>
      <c r="F11" s="119"/>
      <c r="G11" s="115"/>
      <c r="H11" s="115"/>
    </row>
    <row r="12" spans="1:8" ht="30" customHeight="1">
      <c r="A12" s="116">
        <v>6</v>
      </c>
      <c r="B12" s="122" t="s">
        <v>31</v>
      </c>
      <c r="C12" s="117">
        <v>38851411817.529999</v>
      </c>
      <c r="D12" s="120">
        <v>0</v>
      </c>
      <c r="E12" s="117">
        <f t="shared" si="0"/>
        <v>38851411817.529999</v>
      </c>
      <c r="F12" s="119"/>
      <c r="G12" s="115"/>
      <c r="H12" s="115"/>
    </row>
    <row r="13" spans="1:8" ht="30" customHeight="1">
      <c r="A13" s="116">
        <v>7</v>
      </c>
      <c r="B13" s="122" t="s">
        <v>32</v>
      </c>
      <c r="C13" s="117">
        <v>6621184969.2399998</v>
      </c>
      <c r="D13" s="120">
        <v>0</v>
      </c>
      <c r="E13" s="117">
        <f t="shared" si="0"/>
        <v>6621184969.2399998</v>
      </c>
      <c r="F13" s="119"/>
      <c r="G13" s="115"/>
      <c r="H13" s="115"/>
    </row>
    <row r="14" spans="1:8" ht="60.75">
      <c r="A14" s="116">
        <v>8</v>
      </c>
      <c r="B14" s="122" t="s">
        <v>33</v>
      </c>
      <c r="C14" s="120">
        <v>18163078852.380001</v>
      </c>
      <c r="D14" s="120">
        <v>0</v>
      </c>
      <c r="E14" s="117">
        <f t="shared" si="0"/>
        <v>18163078852.380001</v>
      </c>
      <c r="F14" s="119"/>
      <c r="G14" s="115"/>
      <c r="H14" s="115"/>
    </row>
    <row r="15" spans="1:8" ht="42.75" customHeight="1">
      <c r="A15" s="116">
        <v>9</v>
      </c>
      <c r="B15" s="122" t="s">
        <v>34</v>
      </c>
      <c r="C15" s="120">
        <v>0</v>
      </c>
      <c r="D15" s="120">
        <v>21417628613.099998</v>
      </c>
      <c r="E15" s="117">
        <f t="shared" si="0"/>
        <v>21417628613.099998</v>
      </c>
      <c r="F15" s="119"/>
      <c r="G15" s="115"/>
      <c r="H15" s="115"/>
    </row>
    <row r="16" spans="1:8" ht="42.75" customHeight="1">
      <c r="A16" s="116">
        <v>10</v>
      </c>
      <c r="B16" s="122" t="s">
        <v>980</v>
      </c>
      <c r="C16" s="120">
        <v>500000000000</v>
      </c>
      <c r="D16" s="120">
        <v>0</v>
      </c>
      <c r="E16" s="117">
        <f t="shared" si="0"/>
        <v>500000000000</v>
      </c>
      <c r="F16" s="119"/>
      <c r="G16" s="115"/>
      <c r="H16" s="115"/>
    </row>
    <row r="17" spans="1:8" ht="45" customHeight="1">
      <c r="A17" s="116">
        <v>11</v>
      </c>
      <c r="B17" s="122" t="s">
        <v>35</v>
      </c>
      <c r="C17" s="120">
        <v>50000000000</v>
      </c>
      <c r="D17" s="117">
        <v>0</v>
      </c>
      <c r="E17" s="117">
        <f t="shared" si="0"/>
        <v>50000000000</v>
      </c>
      <c r="F17" s="119"/>
      <c r="G17" s="115"/>
      <c r="H17" s="115"/>
    </row>
    <row r="18" spans="1:8" ht="43.9" customHeight="1">
      <c r="A18" s="116">
        <v>12</v>
      </c>
      <c r="B18" s="122" t="s">
        <v>36</v>
      </c>
      <c r="C18" s="120">
        <v>5690142549.0200005</v>
      </c>
      <c r="D18" s="120">
        <v>3718338300.8899999</v>
      </c>
      <c r="E18" s="117">
        <f t="shared" si="0"/>
        <v>9408480849.9099998</v>
      </c>
      <c r="F18" s="119"/>
      <c r="G18" s="115"/>
      <c r="H18" s="115"/>
    </row>
    <row r="19" spans="1:8" ht="43.9" customHeight="1">
      <c r="A19" s="116"/>
      <c r="B19" s="122" t="s">
        <v>37</v>
      </c>
      <c r="C19" s="120">
        <v>266000000000</v>
      </c>
      <c r="D19" s="120"/>
      <c r="E19" s="117">
        <f t="shared" si="0"/>
        <v>266000000000</v>
      </c>
      <c r="F19" s="119"/>
      <c r="G19" s="115"/>
      <c r="H19" s="115"/>
    </row>
    <row r="20" spans="1:8" ht="43.9" customHeight="1">
      <c r="A20" s="116">
        <v>13</v>
      </c>
      <c r="B20" s="122" t="s">
        <v>981</v>
      </c>
      <c r="C20" s="120">
        <v>100000000000</v>
      </c>
      <c r="D20" s="120">
        <v>0</v>
      </c>
      <c r="E20" s="117">
        <f t="shared" si="0"/>
        <v>100000000000</v>
      </c>
      <c r="F20" s="119"/>
      <c r="G20" s="115"/>
      <c r="H20" s="115"/>
    </row>
    <row r="21" spans="1:8" ht="30" customHeight="1">
      <c r="A21" s="116"/>
      <c r="B21" s="113" t="s">
        <v>38</v>
      </c>
      <c r="C21" s="120">
        <f>SUM(C7:C20)</f>
        <v>2651718906323.5112</v>
      </c>
      <c r="D21" s="120">
        <f>SUM(D7:D20)</f>
        <v>743667660177.00989</v>
      </c>
      <c r="E21" s="120">
        <f>SUM(E7:E20)</f>
        <v>3395386566500.521</v>
      </c>
      <c r="F21" s="119"/>
      <c r="G21" s="115"/>
      <c r="H21" s="115"/>
    </row>
    <row r="22" spans="1:8" ht="50.25" customHeight="1">
      <c r="B22" s="124"/>
      <c r="C22" s="125"/>
      <c r="D22" s="125"/>
      <c r="E22" s="125"/>
      <c r="F22" s="119"/>
    </row>
    <row r="23" spans="1:8" ht="35.1" customHeight="1">
      <c r="A23" s="151" t="s">
        <v>39</v>
      </c>
      <c r="B23" s="151"/>
      <c r="C23" s="151"/>
      <c r="D23" s="151"/>
      <c r="E23" s="151"/>
      <c r="F23" s="151"/>
    </row>
    <row r="24" spans="1:8" ht="60" customHeight="1">
      <c r="A24" s="143" t="s">
        <v>982</v>
      </c>
      <c r="B24" s="144"/>
      <c r="C24" s="144"/>
      <c r="D24" s="144"/>
      <c r="E24" s="144"/>
      <c r="F24" s="144"/>
      <c r="G24" s="144"/>
    </row>
    <row r="25" spans="1:8" ht="30" customHeight="1">
      <c r="A25" s="2">
        <v>0</v>
      </c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30"/>
    </row>
    <row r="26" spans="1:8" ht="108" customHeight="1">
      <c r="A26" s="113" t="s">
        <v>20</v>
      </c>
      <c r="B26" s="113" t="s">
        <v>21</v>
      </c>
      <c r="C26" s="126" t="s">
        <v>40</v>
      </c>
      <c r="D26" s="113" t="s">
        <v>41</v>
      </c>
      <c r="E26" s="113" t="s">
        <v>42</v>
      </c>
      <c r="F26" s="113" t="s">
        <v>43</v>
      </c>
      <c r="G26" s="113" t="s">
        <v>24</v>
      </c>
      <c r="H26" s="127"/>
    </row>
    <row r="27" spans="1:8" ht="22.5">
      <c r="A27" s="116"/>
      <c r="B27" s="116"/>
      <c r="C27" s="139" t="s">
        <v>25</v>
      </c>
      <c r="D27" s="139" t="s">
        <v>25</v>
      </c>
      <c r="E27" s="140" t="s">
        <v>25</v>
      </c>
      <c r="F27" s="139" t="s">
        <v>25</v>
      </c>
      <c r="G27" s="139" t="s">
        <v>25</v>
      </c>
      <c r="H27" s="128"/>
    </row>
    <row r="28" spans="1:8" ht="20.25" customHeight="1">
      <c r="A28" s="116">
        <v>1</v>
      </c>
      <c r="B28" s="116" t="s">
        <v>44</v>
      </c>
      <c r="C28" s="129">
        <v>690307079621.55054</v>
      </c>
      <c r="D28" s="130">
        <v>-108051884502.88</v>
      </c>
      <c r="E28" s="131">
        <f>C28+D28</f>
        <v>582255195118.67053</v>
      </c>
      <c r="F28" s="129">
        <v>68878498685.593994</v>
      </c>
      <c r="G28" s="129">
        <f>+E28+F28</f>
        <v>651133693804.26453</v>
      </c>
      <c r="H28" s="123"/>
    </row>
    <row r="29" spans="1:8" ht="20.25" customHeight="1">
      <c r="A29" s="116">
        <v>2</v>
      </c>
      <c r="B29" s="116" t="s">
        <v>45</v>
      </c>
      <c r="C29" s="129">
        <v>14233135662.299999</v>
      </c>
      <c r="D29" s="130">
        <v>0</v>
      </c>
      <c r="E29" s="131">
        <f t="shared" ref="E29:E32" si="1">C29+D29</f>
        <v>14233135662.299999</v>
      </c>
      <c r="F29" s="129">
        <v>0</v>
      </c>
      <c r="G29" s="129">
        <f t="shared" ref="G29:G32" si="2">+E29+F29</f>
        <v>14233135662.299999</v>
      </c>
      <c r="H29" s="123"/>
    </row>
    <row r="30" spans="1:8" ht="20.25" customHeight="1">
      <c r="A30" s="116">
        <v>3</v>
      </c>
      <c r="B30" s="116" t="s">
        <v>46</v>
      </c>
      <c r="C30" s="129">
        <v>7116567831.1499996</v>
      </c>
      <c r="D30" s="130">
        <v>0</v>
      </c>
      <c r="E30" s="131">
        <f t="shared" si="1"/>
        <v>7116567831.1499996</v>
      </c>
      <c r="F30" s="129">
        <v>0</v>
      </c>
      <c r="G30" s="129">
        <f t="shared" si="2"/>
        <v>7116567831.1499996</v>
      </c>
      <c r="H30" s="123"/>
    </row>
    <row r="31" spans="1:8" ht="40.5">
      <c r="A31" s="116">
        <v>4</v>
      </c>
      <c r="B31" s="122" t="s">
        <v>47</v>
      </c>
      <c r="C31" s="129">
        <v>23911667912.664001</v>
      </c>
      <c r="D31" s="130">
        <v>0</v>
      </c>
      <c r="E31" s="131">
        <f t="shared" si="1"/>
        <v>23911667912.664001</v>
      </c>
      <c r="F31" s="129">
        <v>0</v>
      </c>
      <c r="G31" s="129">
        <f t="shared" si="2"/>
        <v>23911667912.664001</v>
      </c>
      <c r="H31" s="123"/>
    </row>
    <row r="32" spans="1:8" ht="21" customHeight="1">
      <c r="A32" s="116">
        <v>5</v>
      </c>
      <c r="B32" s="116" t="s">
        <v>48</v>
      </c>
      <c r="C32" s="129">
        <v>14233135662.299999</v>
      </c>
      <c r="D32" s="129">
        <v>-221063917</v>
      </c>
      <c r="E32" s="131">
        <f t="shared" si="1"/>
        <v>14012071745.299999</v>
      </c>
      <c r="F32" s="129">
        <v>16609887631.959999</v>
      </c>
      <c r="G32" s="129">
        <f t="shared" si="2"/>
        <v>30621959377.259998</v>
      </c>
      <c r="H32" s="123"/>
    </row>
    <row r="33" spans="1:8" ht="36.75" customHeight="1">
      <c r="A33" s="116"/>
      <c r="B33" s="2" t="s">
        <v>24</v>
      </c>
      <c r="C33" s="132">
        <f>SUM(C28:C32)</f>
        <v>749801586689.9646</v>
      </c>
      <c r="D33" s="132">
        <f>SUM(D28:D32)</f>
        <v>-108272948419.88</v>
      </c>
      <c r="E33" s="132">
        <f t="shared" ref="E33:G33" si="3">SUM(E28:E32)</f>
        <v>641528638270.08472</v>
      </c>
      <c r="F33" s="132">
        <f t="shared" si="3"/>
        <v>85488386317.553986</v>
      </c>
      <c r="G33" s="132">
        <f t="shared" si="3"/>
        <v>727017024587.63867</v>
      </c>
      <c r="H33" s="123"/>
    </row>
    <row r="35" spans="1:8" ht="12.75" hidden="1" customHeight="1">
      <c r="A35" s="145" t="s">
        <v>49</v>
      </c>
      <c r="B35" s="145"/>
      <c r="C35" s="145"/>
    </row>
    <row r="36" spans="1:8">
      <c r="A36" s="146"/>
      <c r="B36" s="146"/>
      <c r="C36" s="146"/>
      <c r="F36" s="123"/>
      <c r="G36" s="44"/>
    </row>
    <row r="37" spans="1:8" ht="42.75" customHeight="1">
      <c r="B37" s="133"/>
      <c r="C37" s="134"/>
      <c r="E37" s="123"/>
      <c r="F37" s="119"/>
      <c r="G37" s="119"/>
    </row>
    <row r="38" spans="1:8">
      <c r="B38" s="133"/>
      <c r="C38" s="134"/>
      <c r="G38" s="123"/>
    </row>
    <row r="39" spans="1:8">
      <c r="B39" s="134"/>
      <c r="C39" s="133"/>
      <c r="F39" s="123"/>
      <c r="G39" s="119"/>
    </row>
    <row r="40" spans="1:8" ht="22.5">
      <c r="A40" s="142" t="s">
        <v>50</v>
      </c>
      <c r="B40" s="142"/>
      <c r="C40" s="142"/>
      <c r="D40" s="142"/>
      <c r="E40" s="142"/>
      <c r="F40" s="142"/>
      <c r="G40" s="142"/>
      <c r="H40" s="142"/>
    </row>
    <row r="41" spans="1:8" ht="35.25" customHeight="1">
      <c r="A41" s="147" t="s">
        <v>51</v>
      </c>
      <c r="B41" s="142"/>
      <c r="C41" s="142"/>
      <c r="D41" s="142"/>
      <c r="E41" s="142"/>
      <c r="F41" s="142"/>
      <c r="G41" s="142"/>
      <c r="H41" s="142"/>
    </row>
    <row r="42" spans="1:8" ht="30.75" customHeight="1">
      <c r="A42" s="142" t="s">
        <v>52</v>
      </c>
      <c r="B42" s="142"/>
      <c r="C42" s="142"/>
      <c r="D42" s="142"/>
      <c r="E42" s="142"/>
      <c r="F42" s="142"/>
      <c r="G42" s="142"/>
      <c r="H42" s="142"/>
    </row>
    <row r="43" spans="1:8" ht="22.5">
      <c r="A43" s="142" t="s">
        <v>53</v>
      </c>
      <c r="B43" s="142"/>
      <c r="C43" s="142"/>
      <c r="D43" s="142"/>
      <c r="E43" s="142"/>
      <c r="F43" s="142"/>
      <c r="G43" s="142"/>
      <c r="H43" s="142"/>
    </row>
  </sheetData>
  <mergeCells count="12">
    <mergeCell ref="A1:E1"/>
    <mergeCell ref="A2:E2"/>
    <mergeCell ref="A3:E3"/>
    <mergeCell ref="A4:E4"/>
    <mergeCell ref="A23:F23"/>
    <mergeCell ref="A42:H42"/>
    <mergeCell ref="A43:H43"/>
    <mergeCell ref="A24:G24"/>
    <mergeCell ref="A35:C35"/>
    <mergeCell ref="A36:C36"/>
    <mergeCell ref="A40:H40"/>
    <mergeCell ref="A41:H41"/>
  </mergeCells>
  <pageMargins left="0.74791666666666701" right="0.74791666666666701" top="0.39305555555555599" bottom="0.40902777777777799" header="0.51180555555555596" footer="0.51180555555555596"/>
  <pageSetup scale="3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4"/>
  <sheetViews>
    <sheetView topLeftCell="A3" zoomScale="130" zoomScaleNormal="130" workbookViewId="0">
      <pane xSplit="3" ySplit="7" topLeftCell="J42" activePane="bottomRight" state="frozen"/>
      <selection pane="topRight"/>
      <selection pane="bottomLeft"/>
      <selection pane="bottomRight" activeCell="M47" sqref="M47"/>
    </sheetView>
  </sheetViews>
  <sheetFormatPr defaultColWidth="8.86328125" defaultRowHeight="13.15"/>
  <cols>
    <col min="1" max="1" width="4.1328125" style="1" customWidth="1"/>
    <col min="2" max="2" width="22.3984375" style="1" customWidth="1"/>
    <col min="3" max="3" width="7.3984375" style="1" customWidth="1"/>
    <col min="4" max="4" width="25.59765625" style="1" customWidth="1"/>
    <col min="5" max="5" width="23.73046875" style="1" customWidth="1"/>
    <col min="6" max="6" width="28.265625" style="1" customWidth="1"/>
    <col min="7" max="7" width="21.265625" style="1" customWidth="1"/>
    <col min="8" max="8" width="24.3984375" style="1" customWidth="1"/>
    <col min="9" max="9" width="22.73046875" style="1" customWidth="1"/>
    <col min="10" max="10" width="25.59765625" style="1" customWidth="1"/>
    <col min="11" max="16" width="22" style="1" customWidth="1"/>
    <col min="17" max="17" width="28" style="1" customWidth="1"/>
    <col min="18" max="18" width="25.86328125" style="1" customWidth="1"/>
    <col min="19" max="19" width="6.3984375" style="1" customWidth="1"/>
    <col min="20" max="20" width="8.86328125" style="1"/>
    <col min="21" max="21" width="16.265625" style="1" customWidth="1"/>
    <col min="22" max="22" width="16.86328125" style="1" customWidth="1"/>
    <col min="23" max="23" width="21" style="1" customWidth="1"/>
    <col min="24" max="24" width="8.86328125" style="1"/>
    <col min="25" max="25" width="17.3984375" style="1" customWidth="1"/>
    <col min="26" max="26" width="12.265625" style="1" customWidth="1"/>
    <col min="27" max="27" width="17.86328125" style="1" customWidth="1"/>
    <col min="28" max="29" width="8.86328125" style="1"/>
    <col min="30" max="30" width="17.86328125" style="1" customWidth="1"/>
    <col min="31" max="31" width="16.265625" style="1" customWidth="1"/>
    <col min="32" max="32" width="17.86328125" style="1" customWidth="1"/>
    <col min="33" max="16384" width="8.86328125" style="1"/>
  </cols>
  <sheetData>
    <row r="1" spans="1:32" ht="22.9">
      <c r="A1" s="160" t="s">
        <v>54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2" spans="1:32" ht="24.75">
      <c r="A2" s="161" t="s">
        <v>55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</row>
    <row r="3" spans="1:32" ht="18" customHeight="1">
      <c r="A3" s="162" t="s">
        <v>56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</row>
    <row r="4" spans="1:32" ht="17.25">
      <c r="A4" s="163" t="s">
        <v>983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 spans="1:32" ht="19.899999999999999"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</row>
    <row r="6" spans="1:32" ht="15.4">
      <c r="A6" s="12">
        <v>1</v>
      </c>
      <c r="B6" s="12">
        <v>2</v>
      </c>
      <c r="C6" s="12">
        <v>3</v>
      </c>
      <c r="D6" s="12">
        <v>4</v>
      </c>
      <c r="E6" s="12">
        <v>5</v>
      </c>
      <c r="F6" s="12" t="s">
        <v>57</v>
      </c>
      <c r="G6" s="12">
        <v>7</v>
      </c>
      <c r="H6" s="12">
        <v>8</v>
      </c>
      <c r="I6" s="12">
        <v>9</v>
      </c>
      <c r="J6" s="12" t="s">
        <v>58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 t="s">
        <v>985</v>
      </c>
      <c r="R6" s="12" t="s">
        <v>986</v>
      </c>
      <c r="S6" s="97"/>
    </row>
    <row r="7" spans="1:32" ht="12.75" customHeight="1">
      <c r="A7" s="152" t="s">
        <v>20</v>
      </c>
      <c r="B7" s="152" t="s">
        <v>21</v>
      </c>
      <c r="C7" s="152" t="s">
        <v>59</v>
      </c>
      <c r="D7" s="152" t="s">
        <v>60</v>
      </c>
      <c r="E7" s="152" t="s">
        <v>61</v>
      </c>
      <c r="F7" s="152" t="s">
        <v>62</v>
      </c>
      <c r="G7" s="154" t="s">
        <v>63</v>
      </c>
      <c r="H7" s="155"/>
      <c r="I7" s="156"/>
      <c r="J7" s="152" t="s">
        <v>42</v>
      </c>
      <c r="K7" s="152" t="s">
        <v>64</v>
      </c>
      <c r="L7" s="152" t="s">
        <v>65</v>
      </c>
      <c r="M7" s="152" t="s">
        <v>66</v>
      </c>
      <c r="N7" s="152" t="s">
        <v>67</v>
      </c>
      <c r="O7" s="152" t="s">
        <v>68</v>
      </c>
      <c r="P7" s="152" t="s">
        <v>69</v>
      </c>
      <c r="Q7" s="152" t="s">
        <v>70</v>
      </c>
      <c r="R7" s="152" t="s">
        <v>71</v>
      </c>
      <c r="S7" s="158" t="s">
        <v>20</v>
      </c>
    </row>
    <row r="8" spans="1:32" ht="50.25" customHeight="1">
      <c r="A8" s="153"/>
      <c r="B8" s="153"/>
      <c r="C8" s="153"/>
      <c r="D8" s="153"/>
      <c r="E8" s="153"/>
      <c r="F8" s="153"/>
      <c r="G8" s="50" t="s">
        <v>72</v>
      </c>
      <c r="H8" s="50" t="s">
        <v>73</v>
      </c>
      <c r="I8" s="50" t="s">
        <v>74</v>
      </c>
      <c r="J8" s="153"/>
      <c r="K8" s="153"/>
      <c r="L8" s="153"/>
      <c r="M8" s="153"/>
      <c r="N8" s="153"/>
      <c r="O8" s="153"/>
      <c r="P8" s="153"/>
      <c r="Q8" s="153"/>
      <c r="R8" s="153"/>
      <c r="S8" s="159"/>
    </row>
    <row r="9" spans="1:32" ht="21" customHeight="1">
      <c r="A9" s="97"/>
      <c r="B9" s="97"/>
      <c r="C9" s="97"/>
      <c r="D9" s="141" t="s">
        <v>25</v>
      </c>
      <c r="E9" s="141" t="s">
        <v>25</v>
      </c>
      <c r="F9" s="141" t="s">
        <v>25</v>
      </c>
      <c r="G9" s="141" t="s">
        <v>25</v>
      </c>
      <c r="H9" s="141" t="s">
        <v>25</v>
      </c>
      <c r="I9" s="141" t="s">
        <v>25</v>
      </c>
      <c r="J9" s="141" t="s">
        <v>25</v>
      </c>
      <c r="K9" s="141" t="s">
        <v>25</v>
      </c>
      <c r="L9" s="141" t="s">
        <v>25</v>
      </c>
      <c r="M9" s="141" t="s">
        <v>25</v>
      </c>
      <c r="N9" s="141" t="s">
        <v>25</v>
      </c>
      <c r="O9" s="141" t="s">
        <v>25</v>
      </c>
      <c r="P9" s="141" t="s">
        <v>25</v>
      </c>
      <c r="Q9" s="141" t="s">
        <v>25</v>
      </c>
      <c r="R9" s="141" t="s">
        <v>25</v>
      </c>
      <c r="S9" s="97"/>
    </row>
    <row r="10" spans="1:32" ht="30" customHeight="1">
      <c r="A10" s="97">
        <v>1</v>
      </c>
      <c r="B10" s="98" t="s">
        <v>75</v>
      </c>
      <c r="C10" s="99">
        <v>17</v>
      </c>
      <c r="D10" s="100">
        <v>9138053357.1937656</v>
      </c>
      <c r="E10" s="100">
        <v>3422099738.4671001</v>
      </c>
      <c r="F10" s="101">
        <f>D10+E10</f>
        <v>12560153095.660866</v>
      </c>
      <c r="G10" s="100">
        <v>606031676.25</v>
      </c>
      <c r="H10" s="100">
        <v>0</v>
      </c>
      <c r="I10" s="100">
        <f>777948381.07-H10-G10</f>
        <v>171916704.82000005</v>
      </c>
      <c r="J10" s="100">
        <f>F10-G10-H10-I10</f>
        <v>11782204714.590866</v>
      </c>
      <c r="K10" s="100">
        <v>253053785.27610001</v>
      </c>
      <c r="L10" s="100">
        <f>K10/2</f>
        <v>126526892.63805</v>
      </c>
      <c r="M10" s="100">
        <f>K10-L10</f>
        <v>126526892.63805</v>
      </c>
      <c r="N10" s="100">
        <v>6762085358.4184999</v>
      </c>
      <c r="O10" s="100">
        <v>0</v>
      </c>
      <c r="P10" s="100">
        <f>N10-O10</f>
        <v>6762085358.4184999</v>
      </c>
      <c r="Q10" s="102">
        <f>F10+K10+N10</f>
        <v>19575292239.355465</v>
      </c>
      <c r="R10" s="102">
        <f>J10+M10+P10</f>
        <v>18670816965.647415</v>
      </c>
      <c r="S10" s="97">
        <v>1</v>
      </c>
      <c r="AF10" s="95">
        <v>0</v>
      </c>
    </row>
    <row r="11" spans="1:32" ht="30" customHeight="1">
      <c r="A11" s="97">
        <v>2</v>
      </c>
      <c r="B11" s="98" t="s">
        <v>76</v>
      </c>
      <c r="C11" s="103">
        <v>21</v>
      </c>
      <c r="D11" s="100">
        <v>9721317334.0615044</v>
      </c>
      <c r="E11" s="100">
        <v>0</v>
      </c>
      <c r="F11" s="101">
        <f t="shared" ref="F11:F45" si="0">D11+E11</f>
        <v>9721317334.0615044</v>
      </c>
      <c r="G11" s="100">
        <v>495107019.72000003</v>
      </c>
      <c r="H11" s="100">
        <v>0</v>
      </c>
      <c r="I11" s="100">
        <f>737478100.79-H11-G11</f>
        <v>242371081.06999993</v>
      </c>
      <c r="J11" s="100">
        <f t="shared" ref="J11:J45" si="1">F11-G11-H11-I11</f>
        <v>8983839233.2715054</v>
      </c>
      <c r="K11" s="100">
        <v>269205710.78939998</v>
      </c>
      <c r="L11" s="100">
        <v>0</v>
      </c>
      <c r="M11" s="100">
        <f t="shared" ref="M11:M45" si="2">K11-L11</f>
        <v>269205710.78939998</v>
      </c>
      <c r="N11" s="100">
        <v>7120135527.2630997</v>
      </c>
      <c r="O11" s="100">
        <v>0</v>
      </c>
      <c r="P11" s="100">
        <f t="shared" ref="P11:P45" si="3">N11-O11</f>
        <v>7120135527.2630997</v>
      </c>
      <c r="Q11" s="102">
        <f t="shared" ref="Q11:Q45" si="4">F11+K11+N11</f>
        <v>17110658572.114004</v>
      </c>
      <c r="R11" s="102">
        <f t="shared" ref="R11:R45" si="5">J11+M11+P11</f>
        <v>16373180471.324005</v>
      </c>
      <c r="S11" s="97">
        <v>2</v>
      </c>
      <c r="AF11" s="95">
        <v>0</v>
      </c>
    </row>
    <row r="12" spans="1:32" ht="30" customHeight="1">
      <c r="A12" s="97">
        <v>3</v>
      </c>
      <c r="B12" s="98" t="s">
        <v>77</v>
      </c>
      <c r="C12" s="103">
        <v>31</v>
      </c>
      <c r="D12" s="100">
        <v>9811656772.0587349</v>
      </c>
      <c r="E12" s="100">
        <v>45981000488.021599</v>
      </c>
      <c r="F12" s="101">
        <f t="shared" si="0"/>
        <v>55792657260.080338</v>
      </c>
      <c r="G12" s="100">
        <v>243840584.06</v>
      </c>
      <c r="H12" s="100">
        <v>0</v>
      </c>
      <c r="I12" s="100">
        <f>1177700151.26-H12-G12</f>
        <v>933859567.20000005</v>
      </c>
      <c r="J12" s="100">
        <f t="shared" si="1"/>
        <v>54614957108.820343</v>
      </c>
      <c r="K12" s="100">
        <v>271707418.30320001</v>
      </c>
      <c r="L12" s="100">
        <f>K12/2</f>
        <v>135853709.1516</v>
      </c>
      <c r="M12" s="100">
        <f t="shared" si="2"/>
        <v>135853709.1516</v>
      </c>
      <c r="N12" s="100">
        <v>7334392505.6688995</v>
      </c>
      <c r="O12" s="100">
        <v>0</v>
      </c>
      <c r="P12" s="100">
        <f t="shared" si="3"/>
        <v>7334392505.6688995</v>
      </c>
      <c r="Q12" s="102">
        <f t="shared" si="4"/>
        <v>63398757184.052437</v>
      </c>
      <c r="R12" s="102">
        <f t="shared" si="5"/>
        <v>62085203323.640846</v>
      </c>
      <c r="S12" s="97">
        <v>3</v>
      </c>
      <c r="AF12" s="95">
        <v>0</v>
      </c>
    </row>
    <row r="13" spans="1:32" ht="30" customHeight="1">
      <c r="A13" s="97">
        <v>4</v>
      </c>
      <c r="B13" s="98" t="s">
        <v>78</v>
      </c>
      <c r="C13" s="103">
        <v>21</v>
      </c>
      <c r="D13" s="100">
        <v>9703105590.5166626</v>
      </c>
      <c r="E13" s="100">
        <v>2105767587.1449001</v>
      </c>
      <c r="F13" s="101">
        <f t="shared" si="0"/>
        <v>11808873177.661562</v>
      </c>
      <c r="G13" s="100">
        <v>337733487.19999999</v>
      </c>
      <c r="H13" s="100">
        <v>0</v>
      </c>
      <c r="I13" s="100">
        <f>337733487.2-H13-G13</f>
        <v>0</v>
      </c>
      <c r="J13" s="100">
        <f t="shared" si="1"/>
        <v>11471139690.461561</v>
      </c>
      <c r="K13" s="100">
        <v>268701385.58350003</v>
      </c>
      <c r="L13" s="100">
        <v>0</v>
      </c>
      <c r="M13" s="100">
        <f t="shared" si="2"/>
        <v>268701385.58350003</v>
      </c>
      <c r="N13" s="100">
        <v>7688966978.9946003</v>
      </c>
      <c r="O13" s="100">
        <v>0</v>
      </c>
      <c r="P13" s="100">
        <f t="shared" si="3"/>
        <v>7688966978.9946003</v>
      </c>
      <c r="Q13" s="102">
        <f t="shared" si="4"/>
        <v>19766541542.239662</v>
      </c>
      <c r="R13" s="102">
        <f t="shared" si="5"/>
        <v>19428808055.039661</v>
      </c>
      <c r="S13" s="97">
        <v>4</v>
      </c>
      <c r="AF13" s="95">
        <v>0</v>
      </c>
    </row>
    <row r="14" spans="1:32" ht="30" customHeight="1">
      <c r="A14" s="97">
        <v>5</v>
      </c>
      <c r="B14" s="98" t="s">
        <v>79</v>
      </c>
      <c r="C14" s="103">
        <v>20</v>
      </c>
      <c r="D14" s="100">
        <v>11673161117.563547</v>
      </c>
      <c r="E14" s="100">
        <v>0</v>
      </c>
      <c r="F14" s="101">
        <f t="shared" si="0"/>
        <v>11673161117.563547</v>
      </c>
      <c r="G14" s="100">
        <v>1956626887.1099999</v>
      </c>
      <c r="H14" s="100">
        <v>1654765384.01</v>
      </c>
      <c r="I14" s="100">
        <f>4824115614.15-H14-G14</f>
        <v>1212723343.0299995</v>
      </c>
      <c r="J14" s="100">
        <f t="shared" si="1"/>
        <v>6849045503.4135466</v>
      </c>
      <c r="K14" s="100">
        <v>323256769.4095</v>
      </c>
      <c r="L14" s="100">
        <v>0</v>
      </c>
      <c r="M14" s="100">
        <f t="shared" si="2"/>
        <v>323256769.4095</v>
      </c>
      <c r="N14" s="100">
        <v>7900476586.3052998</v>
      </c>
      <c r="O14" s="100">
        <v>0</v>
      </c>
      <c r="P14" s="100">
        <f t="shared" si="3"/>
        <v>7900476586.3052998</v>
      </c>
      <c r="Q14" s="102">
        <f t="shared" si="4"/>
        <v>19896894473.278347</v>
      </c>
      <c r="R14" s="102">
        <f t="shared" si="5"/>
        <v>15072778859.128345</v>
      </c>
      <c r="S14" s="97">
        <v>5</v>
      </c>
      <c r="AF14" s="95">
        <v>0</v>
      </c>
    </row>
    <row r="15" spans="1:32" ht="30" customHeight="1">
      <c r="A15" s="97">
        <v>6</v>
      </c>
      <c r="B15" s="98" t="s">
        <v>80</v>
      </c>
      <c r="C15" s="103">
        <v>8</v>
      </c>
      <c r="D15" s="100">
        <v>8634821338.1986961</v>
      </c>
      <c r="E15" s="100">
        <v>42182671930.105202</v>
      </c>
      <c r="F15" s="101">
        <f t="shared" si="0"/>
        <v>50817493268.303894</v>
      </c>
      <c r="G15" s="100">
        <v>302231190.43000001</v>
      </c>
      <c r="H15" s="100">
        <v>0</v>
      </c>
      <c r="I15" s="100">
        <f>664251643.94-H15-G15</f>
        <v>362020453.51000005</v>
      </c>
      <c r="J15" s="100">
        <f t="shared" si="1"/>
        <v>50153241624.363892</v>
      </c>
      <c r="K15" s="100">
        <v>239118129.3655</v>
      </c>
      <c r="L15" s="100">
        <f t="shared" ref="L15:L21" si="6">K15/2</f>
        <v>119559064.68275</v>
      </c>
      <c r="M15" s="100">
        <f t="shared" si="2"/>
        <v>119559064.68275</v>
      </c>
      <c r="N15" s="100">
        <v>8008542785.3748999</v>
      </c>
      <c r="O15" s="100">
        <v>0</v>
      </c>
      <c r="P15" s="100">
        <f t="shared" si="3"/>
        <v>8008542785.3748999</v>
      </c>
      <c r="Q15" s="102">
        <f t="shared" si="4"/>
        <v>59065154183.044296</v>
      </c>
      <c r="R15" s="102">
        <f t="shared" si="5"/>
        <v>58281343474.421539</v>
      </c>
      <c r="S15" s="97">
        <v>6</v>
      </c>
      <c r="AF15" s="95">
        <v>0</v>
      </c>
    </row>
    <row r="16" spans="1:32" ht="30" customHeight="1">
      <c r="A16" s="97">
        <v>7</v>
      </c>
      <c r="B16" s="98" t="s">
        <v>81</v>
      </c>
      <c r="C16" s="103">
        <v>23</v>
      </c>
      <c r="D16" s="100">
        <v>10944343147.923016</v>
      </c>
      <c r="E16" s="100">
        <v>0</v>
      </c>
      <c r="F16" s="101">
        <f t="shared" si="0"/>
        <v>10944343147.923016</v>
      </c>
      <c r="G16" s="100">
        <v>335836615.10000002</v>
      </c>
      <c r="H16" s="100">
        <v>0</v>
      </c>
      <c r="I16" s="100">
        <f>525191120.27-H16-G16</f>
        <v>189354505.16999996</v>
      </c>
      <c r="J16" s="100">
        <f t="shared" si="1"/>
        <v>10419152027.653015</v>
      </c>
      <c r="K16" s="100">
        <v>303074117.9425</v>
      </c>
      <c r="L16" s="100">
        <f t="shared" si="6"/>
        <v>151537058.97125</v>
      </c>
      <c r="M16" s="100">
        <f t="shared" si="2"/>
        <v>151537058.97125</v>
      </c>
      <c r="N16" s="100">
        <v>7567675532.1673002</v>
      </c>
      <c r="O16" s="100">
        <v>0</v>
      </c>
      <c r="P16" s="100">
        <f t="shared" si="3"/>
        <v>7567675532.1673002</v>
      </c>
      <c r="Q16" s="102">
        <f t="shared" si="4"/>
        <v>18815092798.032814</v>
      </c>
      <c r="R16" s="102">
        <f t="shared" si="5"/>
        <v>18138364618.791565</v>
      </c>
      <c r="S16" s="97">
        <v>7</v>
      </c>
      <c r="AF16" s="95">
        <v>0</v>
      </c>
    </row>
    <row r="17" spans="1:32" ht="30" customHeight="1">
      <c r="A17" s="97">
        <v>8</v>
      </c>
      <c r="B17" s="98" t="s">
        <v>82</v>
      </c>
      <c r="C17" s="103">
        <v>27</v>
      </c>
      <c r="D17" s="100">
        <v>12124763730.134581</v>
      </c>
      <c r="E17" s="100">
        <v>0</v>
      </c>
      <c r="F17" s="101">
        <f t="shared" si="0"/>
        <v>12124763730.134581</v>
      </c>
      <c r="G17" s="100">
        <v>845367206.88</v>
      </c>
      <c r="H17" s="100">
        <v>0</v>
      </c>
      <c r="I17" s="100">
        <f>922510022.54-H17-G17</f>
        <v>77142815.659999967</v>
      </c>
      <c r="J17" s="100">
        <f t="shared" si="1"/>
        <v>11202253707.594582</v>
      </c>
      <c r="K17" s="100">
        <v>335762687.91140002</v>
      </c>
      <c r="L17" s="100">
        <v>0</v>
      </c>
      <c r="M17" s="100">
        <f t="shared" si="2"/>
        <v>335762687.91140002</v>
      </c>
      <c r="N17" s="100">
        <v>7915138045.1892996</v>
      </c>
      <c r="O17" s="100">
        <v>0</v>
      </c>
      <c r="P17" s="100">
        <f t="shared" si="3"/>
        <v>7915138045.1892996</v>
      </c>
      <c r="Q17" s="102">
        <f t="shared" si="4"/>
        <v>20375664463.235279</v>
      </c>
      <c r="R17" s="102">
        <f t="shared" si="5"/>
        <v>19453154440.695282</v>
      </c>
      <c r="S17" s="97">
        <v>8</v>
      </c>
      <c r="AF17" s="95">
        <v>0</v>
      </c>
    </row>
    <row r="18" spans="1:32" ht="30" customHeight="1">
      <c r="A18" s="97">
        <v>9</v>
      </c>
      <c r="B18" s="98" t="s">
        <v>83</v>
      </c>
      <c r="C18" s="103">
        <v>18</v>
      </c>
      <c r="D18" s="100">
        <v>9813330065.4196262</v>
      </c>
      <c r="E18" s="100">
        <v>0</v>
      </c>
      <c r="F18" s="101">
        <f t="shared" si="0"/>
        <v>9813330065.4196262</v>
      </c>
      <c r="G18" s="100">
        <v>2376137373.3499999</v>
      </c>
      <c r="H18" s="100">
        <v>1352747444.3599999</v>
      </c>
      <c r="I18" s="100">
        <f>4179251635.75-H18-G18</f>
        <v>450366818.04000044</v>
      </c>
      <c r="J18" s="100">
        <f t="shared" si="1"/>
        <v>5634078429.6696262</v>
      </c>
      <c r="K18" s="100">
        <v>271753755.65780002</v>
      </c>
      <c r="L18" s="100">
        <f t="shared" si="6"/>
        <v>135876877.82890001</v>
      </c>
      <c r="M18" s="100">
        <f t="shared" si="2"/>
        <v>135876877.82890001</v>
      </c>
      <c r="N18" s="100">
        <v>7435083032.6953001</v>
      </c>
      <c r="O18" s="100">
        <v>0</v>
      </c>
      <c r="P18" s="100">
        <f t="shared" si="3"/>
        <v>7435083032.6953001</v>
      </c>
      <c r="Q18" s="102">
        <f t="shared" si="4"/>
        <v>17520166853.772728</v>
      </c>
      <c r="R18" s="102">
        <f t="shared" si="5"/>
        <v>13205038340.193827</v>
      </c>
      <c r="S18" s="97">
        <v>9</v>
      </c>
      <c r="AF18" s="95">
        <v>0</v>
      </c>
    </row>
    <row r="19" spans="1:32" ht="30" customHeight="1">
      <c r="A19" s="97">
        <v>10</v>
      </c>
      <c r="B19" s="98" t="s">
        <v>84</v>
      </c>
      <c r="C19" s="103">
        <v>25</v>
      </c>
      <c r="D19" s="100">
        <v>9908725146.9536533</v>
      </c>
      <c r="E19" s="100">
        <v>50253666130.861397</v>
      </c>
      <c r="F19" s="101">
        <f t="shared" si="0"/>
        <v>60162391277.815048</v>
      </c>
      <c r="G19" s="100">
        <v>562710438.25</v>
      </c>
      <c r="H19" s="100">
        <v>0</v>
      </c>
      <c r="I19" s="100">
        <f>2017891552.81-H19-G19</f>
        <v>1455181114.5599999</v>
      </c>
      <c r="J19" s="100">
        <f t="shared" si="1"/>
        <v>58144499725.005051</v>
      </c>
      <c r="K19" s="100">
        <v>274395465.60790002</v>
      </c>
      <c r="L19" s="100">
        <f t="shared" si="6"/>
        <v>137197732.80395001</v>
      </c>
      <c r="M19" s="100">
        <f t="shared" si="2"/>
        <v>137197732.80395001</v>
      </c>
      <c r="N19" s="100">
        <v>8153772391.0689001</v>
      </c>
      <c r="O19" s="100">
        <v>0</v>
      </c>
      <c r="P19" s="100">
        <f t="shared" si="3"/>
        <v>8153772391.0689001</v>
      </c>
      <c r="Q19" s="102">
        <f t="shared" si="4"/>
        <v>68590559134.491852</v>
      </c>
      <c r="R19" s="102">
        <f t="shared" si="5"/>
        <v>66435469848.877899</v>
      </c>
      <c r="S19" s="97">
        <v>10</v>
      </c>
      <c r="AF19" s="95">
        <v>0</v>
      </c>
    </row>
    <row r="20" spans="1:32" ht="30" customHeight="1">
      <c r="A20" s="97">
        <v>11</v>
      </c>
      <c r="B20" s="98" t="s">
        <v>85</v>
      </c>
      <c r="C20" s="103">
        <v>13</v>
      </c>
      <c r="D20" s="100">
        <v>8730694449.6169834</v>
      </c>
      <c r="E20" s="100">
        <v>0</v>
      </c>
      <c r="F20" s="101">
        <f t="shared" si="0"/>
        <v>8730694449.6169834</v>
      </c>
      <c r="G20" s="100">
        <v>345897603.93000001</v>
      </c>
      <c r="H20" s="100">
        <v>0</v>
      </c>
      <c r="I20" s="100">
        <f>930718203.79-H20-G20</f>
        <v>584820599.8599999</v>
      </c>
      <c r="J20" s="100">
        <f t="shared" si="1"/>
        <v>7799976245.8269835</v>
      </c>
      <c r="K20" s="100">
        <v>241773077.0663</v>
      </c>
      <c r="L20" s="100">
        <v>0</v>
      </c>
      <c r="M20" s="100">
        <f t="shared" si="2"/>
        <v>241773077.0663</v>
      </c>
      <c r="N20" s="100">
        <v>6596099289.9595003</v>
      </c>
      <c r="O20" s="100">
        <v>0</v>
      </c>
      <c r="P20" s="100">
        <f t="shared" si="3"/>
        <v>6596099289.9595003</v>
      </c>
      <c r="Q20" s="102">
        <f t="shared" si="4"/>
        <v>15568566816.642784</v>
      </c>
      <c r="R20" s="102">
        <f t="shared" si="5"/>
        <v>14637848612.852783</v>
      </c>
      <c r="S20" s="97">
        <v>11</v>
      </c>
      <c r="AF20" s="95">
        <v>0</v>
      </c>
    </row>
    <row r="21" spans="1:32" ht="30" customHeight="1">
      <c r="A21" s="97">
        <v>12</v>
      </c>
      <c r="B21" s="98" t="s">
        <v>86</v>
      </c>
      <c r="C21" s="103">
        <v>18</v>
      </c>
      <c r="D21" s="100">
        <v>9124974963.1026573</v>
      </c>
      <c r="E21" s="100">
        <v>2945431708.9819002</v>
      </c>
      <c r="F21" s="101">
        <f t="shared" si="0"/>
        <v>12070406672.084557</v>
      </c>
      <c r="G21" s="100">
        <v>2728253929.48</v>
      </c>
      <c r="H21" s="100">
        <v>510923032.41000003</v>
      </c>
      <c r="I21" s="100">
        <f>3409970568.69-H21-G21</f>
        <v>170793606.80000019</v>
      </c>
      <c r="J21" s="100">
        <f t="shared" si="1"/>
        <v>8660436103.394558</v>
      </c>
      <c r="K21" s="100">
        <v>252691614.3628</v>
      </c>
      <c r="L21" s="100">
        <f t="shared" si="6"/>
        <v>126345807.1814</v>
      </c>
      <c r="M21" s="100">
        <f t="shared" si="2"/>
        <v>126345807.1814</v>
      </c>
      <c r="N21" s="100">
        <v>7814617523.4783001</v>
      </c>
      <c r="O21" s="100">
        <v>0</v>
      </c>
      <c r="P21" s="100">
        <f t="shared" si="3"/>
        <v>7814617523.4783001</v>
      </c>
      <c r="Q21" s="102">
        <f t="shared" si="4"/>
        <v>20137715809.925659</v>
      </c>
      <c r="R21" s="102">
        <f t="shared" si="5"/>
        <v>16601399434.054258</v>
      </c>
      <c r="S21" s="97">
        <v>12</v>
      </c>
      <c r="AF21" s="95">
        <v>0</v>
      </c>
    </row>
    <row r="22" spans="1:32" ht="30" customHeight="1">
      <c r="A22" s="97">
        <v>13</v>
      </c>
      <c r="B22" s="98" t="s">
        <v>87</v>
      </c>
      <c r="C22" s="103">
        <v>16</v>
      </c>
      <c r="D22" s="100">
        <v>8725767769.6191845</v>
      </c>
      <c r="E22" s="100">
        <v>0</v>
      </c>
      <c r="F22" s="101">
        <f t="shared" si="0"/>
        <v>8725767769.6191845</v>
      </c>
      <c r="G22" s="100">
        <v>915766895.37</v>
      </c>
      <c r="H22" s="100">
        <v>345000000</v>
      </c>
      <c r="I22" s="100">
        <f>2443994988.63-H22-G22</f>
        <v>1183228093.2600002</v>
      </c>
      <c r="J22" s="100">
        <f t="shared" si="1"/>
        <v>6281772780.9891844</v>
      </c>
      <c r="K22" s="100">
        <v>241636645.92789999</v>
      </c>
      <c r="L22" s="100">
        <v>0</v>
      </c>
      <c r="M22" s="100">
        <f t="shared" si="2"/>
        <v>241636645.92789999</v>
      </c>
      <c r="N22" s="100">
        <v>6607933317.6403999</v>
      </c>
      <c r="O22" s="100">
        <v>0</v>
      </c>
      <c r="P22" s="100">
        <f t="shared" si="3"/>
        <v>6607933317.6403999</v>
      </c>
      <c r="Q22" s="102">
        <f t="shared" si="4"/>
        <v>15575337733.187485</v>
      </c>
      <c r="R22" s="102">
        <f t="shared" si="5"/>
        <v>13131342744.557484</v>
      </c>
      <c r="S22" s="97">
        <v>13</v>
      </c>
      <c r="AF22" s="95">
        <v>0</v>
      </c>
    </row>
    <row r="23" spans="1:32" ht="30" customHeight="1">
      <c r="A23" s="97">
        <v>14</v>
      </c>
      <c r="B23" s="98" t="s">
        <v>88</v>
      </c>
      <c r="C23" s="103">
        <v>17</v>
      </c>
      <c r="D23" s="100">
        <v>9814177022.0612049</v>
      </c>
      <c r="E23" s="100">
        <v>18957.6126</v>
      </c>
      <c r="F23" s="101">
        <f t="shared" si="0"/>
        <v>9814195979.6738052</v>
      </c>
      <c r="G23" s="100">
        <v>798504871.86000001</v>
      </c>
      <c r="H23" s="100">
        <v>0</v>
      </c>
      <c r="I23" s="100">
        <f>877149184.2-H23-G23</f>
        <v>78644312.340000033</v>
      </c>
      <c r="J23" s="100">
        <f t="shared" si="1"/>
        <v>8937046795.4738045</v>
      </c>
      <c r="K23" s="100">
        <v>271777209.84170002</v>
      </c>
      <c r="L23" s="100">
        <v>0</v>
      </c>
      <c r="M23" s="100">
        <f t="shared" si="2"/>
        <v>271777209.84170002</v>
      </c>
      <c r="N23" s="100">
        <v>6991590489.8304996</v>
      </c>
      <c r="O23" s="100">
        <v>0</v>
      </c>
      <c r="P23" s="100">
        <f t="shared" si="3"/>
        <v>6991590489.8304996</v>
      </c>
      <c r="Q23" s="102">
        <f t="shared" si="4"/>
        <v>17077563679.346004</v>
      </c>
      <c r="R23" s="102">
        <f t="shared" si="5"/>
        <v>16200414495.146004</v>
      </c>
      <c r="S23" s="97">
        <v>14</v>
      </c>
      <c r="AF23" s="95">
        <v>0</v>
      </c>
    </row>
    <row r="24" spans="1:32" ht="30" customHeight="1">
      <c r="A24" s="97">
        <v>15</v>
      </c>
      <c r="B24" s="98" t="s">
        <v>89</v>
      </c>
      <c r="C24" s="103">
        <v>11</v>
      </c>
      <c r="D24" s="100">
        <v>9192054631.7710915</v>
      </c>
      <c r="E24" s="100">
        <v>0</v>
      </c>
      <c r="F24" s="101">
        <f t="shared" si="0"/>
        <v>9192054631.7710915</v>
      </c>
      <c r="G24" s="100">
        <v>980564408.34000003</v>
      </c>
      <c r="H24" s="100">
        <v>1191927125.99</v>
      </c>
      <c r="I24" s="100">
        <f>2567110580.77-H24-G24</f>
        <v>394619046.43999994</v>
      </c>
      <c r="J24" s="100">
        <f t="shared" si="1"/>
        <v>6624944051.001092</v>
      </c>
      <c r="K24" s="100">
        <v>254549205.1875</v>
      </c>
      <c r="L24" s="100">
        <f>K24/2</f>
        <v>127274602.59375</v>
      </c>
      <c r="M24" s="100">
        <f t="shared" si="2"/>
        <v>127274602.59375</v>
      </c>
      <c r="N24" s="100">
        <v>7230744154.7044001</v>
      </c>
      <c r="O24" s="100">
        <v>0</v>
      </c>
      <c r="P24" s="100">
        <f t="shared" si="3"/>
        <v>7230744154.7044001</v>
      </c>
      <c r="Q24" s="102">
        <f t="shared" si="4"/>
        <v>16677347991.662991</v>
      </c>
      <c r="R24" s="102">
        <f t="shared" si="5"/>
        <v>13982962808.299242</v>
      </c>
      <c r="S24" s="97">
        <v>15</v>
      </c>
      <c r="AF24" s="95">
        <v>0</v>
      </c>
    </row>
    <row r="25" spans="1:32" ht="30" customHeight="1">
      <c r="A25" s="97">
        <v>16</v>
      </c>
      <c r="B25" s="98" t="s">
        <v>90</v>
      </c>
      <c r="C25" s="103">
        <v>27</v>
      </c>
      <c r="D25" s="100">
        <v>10146414109.195002</v>
      </c>
      <c r="E25" s="100">
        <v>5220169710.3942003</v>
      </c>
      <c r="F25" s="101">
        <f t="shared" si="0"/>
        <v>15366583819.589203</v>
      </c>
      <c r="G25" s="100">
        <v>543558967.87</v>
      </c>
      <c r="H25" s="100">
        <v>0</v>
      </c>
      <c r="I25" s="100">
        <f>2014379572.06-H25-G25</f>
        <v>1470820604.1900001</v>
      </c>
      <c r="J25" s="100">
        <f t="shared" si="1"/>
        <v>13352204247.529202</v>
      </c>
      <c r="K25" s="100">
        <v>280977621.48540002</v>
      </c>
      <c r="L25" s="100">
        <f t="shared" ref="L25" si="7">K25/2</f>
        <v>140488810.74270001</v>
      </c>
      <c r="M25" s="100">
        <f t="shared" si="2"/>
        <v>140488810.74270001</v>
      </c>
      <c r="N25" s="100">
        <v>7413286407.9159002</v>
      </c>
      <c r="O25" s="100">
        <v>0</v>
      </c>
      <c r="P25" s="100">
        <f t="shared" si="3"/>
        <v>7413286407.9159002</v>
      </c>
      <c r="Q25" s="102">
        <f t="shared" si="4"/>
        <v>23060847848.990501</v>
      </c>
      <c r="R25" s="102">
        <f t="shared" si="5"/>
        <v>20905979466.187801</v>
      </c>
      <c r="S25" s="97">
        <v>16</v>
      </c>
      <c r="AF25" s="95">
        <v>0</v>
      </c>
    </row>
    <row r="26" spans="1:32" ht="30" customHeight="1">
      <c r="A26" s="97">
        <v>17</v>
      </c>
      <c r="B26" s="98" t="s">
        <v>91</v>
      </c>
      <c r="C26" s="103">
        <v>27</v>
      </c>
      <c r="D26" s="100">
        <v>10913409598.521849</v>
      </c>
      <c r="E26" s="100">
        <v>0</v>
      </c>
      <c r="F26" s="101">
        <f t="shared" si="0"/>
        <v>10913409598.521849</v>
      </c>
      <c r="G26" s="100">
        <v>324205966.62</v>
      </c>
      <c r="H26" s="100">
        <v>0</v>
      </c>
      <c r="I26" s="100">
        <f>324205966.62-H26-G26</f>
        <v>0</v>
      </c>
      <c r="J26" s="100">
        <f t="shared" si="1"/>
        <v>10589203631.901848</v>
      </c>
      <c r="K26" s="100">
        <v>302217496.57450002</v>
      </c>
      <c r="L26" s="100">
        <v>0</v>
      </c>
      <c r="M26" s="100">
        <f t="shared" si="2"/>
        <v>302217496.57450002</v>
      </c>
      <c r="N26" s="100">
        <v>8598596505.1301003</v>
      </c>
      <c r="O26" s="100">
        <v>0</v>
      </c>
      <c r="P26" s="100">
        <f t="shared" si="3"/>
        <v>8598596505.1301003</v>
      </c>
      <c r="Q26" s="102">
        <f t="shared" si="4"/>
        <v>19814223600.226448</v>
      </c>
      <c r="R26" s="102">
        <f t="shared" si="5"/>
        <v>19490017633.606445</v>
      </c>
      <c r="S26" s="97">
        <v>17</v>
      </c>
      <c r="AF26" s="95">
        <v>0</v>
      </c>
    </row>
    <row r="27" spans="1:32" ht="30" customHeight="1">
      <c r="A27" s="97">
        <v>18</v>
      </c>
      <c r="B27" s="98" t="s">
        <v>92</v>
      </c>
      <c r="C27" s="103">
        <v>23</v>
      </c>
      <c r="D27" s="100">
        <v>12786328688.156488</v>
      </c>
      <c r="E27" s="100">
        <v>0</v>
      </c>
      <c r="F27" s="101">
        <f t="shared" si="0"/>
        <v>12786328688.156488</v>
      </c>
      <c r="G27" s="100">
        <v>5493901125.5799999</v>
      </c>
      <c r="H27" s="100">
        <v>0</v>
      </c>
      <c r="I27" s="100">
        <f>5930085392.82-H27-G27</f>
        <v>436184267.23999977</v>
      </c>
      <c r="J27" s="100">
        <f t="shared" si="1"/>
        <v>6856243295.3364887</v>
      </c>
      <c r="K27" s="100">
        <v>354082948.28740001</v>
      </c>
      <c r="L27" s="100">
        <f>K27/2</f>
        <v>177041474.1437</v>
      </c>
      <c r="M27" s="100">
        <f t="shared" si="2"/>
        <v>177041474.1437</v>
      </c>
      <c r="N27" s="100">
        <v>9690957467.5485001</v>
      </c>
      <c r="O27" s="100">
        <v>0</v>
      </c>
      <c r="P27" s="100">
        <f t="shared" si="3"/>
        <v>9690957467.5485001</v>
      </c>
      <c r="Q27" s="102">
        <f t="shared" si="4"/>
        <v>22831369103.992386</v>
      </c>
      <c r="R27" s="102">
        <f t="shared" si="5"/>
        <v>16724242237.028688</v>
      </c>
      <c r="S27" s="97">
        <v>18</v>
      </c>
      <c r="AF27" s="95">
        <v>0</v>
      </c>
    </row>
    <row r="28" spans="1:32" ht="30" customHeight="1">
      <c r="A28" s="97">
        <v>19</v>
      </c>
      <c r="B28" s="98" t="s">
        <v>93</v>
      </c>
      <c r="C28" s="103">
        <v>44</v>
      </c>
      <c r="D28" s="100">
        <v>15479274377.425867</v>
      </c>
      <c r="E28" s="100">
        <v>0</v>
      </c>
      <c r="F28" s="101">
        <f t="shared" si="0"/>
        <v>15479274377.425867</v>
      </c>
      <c r="G28" s="100">
        <v>821112432.65999997</v>
      </c>
      <c r="H28" s="100">
        <v>292615190</v>
      </c>
      <c r="I28" s="100">
        <f>1366430782.66-H28-G28</f>
        <v>252703160.00000012</v>
      </c>
      <c r="J28" s="100">
        <f t="shared" si="1"/>
        <v>14112843594.765867</v>
      </c>
      <c r="K28" s="100">
        <v>428656828.91329998</v>
      </c>
      <c r="L28" s="100">
        <v>0</v>
      </c>
      <c r="M28" s="100">
        <f t="shared" si="2"/>
        <v>428656828.91329998</v>
      </c>
      <c r="N28" s="100">
        <v>11297856192.5103</v>
      </c>
      <c r="O28" s="100">
        <v>0</v>
      </c>
      <c r="P28" s="100">
        <f t="shared" si="3"/>
        <v>11297856192.5103</v>
      </c>
      <c r="Q28" s="102">
        <f t="shared" si="4"/>
        <v>27205787398.849464</v>
      </c>
      <c r="R28" s="102">
        <f t="shared" si="5"/>
        <v>25839356616.189468</v>
      </c>
      <c r="S28" s="97">
        <v>19</v>
      </c>
      <c r="AF28" s="95">
        <v>0</v>
      </c>
    </row>
    <row r="29" spans="1:32" ht="30" customHeight="1">
      <c r="A29" s="97">
        <v>20</v>
      </c>
      <c r="B29" s="98" t="s">
        <v>94</v>
      </c>
      <c r="C29" s="103">
        <v>34</v>
      </c>
      <c r="D29" s="100">
        <v>11995997103.082897</v>
      </c>
      <c r="E29" s="100">
        <v>0</v>
      </c>
      <c r="F29" s="101">
        <f t="shared" si="0"/>
        <v>11995997103.082897</v>
      </c>
      <c r="G29" s="100">
        <v>1769238725.3399999</v>
      </c>
      <c r="H29" s="100">
        <v>850000000</v>
      </c>
      <c r="I29" s="100">
        <f>2619238725.34-H29-G29</f>
        <v>0</v>
      </c>
      <c r="J29" s="100">
        <f t="shared" si="1"/>
        <v>9376758377.742897</v>
      </c>
      <c r="K29" s="100">
        <v>332196842.85460001</v>
      </c>
      <c r="L29" s="100">
        <v>0</v>
      </c>
      <c r="M29" s="100">
        <f t="shared" si="2"/>
        <v>332196842.85460001</v>
      </c>
      <c r="N29" s="100">
        <v>8685495699.6825008</v>
      </c>
      <c r="O29" s="100">
        <v>0</v>
      </c>
      <c r="P29" s="100">
        <f t="shared" si="3"/>
        <v>8685495699.6825008</v>
      </c>
      <c r="Q29" s="102">
        <f t="shared" si="4"/>
        <v>21013689645.619999</v>
      </c>
      <c r="R29" s="102">
        <f t="shared" si="5"/>
        <v>18394450920.279999</v>
      </c>
      <c r="S29" s="97">
        <v>20</v>
      </c>
      <c r="AF29" s="95">
        <v>0</v>
      </c>
    </row>
    <row r="30" spans="1:32" ht="30" customHeight="1">
      <c r="A30" s="97">
        <v>21</v>
      </c>
      <c r="B30" s="98" t="s">
        <v>95</v>
      </c>
      <c r="C30" s="103">
        <v>21</v>
      </c>
      <c r="D30" s="100">
        <v>10304621360.181526</v>
      </c>
      <c r="E30" s="100">
        <v>0</v>
      </c>
      <c r="F30" s="101">
        <f t="shared" si="0"/>
        <v>10304621360.181526</v>
      </c>
      <c r="G30" s="100">
        <v>482422600.20999998</v>
      </c>
      <c r="H30" s="100">
        <v>0</v>
      </c>
      <c r="I30" s="100">
        <f>548623651.82-H30-G30</f>
        <v>66201051.610000074</v>
      </c>
      <c r="J30" s="100">
        <f t="shared" si="1"/>
        <v>9755997708.3615265</v>
      </c>
      <c r="K30" s="100">
        <v>285358745.35890001</v>
      </c>
      <c r="L30" s="100">
        <f t="shared" ref="L30:L32" si="8">K30/2</f>
        <v>142679372.67945001</v>
      </c>
      <c r="M30" s="100">
        <f t="shared" si="2"/>
        <v>142679372.67945001</v>
      </c>
      <c r="N30" s="100">
        <v>7031753481.1255999</v>
      </c>
      <c r="O30" s="100">
        <v>0</v>
      </c>
      <c r="P30" s="100">
        <f t="shared" si="3"/>
        <v>7031753481.1255999</v>
      </c>
      <c r="Q30" s="102">
        <f t="shared" si="4"/>
        <v>17621733586.666027</v>
      </c>
      <c r="R30" s="102">
        <f t="shared" si="5"/>
        <v>16930430562.166576</v>
      </c>
      <c r="S30" s="97">
        <v>21</v>
      </c>
      <c r="AF30" s="95">
        <v>0</v>
      </c>
    </row>
    <row r="31" spans="1:32" ht="30" customHeight="1">
      <c r="A31" s="97">
        <v>22</v>
      </c>
      <c r="B31" s="98" t="s">
        <v>96</v>
      </c>
      <c r="C31" s="103">
        <v>21</v>
      </c>
      <c r="D31" s="100">
        <v>10785827697.789303</v>
      </c>
      <c r="E31" s="100">
        <v>18957.6126</v>
      </c>
      <c r="F31" s="101">
        <f t="shared" si="0"/>
        <v>10785846655.401903</v>
      </c>
      <c r="G31" s="100">
        <v>884512693.77999997</v>
      </c>
      <c r="H31" s="100">
        <v>0</v>
      </c>
      <c r="I31" s="100">
        <f>1610134958.53-H31-G31</f>
        <v>725622264.75</v>
      </c>
      <c r="J31" s="100">
        <f t="shared" si="1"/>
        <v>9175711696.8719025</v>
      </c>
      <c r="K31" s="100">
        <v>298684459.32340002</v>
      </c>
      <c r="L31" s="100">
        <f t="shared" si="8"/>
        <v>149342229.66170001</v>
      </c>
      <c r="M31" s="100">
        <f t="shared" si="2"/>
        <v>149342229.66170001</v>
      </c>
      <c r="N31" s="100">
        <v>7139240675.7693005</v>
      </c>
      <c r="O31" s="100">
        <v>0</v>
      </c>
      <c r="P31" s="100">
        <f t="shared" si="3"/>
        <v>7139240675.7693005</v>
      </c>
      <c r="Q31" s="102">
        <f t="shared" si="4"/>
        <v>18223771790.494606</v>
      </c>
      <c r="R31" s="102">
        <f t="shared" si="5"/>
        <v>16464294602.302902</v>
      </c>
      <c r="S31" s="97">
        <v>22</v>
      </c>
      <c r="AF31" s="95">
        <v>0</v>
      </c>
    </row>
    <row r="32" spans="1:32" ht="30" customHeight="1">
      <c r="A32" s="97">
        <v>23</v>
      </c>
      <c r="B32" s="98" t="s">
        <v>97</v>
      </c>
      <c r="C32" s="103">
        <v>16</v>
      </c>
      <c r="D32" s="100">
        <v>8686864924.6559124</v>
      </c>
      <c r="E32" s="100">
        <v>0</v>
      </c>
      <c r="F32" s="101">
        <f t="shared" si="0"/>
        <v>8686864924.6559124</v>
      </c>
      <c r="G32" s="100">
        <v>357485838.83999997</v>
      </c>
      <c r="H32" s="100">
        <v>559212440.21000004</v>
      </c>
      <c r="I32" s="100">
        <f>1128162934.19-H32-G32</f>
        <v>211464655.14000005</v>
      </c>
      <c r="J32" s="100">
        <f t="shared" si="1"/>
        <v>7558701990.4659119</v>
      </c>
      <c r="K32" s="100">
        <v>240559336.37509999</v>
      </c>
      <c r="L32" s="100">
        <f t="shared" si="8"/>
        <v>120279668.18754999</v>
      </c>
      <c r="M32" s="100">
        <f t="shared" si="2"/>
        <v>120279668.18754999</v>
      </c>
      <c r="N32" s="100">
        <v>6672908766.1141005</v>
      </c>
      <c r="O32" s="100">
        <v>0</v>
      </c>
      <c r="P32" s="100">
        <f t="shared" si="3"/>
        <v>6672908766.1141005</v>
      </c>
      <c r="Q32" s="102">
        <f t="shared" si="4"/>
        <v>15600333027.145111</v>
      </c>
      <c r="R32" s="102">
        <f t="shared" si="5"/>
        <v>14351890424.767563</v>
      </c>
      <c r="S32" s="97">
        <v>23</v>
      </c>
      <c r="AF32" s="95">
        <v>0</v>
      </c>
    </row>
    <row r="33" spans="1:32" ht="30" customHeight="1">
      <c r="A33" s="97">
        <v>24</v>
      </c>
      <c r="B33" s="98" t="s">
        <v>98</v>
      </c>
      <c r="C33" s="103">
        <v>20</v>
      </c>
      <c r="D33" s="100">
        <v>13073251397.461309</v>
      </c>
      <c r="E33" s="100">
        <v>0</v>
      </c>
      <c r="F33" s="101">
        <f t="shared" si="0"/>
        <v>13073251397.461309</v>
      </c>
      <c r="G33" s="100">
        <v>8338643520.0100002</v>
      </c>
      <c r="H33" s="100">
        <v>0</v>
      </c>
      <c r="I33" s="100">
        <f>8338643520.01-H33-G33</f>
        <v>0</v>
      </c>
      <c r="J33" s="100">
        <f t="shared" si="1"/>
        <v>4734607877.4513092</v>
      </c>
      <c r="K33" s="100">
        <v>362028500.2374</v>
      </c>
      <c r="L33" s="100">
        <v>0</v>
      </c>
      <c r="M33" s="100">
        <f t="shared" si="2"/>
        <v>362028500.2374</v>
      </c>
      <c r="N33" s="100">
        <v>65137777176.046501</v>
      </c>
      <c r="O33" s="100">
        <v>9886025186.9699993</v>
      </c>
      <c r="P33" s="100">
        <f t="shared" si="3"/>
        <v>55251751989.0765</v>
      </c>
      <c r="Q33" s="102">
        <f t="shared" si="4"/>
        <v>78573057073.745209</v>
      </c>
      <c r="R33" s="102">
        <f t="shared" si="5"/>
        <v>60348388366.765213</v>
      </c>
      <c r="S33" s="97">
        <v>24</v>
      </c>
      <c r="AF33" s="95">
        <v>0</v>
      </c>
    </row>
    <row r="34" spans="1:32" ht="30" customHeight="1">
      <c r="A34" s="97">
        <v>25</v>
      </c>
      <c r="B34" s="98" t="s">
        <v>99</v>
      </c>
      <c r="C34" s="103">
        <v>13</v>
      </c>
      <c r="D34" s="100">
        <v>8999610727.885891</v>
      </c>
      <c r="E34" s="100">
        <v>0</v>
      </c>
      <c r="F34" s="101">
        <f t="shared" si="0"/>
        <v>8999610727.885891</v>
      </c>
      <c r="G34" s="100">
        <v>228507906.65000001</v>
      </c>
      <c r="H34" s="100">
        <v>0</v>
      </c>
      <c r="I34" s="100">
        <f>228507906.65-H34-G34</f>
        <v>0</v>
      </c>
      <c r="J34" s="100">
        <f t="shared" si="1"/>
        <v>8771102821.2358913</v>
      </c>
      <c r="K34" s="100">
        <v>249219989.3876</v>
      </c>
      <c r="L34" s="100">
        <f>K34/2</f>
        <v>124609994.6938</v>
      </c>
      <c r="M34" s="100">
        <f t="shared" si="2"/>
        <v>124609994.6938</v>
      </c>
      <c r="N34" s="100">
        <v>6417745368.0460997</v>
      </c>
      <c r="O34" s="100">
        <v>0</v>
      </c>
      <c r="P34" s="100">
        <f t="shared" si="3"/>
        <v>6417745368.0460997</v>
      </c>
      <c r="Q34" s="102">
        <f t="shared" si="4"/>
        <v>15666576085.319592</v>
      </c>
      <c r="R34" s="102">
        <f t="shared" si="5"/>
        <v>15313458183.975792</v>
      </c>
      <c r="S34" s="97">
        <v>25</v>
      </c>
      <c r="AF34" s="95">
        <v>0</v>
      </c>
    </row>
    <row r="35" spans="1:32" ht="30" customHeight="1">
      <c r="A35" s="97">
        <v>26</v>
      </c>
      <c r="B35" s="98" t="s">
        <v>100</v>
      </c>
      <c r="C35" s="103">
        <v>25</v>
      </c>
      <c r="D35" s="100">
        <v>11559599281.149626</v>
      </c>
      <c r="E35" s="100">
        <v>0</v>
      </c>
      <c r="F35" s="101">
        <f t="shared" si="0"/>
        <v>11559599281.149626</v>
      </c>
      <c r="G35" s="100">
        <v>1207822626.7</v>
      </c>
      <c r="H35" s="100">
        <v>204703894.31999999</v>
      </c>
      <c r="I35" s="100">
        <f>1866738924.01-H35-G35</f>
        <v>454212402.99000001</v>
      </c>
      <c r="J35" s="100">
        <f t="shared" si="1"/>
        <v>9692860357.1396255</v>
      </c>
      <c r="K35" s="100">
        <v>320111980.0934</v>
      </c>
      <c r="L35" s="100">
        <f t="shared" ref="L35:L37" si="9">K35/2</f>
        <v>160055990.0467</v>
      </c>
      <c r="M35" s="100">
        <f t="shared" si="2"/>
        <v>160055990.0467</v>
      </c>
      <c r="N35" s="100">
        <v>7425913908.9035997</v>
      </c>
      <c r="O35" s="100">
        <v>0</v>
      </c>
      <c r="P35" s="100">
        <f t="shared" si="3"/>
        <v>7425913908.9035997</v>
      </c>
      <c r="Q35" s="102">
        <f t="shared" si="4"/>
        <v>19305625170.146626</v>
      </c>
      <c r="R35" s="102">
        <f t="shared" si="5"/>
        <v>17278830256.089924</v>
      </c>
      <c r="S35" s="97">
        <v>26</v>
      </c>
      <c r="AF35" s="95">
        <v>0</v>
      </c>
    </row>
    <row r="36" spans="1:32" ht="30" customHeight="1">
      <c r="A36" s="97">
        <v>27</v>
      </c>
      <c r="B36" s="98" t="s">
        <v>101</v>
      </c>
      <c r="C36" s="103">
        <v>20</v>
      </c>
      <c r="D36" s="100">
        <v>9066450852.6413708</v>
      </c>
      <c r="E36" s="100">
        <v>0</v>
      </c>
      <c r="F36" s="101">
        <f t="shared" si="0"/>
        <v>9066450852.6413708</v>
      </c>
      <c r="G36" s="100">
        <v>1852468620.3</v>
      </c>
      <c r="H36" s="100">
        <v>500000000</v>
      </c>
      <c r="I36" s="100">
        <f>3076250580.13-H36-G36</f>
        <v>723781959.83000016</v>
      </c>
      <c r="J36" s="100">
        <f t="shared" si="1"/>
        <v>5990200272.5113707</v>
      </c>
      <c r="K36" s="100">
        <v>251070946.68849999</v>
      </c>
      <c r="L36" s="100">
        <v>0</v>
      </c>
      <c r="M36" s="100">
        <f t="shared" si="2"/>
        <v>251070946.68849999</v>
      </c>
      <c r="N36" s="100">
        <v>7741359428.4881001</v>
      </c>
      <c r="O36" s="100">
        <v>0</v>
      </c>
      <c r="P36" s="100">
        <f t="shared" si="3"/>
        <v>7741359428.4881001</v>
      </c>
      <c r="Q36" s="102">
        <f t="shared" si="4"/>
        <v>17058881227.81797</v>
      </c>
      <c r="R36" s="102">
        <f t="shared" si="5"/>
        <v>13982630647.687971</v>
      </c>
      <c r="S36" s="97">
        <v>27</v>
      </c>
      <c r="AF36" s="95">
        <v>0</v>
      </c>
    </row>
    <row r="37" spans="1:32" ht="30" customHeight="1">
      <c r="A37" s="97">
        <v>28</v>
      </c>
      <c r="B37" s="98" t="s">
        <v>102</v>
      </c>
      <c r="C37" s="103">
        <v>18</v>
      </c>
      <c r="D37" s="100">
        <v>9084412507.1629944</v>
      </c>
      <c r="E37" s="100">
        <v>4732007424.0769997</v>
      </c>
      <c r="F37" s="101">
        <f t="shared" si="0"/>
        <v>13816419931.239994</v>
      </c>
      <c r="G37" s="100">
        <v>319123103.31</v>
      </c>
      <c r="H37" s="100">
        <v>644248762.91999996</v>
      </c>
      <c r="I37" s="100">
        <f>1050241973.49-H37-G37</f>
        <v>86870107.26000005</v>
      </c>
      <c r="J37" s="100">
        <f t="shared" si="1"/>
        <v>12766177957.749994</v>
      </c>
      <c r="K37" s="100">
        <v>251568346.3522</v>
      </c>
      <c r="L37" s="100">
        <f t="shared" si="9"/>
        <v>125784173.1761</v>
      </c>
      <c r="M37" s="100">
        <f t="shared" si="2"/>
        <v>125784173.1761</v>
      </c>
      <c r="N37" s="100">
        <v>8153093328.5698004</v>
      </c>
      <c r="O37" s="100">
        <v>0</v>
      </c>
      <c r="P37" s="100">
        <f t="shared" si="3"/>
        <v>8153093328.5698004</v>
      </c>
      <c r="Q37" s="102">
        <f t="shared" si="4"/>
        <v>22221081606.161995</v>
      </c>
      <c r="R37" s="102">
        <f t="shared" si="5"/>
        <v>21045055459.495895</v>
      </c>
      <c r="S37" s="97">
        <v>28</v>
      </c>
      <c r="AF37" s="95">
        <v>0</v>
      </c>
    </row>
    <row r="38" spans="1:32" ht="30" customHeight="1">
      <c r="A38" s="97">
        <v>29</v>
      </c>
      <c r="B38" s="98" t="s">
        <v>103</v>
      </c>
      <c r="C38" s="103">
        <v>30</v>
      </c>
      <c r="D38" s="100">
        <v>8900244787.2932186</v>
      </c>
      <c r="E38" s="100">
        <v>0</v>
      </c>
      <c r="F38" s="101">
        <f t="shared" si="0"/>
        <v>8900244787.2932186</v>
      </c>
      <c r="G38" s="100">
        <v>756764825.70000005</v>
      </c>
      <c r="H38" s="100">
        <v>0</v>
      </c>
      <c r="I38" s="100">
        <f>1899035769.71-H38-G38</f>
        <v>1142270944.01</v>
      </c>
      <c r="J38" s="100">
        <f t="shared" si="1"/>
        <v>7001209017.5832186</v>
      </c>
      <c r="K38" s="100">
        <v>246468317.1866</v>
      </c>
      <c r="L38" s="100">
        <v>0</v>
      </c>
      <c r="M38" s="100">
        <f t="shared" si="2"/>
        <v>246468317.1866</v>
      </c>
      <c r="N38" s="100">
        <v>7190099568.1173</v>
      </c>
      <c r="O38" s="100">
        <v>0</v>
      </c>
      <c r="P38" s="100">
        <f t="shared" si="3"/>
        <v>7190099568.1173</v>
      </c>
      <c r="Q38" s="102">
        <f t="shared" si="4"/>
        <v>16336812672.597118</v>
      </c>
      <c r="R38" s="102">
        <f t="shared" si="5"/>
        <v>14437776902.887119</v>
      </c>
      <c r="S38" s="97">
        <v>29</v>
      </c>
      <c r="AF38" s="95">
        <v>0</v>
      </c>
    </row>
    <row r="39" spans="1:32" ht="30" customHeight="1">
      <c r="A39" s="97">
        <v>30</v>
      </c>
      <c r="B39" s="98" t="s">
        <v>104</v>
      </c>
      <c r="C39" s="103">
        <v>33</v>
      </c>
      <c r="D39" s="100">
        <v>10945552367.508781</v>
      </c>
      <c r="E39" s="100">
        <v>0</v>
      </c>
      <c r="F39" s="101">
        <f t="shared" si="0"/>
        <v>10945552367.508781</v>
      </c>
      <c r="G39" s="100">
        <v>1412349618.8099999</v>
      </c>
      <c r="H39" s="100">
        <v>0</v>
      </c>
      <c r="I39" s="100">
        <f>2640798274.14-H39-G39</f>
        <v>1228448655.3299999</v>
      </c>
      <c r="J39" s="100">
        <f t="shared" si="1"/>
        <v>8304754093.368782</v>
      </c>
      <c r="K39" s="100">
        <v>303107604.02329999</v>
      </c>
      <c r="L39" s="100">
        <v>0</v>
      </c>
      <c r="M39" s="100">
        <f t="shared" si="2"/>
        <v>303107604.02329999</v>
      </c>
      <c r="N39" s="100">
        <v>13412011042.9823</v>
      </c>
      <c r="O39" s="100">
        <v>0</v>
      </c>
      <c r="P39" s="100">
        <f t="shared" si="3"/>
        <v>13412011042.9823</v>
      </c>
      <c r="Q39" s="102">
        <f t="shared" si="4"/>
        <v>24660671014.514381</v>
      </c>
      <c r="R39" s="102">
        <f t="shared" si="5"/>
        <v>22019872740.374382</v>
      </c>
      <c r="S39" s="97">
        <v>30</v>
      </c>
      <c r="AF39" s="95">
        <v>0</v>
      </c>
    </row>
    <row r="40" spans="1:32" ht="30" customHeight="1">
      <c r="A40" s="97">
        <v>31</v>
      </c>
      <c r="B40" s="98" t="s">
        <v>105</v>
      </c>
      <c r="C40" s="103">
        <v>17</v>
      </c>
      <c r="D40" s="100">
        <v>10190669952.651909</v>
      </c>
      <c r="E40" s="100">
        <v>0</v>
      </c>
      <c r="F40" s="101">
        <f t="shared" si="0"/>
        <v>10190669952.651909</v>
      </c>
      <c r="G40" s="100">
        <v>690122272.12</v>
      </c>
      <c r="H40" s="100">
        <v>630535139.40999997</v>
      </c>
      <c r="I40" s="100">
        <f>1960164169.2-H40-G40</f>
        <v>639506757.66999996</v>
      </c>
      <c r="J40" s="100">
        <f t="shared" si="1"/>
        <v>8230505783.4519081</v>
      </c>
      <c r="K40" s="100">
        <v>282203167.91960001</v>
      </c>
      <c r="L40" s="100">
        <f t="shared" ref="L40:L41" si="10">K40/2</f>
        <v>141101583.9598</v>
      </c>
      <c r="M40" s="100">
        <f t="shared" si="2"/>
        <v>141101583.9598</v>
      </c>
      <c r="N40" s="100">
        <v>7454270734.7087002</v>
      </c>
      <c r="O40" s="100">
        <v>0</v>
      </c>
      <c r="P40" s="100">
        <f t="shared" si="3"/>
        <v>7454270734.7087002</v>
      </c>
      <c r="Q40" s="102">
        <f t="shared" si="4"/>
        <v>17927143855.280209</v>
      </c>
      <c r="R40" s="102">
        <f t="shared" si="5"/>
        <v>15825878102.120407</v>
      </c>
      <c r="S40" s="97">
        <v>31</v>
      </c>
      <c r="AF40" s="95">
        <v>0</v>
      </c>
    </row>
    <row r="41" spans="1:32" ht="30" customHeight="1">
      <c r="A41" s="97">
        <v>32</v>
      </c>
      <c r="B41" s="98" t="s">
        <v>106</v>
      </c>
      <c r="C41" s="103">
        <v>23</v>
      </c>
      <c r="D41" s="100">
        <v>10524550710.387844</v>
      </c>
      <c r="E41" s="100">
        <v>31288835631.050301</v>
      </c>
      <c r="F41" s="101">
        <f t="shared" si="0"/>
        <v>41813386341.438141</v>
      </c>
      <c r="G41" s="100">
        <v>1478178567.9000001</v>
      </c>
      <c r="H41" s="100">
        <v>0</v>
      </c>
      <c r="I41" s="100">
        <f>2966451119.9-H41-G41</f>
        <v>1488272552</v>
      </c>
      <c r="J41" s="100">
        <f t="shared" si="1"/>
        <v>38846935221.538139</v>
      </c>
      <c r="K41" s="100">
        <v>291449096.59539998</v>
      </c>
      <c r="L41" s="100">
        <f t="shared" si="10"/>
        <v>145724548.29769999</v>
      </c>
      <c r="M41" s="100">
        <f t="shared" si="2"/>
        <v>145724548.29769999</v>
      </c>
      <c r="N41" s="100">
        <v>31324245690.9063</v>
      </c>
      <c r="O41" s="100">
        <v>0</v>
      </c>
      <c r="P41" s="100">
        <f t="shared" si="3"/>
        <v>31324245690.9063</v>
      </c>
      <c r="Q41" s="102">
        <f t="shared" si="4"/>
        <v>73429081128.939835</v>
      </c>
      <c r="R41" s="102">
        <f t="shared" si="5"/>
        <v>70316905460.742142</v>
      </c>
      <c r="S41" s="97">
        <v>32</v>
      </c>
      <c r="AF41" s="95">
        <v>0</v>
      </c>
    </row>
    <row r="42" spans="1:32" ht="30" customHeight="1">
      <c r="A42" s="97">
        <v>33</v>
      </c>
      <c r="B42" s="98" t="s">
        <v>107</v>
      </c>
      <c r="C42" s="103">
        <v>23</v>
      </c>
      <c r="D42" s="100">
        <v>10755135378.692719</v>
      </c>
      <c r="E42" s="100">
        <v>0</v>
      </c>
      <c r="F42" s="101">
        <f t="shared" si="0"/>
        <v>10755135378.692719</v>
      </c>
      <c r="G42" s="100">
        <v>536506322.13999999</v>
      </c>
      <c r="H42" s="100">
        <v>206017834</v>
      </c>
      <c r="I42" s="100">
        <f>1561489886.85-H42-G42</f>
        <v>818965730.70999992</v>
      </c>
      <c r="J42" s="100">
        <f t="shared" si="1"/>
        <v>9193645491.84272</v>
      </c>
      <c r="K42" s="100">
        <v>297834518.17919999</v>
      </c>
      <c r="L42" s="100">
        <v>0</v>
      </c>
      <c r="M42" s="100">
        <f t="shared" si="2"/>
        <v>297834518.17919999</v>
      </c>
      <c r="N42" s="100">
        <v>7538466343.3233004</v>
      </c>
      <c r="O42" s="100">
        <v>0</v>
      </c>
      <c r="P42" s="100">
        <f t="shared" si="3"/>
        <v>7538466343.3233004</v>
      </c>
      <c r="Q42" s="102">
        <f t="shared" si="4"/>
        <v>18591436240.195217</v>
      </c>
      <c r="R42" s="102">
        <f t="shared" si="5"/>
        <v>17029946353.345219</v>
      </c>
      <c r="S42" s="97">
        <v>33</v>
      </c>
      <c r="AF42" s="95">
        <v>0</v>
      </c>
    </row>
    <row r="43" spans="1:32" ht="30" customHeight="1">
      <c r="A43" s="97">
        <v>34</v>
      </c>
      <c r="B43" s="98" t="s">
        <v>108</v>
      </c>
      <c r="C43" s="103">
        <v>16</v>
      </c>
      <c r="D43" s="100">
        <v>9400437680.3779125</v>
      </c>
      <c r="E43" s="100">
        <v>0</v>
      </c>
      <c r="F43" s="101">
        <f t="shared" si="0"/>
        <v>9400437680.3779125</v>
      </c>
      <c r="G43" s="100">
        <v>210019696.06</v>
      </c>
      <c r="H43" s="100">
        <v>0</v>
      </c>
      <c r="I43" s="100">
        <f>360456180.39-H43-G43</f>
        <v>150436484.32999998</v>
      </c>
      <c r="J43" s="100">
        <f t="shared" si="1"/>
        <v>9039981499.9879131</v>
      </c>
      <c r="K43" s="100">
        <v>260319812.68740001</v>
      </c>
      <c r="L43" s="100">
        <f>K43/2</f>
        <v>130159906.34370001</v>
      </c>
      <c r="M43" s="100">
        <f t="shared" si="2"/>
        <v>130159906.34370001</v>
      </c>
      <c r="N43" s="100">
        <v>8224413135.4305</v>
      </c>
      <c r="O43" s="100">
        <v>0</v>
      </c>
      <c r="P43" s="100">
        <f t="shared" si="3"/>
        <v>8224413135.4305</v>
      </c>
      <c r="Q43" s="102">
        <f t="shared" si="4"/>
        <v>17885170628.495811</v>
      </c>
      <c r="R43" s="102">
        <f t="shared" si="5"/>
        <v>17394554541.762115</v>
      </c>
      <c r="S43" s="97">
        <v>34</v>
      </c>
      <c r="AF43" s="95">
        <v>0</v>
      </c>
    </row>
    <row r="44" spans="1:32" ht="30" customHeight="1">
      <c r="A44" s="97">
        <v>35</v>
      </c>
      <c r="B44" s="98" t="s">
        <v>109</v>
      </c>
      <c r="C44" s="103">
        <v>17</v>
      </c>
      <c r="D44" s="100">
        <v>9690644519.0868721</v>
      </c>
      <c r="E44" s="100">
        <v>0</v>
      </c>
      <c r="F44" s="101">
        <f t="shared" si="0"/>
        <v>9690644519.0868721</v>
      </c>
      <c r="G44" s="100">
        <v>254301847.36000001</v>
      </c>
      <c r="H44" s="100">
        <v>0</v>
      </c>
      <c r="I44" s="100">
        <f>914126721.77-H44-G44</f>
        <v>659824874.40999997</v>
      </c>
      <c r="J44" s="100">
        <f t="shared" si="1"/>
        <v>8776517797.3168716</v>
      </c>
      <c r="K44" s="100">
        <v>268356309.75929999</v>
      </c>
      <c r="L44" s="100">
        <v>0</v>
      </c>
      <c r="M44" s="100">
        <f t="shared" si="2"/>
        <v>268356309.75929999</v>
      </c>
      <c r="N44" s="100">
        <v>6843631555.1576996</v>
      </c>
      <c r="O44" s="100">
        <v>0</v>
      </c>
      <c r="P44" s="100">
        <f t="shared" si="3"/>
        <v>6843631555.1576996</v>
      </c>
      <c r="Q44" s="102">
        <f t="shared" si="4"/>
        <v>16802632384.003872</v>
      </c>
      <c r="R44" s="102">
        <f t="shared" si="5"/>
        <v>15888505662.233871</v>
      </c>
      <c r="S44" s="97">
        <v>35</v>
      </c>
      <c r="AF44" s="95">
        <v>0</v>
      </c>
    </row>
    <row r="45" spans="1:32" ht="30" customHeight="1">
      <c r="A45" s="97">
        <v>36</v>
      </c>
      <c r="B45" s="98" t="s">
        <v>110</v>
      </c>
      <c r="C45" s="103">
        <v>14</v>
      </c>
      <c r="D45" s="100">
        <v>9711282762.2961903</v>
      </c>
      <c r="E45" s="100">
        <v>0</v>
      </c>
      <c r="F45" s="101">
        <f t="shared" si="0"/>
        <v>9711282762.2961903</v>
      </c>
      <c r="G45" s="100">
        <v>207943588.86000001</v>
      </c>
      <c r="H45" s="100">
        <v>422213140</v>
      </c>
      <c r="I45" s="100">
        <f>986891521.52-H45-G45</f>
        <v>356734792.65999997</v>
      </c>
      <c r="J45" s="100">
        <f t="shared" si="1"/>
        <v>8724391240.7761898</v>
      </c>
      <c r="K45" s="100">
        <v>268927830.3405</v>
      </c>
      <c r="L45" s="100">
        <v>0</v>
      </c>
      <c r="M45" s="100">
        <f t="shared" si="2"/>
        <v>268927830.3405</v>
      </c>
      <c r="N45" s="100">
        <v>7701479143.5718002</v>
      </c>
      <c r="O45" s="100">
        <v>0</v>
      </c>
      <c r="P45" s="100">
        <f t="shared" si="3"/>
        <v>7701479143.5718002</v>
      </c>
      <c r="Q45" s="102">
        <f t="shared" si="4"/>
        <v>17681689736.208488</v>
      </c>
      <c r="R45" s="102">
        <f t="shared" si="5"/>
        <v>16694798214.68849</v>
      </c>
      <c r="S45" s="97">
        <v>36</v>
      </c>
      <c r="AF45" s="95">
        <v>0</v>
      </c>
    </row>
    <row r="46" spans="1:32" ht="30" customHeight="1">
      <c r="A46" s="97"/>
      <c r="B46" s="157" t="s">
        <v>24</v>
      </c>
      <c r="C46" s="157"/>
      <c r="D46" s="104">
        <f t="shared" ref="D46:R46" si="11">SUM(D10:D45)</f>
        <v>370061527219.80042</v>
      </c>
      <c r="E46" s="104">
        <f t="shared" si="11"/>
        <v>188131688264.3288</v>
      </c>
      <c r="F46" s="104">
        <f t="shared" si="11"/>
        <v>558193215484.12915</v>
      </c>
      <c r="G46" s="104">
        <f>SUM(G10:G45)</f>
        <v>41999801054.149994</v>
      </c>
      <c r="H46" s="104">
        <f t="shared" si="11"/>
        <v>9364909387.6299992</v>
      </c>
      <c r="I46" s="104">
        <f t="shared" si="11"/>
        <v>18419363325.890003</v>
      </c>
      <c r="J46" s="104">
        <f t="shared" si="11"/>
        <v>488409141716.45917</v>
      </c>
      <c r="K46" s="104">
        <f t="shared" si="11"/>
        <v>10247857676.856001</v>
      </c>
      <c r="L46" s="104">
        <f t="shared" si="11"/>
        <v>2617439497.7845502</v>
      </c>
      <c r="M46" s="104">
        <f t="shared" si="11"/>
        <v>7630418179.0714512</v>
      </c>
      <c r="N46" s="104">
        <f t="shared" si="11"/>
        <v>362221855138.8075</v>
      </c>
      <c r="O46" s="104">
        <f t="shared" si="11"/>
        <v>9886025186.9699993</v>
      </c>
      <c r="P46" s="104">
        <f t="shared" si="11"/>
        <v>352335829951.83752</v>
      </c>
      <c r="Q46" s="104">
        <f t="shared" si="11"/>
        <v>930662928299.79272</v>
      </c>
      <c r="R46" s="104">
        <f t="shared" si="11"/>
        <v>848375389847.36816</v>
      </c>
      <c r="S46" s="104"/>
    </row>
    <row r="47" spans="1:32">
      <c r="B47" s="105"/>
      <c r="C47" s="96"/>
      <c r="D47" s="92"/>
      <c r="E47" s="106"/>
      <c r="F47" s="96"/>
      <c r="G47" s="92"/>
      <c r="H47" s="92"/>
      <c r="I47" s="92"/>
      <c r="J47" s="107"/>
      <c r="K47" s="106"/>
      <c r="L47" s="106"/>
      <c r="M47" s="106"/>
      <c r="N47" s="106"/>
      <c r="O47" s="106"/>
      <c r="P47" s="106"/>
      <c r="Q47" s="95"/>
    </row>
    <row r="48" spans="1:32">
      <c r="B48" s="96"/>
      <c r="C48" s="96"/>
      <c r="D48" s="96"/>
      <c r="E48" s="96"/>
      <c r="F48" s="92"/>
      <c r="G48" s="92"/>
      <c r="H48" s="96"/>
      <c r="I48" s="92"/>
      <c r="J48" s="92"/>
      <c r="K48" s="108"/>
      <c r="L48" s="108"/>
      <c r="M48" s="108"/>
      <c r="N48" s="105"/>
      <c r="O48" s="105"/>
      <c r="P48" s="108"/>
      <c r="R48" s="80"/>
    </row>
    <row r="49" spans="1:18">
      <c r="G49" s="80"/>
      <c r="H49" s="19"/>
      <c r="I49" s="95"/>
      <c r="J49" s="80"/>
      <c r="P49" s="80"/>
      <c r="Q49" s="80"/>
      <c r="R49" s="95"/>
    </row>
    <row r="50" spans="1:18">
      <c r="C50" s="109"/>
      <c r="D50" s="19"/>
      <c r="E50" s="95"/>
      <c r="G50" s="80"/>
      <c r="H50" s="80"/>
      <c r="I50" s="95"/>
      <c r="J50" s="19"/>
      <c r="K50" s="19"/>
      <c r="M50" s="19"/>
      <c r="Q50" s="80"/>
      <c r="R50" s="80">
        <f>R46+O46+L46+I46+H46+G46</f>
        <v>930662928299.79272</v>
      </c>
    </row>
    <row r="51" spans="1:18">
      <c r="C51" s="109"/>
      <c r="D51" s="19"/>
      <c r="H51" s="80">
        <f>G46+H46+I46</f>
        <v>69784073767.669998</v>
      </c>
      <c r="J51" s="95"/>
      <c r="M51" s="80"/>
      <c r="R51" s="80"/>
    </row>
    <row r="52" spans="1:18">
      <c r="D52" s="80"/>
      <c r="H52" s="80">
        <v>69784073767.669998</v>
      </c>
      <c r="M52" s="80"/>
      <c r="P52" s="80"/>
    </row>
    <row r="53" spans="1:18">
      <c r="H53" s="95">
        <f>H51-H52</f>
        <v>0</v>
      </c>
      <c r="Q53" s="80"/>
    </row>
    <row r="54" spans="1:18" ht="20.25">
      <c r="A54" s="110" t="s">
        <v>49</v>
      </c>
    </row>
  </sheetData>
  <mergeCells count="23">
    <mergeCell ref="S7:S8"/>
    <mergeCell ref="N7:N8"/>
    <mergeCell ref="O7:O8"/>
    <mergeCell ref="P7:P8"/>
    <mergeCell ref="A1:S1"/>
    <mergeCell ref="A2:S2"/>
    <mergeCell ref="A3:S3"/>
    <mergeCell ref="A4:R4"/>
    <mergeCell ref="D5:R5"/>
    <mergeCell ref="Q7:Q8"/>
    <mergeCell ref="R7:R8"/>
    <mergeCell ref="E7:E8"/>
    <mergeCell ref="F7:F8"/>
    <mergeCell ref="J7:J8"/>
    <mergeCell ref="K7:K8"/>
    <mergeCell ref="L7:L8"/>
    <mergeCell ref="M7:M8"/>
    <mergeCell ref="G7:I7"/>
    <mergeCell ref="B46:C46"/>
    <mergeCell ref="A7:A8"/>
    <mergeCell ref="B7:B8"/>
    <mergeCell ref="C7:C8"/>
    <mergeCell ref="D7:D8"/>
  </mergeCells>
  <pageMargins left="0.109722222222222" right="0.109722222222222" top="0.35763888888888901" bottom="0.35763888888888901" header="0.29861111111111099" footer="0.29861111111111099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424"/>
  <sheetViews>
    <sheetView topLeftCell="A5" zoomScale="93" zoomScaleNormal="93" workbookViewId="0">
      <pane xSplit="4" ySplit="2" topLeftCell="Q398" activePane="bottomRight" state="frozen"/>
      <selection pane="topRight"/>
      <selection pane="bottomLeft"/>
      <selection pane="bottomRight" activeCell="W408" sqref="W408"/>
    </sheetView>
  </sheetViews>
  <sheetFormatPr defaultColWidth="9.1328125" defaultRowHeight="13.15"/>
  <cols>
    <col min="1" max="1" width="9.265625" style="1" customWidth="1"/>
    <col min="2" max="2" width="13.86328125" style="60" customWidth="1"/>
    <col min="3" max="3" width="9" style="1" customWidth="1"/>
    <col min="4" max="4" width="20.73046875" style="1" customWidth="1"/>
    <col min="5" max="9" width="19.86328125" style="1" customWidth="1"/>
    <col min="10" max="10" width="18.3984375" style="1" customWidth="1"/>
    <col min="11" max="11" width="19.73046875" style="1" customWidth="1"/>
    <col min="12" max="12" width="0.73046875" style="1" customWidth="1"/>
    <col min="13" max="13" width="4.73046875" style="1" customWidth="1"/>
    <col min="14" max="14" width="9.3984375" style="1" customWidth="1"/>
    <col min="15" max="15" width="17.86328125" style="60" customWidth="1"/>
    <col min="16" max="16" width="22.73046875" style="1" customWidth="1"/>
    <col min="17" max="18" width="21.3984375" style="1" customWidth="1"/>
    <col min="19" max="21" width="18.59765625" style="1" customWidth="1"/>
    <col min="22" max="22" width="22.1328125" style="1" customWidth="1"/>
    <col min="23" max="23" width="20.73046875" style="1" customWidth="1"/>
    <col min="24" max="24" width="14.59765625" style="1" customWidth="1"/>
    <col min="25" max="16384" width="9.1328125" style="1"/>
  </cols>
  <sheetData>
    <row r="1" spans="1:23" ht="24.75">
      <c r="A1" s="161" t="s">
        <v>111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1:23" ht="24.75">
      <c r="A2" s="161" t="s">
        <v>55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</row>
    <row r="3" spans="1:23" ht="45" customHeight="1">
      <c r="A3" s="183" t="s">
        <v>990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</row>
    <row r="4" spans="1:23">
      <c r="L4" s="1">
        <v>0</v>
      </c>
    </row>
    <row r="5" spans="1:23" ht="76.150000000000006" customHeight="1">
      <c r="A5" s="61" t="s">
        <v>20</v>
      </c>
      <c r="B5" s="52" t="s">
        <v>112</v>
      </c>
      <c r="C5" s="52" t="s">
        <v>20</v>
      </c>
      <c r="D5" s="52" t="s">
        <v>113</v>
      </c>
      <c r="E5" s="52" t="s">
        <v>42</v>
      </c>
      <c r="F5" s="52" t="s">
        <v>114</v>
      </c>
      <c r="G5" s="52" t="s">
        <v>64</v>
      </c>
      <c r="H5" s="52" t="s">
        <v>65</v>
      </c>
      <c r="I5" s="52" t="s">
        <v>66</v>
      </c>
      <c r="J5" s="52" t="s">
        <v>43</v>
      </c>
      <c r="K5" s="62" t="s">
        <v>115</v>
      </c>
      <c r="L5" s="63"/>
      <c r="M5" s="64"/>
      <c r="N5" s="52" t="s">
        <v>20</v>
      </c>
      <c r="O5" s="65" t="s">
        <v>116</v>
      </c>
      <c r="P5" s="52" t="s">
        <v>113</v>
      </c>
      <c r="Q5" s="52" t="s">
        <v>42</v>
      </c>
      <c r="R5" s="52" t="s">
        <v>114</v>
      </c>
      <c r="S5" s="52" t="s">
        <v>64</v>
      </c>
      <c r="T5" s="52" t="s">
        <v>65</v>
      </c>
      <c r="U5" s="52" t="s">
        <v>66</v>
      </c>
      <c r="V5" s="52" t="s">
        <v>43</v>
      </c>
      <c r="W5" s="52" t="s">
        <v>115</v>
      </c>
    </row>
    <row r="6" spans="1:23" ht="15">
      <c r="A6" s="64"/>
      <c r="B6" s="66"/>
      <c r="C6" s="64"/>
      <c r="D6" s="62"/>
      <c r="E6" s="141" t="s">
        <v>25</v>
      </c>
      <c r="F6" s="141" t="s">
        <v>25</v>
      </c>
      <c r="G6" s="141" t="s">
        <v>25</v>
      </c>
      <c r="H6" s="141" t="s">
        <v>25</v>
      </c>
      <c r="I6" s="141" t="s">
        <v>25</v>
      </c>
      <c r="J6" s="141" t="s">
        <v>25</v>
      </c>
      <c r="K6" s="141" t="s">
        <v>25</v>
      </c>
      <c r="L6" s="63"/>
      <c r="M6" s="64"/>
      <c r="N6" s="62"/>
      <c r="O6" s="67"/>
      <c r="P6" s="62"/>
      <c r="Q6" s="141" t="s">
        <v>25</v>
      </c>
      <c r="R6" s="141" t="s">
        <v>25</v>
      </c>
      <c r="S6" s="141" t="s">
        <v>25</v>
      </c>
      <c r="T6" s="141" t="s">
        <v>25</v>
      </c>
      <c r="U6" s="141" t="s">
        <v>25</v>
      </c>
      <c r="V6" s="141" t="s">
        <v>25</v>
      </c>
      <c r="W6" s="141" t="s">
        <v>25</v>
      </c>
    </row>
    <row r="7" spans="1:23" ht="24.95" customHeight="1">
      <c r="A7" s="170">
        <v>1</v>
      </c>
      <c r="B7" s="164" t="s">
        <v>75</v>
      </c>
      <c r="C7" s="64">
        <v>1</v>
      </c>
      <c r="D7" s="68" t="s">
        <v>117</v>
      </c>
      <c r="E7" s="68">
        <v>302697669.93000001</v>
      </c>
      <c r="F7" s="68">
        <v>0</v>
      </c>
      <c r="G7" s="68">
        <v>9080930.0979999993</v>
      </c>
      <c r="H7" s="68">
        <v>9080930.0979999993</v>
      </c>
      <c r="I7" s="68">
        <f>G7-H7</f>
        <v>0</v>
      </c>
      <c r="J7" s="68">
        <v>196827857.78999999</v>
      </c>
      <c r="K7" s="69">
        <f>E7+F7+I7+J7</f>
        <v>499525527.72000003</v>
      </c>
      <c r="L7" s="63"/>
      <c r="M7" s="170">
        <v>19</v>
      </c>
      <c r="N7" s="70">
        <v>26</v>
      </c>
      <c r="O7" s="167" t="s">
        <v>93</v>
      </c>
      <c r="P7" s="68" t="s">
        <v>118</v>
      </c>
      <c r="Q7" s="68">
        <v>320445579.30000001</v>
      </c>
      <c r="R7" s="71">
        <v>0</v>
      </c>
      <c r="S7" s="68">
        <v>9613367.3791000005</v>
      </c>
      <c r="T7" s="68">
        <v>0</v>
      </c>
      <c r="U7" s="68">
        <f t="shared" ref="U7:U25" si="0">S7-T7</f>
        <v>9613367.3791000005</v>
      </c>
      <c r="V7" s="68">
        <v>209871703.49000001</v>
      </c>
      <c r="W7" s="69">
        <f>Q7+U7+V7</f>
        <v>539930650.16910005</v>
      </c>
    </row>
    <row r="8" spans="1:23" ht="24.95" customHeight="1">
      <c r="A8" s="170"/>
      <c r="B8" s="165"/>
      <c r="C8" s="64">
        <v>2</v>
      </c>
      <c r="D8" s="68" t="s">
        <v>119</v>
      </c>
      <c r="E8" s="68">
        <v>505011629.61000001</v>
      </c>
      <c r="F8" s="68">
        <v>0</v>
      </c>
      <c r="G8" s="68">
        <v>15150348.8882</v>
      </c>
      <c r="H8" s="68">
        <v>15150348.8882</v>
      </c>
      <c r="I8" s="68">
        <f t="shared" ref="I8:I23" si="1">G8-H8</f>
        <v>0</v>
      </c>
      <c r="J8" s="68">
        <v>305801839.11000001</v>
      </c>
      <c r="K8" s="69">
        <f t="shared" ref="K8:K71" si="2">E8+F8+I8+J8</f>
        <v>810813468.72000003</v>
      </c>
      <c r="L8" s="63"/>
      <c r="M8" s="170"/>
      <c r="N8" s="70">
        <v>27</v>
      </c>
      <c r="O8" s="168"/>
      <c r="P8" s="68" t="s">
        <v>120</v>
      </c>
      <c r="Q8" s="68">
        <v>313823154.07999998</v>
      </c>
      <c r="R8" s="71">
        <v>0</v>
      </c>
      <c r="S8" s="68">
        <v>9414694.6225000005</v>
      </c>
      <c r="T8" s="68">
        <v>0</v>
      </c>
      <c r="U8" s="68">
        <f t="shared" si="0"/>
        <v>9414694.6225000005</v>
      </c>
      <c r="V8" s="68">
        <v>221439622.77000001</v>
      </c>
      <c r="W8" s="69">
        <f t="shared" ref="W8:W71" si="3">Q8+U8+V8</f>
        <v>544677471.47249997</v>
      </c>
    </row>
    <row r="9" spans="1:23" ht="24.95" customHeight="1">
      <c r="A9" s="170"/>
      <c r="B9" s="165"/>
      <c r="C9" s="64">
        <v>3</v>
      </c>
      <c r="D9" s="68" t="s">
        <v>121</v>
      </c>
      <c r="E9" s="68">
        <v>355331283.13999999</v>
      </c>
      <c r="F9" s="68">
        <v>0</v>
      </c>
      <c r="G9" s="68">
        <v>10659938.494100001</v>
      </c>
      <c r="H9" s="68">
        <v>10659938.494100001</v>
      </c>
      <c r="I9" s="68">
        <f t="shared" si="1"/>
        <v>0</v>
      </c>
      <c r="J9" s="68">
        <v>218431548.97999999</v>
      </c>
      <c r="K9" s="69">
        <f t="shared" si="2"/>
        <v>573762832.12</v>
      </c>
      <c r="L9" s="63"/>
      <c r="M9" s="170"/>
      <c r="N9" s="70">
        <v>28</v>
      </c>
      <c r="O9" s="168"/>
      <c r="P9" s="68" t="s">
        <v>122</v>
      </c>
      <c r="Q9" s="68">
        <v>314107233.86000001</v>
      </c>
      <c r="R9" s="71">
        <v>0</v>
      </c>
      <c r="S9" s="68">
        <v>9423217.0157999992</v>
      </c>
      <c r="T9" s="68">
        <v>0</v>
      </c>
      <c r="U9" s="68">
        <f t="shared" si="0"/>
        <v>9423217.0157999992</v>
      </c>
      <c r="V9" s="68">
        <v>218691540.11000001</v>
      </c>
      <c r="W9" s="69">
        <f t="shared" si="3"/>
        <v>542221990.98580003</v>
      </c>
    </row>
    <row r="10" spans="1:23" ht="24.95" customHeight="1">
      <c r="A10" s="170"/>
      <c r="B10" s="165"/>
      <c r="C10" s="64">
        <v>4</v>
      </c>
      <c r="D10" s="68" t="s">
        <v>123</v>
      </c>
      <c r="E10" s="68">
        <v>362044093.06</v>
      </c>
      <c r="F10" s="68">
        <v>0</v>
      </c>
      <c r="G10" s="68">
        <v>10861322.7917</v>
      </c>
      <c r="H10" s="68">
        <v>10861322.7917</v>
      </c>
      <c r="I10" s="68">
        <f t="shared" si="1"/>
        <v>0</v>
      </c>
      <c r="J10" s="68">
        <v>225976892.50999999</v>
      </c>
      <c r="K10" s="69">
        <f t="shared" si="2"/>
        <v>588020985.56999993</v>
      </c>
      <c r="L10" s="63"/>
      <c r="M10" s="170"/>
      <c r="N10" s="70">
        <v>29</v>
      </c>
      <c r="O10" s="168"/>
      <c r="P10" s="68" t="s">
        <v>124</v>
      </c>
      <c r="Q10" s="68">
        <v>372269198.63999999</v>
      </c>
      <c r="R10" s="71">
        <v>0</v>
      </c>
      <c r="S10" s="68">
        <v>11168075.959100001</v>
      </c>
      <c r="T10" s="68">
        <v>0</v>
      </c>
      <c r="U10" s="68">
        <f t="shared" si="0"/>
        <v>11168075.959100001</v>
      </c>
      <c r="V10" s="68">
        <v>248237734.44</v>
      </c>
      <c r="W10" s="69">
        <f t="shared" si="3"/>
        <v>631675009.03909993</v>
      </c>
    </row>
    <row r="11" spans="1:23" ht="24.95" customHeight="1">
      <c r="A11" s="170"/>
      <c r="B11" s="165"/>
      <c r="C11" s="64">
        <v>5</v>
      </c>
      <c r="D11" s="68" t="s">
        <v>125</v>
      </c>
      <c r="E11" s="68">
        <v>329531031.41000003</v>
      </c>
      <c r="F11" s="68">
        <v>0</v>
      </c>
      <c r="G11" s="68">
        <v>9885930.9421999995</v>
      </c>
      <c r="H11" s="68">
        <v>9885930.9421999995</v>
      </c>
      <c r="I11" s="68">
        <f t="shared" si="1"/>
        <v>0</v>
      </c>
      <c r="J11" s="68">
        <v>207335536.59999999</v>
      </c>
      <c r="K11" s="69">
        <f t="shared" si="2"/>
        <v>536866568.00999999</v>
      </c>
      <c r="L11" s="63"/>
      <c r="M11" s="170"/>
      <c r="N11" s="70">
        <v>30</v>
      </c>
      <c r="O11" s="168"/>
      <c r="P11" s="68" t="s">
        <v>126</v>
      </c>
      <c r="Q11" s="68">
        <v>375181452.27999997</v>
      </c>
      <c r="R11" s="71">
        <v>0</v>
      </c>
      <c r="S11" s="68">
        <v>11255443.568299999</v>
      </c>
      <c r="T11" s="68">
        <v>0</v>
      </c>
      <c r="U11" s="68">
        <f t="shared" si="0"/>
        <v>11255443.568299999</v>
      </c>
      <c r="V11" s="68">
        <v>245273676.87</v>
      </c>
      <c r="W11" s="69">
        <f t="shared" si="3"/>
        <v>631710572.71829998</v>
      </c>
    </row>
    <row r="12" spans="1:23" ht="24.95" customHeight="1">
      <c r="A12" s="170"/>
      <c r="B12" s="165"/>
      <c r="C12" s="64">
        <v>6</v>
      </c>
      <c r="D12" s="68" t="s">
        <v>127</v>
      </c>
      <c r="E12" s="68">
        <v>340320378.37</v>
      </c>
      <c r="F12" s="68">
        <v>0</v>
      </c>
      <c r="G12" s="68">
        <v>10209611.351199999</v>
      </c>
      <c r="H12" s="68">
        <v>10209611.351199999</v>
      </c>
      <c r="I12" s="68">
        <f t="shared" si="1"/>
        <v>0</v>
      </c>
      <c r="J12" s="68">
        <v>212757643.53999999</v>
      </c>
      <c r="K12" s="69">
        <f t="shared" si="2"/>
        <v>553078021.90999997</v>
      </c>
      <c r="L12" s="63"/>
      <c r="M12" s="170"/>
      <c r="N12" s="70">
        <v>31</v>
      </c>
      <c r="O12" s="168"/>
      <c r="P12" s="68" t="s">
        <v>99</v>
      </c>
      <c r="Q12" s="68">
        <v>648678788.16999996</v>
      </c>
      <c r="R12" s="71">
        <v>0</v>
      </c>
      <c r="S12" s="68">
        <v>19460363.645</v>
      </c>
      <c r="T12" s="68">
        <v>0</v>
      </c>
      <c r="U12" s="68">
        <f t="shared" si="0"/>
        <v>19460363.645</v>
      </c>
      <c r="V12" s="68">
        <v>377157877.01999998</v>
      </c>
      <c r="W12" s="69">
        <f t="shared" si="3"/>
        <v>1045297028.8349999</v>
      </c>
    </row>
    <row r="13" spans="1:23" ht="24.95" customHeight="1">
      <c r="A13" s="170"/>
      <c r="B13" s="165"/>
      <c r="C13" s="64">
        <v>7</v>
      </c>
      <c r="D13" s="68" t="s">
        <v>128</v>
      </c>
      <c r="E13" s="68">
        <v>330201920.27999997</v>
      </c>
      <c r="F13" s="68">
        <v>0</v>
      </c>
      <c r="G13" s="68">
        <v>9906057.6085000001</v>
      </c>
      <c r="H13" s="68">
        <v>9906057.6085000001</v>
      </c>
      <c r="I13" s="68">
        <f t="shared" si="1"/>
        <v>0</v>
      </c>
      <c r="J13" s="68">
        <v>206222594.13</v>
      </c>
      <c r="K13" s="69">
        <f t="shared" si="2"/>
        <v>536424514.40999997</v>
      </c>
      <c r="L13" s="63"/>
      <c r="M13" s="170"/>
      <c r="N13" s="70">
        <v>32</v>
      </c>
      <c r="O13" s="168"/>
      <c r="P13" s="68" t="s">
        <v>129</v>
      </c>
      <c r="Q13" s="68">
        <v>324908882.04000002</v>
      </c>
      <c r="R13" s="71">
        <v>0</v>
      </c>
      <c r="S13" s="68">
        <v>9747266.4612000007</v>
      </c>
      <c r="T13" s="68">
        <v>0</v>
      </c>
      <c r="U13" s="68">
        <f t="shared" si="0"/>
        <v>9747266.4612000007</v>
      </c>
      <c r="V13" s="68">
        <v>221728278.22999999</v>
      </c>
      <c r="W13" s="69">
        <f t="shared" si="3"/>
        <v>556384426.73119998</v>
      </c>
    </row>
    <row r="14" spans="1:23" ht="24.95" customHeight="1">
      <c r="A14" s="170"/>
      <c r="B14" s="165"/>
      <c r="C14" s="64">
        <v>8</v>
      </c>
      <c r="D14" s="68" t="s">
        <v>130</v>
      </c>
      <c r="E14" s="68">
        <v>321967462.31999999</v>
      </c>
      <c r="F14" s="68">
        <v>0</v>
      </c>
      <c r="G14" s="68">
        <v>9659023.8694000002</v>
      </c>
      <c r="H14" s="68">
        <v>9659023.8694000002</v>
      </c>
      <c r="I14" s="68">
        <f t="shared" si="1"/>
        <v>0</v>
      </c>
      <c r="J14" s="68">
        <v>199223215.88</v>
      </c>
      <c r="K14" s="69">
        <f t="shared" si="2"/>
        <v>521190678.19999999</v>
      </c>
      <c r="L14" s="63"/>
      <c r="M14" s="170"/>
      <c r="N14" s="70">
        <v>33</v>
      </c>
      <c r="O14" s="168"/>
      <c r="P14" s="68" t="s">
        <v>131</v>
      </c>
      <c r="Q14" s="68">
        <v>321552913.86000001</v>
      </c>
      <c r="R14" s="71">
        <v>0</v>
      </c>
      <c r="S14" s="68">
        <v>9646587.4157999996</v>
      </c>
      <c r="T14" s="68">
        <v>0</v>
      </c>
      <c r="U14" s="68">
        <f t="shared" si="0"/>
        <v>9646587.4157999996</v>
      </c>
      <c r="V14" s="68">
        <v>207726421.62</v>
      </c>
      <c r="W14" s="69">
        <f t="shared" si="3"/>
        <v>538925922.89579999</v>
      </c>
    </row>
    <row r="15" spans="1:23" ht="24.95" customHeight="1">
      <c r="A15" s="170"/>
      <c r="B15" s="165"/>
      <c r="C15" s="64">
        <v>9</v>
      </c>
      <c r="D15" s="68" t="s">
        <v>132</v>
      </c>
      <c r="E15" s="68">
        <v>347357041.93000001</v>
      </c>
      <c r="F15" s="68">
        <v>0</v>
      </c>
      <c r="G15" s="68">
        <v>10420711.2579</v>
      </c>
      <c r="H15" s="68">
        <v>10420711.2579</v>
      </c>
      <c r="I15" s="68">
        <f t="shared" si="1"/>
        <v>0</v>
      </c>
      <c r="J15" s="68">
        <v>216269044.22999999</v>
      </c>
      <c r="K15" s="69">
        <f t="shared" si="2"/>
        <v>563626086.15999997</v>
      </c>
      <c r="L15" s="63"/>
      <c r="M15" s="170"/>
      <c r="N15" s="70">
        <v>34</v>
      </c>
      <c r="O15" s="168"/>
      <c r="P15" s="68" t="s">
        <v>133</v>
      </c>
      <c r="Q15" s="68">
        <v>384906981.85000002</v>
      </c>
      <c r="R15" s="71">
        <v>0</v>
      </c>
      <c r="S15" s="68">
        <v>11547209.455399999</v>
      </c>
      <c r="T15" s="68">
        <v>0</v>
      </c>
      <c r="U15" s="68">
        <f t="shared" si="0"/>
        <v>11547209.455399999</v>
      </c>
      <c r="V15" s="68">
        <v>250078171.34</v>
      </c>
      <c r="W15" s="69">
        <f t="shared" si="3"/>
        <v>646532362.64540005</v>
      </c>
    </row>
    <row r="16" spans="1:23" ht="24.95" customHeight="1">
      <c r="A16" s="170"/>
      <c r="B16" s="165"/>
      <c r="C16" s="64">
        <v>10</v>
      </c>
      <c r="D16" s="68" t="s">
        <v>134</v>
      </c>
      <c r="E16" s="68">
        <v>352497112.81</v>
      </c>
      <c r="F16" s="68">
        <v>0</v>
      </c>
      <c r="G16" s="68">
        <v>10574913.384400001</v>
      </c>
      <c r="H16" s="68">
        <v>10574913.384400001</v>
      </c>
      <c r="I16" s="68">
        <f t="shared" si="1"/>
        <v>0</v>
      </c>
      <c r="J16" s="68">
        <v>222300841.09999999</v>
      </c>
      <c r="K16" s="69">
        <f t="shared" si="2"/>
        <v>574797953.90999997</v>
      </c>
      <c r="L16" s="63"/>
      <c r="M16" s="170"/>
      <c r="N16" s="70">
        <v>35</v>
      </c>
      <c r="O16" s="168"/>
      <c r="P16" s="68" t="s">
        <v>135</v>
      </c>
      <c r="Q16" s="68">
        <v>317585359.63</v>
      </c>
      <c r="R16" s="71">
        <v>0</v>
      </c>
      <c r="S16" s="68">
        <v>9527560.7890000008</v>
      </c>
      <c r="T16" s="68">
        <v>0</v>
      </c>
      <c r="U16" s="68">
        <f t="shared" si="0"/>
        <v>9527560.7890000008</v>
      </c>
      <c r="V16" s="68">
        <v>220063859.15000001</v>
      </c>
      <c r="W16" s="69">
        <f t="shared" si="3"/>
        <v>547176779.56900001</v>
      </c>
    </row>
    <row r="17" spans="1:23" ht="24.95" customHeight="1">
      <c r="A17" s="170"/>
      <c r="B17" s="165"/>
      <c r="C17" s="64">
        <v>11</v>
      </c>
      <c r="D17" s="68" t="s">
        <v>136</v>
      </c>
      <c r="E17" s="68">
        <v>385483788.61000001</v>
      </c>
      <c r="F17" s="68">
        <v>0</v>
      </c>
      <c r="G17" s="68">
        <v>11564513.658199999</v>
      </c>
      <c r="H17" s="68">
        <v>11564513.658199999</v>
      </c>
      <c r="I17" s="68">
        <f t="shared" si="1"/>
        <v>0</v>
      </c>
      <c r="J17" s="68">
        <v>244244511.94</v>
      </c>
      <c r="K17" s="69">
        <f t="shared" si="2"/>
        <v>629728300.54999995</v>
      </c>
      <c r="L17" s="63"/>
      <c r="M17" s="170"/>
      <c r="N17" s="70">
        <v>36</v>
      </c>
      <c r="O17" s="168"/>
      <c r="P17" s="68" t="s">
        <v>137</v>
      </c>
      <c r="Q17" s="68">
        <v>401962328.69</v>
      </c>
      <c r="R17" s="71">
        <v>0</v>
      </c>
      <c r="S17" s="68">
        <v>12058869.8606</v>
      </c>
      <c r="T17" s="68">
        <v>0</v>
      </c>
      <c r="U17" s="68">
        <f t="shared" si="0"/>
        <v>12058869.8606</v>
      </c>
      <c r="V17" s="68">
        <v>259006167.65000001</v>
      </c>
      <c r="W17" s="69">
        <f t="shared" si="3"/>
        <v>673027366.20060003</v>
      </c>
    </row>
    <row r="18" spans="1:23" ht="24.95" customHeight="1">
      <c r="A18" s="170"/>
      <c r="B18" s="165"/>
      <c r="C18" s="64">
        <v>12</v>
      </c>
      <c r="D18" s="68" t="s">
        <v>138</v>
      </c>
      <c r="E18" s="68">
        <v>371152361.55000001</v>
      </c>
      <c r="F18" s="68">
        <v>0</v>
      </c>
      <c r="G18" s="68">
        <v>11134570.8466</v>
      </c>
      <c r="H18" s="68">
        <v>11134570.8466</v>
      </c>
      <c r="I18" s="68">
        <f t="shared" si="1"/>
        <v>0</v>
      </c>
      <c r="J18" s="68">
        <v>235456709.87</v>
      </c>
      <c r="K18" s="69">
        <f t="shared" si="2"/>
        <v>606609071.42000008</v>
      </c>
      <c r="L18" s="63"/>
      <c r="M18" s="170"/>
      <c r="N18" s="70">
        <v>37</v>
      </c>
      <c r="O18" s="168"/>
      <c r="P18" s="68" t="s">
        <v>139</v>
      </c>
      <c r="Q18" s="68">
        <v>352987364.01999998</v>
      </c>
      <c r="R18" s="71">
        <v>0</v>
      </c>
      <c r="S18" s="68">
        <v>10589620.920600001</v>
      </c>
      <c r="T18" s="68">
        <v>0</v>
      </c>
      <c r="U18" s="68">
        <f t="shared" si="0"/>
        <v>10589620.920600001</v>
      </c>
      <c r="V18" s="68">
        <v>241467076.03</v>
      </c>
      <c r="W18" s="69">
        <f t="shared" si="3"/>
        <v>605044060.97060001</v>
      </c>
    </row>
    <row r="19" spans="1:23" ht="24.95" customHeight="1">
      <c r="A19" s="170"/>
      <c r="B19" s="165"/>
      <c r="C19" s="64">
        <v>13</v>
      </c>
      <c r="D19" s="68" t="s">
        <v>140</v>
      </c>
      <c r="E19" s="68">
        <v>283420130.01999998</v>
      </c>
      <c r="F19" s="68">
        <v>0</v>
      </c>
      <c r="G19" s="68">
        <v>8502603.9005999994</v>
      </c>
      <c r="H19" s="68">
        <v>8502603.9005999994</v>
      </c>
      <c r="I19" s="68">
        <f t="shared" si="1"/>
        <v>0</v>
      </c>
      <c r="J19" s="68">
        <v>188261197.5</v>
      </c>
      <c r="K19" s="69">
        <f t="shared" si="2"/>
        <v>471681327.51999998</v>
      </c>
      <c r="L19" s="63"/>
      <c r="M19" s="170"/>
      <c r="N19" s="70">
        <v>38</v>
      </c>
      <c r="O19" s="168"/>
      <c r="P19" s="68" t="s">
        <v>141</v>
      </c>
      <c r="Q19" s="68">
        <v>367055192.67000002</v>
      </c>
      <c r="R19" s="71">
        <v>0</v>
      </c>
      <c r="S19" s="68">
        <v>11011655.779999999</v>
      </c>
      <c r="T19" s="68">
        <v>0</v>
      </c>
      <c r="U19" s="68">
        <f t="shared" si="0"/>
        <v>11011655.779999999</v>
      </c>
      <c r="V19" s="68">
        <v>247882254.19999999</v>
      </c>
      <c r="W19" s="69">
        <f t="shared" si="3"/>
        <v>625949102.64999998</v>
      </c>
    </row>
    <row r="20" spans="1:23" ht="24.95" customHeight="1">
      <c r="A20" s="170"/>
      <c r="B20" s="165"/>
      <c r="C20" s="64">
        <v>14</v>
      </c>
      <c r="D20" s="68" t="s">
        <v>142</v>
      </c>
      <c r="E20" s="68">
        <v>267793310.41</v>
      </c>
      <c r="F20" s="68">
        <v>0</v>
      </c>
      <c r="G20" s="68">
        <v>8033799.3123000003</v>
      </c>
      <c r="H20" s="68">
        <v>8033799.3123000003</v>
      </c>
      <c r="I20" s="68">
        <f t="shared" si="1"/>
        <v>0</v>
      </c>
      <c r="J20" s="68">
        <v>180079296.34</v>
      </c>
      <c r="K20" s="69">
        <f t="shared" si="2"/>
        <v>447872606.75</v>
      </c>
      <c r="L20" s="63"/>
      <c r="M20" s="170"/>
      <c r="N20" s="70">
        <v>39</v>
      </c>
      <c r="O20" s="168"/>
      <c r="P20" s="68" t="s">
        <v>143</v>
      </c>
      <c r="Q20" s="68">
        <v>288965493.04000002</v>
      </c>
      <c r="R20" s="71">
        <v>0</v>
      </c>
      <c r="S20" s="68">
        <v>8668964.7913000006</v>
      </c>
      <c r="T20" s="68">
        <v>0</v>
      </c>
      <c r="U20" s="68">
        <f t="shared" si="0"/>
        <v>8668964.7913000006</v>
      </c>
      <c r="V20" s="68">
        <v>205295928.86000001</v>
      </c>
      <c r="W20" s="69">
        <f t="shared" si="3"/>
        <v>502930386.69130003</v>
      </c>
    </row>
    <row r="21" spans="1:23" ht="24.95" customHeight="1">
      <c r="A21" s="170"/>
      <c r="B21" s="165"/>
      <c r="C21" s="64">
        <v>15</v>
      </c>
      <c r="D21" s="68" t="s">
        <v>144</v>
      </c>
      <c r="E21" s="68">
        <v>278851276.63999999</v>
      </c>
      <c r="F21" s="68">
        <v>0</v>
      </c>
      <c r="G21" s="68">
        <v>8365538.2993000001</v>
      </c>
      <c r="H21" s="68">
        <v>8365538.2993000001</v>
      </c>
      <c r="I21" s="68">
        <f t="shared" si="1"/>
        <v>0</v>
      </c>
      <c r="J21" s="68">
        <v>190306242.22</v>
      </c>
      <c r="K21" s="69">
        <f t="shared" si="2"/>
        <v>469157518.86000001</v>
      </c>
      <c r="L21" s="63"/>
      <c r="M21" s="170"/>
      <c r="N21" s="70">
        <v>40</v>
      </c>
      <c r="O21" s="168"/>
      <c r="P21" s="68" t="s">
        <v>145</v>
      </c>
      <c r="Q21" s="68">
        <v>318594718.11000001</v>
      </c>
      <c r="R21" s="71">
        <v>0</v>
      </c>
      <c r="S21" s="68">
        <v>9557841.5431999993</v>
      </c>
      <c r="T21" s="68">
        <v>0</v>
      </c>
      <c r="U21" s="68">
        <f t="shared" si="0"/>
        <v>9557841.5431999993</v>
      </c>
      <c r="V21" s="68">
        <v>225944783.59999999</v>
      </c>
      <c r="W21" s="69">
        <f t="shared" si="3"/>
        <v>554097343.25320005</v>
      </c>
    </row>
    <row r="22" spans="1:23" ht="24.95" customHeight="1">
      <c r="A22" s="170"/>
      <c r="B22" s="165"/>
      <c r="C22" s="64">
        <v>16</v>
      </c>
      <c r="D22" s="68" t="s">
        <v>146</v>
      </c>
      <c r="E22" s="68">
        <v>415677330.49000001</v>
      </c>
      <c r="F22" s="68">
        <v>0</v>
      </c>
      <c r="G22" s="68">
        <v>12470319.9146</v>
      </c>
      <c r="H22" s="68">
        <v>12470319.9146</v>
      </c>
      <c r="I22" s="68">
        <f t="shared" si="1"/>
        <v>0</v>
      </c>
      <c r="J22" s="68">
        <v>235810812.28</v>
      </c>
      <c r="K22" s="69">
        <f t="shared" si="2"/>
        <v>651488142.76999998</v>
      </c>
      <c r="L22" s="63"/>
      <c r="M22" s="170"/>
      <c r="N22" s="70">
        <v>41</v>
      </c>
      <c r="O22" s="168"/>
      <c r="P22" s="68" t="s">
        <v>147</v>
      </c>
      <c r="Q22" s="68">
        <v>392838602.04000002</v>
      </c>
      <c r="R22" s="71">
        <v>0</v>
      </c>
      <c r="S22" s="68">
        <v>11785158.0612</v>
      </c>
      <c r="T22" s="68">
        <v>0</v>
      </c>
      <c r="U22" s="68">
        <f t="shared" si="0"/>
        <v>11785158.0612</v>
      </c>
      <c r="V22" s="68">
        <v>251456001.71000001</v>
      </c>
      <c r="W22" s="69">
        <f t="shared" si="3"/>
        <v>656079761.81120002</v>
      </c>
    </row>
    <row r="23" spans="1:23" ht="24.95" customHeight="1">
      <c r="A23" s="170"/>
      <c r="B23" s="166"/>
      <c r="C23" s="64">
        <v>17</v>
      </c>
      <c r="D23" s="68" t="s">
        <v>148</v>
      </c>
      <c r="E23" s="68">
        <v>359169598.10000002</v>
      </c>
      <c r="F23" s="68">
        <v>0</v>
      </c>
      <c r="G23" s="68">
        <v>10775087.943299999</v>
      </c>
      <c r="H23" s="68">
        <v>10775087.943299999</v>
      </c>
      <c r="I23" s="68">
        <f t="shared" si="1"/>
        <v>0</v>
      </c>
      <c r="J23" s="68">
        <v>207534288.63</v>
      </c>
      <c r="K23" s="69">
        <f t="shared" si="2"/>
        <v>566703886.73000002</v>
      </c>
      <c r="L23" s="63"/>
      <c r="M23" s="170"/>
      <c r="N23" s="70">
        <v>42</v>
      </c>
      <c r="O23" s="168"/>
      <c r="P23" s="68" t="s">
        <v>149</v>
      </c>
      <c r="Q23" s="68">
        <v>459295771.31999999</v>
      </c>
      <c r="R23" s="71">
        <v>0</v>
      </c>
      <c r="S23" s="68">
        <v>13778873.1395</v>
      </c>
      <c r="T23" s="68">
        <v>0</v>
      </c>
      <c r="U23" s="68">
        <f t="shared" si="0"/>
        <v>13778873.1395</v>
      </c>
      <c r="V23" s="68">
        <v>298961870.37</v>
      </c>
      <c r="W23" s="69">
        <f t="shared" si="3"/>
        <v>772036514.82949996</v>
      </c>
    </row>
    <row r="24" spans="1:23" ht="24.95" customHeight="1">
      <c r="A24" s="64"/>
      <c r="B24" s="179" t="s">
        <v>150</v>
      </c>
      <c r="C24" s="177"/>
      <c r="D24" s="72"/>
      <c r="E24" s="72">
        <f t="shared" ref="E24:K24" si="4">SUM(E7:E23)</f>
        <v>5908507418.6800013</v>
      </c>
      <c r="F24" s="68">
        <v>0</v>
      </c>
      <c r="G24" s="72">
        <f t="shared" si="4"/>
        <v>177255222.56049997</v>
      </c>
      <c r="H24" s="72">
        <f t="shared" si="4"/>
        <v>177255222.56049997</v>
      </c>
      <c r="I24" s="72">
        <f t="shared" si="4"/>
        <v>0</v>
      </c>
      <c r="J24" s="72">
        <f t="shared" si="4"/>
        <v>3692840072.6500001</v>
      </c>
      <c r="K24" s="72">
        <f t="shared" si="4"/>
        <v>9601347491.329998</v>
      </c>
      <c r="L24" s="63"/>
      <c r="M24" s="170"/>
      <c r="N24" s="70">
        <v>43</v>
      </c>
      <c r="O24" s="168"/>
      <c r="P24" s="68" t="s">
        <v>151</v>
      </c>
      <c r="Q24" s="68">
        <v>299737325.92000002</v>
      </c>
      <c r="R24" s="71">
        <v>0</v>
      </c>
      <c r="S24" s="68">
        <v>8992119.7776999995</v>
      </c>
      <c r="T24" s="68">
        <v>0</v>
      </c>
      <c r="U24" s="68">
        <f t="shared" si="0"/>
        <v>8992119.7776999995</v>
      </c>
      <c r="V24" s="68">
        <v>215992370.43000001</v>
      </c>
      <c r="W24" s="69">
        <f t="shared" si="3"/>
        <v>524721816.12770003</v>
      </c>
    </row>
    <row r="25" spans="1:23" ht="24.95" customHeight="1">
      <c r="A25" s="170">
        <v>2</v>
      </c>
      <c r="B25" s="164" t="s">
        <v>152</v>
      </c>
      <c r="C25" s="64">
        <v>1</v>
      </c>
      <c r="D25" s="68" t="s">
        <v>153</v>
      </c>
      <c r="E25" s="68">
        <v>368340142.75999999</v>
      </c>
      <c r="F25" s="68">
        <v>0</v>
      </c>
      <c r="G25" s="68">
        <v>11050204.2829</v>
      </c>
      <c r="H25" s="68">
        <v>0</v>
      </c>
      <c r="I25" s="68">
        <f t="shared" ref="I25:I45" si="5">G25-H25</f>
        <v>11050204.2829</v>
      </c>
      <c r="J25" s="68">
        <v>226486249.06</v>
      </c>
      <c r="K25" s="69">
        <f t="shared" si="2"/>
        <v>605876596.10290003</v>
      </c>
      <c r="L25" s="63"/>
      <c r="M25" s="170"/>
      <c r="N25" s="70">
        <v>44</v>
      </c>
      <c r="O25" s="169"/>
      <c r="P25" s="68" t="s">
        <v>154</v>
      </c>
      <c r="Q25" s="68">
        <v>352449370.75999999</v>
      </c>
      <c r="R25" s="71">
        <v>0</v>
      </c>
      <c r="S25" s="68">
        <v>10573481.1228</v>
      </c>
      <c r="T25" s="68">
        <v>0</v>
      </c>
      <c r="U25" s="68">
        <f t="shared" si="0"/>
        <v>10573481.1228</v>
      </c>
      <c r="V25" s="68">
        <v>235420467.47999999</v>
      </c>
      <c r="W25" s="69">
        <f t="shared" si="3"/>
        <v>598443319.3628</v>
      </c>
    </row>
    <row r="26" spans="1:23" ht="24.95" customHeight="1">
      <c r="A26" s="170"/>
      <c r="B26" s="165"/>
      <c r="C26" s="64">
        <v>2</v>
      </c>
      <c r="D26" s="68" t="s">
        <v>155</v>
      </c>
      <c r="E26" s="68">
        <v>449981773.60000002</v>
      </c>
      <c r="F26" s="68">
        <v>0</v>
      </c>
      <c r="G26" s="68">
        <v>13499453.2081</v>
      </c>
      <c r="H26" s="68">
        <v>0</v>
      </c>
      <c r="I26" s="68">
        <f t="shared" si="5"/>
        <v>13499453.2081</v>
      </c>
      <c r="J26" s="68">
        <v>235799004.49000001</v>
      </c>
      <c r="K26" s="69">
        <f t="shared" si="2"/>
        <v>699280231.29809999</v>
      </c>
      <c r="L26" s="63"/>
      <c r="M26" s="73"/>
      <c r="N26" s="177" t="s">
        <v>156</v>
      </c>
      <c r="O26" s="178"/>
      <c r="P26" s="72"/>
      <c r="Q26" s="72">
        <f>6927345710.28+9341158267.34</f>
        <v>16268503977.619999</v>
      </c>
      <c r="R26" s="72">
        <v>0</v>
      </c>
      <c r="S26" s="72">
        <f>207820371.3081+280234748.02</f>
        <v>488055119.32809997</v>
      </c>
      <c r="T26" s="72">
        <v>0</v>
      </c>
      <c r="U26" s="72">
        <f>S26</f>
        <v>488055119.32809997</v>
      </c>
      <c r="V26" s="72">
        <f>4601695805.37+6182335959.88</f>
        <v>10784031765.25</v>
      </c>
      <c r="W26" s="72">
        <f>11736861886.9581+15803728975.24</f>
        <v>27540590862.198097</v>
      </c>
    </row>
    <row r="27" spans="1:23" ht="24.95" customHeight="1">
      <c r="A27" s="170"/>
      <c r="B27" s="165"/>
      <c r="C27" s="64">
        <v>3</v>
      </c>
      <c r="D27" s="68" t="s">
        <v>157</v>
      </c>
      <c r="E27" s="68">
        <v>383159609.13999999</v>
      </c>
      <c r="F27" s="68">
        <v>0</v>
      </c>
      <c r="G27" s="68">
        <v>11494788.2741</v>
      </c>
      <c r="H27" s="68">
        <v>0</v>
      </c>
      <c r="I27" s="68">
        <f t="shared" si="5"/>
        <v>11494788.2741</v>
      </c>
      <c r="J27" s="68">
        <v>220918436.56</v>
      </c>
      <c r="K27" s="69">
        <f t="shared" si="2"/>
        <v>615572833.97409999</v>
      </c>
      <c r="L27" s="63"/>
      <c r="M27" s="164">
        <v>20</v>
      </c>
      <c r="N27" s="70">
        <v>1</v>
      </c>
      <c r="O27" s="164" t="s">
        <v>94</v>
      </c>
      <c r="P27" s="68" t="s">
        <v>158</v>
      </c>
      <c r="Q27" s="68">
        <v>358140136.29000002</v>
      </c>
      <c r="R27" s="71">
        <v>0</v>
      </c>
      <c r="S27" s="68">
        <v>10744204.0888</v>
      </c>
      <c r="T27" s="68">
        <v>0</v>
      </c>
      <c r="U27" s="68">
        <f t="shared" ref="U27:U60" si="6">S27-T27</f>
        <v>10744204.0888</v>
      </c>
      <c r="V27" s="68">
        <v>215245877.25</v>
      </c>
      <c r="W27" s="69">
        <f t="shared" si="3"/>
        <v>584130217.62880003</v>
      </c>
    </row>
    <row r="28" spans="1:23" ht="24.95" customHeight="1">
      <c r="A28" s="170"/>
      <c r="B28" s="165"/>
      <c r="C28" s="64">
        <v>4</v>
      </c>
      <c r="D28" s="68" t="s">
        <v>159</v>
      </c>
      <c r="E28" s="68">
        <v>335461758.57999998</v>
      </c>
      <c r="F28" s="68">
        <v>0</v>
      </c>
      <c r="G28" s="68">
        <v>10063852.7575</v>
      </c>
      <c r="H28" s="68">
        <v>0</v>
      </c>
      <c r="I28" s="68">
        <f t="shared" si="5"/>
        <v>10063852.7575</v>
      </c>
      <c r="J28" s="68">
        <v>209175188.36000001</v>
      </c>
      <c r="K28" s="69">
        <f t="shared" si="2"/>
        <v>554700799.69749999</v>
      </c>
      <c r="L28" s="63"/>
      <c r="M28" s="165"/>
      <c r="N28" s="70">
        <v>2</v>
      </c>
      <c r="O28" s="165"/>
      <c r="P28" s="68" t="s">
        <v>160</v>
      </c>
      <c r="Q28" s="68">
        <v>369042413.87</v>
      </c>
      <c r="R28" s="71">
        <v>0</v>
      </c>
      <c r="S28" s="68">
        <v>11071272.415999999</v>
      </c>
      <c r="T28" s="68">
        <v>0</v>
      </c>
      <c r="U28" s="68">
        <f t="shared" si="6"/>
        <v>11071272.415999999</v>
      </c>
      <c r="V28" s="68">
        <v>227372162.28</v>
      </c>
      <c r="W28" s="69">
        <f t="shared" si="3"/>
        <v>607485848.56599998</v>
      </c>
    </row>
    <row r="29" spans="1:23" ht="24.95" customHeight="1">
      <c r="A29" s="170"/>
      <c r="B29" s="165"/>
      <c r="C29" s="64">
        <v>5</v>
      </c>
      <c r="D29" s="68" t="s">
        <v>161</v>
      </c>
      <c r="E29" s="68">
        <v>331951431.30000001</v>
      </c>
      <c r="F29" s="68">
        <v>0</v>
      </c>
      <c r="G29" s="68">
        <v>9958542.9390999991</v>
      </c>
      <c r="H29" s="68">
        <v>0</v>
      </c>
      <c r="I29" s="68">
        <f t="shared" si="5"/>
        <v>9958542.9390999991</v>
      </c>
      <c r="J29" s="68">
        <v>214836004.41</v>
      </c>
      <c r="K29" s="69">
        <f t="shared" si="2"/>
        <v>556745978.64910007</v>
      </c>
      <c r="L29" s="63"/>
      <c r="M29" s="165"/>
      <c r="N29" s="70">
        <v>3</v>
      </c>
      <c r="O29" s="165"/>
      <c r="P29" s="68" t="s">
        <v>162</v>
      </c>
      <c r="Q29" s="68">
        <v>401483281.89999998</v>
      </c>
      <c r="R29" s="71">
        <v>0</v>
      </c>
      <c r="S29" s="68">
        <v>12044498.456900001</v>
      </c>
      <c r="T29" s="68">
        <v>0</v>
      </c>
      <c r="U29" s="68">
        <f t="shared" si="6"/>
        <v>12044498.456900001</v>
      </c>
      <c r="V29" s="68">
        <v>235777960.87</v>
      </c>
      <c r="W29" s="69">
        <f t="shared" si="3"/>
        <v>649305741.22689998</v>
      </c>
    </row>
    <row r="30" spans="1:23" ht="24.95" customHeight="1">
      <c r="A30" s="170"/>
      <c r="B30" s="165"/>
      <c r="C30" s="64">
        <v>6</v>
      </c>
      <c r="D30" s="68" t="s">
        <v>163</v>
      </c>
      <c r="E30" s="68">
        <v>354903914.55000001</v>
      </c>
      <c r="F30" s="68">
        <v>0</v>
      </c>
      <c r="G30" s="68">
        <v>10647117.4366</v>
      </c>
      <c r="H30" s="68">
        <v>0</v>
      </c>
      <c r="I30" s="68">
        <f t="shared" si="5"/>
        <v>10647117.4366</v>
      </c>
      <c r="J30" s="68">
        <v>225636816.63999999</v>
      </c>
      <c r="K30" s="69">
        <f t="shared" si="2"/>
        <v>591187848.62660003</v>
      </c>
      <c r="L30" s="63"/>
      <c r="M30" s="165"/>
      <c r="N30" s="70">
        <v>4</v>
      </c>
      <c r="O30" s="165"/>
      <c r="P30" s="68" t="s">
        <v>164</v>
      </c>
      <c r="Q30" s="68">
        <v>376430505.49000001</v>
      </c>
      <c r="R30" s="71">
        <v>0</v>
      </c>
      <c r="S30" s="68">
        <v>11292915.164799999</v>
      </c>
      <c r="T30" s="68">
        <v>0</v>
      </c>
      <c r="U30" s="68">
        <f t="shared" si="6"/>
        <v>11292915.164799999</v>
      </c>
      <c r="V30" s="68">
        <v>231798442.33000001</v>
      </c>
      <c r="W30" s="69">
        <f t="shared" si="3"/>
        <v>619521862.98479998</v>
      </c>
    </row>
    <row r="31" spans="1:23" ht="24.95" customHeight="1">
      <c r="A31" s="170"/>
      <c r="B31" s="165"/>
      <c r="C31" s="64">
        <v>7</v>
      </c>
      <c r="D31" s="68" t="s">
        <v>165</v>
      </c>
      <c r="E31" s="68">
        <v>386575454.89999998</v>
      </c>
      <c r="F31" s="68">
        <v>0</v>
      </c>
      <c r="G31" s="68">
        <v>11597263.6471</v>
      </c>
      <c r="H31" s="68">
        <v>0</v>
      </c>
      <c r="I31" s="68">
        <f t="shared" si="5"/>
        <v>11597263.6471</v>
      </c>
      <c r="J31" s="68">
        <v>222654158.36000001</v>
      </c>
      <c r="K31" s="69">
        <f t="shared" si="2"/>
        <v>620826876.90709996</v>
      </c>
      <c r="L31" s="63"/>
      <c r="M31" s="165"/>
      <c r="N31" s="70">
        <v>5</v>
      </c>
      <c r="O31" s="165"/>
      <c r="P31" s="68" t="s">
        <v>166</v>
      </c>
      <c r="Q31" s="68">
        <v>352044658.54000002</v>
      </c>
      <c r="R31" s="71">
        <v>0</v>
      </c>
      <c r="S31" s="68">
        <v>10561339.756200001</v>
      </c>
      <c r="T31" s="68">
        <v>0</v>
      </c>
      <c r="U31" s="68">
        <f t="shared" si="6"/>
        <v>10561339.756200001</v>
      </c>
      <c r="V31" s="68">
        <v>216274083.16</v>
      </c>
      <c r="W31" s="69">
        <f t="shared" si="3"/>
        <v>578880081.4562</v>
      </c>
    </row>
    <row r="32" spans="1:23" ht="24.95" customHeight="1">
      <c r="A32" s="170"/>
      <c r="B32" s="165"/>
      <c r="C32" s="64">
        <v>8</v>
      </c>
      <c r="D32" s="68" t="s">
        <v>167</v>
      </c>
      <c r="E32" s="68">
        <v>404390173.69</v>
      </c>
      <c r="F32" s="68">
        <v>0</v>
      </c>
      <c r="G32" s="68">
        <v>12131705.2106</v>
      </c>
      <c r="H32" s="68">
        <v>0</v>
      </c>
      <c r="I32" s="68">
        <f t="shared" si="5"/>
        <v>12131705.2106</v>
      </c>
      <c r="J32" s="68">
        <v>222429227.55000001</v>
      </c>
      <c r="K32" s="69">
        <f t="shared" si="2"/>
        <v>638951106.45060003</v>
      </c>
      <c r="L32" s="63"/>
      <c r="M32" s="165"/>
      <c r="N32" s="70">
        <v>6</v>
      </c>
      <c r="O32" s="165"/>
      <c r="P32" s="68" t="s">
        <v>168</v>
      </c>
      <c r="Q32" s="68">
        <v>329297195.27999997</v>
      </c>
      <c r="R32" s="71">
        <v>0</v>
      </c>
      <c r="S32" s="68">
        <v>9878915.8585000001</v>
      </c>
      <c r="T32" s="68">
        <v>0</v>
      </c>
      <c r="U32" s="68">
        <f t="shared" si="6"/>
        <v>9878915.8585000001</v>
      </c>
      <c r="V32" s="68">
        <v>211195744.88999999</v>
      </c>
      <c r="W32" s="69">
        <f t="shared" si="3"/>
        <v>550371856.02849996</v>
      </c>
    </row>
    <row r="33" spans="1:23" ht="24.95" customHeight="1">
      <c r="A33" s="170"/>
      <c r="B33" s="165"/>
      <c r="C33" s="64">
        <v>9</v>
      </c>
      <c r="D33" s="68" t="s">
        <v>169</v>
      </c>
      <c r="E33" s="68">
        <v>314808996.80000001</v>
      </c>
      <c r="F33" s="68">
        <v>0</v>
      </c>
      <c r="G33" s="68">
        <v>10547914.0712</v>
      </c>
      <c r="H33" s="68">
        <v>0</v>
      </c>
      <c r="I33" s="68">
        <f t="shared" si="5"/>
        <v>10547914.0712</v>
      </c>
      <c r="J33" s="68">
        <v>203253273.46000001</v>
      </c>
      <c r="K33" s="69">
        <f t="shared" si="2"/>
        <v>528610184.3312</v>
      </c>
      <c r="L33" s="63"/>
      <c r="M33" s="165"/>
      <c r="N33" s="70">
        <v>7</v>
      </c>
      <c r="O33" s="165"/>
      <c r="P33" s="68" t="s">
        <v>170</v>
      </c>
      <c r="Q33" s="68">
        <v>353732284.73000002</v>
      </c>
      <c r="R33" s="71">
        <v>0</v>
      </c>
      <c r="S33" s="68">
        <v>9911244.9309999999</v>
      </c>
      <c r="T33" s="68">
        <v>0</v>
      </c>
      <c r="U33" s="68">
        <f t="shared" si="6"/>
        <v>9911244.9309999999</v>
      </c>
      <c r="V33" s="68">
        <v>213994807.28</v>
      </c>
      <c r="W33" s="69">
        <f t="shared" si="3"/>
        <v>577638336.94099998</v>
      </c>
    </row>
    <row r="34" spans="1:23" ht="24.95" customHeight="1">
      <c r="A34" s="170"/>
      <c r="B34" s="165"/>
      <c r="C34" s="64">
        <v>10</v>
      </c>
      <c r="D34" s="68" t="s">
        <v>171</v>
      </c>
      <c r="E34" s="68">
        <v>319916331.83999997</v>
      </c>
      <c r="F34" s="68">
        <v>0</v>
      </c>
      <c r="G34" s="68">
        <v>9444269.9039999992</v>
      </c>
      <c r="H34" s="68">
        <v>0</v>
      </c>
      <c r="I34" s="68">
        <f t="shared" si="5"/>
        <v>9444269.9039999992</v>
      </c>
      <c r="J34" s="68">
        <v>210839607.44</v>
      </c>
      <c r="K34" s="69">
        <f t="shared" si="2"/>
        <v>540200209.18400002</v>
      </c>
      <c r="L34" s="63"/>
      <c r="M34" s="165"/>
      <c r="N34" s="70">
        <v>8</v>
      </c>
      <c r="O34" s="165"/>
      <c r="P34" s="68" t="s">
        <v>172</v>
      </c>
      <c r="Q34" s="68">
        <v>331784064.95999998</v>
      </c>
      <c r="R34" s="71">
        <v>0</v>
      </c>
      <c r="S34" s="68">
        <v>10611968.5419</v>
      </c>
      <c r="T34" s="68">
        <v>0</v>
      </c>
      <c r="U34" s="68">
        <f t="shared" si="6"/>
        <v>10611968.5419</v>
      </c>
      <c r="V34" s="68">
        <v>207093254.97999999</v>
      </c>
      <c r="W34" s="69">
        <f t="shared" si="3"/>
        <v>549489288.48189998</v>
      </c>
    </row>
    <row r="35" spans="1:23" ht="24.95" customHeight="1">
      <c r="A35" s="170"/>
      <c r="B35" s="165"/>
      <c r="C35" s="64">
        <v>11</v>
      </c>
      <c r="D35" s="68" t="s">
        <v>173</v>
      </c>
      <c r="E35" s="68">
        <v>313218683.98000002</v>
      </c>
      <c r="F35" s="68">
        <v>0</v>
      </c>
      <c r="G35" s="68">
        <v>9597489.9552999996</v>
      </c>
      <c r="H35" s="68">
        <v>0</v>
      </c>
      <c r="I35" s="68">
        <f t="shared" si="5"/>
        <v>9597489.9552999996</v>
      </c>
      <c r="J35" s="68">
        <v>202706274.80000001</v>
      </c>
      <c r="K35" s="69">
        <f t="shared" si="2"/>
        <v>525522448.7353</v>
      </c>
      <c r="L35" s="63"/>
      <c r="M35" s="165"/>
      <c r="N35" s="70">
        <v>9</v>
      </c>
      <c r="O35" s="165"/>
      <c r="P35" s="68" t="s">
        <v>174</v>
      </c>
      <c r="Q35" s="68">
        <v>330374831.02999997</v>
      </c>
      <c r="R35" s="71">
        <v>0</v>
      </c>
      <c r="S35" s="68">
        <v>9953521.9487999994</v>
      </c>
      <c r="T35" s="68">
        <v>0</v>
      </c>
      <c r="U35" s="68">
        <f t="shared" si="6"/>
        <v>9953521.9487999994</v>
      </c>
      <c r="V35" s="68">
        <v>202955630.40000001</v>
      </c>
      <c r="W35" s="69">
        <f t="shared" si="3"/>
        <v>543283983.37880003</v>
      </c>
    </row>
    <row r="36" spans="1:23" ht="24.95" customHeight="1">
      <c r="A36" s="170"/>
      <c r="B36" s="165"/>
      <c r="C36" s="64">
        <v>12</v>
      </c>
      <c r="D36" s="68" t="s">
        <v>175</v>
      </c>
      <c r="E36" s="68">
        <v>363183797.88999999</v>
      </c>
      <c r="F36" s="68">
        <v>0</v>
      </c>
      <c r="G36" s="68">
        <v>9396560.5194000006</v>
      </c>
      <c r="H36" s="68">
        <v>0</v>
      </c>
      <c r="I36" s="68">
        <f t="shared" si="5"/>
        <v>9396560.5194000006</v>
      </c>
      <c r="J36" s="68">
        <v>217143870.27000001</v>
      </c>
      <c r="K36" s="69">
        <f t="shared" si="2"/>
        <v>589724228.67939997</v>
      </c>
      <c r="L36" s="63"/>
      <c r="M36" s="165"/>
      <c r="N36" s="70">
        <v>10</v>
      </c>
      <c r="O36" s="165"/>
      <c r="P36" s="68" t="s">
        <v>176</v>
      </c>
      <c r="Q36" s="68">
        <v>400029906.97000003</v>
      </c>
      <c r="R36" s="71">
        <v>0</v>
      </c>
      <c r="S36" s="68">
        <v>12000897.209000001</v>
      </c>
      <c r="T36" s="68">
        <v>0</v>
      </c>
      <c r="U36" s="68">
        <f t="shared" si="6"/>
        <v>12000897.209000001</v>
      </c>
      <c r="V36" s="68">
        <v>239478468.77000001</v>
      </c>
      <c r="W36" s="69">
        <f t="shared" si="3"/>
        <v>651509272.949</v>
      </c>
    </row>
    <row r="37" spans="1:23" ht="24.95" customHeight="1">
      <c r="A37" s="170"/>
      <c r="B37" s="165"/>
      <c r="C37" s="64">
        <v>13</v>
      </c>
      <c r="D37" s="68" t="s">
        <v>177</v>
      </c>
      <c r="E37" s="68">
        <v>352085183.13</v>
      </c>
      <c r="F37" s="68">
        <v>0</v>
      </c>
      <c r="G37" s="68">
        <v>10895513.936799999</v>
      </c>
      <c r="H37" s="68">
        <v>0</v>
      </c>
      <c r="I37" s="68">
        <f t="shared" si="5"/>
        <v>10895513.936799999</v>
      </c>
      <c r="J37" s="68">
        <v>217892376.62</v>
      </c>
      <c r="K37" s="69">
        <f t="shared" si="2"/>
        <v>580873073.6868</v>
      </c>
      <c r="L37" s="63"/>
      <c r="M37" s="165"/>
      <c r="N37" s="70">
        <v>11</v>
      </c>
      <c r="O37" s="165"/>
      <c r="P37" s="68" t="s">
        <v>178</v>
      </c>
      <c r="Q37" s="68">
        <v>330151525.41000003</v>
      </c>
      <c r="R37" s="71">
        <v>0</v>
      </c>
      <c r="S37" s="68">
        <v>9904545.7621999998</v>
      </c>
      <c r="T37" s="68">
        <v>0</v>
      </c>
      <c r="U37" s="68">
        <f t="shared" si="6"/>
        <v>9904545.7621999998</v>
      </c>
      <c r="V37" s="68">
        <v>205136735.87</v>
      </c>
      <c r="W37" s="69">
        <f t="shared" si="3"/>
        <v>545192807.04220009</v>
      </c>
    </row>
    <row r="38" spans="1:23" ht="24.95" customHeight="1">
      <c r="A38" s="170"/>
      <c r="B38" s="165"/>
      <c r="C38" s="64">
        <v>14</v>
      </c>
      <c r="D38" s="68" t="s">
        <v>179</v>
      </c>
      <c r="E38" s="68">
        <v>335973979.61000001</v>
      </c>
      <c r="F38" s="68">
        <v>0</v>
      </c>
      <c r="G38" s="68">
        <v>10562555.493799999</v>
      </c>
      <c r="H38" s="68">
        <v>0</v>
      </c>
      <c r="I38" s="68">
        <f t="shared" si="5"/>
        <v>10562555.493799999</v>
      </c>
      <c r="J38" s="68">
        <v>216435321.00999999</v>
      </c>
      <c r="K38" s="69">
        <f t="shared" si="2"/>
        <v>562971856.11380005</v>
      </c>
      <c r="L38" s="63"/>
      <c r="M38" s="165"/>
      <c r="N38" s="70">
        <v>12</v>
      </c>
      <c r="O38" s="165"/>
      <c r="P38" s="68" t="s">
        <v>180</v>
      </c>
      <c r="Q38" s="68">
        <v>366690033.52999997</v>
      </c>
      <c r="R38" s="71">
        <v>0</v>
      </c>
      <c r="S38" s="68">
        <v>11000701.005799999</v>
      </c>
      <c r="T38" s="68">
        <v>0</v>
      </c>
      <c r="U38" s="68">
        <f t="shared" si="6"/>
        <v>11000701.005799999</v>
      </c>
      <c r="V38" s="68">
        <v>222238366.34</v>
      </c>
      <c r="W38" s="69">
        <f t="shared" si="3"/>
        <v>599929100.87580001</v>
      </c>
    </row>
    <row r="39" spans="1:23" ht="24.95" customHeight="1">
      <c r="A39" s="170"/>
      <c r="B39" s="165"/>
      <c r="C39" s="64">
        <v>15</v>
      </c>
      <c r="D39" s="68" t="s">
        <v>181</v>
      </c>
      <c r="E39" s="68">
        <v>313001751.04000002</v>
      </c>
      <c r="F39" s="68">
        <v>0</v>
      </c>
      <c r="G39" s="68">
        <v>10079219.3883</v>
      </c>
      <c r="H39" s="68">
        <v>0</v>
      </c>
      <c r="I39" s="68">
        <f t="shared" si="5"/>
        <v>10079219.3883</v>
      </c>
      <c r="J39" s="68">
        <v>208810752.22999999</v>
      </c>
      <c r="K39" s="69">
        <f t="shared" si="2"/>
        <v>531891722.65830004</v>
      </c>
      <c r="L39" s="63"/>
      <c r="M39" s="165"/>
      <c r="N39" s="70">
        <v>13</v>
      </c>
      <c r="O39" s="165"/>
      <c r="P39" s="68" t="s">
        <v>182</v>
      </c>
      <c r="Q39" s="68">
        <v>399609006.72000003</v>
      </c>
      <c r="R39" s="71">
        <v>0</v>
      </c>
      <c r="S39" s="68">
        <v>11988270.201400001</v>
      </c>
      <c r="T39" s="68">
        <v>0</v>
      </c>
      <c r="U39" s="68">
        <f t="shared" si="6"/>
        <v>11988270.201400001</v>
      </c>
      <c r="V39" s="68">
        <v>231319646.27000001</v>
      </c>
      <c r="W39" s="69">
        <f t="shared" si="3"/>
        <v>642916923.19140005</v>
      </c>
    </row>
    <row r="40" spans="1:23" ht="24.95" customHeight="1">
      <c r="A40" s="170"/>
      <c r="B40" s="165"/>
      <c r="C40" s="64">
        <v>16</v>
      </c>
      <c r="D40" s="68" t="s">
        <v>183</v>
      </c>
      <c r="E40" s="68">
        <v>297463409.69</v>
      </c>
      <c r="F40" s="68">
        <v>0</v>
      </c>
      <c r="G40" s="68">
        <v>9390052.5313000008</v>
      </c>
      <c r="H40" s="68">
        <v>0</v>
      </c>
      <c r="I40" s="68">
        <f t="shared" si="5"/>
        <v>9390052.5313000008</v>
      </c>
      <c r="J40" s="68">
        <v>195647649.84999999</v>
      </c>
      <c r="K40" s="69">
        <f t="shared" si="2"/>
        <v>502501112.07130003</v>
      </c>
      <c r="L40" s="63"/>
      <c r="M40" s="165"/>
      <c r="N40" s="70">
        <v>14</v>
      </c>
      <c r="O40" s="165"/>
      <c r="P40" s="68" t="s">
        <v>184</v>
      </c>
      <c r="Q40" s="68">
        <v>398674638.42000002</v>
      </c>
      <c r="R40" s="71">
        <v>0</v>
      </c>
      <c r="S40" s="68">
        <v>11960239.1527</v>
      </c>
      <c r="T40" s="68">
        <v>0</v>
      </c>
      <c r="U40" s="68">
        <f t="shared" si="6"/>
        <v>11960239.1527</v>
      </c>
      <c r="V40" s="68">
        <v>241493545.68000001</v>
      </c>
      <c r="W40" s="69">
        <f t="shared" si="3"/>
        <v>652128423.25270009</v>
      </c>
    </row>
    <row r="41" spans="1:23" ht="24.95" customHeight="1">
      <c r="A41" s="170"/>
      <c r="B41" s="165"/>
      <c r="C41" s="64">
        <v>17</v>
      </c>
      <c r="D41" s="68" t="s">
        <v>185</v>
      </c>
      <c r="E41" s="68">
        <v>336977072.72000003</v>
      </c>
      <c r="F41" s="68">
        <v>0</v>
      </c>
      <c r="G41" s="68">
        <v>8923902.2905999999</v>
      </c>
      <c r="H41" s="68">
        <v>0</v>
      </c>
      <c r="I41" s="68">
        <f t="shared" si="5"/>
        <v>8923902.2905999999</v>
      </c>
      <c r="J41" s="68">
        <v>215745372.44999999</v>
      </c>
      <c r="K41" s="69">
        <f t="shared" si="2"/>
        <v>561646347.46060002</v>
      </c>
      <c r="L41" s="63"/>
      <c r="M41" s="165"/>
      <c r="N41" s="70">
        <v>15</v>
      </c>
      <c r="O41" s="165"/>
      <c r="P41" s="68" t="s">
        <v>186</v>
      </c>
      <c r="Q41" s="68">
        <v>348144777.74000001</v>
      </c>
      <c r="R41" s="71">
        <v>0</v>
      </c>
      <c r="S41" s="68">
        <v>10444343.3323</v>
      </c>
      <c r="T41" s="68">
        <v>0</v>
      </c>
      <c r="U41" s="68">
        <f t="shared" si="6"/>
        <v>10444343.3323</v>
      </c>
      <c r="V41" s="68">
        <v>222266611.87</v>
      </c>
      <c r="W41" s="69">
        <f t="shared" si="3"/>
        <v>580855732.94230008</v>
      </c>
    </row>
    <row r="42" spans="1:23" ht="24.95" customHeight="1">
      <c r="A42" s="170"/>
      <c r="B42" s="165"/>
      <c r="C42" s="64">
        <v>18</v>
      </c>
      <c r="D42" s="68" t="s">
        <v>187</v>
      </c>
      <c r="E42" s="68">
        <v>424159075.86000001</v>
      </c>
      <c r="F42" s="68">
        <v>0</v>
      </c>
      <c r="G42" s="68">
        <v>10109312.181600001</v>
      </c>
      <c r="H42" s="68">
        <v>0</v>
      </c>
      <c r="I42" s="68">
        <f t="shared" si="5"/>
        <v>10109312.181600001</v>
      </c>
      <c r="J42" s="68">
        <v>230773368.22999999</v>
      </c>
      <c r="K42" s="69">
        <f t="shared" si="2"/>
        <v>665041756.27160001</v>
      </c>
      <c r="L42" s="63"/>
      <c r="M42" s="165"/>
      <c r="N42" s="70">
        <v>16</v>
      </c>
      <c r="O42" s="165"/>
      <c r="P42" s="68" t="s">
        <v>188</v>
      </c>
      <c r="Q42" s="68">
        <v>392211308.19</v>
      </c>
      <c r="R42" s="71">
        <v>0</v>
      </c>
      <c r="S42" s="68">
        <v>11766339.2456</v>
      </c>
      <c r="T42" s="68">
        <v>0</v>
      </c>
      <c r="U42" s="68">
        <f t="shared" si="6"/>
        <v>11766339.2456</v>
      </c>
      <c r="V42" s="68">
        <v>222264889.58000001</v>
      </c>
      <c r="W42" s="69">
        <f t="shared" si="3"/>
        <v>626242537.01559997</v>
      </c>
    </row>
    <row r="43" spans="1:23" ht="24.95" customHeight="1">
      <c r="A43" s="170"/>
      <c r="B43" s="165"/>
      <c r="C43" s="64">
        <v>19</v>
      </c>
      <c r="D43" s="68" t="s">
        <v>189</v>
      </c>
      <c r="E43" s="68">
        <v>363411378.87</v>
      </c>
      <c r="F43" s="68">
        <v>0</v>
      </c>
      <c r="G43" s="68">
        <v>12724772.275900001</v>
      </c>
      <c r="H43" s="68">
        <v>0</v>
      </c>
      <c r="I43" s="68">
        <f t="shared" si="5"/>
        <v>12724772.275900001</v>
      </c>
      <c r="J43" s="68">
        <v>182322996.86000001</v>
      </c>
      <c r="K43" s="69">
        <f t="shared" si="2"/>
        <v>558459148.00590003</v>
      </c>
      <c r="L43" s="63"/>
      <c r="M43" s="165"/>
      <c r="N43" s="70">
        <v>17</v>
      </c>
      <c r="O43" s="165"/>
      <c r="P43" s="68" t="s">
        <v>190</v>
      </c>
      <c r="Q43" s="68">
        <v>404874311.76999998</v>
      </c>
      <c r="R43" s="71">
        <v>0</v>
      </c>
      <c r="S43" s="68">
        <v>12146229.353</v>
      </c>
      <c r="T43" s="68">
        <v>0</v>
      </c>
      <c r="U43" s="68">
        <f t="shared" si="6"/>
        <v>12146229.353</v>
      </c>
      <c r="V43" s="68">
        <v>233678836.31</v>
      </c>
      <c r="W43" s="69">
        <f t="shared" si="3"/>
        <v>650699377.43299997</v>
      </c>
    </row>
    <row r="44" spans="1:23" ht="24.95" customHeight="1">
      <c r="A44" s="170"/>
      <c r="B44" s="165"/>
      <c r="C44" s="64">
        <v>20</v>
      </c>
      <c r="D44" s="68" t="s">
        <v>191</v>
      </c>
      <c r="E44" s="68">
        <v>351597135.70999998</v>
      </c>
      <c r="F44" s="68">
        <v>0</v>
      </c>
      <c r="G44" s="68">
        <v>10902341.3661</v>
      </c>
      <c r="H44" s="68">
        <v>0</v>
      </c>
      <c r="I44" s="68">
        <f t="shared" si="5"/>
        <v>10902341.3661</v>
      </c>
      <c r="J44" s="68">
        <v>232685107.86000001</v>
      </c>
      <c r="K44" s="69">
        <f t="shared" si="2"/>
        <v>595184584.93610001</v>
      </c>
      <c r="L44" s="63"/>
      <c r="M44" s="165"/>
      <c r="N44" s="70">
        <v>18</v>
      </c>
      <c r="O44" s="165"/>
      <c r="P44" s="68" t="s">
        <v>192</v>
      </c>
      <c r="Q44" s="68">
        <v>387576030.14999998</v>
      </c>
      <c r="R44" s="71">
        <v>0</v>
      </c>
      <c r="S44" s="68">
        <v>11627280.9044</v>
      </c>
      <c r="T44" s="68">
        <v>0</v>
      </c>
      <c r="U44" s="68">
        <f t="shared" si="6"/>
        <v>11627280.9044</v>
      </c>
      <c r="V44" s="68">
        <v>227312226.66</v>
      </c>
      <c r="W44" s="69">
        <f t="shared" si="3"/>
        <v>626515537.71439993</v>
      </c>
    </row>
    <row r="45" spans="1:23" ht="24.95" customHeight="1">
      <c r="A45" s="170"/>
      <c r="B45" s="165"/>
      <c r="C45" s="74">
        <v>21</v>
      </c>
      <c r="D45" s="68" t="s">
        <v>193</v>
      </c>
      <c r="E45" s="68">
        <v>352173044.01999998</v>
      </c>
      <c r="F45" s="68">
        <v>0</v>
      </c>
      <c r="G45" s="68">
        <v>10565191.3202</v>
      </c>
      <c r="H45" s="68">
        <v>0</v>
      </c>
      <c r="I45" s="68">
        <f t="shared" si="5"/>
        <v>10565191.3202</v>
      </c>
      <c r="J45" s="68">
        <v>231431282.24000001</v>
      </c>
      <c r="K45" s="69">
        <f t="shared" si="2"/>
        <v>594169517.58019996</v>
      </c>
      <c r="L45" s="63"/>
      <c r="M45" s="165"/>
      <c r="N45" s="70">
        <v>19</v>
      </c>
      <c r="O45" s="165"/>
      <c r="P45" s="68" t="s">
        <v>194</v>
      </c>
      <c r="Q45" s="68">
        <v>425021323.95999998</v>
      </c>
      <c r="R45" s="71">
        <v>0</v>
      </c>
      <c r="S45" s="68">
        <v>12750639.718699999</v>
      </c>
      <c r="T45" s="68">
        <v>0</v>
      </c>
      <c r="U45" s="68">
        <f t="shared" si="6"/>
        <v>12750639.718699999</v>
      </c>
      <c r="V45" s="68">
        <v>248440566.38</v>
      </c>
      <c r="W45" s="69">
        <f t="shared" si="3"/>
        <v>686212530.05869997</v>
      </c>
    </row>
    <row r="46" spans="1:23" ht="24.95" customHeight="1">
      <c r="A46" s="64"/>
      <c r="B46" s="184" t="s">
        <v>195</v>
      </c>
      <c r="C46" s="184"/>
      <c r="D46" s="72"/>
      <c r="E46" s="72">
        <f t="shared" ref="E46:K46" si="7">SUM(E25:E45)</f>
        <v>7452734099.6800003</v>
      </c>
      <c r="F46" s="68">
        <v>0</v>
      </c>
      <c r="G46" s="72">
        <f t="shared" si="7"/>
        <v>223582022.99050003</v>
      </c>
      <c r="H46" s="72">
        <f t="shared" si="7"/>
        <v>0</v>
      </c>
      <c r="I46" s="72">
        <f t="shared" si="7"/>
        <v>223582022.99050003</v>
      </c>
      <c r="J46" s="72">
        <f t="shared" si="7"/>
        <v>4543622338.749999</v>
      </c>
      <c r="K46" s="72">
        <f t="shared" si="7"/>
        <v>12219938461.420502</v>
      </c>
      <c r="L46" s="63"/>
      <c r="M46" s="165"/>
      <c r="N46" s="70">
        <v>20</v>
      </c>
      <c r="O46" s="165"/>
      <c r="P46" s="68" t="s">
        <v>196</v>
      </c>
      <c r="Q46" s="68">
        <v>338454039.86000001</v>
      </c>
      <c r="R46" s="71">
        <v>0</v>
      </c>
      <c r="S46" s="68">
        <v>10153621.195900001</v>
      </c>
      <c r="T46" s="68">
        <v>0</v>
      </c>
      <c r="U46" s="68">
        <f t="shared" si="6"/>
        <v>10153621.195900001</v>
      </c>
      <c r="V46" s="68">
        <v>215956493.25999999</v>
      </c>
      <c r="W46" s="69">
        <f t="shared" si="3"/>
        <v>564564154.31590009</v>
      </c>
    </row>
    <row r="47" spans="1:23" ht="24.95" customHeight="1">
      <c r="A47" s="170">
        <v>3</v>
      </c>
      <c r="B47" s="164" t="s">
        <v>197</v>
      </c>
      <c r="C47" s="75">
        <v>1</v>
      </c>
      <c r="D47" s="68" t="s">
        <v>198</v>
      </c>
      <c r="E47" s="68">
        <v>338169376.81999999</v>
      </c>
      <c r="F47" s="68">
        <v>0</v>
      </c>
      <c r="G47" s="68">
        <v>10145081.3047</v>
      </c>
      <c r="H47" s="68">
        <v>10145081.3047</v>
      </c>
      <c r="I47" s="68">
        <f t="shared" ref="I47:I77" si="8">G47-H47</f>
        <v>0</v>
      </c>
      <c r="J47" s="68">
        <v>205554241.22</v>
      </c>
      <c r="K47" s="69">
        <f t="shared" si="2"/>
        <v>543723618.03999996</v>
      </c>
      <c r="L47" s="63"/>
      <c r="M47" s="165"/>
      <c r="N47" s="70">
        <v>21</v>
      </c>
      <c r="O47" s="165"/>
      <c r="P47" s="68" t="s">
        <v>94</v>
      </c>
      <c r="Q47" s="68">
        <v>466140662.19999999</v>
      </c>
      <c r="R47" s="71">
        <v>0</v>
      </c>
      <c r="S47" s="68">
        <v>13984219.8661</v>
      </c>
      <c r="T47" s="68">
        <v>0</v>
      </c>
      <c r="U47" s="68">
        <f t="shared" si="6"/>
        <v>13984219.8661</v>
      </c>
      <c r="V47" s="68">
        <v>273489522.38999999</v>
      </c>
      <c r="W47" s="69">
        <f t="shared" si="3"/>
        <v>753614404.45609999</v>
      </c>
    </row>
    <row r="48" spans="1:23" ht="24.95" customHeight="1">
      <c r="A48" s="170"/>
      <c r="B48" s="165"/>
      <c r="C48" s="64">
        <v>2</v>
      </c>
      <c r="D48" s="68" t="s">
        <v>199</v>
      </c>
      <c r="E48" s="68">
        <v>264042135.25</v>
      </c>
      <c r="F48" s="68">
        <v>0</v>
      </c>
      <c r="G48" s="68">
        <v>7921264.0575999999</v>
      </c>
      <c r="H48" s="68">
        <v>7921264.0575999999</v>
      </c>
      <c r="I48" s="68">
        <f t="shared" si="8"/>
        <v>0</v>
      </c>
      <c r="J48" s="68">
        <v>178498130.81999999</v>
      </c>
      <c r="K48" s="69">
        <f t="shared" si="2"/>
        <v>442540266.06999999</v>
      </c>
      <c r="L48" s="63"/>
      <c r="M48" s="165"/>
      <c r="N48" s="70">
        <v>22</v>
      </c>
      <c r="O48" s="165"/>
      <c r="P48" s="68" t="s">
        <v>200</v>
      </c>
      <c r="Q48" s="68">
        <v>327996605.60000002</v>
      </c>
      <c r="R48" s="71">
        <v>0</v>
      </c>
      <c r="S48" s="68">
        <v>9839898.1679999996</v>
      </c>
      <c r="T48" s="68">
        <v>0</v>
      </c>
      <c r="U48" s="68">
        <f t="shared" si="6"/>
        <v>9839898.1679999996</v>
      </c>
      <c r="V48" s="68">
        <v>204295570.43000001</v>
      </c>
      <c r="W48" s="69">
        <f t="shared" si="3"/>
        <v>542132074.19799995</v>
      </c>
    </row>
    <row r="49" spans="1:23" ht="24.95" customHeight="1">
      <c r="A49" s="170"/>
      <c r="B49" s="165"/>
      <c r="C49" s="64">
        <v>3</v>
      </c>
      <c r="D49" s="68" t="s">
        <v>201</v>
      </c>
      <c r="E49" s="68">
        <v>348610420.72000003</v>
      </c>
      <c r="F49" s="68">
        <v>0</v>
      </c>
      <c r="G49" s="68">
        <v>10458312.6216</v>
      </c>
      <c r="H49" s="68">
        <v>10458312.6216</v>
      </c>
      <c r="I49" s="68">
        <f t="shared" si="8"/>
        <v>0</v>
      </c>
      <c r="J49" s="68">
        <v>217082203.41</v>
      </c>
      <c r="K49" s="69">
        <f t="shared" si="2"/>
        <v>565692624.13</v>
      </c>
      <c r="L49" s="63"/>
      <c r="M49" s="165"/>
      <c r="N49" s="70">
        <v>23</v>
      </c>
      <c r="O49" s="165"/>
      <c r="P49" s="68" t="s">
        <v>202</v>
      </c>
      <c r="Q49" s="68">
        <v>309869844.35000002</v>
      </c>
      <c r="R49" s="71">
        <v>0</v>
      </c>
      <c r="S49" s="68">
        <v>9296095.3306000009</v>
      </c>
      <c r="T49" s="68">
        <v>0</v>
      </c>
      <c r="U49" s="68">
        <f t="shared" si="6"/>
        <v>9296095.3306000009</v>
      </c>
      <c r="V49" s="68">
        <v>197987174.11000001</v>
      </c>
      <c r="W49" s="69">
        <f t="shared" si="3"/>
        <v>517153113.79060006</v>
      </c>
    </row>
    <row r="50" spans="1:23" ht="24.95" customHeight="1">
      <c r="A50" s="170"/>
      <c r="B50" s="165"/>
      <c r="C50" s="64">
        <v>4</v>
      </c>
      <c r="D50" s="68" t="s">
        <v>203</v>
      </c>
      <c r="E50" s="68">
        <v>267249483.75999999</v>
      </c>
      <c r="F50" s="68">
        <v>0</v>
      </c>
      <c r="G50" s="68">
        <v>8017484.5129000004</v>
      </c>
      <c r="H50" s="68">
        <v>8017484.5129000004</v>
      </c>
      <c r="I50" s="68">
        <f t="shared" si="8"/>
        <v>0</v>
      </c>
      <c r="J50" s="68">
        <v>183338448.88</v>
      </c>
      <c r="K50" s="69">
        <f t="shared" si="2"/>
        <v>450587932.63999999</v>
      </c>
      <c r="L50" s="63"/>
      <c r="M50" s="165"/>
      <c r="N50" s="70">
        <v>24</v>
      </c>
      <c r="O50" s="165"/>
      <c r="P50" s="68" t="s">
        <v>204</v>
      </c>
      <c r="Q50" s="68">
        <v>376952021.05000001</v>
      </c>
      <c r="R50" s="71">
        <v>0</v>
      </c>
      <c r="S50" s="68">
        <v>11308560.6316</v>
      </c>
      <c r="T50" s="68">
        <v>0</v>
      </c>
      <c r="U50" s="68">
        <f t="shared" si="6"/>
        <v>11308560.6316</v>
      </c>
      <c r="V50" s="68">
        <v>233091191.66</v>
      </c>
      <c r="W50" s="69">
        <f t="shared" si="3"/>
        <v>621351773.34160006</v>
      </c>
    </row>
    <row r="51" spans="1:23" ht="24.95" customHeight="1">
      <c r="A51" s="170"/>
      <c r="B51" s="165"/>
      <c r="C51" s="64">
        <v>5</v>
      </c>
      <c r="D51" s="68" t="s">
        <v>205</v>
      </c>
      <c r="E51" s="68">
        <v>359139422.41000003</v>
      </c>
      <c r="F51" s="68">
        <v>0</v>
      </c>
      <c r="G51" s="68">
        <v>10774182.6722</v>
      </c>
      <c r="H51" s="68">
        <v>10774182.6722</v>
      </c>
      <c r="I51" s="68">
        <f t="shared" si="8"/>
        <v>0</v>
      </c>
      <c r="J51" s="68">
        <v>224009590.03</v>
      </c>
      <c r="K51" s="69">
        <f t="shared" si="2"/>
        <v>583149012.44000006</v>
      </c>
      <c r="L51" s="63"/>
      <c r="M51" s="165"/>
      <c r="N51" s="70">
        <v>25</v>
      </c>
      <c r="O51" s="165"/>
      <c r="P51" s="68" t="s">
        <v>206</v>
      </c>
      <c r="Q51" s="68">
        <v>375112526.44999999</v>
      </c>
      <c r="R51" s="71">
        <v>0</v>
      </c>
      <c r="S51" s="68">
        <v>11253375.7936</v>
      </c>
      <c r="T51" s="68">
        <v>0</v>
      </c>
      <c r="U51" s="68">
        <f t="shared" si="6"/>
        <v>11253375.7936</v>
      </c>
      <c r="V51" s="68">
        <v>226802084.97</v>
      </c>
      <c r="W51" s="69">
        <f t="shared" si="3"/>
        <v>613167987.21360004</v>
      </c>
    </row>
    <row r="52" spans="1:23" ht="24.95" customHeight="1">
      <c r="A52" s="170"/>
      <c r="B52" s="165"/>
      <c r="C52" s="64">
        <v>6</v>
      </c>
      <c r="D52" s="68" t="s">
        <v>207</v>
      </c>
      <c r="E52" s="68">
        <v>313030462.60000002</v>
      </c>
      <c r="F52" s="68">
        <v>0</v>
      </c>
      <c r="G52" s="68">
        <v>9390913.8779000007</v>
      </c>
      <c r="H52" s="68">
        <v>9390913.8779000007</v>
      </c>
      <c r="I52" s="68">
        <f t="shared" si="8"/>
        <v>0</v>
      </c>
      <c r="J52" s="68">
        <v>193955665.21000001</v>
      </c>
      <c r="K52" s="69">
        <f t="shared" si="2"/>
        <v>506986127.81000006</v>
      </c>
      <c r="L52" s="63"/>
      <c r="M52" s="165"/>
      <c r="N52" s="70">
        <v>26</v>
      </c>
      <c r="O52" s="165"/>
      <c r="P52" s="68" t="s">
        <v>208</v>
      </c>
      <c r="Q52" s="68">
        <v>355821188.47000003</v>
      </c>
      <c r="R52" s="71">
        <v>0</v>
      </c>
      <c r="S52" s="68">
        <v>10674635.654100001</v>
      </c>
      <c r="T52" s="68">
        <v>0</v>
      </c>
      <c r="U52" s="68">
        <f t="shared" si="6"/>
        <v>10674635.654100001</v>
      </c>
      <c r="V52" s="68">
        <v>224751184.47</v>
      </c>
      <c r="W52" s="69">
        <f t="shared" si="3"/>
        <v>591247008.5941</v>
      </c>
    </row>
    <row r="53" spans="1:23" ht="24.95" customHeight="1">
      <c r="A53" s="170"/>
      <c r="B53" s="165"/>
      <c r="C53" s="64">
        <v>7</v>
      </c>
      <c r="D53" s="68" t="s">
        <v>209</v>
      </c>
      <c r="E53" s="68">
        <v>355031063.51999998</v>
      </c>
      <c r="F53" s="68">
        <v>0</v>
      </c>
      <c r="G53" s="68">
        <v>10650931.9057</v>
      </c>
      <c r="H53" s="68">
        <v>10650931.9057</v>
      </c>
      <c r="I53" s="68">
        <f t="shared" si="8"/>
        <v>0</v>
      </c>
      <c r="J53" s="68">
        <v>215954793.72</v>
      </c>
      <c r="K53" s="69">
        <f t="shared" si="2"/>
        <v>570985857.24000001</v>
      </c>
      <c r="L53" s="63"/>
      <c r="M53" s="165"/>
      <c r="N53" s="70">
        <v>27</v>
      </c>
      <c r="O53" s="165"/>
      <c r="P53" s="68" t="s">
        <v>210</v>
      </c>
      <c r="Q53" s="68">
        <v>363294242.25999999</v>
      </c>
      <c r="R53" s="71">
        <v>0</v>
      </c>
      <c r="S53" s="68">
        <v>10898827.267899999</v>
      </c>
      <c r="T53" s="68">
        <v>0</v>
      </c>
      <c r="U53" s="68">
        <f t="shared" si="6"/>
        <v>10898827.267899999</v>
      </c>
      <c r="V53" s="68">
        <v>223431222.97999999</v>
      </c>
      <c r="W53" s="69">
        <f t="shared" si="3"/>
        <v>597624292.5079</v>
      </c>
    </row>
    <row r="54" spans="1:23" ht="24.95" customHeight="1">
      <c r="A54" s="170"/>
      <c r="B54" s="165"/>
      <c r="C54" s="64">
        <v>8</v>
      </c>
      <c r="D54" s="68" t="s">
        <v>211</v>
      </c>
      <c r="E54" s="68">
        <v>284468305.31</v>
      </c>
      <c r="F54" s="68">
        <v>0</v>
      </c>
      <c r="G54" s="68">
        <v>8534049.1593999993</v>
      </c>
      <c r="H54" s="68">
        <v>8534049.1593999993</v>
      </c>
      <c r="I54" s="68">
        <f t="shared" si="8"/>
        <v>0</v>
      </c>
      <c r="J54" s="68">
        <v>183608848.09</v>
      </c>
      <c r="K54" s="69">
        <f t="shared" si="2"/>
        <v>468077153.39999998</v>
      </c>
      <c r="L54" s="63"/>
      <c r="M54" s="165"/>
      <c r="N54" s="70">
        <v>28</v>
      </c>
      <c r="O54" s="165"/>
      <c r="P54" s="68" t="s">
        <v>212</v>
      </c>
      <c r="Q54" s="68">
        <v>306008037.56999999</v>
      </c>
      <c r="R54" s="71">
        <v>0</v>
      </c>
      <c r="S54" s="68">
        <v>9180241.1271000002</v>
      </c>
      <c r="T54" s="68">
        <v>0</v>
      </c>
      <c r="U54" s="68">
        <f t="shared" si="6"/>
        <v>9180241.1271000002</v>
      </c>
      <c r="V54" s="68">
        <v>203518474.09999999</v>
      </c>
      <c r="W54" s="69">
        <f t="shared" si="3"/>
        <v>518706752.79709995</v>
      </c>
    </row>
    <row r="55" spans="1:23" ht="24.95" customHeight="1">
      <c r="A55" s="170"/>
      <c r="B55" s="165"/>
      <c r="C55" s="64">
        <v>9</v>
      </c>
      <c r="D55" s="68" t="s">
        <v>213</v>
      </c>
      <c r="E55" s="68">
        <v>330135311.13</v>
      </c>
      <c r="F55" s="68">
        <v>0</v>
      </c>
      <c r="G55" s="68">
        <v>9904059.3339000009</v>
      </c>
      <c r="H55" s="68">
        <v>9904059.3339000009</v>
      </c>
      <c r="I55" s="68">
        <f t="shared" si="8"/>
        <v>0</v>
      </c>
      <c r="J55" s="68">
        <v>204869115.06999999</v>
      </c>
      <c r="K55" s="69">
        <f t="shared" si="2"/>
        <v>535004426.19999999</v>
      </c>
      <c r="L55" s="63"/>
      <c r="M55" s="165"/>
      <c r="N55" s="70">
        <v>29</v>
      </c>
      <c r="O55" s="165"/>
      <c r="P55" s="68" t="s">
        <v>214</v>
      </c>
      <c r="Q55" s="68">
        <v>366157977.31</v>
      </c>
      <c r="R55" s="71">
        <v>0</v>
      </c>
      <c r="S55" s="68">
        <v>10984739.3192</v>
      </c>
      <c r="T55" s="68">
        <v>0</v>
      </c>
      <c r="U55" s="68">
        <f t="shared" si="6"/>
        <v>10984739.3192</v>
      </c>
      <c r="V55" s="68">
        <v>222942093.19999999</v>
      </c>
      <c r="W55" s="69">
        <f t="shared" si="3"/>
        <v>600084809.82920003</v>
      </c>
    </row>
    <row r="56" spans="1:23" ht="24.95" customHeight="1">
      <c r="A56" s="170"/>
      <c r="B56" s="165"/>
      <c r="C56" s="64">
        <v>10</v>
      </c>
      <c r="D56" s="68" t="s">
        <v>215</v>
      </c>
      <c r="E56" s="68">
        <v>359171934.94</v>
      </c>
      <c r="F56" s="68">
        <v>0</v>
      </c>
      <c r="G56" s="68">
        <v>10775158.0482</v>
      </c>
      <c r="H56" s="68">
        <v>10775158.0482</v>
      </c>
      <c r="I56" s="68">
        <f t="shared" si="8"/>
        <v>0</v>
      </c>
      <c r="J56" s="68">
        <v>222966572.44</v>
      </c>
      <c r="K56" s="69">
        <f t="shared" si="2"/>
        <v>582138507.38</v>
      </c>
      <c r="L56" s="63"/>
      <c r="M56" s="165"/>
      <c r="N56" s="70">
        <v>30</v>
      </c>
      <c r="O56" s="165"/>
      <c r="P56" s="68" t="s">
        <v>216</v>
      </c>
      <c r="Q56" s="68">
        <v>330296534.26999998</v>
      </c>
      <c r="R56" s="71">
        <v>0</v>
      </c>
      <c r="S56" s="68">
        <v>9908896.0280000009</v>
      </c>
      <c r="T56" s="68">
        <v>0</v>
      </c>
      <c r="U56" s="68">
        <f t="shared" si="6"/>
        <v>9908896.0280000009</v>
      </c>
      <c r="V56" s="68">
        <v>216752190.28999999</v>
      </c>
      <c r="W56" s="69">
        <f t="shared" si="3"/>
        <v>556957620.58799994</v>
      </c>
    </row>
    <row r="57" spans="1:23" ht="24.95" customHeight="1">
      <c r="A57" s="170"/>
      <c r="B57" s="165"/>
      <c r="C57" s="64">
        <v>11</v>
      </c>
      <c r="D57" s="68" t="s">
        <v>217</v>
      </c>
      <c r="E57" s="68">
        <v>276428666.83999997</v>
      </c>
      <c r="F57" s="68">
        <v>0</v>
      </c>
      <c r="G57" s="68">
        <v>8292860.0053000003</v>
      </c>
      <c r="H57" s="68">
        <v>8292860.0053000003</v>
      </c>
      <c r="I57" s="68">
        <f t="shared" si="8"/>
        <v>0</v>
      </c>
      <c r="J57" s="68">
        <v>182768027.11000001</v>
      </c>
      <c r="K57" s="69">
        <f t="shared" si="2"/>
        <v>459196693.94999999</v>
      </c>
      <c r="L57" s="63"/>
      <c r="M57" s="165"/>
      <c r="N57" s="70">
        <v>31</v>
      </c>
      <c r="O57" s="165"/>
      <c r="P57" s="68" t="s">
        <v>218</v>
      </c>
      <c r="Q57" s="68">
        <v>342216163.69999999</v>
      </c>
      <c r="R57" s="71">
        <v>0</v>
      </c>
      <c r="S57" s="68">
        <v>10266484.911</v>
      </c>
      <c r="T57" s="68">
        <v>0</v>
      </c>
      <c r="U57" s="68">
        <f t="shared" si="6"/>
        <v>10266484.911</v>
      </c>
      <c r="V57" s="68">
        <v>210657357.68000001</v>
      </c>
      <c r="W57" s="69">
        <f t="shared" si="3"/>
        <v>563140006.29100001</v>
      </c>
    </row>
    <row r="58" spans="1:23" ht="24.95" customHeight="1">
      <c r="A58" s="170"/>
      <c r="B58" s="165"/>
      <c r="C58" s="64">
        <v>12</v>
      </c>
      <c r="D58" s="68" t="s">
        <v>219</v>
      </c>
      <c r="E58" s="68">
        <v>326965440.43000001</v>
      </c>
      <c r="F58" s="68">
        <v>0</v>
      </c>
      <c r="G58" s="68">
        <v>9808963.2128999997</v>
      </c>
      <c r="H58" s="68">
        <v>9808963.2128999997</v>
      </c>
      <c r="I58" s="68">
        <f t="shared" si="8"/>
        <v>0</v>
      </c>
      <c r="J58" s="68">
        <v>203078968.97</v>
      </c>
      <c r="K58" s="69">
        <f t="shared" si="2"/>
        <v>530044409.39999998</v>
      </c>
      <c r="L58" s="63"/>
      <c r="M58" s="165"/>
      <c r="N58" s="70">
        <v>32</v>
      </c>
      <c r="O58" s="165"/>
      <c r="P58" s="68" t="s">
        <v>220</v>
      </c>
      <c r="Q58" s="68">
        <v>367190918.48000002</v>
      </c>
      <c r="R58" s="71">
        <v>0</v>
      </c>
      <c r="S58" s="68">
        <v>11015727.554300001</v>
      </c>
      <c r="T58" s="68">
        <v>0</v>
      </c>
      <c r="U58" s="68">
        <f t="shared" si="6"/>
        <v>11015727.554300001</v>
      </c>
      <c r="V58" s="68">
        <v>227097974.06</v>
      </c>
      <c r="W58" s="69">
        <f t="shared" si="3"/>
        <v>605304620.09430003</v>
      </c>
    </row>
    <row r="59" spans="1:23" ht="24.95" customHeight="1">
      <c r="A59" s="170"/>
      <c r="B59" s="165"/>
      <c r="C59" s="64">
        <v>13</v>
      </c>
      <c r="D59" s="68" t="s">
        <v>221</v>
      </c>
      <c r="E59" s="68">
        <v>327057626.08999997</v>
      </c>
      <c r="F59" s="68">
        <v>0</v>
      </c>
      <c r="G59" s="68">
        <v>9811728.7826000005</v>
      </c>
      <c r="H59" s="68">
        <v>9811728.7826000005</v>
      </c>
      <c r="I59" s="68">
        <f t="shared" si="8"/>
        <v>0</v>
      </c>
      <c r="J59" s="68">
        <v>203119959.41999999</v>
      </c>
      <c r="K59" s="69">
        <f t="shared" si="2"/>
        <v>530177585.50999999</v>
      </c>
      <c r="L59" s="63"/>
      <c r="M59" s="165"/>
      <c r="N59" s="70">
        <v>33</v>
      </c>
      <c r="O59" s="165"/>
      <c r="P59" s="68" t="s">
        <v>222</v>
      </c>
      <c r="Q59" s="68">
        <v>355877169.67000002</v>
      </c>
      <c r="R59" s="71">
        <v>0</v>
      </c>
      <c r="S59" s="68">
        <v>10676315.0901</v>
      </c>
      <c r="T59" s="68">
        <v>0</v>
      </c>
      <c r="U59" s="68">
        <f t="shared" si="6"/>
        <v>10676315.0901</v>
      </c>
      <c r="V59" s="68">
        <v>211083451.72</v>
      </c>
      <c r="W59" s="69">
        <f t="shared" si="3"/>
        <v>577636936.48010004</v>
      </c>
    </row>
    <row r="60" spans="1:23" ht="24.95" customHeight="1">
      <c r="A60" s="170"/>
      <c r="B60" s="165"/>
      <c r="C60" s="64">
        <v>14</v>
      </c>
      <c r="D60" s="68" t="s">
        <v>223</v>
      </c>
      <c r="E60" s="68">
        <v>337311287.95999998</v>
      </c>
      <c r="F60" s="68">
        <v>0</v>
      </c>
      <c r="G60" s="68">
        <v>10119338.638800001</v>
      </c>
      <c r="H60" s="68">
        <v>10119338.638800001</v>
      </c>
      <c r="I60" s="68">
        <f t="shared" si="8"/>
        <v>0</v>
      </c>
      <c r="J60" s="68">
        <v>206927593.63</v>
      </c>
      <c r="K60" s="69">
        <f t="shared" si="2"/>
        <v>544238881.58999991</v>
      </c>
      <c r="L60" s="63"/>
      <c r="M60" s="166"/>
      <c r="N60" s="70">
        <v>34</v>
      </c>
      <c r="O60" s="166"/>
      <c r="P60" s="68" t="s">
        <v>224</v>
      </c>
      <c r="Q60" s="68">
        <v>348788825.19</v>
      </c>
      <c r="R60" s="71">
        <v>0</v>
      </c>
      <c r="S60" s="68">
        <v>10463664.755799999</v>
      </c>
      <c r="T60" s="68">
        <v>0</v>
      </c>
      <c r="U60" s="68">
        <f t="shared" si="6"/>
        <v>10463664.755799999</v>
      </c>
      <c r="V60" s="68">
        <v>217096303.43000001</v>
      </c>
      <c r="W60" s="69">
        <f t="shared" si="3"/>
        <v>576348793.37580001</v>
      </c>
    </row>
    <row r="61" spans="1:23" ht="24.95" customHeight="1">
      <c r="A61" s="170"/>
      <c r="B61" s="165"/>
      <c r="C61" s="64">
        <v>15</v>
      </c>
      <c r="D61" s="68" t="s">
        <v>225</v>
      </c>
      <c r="E61" s="68">
        <v>308166917.68000001</v>
      </c>
      <c r="F61" s="68">
        <v>0</v>
      </c>
      <c r="G61" s="68">
        <v>9245007.5304000005</v>
      </c>
      <c r="H61" s="68">
        <v>9245007.5304000005</v>
      </c>
      <c r="I61" s="68">
        <f t="shared" si="8"/>
        <v>0</v>
      </c>
      <c r="J61" s="68">
        <v>191812450.08000001</v>
      </c>
      <c r="K61" s="69">
        <f t="shared" si="2"/>
        <v>499979367.75999999</v>
      </c>
      <c r="L61" s="63"/>
      <c r="M61" s="64"/>
      <c r="N61" s="177" t="s">
        <v>226</v>
      </c>
      <c r="O61" s="178"/>
      <c r="P61" s="72"/>
      <c r="Q61" s="72">
        <f t="shared" ref="Q61:W61" si="9">SUM(Q27:Q60)</f>
        <v>12385488991.380001</v>
      </c>
      <c r="R61" s="71">
        <v>0</v>
      </c>
      <c r="S61" s="72">
        <f t="shared" si="9"/>
        <v>371564669.74129999</v>
      </c>
      <c r="T61" s="72">
        <f t="shared" si="9"/>
        <v>0</v>
      </c>
      <c r="U61" s="72">
        <f t="shared" si="9"/>
        <v>371564669.74129999</v>
      </c>
      <c r="V61" s="72">
        <f t="shared" si="9"/>
        <v>7564290145.920002</v>
      </c>
      <c r="W61" s="72">
        <f t="shared" si="9"/>
        <v>20321343807.041306</v>
      </c>
    </row>
    <row r="62" spans="1:23" ht="24.95" customHeight="1">
      <c r="A62" s="170"/>
      <c r="B62" s="165"/>
      <c r="C62" s="64">
        <v>16</v>
      </c>
      <c r="D62" s="68" t="s">
        <v>227</v>
      </c>
      <c r="E62" s="68">
        <v>314653947.10000002</v>
      </c>
      <c r="F62" s="68">
        <v>0</v>
      </c>
      <c r="G62" s="68">
        <v>9439618.4131000005</v>
      </c>
      <c r="H62" s="68">
        <v>9439618.4131000005</v>
      </c>
      <c r="I62" s="68">
        <f t="shared" si="8"/>
        <v>0</v>
      </c>
      <c r="J62" s="68">
        <v>201401116.03999999</v>
      </c>
      <c r="K62" s="69">
        <f t="shared" si="2"/>
        <v>516055063.13999999</v>
      </c>
      <c r="L62" s="63"/>
      <c r="M62" s="164">
        <v>21</v>
      </c>
      <c r="N62" s="70">
        <v>1</v>
      </c>
      <c r="O62" s="164" t="s">
        <v>95</v>
      </c>
      <c r="P62" s="68" t="s">
        <v>228</v>
      </c>
      <c r="Q62" s="68">
        <v>279262601.14999998</v>
      </c>
      <c r="R62" s="71">
        <v>0</v>
      </c>
      <c r="S62" s="68">
        <v>8377878.0345999999</v>
      </c>
      <c r="T62" s="68">
        <f>S62/2</f>
        <v>4188939.0172999999</v>
      </c>
      <c r="U62" s="68">
        <f t="shared" ref="U62:U82" si="10">S62-T62</f>
        <v>4188939.0172999999</v>
      </c>
      <c r="V62" s="68">
        <v>183287244.44</v>
      </c>
      <c r="W62" s="69">
        <f t="shared" si="3"/>
        <v>466738784.60729998</v>
      </c>
    </row>
    <row r="63" spans="1:23" ht="24.95" customHeight="1">
      <c r="A63" s="170"/>
      <c r="B63" s="165"/>
      <c r="C63" s="64">
        <v>17</v>
      </c>
      <c r="D63" s="68" t="s">
        <v>229</v>
      </c>
      <c r="E63" s="68">
        <v>293710755.74000001</v>
      </c>
      <c r="F63" s="68">
        <v>0</v>
      </c>
      <c r="G63" s="68">
        <v>8811322.6721999999</v>
      </c>
      <c r="H63" s="68">
        <v>8811322.6721999999</v>
      </c>
      <c r="I63" s="68">
        <f t="shared" si="8"/>
        <v>0</v>
      </c>
      <c r="J63" s="68">
        <v>193471357.84</v>
      </c>
      <c r="K63" s="69">
        <f t="shared" si="2"/>
        <v>487182113.58000004</v>
      </c>
      <c r="L63" s="63"/>
      <c r="M63" s="165"/>
      <c r="N63" s="70">
        <v>2</v>
      </c>
      <c r="O63" s="165"/>
      <c r="P63" s="68" t="s">
        <v>230</v>
      </c>
      <c r="Q63" s="68">
        <v>456304031.63999999</v>
      </c>
      <c r="R63" s="71">
        <v>0</v>
      </c>
      <c r="S63" s="68">
        <v>13689120.949100001</v>
      </c>
      <c r="T63" s="68">
        <f t="shared" ref="T63:T121" si="11">S63/2</f>
        <v>6844560.4745500004</v>
      </c>
      <c r="U63" s="68">
        <f t="shared" si="10"/>
        <v>6844560.4745500004</v>
      </c>
      <c r="V63" s="68">
        <v>223952874.25</v>
      </c>
      <c r="W63" s="69">
        <f t="shared" si="3"/>
        <v>687101466.36454999</v>
      </c>
    </row>
    <row r="64" spans="1:23" ht="24.95" customHeight="1">
      <c r="A64" s="170"/>
      <c r="B64" s="165"/>
      <c r="C64" s="64">
        <v>18</v>
      </c>
      <c r="D64" s="68" t="s">
        <v>231</v>
      </c>
      <c r="E64" s="68">
        <v>364907593.68000001</v>
      </c>
      <c r="F64" s="68">
        <v>0</v>
      </c>
      <c r="G64" s="68">
        <v>10947227.8103</v>
      </c>
      <c r="H64" s="68">
        <v>10947227.8103</v>
      </c>
      <c r="I64" s="68">
        <f t="shared" si="8"/>
        <v>0</v>
      </c>
      <c r="J64" s="68">
        <v>218969486.55000001</v>
      </c>
      <c r="K64" s="69">
        <f t="shared" si="2"/>
        <v>583877080.23000002</v>
      </c>
      <c r="L64" s="63"/>
      <c r="M64" s="165"/>
      <c r="N64" s="70">
        <v>3</v>
      </c>
      <c r="O64" s="165"/>
      <c r="P64" s="68" t="s">
        <v>232</v>
      </c>
      <c r="Q64" s="68">
        <v>384341123.33999997</v>
      </c>
      <c r="R64" s="71">
        <v>0</v>
      </c>
      <c r="S64" s="68">
        <v>11530233.700300001</v>
      </c>
      <c r="T64" s="68">
        <f t="shared" si="11"/>
        <v>5765116.8501500003</v>
      </c>
      <c r="U64" s="68">
        <f t="shared" si="10"/>
        <v>5765116.8501500003</v>
      </c>
      <c r="V64" s="68">
        <v>227898291.5</v>
      </c>
      <c r="W64" s="69">
        <f t="shared" si="3"/>
        <v>618004531.69015002</v>
      </c>
    </row>
    <row r="65" spans="1:23" ht="24.95" customHeight="1">
      <c r="A65" s="170"/>
      <c r="B65" s="165"/>
      <c r="C65" s="64">
        <v>19</v>
      </c>
      <c r="D65" s="68" t="s">
        <v>233</v>
      </c>
      <c r="E65" s="68">
        <v>304488369.27999997</v>
      </c>
      <c r="F65" s="68">
        <v>0</v>
      </c>
      <c r="G65" s="68">
        <v>9134651.0782999992</v>
      </c>
      <c r="H65" s="68">
        <v>9134651.0782999992</v>
      </c>
      <c r="I65" s="68">
        <f t="shared" si="8"/>
        <v>0</v>
      </c>
      <c r="J65" s="68">
        <v>195055518.30000001</v>
      </c>
      <c r="K65" s="69">
        <f t="shared" si="2"/>
        <v>499543887.57999998</v>
      </c>
      <c r="L65" s="63"/>
      <c r="M65" s="165"/>
      <c r="N65" s="70">
        <v>4</v>
      </c>
      <c r="O65" s="165"/>
      <c r="P65" s="68" t="s">
        <v>234</v>
      </c>
      <c r="Q65" s="68">
        <v>317338322.87</v>
      </c>
      <c r="R65" s="71">
        <v>0</v>
      </c>
      <c r="S65" s="68">
        <v>9520149.6861000005</v>
      </c>
      <c r="T65" s="68">
        <f t="shared" si="11"/>
        <v>4760074.8430500003</v>
      </c>
      <c r="U65" s="68">
        <f t="shared" si="10"/>
        <v>4760074.8430500003</v>
      </c>
      <c r="V65" s="68">
        <v>200962741.25999999</v>
      </c>
      <c r="W65" s="69">
        <f t="shared" si="3"/>
        <v>523061138.97305</v>
      </c>
    </row>
    <row r="66" spans="1:23" ht="24.95" customHeight="1">
      <c r="A66" s="170"/>
      <c r="B66" s="165"/>
      <c r="C66" s="64">
        <v>20</v>
      </c>
      <c r="D66" s="68" t="s">
        <v>235</v>
      </c>
      <c r="E66" s="68">
        <v>320372532.60000002</v>
      </c>
      <c r="F66" s="68">
        <v>0</v>
      </c>
      <c r="G66" s="68">
        <v>9611175.9779000003</v>
      </c>
      <c r="H66" s="68">
        <v>9611175.9779000003</v>
      </c>
      <c r="I66" s="68">
        <f t="shared" si="8"/>
        <v>0</v>
      </c>
      <c r="J66" s="68">
        <v>201813776.22999999</v>
      </c>
      <c r="K66" s="69">
        <f t="shared" si="2"/>
        <v>522186308.83000004</v>
      </c>
      <c r="L66" s="63"/>
      <c r="M66" s="165"/>
      <c r="N66" s="70">
        <v>5</v>
      </c>
      <c r="O66" s="165"/>
      <c r="P66" s="68" t="s">
        <v>236</v>
      </c>
      <c r="Q66" s="68">
        <v>422632785.81</v>
      </c>
      <c r="R66" s="71">
        <v>0</v>
      </c>
      <c r="S66" s="68">
        <v>12678983.5743</v>
      </c>
      <c r="T66" s="68">
        <f t="shared" si="11"/>
        <v>6339491.7871500002</v>
      </c>
      <c r="U66" s="68">
        <f t="shared" si="10"/>
        <v>6339491.7871500002</v>
      </c>
      <c r="V66" s="68">
        <v>242480214.69999999</v>
      </c>
      <c r="W66" s="69">
        <f t="shared" si="3"/>
        <v>671452492.29715002</v>
      </c>
    </row>
    <row r="67" spans="1:23" ht="24.95" customHeight="1">
      <c r="A67" s="170"/>
      <c r="B67" s="165"/>
      <c r="C67" s="64">
        <v>21</v>
      </c>
      <c r="D67" s="68" t="s">
        <v>237</v>
      </c>
      <c r="E67" s="68">
        <v>333233966.06</v>
      </c>
      <c r="F67" s="68">
        <v>0</v>
      </c>
      <c r="G67" s="68">
        <v>9997018.9817999993</v>
      </c>
      <c r="H67" s="68">
        <v>9997018.9817999993</v>
      </c>
      <c r="I67" s="68">
        <f t="shared" si="8"/>
        <v>0</v>
      </c>
      <c r="J67" s="68">
        <v>208720150.93000001</v>
      </c>
      <c r="K67" s="69">
        <f t="shared" si="2"/>
        <v>541954116.99000001</v>
      </c>
      <c r="L67" s="63"/>
      <c r="M67" s="165"/>
      <c r="N67" s="70">
        <v>6</v>
      </c>
      <c r="O67" s="165"/>
      <c r="P67" s="68" t="s">
        <v>238</v>
      </c>
      <c r="Q67" s="68">
        <v>517065647.31999999</v>
      </c>
      <c r="R67" s="71">
        <v>0</v>
      </c>
      <c r="S67" s="68">
        <v>15511969.419600001</v>
      </c>
      <c r="T67" s="68">
        <f t="shared" si="11"/>
        <v>7755984.7098000003</v>
      </c>
      <c r="U67" s="68">
        <f t="shared" si="10"/>
        <v>7755984.7098000003</v>
      </c>
      <c r="V67" s="68">
        <v>253021650.36000001</v>
      </c>
      <c r="W67" s="69">
        <f t="shared" si="3"/>
        <v>777843282.38980007</v>
      </c>
    </row>
    <row r="68" spans="1:23" ht="24.95" customHeight="1">
      <c r="A68" s="170"/>
      <c r="B68" s="165"/>
      <c r="C68" s="64">
        <v>22</v>
      </c>
      <c r="D68" s="68" t="s">
        <v>239</v>
      </c>
      <c r="E68" s="68">
        <v>286423315.61000001</v>
      </c>
      <c r="F68" s="68">
        <v>0</v>
      </c>
      <c r="G68" s="68">
        <v>8592699.4682</v>
      </c>
      <c r="H68" s="68">
        <v>8592699.4682</v>
      </c>
      <c r="I68" s="68">
        <f t="shared" si="8"/>
        <v>0</v>
      </c>
      <c r="J68" s="68">
        <v>193486858.43000001</v>
      </c>
      <c r="K68" s="69">
        <f t="shared" si="2"/>
        <v>479910174.04000002</v>
      </c>
      <c r="L68" s="63"/>
      <c r="M68" s="165"/>
      <c r="N68" s="70">
        <v>7</v>
      </c>
      <c r="O68" s="165"/>
      <c r="P68" s="68" t="s">
        <v>240</v>
      </c>
      <c r="Q68" s="68">
        <v>352262516.69999999</v>
      </c>
      <c r="R68" s="71">
        <v>0</v>
      </c>
      <c r="S68" s="68">
        <v>10567875.5009</v>
      </c>
      <c r="T68" s="68">
        <f t="shared" si="11"/>
        <v>5283937.7504500002</v>
      </c>
      <c r="U68" s="68">
        <f t="shared" si="10"/>
        <v>5283937.7504500002</v>
      </c>
      <c r="V68" s="68">
        <v>202400507.24000001</v>
      </c>
      <c r="W68" s="69">
        <f t="shared" si="3"/>
        <v>559946961.69044995</v>
      </c>
    </row>
    <row r="69" spans="1:23" ht="24.95" customHeight="1">
      <c r="A69" s="170"/>
      <c r="B69" s="165"/>
      <c r="C69" s="64">
        <v>23</v>
      </c>
      <c r="D69" s="68" t="s">
        <v>241</v>
      </c>
      <c r="E69" s="68">
        <v>299081660.10000002</v>
      </c>
      <c r="F69" s="68">
        <v>0</v>
      </c>
      <c r="G69" s="68">
        <v>8972449.8030999992</v>
      </c>
      <c r="H69" s="68">
        <v>8972449.8030999992</v>
      </c>
      <c r="I69" s="68">
        <f t="shared" si="8"/>
        <v>0</v>
      </c>
      <c r="J69" s="68">
        <v>200140401.25999999</v>
      </c>
      <c r="K69" s="69">
        <f t="shared" si="2"/>
        <v>499222061.36000001</v>
      </c>
      <c r="L69" s="63"/>
      <c r="M69" s="165"/>
      <c r="N69" s="70">
        <v>8</v>
      </c>
      <c r="O69" s="165"/>
      <c r="P69" s="68" t="s">
        <v>242</v>
      </c>
      <c r="Q69" s="68">
        <v>374227763.44999999</v>
      </c>
      <c r="R69" s="71">
        <v>0</v>
      </c>
      <c r="S69" s="68">
        <v>11226832.9034</v>
      </c>
      <c r="T69" s="68">
        <f t="shared" si="11"/>
        <v>5613416.4517000001</v>
      </c>
      <c r="U69" s="68">
        <f t="shared" si="10"/>
        <v>5613416.4517000001</v>
      </c>
      <c r="V69" s="68">
        <v>210258273.81</v>
      </c>
      <c r="W69" s="69">
        <f t="shared" si="3"/>
        <v>590099453.71169996</v>
      </c>
    </row>
    <row r="70" spans="1:23" ht="24.95" customHeight="1">
      <c r="A70" s="170"/>
      <c r="B70" s="165"/>
      <c r="C70" s="64">
        <v>24</v>
      </c>
      <c r="D70" s="68" t="s">
        <v>243</v>
      </c>
      <c r="E70" s="68">
        <v>306343735.27999997</v>
      </c>
      <c r="F70" s="68">
        <v>0</v>
      </c>
      <c r="G70" s="68">
        <v>9190312.0582999997</v>
      </c>
      <c r="H70" s="68">
        <v>9190312.0582999997</v>
      </c>
      <c r="I70" s="68">
        <f t="shared" si="8"/>
        <v>0</v>
      </c>
      <c r="J70" s="68">
        <v>187770240.25</v>
      </c>
      <c r="K70" s="69">
        <f t="shared" si="2"/>
        <v>494113975.52999997</v>
      </c>
      <c r="L70" s="63"/>
      <c r="M70" s="165"/>
      <c r="N70" s="70">
        <v>9</v>
      </c>
      <c r="O70" s="165"/>
      <c r="P70" s="68" t="s">
        <v>244</v>
      </c>
      <c r="Q70" s="68">
        <v>464908354.35000002</v>
      </c>
      <c r="R70" s="71">
        <v>0</v>
      </c>
      <c r="S70" s="68">
        <v>13947250.6304</v>
      </c>
      <c r="T70" s="68">
        <f t="shared" si="11"/>
        <v>6973625.3152000001</v>
      </c>
      <c r="U70" s="68">
        <f t="shared" si="10"/>
        <v>6973625.3152000001</v>
      </c>
      <c r="V70" s="68">
        <v>251913530.28999999</v>
      </c>
      <c r="W70" s="69">
        <f t="shared" si="3"/>
        <v>723795509.95519996</v>
      </c>
    </row>
    <row r="71" spans="1:23" ht="24.95" customHeight="1">
      <c r="A71" s="170"/>
      <c r="B71" s="165"/>
      <c r="C71" s="64">
        <v>25</v>
      </c>
      <c r="D71" s="68" t="s">
        <v>245</v>
      </c>
      <c r="E71" s="68">
        <v>360940783.30000001</v>
      </c>
      <c r="F71" s="68">
        <v>0</v>
      </c>
      <c r="G71" s="68">
        <v>10828223.4991</v>
      </c>
      <c r="H71" s="68">
        <v>10828223.4991</v>
      </c>
      <c r="I71" s="68">
        <f t="shared" si="8"/>
        <v>0</v>
      </c>
      <c r="J71" s="68">
        <v>217115615.80000001</v>
      </c>
      <c r="K71" s="69">
        <f t="shared" si="2"/>
        <v>578056399.10000002</v>
      </c>
      <c r="L71" s="63"/>
      <c r="M71" s="165"/>
      <c r="N71" s="70">
        <v>10</v>
      </c>
      <c r="O71" s="165"/>
      <c r="P71" s="68" t="s">
        <v>246</v>
      </c>
      <c r="Q71" s="68">
        <v>323719109.94</v>
      </c>
      <c r="R71" s="71">
        <v>0</v>
      </c>
      <c r="S71" s="68">
        <v>9711573.2981000002</v>
      </c>
      <c r="T71" s="68">
        <f t="shared" si="11"/>
        <v>4855786.6490500001</v>
      </c>
      <c r="U71" s="68">
        <f t="shared" si="10"/>
        <v>4855786.6490500001</v>
      </c>
      <c r="V71" s="68">
        <v>202314737.30000001</v>
      </c>
      <c r="W71" s="69">
        <f t="shared" si="3"/>
        <v>530889633.88905001</v>
      </c>
    </row>
    <row r="72" spans="1:23" ht="24.95" customHeight="1">
      <c r="A72" s="170"/>
      <c r="B72" s="165"/>
      <c r="C72" s="64">
        <v>26</v>
      </c>
      <c r="D72" s="68" t="s">
        <v>247</v>
      </c>
      <c r="E72" s="68">
        <v>268867210.76999998</v>
      </c>
      <c r="F72" s="68">
        <v>0</v>
      </c>
      <c r="G72" s="68">
        <v>8066016.3229999999</v>
      </c>
      <c r="H72" s="68">
        <v>8066016.3229999999</v>
      </c>
      <c r="I72" s="68">
        <f t="shared" si="8"/>
        <v>0</v>
      </c>
      <c r="J72" s="68">
        <v>175995646.41999999</v>
      </c>
      <c r="K72" s="69">
        <f t="shared" ref="K72:K135" si="12">E72+F72+I72+J72</f>
        <v>444862857.18999994</v>
      </c>
      <c r="L72" s="63"/>
      <c r="M72" s="165"/>
      <c r="N72" s="70">
        <v>11</v>
      </c>
      <c r="O72" s="165"/>
      <c r="P72" s="68" t="s">
        <v>248</v>
      </c>
      <c r="Q72" s="68">
        <v>341931865.91000003</v>
      </c>
      <c r="R72" s="71">
        <v>0</v>
      </c>
      <c r="S72" s="68">
        <v>10257955.977399999</v>
      </c>
      <c r="T72" s="68">
        <f t="shared" si="11"/>
        <v>5128977.9886999996</v>
      </c>
      <c r="U72" s="68">
        <f t="shared" si="10"/>
        <v>5128977.9886999996</v>
      </c>
      <c r="V72" s="68">
        <v>212581984.72</v>
      </c>
      <c r="W72" s="69">
        <f t="shared" ref="W72:W135" si="13">Q72+U72+V72</f>
        <v>559642828.61870003</v>
      </c>
    </row>
    <row r="73" spans="1:23" ht="24.95" customHeight="1">
      <c r="A73" s="170"/>
      <c r="B73" s="165"/>
      <c r="C73" s="64">
        <v>27</v>
      </c>
      <c r="D73" s="68" t="s">
        <v>249</v>
      </c>
      <c r="E73" s="68">
        <v>329902263.27999997</v>
      </c>
      <c r="F73" s="68">
        <v>0</v>
      </c>
      <c r="G73" s="68">
        <v>9897067.8982999995</v>
      </c>
      <c r="H73" s="68">
        <v>9897067.8982999995</v>
      </c>
      <c r="I73" s="68">
        <f t="shared" si="8"/>
        <v>0</v>
      </c>
      <c r="J73" s="68">
        <v>201401116.03999999</v>
      </c>
      <c r="K73" s="69">
        <f t="shared" si="12"/>
        <v>531303379.31999993</v>
      </c>
      <c r="L73" s="63"/>
      <c r="M73" s="165"/>
      <c r="N73" s="70">
        <v>12</v>
      </c>
      <c r="O73" s="165"/>
      <c r="P73" s="68" t="s">
        <v>250</v>
      </c>
      <c r="Q73" s="68">
        <v>377225171.56999999</v>
      </c>
      <c r="R73" s="71">
        <v>0</v>
      </c>
      <c r="S73" s="68">
        <v>11316755.1472</v>
      </c>
      <c r="T73" s="68">
        <f t="shared" si="11"/>
        <v>5658377.5735999998</v>
      </c>
      <c r="U73" s="68">
        <f t="shared" si="10"/>
        <v>5658377.5735999998</v>
      </c>
      <c r="V73" s="68">
        <v>227163907.91999999</v>
      </c>
      <c r="W73" s="69">
        <f t="shared" si="13"/>
        <v>610047457.06359994</v>
      </c>
    </row>
    <row r="74" spans="1:23" ht="24.95" customHeight="1">
      <c r="A74" s="170"/>
      <c r="B74" s="165"/>
      <c r="C74" s="64">
        <v>28</v>
      </c>
      <c r="D74" s="68" t="s">
        <v>251</v>
      </c>
      <c r="E74" s="68">
        <v>268962957.67000002</v>
      </c>
      <c r="F74" s="68">
        <v>0</v>
      </c>
      <c r="G74" s="68">
        <v>8068888.7300000004</v>
      </c>
      <c r="H74" s="68">
        <v>8068888.7300000004</v>
      </c>
      <c r="I74" s="68">
        <f t="shared" si="8"/>
        <v>0</v>
      </c>
      <c r="J74" s="68">
        <v>179585927.88999999</v>
      </c>
      <c r="K74" s="69">
        <f t="shared" si="12"/>
        <v>448548885.56</v>
      </c>
      <c r="L74" s="63"/>
      <c r="M74" s="165"/>
      <c r="N74" s="70">
        <v>13</v>
      </c>
      <c r="O74" s="165"/>
      <c r="P74" s="68" t="s">
        <v>252</v>
      </c>
      <c r="Q74" s="68">
        <v>313933740.74000001</v>
      </c>
      <c r="R74" s="71">
        <v>0</v>
      </c>
      <c r="S74" s="68">
        <v>9418012.2223000005</v>
      </c>
      <c r="T74" s="68">
        <f t="shared" si="11"/>
        <v>4709006.1111500002</v>
      </c>
      <c r="U74" s="68">
        <f t="shared" si="10"/>
        <v>4709006.1111500002</v>
      </c>
      <c r="V74" s="68">
        <v>189980055.43000001</v>
      </c>
      <c r="W74" s="69">
        <f t="shared" si="13"/>
        <v>508622802.28115004</v>
      </c>
    </row>
    <row r="75" spans="1:23" ht="24.95" customHeight="1">
      <c r="A75" s="170"/>
      <c r="B75" s="165"/>
      <c r="C75" s="64">
        <v>29</v>
      </c>
      <c r="D75" s="68" t="s">
        <v>253</v>
      </c>
      <c r="E75" s="68">
        <v>350770875.33999997</v>
      </c>
      <c r="F75" s="68">
        <v>0</v>
      </c>
      <c r="G75" s="68">
        <v>10523126.2601</v>
      </c>
      <c r="H75" s="68">
        <v>10523126.2601</v>
      </c>
      <c r="I75" s="68">
        <f t="shared" si="8"/>
        <v>0</v>
      </c>
      <c r="J75" s="68">
        <v>198392967.90000001</v>
      </c>
      <c r="K75" s="69">
        <f t="shared" si="12"/>
        <v>549163843.24000001</v>
      </c>
      <c r="L75" s="63"/>
      <c r="M75" s="165"/>
      <c r="N75" s="70">
        <v>14</v>
      </c>
      <c r="O75" s="165"/>
      <c r="P75" s="68" t="s">
        <v>254</v>
      </c>
      <c r="Q75" s="68">
        <v>360259484.01999998</v>
      </c>
      <c r="R75" s="71">
        <v>0</v>
      </c>
      <c r="S75" s="68">
        <v>10807784.5207</v>
      </c>
      <c r="T75" s="68">
        <f t="shared" si="11"/>
        <v>5403892.2603500001</v>
      </c>
      <c r="U75" s="68">
        <f t="shared" si="10"/>
        <v>5403892.2603500001</v>
      </c>
      <c r="V75" s="68">
        <v>213817209.63999999</v>
      </c>
      <c r="W75" s="69">
        <f t="shared" si="13"/>
        <v>579480585.92034996</v>
      </c>
    </row>
    <row r="76" spans="1:23" ht="24.95" customHeight="1">
      <c r="A76" s="170"/>
      <c r="B76" s="165"/>
      <c r="C76" s="64">
        <v>30</v>
      </c>
      <c r="D76" s="68" t="s">
        <v>255</v>
      </c>
      <c r="E76" s="68">
        <v>290245631.26999998</v>
      </c>
      <c r="F76" s="68">
        <v>0</v>
      </c>
      <c r="G76" s="68">
        <v>8707368.9379999992</v>
      </c>
      <c r="H76" s="68">
        <v>8707368.9379999992</v>
      </c>
      <c r="I76" s="68">
        <f t="shared" si="8"/>
        <v>0</v>
      </c>
      <c r="J76" s="68">
        <v>182154892.59999999</v>
      </c>
      <c r="K76" s="69">
        <f t="shared" si="12"/>
        <v>472400523.87</v>
      </c>
      <c r="L76" s="63"/>
      <c r="M76" s="165"/>
      <c r="N76" s="70">
        <v>15</v>
      </c>
      <c r="O76" s="165"/>
      <c r="P76" s="68" t="s">
        <v>256</v>
      </c>
      <c r="Q76" s="68">
        <v>416786110.79000002</v>
      </c>
      <c r="R76" s="71">
        <v>0</v>
      </c>
      <c r="S76" s="68">
        <v>12503583.3237</v>
      </c>
      <c r="T76" s="68">
        <f t="shared" si="11"/>
        <v>6251791.6618499998</v>
      </c>
      <c r="U76" s="68">
        <f t="shared" si="10"/>
        <v>6251791.6618499998</v>
      </c>
      <c r="V76" s="68">
        <v>221078720.12</v>
      </c>
      <c r="W76" s="69">
        <f t="shared" si="13"/>
        <v>644116622.57185006</v>
      </c>
    </row>
    <row r="77" spans="1:23" ht="24.95" customHeight="1">
      <c r="A77" s="170"/>
      <c r="B77" s="166"/>
      <c r="C77" s="64">
        <v>31</v>
      </c>
      <c r="D77" s="68" t="s">
        <v>257</v>
      </c>
      <c r="E77" s="68">
        <v>438720425.06999999</v>
      </c>
      <c r="F77" s="68">
        <v>0</v>
      </c>
      <c r="G77" s="68">
        <v>13161612.752599999</v>
      </c>
      <c r="H77" s="68">
        <v>13161612.752599999</v>
      </c>
      <c r="I77" s="68">
        <f t="shared" si="8"/>
        <v>0</v>
      </c>
      <c r="J77" s="68">
        <v>264278404.69999999</v>
      </c>
      <c r="K77" s="69">
        <f t="shared" si="12"/>
        <v>702998829.76999998</v>
      </c>
      <c r="L77" s="63"/>
      <c r="M77" s="165"/>
      <c r="N77" s="70">
        <v>16</v>
      </c>
      <c r="O77" s="165"/>
      <c r="P77" s="68" t="s">
        <v>258</v>
      </c>
      <c r="Q77" s="68">
        <v>333926443.81999999</v>
      </c>
      <c r="R77" s="71">
        <v>0</v>
      </c>
      <c r="S77" s="68">
        <v>10017793.3146</v>
      </c>
      <c r="T77" s="68">
        <f t="shared" si="11"/>
        <v>5008896.6573000001</v>
      </c>
      <c r="U77" s="68">
        <f t="shared" si="10"/>
        <v>5008896.6573000001</v>
      </c>
      <c r="V77" s="68">
        <v>203538939.58000001</v>
      </c>
      <c r="W77" s="69">
        <f t="shared" si="13"/>
        <v>542474280.05729997</v>
      </c>
    </row>
    <row r="78" spans="1:23" ht="24.95" customHeight="1">
      <c r="A78" s="64"/>
      <c r="B78" s="179" t="s">
        <v>259</v>
      </c>
      <c r="C78" s="177"/>
      <c r="D78" s="72"/>
      <c r="E78" s="72">
        <f t="shared" ref="E78:K78" si="14">SUM(E47:E77)</f>
        <v>9926603877.6100006</v>
      </c>
      <c r="F78" s="68">
        <v>0</v>
      </c>
      <c r="G78" s="72">
        <f t="shared" si="14"/>
        <v>297798116.32840002</v>
      </c>
      <c r="H78" s="72">
        <f t="shared" si="14"/>
        <v>297798116.32840002</v>
      </c>
      <c r="I78" s="72">
        <f t="shared" si="14"/>
        <v>0</v>
      </c>
      <c r="J78" s="72">
        <f t="shared" si="14"/>
        <v>6237298085.2800007</v>
      </c>
      <c r="K78" s="72">
        <f t="shared" si="14"/>
        <v>16163901962.890003</v>
      </c>
      <c r="L78" s="63"/>
      <c r="M78" s="165"/>
      <c r="N78" s="70">
        <v>17</v>
      </c>
      <c r="O78" s="165"/>
      <c r="P78" s="68" t="s">
        <v>260</v>
      </c>
      <c r="Q78" s="68">
        <v>329074097.08999997</v>
      </c>
      <c r="R78" s="71">
        <v>0</v>
      </c>
      <c r="S78" s="68">
        <v>9872222.9125999995</v>
      </c>
      <c r="T78" s="68">
        <f t="shared" si="11"/>
        <v>4936111.4562999997</v>
      </c>
      <c r="U78" s="68">
        <f t="shared" si="10"/>
        <v>4936111.4562999997</v>
      </c>
      <c r="V78" s="68">
        <v>191541826.15000001</v>
      </c>
      <c r="W78" s="69">
        <f t="shared" si="13"/>
        <v>525552034.69630003</v>
      </c>
    </row>
    <row r="79" spans="1:23" ht="24.95" customHeight="1">
      <c r="A79" s="170">
        <v>4</v>
      </c>
      <c r="B79" s="164" t="s">
        <v>261</v>
      </c>
      <c r="C79" s="64">
        <v>1</v>
      </c>
      <c r="D79" s="68" t="s">
        <v>262</v>
      </c>
      <c r="E79" s="68">
        <v>493462957.06</v>
      </c>
      <c r="F79" s="68">
        <v>0</v>
      </c>
      <c r="G79" s="68">
        <v>14803888.7119</v>
      </c>
      <c r="H79" s="68">
        <v>0</v>
      </c>
      <c r="I79" s="68">
        <f t="shared" ref="I79:I99" si="15">G79-H79</f>
        <v>14803888.7119</v>
      </c>
      <c r="J79" s="68">
        <v>292512046.88</v>
      </c>
      <c r="K79" s="69">
        <f t="shared" si="12"/>
        <v>800778892.65190005</v>
      </c>
      <c r="L79" s="63"/>
      <c r="M79" s="165"/>
      <c r="N79" s="70">
        <v>18</v>
      </c>
      <c r="O79" s="165"/>
      <c r="P79" s="68" t="s">
        <v>263</v>
      </c>
      <c r="Q79" s="68">
        <v>341496413.01999998</v>
      </c>
      <c r="R79" s="71">
        <v>0</v>
      </c>
      <c r="S79" s="68">
        <v>10244892.3905</v>
      </c>
      <c r="T79" s="68">
        <f t="shared" si="11"/>
        <v>5122446.1952499999</v>
      </c>
      <c r="U79" s="68">
        <f t="shared" si="10"/>
        <v>5122446.1952499999</v>
      </c>
      <c r="V79" s="68">
        <v>204358748.65000001</v>
      </c>
      <c r="W79" s="69">
        <f t="shared" si="13"/>
        <v>550977607.86524999</v>
      </c>
    </row>
    <row r="80" spans="1:23" ht="24.95" customHeight="1">
      <c r="A80" s="170"/>
      <c r="B80" s="165"/>
      <c r="C80" s="64">
        <v>2</v>
      </c>
      <c r="D80" s="68" t="s">
        <v>264</v>
      </c>
      <c r="E80" s="68">
        <v>324529325.62</v>
      </c>
      <c r="F80" s="68">
        <v>0</v>
      </c>
      <c r="G80" s="68">
        <v>9735879.7686000001</v>
      </c>
      <c r="H80" s="68">
        <v>0</v>
      </c>
      <c r="I80" s="68">
        <f t="shared" si="15"/>
        <v>9735879.7686000001</v>
      </c>
      <c r="J80" s="68">
        <v>217819518.38999999</v>
      </c>
      <c r="K80" s="69">
        <f t="shared" si="12"/>
        <v>552084723.77859998</v>
      </c>
      <c r="L80" s="63"/>
      <c r="M80" s="165"/>
      <c r="N80" s="70">
        <v>19</v>
      </c>
      <c r="O80" s="165"/>
      <c r="P80" s="68" t="s">
        <v>265</v>
      </c>
      <c r="Q80" s="68">
        <v>413164974.75</v>
      </c>
      <c r="R80" s="71">
        <v>0</v>
      </c>
      <c r="S80" s="68">
        <v>12394949.2426</v>
      </c>
      <c r="T80" s="68">
        <f t="shared" si="11"/>
        <v>6197474.6212999998</v>
      </c>
      <c r="U80" s="68">
        <f t="shared" si="10"/>
        <v>6197474.6212999998</v>
      </c>
      <c r="V80" s="68">
        <v>212310207.68000001</v>
      </c>
      <c r="W80" s="69">
        <f t="shared" si="13"/>
        <v>631672657.05130005</v>
      </c>
    </row>
    <row r="81" spans="1:23" ht="24.95" customHeight="1">
      <c r="A81" s="170"/>
      <c r="B81" s="165"/>
      <c r="C81" s="64">
        <v>3</v>
      </c>
      <c r="D81" s="68" t="s">
        <v>266</v>
      </c>
      <c r="E81" s="68">
        <v>333848901.75999999</v>
      </c>
      <c r="F81" s="68">
        <v>0</v>
      </c>
      <c r="G81" s="68">
        <v>10015467.0528</v>
      </c>
      <c r="H81" s="68">
        <v>0</v>
      </c>
      <c r="I81" s="68">
        <f t="shared" si="15"/>
        <v>10015467.0528</v>
      </c>
      <c r="J81" s="68">
        <v>222671203.56</v>
      </c>
      <c r="K81" s="69">
        <f t="shared" si="12"/>
        <v>566535572.37279999</v>
      </c>
      <c r="L81" s="63"/>
      <c r="M81" s="165"/>
      <c r="N81" s="70">
        <v>20</v>
      </c>
      <c r="O81" s="165"/>
      <c r="P81" s="68" t="s">
        <v>267</v>
      </c>
      <c r="Q81" s="68">
        <v>317488719.27999997</v>
      </c>
      <c r="R81" s="71">
        <v>0</v>
      </c>
      <c r="S81" s="68">
        <v>9524661.5785000008</v>
      </c>
      <c r="T81" s="68">
        <f t="shared" si="11"/>
        <v>4762330.7892500004</v>
      </c>
      <c r="U81" s="68">
        <f t="shared" si="10"/>
        <v>4762330.7892500004</v>
      </c>
      <c r="V81" s="68">
        <v>194931288.84</v>
      </c>
      <c r="W81" s="69">
        <f t="shared" si="13"/>
        <v>517182338.90925002</v>
      </c>
    </row>
    <row r="82" spans="1:23" ht="24.95" customHeight="1">
      <c r="A82" s="170"/>
      <c r="B82" s="165"/>
      <c r="C82" s="64">
        <v>4</v>
      </c>
      <c r="D82" s="68" t="s">
        <v>268</v>
      </c>
      <c r="E82" s="68">
        <v>403521527.25</v>
      </c>
      <c r="F82" s="68">
        <v>0</v>
      </c>
      <c r="G82" s="68">
        <v>12105645.817399999</v>
      </c>
      <c r="H82" s="68">
        <v>0</v>
      </c>
      <c r="I82" s="68">
        <f t="shared" si="15"/>
        <v>12105645.817399999</v>
      </c>
      <c r="J82" s="68">
        <v>263174593.86000001</v>
      </c>
      <c r="K82" s="69">
        <f t="shared" si="12"/>
        <v>678801766.92739999</v>
      </c>
      <c r="L82" s="63"/>
      <c r="M82" s="166"/>
      <c r="N82" s="70">
        <v>21</v>
      </c>
      <c r="O82" s="166"/>
      <c r="P82" s="68" t="s">
        <v>269</v>
      </c>
      <c r="Q82" s="68">
        <v>379223723.69</v>
      </c>
      <c r="R82" s="71">
        <v>0</v>
      </c>
      <c r="S82" s="68">
        <v>11376711.7106</v>
      </c>
      <c r="T82" s="68">
        <f t="shared" si="11"/>
        <v>5688355.8552999999</v>
      </c>
      <c r="U82" s="68">
        <f t="shared" si="10"/>
        <v>5688355.8552999999</v>
      </c>
      <c r="V82" s="68">
        <v>217586264.59999999</v>
      </c>
      <c r="W82" s="69">
        <f t="shared" si="13"/>
        <v>602498344.14530003</v>
      </c>
    </row>
    <row r="83" spans="1:23" ht="24.95" customHeight="1">
      <c r="A83" s="170"/>
      <c r="B83" s="165"/>
      <c r="C83" s="64">
        <v>5</v>
      </c>
      <c r="D83" s="68" t="s">
        <v>270</v>
      </c>
      <c r="E83" s="68">
        <v>306461471.92000002</v>
      </c>
      <c r="F83" s="68">
        <v>0</v>
      </c>
      <c r="G83" s="68">
        <v>9193844.1576000005</v>
      </c>
      <c r="H83" s="68">
        <v>0</v>
      </c>
      <c r="I83" s="68">
        <f t="shared" si="15"/>
        <v>9193844.1576000005</v>
      </c>
      <c r="J83" s="68">
        <v>203792171.91</v>
      </c>
      <c r="K83" s="69">
        <f t="shared" si="12"/>
        <v>519447487.98759997</v>
      </c>
      <c r="L83" s="63"/>
      <c r="M83" s="64"/>
      <c r="N83" s="177" t="s">
        <v>271</v>
      </c>
      <c r="O83" s="181"/>
      <c r="P83" s="72"/>
      <c r="Q83" s="72">
        <f t="shared" ref="Q83:W83" si="16">SUM(Q62:Q82)</f>
        <v>7816573001.2499981</v>
      </c>
      <c r="R83" s="71">
        <v>0</v>
      </c>
      <c r="S83" s="72">
        <f t="shared" si="16"/>
        <v>234497190.03749999</v>
      </c>
      <c r="T83" s="72">
        <f t="shared" si="16"/>
        <v>117248595.01875</v>
      </c>
      <c r="U83" s="72">
        <f t="shared" si="16"/>
        <v>117248595.01875</v>
      </c>
      <c r="V83" s="72">
        <f t="shared" si="16"/>
        <v>4487379218.4799995</v>
      </c>
      <c r="W83" s="72">
        <f t="shared" si="16"/>
        <v>12421200814.748751</v>
      </c>
    </row>
    <row r="84" spans="1:23" ht="24.95" customHeight="1">
      <c r="A84" s="170"/>
      <c r="B84" s="165"/>
      <c r="C84" s="64">
        <v>6</v>
      </c>
      <c r="D84" s="68" t="s">
        <v>272</v>
      </c>
      <c r="E84" s="68">
        <v>352805491.47000003</v>
      </c>
      <c r="F84" s="68">
        <v>0</v>
      </c>
      <c r="G84" s="68">
        <v>10584164.744000001</v>
      </c>
      <c r="H84" s="68">
        <v>0</v>
      </c>
      <c r="I84" s="68">
        <f t="shared" si="15"/>
        <v>10584164.744000001</v>
      </c>
      <c r="J84" s="68">
        <v>230122854.63</v>
      </c>
      <c r="K84" s="69">
        <f t="shared" si="12"/>
        <v>593512510.8440001</v>
      </c>
      <c r="L84" s="63"/>
      <c r="M84" s="164">
        <v>22</v>
      </c>
      <c r="N84" s="76">
        <v>1</v>
      </c>
      <c r="O84" s="170" t="s">
        <v>96</v>
      </c>
      <c r="P84" s="77" t="s">
        <v>273</v>
      </c>
      <c r="Q84" s="68">
        <v>405065376.36000001</v>
      </c>
      <c r="R84" s="71">
        <v>0</v>
      </c>
      <c r="S84" s="68">
        <v>12151961.2907</v>
      </c>
      <c r="T84" s="68">
        <f t="shared" si="11"/>
        <v>6075980.6453499999</v>
      </c>
      <c r="U84" s="68">
        <f t="shared" ref="U84:U104" si="17">S84-T84</f>
        <v>6075980.6453499999</v>
      </c>
      <c r="V84" s="68">
        <v>232812992.74000001</v>
      </c>
      <c r="W84" s="69">
        <f t="shared" si="13"/>
        <v>643954349.74535</v>
      </c>
    </row>
    <row r="85" spans="1:23" ht="24.95" customHeight="1">
      <c r="A85" s="170"/>
      <c r="B85" s="165"/>
      <c r="C85" s="64">
        <v>7</v>
      </c>
      <c r="D85" s="68" t="s">
        <v>274</v>
      </c>
      <c r="E85" s="68">
        <v>326971102.04000002</v>
      </c>
      <c r="F85" s="68">
        <v>0</v>
      </c>
      <c r="G85" s="68">
        <v>9809133.0611000005</v>
      </c>
      <c r="H85" s="68">
        <v>0</v>
      </c>
      <c r="I85" s="68">
        <f t="shared" si="15"/>
        <v>9809133.0611000005</v>
      </c>
      <c r="J85" s="68">
        <v>219569018.5</v>
      </c>
      <c r="K85" s="69">
        <f t="shared" si="12"/>
        <v>556349253.60109997</v>
      </c>
      <c r="L85" s="63"/>
      <c r="M85" s="165"/>
      <c r="N85" s="76">
        <v>2</v>
      </c>
      <c r="O85" s="170"/>
      <c r="P85" s="77" t="s">
        <v>275</v>
      </c>
      <c r="Q85" s="68">
        <v>358169201.92000002</v>
      </c>
      <c r="R85" s="71">
        <v>0</v>
      </c>
      <c r="S85" s="68">
        <v>10745076.057700001</v>
      </c>
      <c r="T85" s="68">
        <f t="shared" si="11"/>
        <v>5372538.0288500004</v>
      </c>
      <c r="U85" s="68">
        <f t="shared" si="17"/>
        <v>5372538.0288500004</v>
      </c>
      <c r="V85" s="68">
        <v>205300131.58000001</v>
      </c>
      <c r="W85" s="69">
        <f t="shared" si="13"/>
        <v>568841871.52885008</v>
      </c>
    </row>
    <row r="86" spans="1:23" ht="24.95" customHeight="1">
      <c r="A86" s="170"/>
      <c r="B86" s="165"/>
      <c r="C86" s="64">
        <v>8</v>
      </c>
      <c r="D86" s="68" t="s">
        <v>276</v>
      </c>
      <c r="E86" s="68">
        <v>292352792.55000001</v>
      </c>
      <c r="F86" s="68">
        <v>0</v>
      </c>
      <c r="G86" s="68">
        <v>8770583.7765999995</v>
      </c>
      <c r="H86" s="68">
        <v>0</v>
      </c>
      <c r="I86" s="68">
        <f t="shared" si="15"/>
        <v>8770583.7765999995</v>
      </c>
      <c r="J86" s="68">
        <v>198203003.03999999</v>
      </c>
      <c r="K86" s="69">
        <f t="shared" si="12"/>
        <v>499326379.36660004</v>
      </c>
      <c r="L86" s="63"/>
      <c r="M86" s="165"/>
      <c r="N86" s="76">
        <v>3</v>
      </c>
      <c r="O86" s="170"/>
      <c r="P86" s="77" t="s">
        <v>277</v>
      </c>
      <c r="Q86" s="68">
        <v>452026890.38999999</v>
      </c>
      <c r="R86" s="71">
        <v>0</v>
      </c>
      <c r="S86" s="68">
        <v>13560806.7117</v>
      </c>
      <c r="T86" s="68">
        <f t="shared" si="11"/>
        <v>6780403.3558499999</v>
      </c>
      <c r="U86" s="68">
        <f t="shared" si="17"/>
        <v>6780403.3558499999</v>
      </c>
      <c r="V86" s="68">
        <v>255257504.91999999</v>
      </c>
      <c r="W86" s="69">
        <f t="shared" si="13"/>
        <v>714064798.66584992</v>
      </c>
    </row>
    <row r="87" spans="1:23" ht="24.95" customHeight="1">
      <c r="A87" s="170"/>
      <c r="B87" s="165"/>
      <c r="C87" s="64">
        <v>9</v>
      </c>
      <c r="D87" s="68" t="s">
        <v>278</v>
      </c>
      <c r="E87" s="68">
        <v>324712578.61000001</v>
      </c>
      <c r="F87" s="68">
        <v>0</v>
      </c>
      <c r="G87" s="68">
        <v>9741377.3585000001</v>
      </c>
      <c r="H87" s="68">
        <v>0</v>
      </c>
      <c r="I87" s="68">
        <f t="shared" si="15"/>
        <v>9741377.3585000001</v>
      </c>
      <c r="J87" s="68">
        <v>219507360.59</v>
      </c>
      <c r="K87" s="69">
        <f t="shared" si="12"/>
        <v>553961316.55850005</v>
      </c>
      <c r="L87" s="63"/>
      <c r="M87" s="165"/>
      <c r="N87" s="76">
        <v>4</v>
      </c>
      <c r="O87" s="170"/>
      <c r="P87" s="77" t="s">
        <v>279</v>
      </c>
      <c r="Q87" s="68">
        <v>357910262.27999997</v>
      </c>
      <c r="R87" s="71">
        <v>0</v>
      </c>
      <c r="S87" s="68">
        <v>10737307.8683</v>
      </c>
      <c r="T87" s="68">
        <f t="shared" si="11"/>
        <v>5368653.9341500001</v>
      </c>
      <c r="U87" s="68">
        <f t="shared" si="17"/>
        <v>5368653.9341500001</v>
      </c>
      <c r="V87" s="68">
        <v>211387386.13</v>
      </c>
      <c r="W87" s="69">
        <f t="shared" si="13"/>
        <v>574666302.34414995</v>
      </c>
    </row>
    <row r="88" spans="1:23" ht="24.95" customHeight="1">
      <c r="A88" s="170"/>
      <c r="B88" s="165"/>
      <c r="C88" s="64">
        <v>10</v>
      </c>
      <c r="D88" s="68" t="s">
        <v>280</v>
      </c>
      <c r="E88" s="68">
        <v>513707004.75</v>
      </c>
      <c r="F88" s="68">
        <v>0</v>
      </c>
      <c r="G88" s="68">
        <v>15411210.1426</v>
      </c>
      <c r="H88" s="68">
        <v>0</v>
      </c>
      <c r="I88" s="68">
        <f t="shared" si="15"/>
        <v>15411210.1426</v>
      </c>
      <c r="J88" s="68">
        <v>313389965.93000001</v>
      </c>
      <c r="K88" s="69">
        <f t="shared" si="12"/>
        <v>842508180.82260001</v>
      </c>
      <c r="L88" s="63"/>
      <c r="M88" s="165"/>
      <c r="N88" s="76">
        <v>5</v>
      </c>
      <c r="O88" s="170"/>
      <c r="P88" s="77" t="s">
        <v>281</v>
      </c>
      <c r="Q88" s="68">
        <v>489374498.43000001</v>
      </c>
      <c r="R88" s="71">
        <v>0</v>
      </c>
      <c r="S88" s="68">
        <v>14681234.9531</v>
      </c>
      <c r="T88" s="68">
        <f t="shared" si="11"/>
        <v>7340617.4765499998</v>
      </c>
      <c r="U88" s="68">
        <f t="shared" si="17"/>
        <v>7340617.4765499998</v>
      </c>
      <c r="V88" s="68">
        <v>252832179.02000001</v>
      </c>
      <c r="W88" s="69">
        <f t="shared" si="13"/>
        <v>749547294.92655003</v>
      </c>
    </row>
    <row r="89" spans="1:23" ht="24.95" customHeight="1">
      <c r="A89" s="170"/>
      <c r="B89" s="165"/>
      <c r="C89" s="64">
        <v>11</v>
      </c>
      <c r="D89" s="68" t="s">
        <v>282</v>
      </c>
      <c r="E89" s="68">
        <v>357026988.67000002</v>
      </c>
      <c r="F89" s="68">
        <v>0</v>
      </c>
      <c r="G89" s="68">
        <v>10710809.6602</v>
      </c>
      <c r="H89" s="68">
        <v>0</v>
      </c>
      <c r="I89" s="68">
        <f t="shared" si="15"/>
        <v>10710809.6602</v>
      </c>
      <c r="J89" s="68">
        <v>236541477.38</v>
      </c>
      <c r="K89" s="69">
        <f t="shared" si="12"/>
        <v>604279275.71020007</v>
      </c>
      <c r="L89" s="63"/>
      <c r="M89" s="165"/>
      <c r="N89" s="76">
        <v>6</v>
      </c>
      <c r="O89" s="170"/>
      <c r="P89" s="77" t="s">
        <v>283</v>
      </c>
      <c r="Q89" s="68">
        <v>380492254.06</v>
      </c>
      <c r="R89" s="71">
        <v>0</v>
      </c>
      <c r="S89" s="68">
        <v>11414767.6219</v>
      </c>
      <c r="T89" s="68">
        <f t="shared" si="11"/>
        <v>5707383.8109499998</v>
      </c>
      <c r="U89" s="68">
        <f t="shared" si="17"/>
        <v>5707383.8109499998</v>
      </c>
      <c r="V89" s="68">
        <v>207300741.27000001</v>
      </c>
      <c r="W89" s="69">
        <f t="shared" si="13"/>
        <v>593500379.14094996</v>
      </c>
    </row>
    <row r="90" spans="1:23" ht="24.95" customHeight="1">
      <c r="A90" s="170"/>
      <c r="B90" s="165"/>
      <c r="C90" s="64">
        <v>12</v>
      </c>
      <c r="D90" s="68" t="s">
        <v>284</v>
      </c>
      <c r="E90" s="68">
        <v>436501339.57999998</v>
      </c>
      <c r="F90" s="68">
        <v>0</v>
      </c>
      <c r="G90" s="68">
        <v>13095040.1873</v>
      </c>
      <c r="H90" s="68">
        <v>0</v>
      </c>
      <c r="I90" s="68">
        <f t="shared" si="15"/>
        <v>13095040.1873</v>
      </c>
      <c r="J90" s="68">
        <v>269084108.29000002</v>
      </c>
      <c r="K90" s="69">
        <f t="shared" si="12"/>
        <v>718680488.05730009</v>
      </c>
      <c r="L90" s="63"/>
      <c r="M90" s="165"/>
      <c r="N90" s="76">
        <v>7</v>
      </c>
      <c r="O90" s="170"/>
      <c r="P90" s="77" t="s">
        <v>285</v>
      </c>
      <c r="Q90" s="68">
        <v>319267556.32999998</v>
      </c>
      <c r="R90" s="71">
        <v>0</v>
      </c>
      <c r="S90" s="68">
        <v>9578026.6899999995</v>
      </c>
      <c r="T90" s="68">
        <f t="shared" si="11"/>
        <v>4789013.3449999997</v>
      </c>
      <c r="U90" s="68">
        <f t="shared" si="17"/>
        <v>4789013.3449999997</v>
      </c>
      <c r="V90" s="68">
        <v>190658617.22</v>
      </c>
      <c r="W90" s="69">
        <f t="shared" si="13"/>
        <v>514715186.89499998</v>
      </c>
    </row>
    <row r="91" spans="1:23" ht="24.95" customHeight="1">
      <c r="A91" s="170"/>
      <c r="B91" s="165"/>
      <c r="C91" s="64">
        <v>13</v>
      </c>
      <c r="D91" s="68" t="s">
        <v>286</v>
      </c>
      <c r="E91" s="68">
        <v>320717070.52999997</v>
      </c>
      <c r="F91" s="68">
        <v>0</v>
      </c>
      <c r="G91" s="68">
        <v>9621512.1159000006</v>
      </c>
      <c r="H91" s="68">
        <v>0</v>
      </c>
      <c r="I91" s="68">
        <f t="shared" si="15"/>
        <v>9621512.1159000006</v>
      </c>
      <c r="J91" s="68">
        <v>216143387.75999999</v>
      </c>
      <c r="K91" s="69">
        <f t="shared" si="12"/>
        <v>546481970.4059</v>
      </c>
      <c r="L91" s="63"/>
      <c r="M91" s="165"/>
      <c r="N91" s="76">
        <v>8</v>
      </c>
      <c r="O91" s="170"/>
      <c r="P91" s="77" t="s">
        <v>287</v>
      </c>
      <c r="Q91" s="68">
        <v>374118248.07999998</v>
      </c>
      <c r="R91" s="71">
        <v>0</v>
      </c>
      <c r="S91" s="68">
        <v>11223547.442500001</v>
      </c>
      <c r="T91" s="68">
        <f t="shared" si="11"/>
        <v>5611773.7212500004</v>
      </c>
      <c r="U91" s="68">
        <f t="shared" si="17"/>
        <v>5611773.7212500004</v>
      </c>
      <c r="V91" s="68">
        <v>214152347.21000001</v>
      </c>
      <c r="W91" s="69">
        <f t="shared" si="13"/>
        <v>593882369.01125002</v>
      </c>
    </row>
    <row r="92" spans="1:23" ht="24.95" customHeight="1">
      <c r="A92" s="170"/>
      <c r="B92" s="165"/>
      <c r="C92" s="64">
        <v>14</v>
      </c>
      <c r="D92" s="68" t="s">
        <v>288</v>
      </c>
      <c r="E92" s="68">
        <v>317992883.82999998</v>
      </c>
      <c r="F92" s="68">
        <v>0</v>
      </c>
      <c r="G92" s="68">
        <v>9539786.5150000006</v>
      </c>
      <c r="H92" s="68">
        <v>0</v>
      </c>
      <c r="I92" s="68">
        <f t="shared" si="15"/>
        <v>9539786.5150000006</v>
      </c>
      <c r="J92" s="68">
        <v>219279329.66</v>
      </c>
      <c r="K92" s="69">
        <f t="shared" si="12"/>
        <v>546812000.005</v>
      </c>
      <c r="L92" s="63"/>
      <c r="M92" s="165"/>
      <c r="N92" s="76">
        <v>9</v>
      </c>
      <c r="O92" s="170"/>
      <c r="P92" s="77" t="s">
        <v>289</v>
      </c>
      <c r="Q92" s="68">
        <v>366899218.56999999</v>
      </c>
      <c r="R92" s="71">
        <v>0</v>
      </c>
      <c r="S92" s="68">
        <v>11006976.5572</v>
      </c>
      <c r="T92" s="68">
        <f t="shared" si="11"/>
        <v>5503488.2785999998</v>
      </c>
      <c r="U92" s="68">
        <f t="shared" si="17"/>
        <v>5503488.2785999998</v>
      </c>
      <c r="V92" s="68">
        <v>204476189.02000001</v>
      </c>
      <c r="W92" s="69">
        <f t="shared" si="13"/>
        <v>576878895.86860001</v>
      </c>
    </row>
    <row r="93" spans="1:23" ht="24.95" customHeight="1">
      <c r="A93" s="170"/>
      <c r="B93" s="165"/>
      <c r="C93" s="64">
        <v>15</v>
      </c>
      <c r="D93" s="68" t="s">
        <v>290</v>
      </c>
      <c r="E93" s="68">
        <v>381661091.86000001</v>
      </c>
      <c r="F93" s="68">
        <v>0</v>
      </c>
      <c r="G93" s="68">
        <v>11449832.755799999</v>
      </c>
      <c r="H93" s="68">
        <v>0</v>
      </c>
      <c r="I93" s="68">
        <f t="shared" si="15"/>
        <v>11449832.755799999</v>
      </c>
      <c r="J93" s="68">
        <v>245488763.30000001</v>
      </c>
      <c r="K93" s="69">
        <f t="shared" si="12"/>
        <v>638599687.91580009</v>
      </c>
      <c r="L93" s="63"/>
      <c r="M93" s="165"/>
      <c r="N93" s="76">
        <v>10</v>
      </c>
      <c r="O93" s="170"/>
      <c r="P93" s="77" t="s">
        <v>291</v>
      </c>
      <c r="Q93" s="68">
        <v>387895715.16000003</v>
      </c>
      <c r="R93" s="71">
        <v>0</v>
      </c>
      <c r="S93" s="68">
        <v>11636871.4548</v>
      </c>
      <c r="T93" s="68">
        <f t="shared" si="11"/>
        <v>5818435.7274000002</v>
      </c>
      <c r="U93" s="68">
        <f t="shared" si="17"/>
        <v>5818435.7274000002</v>
      </c>
      <c r="V93" s="68">
        <v>213265713.37</v>
      </c>
      <c r="W93" s="69">
        <f t="shared" si="13"/>
        <v>606979864.25740004</v>
      </c>
    </row>
    <row r="94" spans="1:23" ht="24.95" customHeight="1">
      <c r="A94" s="170"/>
      <c r="B94" s="165"/>
      <c r="C94" s="64">
        <v>16</v>
      </c>
      <c r="D94" s="68" t="s">
        <v>292</v>
      </c>
      <c r="E94" s="68">
        <v>364687973.26999998</v>
      </c>
      <c r="F94" s="68">
        <v>0</v>
      </c>
      <c r="G94" s="68">
        <v>10940639.198100001</v>
      </c>
      <c r="H94" s="68">
        <v>0</v>
      </c>
      <c r="I94" s="68">
        <f t="shared" si="15"/>
        <v>10940639.198100001</v>
      </c>
      <c r="J94" s="68">
        <v>241431397.34</v>
      </c>
      <c r="K94" s="69">
        <f t="shared" si="12"/>
        <v>617060009.80809999</v>
      </c>
      <c r="L94" s="63"/>
      <c r="M94" s="165"/>
      <c r="N94" s="76">
        <v>11</v>
      </c>
      <c r="O94" s="170"/>
      <c r="P94" s="77" t="s">
        <v>96</v>
      </c>
      <c r="Q94" s="68">
        <v>341460184.86000001</v>
      </c>
      <c r="R94" s="71">
        <v>0</v>
      </c>
      <c r="S94" s="68">
        <v>10243805.5459</v>
      </c>
      <c r="T94" s="68">
        <f t="shared" si="11"/>
        <v>5121902.7729500001</v>
      </c>
      <c r="U94" s="68">
        <f t="shared" si="17"/>
        <v>5121902.7729500001</v>
      </c>
      <c r="V94" s="68">
        <v>203088369.38999999</v>
      </c>
      <c r="W94" s="69">
        <f t="shared" si="13"/>
        <v>549670457.02294993</v>
      </c>
    </row>
    <row r="95" spans="1:23" ht="24.95" customHeight="1">
      <c r="A95" s="170"/>
      <c r="B95" s="165"/>
      <c r="C95" s="64">
        <v>17</v>
      </c>
      <c r="D95" s="68" t="s">
        <v>293</v>
      </c>
      <c r="E95" s="68">
        <v>305507789.14999998</v>
      </c>
      <c r="F95" s="68">
        <v>0</v>
      </c>
      <c r="G95" s="68">
        <v>9165233.6745999996</v>
      </c>
      <c r="H95" s="68">
        <v>0</v>
      </c>
      <c r="I95" s="68">
        <f t="shared" si="15"/>
        <v>9165233.6745999996</v>
      </c>
      <c r="J95" s="68">
        <v>208040711.84</v>
      </c>
      <c r="K95" s="69">
        <f t="shared" si="12"/>
        <v>522713734.66460001</v>
      </c>
      <c r="L95" s="63"/>
      <c r="M95" s="165"/>
      <c r="N95" s="76">
        <v>12</v>
      </c>
      <c r="O95" s="170"/>
      <c r="P95" s="77" t="s">
        <v>294</v>
      </c>
      <c r="Q95" s="68">
        <v>435944703.87</v>
      </c>
      <c r="R95" s="71">
        <v>0</v>
      </c>
      <c r="S95" s="68">
        <v>13078341.1162</v>
      </c>
      <c r="T95" s="68">
        <f t="shared" si="11"/>
        <v>6539170.5581</v>
      </c>
      <c r="U95" s="68">
        <f t="shared" si="17"/>
        <v>6539170.5581</v>
      </c>
      <c r="V95" s="68">
        <v>230424868.27000001</v>
      </c>
      <c r="W95" s="69">
        <f t="shared" si="13"/>
        <v>672908742.69809997</v>
      </c>
    </row>
    <row r="96" spans="1:23" ht="24.95" customHeight="1">
      <c r="A96" s="170"/>
      <c r="B96" s="165"/>
      <c r="C96" s="64">
        <v>18</v>
      </c>
      <c r="D96" s="68" t="s">
        <v>295</v>
      </c>
      <c r="E96" s="68">
        <v>316561711.56</v>
      </c>
      <c r="F96" s="68">
        <v>0</v>
      </c>
      <c r="G96" s="68">
        <v>9496851.3466999996</v>
      </c>
      <c r="H96" s="68">
        <v>0</v>
      </c>
      <c r="I96" s="68">
        <f t="shared" si="15"/>
        <v>9496851.3466999996</v>
      </c>
      <c r="J96" s="68">
        <v>212077754.81</v>
      </c>
      <c r="K96" s="69">
        <f t="shared" si="12"/>
        <v>538136317.71670008</v>
      </c>
      <c r="L96" s="63"/>
      <c r="M96" s="165"/>
      <c r="N96" s="76">
        <v>13</v>
      </c>
      <c r="O96" s="170"/>
      <c r="P96" s="77" t="s">
        <v>296</v>
      </c>
      <c r="Q96" s="68">
        <v>287749522.39999998</v>
      </c>
      <c r="R96" s="71">
        <v>0</v>
      </c>
      <c r="S96" s="68">
        <v>8632485.6720000003</v>
      </c>
      <c r="T96" s="68">
        <f t="shared" si="11"/>
        <v>4316242.8360000001</v>
      </c>
      <c r="U96" s="68">
        <f t="shared" si="17"/>
        <v>4316242.8360000001</v>
      </c>
      <c r="V96" s="68">
        <v>178334613.53</v>
      </c>
      <c r="W96" s="69">
        <f t="shared" si="13"/>
        <v>470400378.76600003</v>
      </c>
    </row>
    <row r="97" spans="1:23" ht="24.95" customHeight="1">
      <c r="A97" s="170"/>
      <c r="B97" s="165"/>
      <c r="C97" s="64">
        <v>19</v>
      </c>
      <c r="D97" s="68" t="s">
        <v>297</v>
      </c>
      <c r="E97" s="68">
        <v>341859769.74000001</v>
      </c>
      <c r="F97" s="68">
        <v>0</v>
      </c>
      <c r="G97" s="68">
        <v>10255793.0923</v>
      </c>
      <c r="H97" s="68">
        <v>0</v>
      </c>
      <c r="I97" s="68">
        <f t="shared" si="15"/>
        <v>10255793.0923</v>
      </c>
      <c r="J97" s="68">
        <v>224389702.47999999</v>
      </c>
      <c r="K97" s="69">
        <f t="shared" si="12"/>
        <v>576505265.31229997</v>
      </c>
      <c r="L97" s="63"/>
      <c r="M97" s="165"/>
      <c r="N97" s="76">
        <v>14</v>
      </c>
      <c r="O97" s="170"/>
      <c r="P97" s="77" t="s">
        <v>298</v>
      </c>
      <c r="Q97" s="68">
        <v>418344599.75999999</v>
      </c>
      <c r="R97" s="71">
        <v>0</v>
      </c>
      <c r="S97" s="68">
        <v>12550337.992900001</v>
      </c>
      <c r="T97" s="68">
        <f t="shared" si="11"/>
        <v>6275168.9964500004</v>
      </c>
      <c r="U97" s="68">
        <f t="shared" si="17"/>
        <v>6275168.9964500004</v>
      </c>
      <c r="V97" s="68">
        <v>229359805.38999999</v>
      </c>
      <c r="W97" s="69">
        <f t="shared" si="13"/>
        <v>653979574.14645004</v>
      </c>
    </row>
    <row r="98" spans="1:23" ht="24.95" customHeight="1">
      <c r="A98" s="170"/>
      <c r="B98" s="165"/>
      <c r="C98" s="64">
        <v>20</v>
      </c>
      <c r="D98" s="68" t="s">
        <v>299</v>
      </c>
      <c r="E98" s="68">
        <v>345953443.13</v>
      </c>
      <c r="F98" s="68">
        <v>0</v>
      </c>
      <c r="G98" s="68">
        <v>10378603.2939</v>
      </c>
      <c r="H98" s="68">
        <v>0</v>
      </c>
      <c r="I98" s="68">
        <f t="shared" si="15"/>
        <v>10378603.2939</v>
      </c>
      <c r="J98" s="68">
        <v>229485263.63</v>
      </c>
      <c r="K98" s="69">
        <f t="shared" si="12"/>
        <v>585817310.0539</v>
      </c>
      <c r="L98" s="63"/>
      <c r="M98" s="165"/>
      <c r="N98" s="76">
        <v>15</v>
      </c>
      <c r="O98" s="170"/>
      <c r="P98" s="77" t="s">
        <v>300</v>
      </c>
      <c r="Q98" s="68">
        <v>279353944.85000002</v>
      </c>
      <c r="R98" s="71">
        <v>0</v>
      </c>
      <c r="S98" s="68">
        <v>8380618.3454999998</v>
      </c>
      <c r="T98" s="68">
        <f t="shared" si="11"/>
        <v>4190309.1727499999</v>
      </c>
      <c r="U98" s="68">
        <f t="shared" si="17"/>
        <v>4190309.1727499999</v>
      </c>
      <c r="V98" s="68">
        <v>176813833.25999999</v>
      </c>
      <c r="W98" s="69">
        <f t="shared" si="13"/>
        <v>460358087.28275001</v>
      </c>
    </row>
    <row r="99" spans="1:23" ht="24.95" customHeight="1">
      <c r="A99" s="170"/>
      <c r="B99" s="166"/>
      <c r="C99" s="64">
        <v>21</v>
      </c>
      <c r="D99" s="68" t="s">
        <v>301</v>
      </c>
      <c r="E99" s="68">
        <v>332166250.54000002</v>
      </c>
      <c r="F99" s="68">
        <v>0</v>
      </c>
      <c r="G99" s="68">
        <v>9964987.5162000004</v>
      </c>
      <c r="H99" s="68">
        <v>0</v>
      </c>
      <c r="I99" s="68">
        <f t="shared" si="15"/>
        <v>9964987.5162000004</v>
      </c>
      <c r="J99" s="68">
        <v>222882356.06999999</v>
      </c>
      <c r="K99" s="69">
        <f t="shared" si="12"/>
        <v>565013594.12619996</v>
      </c>
      <c r="L99" s="63"/>
      <c r="M99" s="165"/>
      <c r="N99" s="76">
        <v>16</v>
      </c>
      <c r="O99" s="170"/>
      <c r="P99" s="77" t="s">
        <v>302</v>
      </c>
      <c r="Q99" s="68">
        <v>404999554.62</v>
      </c>
      <c r="R99" s="71">
        <v>0</v>
      </c>
      <c r="S99" s="68">
        <v>12149986.638599999</v>
      </c>
      <c r="T99" s="68">
        <f t="shared" si="11"/>
        <v>6074993.3192999996</v>
      </c>
      <c r="U99" s="68">
        <f t="shared" si="17"/>
        <v>6074993.3192999996</v>
      </c>
      <c r="V99" s="68">
        <v>232056908.33000001</v>
      </c>
      <c r="W99" s="69">
        <f t="shared" si="13"/>
        <v>643131456.26929998</v>
      </c>
    </row>
    <row r="100" spans="1:23" ht="24.95" customHeight="1">
      <c r="A100" s="64"/>
      <c r="B100" s="179" t="s">
        <v>303</v>
      </c>
      <c r="C100" s="177"/>
      <c r="D100" s="72"/>
      <c r="E100" s="72">
        <f t="shared" ref="E100:K100" si="18">SUM(E79:E99)</f>
        <v>7493009464.8900003</v>
      </c>
      <c r="F100" s="68">
        <v>0</v>
      </c>
      <c r="G100" s="72">
        <f t="shared" si="18"/>
        <v>224790283.94710007</v>
      </c>
      <c r="H100" s="72">
        <f t="shared" si="18"/>
        <v>0</v>
      </c>
      <c r="I100" s="72">
        <f t="shared" si="18"/>
        <v>224790283.94710007</v>
      </c>
      <c r="J100" s="72">
        <f t="shared" si="18"/>
        <v>4905605989.8500004</v>
      </c>
      <c r="K100" s="72">
        <f t="shared" si="18"/>
        <v>12623405738.687099</v>
      </c>
      <c r="L100" s="63"/>
      <c r="M100" s="165"/>
      <c r="N100" s="76">
        <v>17</v>
      </c>
      <c r="O100" s="170"/>
      <c r="P100" s="77" t="s">
        <v>304</v>
      </c>
      <c r="Q100" s="68">
        <v>506517558.86000001</v>
      </c>
      <c r="R100" s="71">
        <v>0</v>
      </c>
      <c r="S100" s="68">
        <v>15195526.765699999</v>
      </c>
      <c r="T100" s="68">
        <f t="shared" si="11"/>
        <v>7597763.3828499997</v>
      </c>
      <c r="U100" s="68">
        <f t="shared" si="17"/>
        <v>7597763.3828499997</v>
      </c>
      <c r="V100" s="68">
        <v>273481722.68000001</v>
      </c>
      <c r="W100" s="69">
        <f t="shared" si="13"/>
        <v>787597044.92285001</v>
      </c>
    </row>
    <row r="101" spans="1:23" ht="24.95" customHeight="1">
      <c r="A101" s="170">
        <v>5</v>
      </c>
      <c r="B101" s="164" t="s">
        <v>305</v>
      </c>
      <c r="C101" s="64">
        <v>1</v>
      </c>
      <c r="D101" s="68" t="s">
        <v>306</v>
      </c>
      <c r="E101" s="68">
        <v>560068208.90999997</v>
      </c>
      <c r="F101" s="68">
        <v>0</v>
      </c>
      <c r="G101" s="68">
        <v>16802046.2674</v>
      </c>
      <c r="H101" s="68">
        <v>0</v>
      </c>
      <c r="I101" s="68">
        <f t="shared" ref="I101:I120" si="19">G101-H101</f>
        <v>16802046.2674</v>
      </c>
      <c r="J101" s="68">
        <v>277670589.07999998</v>
      </c>
      <c r="K101" s="69">
        <f t="shared" si="12"/>
        <v>854540844.25740004</v>
      </c>
      <c r="L101" s="63"/>
      <c r="M101" s="165"/>
      <c r="N101" s="76">
        <v>18</v>
      </c>
      <c r="O101" s="170"/>
      <c r="P101" s="77" t="s">
        <v>307</v>
      </c>
      <c r="Q101" s="68">
        <v>382611464.97000003</v>
      </c>
      <c r="R101" s="71">
        <v>0</v>
      </c>
      <c r="S101" s="68">
        <v>11478343.949200001</v>
      </c>
      <c r="T101" s="68">
        <f t="shared" si="11"/>
        <v>5739171.9746000003</v>
      </c>
      <c r="U101" s="68">
        <f t="shared" si="17"/>
        <v>5739171.9746000003</v>
      </c>
      <c r="V101" s="68">
        <v>218331306.69999999</v>
      </c>
      <c r="W101" s="69">
        <f t="shared" si="13"/>
        <v>606681943.64460003</v>
      </c>
    </row>
    <row r="102" spans="1:23" ht="24.95" customHeight="1">
      <c r="A102" s="170"/>
      <c r="B102" s="165"/>
      <c r="C102" s="64">
        <v>2</v>
      </c>
      <c r="D102" s="68" t="s">
        <v>79</v>
      </c>
      <c r="E102" s="68">
        <v>676341349.41999996</v>
      </c>
      <c r="F102" s="68">
        <v>0</v>
      </c>
      <c r="G102" s="68">
        <v>20290240.482500002</v>
      </c>
      <c r="H102" s="68">
        <v>0</v>
      </c>
      <c r="I102" s="68">
        <f t="shared" si="19"/>
        <v>20290240.482500002</v>
      </c>
      <c r="J102" s="68">
        <v>334294594.63</v>
      </c>
      <c r="K102" s="69">
        <f t="shared" si="12"/>
        <v>1030926184.5324999</v>
      </c>
      <c r="L102" s="63"/>
      <c r="M102" s="165"/>
      <c r="N102" s="76">
        <v>19</v>
      </c>
      <c r="O102" s="170"/>
      <c r="P102" s="77" t="s">
        <v>308</v>
      </c>
      <c r="Q102" s="68">
        <v>362274113.73000002</v>
      </c>
      <c r="R102" s="71">
        <v>0</v>
      </c>
      <c r="S102" s="68">
        <v>10868223.411900001</v>
      </c>
      <c r="T102" s="68">
        <f t="shared" si="11"/>
        <v>5434111.7059500003</v>
      </c>
      <c r="U102" s="68">
        <f t="shared" si="17"/>
        <v>5434111.7059500003</v>
      </c>
      <c r="V102" s="68">
        <v>200505626.37</v>
      </c>
      <c r="W102" s="69">
        <f t="shared" si="13"/>
        <v>568213851.80595005</v>
      </c>
    </row>
    <row r="103" spans="1:23" ht="24.95" customHeight="1">
      <c r="A103" s="170"/>
      <c r="B103" s="165"/>
      <c r="C103" s="64">
        <v>3</v>
      </c>
      <c r="D103" s="68" t="s">
        <v>309</v>
      </c>
      <c r="E103" s="68">
        <v>295795499.35000002</v>
      </c>
      <c r="F103" s="68">
        <v>0</v>
      </c>
      <c r="G103" s="68">
        <v>8873864.9803999998</v>
      </c>
      <c r="H103" s="68">
        <v>0</v>
      </c>
      <c r="I103" s="68">
        <f t="shared" si="19"/>
        <v>8873864.9803999998</v>
      </c>
      <c r="J103" s="68">
        <v>193206487.65000001</v>
      </c>
      <c r="K103" s="69">
        <f t="shared" si="12"/>
        <v>497875851.98040009</v>
      </c>
      <c r="L103" s="63"/>
      <c r="M103" s="165"/>
      <c r="N103" s="76">
        <v>20</v>
      </c>
      <c r="O103" s="170"/>
      <c r="P103" s="77" t="s">
        <v>310</v>
      </c>
      <c r="Q103" s="68">
        <v>388445436.06999999</v>
      </c>
      <c r="R103" s="71">
        <v>0</v>
      </c>
      <c r="S103" s="68">
        <v>11653363.0812</v>
      </c>
      <c r="T103" s="68">
        <f t="shared" si="11"/>
        <v>5826681.5405999999</v>
      </c>
      <c r="U103" s="68">
        <f t="shared" si="17"/>
        <v>5826681.5405999999</v>
      </c>
      <c r="V103" s="68">
        <v>214497838.16999999</v>
      </c>
      <c r="W103" s="69">
        <f t="shared" si="13"/>
        <v>608769955.78059995</v>
      </c>
    </row>
    <row r="104" spans="1:23" ht="24.95" customHeight="1">
      <c r="A104" s="170"/>
      <c r="B104" s="165"/>
      <c r="C104" s="64">
        <v>4</v>
      </c>
      <c r="D104" s="68" t="s">
        <v>311</v>
      </c>
      <c r="E104" s="68">
        <v>349581951.26999998</v>
      </c>
      <c r="F104" s="68">
        <v>0</v>
      </c>
      <c r="G104" s="68">
        <v>10487458.538000001</v>
      </c>
      <c r="H104" s="68">
        <v>0</v>
      </c>
      <c r="I104" s="68">
        <f t="shared" si="19"/>
        <v>10487458.538000001</v>
      </c>
      <c r="J104" s="68">
        <v>216184220.16999999</v>
      </c>
      <c r="K104" s="69">
        <f t="shared" si="12"/>
        <v>576253629.97799993</v>
      </c>
      <c r="L104" s="63"/>
      <c r="M104" s="166"/>
      <c r="N104" s="76">
        <v>21</v>
      </c>
      <c r="O104" s="170"/>
      <c r="P104" s="77" t="s">
        <v>312</v>
      </c>
      <c r="Q104" s="68">
        <v>380080443.58999997</v>
      </c>
      <c r="R104" s="71">
        <v>0</v>
      </c>
      <c r="S104" s="68">
        <v>11402413.307800001</v>
      </c>
      <c r="T104" s="68">
        <f t="shared" si="11"/>
        <v>5701206.6539000003</v>
      </c>
      <c r="U104" s="68">
        <f t="shared" si="17"/>
        <v>5701206.6539000003</v>
      </c>
      <c r="V104" s="68">
        <v>211441465.94999999</v>
      </c>
      <c r="W104" s="69">
        <f t="shared" si="13"/>
        <v>597223116.19389999</v>
      </c>
    </row>
    <row r="105" spans="1:23" ht="24.95" customHeight="1">
      <c r="A105" s="170"/>
      <c r="B105" s="165"/>
      <c r="C105" s="64">
        <v>5</v>
      </c>
      <c r="D105" s="68" t="s">
        <v>313</v>
      </c>
      <c r="E105" s="68">
        <v>443459101.99000001</v>
      </c>
      <c r="F105" s="68">
        <v>0</v>
      </c>
      <c r="G105" s="68">
        <v>13303773.059599999</v>
      </c>
      <c r="H105" s="68">
        <v>0</v>
      </c>
      <c r="I105" s="68">
        <f t="shared" si="19"/>
        <v>13303773.059599999</v>
      </c>
      <c r="J105" s="68">
        <v>250862488.15000001</v>
      </c>
      <c r="K105" s="69">
        <f t="shared" si="12"/>
        <v>707625363.19959998</v>
      </c>
      <c r="L105" s="63"/>
      <c r="M105" s="64"/>
      <c r="N105" s="177" t="s">
        <v>314</v>
      </c>
      <c r="O105" s="181"/>
      <c r="P105" s="72"/>
      <c r="Q105" s="72">
        <f t="shared" ref="Q105:W105" si="20">SUM(Q84:Q104)</f>
        <v>8079000749.1599998</v>
      </c>
      <c r="R105" s="71">
        <v>0</v>
      </c>
      <c r="S105" s="72">
        <f t="shared" si="20"/>
        <v>242370022.47480002</v>
      </c>
      <c r="T105" s="72">
        <f t="shared" si="20"/>
        <v>121185011.23740001</v>
      </c>
      <c r="U105" s="72">
        <f t="shared" si="20"/>
        <v>121185011.23740001</v>
      </c>
      <c r="V105" s="72">
        <f t="shared" si="20"/>
        <v>4555780160.5199986</v>
      </c>
      <c r="W105" s="72">
        <f t="shared" si="20"/>
        <v>12755965920.917398</v>
      </c>
    </row>
    <row r="106" spans="1:23" ht="24.95" customHeight="1">
      <c r="A106" s="170"/>
      <c r="B106" s="165"/>
      <c r="C106" s="64">
        <v>6</v>
      </c>
      <c r="D106" s="68" t="s">
        <v>315</v>
      </c>
      <c r="E106" s="68">
        <v>293651859.95999998</v>
      </c>
      <c r="F106" s="68">
        <v>0</v>
      </c>
      <c r="G106" s="68">
        <v>8809555.7986999992</v>
      </c>
      <c r="H106" s="68">
        <v>0</v>
      </c>
      <c r="I106" s="68">
        <f t="shared" si="19"/>
        <v>8809555.7986999992</v>
      </c>
      <c r="J106" s="68">
        <v>195179540.72999999</v>
      </c>
      <c r="K106" s="69">
        <f t="shared" si="12"/>
        <v>497640956.48869991</v>
      </c>
      <c r="L106" s="63"/>
      <c r="M106" s="164">
        <v>23</v>
      </c>
      <c r="N106" s="76">
        <v>1</v>
      </c>
      <c r="O106" s="170" t="s">
        <v>97</v>
      </c>
      <c r="P106" s="77" t="s">
        <v>316</v>
      </c>
      <c r="Q106" s="68">
        <v>328257427.33999997</v>
      </c>
      <c r="R106" s="71">
        <v>0</v>
      </c>
      <c r="S106" s="68">
        <v>9847722.8202999998</v>
      </c>
      <c r="T106" s="68">
        <f t="shared" si="11"/>
        <v>4923861.4101499999</v>
      </c>
      <c r="U106" s="68">
        <f t="shared" ref="U106:U121" si="21">S106-T106</f>
        <v>4923861.4101499999</v>
      </c>
      <c r="V106" s="68">
        <v>210027663.47999999</v>
      </c>
      <c r="W106" s="69">
        <f t="shared" si="13"/>
        <v>543208952.23014998</v>
      </c>
    </row>
    <row r="107" spans="1:23" ht="24.95" customHeight="1">
      <c r="A107" s="170"/>
      <c r="B107" s="165"/>
      <c r="C107" s="64">
        <v>7</v>
      </c>
      <c r="D107" s="68" t="s">
        <v>317</v>
      </c>
      <c r="E107" s="68">
        <v>468483931.58999997</v>
      </c>
      <c r="F107" s="68">
        <v>0</v>
      </c>
      <c r="G107" s="68">
        <v>14054517.9476</v>
      </c>
      <c r="H107" s="68">
        <v>0</v>
      </c>
      <c r="I107" s="68">
        <f t="shared" si="19"/>
        <v>14054517.9476</v>
      </c>
      <c r="J107" s="68">
        <v>262846512.19</v>
      </c>
      <c r="K107" s="69">
        <f t="shared" si="12"/>
        <v>745384961.72759998</v>
      </c>
      <c r="L107" s="63"/>
      <c r="M107" s="165"/>
      <c r="N107" s="76">
        <v>2</v>
      </c>
      <c r="O107" s="170"/>
      <c r="P107" s="77" t="s">
        <v>318</v>
      </c>
      <c r="Q107" s="68">
        <v>539800309.70000005</v>
      </c>
      <c r="R107" s="71">
        <v>0</v>
      </c>
      <c r="S107" s="68">
        <v>16194009.291099999</v>
      </c>
      <c r="T107" s="68">
        <f t="shared" si="11"/>
        <v>8097004.6455499995</v>
      </c>
      <c r="U107" s="68">
        <f t="shared" si="21"/>
        <v>8097004.6455499995</v>
      </c>
      <c r="V107" s="68">
        <v>238625910.52000001</v>
      </c>
      <c r="W107" s="69">
        <f t="shared" si="13"/>
        <v>786523224.86555004</v>
      </c>
    </row>
    <row r="108" spans="1:23" ht="24.95" customHeight="1">
      <c r="A108" s="170"/>
      <c r="B108" s="165"/>
      <c r="C108" s="64">
        <v>8</v>
      </c>
      <c r="D108" s="68" t="s">
        <v>319</v>
      </c>
      <c r="E108" s="68">
        <v>472920875.38</v>
      </c>
      <c r="F108" s="68">
        <v>0</v>
      </c>
      <c r="G108" s="68">
        <v>14187626.261299999</v>
      </c>
      <c r="H108" s="68">
        <v>0</v>
      </c>
      <c r="I108" s="68">
        <f t="shared" si="19"/>
        <v>14187626.261299999</v>
      </c>
      <c r="J108" s="68">
        <v>250473595.53</v>
      </c>
      <c r="K108" s="69">
        <f t="shared" si="12"/>
        <v>737582097.17130005</v>
      </c>
      <c r="L108" s="63"/>
      <c r="M108" s="165"/>
      <c r="N108" s="76">
        <v>3</v>
      </c>
      <c r="O108" s="170"/>
      <c r="P108" s="77" t="s">
        <v>320</v>
      </c>
      <c r="Q108" s="68">
        <v>413723053.66000003</v>
      </c>
      <c r="R108" s="71">
        <v>0</v>
      </c>
      <c r="S108" s="68">
        <v>12411691.6098</v>
      </c>
      <c r="T108" s="68">
        <f t="shared" si="11"/>
        <v>6205845.8048999999</v>
      </c>
      <c r="U108" s="68">
        <f t="shared" si="21"/>
        <v>6205845.8048999999</v>
      </c>
      <c r="V108" s="68">
        <v>235873694.37</v>
      </c>
      <c r="W108" s="69">
        <f t="shared" si="13"/>
        <v>655802593.83490002</v>
      </c>
    </row>
    <row r="109" spans="1:23" ht="24.95" customHeight="1">
      <c r="A109" s="170"/>
      <c r="B109" s="165"/>
      <c r="C109" s="64">
        <v>9</v>
      </c>
      <c r="D109" s="68" t="s">
        <v>321</v>
      </c>
      <c r="E109" s="68">
        <v>332647491.02999997</v>
      </c>
      <c r="F109" s="68">
        <v>0</v>
      </c>
      <c r="G109" s="68">
        <v>9979424.7309000008</v>
      </c>
      <c r="H109" s="68">
        <v>0</v>
      </c>
      <c r="I109" s="68">
        <f t="shared" si="19"/>
        <v>9979424.7309000008</v>
      </c>
      <c r="J109" s="68">
        <v>218267155.22999999</v>
      </c>
      <c r="K109" s="69">
        <f t="shared" si="12"/>
        <v>560894070.99089992</v>
      </c>
      <c r="L109" s="63"/>
      <c r="M109" s="165"/>
      <c r="N109" s="76">
        <v>4</v>
      </c>
      <c r="O109" s="170"/>
      <c r="P109" s="77" t="s">
        <v>87</v>
      </c>
      <c r="Q109" s="68">
        <v>251948135.86000001</v>
      </c>
      <c r="R109" s="71">
        <v>0</v>
      </c>
      <c r="S109" s="68">
        <v>7558444.0756999999</v>
      </c>
      <c r="T109" s="68">
        <f t="shared" si="11"/>
        <v>3779222.03785</v>
      </c>
      <c r="U109" s="68">
        <f t="shared" si="21"/>
        <v>3779222.03785</v>
      </c>
      <c r="V109" s="68">
        <v>185369666.83000001</v>
      </c>
      <c r="W109" s="69">
        <f t="shared" si="13"/>
        <v>441097024.72785002</v>
      </c>
    </row>
    <row r="110" spans="1:23" ht="24.95" customHeight="1">
      <c r="A110" s="170"/>
      <c r="B110" s="165"/>
      <c r="C110" s="64">
        <v>10</v>
      </c>
      <c r="D110" s="68" t="s">
        <v>322</v>
      </c>
      <c r="E110" s="68">
        <v>380978459.41000003</v>
      </c>
      <c r="F110" s="68">
        <v>0</v>
      </c>
      <c r="G110" s="68">
        <v>11429353.782299999</v>
      </c>
      <c r="H110" s="68">
        <v>0</v>
      </c>
      <c r="I110" s="68">
        <f t="shared" si="19"/>
        <v>11429353.782299999</v>
      </c>
      <c r="J110" s="68">
        <v>243421859.72</v>
      </c>
      <c r="K110" s="69">
        <f t="shared" si="12"/>
        <v>635829672.91229999</v>
      </c>
      <c r="L110" s="63"/>
      <c r="M110" s="165"/>
      <c r="N110" s="76">
        <v>5</v>
      </c>
      <c r="O110" s="170"/>
      <c r="P110" s="77" t="s">
        <v>323</v>
      </c>
      <c r="Q110" s="68">
        <v>437156308.55000001</v>
      </c>
      <c r="R110" s="71">
        <v>0</v>
      </c>
      <c r="S110" s="68">
        <v>13114689.2565</v>
      </c>
      <c r="T110" s="68">
        <f t="shared" si="11"/>
        <v>6557344.6282500001</v>
      </c>
      <c r="U110" s="68">
        <f t="shared" si="21"/>
        <v>6557344.6282500001</v>
      </c>
      <c r="V110" s="68">
        <v>237448898.93000001</v>
      </c>
      <c r="W110" s="69">
        <f t="shared" si="13"/>
        <v>681162552.10825002</v>
      </c>
    </row>
    <row r="111" spans="1:23" ht="24.95" customHeight="1">
      <c r="A111" s="170"/>
      <c r="B111" s="165"/>
      <c r="C111" s="64">
        <v>11</v>
      </c>
      <c r="D111" s="68" t="s">
        <v>324</v>
      </c>
      <c r="E111" s="68">
        <v>294789085.66000003</v>
      </c>
      <c r="F111" s="68">
        <v>0</v>
      </c>
      <c r="G111" s="68">
        <v>8843672.5699000005</v>
      </c>
      <c r="H111" s="68">
        <v>0</v>
      </c>
      <c r="I111" s="68">
        <f t="shared" si="19"/>
        <v>8843672.5699000005</v>
      </c>
      <c r="J111" s="68">
        <v>204803685.81999999</v>
      </c>
      <c r="K111" s="69">
        <f t="shared" si="12"/>
        <v>508436444.0499</v>
      </c>
      <c r="L111" s="63"/>
      <c r="M111" s="165"/>
      <c r="N111" s="76">
        <v>6</v>
      </c>
      <c r="O111" s="170"/>
      <c r="P111" s="77" t="s">
        <v>325</v>
      </c>
      <c r="Q111" s="68">
        <v>375730287.37</v>
      </c>
      <c r="R111" s="71">
        <v>0</v>
      </c>
      <c r="S111" s="68">
        <v>11271908.621099999</v>
      </c>
      <c r="T111" s="68">
        <f t="shared" si="11"/>
        <v>5635954.3105499996</v>
      </c>
      <c r="U111" s="68">
        <f t="shared" si="21"/>
        <v>5635954.3105499996</v>
      </c>
      <c r="V111" s="68">
        <v>236852298.38</v>
      </c>
      <c r="W111" s="69">
        <f t="shared" si="13"/>
        <v>618218540.06054997</v>
      </c>
    </row>
    <row r="112" spans="1:23" ht="24.95" customHeight="1">
      <c r="A112" s="170"/>
      <c r="B112" s="165"/>
      <c r="C112" s="64">
        <v>12</v>
      </c>
      <c r="D112" s="68" t="s">
        <v>326</v>
      </c>
      <c r="E112" s="68">
        <v>456511617.48000002</v>
      </c>
      <c r="F112" s="68">
        <v>0</v>
      </c>
      <c r="G112" s="68">
        <v>13695348.524499999</v>
      </c>
      <c r="H112" s="68">
        <v>0</v>
      </c>
      <c r="I112" s="68">
        <f t="shared" si="19"/>
        <v>13695348.524499999</v>
      </c>
      <c r="J112" s="68">
        <v>266147104.83000001</v>
      </c>
      <c r="K112" s="69">
        <f t="shared" si="12"/>
        <v>736354070.83450007</v>
      </c>
      <c r="L112" s="63"/>
      <c r="M112" s="165"/>
      <c r="N112" s="76">
        <v>7</v>
      </c>
      <c r="O112" s="170"/>
      <c r="P112" s="77" t="s">
        <v>327</v>
      </c>
      <c r="Q112" s="68">
        <v>379779614.86000001</v>
      </c>
      <c r="R112" s="71">
        <v>0</v>
      </c>
      <c r="S112" s="68">
        <v>11393388.445800001</v>
      </c>
      <c r="T112" s="68">
        <f t="shared" si="11"/>
        <v>5696694.2229000004</v>
      </c>
      <c r="U112" s="68">
        <f t="shared" si="21"/>
        <v>5696694.2229000004</v>
      </c>
      <c r="V112" s="68">
        <v>238361367.09</v>
      </c>
      <c r="W112" s="69">
        <f t="shared" si="13"/>
        <v>623837676.17289996</v>
      </c>
    </row>
    <row r="113" spans="1:23" ht="24.95" customHeight="1">
      <c r="A113" s="170"/>
      <c r="B113" s="165"/>
      <c r="C113" s="64">
        <v>13</v>
      </c>
      <c r="D113" s="68" t="s">
        <v>328</v>
      </c>
      <c r="E113" s="68">
        <v>375459019.00999999</v>
      </c>
      <c r="F113" s="68">
        <v>0</v>
      </c>
      <c r="G113" s="68">
        <v>11263770.5704</v>
      </c>
      <c r="H113" s="68">
        <v>0</v>
      </c>
      <c r="I113" s="68">
        <f t="shared" si="19"/>
        <v>11263770.5704</v>
      </c>
      <c r="J113" s="68">
        <v>215046132.28999999</v>
      </c>
      <c r="K113" s="69">
        <f t="shared" si="12"/>
        <v>601768921.87039995</v>
      </c>
      <c r="L113" s="63"/>
      <c r="M113" s="165"/>
      <c r="N113" s="76">
        <v>8</v>
      </c>
      <c r="O113" s="170"/>
      <c r="P113" s="77" t="s">
        <v>329</v>
      </c>
      <c r="Q113" s="68">
        <v>447843488.30000001</v>
      </c>
      <c r="R113" s="71">
        <v>0</v>
      </c>
      <c r="S113" s="68">
        <v>13435304.6491</v>
      </c>
      <c r="T113" s="68">
        <f t="shared" si="11"/>
        <v>6717652.32455</v>
      </c>
      <c r="U113" s="68">
        <f t="shared" si="21"/>
        <v>6717652.32455</v>
      </c>
      <c r="V113" s="68">
        <v>292088139.83999997</v>
      </c>
      <c r="W113" s="69">
        <f t="shared" si="13"/>
        <v>746649280.46455002</v>
      </c>
    </row>
    <row r="114" spans="1:23" ht="24.95" customHeight="1">
      <c r="A114" s="170"/>
      <c r="B114" s="165"/>
      <c r="C114" s="64">
        <v>14</v>
      </c>
      <c r="D114" s="68" t="s">
        <v>330</v>
      </c>
      <c r="E114" s="68">
        <v>438418076.56999999</v>
      </c>
      <c r="F114" s="68">
        <v>0</v>
      </c>
      <c r="G114" s="68">
        <v>13152542.2971</v>
      </c>
      <c r="H114" s="68">
        <v>0</v>
      </c>
      <c r="I114" s="68">
        <f t="shared" si="19"/>
        <v>13152542.2971</v>
      </c>
      <c r="J114" s="68">
        <v>254958088.90000001</v>
      </c>
      <c r="K114" s="69">
        <f t="shared" si="12"/>
        <v>706528707.76709998</v>
      </c>
      <c r="L114" s="63"/>
      <c r="M114" s="165"/>
      <c r="N114" s="76">
        <v>9</v>
      </c>
      <c r="O114" s="170"/>
      <c r="P114" s="77" t="s">
        <v>331</v>
      </c>
      <c r="Q114" s="68">
        <v>323761480.94</v>
      </c>
      <c r="R114" s="71">
        <v>0</v>
      </c>
      <c r="S114" s="68">
        <v>9712844.4280999992</v>
      </c>
      <c r="T114" s="68">
        <f t="shared" si="11"/>
        <v>4856422.2140499996</v>
      </c>
      <c r="U114" s="68">
        <f t="shared" si="21"/>
        <v>4856422.2140499996</v>
      </c>
      <c r="V114" s="68">
        <v>217666010.56</v>
      </c>
      <c r="W114" s="69">
        <f t="shared" si="13"/>
        <v>546283913.71405005</v>
      </c>
    </row>
    <row r="115" spans="1:23" ht="24.95" customHeight="1">
      <c r="A115" s="170"/>
      <c r="B115" s="165"/>
      <c r="C115" s="64">
        <v>15</v>
      </c>
      <c r="D115" s="68" t="s">
        <v>332</v>
      </c>
      <c r="E115" s="68">
        <v>561823068.15999997</v>
      </c>
      <c r="F115" s="68">
        <v>0</v>
      </c>
      <c r="G115" s="68">
        <v>16854692.0447</v>
      </c>
      <c r="H115" s="68">
        <v>0</v>
      </c>
      <c r="I115" s="68">
        <f t="shared" si="19"/>
        <v>16854692.0447</v>
      </c>
      <c r="J115" s="68">
        <v>297569215.19999999</v>
      </c>
      <c r="K115" s="69">
        <f t="shared" si="12"/>
        <v>876246975.40470004</v>
      </c>
      <c r="L115" s="63"/>
      <c r="M115" s="165"/>
      <c r="N115" s="76">
        <v>10</v>
      </c>
      <c r="O115" s="170"/>
      <c r="P115" s="77" t="s">
        <v>333</v>
      </c>
      <c r="Q115" s="68">
        <v>430546785.97000003</v>
      </c>
      <c r="R115" s="71">
        <v>0</v>
      </c>
      <c r="S115" s="68">
        <v>12916403.579</v>
      </c>
      <c r="T115" s="68">
        <f t="shared" si="11"/>
        <v>6458201.7895</v>
      </c>
      <c r="U115" s="68">
        <f t="shared" si="21"/>
        <v>6458201.7895</v>
      </c>
      <c r="V115" s="68">
        <v>209245400.28999999</v>
      </c>
      <c r="W115" s="69">
        <f t="shared" si="13"/>
        <v>646250388.04949999</v>
      </c>
    </row>
    <row r="116" spans="1:23" ht="24.95" customHeight="1">
      <c r="A116" s="170"/>
      <c r="B116" s="165"/>
      <c r="C116" s="64">
        <v>16</v>
      </c>
      <c r="D116" s="68" t="s">
        <v>334</v>
      </c>
      <c r="E116" s="68">
        <v>421187597.11000001</v>
      </c>
      <c r="F116" s="68">
        <v>0</v>
      </c>
      <c r="G116" s="68">
        <v>12635627.9134</v>
      </c>
      <c r="H116" s="68">
        <v>0</v>
      </c>
      <c r="I116" s="68">
        <f t="shared" si="19"/>
        <v>12635627.9134</v>
      </c>
      <c r="J116" s="68">
        <v>244805890.31999999</v>
      </c>
      <c r="K116" s="69">
        <f t="shared" si="12"/>
        <v>678629115.3434</v>
      </c>
      <c r="L116" s="63"/>
      <c r="M116" s="165"/>
      <c r="N116" s="76">
        <v>11</v>
      </c>
      <c r="O116" s="170"/>
      <c r="P116" s="77" t="s">
        <v>335</v>
      </c>
      <c r="Q116" s="68">
        <v>341307075.45999998</v>
      </c>
      <c r="R116" s="71">
        <v>0</v>
      </c>
      <c r="S116" s="68">
        <v>10239212.263800001</v>
      </c>
      <c r="T116" s="68">
        <f t="shared" si="11"/>
        <v>5119606.1319000004</v>
      </c>
      <c r="U116" s="68">
        <f t="shared" si="21"/>
        <v>5119606.1319000004</v>
      </c>
      <c r="V116" s="68">
        <v>203950398.21000001</v>
      </c>
      <c r="W116" s="69">
        <f t="shared" si="13"/>
        <v>550377079.80190003</v>
      </c>
    </row>
    <row r="117" spans="1:23" ht="24.95" customHeight="1">
      <c r="A117" s="170"/>
      <c r="B117" s="165"/>
      <c r="C117" s="64">
        <v>17</v>
      </c>
      <c r="D117" s="68" t="s">
        <v>336</v>
      </c>
      <c r="E117" s="68">
        <v>414270297.02999997</v>
      </c>
      <c r="F117" s="68">
        <v>0</v>
      </c>
      <c r="G117" s="68">
        <v>12428108.910800001</v>
      </c>
      <c r="H117" s="68">
        <v>0</v>
      </c>
      <c r="I117" s="68">
        <f t="shared" si="19"/>
        <v>12428108.910800001</v>
      </c>
      <c r="J117" s="68">
        <v>239974528.15000001</v>
      </c>
      <c r="K117" s="69">
        <f t="shared" si="12"/>
        <v>666672934.09079993</v>
      </c>
      <c r="L117" s="63"/>
      <c r="M117" s="165"/>
      <c r="N117" s="76">
        <v>12</v>
      </c>
      <c r="O117" s="170"/>
      <c r="P117" s="77" t="s">
        <v>337</v>
      </c>
      <c r="Q117" s="68">
        <v>303160148.55000001</v>
      </c>
      <c r="R117" s="71">
        <v>0</v>
      </c>
      <c r="S117" s="68">
        <v>9094804.4563999996</v>
      </c>
      <c r="T117" s="68">
        <f t="shared" si="11"/>
        <v>4547402.2281999998</v>
      </c>
      <c r="U117" s="68">
        <f t="shared" si="21"/>
        <v>4547402.2281999998</v>
      </c>
      <c r="V117" s="68">
        <v>197365057.97999999</v>
      </c>
      <c r="W117" s="69">
        <f t="shared" si="13"/>
        <v>505072608.75820005</v>
      </c>
    </row>
    <row r="118" spans="1:23" ht="24.95" customHeight="1">
      <c r="A118" s="170"/>
      <c r="B118" s="165"/>
      <c r="C118" s="64">
        <v>18</v>
      </c>
      <c r="D118" s="68" t="s">
        <v>338</v>
      </c>
      <c r="E118" s="68">
        <v>582592344.69000006</v>
      </c>
      <c r="F118" s="68">
        <v>0</v>
      </c>
      <c r="G118" s="68">
        <v>17477770.340799998</v>
      </c>
      <c r="H118" s="68">
        <v>0</v>
      </c>
      <c r="I118" s="68">
        <f t="shared" si="19"/>
        <v>17477770.340799998</v>
      </c>
      <c r="J118" s="68">
        <v>284897309.33999997</v>
      </c>
      <c r="K118" s="69">
        <f t="shared" si="12"/>
        <v>884967424.37080002</v>
      </c>
      <c r="L118" s="63"/>
      <c r="M118" s="165"/>
      <c r="N118" s="76">
        <v>13</v>
      </c>
      <c r="O118" s="170"/>
      <c r="P118" s="77" t="s">
        <v>339</v>
      </c>
      <c r="Q118" s="68">
        <v>253659199.56999999</v>
      </c>
      <c r="R118" s="71">
        <v>0</v>
      </c>
      <c r="S118" s="68">
        <v>7609775.9872000003</v>
      </c>
      <c r="T118" s="68">
        <f t="shared" si="11"/>
        <v>3804887.9936000002</v>
      </c>
      <c r="U118" s="68">
        <f t="shared" si="21"/>
        <v>3804887.9936000002</v>
      </c>
      <c r="V118" s="68">
        <v>186323469.90000001</v>
      </c>
      <c r="W118" s="69">
        <f t="shared" si="13"/>
        <v>443787557.46360004</v>
      </c>
    </row>
    <row r="119" spans="1:23" ht="24.95" customHeight="1">
      <c r="A119" s="170"/>
      <c r="B119" s="165"/>
      <c r="C119" s="64">
        <v>19</v>
      </c>
      <c r="D119" s="68" t="s">
        <v>340</v>
      </c>
      <c r="E119" s="68">
        <v>324246423.80000001</v>
      </c>
      <c r="F119" s="68">
        <v>0</v>
      </c>
      <c r="G119" s="68">
        <v>9727392.7139999997</v>
      </c>
      <c r="H119" s="68">
        <v>0</v>
      </c>
      <c r="I119" s="68">
        <f t="shared" si="19"/>
        <v>9727392.7139999997</v>
      </c>
      <c r="J119" s="68">
        <v>203714166.46000001</v>
      </c>
      <c r="K119" s="69">
        <f t="shared" si="12"/>
        <v>537687982.97399998</v>
      </c>
      <c r="L119" s="63"/>
      <c r="M119" s="165"/>
      <c r="N119" s="76">
        <v>14</v>
      </c>
      <c r="O119" s="170"/>
      <c r="P119" s="77" t="s">
        <v>341</v>
      </c>
      <c r="Q119" s="68">
        <v>252583562.52000001</v>
      </c>
      <c r="R119" s="71">
        <v>0</v>
      </c>
      <c r="S119" s="68">
        <v>7577506.8751999997</v>
      </c>
      <c r="T119" s="68">
        <f t="shared" si="11"/>
        <v>3788753.4375999998</v>
      </c>
      <c r="U119" s="68">
        <f t="shared" si="21"/>
        <v>3788753.4375999998</v>
      </c>
      <c r="V119" s="68">
        <v>187053375.53999999</v>
      </c>
      <c r="W119" s="69">
        <f t="shared" si="13"/>
        <v>443425691.49759996</v>
      </c>
    </row>
    <row r="120" spans="1:23" ht="24.95" customHeight="1">
      <c r="A120" s="170"/>
      <c r="B120" s="166"/>
      <c r="C120" s="64">
        <v>20</v>
      </c>
      <c r="D120" s="68" t="s">
        <v>342</v>
      </c>
      <c r="E120" s="68">
        <v>362822257.99000001</v>
      </c>
      <c r="F120" s="68">
        <v>0</v>
      </c>
      <c r="G120" s="68">
        <v>10884667.739600001</v>
      </c>
      <c r="H120" s="68">
        <v>0</v>
      </c>
      <c r="I120" s="68">
        <f t="shared" si="19"/>
        <v>10884667.739600001</v>
      </c>
      <c r="J120" s="68">
        <v>230146808.62</v>
      </c>
      <c r="K120" s="69">
        <f t="shared" si="12"/>
        <v>603853734.34960008</v>
      </c>
      <c r="L120" s="63"/>
      <c r="M120" s="165"/>
      <c r="N120" s="76">
        <v>15</v>
      </c>
      <c r="O120" s="170"/>
      <c r="P120" s="77" t="s">
        <v>343</v>
      </c>
      <c r="Q120" s="68">
        <v>288408409.44999999</v>
      </c>
      <c r="R120" s="71">
        <v>0</v>
      </c>
      <c r="S120" s="68">
        <v>8652252.2836000007</v>
      </c>
      <c r="T120" s="68">
        <f t="shared" si="11"/>
        <v>4326126.1418000003</v>
      </c>
      <c r="U120" s="68">
        <f t="shared" si="21"/>
        <v>4326126.1418000003</v>
      </c>
      <c r="V120" s="68">
        <v>198942329.28999999</v>
      </c>
      <c r="W120" s="69">
        <f t="shared" si="13"/>
        <v>491676864.88179994</v>
      </c>
    </row>
    <row r="121" spans="1:23" ht="24.95" customHeight="1">
      <c r="A121" s="64"/>
      <c r="B121" s="179" t="s">
        <v>344</v>
      </c>
      <c r="C121" s="177"/>
      <c r="D121" s="72"/>
      <c r="E121" s="72">
        <f t="shared" ref="E121:K121" si="22">SUM(E101:E120)</f>
        <v>8506048515.8099985</v>
      </c>
      <c r="F121" s="68">
        <v>0</v>
      </c>
      <c r="G121" s="72">
        <f t="shared" si="22"/>
        <v>255181455.47389999</v>
      </c>
      <c r="H121" s="72">
        <f t="shared" si="22"/>
        <v>0</v>
      </c>
      <c r="I121" s="72">
        <f t="shared" si="22"/>
        <v>255181455.47389999</v>
      </c>
      <c r="J121" s="72">
        <f t="shared" si="22"/>
        <v>4884469973.0100002</v>
      </c>
      <c r="K121" s="72">
        <f t="shared" si="22"/>
        <v>13645699944.293898</v>
      </c>
      <c r="L121" s="63"/>
      <c r="M121" s="166"/>
      <c r="N121" s="76">
        <v>16</v>
      </c>
      <c r="O121" s="170"/>
      <c r="P121" s="77" t="s">
        <v>345</v>
      </c>
      <c r="Q121" s="68">
        <v>349073976.22000003</v>
      </c>
      <c r="R121" s="71">
        <v>0</v>
      </c>
      <c r="S121" s="68">
        <v>10472219.286499999</v>
      </c>
      <c r="T121" s="68">
        <f t="shared" si="11"/>
        <v>5236109.6432499997</v>
      </c>
      <c r="U121" s="68">
        <f t="shared" si="21"/>
        <v>5236109.6432499997</v>
      </c>
      <c r="V121" s="68">
        <v>205164611.21000001</v>
      </c>
      <c r="W121" s="69">
        <f t="shared" si="13"/>
        <v>559474697.07325006</v>
      </c>
    </row>
    <row r="122" spans="1:23" ht="24.95" customHeight="1">
      <c r="A122" s="170">
        <v>6</v>
      </c>
      <c r="B122" s="164" t="s">
        <v>346</v>
      </c>
      <c r="C122" s="64">
        <v>1</v>
      </c>
      <c r="D122" s="68" t="s">
        <v>347</v>
      </c>
      <c r="E122" s="68">
        <v>412011615.35000002</v>
      </c>
      <c r="F122" s="68">
        <v>0</v>
      </c>
      <c r="G122" s="68">
        <v>12360348.4606</v>
      </c>
      <c r="H122" s="68">
        <v>12360348.4606</v>
      </c>
      <c r="I122" s="68">
        <f t="shared" ref="I122:I129" si="23">G122-H122</f>
        <v>0</v>
      </c>
      <c r="J122" s="68">
        <v>375955070.64999998</v>
      </c>
      <c r="K122" s="69">
        <f t="shared" si="12"/>
        <v>787966686</v>
      </c>
      <c r="L122" s="63"/>
      <c r="M122" s="64"/>
      <c r="N122" s="177" t="s">
        <v>348</v>
      </c>
      <c r="O122" s="181"/>
      <c r="P122" s="72"/>
      <c r="Q122" s="72">
        <f t="shared" ref="Q122:W122" si="24">SUM(Q106:Q121)</f>
        <v>5716739264.3200006</v>
      </c>
      <c r="R122" s="71">
        <v>0</v>
      </c>
      <c r="S122" s="72">
        <f t="shared" si="24"/>
        <v>171502177.92920002</v>
      </c>
      <c r="T122" s="72">
        <f t="shared" si="24"/>
        <v>85751088.964600012</v>
      </c>
      <c r="U122" s="72">
        <f t="shared" si="24"/>
        <v>85751088.964600012</v>
      </c>
      <c r="V122" s="72">
        <f t="shared" si="24"/>
        <v>3480358292.4200001</v>
      </c>
      <c r="W122" s="72">
        <f t="shared" si="24"/>
        <v>9282848645.7045994</v>
      </c>
    </row>
    <row r="123" spans="1:23" ht="24.95" customHeight="1">
      <c r="A123" s="170"/>
      <c r="B123" s="165"/>
      <c r="C123" s="64">
        <v>2</v>
      </c>
      <c r="D123" s="68" t="s">
        <v>349</v>
      </c>
      <c r="E123" s="68">
        <v>472991470.58999997</v>
      </c>
      <c r="F123" s="68">
        <v>0</v>
      </c>
      <c r="G123" s="68">
        <v>14189744.117699999</v>
      </c>
      <c r="H123" s="68">
        <v>14189744.117699999</v>
      </c>
      <c r="I123" s="68">
        <f t="shared" si="23"/>
        <v>0</v>
      </c>
      <c r="J123" s="68">
        <v>405305613.06999999</v>
      </c>
      <c r="K123" s="69">
        <f t="shared" si="12"/>
        <v>878297083.65999997</v>
      </c>
      <c r="L123" s="63"/>
      <c r="M123" s="164">
        <v>24</v>
      </c>
      <c r="N123" s="70">
        <v>1</v>
      </c>
      <c r="O123" s="164" t="s">
        <v>98</v>
      </c>
      <c r="P123" s="68" t="s">
        <v>350</v>
      </c>
      <c r="Q123" s="68">
        <v>489859830.11000001</v>
      </c>
      <c r="R123" s="71">
        <v>0</v>
      </c>
      <c r="S123" s="68">
        <v>14695794.9034</v>
      </c>
      <c r="T123" s="68">
        <v>0</v>
      </c>
      <c r="U123" s="68">
        <f t="shared" ref="U123:U142" si="25">S123-T123</f>
        <v>14695794.9034</v>
      </c>
      <c r="V123" s="68">
        <v>2068600805.1400001</v>
      </c>
      <c r="W123" s="69">
        <f t="shared" si="13"/>
        <v>2573156430.1533999</v>
      </c>
    </row>
    <row r="124" spans="1:23" ht="24.95" customHeight="1">
      <c r="A124" s="170"/>
      <c r="B124" s="165"/>
      <c r="C124" s="64">
        <v>3</v>
      </c>
      <c r="D124" s="78" t="s">
        <v>351</v>
      </c>
      <c r="E124" s="68">
        <v>314776326.08999997</v>
      </c>
      <c r="F124" s="68">
        <v>0</v>
      </c>
      <c r="G124" s="68">
        <v>9443289.7826000005</v>
      </c>
      <c r="H124" s="68">
        <v>9443289.7826000005</v>
      </c>
      <c r="I124" s="68">
        <f t="shared" si="23"/>
        <v>0</v>
      </c>
      <c r="J124" s="68">
        <v>338837354.01999998</v>
      </c>
      <c r="K124" s="69">
        <f t="shared" si="12"/>
        <v>653613680.1099999</v>
      </c>
      <c r="L124" s="63"/>
      <c r="M124" s="165"/>
      <c r="N124" s="70">
        <v>2</v>
      </c>
      <c r="O124" s="165"/>
      <c r="P124" s="78" t="s">
        <v>352</v>
      </c>
      <c r="Q124" s="68">
        <v>629650067.36000001</v>
      </c>
      <c r="R124" s="71">
        <v>0</v>
      </c>
      <c r="S124" s="68">
        <v>18889502.0207</v>
      </c>
      <c r="T124" s="68">
        <v>0</v>
      </c>
      <c r="U124" s="68">
        <f t="shared" si="25"/>
        <v>18889502.0207</v>
      </c>
      <c r="V124" s="68">
        <v>2145816485.48</v>
      </c>
      <c r="W124" s="69">
        <f t="shared" si="13"/>
        <v>2794356054.8607001</v>
      </c>
    </row>
    <row r="125" spans="1:23" ht="24.95" customHeight="1">
      <c r="A125" s="170"/>
      <c r="B125" s="165"/>
      <c r="C125" s="64">
        <v>4</v>
      </c>
      <c r="D125" s="68" t="s">
        <v>353</v>
      </c>
      <c r="E125" s="68">
        <v>388133430.81999999</v>
      </c>
      <c r="F125" s="68">
        <v>0</v>
      </c>
      <c r="G125" s="68">
        <v>11644002.9246</v>
      </c>
      <c r="H125" s="68">
        <v>11644002.9246</v>
      </c>
      <c r="I125" s="68">
        <f t="shared" si="23"/>
        <v>0</v>
      </c>
      <c r="J125" s="68">
        <v>357313714.74000001</v>
      </c>
      <c r="K125" s="69">
        <f t="shared" si="12"/>
        <v>745447145.55999994</v>
      </c>
      <c r="L125" s="63"/>
      <c r="M125" s="165"/>
      <c r="N125" s="70">
        <v>3</v>
      </c>
      <c r="O125" s="165"/>
      <c r="P125" s="68" t="s">
        <v>354</v>
      </c>
      <c r="Q125" s="68">
        <v>1015430805.1799999</v>
      </c>
      <c r="R125" s="71">
        <v>0</v>
      </c>
      <c r="S125" s="68">
        <v>30462924.155499998</v>
      </c>
      <c r="T125" s="68">
        <v>0</v>
      </c>
      <c r="U125" s="68">
        <f t="shared" si="25"/>
        <v>30462924.155499998</v>
      </c>
      <c r="V125" s="68">
        <v>2350289611.6199999</v>
      </c>
      <c r="W125" s="69">
        <f t="shared" si="13"/>
        <v>3396183340.9554996</v>
      </c>
    </row>
    <row r="126" spans="1:23" ht="24.95" customHeight="1">
      <c r="A126" s="170"/>
      <c r="B126" s="165"/>
      <c r="C126" s="64">
        <v>5</v>
      </c>
      <c r="D126" s="68" t="s">
        <v>355</v>
      </c>
      <c r="E126" s="68">
        <v>407894396.73000002</v>
      </c>
      <c r="F126" s="68">
        <v>0</v>
      </c>
      <c r="G126" s="68">
        <v>12236831.901799999</v>
      </c>
      <c r="H126" s="68">
        <v>12236831.901799999</v>
      </c>
      <c r="I126" s="68">
        <f t="shared" si="23"/>
        <v>0</v>
      </c>
      <c r="J126" s="68">
        <v>374190414.41000003</v>
      </c>
      <c r="K126" s="69">
        <f t="shared" si="12"/>
        <v>782084811.1400001</v>
      </c>
      <c r="L126" s="63"/>
      <c r="M126" s="165"/>
      <c r="N126" s="70">
        <v>4</v>
      </c>
      <c r="O126" s="165"/>
      <c r="P126" s="68" t="s">
        <v>356</v>
      </c>
      <c r="Q126" s="68">
        <v>396874535.82999998</v>
      </c>
      <c r="R126" s="71">
        <v>0</v>
      </c>
      <c r="S126" s="68">
        <v>11906236.074999999</v>
      </c>
      <c r="T126" s="68">
        <v>0</v>
      </c>
      <c r="U126" s="68">
        <f t="shared" si="25"/>
        <v>11906236.074999999</v>
      </c>
      <c r="V126" s="68">
        <v>2019766019.0899999</v>
      </c>
      <c r="W126" s="69">
        <f t="shared" si="13"/>
        <v>2428546790.9949999</v>
      </c>
    </row>
    <row r="127" spans="1:23" ht="24.95" customHeight="1">
      <c r="A127" s="170"/>
      <c r="B127" s="165"/>
      <c r="C127" s="64">
        <v>6</v>
      </c>
      <c r="D127" s="68" t="s">
        <v>357</v>
      </c>
      <c r="E127" s="68">
        <v>401023511.19</v>
      </c>
      <c r="F127" s="68">
        <v>0</v>
      </c>
      <c r="G127" s="68">
        <v>12030705.3357</v>
      </c>
      <c r="H127" s="68">
        <v>12030705.3357</v>
      </c>
      <c r="I127" s="68">
        <f t="shared" si="23"/>
        <v>0</v>
      </c>
      <c r="J127" s="68">
        <v>376677398.22000003</v>
      </c>
      <c r="K127" s="69">
        <f t="shared" si="12"/>
        <v>777700909.41000009</v>
      </c>
      <c r="L127" s="63"/>
      <c r="M127" s="165"/>
      <c r="N127" s="70">
        <v>5</v>
      </c>
      <c r="O127" s="165"/>
      <c r="P127" s="68" t="s">
        <v>358</v>
      </c>
      <c r="Q127" s="68">
        <v>333670704.48000002</v>
      </c>
      <c r="R127" s="71">
        <v>0</v>
      </c>
      <c r="S127" s="68">
        <v>10010121.134400001</v>
      </c>
      <c r="T127" s="68">
        <v>0</v>
      </c>
      <c r="U127" s="68">
        <f t="shared" si="25"/>
        <v>10010121.134400001</v>
      </c>
      <c r="V127" s="68">
        <v>1985043316.0899999</v>
      </c>
      <c r="W127" s="69">
        <f t="shared" si="13"/>
        <v>2328724141.7044001</v>
      </c>
    </row>
    <row r="128" spans="1:23" ht="24.95" customHeight="1">
      <c r="A128" s="170"/>
      <c r="B128" s="165"/>
      <c r="C128" s="64">
        <v>7</v>
      </c>
      <c r="D128" s="68" t="s">
        <v>359</v>
      </c>
      <c r="E128" s="68">
        <v>554041411.66999996</v>
      </c>
      <c r="F128" s="68">
        <v>0</v>
      </c>
      <c r="G128" s="68">
        <v>16621242.350199999</v>
      </c>
      <c r="H128" s="68">
        <v>16621242.350199999</v>
      </c>
      <c r="I128" s="68">
        <f t="shared" si="23"/>
        <v>0</v>
      </c>
      <c r="J128" s="68">
        <v>422237770.42000002</v>
      </c>
      <c r="K128" s="69">
        <f t="shared" si="12"/>
        <v>976279182.08999991</v>
      </c>
      <c r="L128" s="63"/>
      <c r="M128" s="165"/>
      <c r="N128" s="70">
        <v>6</v>
      </c>
      <c r="O128" s="165"/>
      <c r="P128" s="68" t="s">
        <v>360</v>
      </c>
      <c r="Q128" s="68">
        <v>373031537.37</v>
      </c>
      <c r="R128" s="71">
        <v>0</v>
      </c>
      <c r="S128" s="68">
        <v>11190946.120999999</v>
      </c>
      <c r="T128" s="68">
        <v>0</v>
      </c>
      <c r="U128" s="68">
        <f t="shared" si="25"/>
        <v>11190946.120999999</v>
      </c>
      <c r="V128" s="68">
        <v>1993217639.1800001</v>
      </c>
      <c r="W128" s="69">
        <f t="shared" si="13"/>
        <v>2377440122.671</v>
      </c>
    </row>
    <row r="129" spans="1:23" ht="24.95" customHeight="1">
      <c r="A129" s="170"/>
      <c r="B129" s="166"/>
      <c r="C129" s="64">
        <v>8</v>
      </c>
      <c r="D129" s="68" t="s">
        <v>361</v>
      </c>
      <c r="E129" s="68">
        <v>511400933.22000003</v>
      </c>
      <c r="F129" s="68">
        <v>0</v>
      </c>
      <c r="G129" s="68">
        <v>15342027.9965</v>
      </c>
      <c r="H129" s="68">
        <v>15342027.9965</v>
      </c>
      <c r="I129" s="68">
        <f t="shared" si="23"/>
        <v>0</v>
      </c>
      <c r="J129" s="68">
        <v>433925560.93000001</v>
      </c>
      <c r="K129" s="69">
        <f t="shared" si="12"/>
        <v>945326494.1500001</v>
      </c>
      <c r="L129" s="63"/>
      <c r="M129" s="165"/>
      <c r="N129" s="70">
        <v>7</v>
      </c>
      <c r="O129" s="165"/>
      <c r="P129" s="68" t="s">
        <v>362</v>
      </c>
      <c r="Q129" s="68">
        <v>342499942.23000002</v>
      </c>
      <c r="R129" s="71">
        <v>0</v>
      </c>
      <c r="S129" s="68">
        <v>10274998.267000001</v>
      </c>
      <c r="T129" s="68">
        <v>0</v>
      </c>
      <c r="U129" s="68">
        <f t="shared" si="25"/>
        <v>10274998.267000001</v>
      </c>
      <c r="V129" s="68">
        <v>1972659032.3199999</v>
      </c>
      <c r="W129" s="69">
        <f t="shared" si="13"/>
        <v>2325433972.8169999</v>
      </c>
    </row>
    <row r="130" spans="1:23" ht="24.95" customHeight="1">
      <c r="A130" s="64"/>
      <c r="B130" s="179" t="s">
        <v>363</v>
      </c>
      <c r="C130" s="177"/>
      <c r="D130" s="72"/>
      <c r="E130" s="72">
        <f t="shared" ref="E130:J130" si="26">SUM(E122:E129)</f>
        <v>3462273095.6599998</v>
      </c>
      <c r="F130" s="68">
        <v>0</v>
      </c>
      <c r="G130" s="72">
        <f t="shared" si="26"/>
        <v>103868192.8697</v>
      </c>
      <c r="H130" s="72">
        <f t="shared" si="26"/>
        <v>103868192.8697</v>
      </c>
      <c r="I130" s="72">
        <f t="shared" si="26"/>
        <v>0</v>
      </c>
      <c r="J130" s="72">
        <f t="shared" si="26"/>
        <v>3084442896.46</v>
      </c>
      <c r="K130" s="72">
        <f>SUM(K122:K129)</f>
        <v>6546715992.1199989</v>
      </c>
      <c r="L130" s="63"/>
      <c r="M130" s="165"/>
      <c r="N130" s="70">
        <v>8</v>
      </c>
      <c r="O130" s="165"/>
      <c r="P130" s="68" t="s">
        <v>364</v>
      </c>
      <c r="Q130" s="68">
        <v>413189743.55000001</v>
      </c>
      <c r="R130" s="71">
        <v>0</v>
      </c>
      <c r="S130" s="68">
        <v>12395692.306399999</v>
      </c>
      <c r="T130" s="68">
        <v>0</v>
      </c>
      <c r="U130" s="68">
        <f t="shared" si="25"/>
        <v>12395692.306399999</v>
      </c>
      <c r="V130" s="68">
        <v>2009301053.02</v>
      </c>
      <c r="W130" s="69">
        <f t="shared" si="13"/>
        <v>2434886488.8764</v>
      </c>
    </row>
    <row r="131" spans="1:23" ht="24.95" customHeight="1">
      <c r="A131" s="170">
        <v>7</v>
      </c>
      <c r="B131" s="164" t="s">
        <v>365</v>
      </c>
      <c r="C131" s="64">
        <v>1</v>
      </c>
      <c r="D131" s="68" t="s">
        <v>366</v>
      </c>
      <c r="E131" s="68">
        <v>407493714.88999999</v>
      </c>
      <c r="F131" s="68">
        <v>0</v>
      </c>
      <c r="G131" s="68">
        <v>12224811.446699999</v>
      </c>
      <c r="H131" s="68">
        <f t="shared" ref="H131:H153" si="27">G131/2</f>
        <v>6112405.7233499996</v>
      </c>
      <c r="I131" s="68">
        <f t="shared" ref="I131:I153" si="28">G131-H131</f>
        <v>6112405.7233499996</v>
      </c>
      <c r="J131" s="68">
        <v>221901435.78999999</v>
      </c>
      <c r="K131" s="69">
        <f t="shared" si="12"/>
        <v>635507556.40335</v>
      </c>
      <c r="L131" s="63"/>
      <c r="M131" s="165"/>
      <c r="N131" s="70">
        <v>9</v>
      </c>
      <c r="O131" s="165"/>
      <c r="P131" s="68" t="s">
        <v>367</v>
      </c>
      <c r="Q131" s="68">
        <v>275901903.29000002</v>
      </c>
      <c r="R131" s="71">
        <v>0</v>
      </c>
      <c r="S131" s="68">
        <v>8277057.0987999998</v>
      </c>
      <c r="T131" s="68">
        <v>0</v>
      </c>
      <c r="U131" s="68">
        <f t="shared" si="25"/>
        <v>8277057.0987999998</v>
      </c>
      <c r="V131" s="68">
        <v>1950638547.45</v>
      </c>
      <c r="W131" s="69">
        <f t="shared" si="13"/>
        <v>2234817507.8388</v>
      </c>
    </row>
    <row r="132" spans="1:23" ht="24.95" customHeight="1">
      <c r="A132" s="170"/>
      <c r="B132" s="165"/>
      <c r="C132" s="64">
        <v>2</v>
      </c>
      <c r="D132" s="68" t="s">
        <v>368</v>
      </c>
      <c r="E132" s="68">
        <v>359551546.39999998</v>
      </c>
      <c r="F132" s="68">
        <v>0</v>
      </c>
      <c r="G132" s="68">
        <v>10786546.392000001</v>
      </c>
      <c r="H132" s="68">
        <f t="shared" si="27"/>
        <v>5393273.1960000005</v>
      </c>
      <c r="I132" s="68">
        <f t="shared" si="28"/>
        <v>5393273.1960000005</v>
      </c>
      <c r="J132" s="68">
        <v>200076947.28</v>
      </c>
      <c r="K132" s="69">
        <f t="shared" si="12"/>
        <v>565021766.87599993</v>
      </c>
      <c r="L132" s="63"/>
      <c r="M132" s="165"/>
      <c r="N132" s="70">
        <v>10</v>
      </c>
      <c r="O132" s="165"/>
      <c r="P132" s="68" t="s">
        <v>369</v>
      </c>
      <c r="Q132" s="68">
        <v>470440523.63</v>
      </c>
      <c r="R132" s="71">
        <v>0</v>
      </c>
      <c r="S132" s="68">
        <v>14113215.708799999</v>
      </c>
      <c r="T132" s="68">
        <v>0</v>
      </c>
      <c r="U132" s="68">
        <f t="shared" si="25"/>
        <v>14113215.708799999</v>
      </c>
      <c r="V132" s="68">
        <v>2057557150.3199999</v>
      </c>
      <c r="W132" s="69">
        <f t="shared" si="13"/>
        <v>2542110889.6588001</v>
      </c>
    </row>
    <row r="133" spans="1:23" ht="24.95" customHeight="1">
      <c r="A133" s="170"/>
      <c r="B133" s="165"/>
      <c r="C133" s="64">
        <v>3</v>
      </c>
      <c r="D133" s="68" t="s">
        <v>370</v>
      </c>
      <c r="E133" s="68">
        <v>348152794.13999999</v>
      </c>
      <c r="F133" s="68">
        <v>0</v>
      </c>
      <c r="G133" s="68">
        <v>10444583.824100001</v>
      </c>
      <c r="H133" s="68">
        <f t="shared" si="27"/>
        <v>5222291.9120500004</v>
      </c>
      <c r="I133" s="68">
        <f t="shared" si="28"/>
        <v>5222291.9120500004</v>
      </c>
      <c r="J133" s="68">
        <v>193615611.78999999</v>
      </c>
      <c r="K133" s="69">
        <f t="shared" si="12"/>
        <v>546990697.84204996</v>
      </c>
      <c r="L133" s="63"/>
      <c r="M133" s="165"/>
      <c r="N133" s="70">
        <v>11</v>
      </c>
      <c r="O133" s="165"/>
      <c r="P133" s="68" t="s">
        <v>371</v>
      </c>
      <c r="Q133" s="68">
        <v>406672560.01999998</v>
      </c>
      <c r="R133" s="71">
        <v>0</v>
      </c>
      <c r="S133" s="68">
        <v>12200176.8007</v>
      </c>
      <c r="T133" s="68">
        <v>0</v>
      </c>
      <c r="U133" s="68">
        <f t="shared" si="25"/>
        <v>12200176.8007</v>
      </c>
      <c r="V133" s="68">
        <v>2018054064.8699999</v>
      </c>
      <c r="W133" s="69">
        <f t="shared" si="13"/>
        <v>2436926801.6907001</v>
      </c>
    </row>
    <row r="134" spans="1:23" ht="24.95" customHeight="1">
      <c r="A134" s="170"/>
      <c r="B134" s="165"/>
      <c r="C134" s="64">
        <v>4</v>
      </c>
      <c r="D134" s="68" t="s">
        <v>372</v>
      </c>
      <c r="E134" s="68">
        <v>412730586.68000001</v>
      </c>
      <c r="F134" s="68">
        <v>0</v>
      </c>
      <c r="G134" s="68">
        <v>12381917.600299999</v>
      </c>
      <c r="H134" s="68">
        <f t="shared" si="27"/>
        <v>6190958.8001499996</v>
      </c>
      <c r="I134" s="68">
        <f t="shared" si="28"/>
        <v>6190958.8001499996</v>
      </c>
      <c r="J134" s="68">
        <v>230457417.88999999</v>
      </c>
      <c r="K134" s="69">
        <f t="shared" si="12"/>
        <v>649378963.37014997</v>
      </c>
      <c r="L134" s="63"/>
      <c r="M134" s="165"/>
      <c r="N134" s="70">
        <v>12</v>
      </c>
      <c r="O134" s="165"/>
      <c r="P134" s="68" t="s">
        <v>373</v>
      </c>
      <c r="Q134" s="68">
        <v>559154599.38999999</v>
      </c>
      <c r="R134" s="71">
        <v>0</v>
      </c>
      <c r="S134" s="68">
        <v>16774637.9816</v>
      </c>
      <c r="T134" s="68">
        <v>0</v>
      </c>
      <c r="U134" s="68">
        <f t="shared" si="25"/>
        <v>16774637.9816</v>
      </c>
      <c r="V134" s="68">
        <v>2094669355.6300001</v>
      </c>
      <c r="W134" s="69">
        <f t="shared" si="13"/>
        <v>2670598593.0016003</v>
      </c>
    </row>
    <row r="135" spans="1:23" ht="24.95" customHeight="1">
      <c r="A135" s="170"/>
      <c r="B135" s="165"/>
      <c r="C135" s="64">
        <v>5</v>
      </c>
      <c r="D135" s="68" t="s">
        <v>374</v>
      </c>
      <c r="E135" s="68">
        <v>535660041.29000002</v>
      </c>
      <c r="F135" s="68">
        <v>0</v>
      </c>
      <c r="G135" s="68">
        <v>16069801.2388</v>
      </c>
      <c r="H135" s="68">
        <f t="shared" si="27"/>
        <v>8034900.6194000002</v>
      </c>
      <c r="I135" s="68">
        <f t="shared" si="28"/>
        <v>8034900.6194000002</v>
      </c>
      <c r="J135" s="68">
        <v>283922402.88</v>
      </c>
      <c r="K135" s="69">
        <f t="shared" si="12"/>
        <v>827617344.78939998</v>
      </c>
      <c r="L135" s="63"/>
      <c r="M135" s="165"/>
      <c r="N135" s="70">
        <v>13</v>
      </c>
      <c r="O135" s="165"/>
      <c r="P135" s="68" t="s">
        <v>375</v>
      </c>
      <c r="Q135" s="68">
        <v>604969147</v>
      </c>
      <c r="R135" s="71">
        <v>0</v>
      </c>
      <c r="S135" s="68">
        <v>18149074.410100002</v>
      </c>
      <c r="T135" s="68">
        <v>0</v>
      </c>
      <c r="U135" s="68">
        <f t="shared" si="25"/>
        <v>18149074.410100002</v>
      </c>
      <c r="V135" s="68">
        <v>2139370995.04</v>
      </c>
      <c r="W135" s="69">
        <f t="shared" si="13"/>
        <v>2762489216.4500999</v>
      </c>
    </row>
    <row r="136" spans="1:23" ht="24.95" customHeight="1">
      <c r="A136" s="170"/>
      <c r="B136" s="165"/>
      <c r="C136" s="64">
        <v>6</v>
      </c>
      <c r="D136" s="68" t="s">
        <v>376</v>
      </c>
      <c r="E136" s="68">
        <v>437640967.49000001</v>
      </c>
      <c r="F136" s="68">
        <v>0</v>
      </c>
      <c r="G136" s="68">
        <v>13129229.024599999</v>
      </c>
      <c r="H136" s="68">
        <f t="shared" si="27"/>
        <v>6564614.5122999996</v>
      </c>
      <c r="I136" s="68">
        <f t="shared" si="28"/>
        <v>6564614.5122999996</v>
      </c>
      <c r="J136" s="68">
        <v>226281902.97999999</v>
      </c>
      <c r="K136" s="69">
        <f t="shared" ref="K136:K199" si="29">E136+F136+I136+J136</f>
        <v>670487484.98230004</v>
      </c>
      <c r="L136" s="63"/>
      <c r="M136" s="165"/>
      <c r="N136" s="70">
        <v>14</v>
      </c>
      <c r="O136" s="165"/>
      <c r="P136" s="68" t="s">
        <v>377</v>
      </c>
      <c r="Q136" s="68">
        <v>325664245.81</v>
      </c>
      <c r="R136" s="71">
        <v>0</v>
      </c>
      <c r="S136" s="68">
        <v>9769927.3743999992</v>
      </c>
      <c r="T136" s="68">
        <v>0</v>
      </c>
      <c r="U136" s="68">
        <f t="shared" si="25"/>
        <v>9769927.3743999992</v>
      </c>
      <c r="V136" s="68">
        <v>1982313489.6800001</v>
      </c>
      <c r="W136" s="69">
        <f t="shared" ref="W136:W199" si="30">Q136+U136+V136</f>
        <v>2317747662.8643999</v>
      </c>
    </row>
    <row r="137" spans="1:23" ht="24.95" customHeight="1">
      <c r="A137" s="170"/>
      <c r="B137" s="165"/>
      <c r="C137" s="64">
        <v>7</v>
      </c>
      <c r="D137" s="68" t="s">
        <v>378</v>
      </c>
      <c r="E137" s="68">
        <v>415143310.77999997</v>
      </c>
      <c r="F137" s="68">
        <v>0</v>
      </c>
      <c r="G137" s="68">
        <v>12454299.3233</v>
      </c>
      <c r="H137" s="68">
        <f t="shared" si="27"/>
        <v>6227149.6616500001</v>
      </c>
      <c r="I137" s="68">
        <f t="shared" si="28"/>
        <v>6227149.6616500001</v>
      </c>
      <c r="J137" s="68">
        <v>216653624.38999999</v>
      </c>
      <c r="K137" s="69">
        <f t="shared" si="29"/>
        <v>638024084.83165002</v>
      </c>
      <c r="L137" s="63"/>
      <c r="M137" s="165"/>
      <c r="N137" s="70">
        <v>15</v>
      </c>
      <c r="O137" s="165"/>
      <c r="P137" s="68" t="s">
        <v>379</v>
      </c>
      <c r="Q137" s="68">
        <v>392966214.95999998</v>
      </c>
      <c r="R137" s="71">
        <v>0</v>
      </c>
      <c r="S137" s="68">
        <v>11788986.448899999</v>
      </c>
      <c r="T137" s="68">
        <v>0</v>
      </c>
      <c r="U137" s="68">
        <f t="shared" si="25"/>
        <v>11788986.448899999</v>
      </c>
      <c r="V137" s="68">
        <v>2019612391.01</v>
      </c>
      <c r="W137" s="69">
        <f t="shared" si="30"/>
        <v>2424367592.4189</v>
      </c>
    </row>
    <row r="138" spans="1:23" ht="24.95" customHeight="1">
      <c r="A138" s="170"/>
      <c r="B138" s="165"/>
      <c r="C138" s="64">
        <v>8</v>
      </c>
      <c r="D138" s="68" t="s">
        <v>380</v>
      </c>
      <c r="E138" s="68">
        <v>356754442.77999997</v>
      </c>
      <c r="F138" s="68">
        <v>0</v>
      </c>
      <c r="G138" s="68">
        <v>10702633.283299999</v>
      </c>
      <c r="H138" s="68">
        <f t="shared" si="27"/>
        <v>5351316.6416499997</v>
      </c>
      <c r="I138" s="68">
        <f t="shared" si="28"/>
        <v>5351316.6416499997</v>
      </c>
      <c r="J138" s="68">
        <v>202357945.44999999</v>
      </c>
      <c r="K138" s="69">
        <f t="shared" si="29"/>
        <v>564463704.87164998</v>
      </c>
      <c r="L138" s="63"/>
      <c r="M138" s="165"/>
      <c r="N138" s="70">
        <v>16</v>
      </c>
      <c r="O138" s="165"/>
      <c r="P138" s="68" t="s">
        <v>381</v>
      </c>
      <c r="Q138" s="68">
        <v>588299947.29999995</v>
      </c>
      <c r="R138" s="71">
        <v>0</v>
      </c>
      <c r="S138" s="68">
        <v>17648998.419</v>
      </c>
      <c r="T138" s="68">
        <v>0</v>
      </c>
      <c r="U138" s="68">
        <f t="shared" si="25"/>
        <v>17648998.419</v>
      </c>
      <c r="V138" s="68">
        <v>2128216080.4200001</v>
      </c>
      <c r="W138" s="69">
        <f t="shared" si="30"/>
        <v>2734165026.1389999</v>
      </c>
    </row>
    <row r="139" spans="1:23" ht="24.95" customHeight="1">
      <c r="A139" s="170"/>
      <c r="B139" s="165"/>
      <c r="C139" s="64">
        <v>9</v>
      </c>
      <c r="D139" s="68" t="s">
        <v>382</v>
      </c>
      <c r="E139" s="68">
        <v>450672874.81</v>
      </c>
      <c r="F139" s="68">
        <v>0</v>
      </c>
      <c r="G139" s="68">
        <v>13520186.244200001</v>
      </c>
      <c r="H139" s="68">
        <f t="shared" si="27"/>
        <v>6760093.1221000003</v>
      </c>
      <c r="I139" s="68">
        <f t="shared" si="28"/>
        <v>6760093.1221000003</v>
      </c>
      <c r="J139" s="68">
        <v>237689993.93000001</v>
      </c>
      <c r="K139" s="69">
        <f t="shared" si="29"/>
        <v>695122961.86210001</v>
      </c>
      <c r="L139" s="63"/>
      <c r="M139" s="165"/>
      <c r="N139" s="70">
        <v>17</v>
      </c>
      <c r="O139" s="165"/>
      <c r="P139" s="68" t="s">
        <v>383</v>
      </c>
      <c r="Q139" s="68">
        <v>570838618.90999997</v>
      </c>
      <c r="R139" s="71">
        <v>0</v>
      </c>
      <c r="S139" s="68">
        <v>17125158.567200001</v>
      </c>
      <c r="T139" s="68">
        <v>0</v>
      </c>
      <c r="U139" s="68">
        <f t="shared" si="25"/>
        <v>17125158.567200001</v>
      </c>
      <c r="V139" s="68">
        <v>2116181421.0999999</v>
      </c>
      <c r="W139" s="69">
        <f t="shared" si="30"/>
        <v>2704145198.5771999</v>
      </c>
    </row>
    <row r="140" spans="1:23" ht="24.95" customHeight="1">
      <c r="A140" s="170"/>
      <c r="B140" s="165"/>
      <c r="C140" s="64">
        <v>10</v>
      </c>
      <c r="D140" s="68" t="s">
        <v>384</v>
      </c>
      <c r="E140" s="68">
        <v>426387629.89999998</v>
      </c>
      <c r="F140" s="68">
        <v>0</v>
      </c>
      <c r="G140" s="68">
        <v>12791628.8969</v>
      </c>
      <c r="H140" s="68">
        <f t="shared" si="27"/>
        <v>6395814.44845</v>
      </c>
      <c r="I140" s="68">
        <f t="shared" si="28"/>
        <v>6395814.44845</v>
      </c>
      <c r="J140" s="68">
        <v>238018606.47</v>
      </c>
      <c r="K140" s="69">
        <f t="shared" si="29"/>
        <v>670802050.81844997</v>
      </c>
      <c r="L140" s="63"/>
      <c r="M140" s="165"/>
      <c r="N140" s="70">
        <v>18</v>
      </c>
      <c r="O140" s="165"/>
      <c r="P140" s="68" t="s">
        <v>385</v>
      </c>
      <c r="Q140" s="68">
        <v>582873968.11000001</v>
      </c>
      <c r="R140" s="71">
        <v>0</v>
      </c>
      <c r="S140" s="68">
        <v>17486219.043299999</v>
      </c>
      <c r="T140" s="68">
        <v>0</v>
      </c>
      <c r="U140" s="68">
        <f t="shared" si="25"/>
        <v>17486219.043299999</v>
      </c>
      <c r="V140" s="68">
        <v>2124254818.1199999</v>
      </c>
      <c r="W140" s="69">
        <f t="shared" si="30"/>
        <v>2724615005.2733002</v>
      </c>
    </row>
    <row r="141" spans="1:23" ht="24.95" customHeight="1">
      <c r="A141" s="170"/>
      <c r="B141" s="165"/>
      <c r="C141" s="64">
        <v>11</v>
      </c>
      <c r="D141" s="68" t="s">
        <v>386</v>
      </c>
      <c r="E141" s="68">
        <v>488185379.27999997</v>
      </c>
      <c r="F141" s="68">
        <v>0</v>
      </c>
      <c r="G141" s="68">
        <v>14645561.3784</v>
      </c>
      <c r="H141" s="68">
        <f t="shared" si="27"/>
        <v>7322780.6891999999</v>
      </c>
      <c r="I141" s="68">
        <f t="shared" si="28"/>
        <v>7322780.6891999999</v>
      </c>
      <c r="J141" s="68">
        <v>245949742.50999999</v>
      </c>
      <c r="K141" s="69">
        <f t="shared" si="29"/>
        <v>741457902.47919989</v>
      </c>
      <c r="L141" s="63"/>
      <c r="M141" s="165"/>
      <c r="N141" s="70">
        <v>19</v>
      </c>
      <c r="O141" s="165"/>
      <c r="P141" s="68" t="s">
        <v>387</v>
      </c>
      <c r="Q141" s="68">
        <v>450798512.91000003</v>
      </c>
      <c r="R141" s="71">
        <v>0</v>
      </c>
      <c r="S141" s="68">
        <v>13523955.3873</v>
      </c>
      <c r="T141" s="68">
        <v>0</v>
      </c>
      <c r="U141" s="68">
        <f t="shared" si="25"/>
        <v>13523955.3873</v>
      </c>
      <c r="V141" s="68">
        <v>2048875096.75</v>
      </c>
      <c r="W141" s="69">
        <f t="shared" si="30"/>
        <v>2513197565.0472999</v>
      </c>
    </row>
    <row r="142" spans="1:23" ht="24.95" customHeight="1">
      <c r="A142" s="170"/>
      <c r="B142" s="165"/>
      <c r="C142" s="64">
        <v>12</v>
      </c>
      <c r="D142" s="68" t="s">
        <v>388</v>
      </c>
      <c r="E142" s="68">
        <v>374897616.68000001</v>
      </c>
      <c r="F142" s="68">
        <v>0</v>
      </c>
      <c r="G142" s="68">
        <v>11246928.500399999</v>
      </c>
      <c r="H142" s="68">
        <f t="shared" si="27"/>
        <v>5623464.2501999997</v>
      </c>
      <c r="I142" s="68">
        <f t="shared" si="28"/>
        <v>5623464.2501999997</v>
      </c>
      <c r="J142" s="68">
        <v>218519206.69999999</v>
      </c>
      <c r="K142" s="69">
        <f t="shared" si="29"/>
        <v>599040287.63019991</v>
      </c>
      <c r="L142" s="63"/>
      <c r="M142" s="166"/>
      <c r="N142" s="70">
        <v>20</v>
      </c>
      <c r="O142" s="166"/>
      <c r="P142" s="68" t="s">
        <v>389</v>
      </c>
      <c r="Q142" s="68">
        <v>515656137.76999998</v>
      </c>
      <c r="R142" s="71">
        <v>0</v>
      </c>
      <c r="S142" s="68">
        <v>15469684.132999999</v>
      </c>
      <c r="T142" s="68">
        <v>0</v>
      </c>
      <c r="U142" s="68">
        <f t="shared" si="25"/>
        <v>15469684.132999999</v>
      </c>
      <c r="V142" s="68">
        <v>2083769339.6199999</v>
      </c>
      <c r="W142" s="69">
        <f t="shared" si="30"/>
        <v>2614895161.5229998</v>
      </c>
    </row>
    <row r="143" spans="1:23" ht="24.95" customHeight="1">
      <c r="A143" s="170"/>
      <c r="B143" s="165"/>
      <c r="C143" s="64">
        <v>13</v>
      </c>
      <c r="D143" s="68" t="s">
        <v>390</v>
      </c>
      <c r="E143" s="68">
        <v>450340154.66000003</v>
      </c>
      <c r="F143" s="68">
        <v>0</v>
      </c>
      <c r="G143" s="68">
        <v>13510204.639799999</v>
      </c>
      <c r="H143" s="68">
        <f t="shared" si="27"/>
        <v>6755102.3198999995</v>
      </c>
      <c r="I143" s="68">
        <f t="shared" si="28"/>
        <v>6755102.3198999995</v>
      </c>
      <c r="J143" s="68">
        <v>262725171.63999999</v>
      </c>
      <c r="K143" s="69">
        <f t="shared" si="29"/>
        <v>719820428.61989999</v>
      </c>
      <c r="L143" s="63"/>
      <c r="M143" s="64"/>
      <c r="N143" s="177" t="s">
        <v>391</v>
      </c>
      <c r="O143" s="181"/>
      <c r="P143" s="72"/>
      <c r="Q143" s="72">
        <f t="shared" ref="Q143:W143" si="31">SUM(Q123:Q142)</f>
        <v>9738443545.210001</v>
      </c>
      <c r="R143" s="71">
        <v>0</v>
      </c>
      <c r="S143" s="72">
        <f t="shared" si="31"/>
        <v>292153306.35650003</v>
      </c>
      <c r="T143" s="72">
        <f t="shared" si="31"/>
        <v>0</v>
      </c>
      <c r="U143" s="72">
        <f t="shared" si="31"/>
        <v>292153306.35650003</v>
      </c>
      <c r="V143" s="72">
        <f t="shared" si="31"/>
        <v>41308206711.950005</v>
      </c>
      <c r="W143" s="72">
        <f t="shared" si="31"/>
        <v>51338803563.516502</v>
      </c>
    </row>
    <row r="144" spans="1:23" ht="24.95" customHeight="1">
      <c r="A144" s="170"/>
      <c r="B144" s="165"/>
      <c r="C144" s="64">
        <v>14</v>
      </c>
      <c r="D144" s="68" t="s">
        <v>392</v>
      </c>
      <c r="E144" s="68">
        <v>332668074.24000001</v>
      </c>
      <c r="F144" s="68">
        <v>0</v>
      </c>
      <c r="G144" s="68">
        <v>9980042.2271999996</v>
      </c>
      <c r="H144" s="68">
        <f t="shared" si="27"/>
        <v>4990021.1135999998</v>
      </c>
      <c r="I144" s="68">
        <f t="shared" si="28"/>
        <v>4990021.1135999998</v>
      </c>
      <c r="J144" s="68">
        <v>194335528.16</v>
      </c>
      <c r="K144" s="69">
        <f t="shared" si="29"/>
        <v>531993623.51359999</v>
      </c>
      <c r="L144" s="63"/>
      <c r="M144" s="164">
        <v>25</v>
      </c>
      <c r="N144" s="70">
        <v>1</v>
      </c>
      <c r="O144" s="164" t="s">
        <v>99</v>
      </c>
      <c r="P144" s="68" t="s">
        <v>393</v>
      </c>
      <c r="Q144" s="68">
        <v>337394476.80000001</v>
      </c>
      <c r="R144" s="71">
        <v>0</v>
      </c>
      <c r="S144" s="68">
        <v>10121834.3039</v>
      </c>
      <c r="T144" s="68">
        <f t="shared" ref="T144:T182" si="32">S144/2</f>
        <v>5060917.1519499999</v>
      </c>
      <c r="U144" s="68">
        <f t="shared" ref="U144:U175" si="33">S144-T144</f>
        <v>5060917.1519499999</v>
      </c>
      <c r="V144" s="68">
        <v>208992074.37</v>
      </c>
      <c r="W144" s="69">
        <f t="shared" si="30"/>
        <v>551447468.32194996</v>
      </c>
    </row>
    <row r="145" spans="1:23" ht="24.95" customHeight="1">
      <c r="A145" s="170"/>
      <c r="B145" s="165"/>
      <c r="C145" s="64">
        <v>15</v>
      </c>
      <c r="D145" s="68" t="s">
        <v>394</v>
      </c>
      <c r="E145" s="68">
        <v>349474851.18000001</v>
      </c>
      <c r="F145" s="68">
        <v>0</v>
      </c>
      <c r="G145" s="68">
        <v>10484245.535399999</v>
      </c>
      <c r="H145" s="68">
        <f t="shared" si="27"/>
        <v>5242122.7676999997</v>
      </c>
      <c r="I145" s="68">
        <f t="shared" si="28"/>
        <v>5242122.7676999997</v>
      </c>
      <c r="J145" s="68">
        <v>204618276.16</v>
      </c>
      <c r="K145" s="69">
        <f t="shared" si="29"/>
        <v>559335250.10769999</v>
      </c>
      <c r="L145" s="63"/>
      <c r="M145" s="165"/>
      <c r="N145" s="70">
        <v>2</v>
      </c>
      <c r="O145" s="165"/>
      <c r="P145" s="68" t="s">
        <v>395</v>
      </c>
      <c r="Q145" s="68">
        <v>380304495.36000001</v>
      </c>
      <c r="R145" s="71">
        <v>0</v>
      </c>
      <c r="S145" s="68">
        <v>11409134.8608</v>
      </c>
      <c r="T145" s="68">
        <f t="shared" si="32"/>
        <v>5704567.4304</v>
      </c>
      <c r="U145" s="68">
        <f t="shared" si="33"/>
        <v>5704567.4304</v>
      </c>
      <c r="V145" s="68">
        <v>208697218.66999999</v>
      </c>
      <c r="W145" s="69">
        <f t="shared" si="30"/>
        <v>594706281.46039999</v>
      </c>
    </row>
    <row r="146" spans="1:23" ht="24.95" customHeight="1">
      <c r="A146" s="170"/>
      <c r="B146" s="165"/>
      <c r="C146" s="64">
        <v>16</v>
      </c>
      <c r="D146" s="68" t="s">
        <v>396</v>
      </c>
      <c r="E146" s="68">
        <v>318763683.79000002</v>
      </c>
      <c r="F146" s="68">
        <v>0</v>
      </c>
      <c r="G146" s="68">
        <v>9562910.5138000008</v>
      </c>
      <c r="H146" s="68">
        <f t="shared" si="27"/>
        <v>4781455.2569000004</v>
      </c>
      <c r="I146" s="68">
        <f t="shared" si="28"/>
        <v>4781455.2569000004</v>
      </c>
      <c r="J146" s="68">
        <v>184906690.52000001</v>
      </c>
      <c r="K146" s="69">
        <f t="shared" si="29"/>
        <v>508451829.56690001</v>
      </c>
      <c r="L146" s="63"/>
      <c r="M146" s="165"/>
      <c r="N146" s="70">
        <v>3</v>
      </c>
      <c r="O146" s="165"/>
      <c r="P146" s="68" t="s">
        <v>397</v>
      </c>
      <c r="Q146" s="68">
        <v>389398043.74000001</v>
      </c>
      <c r="R146" s="71">
        <v>0</v>
      </c>
      <c r="S146" s="68">
        <v>11681941.312100001</v>
      </c>
      <c r="T146" s="68">
        <f t="shared" si="32"/>
        <v>5840970.6560500003</v>
      </c>
      <c r="U146" s="68">
        <f t="shared" si="33"/>
        <v>5840970.6560500003</v>
      </c>
      <c r="V146" s="68">
        <v>218008940.72999999</v>
      </c>
      <c r="W146" s="69">
        <f t="shared" si="30"/>
        <v>613247955.12605</v>
      </c>
    </row>
    <row r="147" spans="1:23" ht="24.95" customHeight="1">
      <c r="A147" s="170"/>
      <c r="B147" s="165"/>
      <c r="C147" s="64">
        <v>17</v>
      </c>
      <c r="D147" s="68" t="s">
        <v>398</v>
      </c>
      <c r="E147" s="68">
        <v>403333438.37</v>
      </c>
      <c r="F147" s="68">
        <v>0</v>
      </c>
      <c r="G147" s="68">
        <v>12100003.1512</v>
      </c>
      <c r="H147" s="68">
        <f t="shared" si="27"/>
        <v>6050001.5756000001</v>
      </c>
      <c r="I147" s="68">
        <f t="shared" si="28"/>
        <v>6050001.5756000001</v>
      </c>
      <c r="J147" s="68">
        <v>218923255.46000001</v>
      </c>
      <c r="K147" s="69">
        <f t="shared" si="29"/>
        <v>628306695.40560007</v>
      </c>
      <c r="L147" s="63"/>
      <c r="M147" s="165"/>
      <c r="N147" s="70">
        <v>4</v>
      </c>
      <c r="O147" s="165"/>
      <c r="P147" s="68" t="s">
        <v>399</v>
      </c>
      <c r="Q147" s="68">
        <v>459436626.45999998</v>
      </c>
      <c r="R147" s="71">
        <v>0</v>
      </c>
      <c r="S147" s="68">
        <v>13783098.7939</v>
      </c>
      <c r="T147" s="68">
        <f t="shared" si="32"/>
        <v>6891549.39695</v>
      </c>
      <c r="U147" s="68">
        <f t="shared" si="33"/>
        <v>6891549.39695</v>
      </c>
      <c r="V147" s="68">
        <v>240698362.25</v>
      </c>
      <c r="W147" s="69">
        <f t="shared" si="30"/>
        <v>707026538.10695004</v>
      </c>
    </row>
    <row r="148" spans="1:23" ht="24.95" customHeight="1">
      <c r="A148" s="170"/>
      <c r="B148" s="165"/>
      <c r="C148" s="64">
        <v>18</v>
      </c>
      <c r="D148" s="68" t="s">
        <v>400</v>
      </c>
      <c r="E148" s="68">
        <v>377964416.70999998</v>
      </c>
      <c r="F148" s="68">
        <v>0</v>
      </c>
      <c r="G148" s="68">
        <v>11338932.5012</v>
      </c>
      <c r="H148" s="68">
        <f t="shared" si="27"/>
        <v>5669466.2505999999</v>
      </c>
      <c r="I148" s="68">
        <f t="shared" si="28"/>
        <v>5669466.2505999999</v>
      </c>
      <c r="J148" s="68">
        <v>221131573.06999999</v>
      </c>
      <c r="K148" s="69">
        <f t="shared" si="29"/>
        <v>604765456.03059995</v>
      </c>
      <c r="L148" s="63"/>
      <c r="M148" s="165"/>
      <c r="N148" s="70">
        <v>5</v>
      </c>
      <c r="O148" s="165"/>
      <c r="P148" s="68" t="s">
        <v>401</v>
      </c>
      <c r="Q148" s="68">
        <v>328057522.83999997</v>
      </c>
      <c r="R148" s="71">
        <v>0</v>
      </c>
      <c r="S148" s="68">
        <v>9841725.6852000002</v>
      </c>
      <c r="T148" s="68">
        <f t="shared" si="32"/>
        <v>4920862.8426000001</v>
      </c>
      <c r="U148" s="68">
        <f t="shared" si="33"/>
        <v>4920862.8426000001</v>
      </c>
      <c r="V148" s="68">
        <v>197219547.28</v>
      </c>
      <c r="W148" s="69">
        <f t="shared" si="30"/>
        <v>530197932.96259999</v>
      </c>
    </row>
    <row r="149" spans="1:23" ht="24.95" customHeight="1">
      <c r="A149" s="170"/>
      <c r="B149" s="165"/>
      <c r="C149" s="64">
        <v>19</v>
      </c>
      <c r="D149" s="68" t="s">
        <v>402</v>
      </c>
      <c r="E149" s="68">
        <v>442665904.81999999</v>
      </c>
      <c r="F149" s="68">
        <v>0</v>
      </c>
      <c r="G149" s="68">
        <v>13279977.1445</v>
      </c>
      <c r="H149" s="68">
        <f t="shared" si="27"/>
        <v>6639988.5722500002</v>
      </c>
      <c r="I149" s="68">
        <f t="shared" si="28"/>
        <v>6639988.5722500002</v>
      </c>
      <c r="J149" s="68">
        <v>250417013</v>
      </c>
      <c r="K149" s="69">
        <f t="shared" si="29"/>
        <v>699722906.39225006</v>
      </c>
      <c r="L149" s="63"/>
      <c r="M149" s="165"/>
      <c r="N149" s="70">
        <v>6</v>
      </c>
      <c r="O149" s="165"/>
      <c r="P149" s="68" t="s">
        <v>403</v>
      </c>
      <c r="Q149" s="68">
        <v>308483744.56999999</v>
      </c>
      <c r="R149" s="71">
        <v>0</v>
      </c>
      <c r="S149" s="68">
        <v>9254512.3372000009</v>
      </c>
      <c r="T149" s="68">
        <f t="shared" si="32"/>
        <v>4627256.1686000004</v>
      </c>
      <c r="U149" s="68">
        <f t="shared" si="33"/>
        <v>4627256.1686000004</v>
      </c>
      <c r="V149" s="68">
        <v>201839068.03999999</v>
      </c>
      <c r="W149" s="69">
        <f t="shared" si="30"/>
        <v>514950068.77859998</v>
      </c>
    </row>
    <row r="150" spans="1:23" ht="24.95" customHeight="1">
      <c r="A150" s="170"/>
      <c r="B150" s="165"/>
      <c r="C150" s="64">
        <v>20</v>
      </c>
      <c r="D150" s="68" t="s">
        <v>404</v>
      </c>
      <c r="E150" s="68">
        <v>306801889.52999997</v>
      </c>
      <c r="F150" s="68">
        <v>0</v>
      </c>
      <c r="G150" s="68">
        <v>9204056.6857999992</v>
      </c>
      <c r="H150" s="68">
        <f t="shared" si="27"/>
        <v>4602028.3428999996</v>
      </c>
      <c r="I150" s="68">
        <f t="shared" si="28"/>
        <v>4602028.3428999996</v>
      </c>
      <c r="J150" s="68">
        <v>187666484.74000001</v>
      </c>
      <c r="K150" s="69">
        <f t="shared" si="29"/>
        <v>499070402.61289996</v>
      </c>
      <c r="L150" s="63"/>
      <c r="M150" s="165"/>
      <c r="N150" s="70">
        <v>7</v>
      </c>
      <c r="O150" s="165"/>
      <c r="P150" s="68" t="s">
        <v>405</v>
      </c>
      <c r="Q150" s="68">
        <v>352470385.37</v>
      </c>
      <c r="R150" s="71">
        <v>0</v>
      </c>
      <c r="S150" s="68">
        <v>10574111.5612</v>
      </c>
      <c r="T150" s="68">
        <f t="shared" si="32"/>
        <v>5287055.7806000002</v>
      </c>
      <c r="U150" s="68">
        <f t="shared" si="33"/>
        <v>5287055.7806000002</v>
      </c>
      <c r="V150" s="68">
        <v>207724125.97999999</v>
      </c>
      <c r="W150" s="69">
        <f t="shared" si="30"/>
        <v>565481567.13059998</v>
      </c>
    </row>
    <row r="151" spans="1:23" ht="24.95" customHeight="1">
      <c r="A151" s="170"/>
      <c r="B151" s="165"/>
      <c r="C151" s="64">
        <v>21</v>
      </c>
      <c r="D151" s="68" t="s">
        <v>406</v>
      </c>
      <c r="E151" s="68">
        <v>419497383.47000003</v>
      </c>
      <c r="F151" s="68">
        <v>0</v>
      </c>
      <c r="G151" s="68">
        <v>12584921.5042</v>
      </c>
      <c r="H151" s="68">
        <f t="shared" si="27"/>
        <v>6292460.7521000002</v>
      </c>
      <c r="I151" s="68">
        <f t="shared" si="28"/>
        <v>6292460.7521000002</v>
      </c>
      <c r="J151" s="68">
        <v>235007358.21000001</v>
      </c>
      <c r="K151" s="69">
        <f t="shared" si="29"/>
        <v>660797202.43210006</v>
      </c>
      <c r="L151" s="63"/>
      <c r="M151" s="165"/>
      <c r="N151" s="70">
        <v>8</v>
      </c>
      <c r="O151" s="165"/>
      <c r="P151" s="68" t="s">
        <v>407</v>
      </c>
      <c r="Q151" s="68">
        <v>551531157.25</v>
      </c>
      <c r="R151" s="71">
        <v>0</v>
      </c>
      <c r="S151" s="68">
        <v>16545934.717599999</v>
      </c>
      <c r="T151" s="68">
        <f t="shared" si="32"/>
        <v>8272967.3587999996</v>
      </c>
      <c r="U151" s="68">
        <f t="shared" si="33"/>
        <v>8272967.3587999996</v>
      </c>
      <c r="V151" s="68">
        <v>283836508.66000003</v>
      </c>
      <c r="W151" s="69">
        <f t="shared" si="30"/>
        <v>843640633.26880002</v>
      </c>
    </row>
    <row r="152" spans="1:23" ht="24.95" customHeight="1">
      <c r="A152" s="170"/>
      <c r="B152" s="165"/>
      <c r="C152" s="64">
        <v>22</v>
      </c>
      <c r="D152" s="68" t="s">
        <v>408</v>
      </c>
      <c r="E152" s="68">
        <v>408472208.41000003</v>
      </c>
      <c r="F152" s="68">
        <v>0</v>
      </c>
      <c r="G152" s="68">
        <v>12254166.2522</v>
      </c>
      <c r="H152" s="68">
        <f t="shared" si="27"/>
        <v>6127083.1261</v>
      </c>
      <c r="I152" s="68">
        <f t="shared" si="28"/>
        <v>6127083.1261</v>
      </c>
      <c r="J152" s="68">
        <v>225159660.13999999</v>
      </c>
      <c r="K152" s="69">
        <f t="shared" si="29"/>
        <v>639758951.67610002</v>
      </c>
      <c r="L152" s="63"/>
      <c r="M152" s="165"/>
      <c r="N152" s="70">
        <v>9</v>
      </c>
      <c r="O152" s="165"/>
      <c r="P152" s="68" t="s">
        <v>409</v>
      </c>
      <c r="Q152" s="68">
        <v>511128493.43000001</v>
      </c>
      <c r="R152" s="71">
        <v>0</v>
      </c>
      <c r="S152" s="68">
        <v>15333854.8029</v>
      </c>
      <c r="T152" s="68">
        <f t="shared" si="32"/>
        <v>7666927.4014499998</v>
      </c>
      <c r="U152" s="68">
        <f t="shared" si="33"/>
        <v>7666927.4014499998</v>
      </c>
      <c r="V152" s="68">
        <v>235310356.61000001</v>
      </c>
      <c r="W152" s="69">
        <f t="shared" si="30"/>
        <v>754105777.44145</v>
      </c>
    </row>
    <row r="153" spans="1:23" ht="24.95" customHeight="1">
      <c r="A153" s="170"/>
      <c r="B153" s="166"/>
      <c r="C153" s="64">
        <v>23</v>
      </c>
      <c r="D153" s="68" t="s">
        <v>410</v>
      </c>
      <c r="E153" s="68">
        <v>432644345.26999998</v>
      </c>
      <c r="F153" s="68">
        <v>0</v>
      </c>
      <c r="G153" s="68">
        <v>12979330.3584</v>
      </c>
      <c r="H153" s="68">
        <f t="shared" si="27"/>
        <v>6489665.1792000001</v>
      </c>
      <c r="I153" s="68">
        <f t="shared" si="28"/>
        <v>6489665.1792000001</v>
      </c>
      <c r="J153" s="68">
        <v>239550753.84</v>
      </c>
      <c r="K153" s="69">
        <f t="shared" si="29"/>
        <v>678684764.28919995</v>
      </c>
      <c r="L153" s="63"/>
      <c r="M153" s="165"/>
      <c r="N153" s="70">
        <v>10</v>
      </c>
      <c r="O153" s="165"/>
      <c r="P153" s="79" t="s">
        <v>411</v>
      </c>
      <c r="Q153" s="68">
        <v>391005515.51999998</v>
      </c>
      <c r="R153" s="71">
        <v>0</v>
      </c>
      <c r="S153" s="68">
        <v>11730165.465500001</v>
      </c>
      <c r="T153" s="68">
        <f t="shared" si="32"/>
        <v>5865082.7327500004</v>
      </c>
      <c r="U153" s="68">
        <f t="shared" si="33"/>
        <v>5865082.7327500004</v>
      </c>
      <c r="V153" s="68">
        <v>221288865.91</v>
      </c>
      <c r="W153" s="69">
        <f t="shared" si="30"/>
        <v>618159464.16275001</v>
      </c>
    </row>
    <row r="154" spans="1:23" ht="24.95" customHeight="1">
      <c r="A154" s="64"/>
      <c r="B154" s="179" t="s">
        <v>412</v>
      </c>
      <c r="C154" s="177"/>
      <c r="D154" s="72"/>
      <c r="E154" s="72">
        <f t="shared" ref="E154:K154" si="34">SUM(E131:E153)</f>
        <v>9255897255.5699997</v>
      </c>
      <c r="F154" s="68">
        <v>0</v>
      </c>
      <c r="G154" s="72">
        <f t="shared" si="34"/>
        <v>277676917.66670001</v>
      </c>
      <c r="H154" s="72">
        <f t="shared" si="34"/>
        <v>138838458.83335</v>
      </c>
      <c r="I154" s="72">
        <f t="shared" si="34"/>
        <v>138838458.83335</v>
      </c>
      <c r="J154" s="72">
        <f t="shared" si="34"/>
        <v>5139886603</v>
      </c>
      <c r="K154" s="72">
        <f t="shared" si="34"/>
        <v>14534622317.403347</v>
      </c>
      <c r="L154" s="63"/>
      <c r="M154" s="165"/>
      <c r="N154" s="70">
        <v>11</v>
      </c>
      <c r="O154" s="165"/>
      <c r="P154" s="68" t="s">
        <v>392</v>
      </c>
      <c r="Q154" s="68">
        <v>374267838.87</v>
      </c>
      <c r="R154" s="71">
        <v>0</v>
      </c>
      <c r="S154" s="68">
        <v>11228035.166200001</v>
      </c>
      <c r="T154" s="68">
        <f t="shared" si="32"/>
        <v>5614017.5831000004</v>
      </c>
      <c r="U154" s="68">
        <f t="shared" si="33"/>
        <v>5614017.5831000004</v>
      </c>
      <c r="V154" s="68">
        <v>221201029.22999999</v>
      </c>
      <c r="W154" s="69">
        <f t="shared" si="30"/>
        <v>601082885.68309999</v>
      </c>
    </row>
    <row r="155" spans="1:23" ht="24.95" customHeight="1">
      <c r="A155" s="170">
        <v>8</v>
      </c>
      <c r="B155" s="164" t="s">
        <v>413</v>
      </c>
      <c r="C155" s="64">
        <v>1</v>
      </c>
      <c r="D155" s="68" t="s">
        <v>414</v>
      </c>
      <c r="E155" s="68">
        <v>363334606.19999999</v>
      </c>
      <c r="F155" s="68">
        <v>0</v>
      </c>
      <c r="G155" s="68">
        <v>10900038.186100001</v>
      </c>
      <c r="H155" s="68">
        <v>0</v>
      </c>
      <c r="I155" s="68">
        <f t="shared" ref="I155:I181" si="35">G155-H155</f>
        <v>10900038.186100001</v>
      </c>
      <c r="J155" s="68">
        <v>203175218.11000001</v>
      </c>
      <c r="K155" s="69">
        <f t="shared" si="29"/>
        <v>577409862.49609995</v>
      </c>
      <c r="L155" s="63"/>
      <c r="M155" s="165"/>
      <c r="N155" s="70">
        <v>12</v>
      </c>
      <c r="O155" s="165"/>
      <c r="P155" s="68" t="s">
        <v>415</v>
      </c>
      <c r="Q155" s="68">
        <v>397632715.39999998</v>
      </c>
      <c r="R155" s="71">
        <v>0</v>
      </c>
      <c r="S155" s="68">
        <v>11928981.461999999</v>
      </c>
      <c r="T155" s="68">
        <f t="shared" si="32"/>
        <v>5964490.7309999997</v>
      </c>
      <c r="U155" s="68">
        <f t="shared" si="33"/>
        <v>5964490.7309999997</v>
      </c>
      <c r="V155" s="68">
        <v>210937226.38999999</v>
      </c>
      <c r="W155" s="69">
        <f t="shared" si="30"/>
        <v>614534432.52099991</v>
      </c>
    </row>
    <row r="156" spans="1:23" ht="24.95" customHeight="1">
      <c r="A156" s="170"/>
      <c r="B156" s="165"/>
      <c r="C156" s="64">
        <v>2</v>
      </c>
      <c r="D156" s="68" t="s">
        <v>416</v>
      </c>
      <c r="E156" s="68">
        <v>351331290.91000003</v>
      </c>
      <c r="F156" s="68">
        <v>0</v>
      </c>
      <c r="G156" s="68">
        <v>10539938.727299999</v>
      </c>
      <c r="H156" s="68">
        <v>0</v>
      </c>
      <c r="I156" s="68">
        <f t="shared" si="35"/>
        <v>10539938.727299999</v>
      </c>
      <c r="J156" s="68">
        <v>216233949.84</v>
      </c>
      <c r="K156" s="69">
        <f t="shared" si="29"/>
        <v>578105179.47730005</v>
      </c>
      <c r="L156" s="63"/>
      <c r="M156" s="166"/>
      <c r="N156" s="70">
        <v>13</v>
      </c>
      <c r="O156" s="166"/>
      <c r="P156" s="68" t="s">
        <v>417</v>
      </c>
      <c r="Q156" s="68">
        <v>319205713.17000002</v>
      </c>
      <c r="R156" s="71">
        <v>0</v>
      </c>
      <c r="S156" s="68">
        <v>9576171.3947999999</v>
      </c>
      <c r="T156" s="68">
        <f t="shared" si="32"/>
        <v>4788085.6973999999</v>
      </c>
      <c r="U156" s="68">
        <f t="shared" si="33"/>
        <v>4788085.6973999999</v>
      </c>
      <c r="V156" s="68">
        <v>195029141.46000001</v>
      </c>
      <c r="W156" s="69">
        <f t="shared" si="30"/>
        <v>519022940.32739997</v>
      </c>
    </row>
    <row r="157" spans="1:23" ht="24.95" customHeight="1">
      <c r="A157" s="170"/>
      <c r="B157" s="165"/>
      <c r="C157" s="64">
        <v>3</v>
      </c>
      <c r="D157" s="68" t="s">
        <v>418</v>
      </c>
      <c r="E157" s="68">
        <v>492902581.04000002</v>
      </c>
      <c r="F157" s="68">
        <v>0</v>
      </c>
      <c r="G157" s="68">
        <v>14787077.4312</v>
      </c>
      <c r="H157" s="68">
        <v>0</v>
      </c>
      <c r="I157" s="68">
        <f t="shared" si="35"/>
        <v>14787077.4312</v>
      </c>
      <c r="J157" s="68">
        <v>261666183.81</v>
      </c>
      <c r="K157" s="69">
        <f t="shared" si="29"/>
        <v>769355842.28120005</v>
      </c>
      <c r="L157" s="63"/>
      <c r="M157" s="64"/>
      <c r="N157" s="177" t="s">
        <v>419</v>
      </c>
      <c r="O157" s="178"/>
      <c r="P157" s="72"/>
      <c r="Q157" s="72">
        <f t="shared" ref="Q157:T157" si="36">SUM(Q144:Q156)</f>
        <v>5100316728.7799997</v>
      </c>
      <c r="R157" s="71">
        <v>0</v>
      </c>
      <c r="S157" s="72">
        <f t="shared" si="36"/>
        <v>153009501.8633</v>
      </c>
      <c r="T157" s="72">
        <f t="shared" si="36"/>
        <v>76504750.931649998</v>
      </c>
      <c r="U157" s="72">
        <f t="shared" si="33"/>
        <v>76504750.931649998</v>
      </c>
      <c r="V157" s="72">
        <f>SUM(V144:V156)</f>
        <v>2850782465.5799999</v>
      </c>
      <c r="W157" s="72">
        <f>SUM(W144:W156)</f>
        <v>8027603945.2916498</v>
      </c>
    </row>
    <row r="158" spans="1:23" ht="24.95" customHeight="1">
      <c r="A158" s="170"/>
      <c r="B158" s="165"/>
      <c r="C158" s="64">
        <v>4</v>
      </c>
      <c r="D158" s="68" t="s">
        <v>420</v>
      </c>
      <c r="E158" s="68">
        <v>283926790.55000001</v>
      </c>
      <c r="F158" s="68">
        <v>0</v>
      </c>
      <c r="G158" s="68">
        <v>8517803.7166000009</v>
      </c>
      <c r="H158" s="68">
        <v>0</v>
      </c>
      <c r="I158" s="68">
        <f t="shared" si="35"/>
        <v>8517803.7166000009</v>
      </c>
      <c r="J158" s="68">
        <v>195872028.27000001</v>
      </c>
      <c r="K158" s="69">
        <f t="shared" si="29"/>
        <v>488316622.53659999</v>
      </c>
      <c r="L158" s="63"/>
      <c r="M158" s="164">
        <v>26</v>
      </c>
      <c r="N158" s="70">
        <v>1</v>
      </c>
      <c r="O158" s="164" t="s">
        <v>100</v>
      </c>
      <c r="P158" s="68" t="s">
        <v>421</v>
      </c>
      <c r="Q158" s="68">
        <v>350990404.24000001</v>
      </c>
      <c r="R158" s="71">
        <v>0</v>
      </c>
      <c r="S158" s="68">
        <v>10529712.1272</v>
      </c>
      <c r="T158" s="68">
        <f t="shared" si="32"/>
        <v>5264856.0636</v>
      </c>
      <c r="U158" s="68">
        <f t="shared" si="33"/>
        <v>5264856.0636</v>
      </c>
      <c r="V158" s="68">
        <v>205798724.47999999</v>
      </c>
      <c r="W158" s="69">
        <f t="shared" si="30"/>
        <v>562053984.78359997</v>
      </c>
    </row>
    <row r="159" spans="1:23" ht="24.95" customHeight="1">
      <c r="A159" s="170"/>
      <c r="B159" s="165"/>
      <c r="C159" s="64">
        <v>5</v>
      </c>
      <c r="D159" s="68" t="s">
        <v>422</v>
      </c>
      <c r="E159" s="68">
        <v>392977745.31</v>
      </c>
      <c r="F159" s="68">
        <v>0</v>
      </c>
      <c r="G159" s="68">
        <v>11789332.359200001</v>
      </c>
      <c r="H159" s="68">
        <v>0</v>
      </c>
      <c r="I159" s="68">
        <f t="shared" si="35"/>
        <v>11789332.359200001</v>
      </c>
      <c r="J159" s="68">
        <v>229316793.61000001</v>
      </c>
      <c r="K159" s="69">
        <f t="shared" si="29"/>
        <v>634083871.27920008</v>
      </c>
      <c r="L159" s="63"/>
      <c r="M159" s="165"/>
      <c r="N159" s="70">
        <v>2</v>
      </c>
      <c r="O159" s="165"/>
      <c r="P159" s="68" t="s">
        <v>423</v>
      </c>
      <c r="Q159" s="68">
        <v>301349193.77999997</v>
      </c>
      <c r="R159" s="71">
        <v>0</v>
      </c>
      <c r="S159" s="68">
        <v>9040475.8134000003</v>
      </c>
      <c r="T159" s="68">
        <f t="shared" si="32"/>
        <v>4520237.9067000002</v>
      </c>
      <c r="U159" s="68">
        <f t="shared" si="33"/>
        <v>4520237.9067000002</v>
      </c>
      <c r="V159" s="68">
        <v>179794243.11000001</v>
      </c>
      <c r="W159" s="69">
        <f t="shared" si="30"/>
        <v>485663674.7967</v>
      </c>
    </row>
    <row r="160" spans="1:23" ht="24.95" customHeight="1">
      <c r="A160" s="170"/>
      <c r="B160" s="165"/>
      <c r="C160" s="64">
        <v>6</v>
      </c>
      <c r="D160" s="68" t="s">
        <v>424</v>
      </c>
      <c r="E160" s="68">
        <v>283099370.00999999</v>
      </c>
      <c r="F160" s="68">
        <v>0</v>
      </c>
      <c r="G160" s="68">
        <v>8492981.1004000008</v>
      </c>
      <c r="H160" s="68">
        <v>0</v>
      </c>
      <c r="I160" s="68">
        <f t="shared" si="35"/>
        <v>8492981.1004000008</v>
      </c>
      <c r="J160" s="68">
        <v>191437825.69999999</v>
      </c>
      <c r="K160" s="69">
        <f t="shared" si="29"/>
        <v>483030176.81039995</v>
      </c>
      <c r="L160" s="63"/>
      <c r="M160" s="165"/>
      <c r="N160" s="70">
        <v>3</v>
      </c>
      <c r="O160" s="165"/>
      <c r="P160" s="68" t="s">
        <v>425</v>
      </c>
      <c r="Q160" s="68">
        <v>345107388.32999998</v>
      </c>
      <c r="R160" s="71">
        <v>0</v>
      </c>
      <c r="S160" s="68">
        <v>10353221.65</v>
      </c>
      <c r="T160" s="68">
        <f t="shared" si="32"/>
        <v>5176610.8250000002</v>
      </c>
      <c r="U160" s="68">
        <f t="shared" si="33"/>
        <v>5176610.8250000002</v>
      </c>
      <c r="V160" s="68">
        <v>224838273.37</v>
      </c>
      <c r="W160" s="69">
        <f t="shared" si="30"/>
        <v>575122272.52499998</v>
      </c>
    </row>
    <row r="161" spans="1:23" ht="24.95" customHeight="1">
      <c r="A161" s="170"/>
      <c r="B161" s="165"/>
      <c r="C161" s="64">
        <v>7</v>
      </c>
      <c r="D161" s="68" t="s">
        <v>426</v>
      </c>
      <c r="E161" s="68">
        <v>474566392.07999998</v>
      </c>
      <c r="F161" s="68">
        <v>0</v>
      </c>
      <c r="G161" s="68">
        <v>14236991.762499999</v>
      </c>
      <c r="H161" s="68">
        <v>0</v>
      </c>
      <c r="I161" s="68">
        <f t="shared" si="35"/>
        <v>14236991.762499999</v>
      </c>
      <c r="J161" s="68">
        <v>248434534.36000001</v>
      </c>
      <c r="K161" s="69">
        <f t="shared" si="29"/>
        <v>737237918.20249999</v>
      </c>
      <c r="L161" s="63"/>
      <c r="M161" s="165"/>
      <c r="N161" s="70">
        <v>4</v>
      </c>
      <c r="O161" s="165"/>
      <c r="P161" s="68" t="s">
        <v>427</v>
      </c>
      <c r="Q161" s="68">
        <v>561784132.98000002</v>
      </c>
      <c r="R161" s="71">
        <v>0</v>
      </c>
      <c r="S161" s="68">
        <v>16853523.989300001</v>
      </c>
      <c r="T161" s="68">
        <f t="shared" si="32"/>
        <v>8426761.9946500007</v>
      </c>
      <c r="U161" s="68">
        <f t="shared" si="33"/>
        <v>8426761.9946500007</v>
      </c>
      <c r="V161" s="68">
        <v>219252549.06999999</v>
      </c>
      <c r="W161" s="69">
        <f t="shared" si="30"/>
        <v>789463444.04465008</v>
      </c>
    </row>
    <row r="162" spans="1:23" ht="24.95" customHeight="1">
      <c r="A162" s="170"/>
      <c r="B162" s="165"/>
      <c r="C162" s="64">
        <v>8</v>
      </c>
      <c r="D162" s="68" t="s">
        <v>428</v>
      </c>
      <c r="E162" s="68">
        <v>314051681.69999999</v>
      </c>
      <c r="F162" s="68">
        <v>0</v>
      </c>
      <c r="G162" s="68">
        <v>9421550.4509999994</v>
      </c>
      <c r="H162" s="68">
        <v>0</v>
      </c>
      <c r="I162" s="68">
        <f t="shared" si="35"/>
        <v>9421550.4509999994</v>
      </c>
      <c r="J162" s="68">
        <v>205148615.65000001</v>
      </c>
      <c r="K162" s="69">
        <f t="shared" si="29"/>
        <v>528621847.801</v>
      </c>
      <c r="L162" s="63"/>
      <c r="M162" s="165"/>
      <c r="N162" s="70">
        <v>5</v>
      </c>
      <c r="O162" s="165"/>
      <c r="P162" s="68" t="s">
        <v>429</v>
      </c>
      <c r="Q162" s="68">
        <v>337214129.29000002</v>
      </c>
      <c r="R162" s="71">
        <v>0</v>
      </c>
      <c r="S162" s="68">
        <v>10116423.878699999</v>
      </c>
      <c r="T162" s="68">
        <f t="shared" si="32"/>
        <v>5058211.9393499997</v>
      </c>
      <c r="U162" s="68">
        <f t="shared" si="33"/>
        <v>5058211.9393499997</v>
      </c>
      <c r="V162" s="68">
        <v>210776825.59</v>
      </c>
      <c r="W162" s="69">
        <f t="shared" si="30"/>
        <v>553049166.81935</v>
      </c>
    </row>
    <row r="163" spans="1:23" ht="24.95" customHeight="1">
      <c r="A163" s="170"/>
      <c r="B163" s="165"/>
      <c r="C163" s="64">
        <v>9</v>
      </c>
      <c r="D163" s="68" t="s">
        <v>430</v>
      </c>
      <c r="E163" s="68">
        <v>372983993.58999997</v>
      </c>
      <c r="F163" s="68">
        <v>0</v>
      </c>
      <c r="G163" s="68">
        <v>11189519.807600001</v>
      </c>
      <c r="H163" s="68">
        <v>0</v>
      </c>
      <c r="I163" s="68">
        <f t="shared" si="35"/>
        <v>11189519.807600001</v>
      </c>
      <c r="J163" s="68">
        <v>221292998.47999999</v>
      </c>
      <c r="K163" s="69">
        <f t="shared" si="29"/>
        <v>605466511.87759995</v>
      </c>
      <c r="L163" s="63"/>
      <c r="M163" s="165"/>
      <c r="N163" s="70">
        <v>6</v>
      </c>
      <c r="O163" s="165"/>
      <c r="P163" s="68" t="s">
        <v>431</v>
      </c>
      <c r="Q163" s="68">
        <v>355157947.82999998</v>
      </c>
      <c r="R163" s="71">
        <v>0</v>
      </c>
      <c r="S163" s="68">
        <v>10654738.435000001</v>
      </c>
      <c r="T163" s="68">
        <f t="shared" si="32"/>
        <v>5327369.2175000003</v>
      </c>
      <c r="U163" s="68">
        <f t="shared" si="33"/>
        <v>5327369.2175000003</v>
      </c>
      <c r="V163" s="68">
        <v>215241684.88</v>
      </c>
      <c r="W163" s="69">
        <f t="shared" si="30"/>
        <v>575727001.92750001</v>
      </c>
    </row>
    <row r="164" spans="1:23" ht="24.95" customHeight="1">
      <c r="A164" s="170"/>
      <c r="B164" s="165"/>
      <c r="C164" s="64">
        <v>10</v>
      </c>
      <c r="D164" s="68" t="s">
        <v>432</v>
      </c>
      <c r="E164" s="68">
        <v>317917403.08999997</v>
      </c>
      <c r="F164" s="68">
        <v>0</v>
      </c>
      <c r="G164" s="68">
        <v>9537522.0927000009</v>
      </c>
      <c r="H164" s="68">
        <v>0</v>
      </c>
      <c r="I164" s="68">
        <f t="shared" si="35"/>
        <v>9537522.0927000009</v>
      </c>
      <c r="J164" s="68">
        <v>201614136.31</v>
      </c>
      <c r="K164" s="69">
        <f t="shared" si="29"/>
        <v>529069061.49269998</v>
      </c>
      <c r="L164" s="63"/>
      <c r="M164" s="165"/>
      <c r="N164" s="70">
        <v>7</v>
      </c>
      <c r="O164" s="165"/>
      <c r="P164" s="68" t="s">
        <v>433</v>
      </c>
      <c r="Q164" s="68">
        <v>336401232.62</v>
      </c>
      <c r="R164" s="71">
        <v>0</v>
      </c>
      <c r="S164" s="68">
        <v>10092036.978599999</v>
      </c>
      <c r="T164" s="68">
        <f t="shared" si="32"/>
        <v>5046018.4892999995</v>
      </c>
      <c r="U164" s="68">
        <f t="shared" si="33"/>
        <v>5046018.4892999995</v>
      </c>
      <c r="V164" s="68">
        <v>203924530.72999999</v>
      </c>
      <c r="W164" s="69">
        <f t="shared" si="30"/>
        <v>545371781.83930004</v>
      </c>
    </row>
    <row r="165" spans="1:23" ht="24.95" customHeight="1">
      <c r="A165" s="170"/>
      <c r="B165" s="165"/>
      <c r="C165" s="64">
        <v>11</v>
      </c>
      <c r="D165" s="68" t="s">
        <v>434</v>
      </c>
      <c r="E165" s="68">
        <v>458054621.69</v>
      </c>
      <c r="F165" s="68">
        <v>0</v>
      </c>
      <c r="G165" s="68">
        <v>13741638.650699999</v>
      </c>
      <c r="H165" s="68">
        <v>0</v>
      </c>
      <c r="I165" s="68">
        <f t="shared" si="35"/>
        <v>13741638.650699999</v>
      </c>
      <c r="J165" s="68">
        <v>263845222.53</v>
      </c>
      <c r="K165" s="69">
        <f t="shared" si="29"/>
        <v>735641482.8707</v>
      </c>
      <c r="L165" s="63"/>
      <c r="M165" s="165"/>
      <c r="N165" s="70">
        <v>8</v>
      </c>
      <c r="O165" s="165"/>
      <c r="P165" s="68" t="s">
        <v>435</v>
      </c>
      <c r="Q165" s="68">
        <v>300595814.92000002</v>
      </c>
      <c r="R165" s="71">
        <v>0</v>
      </c>
      <c r="S165" s="68">
        <v>9017874.4475999996</v>
      </c>
      <c r="T165" s="68">
        <f t="shared" si="32"/>
        <v>4508937.2237999998</v>
      </c>
      <c r="U165" s="68">
        <f t="shared" si="33"/>
        <v>4508937.2237999998</v>
      </c>
      <c r="V165" s="68">
        <v>191354584.31999999</v>
      </c>
      <c r="W165" s="69">
        <f t="shared" si="30"/>
        <v>496459336.46380001</v>
      </c>
    </row>
    <row r="166" spans="1:23" ht="24.95" customHeight="1">
      <c r="A166" s="170"/>
      <c r="B166" s="165"/>
      <c r="C166" s="64">
        <v>12</v>
      </c>
      <c r="D166" s="68" t="s">
        <v>436</v>
      </c>
      <c r="E166" s="68">
        <v>324401598.08999997</v>
      </c>
      <c r="F166" s="68">
        <v>0</v>
      </c>
      <c r="G166" s="68">
        <v>9732047.9428000003</v>
      </c>
      <c r="H166" s="68">
        <v>0</v>
      </c>
      <c r="I166" s="68">
        <f t="shared" si="35"/>
        <v>9732047.9428000003</v>
      </c>
      <c r="J166" s="68">
        <v>210110527.25</v>
      </c>
      <c r="K166" s="69">
        <f t="shared" si="29"/>
        <v>544244173.28279996</v>
      </c>
      <c r="L166" s="63"/>
      <c r="M166" s="165"/>
      <c r="N166" s="70">
        <v>9</v>
      </c>
      <c r="O166" s="165"/>
      <c r="P166" s="68" t="s">
        <v>437</v>
      </c>
      <c r="Q166" s="68">
        <v>324360188.63999999</v>
      </c>
      <c r="R166" s="71">
        <v>0</v>
      </c>
      <c r="S166" s="68">
        <v>9730805.6592999995</v>
      </c>
      <c r="T166" s="68">
        <f t="shared" si="32"/>
        <v>4865402.8296499997</v>
      </c>
      <c r="U166" s="68">
        <f t="shared" si="33"/>
        <v>4865402.8296499997</v>
      </c>
      <c r="V166" s="68">
        <v>202102350.06999999</v>
      </c>
      <c r="W166" s="69">
        <f t="shared" si="30"/>
        <v>531327941.53964996</v>
      </c>
    </row>
    <row r="167" spans="1:23" ht="24.95" customHeight="1">
      <c r="A167" s="170"/>
      <c r="B167" s="165"/>
      <c r="C167" s="64">
        <v>13</v>
      </c>
      <c r="D167" s="68" t="s">
        <v>438</v>
      </c>
      <c r="E167" s="68">
        <v>374283884.99000001</v>
      </c>
      <c r="F167" s="68">
        <v>0</v>
      </c>
      <c r="G167" s="68">
        <v>11228516.549699999</v>
      </c>
      <c r="H167" s="68">
        <v>0</v>
      </c>
      <c r="I167" s="68">
        <f t="shared" si="35"/>
        <v>11228516.549699999</v>
      </c>
      <c r="J167" s="68">
        <v>241418277.69</v>
      </c>
      <c r="K167" s="69">
        <f t="shared" si="29"/>
        <v>626930679.22970009</v>
      </c>
      <c r="L167" s="63"/>
      <c r="M167" s="165"/>
      <c r="N167" s="70">
        <v>10</v>
      </c>
      <c r="O167" s="165"/>
      <c r="P167" s="68" t="s">
        <v>439</v>
      </c>
      <c r="Q167" s="68">
        <v>357211682.81999999</v>
      </c>
      <c r="R167" s="71">
        <v>0</v>
      </c>
      <c r="S167" s="68">
        <v>10716350.4847</v>
      </c>
      <c r="T167" s="68">
        <f t="shared" si="32"/>
        <v>5358175.24235</v>
      </c>
      <c r="U167" s="68">
        <f t="shared" si="33"/>
        <v>5358175.24235</v>
      </c>
      <c r="V167" s="68">
        <v>212356163.63999999</v>
      </c>
      <c r="W167" s="69">
        <f t="shared" si="30"/>
        <v>574926021.7023499</v>
      </c>
    </row>
    <row r="168" spans="1:23" ht="24.95" customHeight="1">
      <c r="A168" s="170"/>
      <c r="B168" s="165"/>
      <c r="C168" s="64">
        <v>14</v>
      </c>
      <c r="D168" s="68" t="s">
        <v>440</v>
      </c>
      <c r="E168" s="68">
        <v>330847453</v>
      </c>
      <c r="F168" s="68">
        <v>0</v>
      </c>
      <c r="G168" s="68">
        <v>9925423.5899999999</v>
      </c>
      <c r="H168" s="68">
        <v>0</v>
      </c>
      <c r="I168" s="68">
        <f t="shared" si="35"/>
        <v>9925423.5899999999</v>
      </c>
      <c r="J168" s="68">
        <v>199673806.69999999</v>
      </c>
      <c r="K168" s="69">
        <f t="shared" si="29"/>
        <v>540446683.28999996</v>
      </c>
      <c r="L168" s="63"/>
      <c r="M168" s="165"/>
      <c r="N168" s="70">
        <v>11</v>
      </c>
      <c r="O168" s="165"/>
      <c r="P168" s="68" t="s">
        <v>441</v>
      </c>
      <c r="Q168" s="68">
        <v>348922480.73000002</v>
      </c>
      <c r="R168" s="71">
        <v>0</v>
      </c>
      <c r="S168" s="68">
        <v>10467674.4219</v>
      </c>
      <c r="T168" s="68">
        <f t="shared" si="32"/>
        <v>5233837.2109500002</v>
      </c>
      <c r="U168" s="68">
        <f t="shared" si="33"/>
        <v>5233837.2109500002</v>
      </c>
      <c r="V168" s="68">
        <v>197951980.56</v>
      </c>
      <c r="W168" s="69">
        <f t="shared" si="30"/>
        <v>552108298.5009501</v>
      </c>
    </row>
    <row r="169" spans="1:23" ht="24.95" customHeight="1">
      <c r="A169" s="170"/>
      <c r="B169" s="165"/>
      <c r="C169" s="64">
        <v>15</v>
      </c>
      <c r="D169" s="68" t="s">
        <v>442</v>
      </c>
      <c r="E169" s="68">
        <v>304472145.24000001</v>
      </c>
      <c r="F169" s="68">
        <v>0</v>
      </c>
      <c r="G169" s="68">
        <v>9134164.3571000006</v>
      </c>
      <c r="H169" s="68">
        <v>0</v>
      </c>
      <c r="I169" s="68">
        <f t="shared" si="35"/>
        <v>9134164.3571000006</v>
      </c>
      <c r="J169" s="68">
        <v>189609444.81</v>
      </c>
      <c r="K169" s="69">
        <f t="shared" si="29"/>
        <v>503215754.40710002</v>
      </c>
      <c r="L169" s="63"/>
      <c r="M169" s="165"/>
      <c r="N169" s="70">
        <v>12</v>
      </c>
      <c r="O169" s="165"/>
      <c r="P169" s="68" t="s">
        <v>443</v>
      </c>
      <c r="Q169" s="68">
        <v>406013465.51999998</v>
      </c>
      <c r="R169" s="71">
        <v>0</v>
      </c>
      <c r="S169" s="68">
        <v>12180403.965500001</v>
      </c>
      <c r="T169" s="68">
        <f t="shared" si="32"/>
        <v>6090201.9827500004</v>
      </c>
      <c r="U169" s="68">
        <f t="shared" si="33"/>
        <v>6090201.9827500004</v>
      </c>
      <c r="V169" s="68">
        <v>232325403.56</v>
      </c>
      <c r="W169" s="69">
        <f t="shared" si="30"/>
        <v>644429071.06274998</v>
      </c>
    </row>
    <row r="170" spans="1:23" ht="24.95" customHeight="1">
      <c r="A170" s="170"/>
      <c r="B170" s="165"/>
      <c r="C170" s="64">
        <v>16</v>
      </c>
      <c r="D170" s="68" t="s">
        <v>444</v>
      </c>
      <c r="E170" s="68">
        <v>446136913.94999999</v>
      </c>
      <c r="F170" s="68">
        <v>0</v>
      </c>
      <c r="G170" s="68">
        <v>13384107.4186</v>
      </c>
      <c r="H170" s="68">
        <v>0</v>
      </c>
      <c r="I170" s="68">
        <f t="shared" si="35"/>
        <v>13384107.4186</v>
      </c>
      <c r="J170" s="68">
        <v>222597114.91999999</v>
      </c>
      <c r="K170" s="69">
        <f t="shared" si="29"/>
        <v>682118136.28859997</v>
      </c>
      <c r="L170" s="63"/>
      <c r="M170" s="165"/>
      <c r="N170" s="70">
        <v>13</v>
      </c>
      <c r="O170" s="165"/>
      <c r="P170" s="68" t="s">
        <v>445</v>
      </c>
      <c r="Q170" s="68">
        <v>415908445.50999999</v>
      </c>
      <c r="R170" s="71">
        <v>0</v>
      </c>
      <c r="S170" s="68">
        <v>12477253.3653</v>
      </c>
      <c r="T170" s="68">
        <f t="shared" si="32"/>
        <v>6238626.6826499999</v>
      </c>
      <c r="U170" s="68">
        <f t="shared" si="33"/>
        <v>6238626.6826499999</v>
      </c>
      <c r="V170" s="68">
        <v>222589654.21000001</v>
      </c>
      <c r="W170" s="69">
        <f t="shared" si="30"/>
        <v>644736726.40265</v>
      </c>
    </row>
    <row r="171" spans="1:23" ht="24.95" customHeight="1">
      <c r="A171" s="170"/>
      <c r="B171" s="165"/>
      <c r="C171" s="64">
        <v>17</v>
      </c>
      <c r="D171" s="68" t="s">
        <v>446</v>
      </c>
      <c r="E171" s="68">
        <v>459789441.56999999</v>
      </c>
      <c r="F171" s="68">
        <v>0</v>
      </c>
      <c r="G171" s="68">
        <v>13793683.247099999</v>
      </c>
      <c r="H171" s="68">
        <v>0</v>
      </c>
      <c r="I171" s="68">
        <f t="shared" si="35"/>
        <v>13793683.247099999</v>
      </c>
      <c r="J171" s="68">
        <v>238889958.97999999</v>
      </c>
      <c r="K171" s="69">
        <f t="shared" si="29"/>
        <v>712473083.79709995</v>
      </c>
      <c r="L171" s="63"/>
      <c r="M171" s="165"/>
      <c r="N171" s="70">
        <v>14</v>
      </c>
      <c r="O171" s="165"/>
      <c r="P171" s="68" t="s">
        <v>447</v>
      </c>
      <c r="Q171" s="68">
        <v>460521030.89999998</v>
      </c>
      <c r="R171" s="71">
        <v>0</v>
      </c>
      <c r="S171" s="68">
        <v>13815630.927100001</v>
      </c>
      <c r="T171" s="68">
        <f t="shared" si="32"/>
        <v>6907815.4635500005</v>
      </c>
      <c r="U171" s="68">
        <f t="shared" si="33"/>
        <v>6907815.4635500005</v>
      </c>
      <c r="V171" s="68">
        <v>228713076.81</v>
      </c>
      <c r="W171" s="69">
        <f t="shared" si="30"/>
        <v>696141923.17354989</v>
      </c>
    </row>
    <row r="172" spans="1:23" ht="24.95" customHeight="1">
      <c r="A172" s="170"/>
      <c r="B172" s="165"/>
      <c r="C172" s="64">
        <v>18</v>
      </c>
      <c r="D172" s="68" t="s">
        <v>448</v>
      </c>
      <c r="E172" s="68">
        <v>256010986.16</v>
      </c>
      <c r="F172" s="68">
        <v>0</v>
      </c>
      <c r="G172" s="68">
        <v>7680329.5848000003</v>
      </c>
      <c r="H172" s="68">
        <v>0</v>
      </c>
      <c r="I172" s="68">
        <f t="shared" si="35"/>
        <v>7680329.5848000003</v>
      </c>
      <c r="J172" s="68">
        <v>188129310.53999999</v>
      </c>
      <c r="K172" s="69">
        <f t="shared" si="29"/>
        <v>451820626.28479999</v>
      </c>
      <c r="L172" s="63"/>
      <c r="M172" s="165"/>
      <c r="N172" s="70">
        <v>15</v>
      </c>
      <c r="O172" s="165"/>
      <c r="P172" s="68" t="s">
        <v>449</v>
      </c>
      <c r="Q172" s="68">
        <v>543386183.47000003</v>
      </c>
      <c r="R172" s="71">
        <v>0</v>
      </c>
      <c r="S172" s="68">
        <v>16301585.5041</v>
      </c>
      <c r="T172" s="68">
        <f t="shared" si="32"/>
        <v>8150792.7520500002</v>
      </c>
      <c r="U172" s="68">
        <f t="shared" si="33"/>
        <v>8150792.7520500002</v>
      </c>
      <c r="V172" s="68">
        <v>234083859.56999999</v>
      </c>
      <c r="W172" s="69">
        <f t="shared" si="30"/>
        <v>785620835.79205012</v>
      </c>
    </row>
    <row r="173" spans="1:23" ht="24.95" customHeight="1">
      <c r="A173" s="170"/>
      <c r="B173" s="165"/>
      <c r="C173" s="64">
        <v>19</v>
      </c>
      <c r="D173" s="68" t="s">
        <v>450</v>
      </c>
      <c r="E173" s="68">
        <v>344896594.91000003</v>
      </c>
      <c r="F173" s="68">
        <v>0</v>
      </c>
      <c r="G173" s="68">
        <v>10346897.8474</v>
      </c>
      <c r="H173" s="68">
        <v>0</v>
      </c>
      <c r="I173" s="68">
        <f t="shared" si="35"/>
        <v>10346897.8474</v>
      </c>
      <c r="J173" s="68">
        <v>204325017.55000001</v>
      </c>
      <c r="K173" s="69">
        <f t="shared" si="29"/>
        <v>559568510.30739999</v>
      </c>
      <c r="L173" s="63"/>
      <c r="M173" s="165"/>
      <c r="N173" s="70">
        <v>16</v>
      </c>
      <c r="O173" s="165"/>
      <c r="P173" s="68" t="s">
        <v>451</v>
      </c>
      <c r="Q173" s="68">
        <v>344143970.10000002</v>
      </c>
      <c r="R173" s="71">
        <v>0</v>
      </c>
      <c r="S173" s="68">
        <v>10324319.1029</v>
      </c>
      <c r="T173" s="68">
        <f t="shared" si="32"/>
        <v>5162159.5514500001</v>
      </c>
      <c r="U173" s="68">
        <f t="shared" si="33"/>
        <v>5162159.5514500001</v>
      </c>
      <c r="V173" s="68">
        <v>229401647.53</v>
      </c>
      <c r="W173" s="69">
        <f t="shared" si="30"/>
        <v>578707777.18145001</v>
      </c>
    </row>
    <row r="174" spans="1:23" ht="24.95" customHeight="1">
      <c r="A174" s="170"/>
      <c r="B174" s="165"/>
      <c r="C174" s="64">
        <v>20</v>
      </c>
      <c r="D174" s="68" t="s">
        <v>452</v>
      </c>
      <c r="E174" s="68">
        <v>408147745.01999998</v>
      </c>
      <c r="F174" s="68">
        <v>0</v>
      </c>
      <c r="G174" s="68">
        <v>12244432.3506</v>
      </c>
      <c r="H174" s="68">
        <v>0</v>
      </c>
      <c r="I174" s="68">
        <f t="shared" si="35"/>
        <v>12244432.3506</v>
      </c>
      <c r="J174" s="68">
        <v>216971089.09</v>
      </c>
      <c r="K174" s="69">
        <f t="shared" si="29"/>
        <v>637363266.46060002</v>
      </c>
      <c r="L174" s="63"/>
      <c r="M174" s="165"/>
      <c r="N174" s="70">
        <v>17</v>
      </c>
      <c r="O174" s="165"/>
      <c r="P174" s="68" t="s">
        <v>453</v>
      </c>
      <c r="Q174" s="68">
        <v>467106915.83999997</v>
      </c>
      <c r="R174" s="71">
        <v>0</v>
      </c>
      <c r="S174" s="68">
        <v>14013207.475299999</v>
      </c>
      <c r="T174" s="68">
        <f t="shared" si="32"/>
        <v>7006603.7376499996</v>
      </c>
      <c r="U174" s="68">
        <f t="shared" si="33"/>
        <v>7006603.7376499996</v>
      </c>
      <c r="V174" s="68">
        <v>244388308.40000001</v>
      </c>
      <c r="W174" s="69">
        <f t="shared" si="30"/>
        <v>718501827.97764993</v>
      </c>
    </row>
    <row r="175" spans="1:23" ht="24.95" customHeight="1">
      <c r="A175" s="170"/>
      <c r="B175" s="165"/>
      <c r="C175" s="64">
        <v>21</v>
      </c>
      <c r="D175" s="68" t="s">
        <v>454</v>
      </c>
      <c r="E175" s="68">
        <v>594360646.34000003</v>
      </c>
      <c r="F175" s="68">
        <v>0</v>
      </c>
      <c r="G175" s="68">
        <v>17830819.390099999</v>
      </c>
      <c r="H175" s="68">
        <v>0</v>
      </c>
      <c r="I175" s="68">
        <f t="shared" si="35"/>
        <v>17830819.390099999</v>
      </c>
      <c r="J175" s="68">
        <v>348299334.69</v>
      </c>
      <c r="K175" s="69">
        <f t="shared" si="29"/>
        <v>960490800.42009997</v>
      </c>
      <c r="L175" s="63"/>
      <c r="M175" s="165"/>
      <c r="N175" s="70">
        <v>18</v>
      </c>
      <c r="O175" s="165"/>
      <c r="P175" s="68" t="s">
        <v>455</v>
      </c>
      <c r="Q175" s="68">
        <v>315520685.50999999</v>
      </c>
      <c r="R175" s="71">
        <v>0</v>
      </c>
      <c r="S175" s="68">
        <v>9465620.5651999991</v>
      </c>
      <c r="T175" s="68">
        <f t="shared" si="32"/>
        <v>4732810.2825999996</v>
      </c>
      <c r="U175" s="68">
        <f t="shared" si="33"/>
        <v>4732810.2825999996</v>
      </c>
      <c r="V175" s="68">
        <v>195721273.19999999</v>
      </c>
      <c r="W175" s="69">
        <f t="shared" si="30"/>
        <v>515974768.99259996</v>
      </c>
    </row>
    <row r="176" spans="1:23" ht="24.95" customHeight="1">
      <c r="A176" s="170"/>
      <c r="B176" s="165"/>
      <c r="C176" s="64">
        <v>22</v>
      </c>
      <c r="D176" s="68" t="s">
        <v>456</v>
      </c>
      <c r="E176" s="68">
        <v>371153912.13999999</v>
      </c>
      <c r="F176" s="68">
        <v>0</v>
      </c>
      <c r="G176" s="68">
        <v>11134617.3643</v>
      </c>
      <c r="H176" s="68">
        <v>0</v>
      </c>
      <c r="I176" s="68">
        <f t="shared" si="35"/>
        <v>11134617.3643</v>
      </c>
      <c r="J176" s="68">
        <v>213229935.19</v>
      </c>
      <c r="K176" s="69">
        <f t="shared" si="29"/>
        <v>595518464.69429994</v>
      </c>
      <c r="L176" s="63"/>
      <c r="M176" s="165"/>
      <c r="N176" s="70">
        <v>19</v>
      </c>
      <c r="O176" s="165"/>
      <c r="P176" s="68" t="s">
        <v>457</v>
      </c>
      <c r="Q176" s="68">
        <v>363127968.57999998</v>
      </c>
      <c r="R176" s="71">
        <v>0</v>
      </c>
      <c r="S176" s="68">
        <v>10893839.057499999</v>
      </c>
      <c r="T176" s="68">
        <f t="shared" si="32"/>
        <v>5446919.5287499996</v>
      </c>
      <c r="U176" s="68">
        <f t="shared" ref="U176:U207" si="37">S176-T176</f>
        <v>5446919.5287499996</v>
      </c>
      <c r="V176" s="68">
        <v>214471822.16999999</v>
      </c>
      <c r="W176" s="69">
        <f t="shared" si="30"/>
        <v>583046710.27874994</v>
      </c>
    </row>
    <row r="177" spans="1:24" ht="24.95" customHeight="1">
      <c r="A177" s="170"/>
      <c r="B177" s="165"/>
      <c r="C177" s="64">
        <v>23</v>
      </c>
      <c r="D177" s="68" t="s">
        <v>458</v>
      </c>
      <c r="E177" s="68">
        <v>345625678.06</v>
      </c>
      <c r="F177" s="68">
        <v>0</v>
      </c>
      <c r="G177" s="68">
        <v>10368770.341700001</v>
      </c>
      <c r="H177" s="68">
        <v>0</v>
      </c>
      <c r="I177" s="68">
        <f t="shared" si="35"/>
        <v>10368770.341700001</v>
      </c>
      <c r="J177" s="68">
        <v>208849812.47</v>
      </c>
      <c r="K177" s="69">
        <f t="shared" si="29"/>
        <v>564844260.87170005</v>
      </c>
      <c r="L177" s="63"/>
      <c r="M177" s="165"/>
      <c r="N177" s="70">
        <v>20</v>
      </c>
      <c r="O177" s="165"/>
      <c r="P177" s="68" t="s">
        <v>459</v>
      </c>
      <c r="Q177" s="68">
        <v>418827443.81</v>
      </c>
      <c r="R177" s="71">
        <v>0</v>
      </c>
      <c r="S177" s="68">
        <v>12564823.3144</v>
      </c>
      <c r="T177" s="68">
        <f t="shared" si="32"/>
        <v>6282411.6572000002</v>
      </c>
      <c r="U177" s="68">
        <f t="shared" si="37"/>
        <v>6282411.6572000002</v>
      </c>
      <c r="V177" s="68">
        <v>222684724.50999999</v>
      </c>
      <c r="W177" s="69">
        <f t="shared" si="30"/>
        <v>647794579.97720003</v>
      </c>
    </row>
    <row r="178" spans="1:24" ht="24.95" customHeight="1">
      <c r="A178" s="170"/>
      <c r="B178" s="165"/>
      <c r="C178" s="64">
        <v>24</v>
      </c>
      <c r="D178" s="68" t="s">
        <v>460</v>
      </c>
      <c r="E178" s="68">
        <v>337363431.79000002</v>
      </c>
      <c r="F178" s="68">
        <v>0</v>
      </c>
      <c r="G178" s="68">
        <v>10120902.9537</v>
      </c>
      <c r="H178" s="68">
        <v>0</v>
      </c>
      <c r="I178" s="68">
        <f t="shared" si="35"/>
        <v>10120902.9537</v>
      </c>
      <c r="J178" s="68">
        <v>206506467.47</v>
      </c>
      <c r="K178" s="69">
        <f t="shared" si="29"/>
        <v>553990802.21370006</v>
      </c>
      <c r="L178" s="63"/>
      <c r="M178" s="165"/>
      <c r="N178" s="70">
        <v>21</v>
      </c>
      <c r="O178" s="165"/>
      <c r="P178" s="68" t="s">
        <v>461</v>
      </c>
      <c r="Q178" s="68">
        <v>394003751.56</v>
      </c>
      <c r="R178" s="71">
        <v>0</v>
      </c>
      <c r="S178" s="68">
        <v>11820112.546800001</v>
      </c>
      <c r="T178" s="68">
        <f t="shared" si="32"/>
        <v>5910056.2734000003</v>
      </c>
      <c r="U178" s="68">
        <f t="shared" si="37"/>
        <v>5910056.2734000003</v>
      </c>
      <c r="V178" s="68">
        <v>220660691.69999999</v>
      </c>
      <c r="W178" s="69">
        <f t="shared" si="30"/>
        <v>620574499.53340006</v>
      </c>
    </row>
    <row r="179" spans="1:24" ht="24.95" customHeight="1">
      <c r="A179" s="170"/>
      <c r="B179" s="165"/>
      <c r="C179" s="64">
        <v>25</v>
      </c>
      <c r="D179" s="68" t="s">
        <v>462</v>
      </c>
      <c r="E179" s="68">
        <v>385832030.47000003</v>
      </c>
      <c r="F179" s="68">
        <v>0</v>
      </c>
      <c r="G179" s="68">
        <v>11574960.9142</v>
      </c>
      <c r="H179" s="68">
        <v>0</v>
      </c>
      <c r="I179" s="68">
        <f t="shared" si="35"/>
        <v>11574960.9142</v>
      </c>
      <c r="J179" s="68">
        <v>250328362.19999999</v>
      </c>
      <c r="K179" s="69">
        <f t="shared" si="29"/>
        <v>647735353.58420002</v>
      </c>
      <c r="L179" s="63"/>
      <c r="M179" s="165"/>
      <c r="N179" s="70">
        <v>22</v>
      </c>
      <c r="O179" s="165"/>
      <c r="P179" s="68" t="s">
        <v>463</v>
      </c>
      <c r="Q179" s="68">
        <v>465772802.89999998</v>
      </c>
      <c r="R179" s="71">
        <v>0</v>
      </c>
      <c r="S179" s="68">
        <v>13973184.0869</v>
      </c>
      <c r="T179" s="68">
        <f t="shared" si="32"/>
        <v>6986592.0434499998</v>
      </c>
      <c r="U179" s="68">
        <f t="shared" si="37"/>
        <v>6986592.0434499998</v>
      </c>
      <c r="V179" s="68">
        <v>241104594.19</v>
      </c>
      <c r="W179" s="69">
        <f t="shared" si="30"/>
        <v>713863989.13345003</v>
      </c>
    </row>
    <row r="180" spans="1:24" ht="24.95" customHeight="1">
      <c r="A180" s="170"/>
      <c r="B180" s="165"/>
      <c r="C180" s="64">
        <v>26</v>
      </c>
      <c r="D180" s="68" t="s">
        <v>464</v>
      </c>
      <c r="E180" s="68">
        <v>335384119.70999998</v>
      </c>
      <c r="F180" s="68">
        <v>0</v>
      </c>
      <c r="G180" s="68">
        <v>10061523.5912</v>
      </c>
      <c r="H180" s="68">
        <v>0</v>
      </c>
      <c r="I180" s="68">
        <f t="shared" si="35"/>
        <v>10061523.5912</v>
      </c>
      <c r="J180" s="68">
        <v>203043979.77000001</v>
      </c>
      <c r="K180" s="69">
        <f t="shared" si="29"/>
        <v>548489623.07120001</v>
      </c>
      <c r="L180" s="63"/>
      <c r="M180" s="165"/>
      <c r="N180" s="70">
        <v>23</v>
      </c>
      <c r="O180" s="165"/>
      <c r="P180" s="68" t="s">
        <v>465</v>
      </c>
      <c r="Q180" s="68">
        <v>340631346.61000001</v>
      </c>
      <c r="R180" s="71">
        <v>0</v>
      </c>
      <c r="S180" s="68">
        <v>10218940.398399999</v>
      </c>
      <c r="T180" s="68">
        <f t="shared" si="32"/>
        <v>5109470.1991999997</v>
      </c>
      <c r="U180" s="68">
        <f t="shared" si="37"/>
        <v>5109470.1991999997</v>
      </c>
      <c r="V180" s="68">
        <v>234619835.58000001</v>
      </c>
      <c r="W180" s="69">
        <f t="shared" si="30"/>
        <v>580360652.38919997</v>
      </c>
    </row>
    <row r="181" spans="1:24" ht="24.95" customHeight="1">
      <c r="A181" s="170"/>
      <c r="B181" s="166"/>
      <c r="C181" s="64">
        <v>27</v>
      </c>
      <c r="D181" s="68" t="s">
        <v>466</v>
      </c>
      <c r="E181" s="68">
        <v>325277590.72000003</v>
      </c>
      <c r="F181" s="68">
        <v>0</v>
      </c>
      <c r="G181" s="68">
        <v>9758327.7215999998</v>
      </c>
      <c r="H181" s="68">
        <v>0</v>
      </c>
      <c r="I181" s="68">
        <f t="shared" si="35"/>
        <v>9758327.7215999998</v>
      </c>
      <c r="J181" s="68">
        <v>203911323.97999999</v>
      </c>
      <c r="K181" s="69">
        <f t="shared" si="29"/>
        <v>538947242.42159998</v>
      </c>
      <c r="L181" s="63"/>
      <c r="M181" s="165"/>
      <c r="N181" s="70">
        <v>24</v>
      </c>
      <c r="O181" s="165"/>
      <c r="P181" s="68" t="s">
        <v>467</v>
      </c>
      <c r="Q181" s="68">
        <v>277219848.62</v>
      </c>
      <c r="R181" s="71">
        <v>0</v>
      </c>
      <c r="S181" s="68">
        <v>8316595.4587000003</v>
      </c>
      <c r="T181" s="68">
        <f t="shared" si="32"/>
        <v>4158297.7293500002</v>
      </c>
      <c r="U181" s="68">
        <f t="shared" si="37"/>
        <v>4158297.7293500002</v>
      </c>
      <c r="V181" s="68">
        <v>188795264.41999999</v>
      </c>
      <c r="W181" s="69">
        <f t="shared" si="30"/>
        <v>470173410.76934993</v>
      </c>
    </row>
    <row r="182" spans="1:24" ht="24.95" customHeight="1">
      <c r="A182" s="64"/>
      <c r="B182" s="179" t="s">
        <v>468</v>
      </c>
      <c r="C182" s="177"/>
      <c r="D182" s="72"/>
      <c r="E182" s="72">
        <f t="shared" ref="E182:K182" si="38">SUM(E155:E181)</f>
        <v>10049130648.329998</v>
      </c>
      <c r="F182" s="68">
        <v>0</v>
      </c>
      <c r="G182" s="72">
        <f t="shared" si="38"/>
        <v>301473919.45020002</v>
      </c>
      <c r="H182" s="72">
        <f t="shared" si="38"/>
        <v>0</v>
      </c>
      <c r="I182" s="72">
        <f t="shared" si="38"/>
        <v>301473919.45020002</v>
      </c>
      <c r="J182" s="72">
        <f t="shared" si="38"/>
        <v>5983931269.9699993</v>
      </c>
      <c r="K182" s="72">
        <f t="shared" si="38"/>
        <v>16334535837.750198</v>
      </c>
      <c r="L182" s="63"/>
      <c r="M182" s="166"/>
      <c r="N182" s="70">
        <v>25</v>
      </c>
      <c r="O182" s="166"/>
      <c r="P182" s="68" t="s">
        <v>469</v>
      </c>
      <c r="Q182" s="68">
        <v>309014386.05000001</v>
      </c>
      <c r="R182" s="71">
        <v>0</v>
      </c>
      <c r="S182" s="68">
        <v>9270431.5815999992</v>
      </c>
      <c r="T182" s="68">
        <f t="shared" si="32"/>
        <v>4635215.7907999996</v>
      </c>
      <c r="U182" s="68">
        <f t="shared" si="37"/>
        <v>4635215.7907999996</v>
      </c>
      <c r="V182" s="68">
        <v>188188674.59999999</v>
      </c>
      <c r="W182" s="69">
        <f t="shared" si="30"/>
        <v>501838276.44079995</v>
      </c>
    </row>
    <row r="183" spans="1:24" ht="24.95" customHeight="1">
      <c r="A183" s="170">
        <v>9</v>
      </c>
      <c r="B183" s="164" t="s">
        <v>470</v>
      </c>
      <c r="C183" s="64">
        <v>1</v>
      </c>
      <c r="D183" s="68" t="s">
        <v>471</v>
      </c>
      <c r="E183" s="68">
        <v>344837448.01999998</v>
      </c>
      <c r="F183" s="68">
        <v>0</v>
      </c>
      <c r="G183" s="68">
        <v>10345123.4407</v>
      </c>
      <c r="H183" s="68">
        <v>10345123.4407</v>
      </c>
      <c r="I183" s="68">
        <f t="shared" ref="I183:I200" si="39">G183-H183</f>
        <v>0</v>
      </c>
      <c r="J183" s="68">
        <v>232195819.80000001</v>
      </c>
      <c r="K183" s="69">
        <f t="shared" si="29"/>
        <v>577033267.81999993</v>
      </c>
      <c r="L183" s="63"/>
      <c r="M183" s="64"/>
      <c r="N183" s="179" t="s">
        <v>472</v>
      </c>
      <c r="O183" s="178"/>
      <c r="P183" s="72"/>
      <c r="Q183" s="72">
        <f t="shared" ref="Q183:T183" si="40">SUM(Q158:Q182)</f>
        <v>9440292841.1600018</v>
      </c>
      <c r="R183" s="71">
        <v>0</v>
      </c>
      <c r="S183" s="72">
        <f t="shared" si="40"/>
        <v>283208785.23539996</v>
      </c>
      <c r="T183" s="72">
        <f t="shared" si="40"/>
        <v>141604392.61769998</v>
      </c>
      <c r="U183" s="72">
        <f t="shared" si="37"/>
        <v>141604392.61769998</v>
      </c>
      <c r="V183" s="72">
        <f>SUM(V158:V182)</f>
        <v>5361140740.2699995</v>
      </c>
      <c r="W183" s="72">
        <f>SUM(W158:W182)</f>
        <v>14943037974.047697</v>
      </c>
      <c r="X183" s="80"/>
    </row>
    <row r="184" spans="1:24" ht="24.95" customHeight="1">
      <c r="A184" s="170"/>
      <c r="B184" s="165"/>
      <c r="C184" s="64">
        <v>2</v>
      </c>
      <c r="D184" s="68" t="s">
        <v>473</v>
      </c>
      <c r="E184" s="68">
        <v>433456488.79000002</v>
      </c>
      <c r="F184" s="68">
        <v>0</v>
      </c>
      <c r="G184" s="68">
        <v>13003694.663699999</v>
      </c>
      <c r="H184" s="68">
        <v>13003694.663699999</v>
      </c>
      <c r="I184" s="68">
        <f t="shared" si="39"/>
        <v>0</v>
      </c>
      <c r="J184" s="68">
        <v>234373825.15000001</v>
      </c>
      <c r="K184" s="69">
        <f t="shared" si="29"/>
        <v>667830313.94000006</v>
      </c>
      <c r="L184" s="63"/>
      <c r="M184" s="164">
        <v>27</v>
      </c>
      <c r="N184" s="70">
        <v>1</v>
      </c>
      <c r="O184" s="164" t="s">
        <v>101</v>
      </c>
      <c r="P184" s="68" t="s">
        <v>474</v>
      </c>
      <c r="Q184" s="68">
        <v>346935009.07999998</v>
      </c>
      <c r="R184" s="71">
        <v>0</v>
      </c>
      <c r="S184" s="68">
        <v>10408050.272399999</v>
      </c>
      <c r="T184" s="68">
        <v>0</v>
      </c>
      <c r="U184" s="68">
        <f t="shared" si="37"/>
        <v>10408050.272399999</v>
      </c>
      <c r="V184" s="68">
        <v>244301399.53</v>
      </c>
      <c r="W184" s="69">
        <f t="shared" si="30"/>
        <v>601644458.88240004</v>
      </c>
    </row>
    <row r="185" spans="1:24" ht="24.95" customHeight="1">
      <c r="A185" s="170"/>
      <c r="B185" s="165"/>
      <c r="C185" s="64">
        <v>3</v>
      </c>
      <c r="D185" s="68" t="s">
        <v>475</v>
      </c>
      <c r="E185" s="68">
        <v>414945499.50999999</v>
      </c>
      <c r="F185" s="68">
        <v>0</v>
      </c>
      <c r="G185" s="68">
        <v>12448364.985200001</v>
      </c>
      <c r="H185" s="68">
        <v>12448364.985200001</v>
      </c>
      <c r="I185" s="68">
        <f t="shared" si="39"/>
        <v>0</v>
      </c>
      <c r="J185" s="68">
        <v>275801739.62</v>
      </c>
      <c r="K185" s="69">
        <f t="shared" si="29"/>
        <v>690747239.13</v>
      </c>
      <c r="L185" s="63"/>
      <c r="M185" s="165"/>
      <c r="N185" s="70">
        <v>2</v>
      </c>
      <c r="O185" s="165"/>
      <c r="P185" s="68" t="s">
        <v>476</v>
      </c>
      <c r="Q185" s="68">
        <v>358157312.01999998</v>
      </c>
      <c r="R185" s="71">
        <v>0</v>
      </c>
      <c r="S185" s="68">
        <v>10744719.3607</v>
      </c>
      <c r="T185" s="68">
        <v>0</v>
      </c>
      <c r="U185" s="68">
        <f t="shared" si="37"/>
        <v>10744719.3607</v>
      </c>
      <c r="V185" s="68">
        <v>261162254.15000001</v>
      </c>
      <c r="W185" s="69">
        <f t="shared" si="30"/>
        <v>630064285.53069997</v>
      </c>
    </row>
    <row r="186" spans="1:24" ht="24.95" customHeight="1">
      <c r="A186" s="170"/>
      <c r="B186" s="165"/>
      <c r="C186" s="64">
        <v>4</v>
      </c>
      <c r="D186" s="68" t="s">
        <v>477</v>
      </c>
      <c r="E186" s="68">
        <v>267730102.30000001</v>
      </c>
      <c r="F186" s="68">
        <v>0</v>
      </c>
      <c r="G186" s="68">
        <v>8031903.0690000001</v>
      </c>
      <c r="H186" s="68">
        <v>8031903.0690000001</v>
      </c>
      <c r="I186" s="68">
        <f t="shared" si="39"/>
        <v>0</v>
      </c>
      <c r="J186" s="68">
        <v>193472930.78999999</v>
      </c>
      <c r="K186" s="69">
        <f t="shared" si="29"/>
        <v>461203033.09000003</v>
      </c>
      <c r="L186" s="63"/>
      <c r="M186" s="165"/>
      <c r="N186" s="70">
        <v>3</v>
      </c>
      <c r="O186" s="165"/>
      <c r="P186" s="68" t="s">
        <v>478</v>
      </c>
      <c r="Q186" s="68">
        <v>550499645.21000004</v>
      </c>
      <c r="R186" s="71">
        <v>0</v>
      </c>
      <c r="S186" s="68">
        <v>16514989.3562</v>
      </c>
      <c r="T186" s="68">
        <v>0</v>
      </c>
      <c r="U186" s="68">
        <f t="shared" si="37"/>
        <v>16514989.3562</v>
      </c>
      <c r="V186" s="68">
        <v>356331408.58999997</v>
      </c>
      <c r="W186" s="69">
        <f t="shared" si="30"/>
        <v>923346043.15619993</v>
      </c>
    </row>
    <row r="187" spans="1:24" ht="24.95" customHeight="1">
      <c r="A187" s="170"/>
      <c r="B187" s="165"/>
      <c r="C187" s="64">
        <v>5</v>
      </c>
      <c r="D187" s="68" t="s">
        <v>479</v>
      </c>
      <c r="E187" s="68">
        <v>319822774.75999999</v>
      </c>
      <c r="F187" s="68">
        <v>0</v>
      </c>
      <c r="G187" s="68">
        <v>9594683.2429000009</v>
      </c>
      <c r="H187" s="68">
        <v>9594683.2429000009</v>
      </c>
      <c r="I187" s="68">
        <f t="shared" si="39"/>
        <v>0</v>
      </c>
      <c r="J187" s="68">
        <v>218768862.90000001</v>
      </c>
      <c r="K187" s="69">
        <f t="shared" si="29"/>
        <v>538591637.65999997</v>
      </c>
      <c r="L187" s="63"/>
      <c r="M187" s="165"/>
      <c r="N187" s="70">
        <v>4</v>
      </c>
      <c r="O187" s="165"/>
      <c r="P187" s="68" t="s">
        <v>480</v>
      </c>
      <c r="Q187" s="68">
        <v>361958138.05000001</v>
      </c>
      <c r="R187" s="71">
        <v>0</v>
      </c>
      <c r="S187" s="68">
        <v>10858744.1415</v>
      </c>
      <c r="T187" s="68">
        <v>0</v>
      </c>
      <c r="U187" s="68">
        <f t="shared" si="37"/>
        <v>10858744.1415</v>
      </c>
      <c r="V187" s="68">
        <v>237583443.13</v>
      </c>
      <c r="W187" s="69">
        <f t="shared" si="30"/>
        <v>610400325.32150006</v>
      </c>
    </row>
    <row r="188" spans="1:24" ht="24.95" customHeight="1">
      <c r="A188" s="170"/>
      <c r="B188" s="165"/>
      <c r="C188" s="64">
        <v>6</v>
      </c>
      <c r="D188" s="68" t="s">
        <v>481</v>
      </c>
      <c r="E188" s="68">
        <v>367932379.88</v>
      </c>
      <c r="F188" s="68">
        <v>0</v>
      </c>
      <c r="G188" s="68">
        <v>11037971.396299999</v>
      </c>
      <c r="H188" s="68">
        <v>11037971.396299999</v>
      </c>
      <c r="I188" s="68">
        <f t="shared" si="39"/>
        <v>0</v>
      </c>
      <c r="J188" s="68">
        <v>240594040.33000001</v>
      </c>
      <c r="K188" s="69">
        <f t="shared" si="29"/>
        <v>608526420.21000004</v>
      </c>
      <c r="L188" s="63"/>
      <c r="M188" s="165"/>
      <c r="N188" s="70">
        <v>5</v>
      </c>
      <c r="O188" s="165"/>
      <c r="P188" s="68" t="s">
        <v>482</v>
      </c>
      <c r="Q188" s="68">
        <v>324379160.64999998</v>
      </c>
      <c r="R188" s="71">
        <v>0</v>
      </c>
      <c r="S188" s="68">
        <v>9731374.8193999995</v>
      </c>
      <c r="T188" s="68">
        <v>0</v>
      </c>
      <c r="U188" s="68">
        <f t="shared" si="37"/>
        <v>9731374.8193999995</v>
      </c>
      <c r="V188" s="68">
        <v>233113761.43000001</v>
      </c>
      <c r="W188" s="69">
        <f t="shared" si="30"/>
        <v>567224296.8994</v>
      </c>
    </row>
    <row r="189" spans="1:24" ht="24.95" customHeight="1">
      <c r="A189" s="170"/>
      <c r="B189" s="165"/>
      <c r="C189" s="64">
        <v>7</v>
      </c>
      <c r="D189" s="68" t="s">
        <v>483</v>
      </c>
      <c r="E189" s="68">
        <v>421815072.29000002</v>
      </c>
      <c r="F189" s="68">
        <v>0</v>
      </c>
      <c r="G189" s="68">
        <v>12654452.1688</v>
      </c>
      <c r="H189" s="68">
        <v>12654452.1688</v>
      </c>
      <c r="I189" s="68">
        <f t="shared" si="39"/>
        <v>0</v>
      </c>
      <c r="J189" s="68">
        <v>246435352.15000001</v>
      </c>
      <c r="K189" s="69">
        <f t="shared" si="29"/>
        <v>668250424.44000006</v>
      </c>
      <c r="L189" s="63"/>
      <c r="M189" s="165"/>
      <c r="N189" s="70">
        <v>6</v>
      </c>
      <c r="O189" s="165"/>
      <c r="P189" s="68" t="s">
        <v>484</v>
      </c>
      <c r="Q189" s="68">
        <v>246747050.19</v>
      </c>
      <c r="R189" s="71">
        <v>0</v>
      </c>
      <c r="S189" s="68">
        <v>7402411.5056999996</v>
      </c>
      <c r="T189" s="68">
        <v>0</v>
      </c>
      <c r="U189" s="68">
        <f t="shared" si="37"/>
        <v>7402411.5056999996</v>
      </c>
      <c r="V189" s="68">
        <v>193951000.08000001</v>
      </c>
      <c r="W189" s="69">
        <f t="shared" si="30"/>
        <v>448100461.77569997</v>
      </c>
    </row>
    <row r="190" spans="1:24" ht="24.95" customHeight="1">
      <c r="A190" s="170"/>
      <c r="B190" s="165"/>
      <c r="C190" s="64">
        <v>8</v>
      </c>
      <c r="D190" s="68" t="s">
        <v>485</v>
      </c>
      <c r="E190" s="68">
        <v>334142471.49000001</v>
      </c>
      <c r="F190" s="68">
        <v>0</v>
      </c>
      <c r="G190" s="68">
        <v>10024274.1447</v>
      </c>
      <c r="H190" s="68">
        <v>10024274.1447</v>
      </c>
      <c r="I190" s="68">
        <f t="shared" si="39"/>
        <v>0</v>
      </c>
      <c r="J190" s="68">
        <v>244110607.87</v>
      </c>
      <c r="K190" s="69">
        <f t="shared" si="29"/>
        <v>578253079.36000001</v>
      </c>
      <c r="L190" s="63"/>
      <c r="M190" s="165"/>
      <c r="N190" s="70">
        <v>7</v>
      </c>
      <c r="O190" s="165"/>
      <c r="P190" s="68" t="s">
        <v>486</v>
      </c>
      <c r="Q190" s="68">
        <v>539752392.44000006</v>
      </c>
      <c r="R190" s="71">
        <v>0</v>
      </c>
      <c r="S190" s="68">
        <v>7211256.9040000001</v>
      </c>
      <c r="T190" s="68">
        <v>0</v>
      </c>
      <c r="U190" s="68">
        <f t="shared" si="37"/>
        <v>7211256.9040000001</v>
      </c>
      <c r="V190" s="68">
        <v>355736185.87</v>
      </c>
      <c r="W190" s="69">
        <f t="shared" si="30"/>
        <v>902699835.21400011</v>
      </c>
    </row>
    <row r="191" spans="1:24" ht="24.95" customHeight="1">
      <c r="A191" s="170"/>
      <c r="B191" s="165"/>
      <c r="C191" s="64">
        <v>9</v>
      </c>
      <c r="D191" s="68" t="s">
        <v>487</v>
      </c>
      <c r="E191" s="68">
        <v>356154688.12</v>
      </c>
      <c r="F191" s="68">
        <v>0</v>
      </c>
      <c r="G191" s="68">
        <v>10684640.6436</v>
      </c>
      <c r="H191" s="68">
        <v>10684640.6436</v>
      </c>
      <c r="I191" s="68">
        <f t="shared" si="39"/>
        <v>0</v>
      </c>
      <c r="J191" s="68">
        <v>248326079.87</v>
      </c>
      <c r="K191" s="69">
        <f t="shared" si="29"/>
        <v>604480767.99000001</v>
      </c>
      <c r="L191" s="63"/>
      <c r="M191" s="165"/>
      <c r="N191" s="70">
        <v>8</v>
      </c>
      <c r="O191" s="165"/>
      <c r="P191" s="68" t="s">
        <v>488</v>
      </c>
      <c r="Q191" s="68">
        <v>321219790.58999997</v>
      </c>
      <c r="R191" s="71">
        <v>0</v>
      </c>
      <c r="S191" s="68">
        <v>16192571.7733</v>
      </c>
      <c r="T191" s="68">
        <v>0</v>
      </c>
      <c r="U191" s="68">
        <f t="shared" si="37"/>
        <v>16192571.7733</v>
      </c>
      <c r="V191" s="68">
        <v>212909945.88999999</v>
      </c>
      <c r="W191" s="69">
        <f t="shared" si="30"/>
        <v>550322308.25329995</v>
      </c>
    </row>
    <row r="192" spans="1:24" ht="24.95" customHeight="1">
      <c r="A192" s="170"/>
      <c r="B192" s="165"/>
      <c r="C192" s="64">
        <v>10</v>
      </c>
      <c r="D192" s="68" t="s">
        <v>489</v>
      </c>
      <c r="E192" s="68">
        <v>278883000.63</v>
      </c>
      <c r="F192" s="68">
        <v>0</v>
      </c>
      <c r="G192" s="68">
        <v>8366490.0188999996</v>
      </c>
      <c r="H192" s="68">
        <v>8366490.0188999996</v>
      </c>
      <c r="I192" s="68">
        <f t="shared" si="39"/>
        <v>0</v>
      </c>
      <c r="J192" s="68">
        <v>209941792.68000001</v>
      </c>
      <c r="K192" s="69">
        <f t="shared" si="29"/>
        <v>488824793.31</v>
      </c>
      <c r="L192" s="63"/>
      <c r="M192" s="165"/>
      <c r="N192" s="70">
        <v>9</v>
      </c>
      <c r="O192" s="165"/>
      <c r="P192" s="68" t="s">
        <v>490</v>
      </c>
      <c r="Q192" s="68">
        <v>401332719.12</v>
      </c>
      <c r="R192" s="71">
        <v>0</v>
      </c>
      <c r="S192" s="68">
        <v>9636593.7177000009</v>
      </c>
      <c r="T192" s="68">
        <v>0</v>
      </c>
      <c r="U192" s="68">
        <f t="shared" si="37"/>
        <v>9636593.7177000009</v>
      </c>
      <c r="V192" s="68">
        <v>272893790.77999997</v>
      </c>
      <c r="W192" s="69">
        <f t="shared" si="30"/>
        <v>683863103.61769998</v>
      </c>
    </row>
    <row r="193" spans="1:23" ht="24.95" customHeight="1">
      <c r="A193" s="170"/>
      <c r="B193" s="165"/>
      <c r="C193" s="64">
        <v>11</v>
      </c>
      <c r="D193" s="68" t="s">
        <v>491</v>
      </c>
      <c r="E193" s="68">
        <v>380531921.98000002</v>
      </c>
      <c r="F193" s="68">
        <v>0</v>
      </c>
      <c r="G193" s="68">
        <v>11415957.659399999</v>
      </c>
      <c r="H193" s="68">
        <v>11415957.659399999</v>
      </c>
      <c r="I193" s="68">
        <f t="shared" si="39"/>
        <v>0</v>
      </c>
      <c r="J193" s="68">
        <v>238251728.71000001</v>
      </c>
      <c r="K193" s="69">
        <f t="shared" si="29"/>
        <v>618783650.69000006</v>
      </c>
      <c r="L193" s="63"/>
      <c r="M193" s="165"/>
      <c r="N193" s="70">
        <v>10</v>
      </c>
      <c r="O193" s="165"/>
      <c r="P193" s="68" t="s">
        <v>492</v>
      </c>
      <c r="Q193" s="68">
        <v>252253887.77000001</v>
      </c>
      <c r="R193" s="71">
        <v>0</v>
      </c>
      <c r="S193" s="68">
        <v>12039981.5736</v>
      </c>
      <c r="T193" s="68">
        <v>0</v>
      </c>
      <c r="U193" s="68">
        <f t="shared" si="37"/>
        <v>12039981.5736</v>
      </c>
      <c r="V193" s="68">
        <v>198249141.90000001</v>
      </c>
      <c r="W193" s="69">
        <f t="shared" si="30"/>
        <v>462543011.24360001</v>
      </c>
    </row>
    <row r="194" spans="1:23" ht="24.95" customHeight="1">
      <c r="A194" s="170"/>
      <c r="B194" s="165"/>
      <c r="C194" s="64">
        <v>12</v>
      </c>
      <c r="D194" s="68" t="s">
        <v>493</v>
      </c>
      <c r="E194" s="68">
        <v>328391369.13999999</v>
      </c>
      <c r="F194" s="68">
        <v>0</v>
      </c>
      <c r="G194" s="68">
        <v>9851741.0742000006</v>
      </c>
      <c r="H194" s="68">
        <v>9851741.0742000006</v>
      </c>
      <c r="I194" s="68">
        <f t="shared" si="39"/>
        <v>0</v>
      </c>
      <c r="J194" s="68">
        <v>220319610.97999999</v>
      </c>
      <c r="K194" s="69">
        <f t="shared" si="29"/>
        <v>548710980.12</v>
      </c>
      <c r="L194" s="63"/>
      <c r="M194" s="165"/>
      <c r="N194" s="70">
        <v>11</v>
      </c>
      <c r="O194" s="165"/>
      <c r="P194" s="68" t="s">
        <v>494</v>
      </c>
      <c r="Q194" s="68">
        <v>309628368.43000001</v>
      </c>
      <c r="R194" s="71">
        <v>0</v>
      </c>
      <c r="S194" s="68">
        <v>9288851.0527999997</v>
      </c>
      <c r="T194" s="68">
        <v>0</v>
      </c>
      <c r="U194" s="68">
        <f t="shared" si="37"/>
        <v>9288851.0527999997</v>
      </c>
      <c r="V194" s="68">
        <v>228009588.84999999</v>
      </c>
      <c r="W194" s="69">
        <f t="shared" si="30"/>
        <v>546926808.33280003</v>
      </c>
    </row>
    <row r="195" spans="1:23" ht="24.95" customHeight="1">
      <c r="A195" s="170"/>
      <c r="B195" s="165"/>
      <c r="C195" s="64">
        <v>13</v>
      </c>
      <c r="D195" s="68" t="s">
        <v>495</v>
      </c>
      <c r="E195" s="68">
        <v>361936908.27999997</v>
      </c>
      <c r="F195" s="68">
        <v>0</v>
      </c>
      <c r="G195" s="68">
        <v>10858107.248500001</v>
      </c>
      <c r="H195" s="68">
        <v>10858107.248500001</v>
      </c>
      <c r="I195" s="68">
        <f t="shared" si="39"/>
        <v>0</v>
      </c>
      <c r="J195" s="68">
        <v>241717316.53</v>
      </c>
      <c r="K195" s="69">
        <f t="shared" si="29"/>
        <v>603654224.80999994</v>
      </c>
      <c r="L195" s="63"/>
      <c r="M195" s="165"/>
      <c r="N195" s="70">
        <v>12</v>
      </c>
      <c r="O195" s="165"/>
      <c r="P195" s="68" t="s">
        <v>496</v>
      </c>
      <c r="Q195" s="68">
        <v>279735686.79000002</v>
      </c>
      <c r="R195" s="71">
        <v>0</v>
      </c>
      <c r="S195" s="68">
        <v>8392070.6038000006</v>
      </c>
      <c r="T195" s="68">
        <v>0</v>
      </c>
      <c r="U195" s="68">
        <f t="shared" si="37"/>
        <v>8392070.6038000006</v>
      </c>
      <c r="V195" s="68">
        <v>215851269.25999999</v>
      </c>
      <c r="W195" s="69">
        <f t="shared" si="30"/>
        <v>503979026.65380001</v>
      </c>
    </row>
    <row r="196" spans="1:23" ht="24.95" customHeight="1">
      <c r="A196" s="170"/>
      <c r="B196" s="165"/>
      <c r="C196" s="64">
        <v>14</v>
      </c>
      <c r="D196" s="68" t="s">
        <v>497</v>
      </c>
      <c r="E196" s="68">
        <v>342658852.33999997</v>
      </c>
      <c r="F196" s="68">
        <v>0</v>
      </c>
      <c r="G196" s="68">
        <v>10279765.5701</v>
      </c>
      <c r="H196" s="68">
        <v>10279765.5701</v>
      </c>
      <c r="I196" s="68">
        <f t="shared" si="39"/>
        <v>0</v>
      </c>
      <c r="J196" s="68">
        <v>237467398.77000001</v>
      </c>
      <c r="K196" s="69">
        <f t="shared" si="29"/>
        <v>580126251.11000001</v>
      </c>
      <c r="L196" s="63"/>
      <c r="M196" s="165"/>
      <c r="N196" s="70">
        <v>13</v>
      </c>
      <c r="O196" s="165"/>
      <c r="P196" s="68" t="s">
        <v>498</v>
      </c>
      <c r="Q196" s="68">
        <v>289997878.79000002</v>
      </c>
      <c r="R196" s="71">
        <v>0</v>
      </c>
      <c r="S196" s="68">
        <v>7567616.6331000002</v>
      </c>
      <c r="T196" s="68">
        <v>0</v>
      </c>
      <c r="U196" s="68">
        <f t="shared" si="37"/>
        <v>7567616.6331000002</v>
      </c>
      <c r="V196" s="68">
        <v>203272366.94999999</v>
      </c>
      <c r="W196" s="69">
        <f t="shared" si="30"/>
        <v>500837862.37309998</v>
      </c>
    </row>
    <row r="197" spans="1:23" ht="24.95" customHeight="1">
      <c r="A197" s="170"/>
      <c r="B197" s="165"/>
      <c r="C197" s="64">
        <v>15</v>
      </c>
      <c r="D197" s="68" t="s">
        <v>499</v>
      </c>
      <c r="E197" s="68">
        <v>388676289.81</v>
      </c>
      <c r="F197" s="68">
        <v>0</v>
      </c>
      <c r="G197" s="68">
        <v>11660288.694399999</v>
      </c>
      <c r="H197" s="68">
        <v>11660288.694399999</v>
      </c>
      <c r="I197" s="68">
        <f t="shared" si="39"/>
        <v>0</v>
      </c>
      <c r="J197" s="68">
        <v>248606468.34999999</v>
      </c>
      <c r="K197" s="69">
        <f t="shared" si="29"/>
        <v>637282758.15999997</v>
      </c>
      <c r="L197" s="63"/>
      <c r="M197" s="165"/>
      <c r="N197" s="70">
        <v>14</v>
      </c>
      <c r="O197" s="165"/>
      <c r="P197" s="68" t="s">
        <v>500</v>
      </c>
      <c r="Q197" s="68">
        <v>303749038.32999998</v>
      </c>
      <c r="R197" s="71">
        <v>0</v>
      </c>
      <c r="S197" s="68">
        <v>8699936.3636000007</v>
      </c>
      <c r="T197" s="68">
        <v>0</v>
      </c>
      <c r="U197" s="68">
        <f t="shared" si="37"/>
        <v>8699936.3636000007</v>
      </c>
      <c r="V197" s="68">
        <v>226767474.77000001</v>
      </c>
      <c r="W197" s="69">
        <f t="shared" si="30"/>
        <v>539216449.46360004</v>
      </c>
    </row>
    <row r="198" spans="1:23" ht="24.95" customHeight="1">
      <c r="A198" s="170"/>
      <c r="B198" s="165"/>
      <c r="C198" s="64">
        <v>16</v>
      </c>
      <c r="D198" s="68" t="s">
        <v>501</v>
      </c>
      <c r="E198" s="68">
        <v>365289035.29000002</v>
      </c>
      <c r="F198" s="68">
        <v>0</v>
      </c>
      <c r="G198" s="68">
        <v>10958671.058700001</v>
      </c>
      <c r="H198" s="68">
        <v>10958671.058700001</v>
      </c>
      <c r="I198" s="68">
        <f t="shared" si="39"/>
        <v>0</v>
      </c>
      <c r="J198" s="68">
        <v>241530276.06</v>
      </c>
      <c r="K198" s="69">
        <f t="shared" si="29"/>
        <v>606819311.35000002</v>
      </c>
      <c r="L198" s="63"/>
      <c r="M198" s="165"/>
      <c r="N198" s="70">
        <v>15</v>
      </c>
      <c r="O198" s="165"/>
      <c r="P198" s="68" t="s">
        <v>502</v>
      </c>
      <c r="Q198" s="68">
        <v>368296622.63</v>
      </c>
      <c r="R198" s="71">
        <v>0</v>
      </c>
      <c r="S198" s="68">
        <v>9112471.1499000005</v>
      </c>
      <c r="T198" s="68">
        <v>0</v>
      </c>
      <c r="U198" s="68">
        <f t="shared" si="37"/>
        <v>9112471.1499000005</v>
      </c>
      <c r="V198" s="68">
        <v>253781561.34999999</v>
      </c>
      <c r="W198" s="69">
        <f t="shared" si="30"/>
        <v>631190655.12989998</v>
      </c>
    </row>
    <row r="199" spans="1:23" ht="24.95" customHeight="1">
      <c r="A199" s="170"/>
      <c r="B199" s="165"/>
      <c r="C199" s="64">
        <v>17</v>
      </c>
      <c r="D199" s="68" t="s">
        <v>503</v>
      </c>
      <c r="E199" s="68">
        <v>366729087.44999999</v>
      </c>
      <c r="F199" s="68">
        <v>0</v>
      </c>
      <c r="G199" s="68">
        <v>11001872.623500001</v>
      </c>
      <c r="H199" s="68">
        <v>11001872.623500001</v>
      </c>
      <c r="I199" s="68">
        <f t="shared" si="39"/>
        <v>0</v>
      </c>
      <c r="J199" s="68">
        <v>249986365.46000001</v>
      </c>
      <c r="K199" s="69">
        <f t="shared" si="29"/>
        <v>616715452.90999997</v>
      </c>
      <c r="L199" s="63"/>
      <c r="M199" s="165"/>
      <c r="N199" s="70">
        <v>16</v>
      </c>
      <c r="O199" s="165"/>
      <c r="P199" s="68" t="s">
        <v>504</v>
      </c>
      <c r="Q199" s="68">
        <v>309177659.5</v>
      </c>
      <c r="R199" s="71">
        <v>0</v>
      </c>
      <c r="S199" s="68">
        <v>11048898.679</v>
      </c>
      <c r="T199" s="68">
        <v>0</v>
      </c>
      <c r="U199" s="68">
        <f t="shared" si="37"/>
        <v>11048898.679</v>
      </c>
      <c r="V199" s="68">
        <v>212652636.06999999</v>
      </c>
      <c r="W199" s="69">
        <f t="shared" si="30"/>
        <v>532879194.24900001</v>
      </c>
    </row>
    <row r="200" spans="1:23" ht="24.95" customHeight="1">
      <c r="A200" s="170"/>
      <c r="B200" s="166"/>
      <c r="C200" s="64">
        <v>18</v>
      </c>
      <c r="D200" s="68" t="s">
        <v>505</v>
      </c>
      <c r="E200" s="68">
        <v>404424632.43000001</v>
      </c>
      <c r="F200" s="68">
        <v>0</v>
      </c>
      <c r="G200" s="68">
        <v>12132738.972999999</v>
      </c>
      <c r="H200" s="68">
        <v>12132738.972999999</v>
      </c>
      <c r="I200" s="68">
        <f t="shared" si="39"/>
        <v>0</v>
      </c>
      <c r="J200" s="68">
        <v>254944143.56</v>
      </c>
      <c r="K200" s="69">
        <f t="shared" ref="K200:K263" si="41">E200+F200+I200+J200</f>
        <v>659368775.99000001</v>
      </c>
      <c r="L200" s="63"/>
      <c r="M200" s="165"/>
      <c r="N200" s="70">
        <v>17</v>
      </c>
      <c r="O200" s="165"/>
      <c r="P200" s="68" t="s">
        <v>506</v>
      </c>
      <c r="Q200" s="68">
        <v>287348471.61000001</v>
      </c>
      <c r="R200" s="71">
        <v>0</v>
      </c>
      <c r="S200" s="68">
        <v>9275329.7851</v>
      </c>
      <c r="T200" s="68">
        <v>0</v>
      </c>
      <c r="U200" s="68">
        <f t="shared" si="37"/>
        <v>9275329.7851</v>
      </c>
      <c r="V200" s="68">
        <v>218740579.53</v>
      </c>
      <c r="W200" s="69">
        <f t="shared" ref="W200:W263" si="42">Q200+U200+V200</f>
        <v>515364380.92509997</v>
      </c>
    </row>
    <row r="201" spans="1:23" ht="24.95" customHeight="1">
      <c r="A201" s="64"/>
      <c r="B201" s="179" t="s">
        <v>507</v>
      </c>
      <c r="C201" s="177"/>
      <c r="D201" s="72"/>
      <c r="E201" s="72">
        <f t="shared" ref="E201:K201" si="43">SUM(E183:E200)</f>
        <v>6478358022.5100002</v>
      </c>
      <c r="F201" s="68">
        <v>0</v>
      </c>
      <c r="G201" s="72">
        <f t="shared" si="43"/>
        <v>194350740.67560002</v>
      </c>
      <c r="H201" s="72">
        <f t="shared" si="43"/>
        <v>194350740.67560002</v>
      </c>
      <c r="I201" s="72">
        <f t="shared" si="43"/>
        <v>0</v>
      </c>
      <c r="J201" s="72">
        <f t="shared" si="43"/>
        <v>4276844359.5799999</v>
      </c>
      <c r="K201" s="72">
        <f t="shared" si="43"/>
        <v>10755202382.09</v>
      </c>
      <c r="L201" s="63"/>
      <c r="M201" s="165"/>
      <c r="N201" s="70">
        <v>18</v>
      </c>
      <c r="O201" s="165"/>
      <c r="P201" s="68" t="s">
        <v>508</v>
      </c>
      <c r="Q201" s="68">
        <v>272935704.07999998</v>
      </c>
      <c r="R201" s="71">
        <v>0</v>
      </c>
      <c r="S201" s="68">
        <v>8620454.1481999997</v>
      </c>
      <c r="T201" s="68">
        <v>0</v>
      </c>
      <c r="U201" s="68">
        <f t="shared" si="37"/>
        <v>8620454.1481999997</v>
      </c>
      <c r="V201" s="68">
        <v>200075111.59</v>
      </c>
      <c r="W201" s="69">
        <f t="shared" si="42"/>
        <v>481631269.81819999</v>
      </c>
    </row>
    <row r="202" spans="1:23" ht="24.95" customHeight="1">
      <c r="A202" s="170">
        <v>10</v>
      </c>
      <c r="B202" s="164" t="s">
        <v>509</v>
      </c>
      <c r="C202" s="64">
        <v>1</v>
      </c>
      <c r="D202" s="68" t="s">
        <v>510</v>
      </c>
      <c r="E202" s="68">
        <v>283202873.04000002</v>
      </c>
      <c r="F202" s="68">
        <v>0</v>
      </c>
      <c r="G202" s="68">
        <v>8496086.1911999993</v>
      </c>
      <c r="H202" s="68">
        <v>8496086.1911999993</v>
      </c>
      <c r="I202" s="68">
        <f t="shared" ref="I202:I226" si="44">G202-H202</f>
        <v>0</v>
      </c>
      <c r="J202" s="81">
        <v>212572559.61000001</v>
      </c>
      <c r="K202" s="69">
        <f t="shared" si="41"/>
        <v>495775432.65000004</v>
      </c>
      <c r="L202" s="63"/>
      <c r="M202" s="165"/>
      <c r="N202" s="70">
        <v>19</v>
      </c>
      <c r="O202" s="165"/>
      <c r="P202" s="68" t="s">
        <v>511</v>
      </c>
      <c r="Q202" s="68">
        <v>240375230.13</v>
      </c>
      <c r="R202" s="71">
        <v>0</v>
      </c>
      <c r="S202" s="68">
        <v>8188071.1223999998</v>
      </c>
      <c r="T202" s="68">
        <v>0</v>
      </c>
      <c r="U202" s="68">
        <f t="shared" si="37"/>
        <v>8188071.1223999998</v>
      </c>
      <c r="V202" s="68">
        <v>195588895.91999999</v>
      </c>
      <c r="W202" s="69">
        <f t="shared" si="42"/>
        <v>444152197.1724</v>
      </c>
    </row>
    <row r="203" spans="1:23" ht="24.95" customHeight="1">
      <c r="A203" s="170"/>
      <c r="B203" s="165"/>
      <c r="C203" s="64">
        <v>2</v>
      </c>
      <c r="D203" s="68" t="s">
        <v>512</v>
      </c>
      <c r="E203" s="68">
        <v>308679894.94999999</v>
      </c>
      <c r="F203" s="68">
        <v>0</v>
      </c>
      <c r="G203" s="68">
        <v>9260396.8485000003</v>
      </c>
      <c r="H203" s="68">
        <v>9260396.8485000003</v>
      </c>
      <c r="I203" s="68">
        <f t="shared" si="44"/>
        <v>0</v>
      </c>
      <c r="J203" s="81">
        <v>224936175.91999999</v>
      </c>
      <c r="K203" s="69">
        <f t="shared" si="41"/>
        <v>533616070.87</v>
      </c>
      <c r="L203" s="63"/>
      <c r="M203" s="166"/>
      <c r="N203" s="70">
        <v>20</v>
      </c>
      <c r="O203" s="166"/>
      <c r="P203" s="68" t="s">
        <v>513</v>
      </c>
      <c r="Q203" s="68">
        <v>370191014.81</v>
      </c>
      <c r="R203" s="71">
        <v>0</v>
      </c>
      <c r="S203" s="68">
        <v>11105730.444399999</v>
      </c>
      <c r="T203" s="68">
        <v>0</v>
      </c>
      <c r="U203" s="68">
        <f t="shared" si="37"/>
        <v>11105730.444399999</v>
      </c>
      <c r="V203" s="68">
        <v>262241784.22999999</v>
      </c>
      <c r="W203" s="69">
        <f t="shared" si="42"/>
        <v>643538529.48440003</v>
      </c>
    </row>
    <row r="204" spans="1:23" ht="24.95" customHeight="1">
      <c r="A204" s="170"/>
      <c r="B204" s="165"/>
      <c r="C204" s="64">
        <v>3</v>
      </c>
      <c r="D204" s="68" t="s">
        <v>514</v>
      </c>
      <c r="E204" s="68">
        <v>263870442.22999999</v>
      </c>
      <c r="F204" s="68">
        <v>0</v>
      </c>
      <c r="G204" s="68">
        <v>7916113.267</v>
      </c>
      <c r="H204" s="68">
        <v>7916113.267</v>
      </c>
      <c r="I204" s="68">
        <f t="shared" si="44"/>
        <v>0</v>
      </c>
      <c r="J204" s="81">
        <v>206349244.31</v>
      </c>
      <c r="K204" s="69">
        <f t="shared" si="41"/>
        <v>470219686.53999996</v>
      </c>
      <c r="L204" s="63"/>
      <c r="M204" s="64"/>
      <c r="N204" s="177" t="s">
        <v>515</v>
      </c>
      <c r="O204" s="178"/>
      <c r="P204" s="72"/>
      <c r="Q204" s="72">
        <f t="shared" ref="Q204:T204" si="45">SUM(Q184:Q203)</f>
        <v>6734670780.2200003</v>
      </c>
      <c r="R204" s="71">
        <v>0</v>
      </c>
      <c r="S204" s="72">
        <f t="shared" si="45"/>
        <v>202040123.40679997</v>
      </c>
      <c r="T204" s="72">
        <f t="shared" si="45"/>
        <v>0</v>
      </c>
      <c r="U204" s="72">
        <f t="shared" si="37"/>
        <v>202040123.40679997</v>
      </c>
      <c r="V204" s="72">
        <f>SUM(V184:V203)</f>
        <v>4783213599.8699999</v>
      </c>
      <c r="W204" s="72">
        <f>SUM(W184:W203)</f>
        <v>11719924503.496798</v>
      </c>
    </row>
    <row r="205" spans="1:23" ht="33.75" customHeight="1">
      <c r="A205" s="170"/>
      <c r="B205" s="165"/>
      <c r="C205" s="64">
        <v>4</v>
      </c>
      <c r="D205" s="68" t="s">
        <v>516</v>
      </c>
      <c r="E205" s="68">
        <v>379229538.44</v>
      </c>
      <c r="F205" s="68">
        <v>0</v>
      </c>
      <c r="G205" s="68">
        <v>11376886.153100001</v>
      </c>
      <c r="H205" s="68">
        <v>11376886.153100001</v>
      </c>
      <c r="I205" s="68">
        <f t="shared" si="44"/>
        <v>0</v>
      </c>
      <c r="J205" s="81">
        <v>248725106.06999999</v>
      </c>
      <c r="K205" s="69">
        <f t="shared" si="41"/>
        <v>627954644.50999999</v>
      </c>
      <c r="L205" s="63"/>
      <c r="M205" s="164">
        <v>28</v>
      </c>
      <c r="N205" s="70">
        <v>1</v>
      </c>
      <c r="O205" s="171" t="s">
        <v>102</v>
      </c>
      <c r="P205" s="78" t="s">
        <v>517</v>
      </c>
      <c r="Q205" s="68">
        <v>356834377.31999999</v>
      </c>
      <c r="R205" s="71">
        <v>0</v>
      </c>
      <c r="S205" s="68">
        <v>10705031.319700001</v>
      </c>
      <c r="T205" s="68">
        <v>10705031.319700001</v>
      </c>
      <c r="U205" s="68">
        <f t="shared" si="37"/>
        <v>0</v>
      </c>
      <c r="V205" s="68">
        <v>257558359.62</v>
      </c>
      <c r="W205" s="69">
        <f t="shared" si="42"/>
        <v>614392736.94000006</v>
      </c>
    </row>
    <row r="206" spans="1:23" ht="24.95" customHeight="1">
      <c r="A206" s="170"/>
      <c r="B206" s="165"/>
      <c r="C206" s="64">
        <v>5</v>
      </c>
      <c r="D206" s="68" t="s">
        <v>518</v>
      </c>
      <c r="E206" s="68">
        <v>345039952.12</v>
      </c>
      <c r="F206" s="68">
        <v>0</v>
      </c>
      <c r="G206" s="68">
        <v>10351198.5636</v>
      </c>
      <c r="H206" s="68">
        <v>10351198.5636</v>
      </c>
      <c r="I206" s="68">
        <f t="shared" si="44"/>
        <v>0</v>
      </c>
      <c r="J206" s="81">
        <v>245668389.41</v>
      </c>
      <c r="K206" s="69">
        <f t="shared" si="41"/>
        <v>590708341.52999997</v>
      </c>
      <c r="L206" s="63"/>
      <c r="M206" s="165"/>
      <c r="N206" s="70">
        <v>2</v>
      </c>
      <c r="O206" s="172"/>
      <c r="P206" s="78" t="s">
        <v>519</v>
      </c>
      <c r="Q206" s="68">
        <v>377473543.31999999</v>
      </c>
      <c r="R206" s="71">
        <v>0</v>
      </c>
      <c r="S206" s="68">
        <v>11324206.2996</v>
      </c>
      <c r="T206" s="68">
        <v>11324206.2996</v>
      </c>
      <c r="U206" s="68">
        <f t="shared" si="37"/>
        <v>0</v>
      </c>
      <c r="V206" s="68">
        <v>270779675.33999997</v>
      </c>
      <c r="W206" s="69">
        <f t="shared" si="42"/>
        <v>648253218.65999997</v>
      </c>
    </row>
    <row r="207" spans="1:23" ht="24.95" customHeight="1">
      <c r="A207" s="170"/>
      <c r="B207" s="165"/>
      <c r="C207" s="64">
        <v>6</v>
      </c>
      <c r="D207" s="68" t="s">
        <v>520</v>
      </c>
      <c r="E207" s="68">
        <v>353438475.05000001</v>
      </c>
      <c r="F207" s="68">
        <v>0</v>
      </c>
      <c r="G207" s="68">
        <v>10603154.251399999</v>
      </c>
      <c r="H207" s="68">
        <v>10603154.251399999</v>
      </c>
      <c r="I207" s="68">
        <f t="shared" si="44"/>
        <v>0</v>
      </c>
      <c r="J207" s="81">
        <v>246632870.66</v>
      </c>
      <c r="K207" s="69">
        <f t="shared" si="41"/>
        <v>600071345.71000004</v>
      </c>
      <c r="L207" s="63"/>
      <c r="M207" s="165"/>
      <c r="N207" s="70">
        <v>3</v>
      </c>
      <c r="O207" s="172"/>
      <c r="P207" s="78" t="s">
        <v>521</v>
      </c>
      <c r="Q207" s="68">
        <v>285041263.88999999</v>
      </c>
      <c r="R207" s="71">
        <v>0</v>
      </c>
      <c r="S207" s="68">
        <v>11528974.1228</v>
      </c>
      <c r="T207" s="68">
        <v>11528974.1228</v>
      </c>
      <c r="U207" s="68">
        <f t="shared" si="37"/>
        <v>0</v>
      </c>
      <c r="V207" s="68">
        <v>225529659.44</v>
      </c>
      <c r="W207" s="69">
        <f t="shared" si="42"/>
        <v>510570923.32999998</v>
      </c>
    </row>
    <row r="208" spans="1:23" ht="24.95" customHeight="1">
      <c r="A208" s="170"/>
      <c r="B208" s="165"/>
      <c r="C208" s="64">
        <v>7</v>
      </c>
      <c r="D208" s="68" t="s">
        <v>522</v>
      </c>
      <c r="E208" s="68">
        <v>374710001.27999997</v>
      </c>
      <c r="F208" s="68">
        <v>0</v>
      </c>
      <c r="G208" s="68">
        <v>11241300.0383</v>
      </c>
      <c r="H208" s="68">
        <v>11241300.0383</v>
      </c>
      <c r="I208" s="68">
        <f t="shared" si="44"/>
        <v>0</v>
      </c>
      <c r="J208" s="81">
        <v>239766108.59</v>
      </c>
      <c r="K208" s="69">
        <f t="shared" si="41"/>
        <v>614476109.87</v>
      </c>
      <c r="L208" s="63"/>
      <c r="M208" s="165"/>
      <c r="N208" s="70">
        <v>4</v>
      </c>
      <c r="O208" s="172"/>
      <c r="P208" s="78" t="s">
        <v>523</v>
      </c>
      <c r="Q208" s="68">
        <v>384299137.43000001</v>
      </c>
      <c r="R208" s="71">
        <v>0</v>
      </c>
      <c r="S208" s="68">
        <v>8551237.9166999999</v>
      </c>
      <c r="T208" s="68">
        <v>8551237.9166999999</v>
      </c>
      <c r="U208" s="68">
        <f t="shared" ref="U208:U239" si="46">S208-T208</f>
        <v>0</v>
      </c>
      <c r="V208" s="68">
        <v>276185592.76999998</v>
      </c>
      <c r="W208" s="69">
        <f t="shared" si="42"/>
        <v>660484730.20000005</v>
      </c>
    </row>
    <row r="209" spans="1:23" ht="24.95" customHeight="1">
      <c r="A209" s="170"/>
      <c r="B209" s="165"/>
      <c r="C209" s="64">
        <v>8</v>
      </c>
      <c r="D209" s="68" t="s">
        <v>524</v>
      </c>
      <c r="E209" s="68">
        <v>352420238.13</v>
      </c>
      <c r="F209" s="68">
        <v>0</v>
      </c>
      <c r="G209" s="68">
        <v>10572607.143999999</v>
      </c>
      <c r="H209" s="68">
        <v>10572607.143999999</v>
      </c>
      <c r="I209" s="68">
        <f t="shared" si="44"/>
        <v>0</v>
      </c>
      <c r="J209" s="81">
        <v>232510798.34999999</v>
      </c>
      <c r="K209" s="69">
        <f t="shared" si="41"/>
        <v>584931036.48000002</v>
      </c>
      <c r="L209" s="63"/>
      <c r="M209" s="165"/>
      <c r="N209" s="70">
        <v>5</v>
      </c>
      <c r="O209" s="172"/>
      <c r="P209" s="68" t="s">
        <v>525</v>
      </c>
      <c r="Q209" s="68">
        <v>298688748.25999999</v>
      </c>
      <c r="R209" s="71">
        <v>0</v>
      </c>
      <c r="S209" s="68">
        <v>8960662.4476999994</v>
      </c>
      <c r="T209" s="68">
        <v>8960662.4476999994</v>
      </c>
      <c r="U209" s="68">
        <f t="shared" si="46"/>
        <v>0</v>
      </c>
      <c r="V209" s="68">
        <v>242463539.06999999</v>
      </c>
      <c r="W209" s="69">
        <f t="shared" si="42"/>
        <v>541152287.32999992</v>
      </c>
    </row>
    <row r="210" spans="1:23" ht="24.95" customHeight="1">
      <c r="A210" s="170"/>
      <c r="B210" s="165"/>
      <c r="C210" s="64">
        <v>9</v>
      </c>
      <c r="D210" s="68" t="s">
        <v>526</v>
      </c>
      <c r="E210" s="68">
        <v>331601472.94999999</v>
      </c>
      <c r="F210" s="68">
        <v>0</v>
      </c>
      <c r="G210" s="68">
        <v>9948044.1885000002</v>
      </c>
      <c r="H210" s="68">
        <v>9948044.1885000002</v>
      </c>
      <c r="I210" s="68">
        <f t="shared" si="44"/>
        <v>0</v>
      </c>
      <c r="J210" s="81">
        <v>226159344.83000001</v>
      </c>
      <c r="K210" s="69">
        <f t="shared" si="41"/>
        <v>557760817.77999997</v>
      </c>
      <c r="L210" s="63"/>
      <c r="M210" s="165"/>
      <c r="N210" s="70">
        <v>6</v>
      </c>
      <c r="O210" s="172"/>
      <c r="P210" s="68" t="s">
        <v>527</v>
      </c>
      <c r="Q210" s="68">
        <v>459014365.63999999</v>
      </c>
      <c r="R210" s="71">
        <v>0</v>
      </c>
      <c r="S210" s="68">
        <v>13770430.9693</v>
      </c>
      <c r="T210" s="68">
        <v>13770430.9693</v>
      </c>
      <c r="U210" s="68">
        <f t="shared" si="46"/>
        <v>0</v>
      </c>
      <c r="V210" s="68">
        <v>318803608.22000003</v>
      </c>
      <c r="W210" s="69">
        <f t="shared" si="42"/>
        <v>777817973.86000001</v>
      </c>
    </row>
    <row r="211" spans="1:23" ht="24.95" customHeight="1">
      <c r="A211" s="170"/>
      <c r="B211" s="165"/>
      <c r="C211" s="64">
        <v>10</v>
      </c>
      <c r="D211" s="68" t="s">
        <v>528</v>
      </c>
      <c r="E211" s="68">
        <v>370804458.74000001</v>
      </c>
      <c r="F211" s="68">
        <v>0</v>
      </c>
      <c r="G211" s="68">
        <v>11124133.7621</v>
      </c>
      <c r="H211" s="68">
        <v>11124133.7621</v>
      </c>
      <c r="I211" s="68">
        <f t="shared" si="44"/>
        <v>0</v>
      </c>
      <c r="J211" s="81">
        <v>254941187.75999999</v>
      </c>
      <c r="K211" s="69">
        <f t="shared" si="41"/>
        <v>625745646.5</v>
      </c>
      <c r="L211" s="63"/>
      <c r="M211" s="165"/>
      <c r="N211" s="70">
        <v>7</v>
      </c>
      <c r="O211" s="172"/>
      <c r="P211" s="68" t="s">
        <v>529</v>
      </c>
      <c r="Q211" s="68">
        <v>323275358.32999998</v>
      </c>
      <c r="R211" s="71">
        <v>0</v>
      </c>
      <c r="S211" s="68">
        <v>9698260.7499000002</v>
      </c>
      <c r="T211" s="68">
        <v>9698260.7499000002</v>
      </c>
      <c r="U211" s="68">
        <f t="shared" si="46"/>
        <v>0</v>
      </c>
      <c r="V211" s="68">
        <v>250520746.58000001</v>
      </c>
      <c r="W211" s="69">
        <f t="shared" si="42"/>
        <v>573796104.90999997</v>
      </c>
    </row>
    <row r="212" spans="1:23" ht="24.95" customHeight="1">
      <c r="A212" s="170"/>
      <c r="B212" s="165"/>
      <c r="C212" s="64">
        <v>11</v>
      </c>
      <c r="D212" s="68" t="s">
        <v>530</v>
      </c>
      <c r="E212" s="68">
        <v>311590031.36000001</v>
      </c>
      <c r="F212" s="68">
        <v>0</v>
      </c>
      <c r="G212" s="68">
        <v>9347700.9408</v>
      </c>
      <c r="H212" s="68">
        <v>9347700.9408</v>
      </c>
      <c r="I212" s="68">
        <f t="shared" si="44"/>
        <v>0</v>
      </c>
      <c r="J212" s="81">
        <v>212042094.91999999</v>
      </c>
      <c r="K212" s="69">
        <f t="shared" si="41"/>
        <v>523632126.27999997</v>
      </c>
      <c r="L212" s="63"/>
      <c r="M212" s="165"/>
      <c r="N212" s="70">
        <v>8</v>
      </c>
      <c r="O212" s="172"/>
      <c r="P212" s="68" t="s">
        <v>531</v>
      </c>
      <c r="Q212" s="68">
        <v>325701404.07999998</v>
      </c>
      <c r="R212" s="71">
        <v>0</v>
      </c>
      <c r="S212" s="68">
        <v>9771042.1225000005</v>
      </c>
      <c r="T212" s="68">
        <v>9771042.1225000005</v>
      </c>
      <c r="U212" s="68">
        <f t="shared" si="46"/>
        <v>0</v>
      </c>
      <c r="V212" s="68">
        <v>241580694.27000001</v>
      </c>
      <c r="W212" s="69">
        <f t="shared" si="42"/>
        <v>567282098.35000002</v>
      </c>
    </row>
    <row r="213" spans="1:23" ht="24.95" customHeight="1">
      <c r="A213" s="170"/>
      <c r="B213" s="165"/>
      <c r="C213" s="64">
        <v>12</v>
      </c>
      <c r="D213" s="68" t="s">
        <v>532</v>
      </c>
      <c r="E213" s="68">
        <v>321357993.95999998</v>
      </c>
      <c r="F213" s="68">
        <v>0</v>
      </c>
      <c r="G213" s="68">
        <v>9640739.8188000005</v>
      </c>
      <c r="H213" s="68">
        <v>9640739.8188000005</v>
      </c>
      <c r="I213" s="68">
        <f t="shared" si="44"/>
        <v>0</v>
      </c>
      <c r="J213" s="81">
        <v>227940190.56999999</v>
      </c>
      <c r="K213" s="69">
        <f t="shared" si="41"/>
        <v>549298184.52999997</v>
      </c>
      <c r="L213" s="63"/>
      <c r="M213" s="165"/>
      <c r="N213" s="70">
        <v>9</v>
      </c>
      <c r="O213" s="172"/>
      <c r="P213" s="68" t="s">
        <v>533</v>
      </c>
      <c r="Q213" s="68">
        <v>391572618.06</v>
      </c>
      <c r="R213" s="71">
        <v>0</v>
      </c>
      <c r="S213" s="68">
        <v>11747178.5417</v>
      </c>
      <c r="T213" s="68">
        <v>11747178.5417</v>
      </c>
      <c r="U213" s="68">
        <f t="shared" si="46"/>
        <v>0</v>
      </c>
      <c r="V213" s="68">
        <v>257874571.69</v>
      </c>
      <c r="W213" s="69">
        <f t="shared" si="42"/>
        <v>649447189.75</v>
      </c>
    </row>
    <row r="214" spans="1:23" ht="24.95" customHeight="1">
      <c r="A214" s="170"/>
      <c r="B214" s="165"/>
      <c r="C214" s="64">
        <v>13</v>
      </c>
      <c r="D214" s="68" t="s">
        <v>534</v>
      </c>
      <c r="E214" s="68">
        <v>294356987.24000001</v>
      </c>
      <c r="F214" s="68">
        <v>0</v>
      </c>
      <c r="G214" s="68">
        <v>8830709.6172000002</v>
      </c>
      <c r="H214" s="68">
        <v>8830709.6172000002</v>
      </c>
      <c r="I214" s="68">
        <f t="shared" si="44"/>
        <v>0</v>
      </c>
      <c r="J214" s="81">
        <v>221293536.90000001</v>
      </c>
      <c r="K214" s="69">
        <f t="shared" si="41"/>
        <v>515650524.13999999</v>
      </c>
      <c r="L214" s="63"/>
      <c r="M214" s="165"/>
      <c r="N214" s="70">
        <v>10</v>
      </c>
      <c r="O214" s="172"/>
      <c r="P214" s="68" t="s">
        <v>535</v>
      </c>
      <c r="Q214" s="68">
        <v>424904342.83999997</v>
      </c>
      <c r="R214" s="71">
        <v>0</v>
      </c>
      <c r="S214" s="68">
        <v>12747130.2852</v>
      </c>
      <c r="T214" s="68">
        <v>12747130.2852</v>
      </c>
      <c r="U214" s="68">
        <f t="shared" si="46"/>
        <v>0</v>
      </c>
      <c r="V214" s="68">
        <v>297241940.85000002</v>
      </c>
      <c r="W214" s="69">
        <f t="shared" si="42"/>
        <v>722146283.69000006</v>
      </c>
    </row>
    <row r="215" spans="1:23" ht="24.95" customHeight="1">
      <c r="A215" s="170"/>
      <c r="B215" s="165"/>
      <c r="C215" s="64">
        <v>14</v>
      </c>
      <c r="D215" s="68" t="s">
        <v>536</v>
      </c>
      <c r="E215" s="68">
        <v>288282945.56</v>
      </c>
      <c r="F215" s="68">
        <v>0</v>
      </c>
      <c r="G215" s="68">
        <v>8648488.3666999992</v>
      </c>
      <c r="H215" s="68">
        <v>8648488.3666999992</v>
      </c>
      <c r="I215" s="68">
        <f t="shared" si="44"/>
        <v>0</v>
      </c>
      <c r="J215" s="81">
        <v>216225532.36000001</v>
      </c>
      <c r="K215" s="69">
        <f t="shared" si="41"/>
        <v>504508477.92000002</v>
      </c>
      <c r="L215" s="63"/>
      <c r="M215" s="165"/>
      <c r="N215" s="70">
        <v>11</v>
      </c>
      <c r="O215" s="172"/>
      <c r="P215" s="68" t="s">
        <v>537</v>
      </c>
      <c r="Q215" s="68">
        <v>325115250.69</v>
      </c>
      <c r="R215" s="71">
        <v>0</v>
      </c>
      <c r="S215" s="68">
        <v>9753457.5208000001</v>
      </c>
      <c r="T215" s="68">
        <v>9753457.5208000001</v>
      </c>
      <c r="U215" s="68">
        <f t="shared" si="46"/>
        <v>0</v>
      </c>
      <c r="V215" s="68">
        <v>256683781.80000001</v>
      </c>
      <c r="W215" s="69">
        <f t="shared" si="42"/>
        <v>581799032.49000001</v>
      </c>
    </row>
    <row r="216" spans="1:23" ht="24.95" customHeight="1">
      <c r="A216" s="170"/>
      <c r="B216" s="165"/>
      <c r="C216" s="64">
        <v>15</v>
      </c>
      <c r="D216" s="68" t="s">
        <v>538</v>
      </c>
      <c r="E216" s="68">
        <v>312820246.75999999</v>
      </c>
      <c r="F216" s="68">
        <v>0</v>
      </c>
      <c r="G216" s="68">
        <v>9384607.4027999993</v>
      </c>
      <c r="H216" s="68">
        <v>9384607.4027999993</v>
      </c>
      <c r="I216" s="68">
        <f t="shared" si="44"/>
        <v>0</v>
      </c>
      <c r="J216" s="81">
        <v>228035949.78</v>
      </c>
      <c r="K216" s="69">
        <f t="shared" si="41"/>
        <v>540856196.53999996</v>
      </c>
      <c r="L216" s="63"/>
      <c r="M216" s="165"/>
      <c r="N216" s="70">
        <v>12</v>
      </c>
      <c r="O216" s="172"/>
      <c r="P216" s="68" t="s">
        <v>539</v>
      </c>
      <c r="Q216" s="68">
        <v>336515595.23000002</v>
      </c>
      <c r="R216" s="71">
        <v>0</v>
      </c>
      <c r="S216" s="68">
        <v>10095467.856899999</v>
      </c>
      <c r="T216" s="68">
        <v>10095467.856899999</v>
      </c>
      <c r="U216" s="68">
        <f t="shared" si="46"/>
        <v>0</v>
      </c>
      <c r="V216" s="68">
        <v>247140928.69999999</v>
      </c>
      <c r="W216" s="69">
        <f t="shared" si="42"/>
        <v>583656523.93000007</v>
      </c>
    </row>
    <row r="217" spans="1:23" ht="24.95" customHeight="1">
      <c r="A217" s="170"/>
      <c r="B217" s="165"/>
      <c r="C217" s="64">
        <v>16</v>
      </c>
      <c r="D217" s="68" t="s">
        <v>540</v>
      </c>
      <c r="E217" s="68">
        <v>258340283.55000001</v>
      </c>
      <c r="F217" s="68">
        <v>0</v>
      </c>
      <c r="G217" s="68">
        <v>7750208.5066</v>
      </c>
      <c r="H217" s="68">
        <v>7750208.5066</v>
      </c>
      <c r="I217" s="68">
        <f t="shared" si="44"/>
        <v>0</v>
      </c>
      <c r="J217" s="81">
        <v>199826250.91</v>
      </c>
      <c r="K217" s="69">
        <f t="shared" si="41"/>
        <v>458166534.46000004</v>
      </c>
      <c r="L217" s="63"/>
      <c r="M217" s="165"/>
      <c r="N217" s="70">
        <v>13</v>
      </c>
      <c r="O217" s="172"/>
      <c r="P217" s="68" t="s">
        <v>541</v>
      </c>
      <c r="Q217" s="68">
        <v>312729458.60000002</v>
      </c>
      <c r="R217" s="71">
        <v>0</v>
      </c>
      <c r="S217" s="68">
        <v>9381883.7580999993</v>
      </c>
      <c r="T217" s="68">
        <v>9381883.7580999993</v>
      </c>
      <c r="U217" s="68">
        <f t="shared" si="46"/>
        <v>0</v>
      </c>
      <c r="V217" s="68">
        <v>276483548.58999997</v>
      </c>
      <c r="W217" s="69">
        <f t="shared" si="42"/>
        <v>589213007.19000006</v>
      </c>
    </row>
    <row r="218" spans="1:23" ht="24.95" customHeight="1">
      <c r="A218" s="170"/>
      <c r="B218" s="165"/>
      <c r="C218" s="64">
        <v>17</v>
      </c>
      <c r="D218" s="68" t="s">
        <v>542</v>
      </c>
      <c r="E218" s="68">
        <v>325399558.82999998</v>
      </c>
      <c r="F218" s="68">
        <v>0</v>
      </c>
      <c r="G218" s="68">
        <v>9761986.7649000008</v>
      </c>
      <c r="H218" s="68">
        <v>9761986.7649000008</v>
      </c>
      <c r="I218" s="68">
        <f t="shared" si="44"/>
        <v>0</v>
      </c>
      <c r="J218" s="81">
        <v>235712187.19999999</v>
      </c>
      <c r="K218" s="69">
        <f t="shared" si="41"/>
        <v>561111746.02999997</v>
      </c>
      <c r="L218" s="63"/>
      <c r="M218" s="165"/>
      <c r="N218" s="70">
        <v>14</v>
      </c>
      <c r="O218" s="172"/>
      <c r="P218" s="68" t="s">
        <v>543</v>
      </c>
      <c r="Q218" s="68">
        <v>391110862.98000002</v>
      </c>
      <c r="R218" s="71">
        <v>0</v>
      </c>
      <c r="S218" s="68">
        <v>11733325.8894</v>
      </c>
      <c r="T218" s="68">
        <v>11733325.8894</v>
      </c>
      <c r="U218" s="68">
        <f t="shared" si="46"/>
        <v>0</v>
      </c>
      <c r="V218" s="68">
        <v>277590635.29000002</v>
      </c>
      <c r="W218" s="69">
        <f t="shared" si="42"/>
        <v>668701498.26999998</v>
      </c>
    </row>
    <row r="219" spans="1:23" ht="24.95" customHeight="1">
      <c r="A219" s="170"/>
      <c r="B219" s="165"/>
      <c r="C219" s="64">
        <v>18</v>
      </c>
      <c r="D219" s="68" t="s">
        <v>544</v>
      </c>
      <c r="E219" s="68">
        <v>342123935.72000003</v>
      </c>
      <c r="F219" s="68">
        <v>0</v>
      </c>
      <c r="G219" s="68">
        <v>10263718.071699999</v>
      </c>
      <c r="H219" s="68">
        <v>10263718.071699999</v>
      </c>
      <c r="I219" s="68">
        <f t="shared" si="44"/>
        <v>0</v>
      </c>
      <c r="J219" s="81">
        <v>225885845.5</v>
      </c>
      <c r="K219" s="69">
        <f t="shared" si="41"/>
        <v>568009781.22000003</v>
      </c>
      <c r="L219" s="63"/>
      <c r="M219" s="165"/>
      <c r="N219" s="70">
        <v>15</v>
      </c>
      <c r="O219" s="172"/>
      <c r="P219" s="68" t="s">
        <v>545</v>
      </c>
      <c r="Q219" s="68">
        <v>259567954.59</v>
      </c>
      <c r="R219" s="71">
        <v>0</v>
      </c>
      <c r="S219" s="68">
        <v>7787038.6376999998</v>
      </c>
      <c r="T219" s="68">
        <v>7787038.6376999998</v>
      </c>
      <c r="U219" s="68">
        <f t="shared" si="46"/>
        <v>0</v>
      </c>
      <c r="V219" s="68">
        <v>222888358.63</v>
      </c>
      <c r="W219" s="69">
        <f t="shared" si="42"/>
        <v>482456313.22000003</v>
      </c>
    </row>
    <row r="220" spans="1:23" ht="24.95" customHeight="1">
      <c r="A220" s="170"/>
      <c r="B220" s="165"/>
      <c r="C220" s="64">
        <v>19</v>
      </c>
      <c r="D220" s="68" t="s">
        <v>546</v>
      </c>
      <c r="E220" s="68">
        <v>446803902.06</v>
      </c>
      <c r="F220" s="68">
        <v>0</v>
      </c>
      <c r="G220" s="68">
        <v>13404117.061899999</v>
      </c>
      <c r="H220" s="68">
        <v>13404117.061899999</v>
      </c>
      <c r="I220" s="68">
        <f t="shared" si="44"/>
        <v>0</v>
      </c>
      <c r="J220" s="81">
        <v>287084592.31999999</v>
      </c>
      <c r="K220" s="69">
        <f t="shared" si="41"/>
        <v>733888494.38</v>
      </c>
      <c r="L220" s="63"/>
      <c r="M220" s="165"/>
      <c r="N220" s="70">
        <v>16</v>
      </c>
      <c r="O220" s="172"/>
      <c r="P220" s="68" t="s">
        <v>547</v>
      </c>
      <c r="Q220" s="68">
        <v>428995177.60000002</v>
      </c>
      <c r="R220" s="71">
        <v>0</v>
      </c>
      <c r="S220" s="68">
        <v>12869855.328</v>
      </c>
      <c r="T220" s="68">
        <v>12869855.328</v>
      </c>
      <c r="U220" s="68">
        <f t="shared" si="46"/>
        <v>0</v>
      </c>
      <c r="V220" s="68">
        <v>294850371.80000001</v>
      </c>
      <c r="W220" s="69">
        <f t="shared" si="42"/>
        <v>723845549.4000001</v>
      </c>
    </row>
    <row r="221" spans="1:23" ht="24.95" customHeight="1">
      <c r="A221" s="170"/>
      <c r="B221" s="165"/>
      <c r="C221" s="64">
        <v>20</v>
      </c>
      <c r="D221" s="68" t="s">
        <v>548</v>
      </c>
      <c r="E221" s="68">
        <v>354188357.33999997</v>
      </c>
      <c r="F221" s="68">
        <v>0</v>
      </c>
      <c r="G221" s="68">
        <v>10625650.7203</v>
      </c>
      <c r="H221" s="68">
        <v>10625650.7203</v>
      </c>
      <c r="I221" s="68">
        <f t="shared" si="44"/>
        <v>0</v>
      </c>
      <c r="J221" s="81">
        <v>250071935.25</v>
      </c>
      <c r="K221" s="69">
        <f t="shared" si="41"/>
        <v>604260292.58999991</v>
      </c>
      <c r="L221" s="63"/>
      <c r="M221" s="165"/>
      <c r="N221" s="70">
        <v>17</v>
      </c>
      <c r="O221" s="172"/>
      <c r="P221" s="68" t="s">
        <v>549</v>
      </c>
      <c r="Q221" s="68">
        <v>345653729.99000001</v>
      </c>
      <c r="R221" s="71">
        <v>0</v>
      </c>
      <c r="S221" s="68">
        <v>10369611.899800001</v>
      </c>
      <c r="T221" s="68">
        <v>10369611.899800001</v>
      </c>
      <c r="U221" s="68">
        <f t="shared" si="46"/>
        <v>0</v>
      </c>
      <c r="V221" s="68">
        <v>247049647.44</v>
      </c>
      <c r="W221" s="69">
        <f t="shared" si="42"/>
        <v>592703377.43000007</v>
      </c>
    </row>
    <row r="222" spans="1:23" ht="24.95" customHeight="1">
      <c r="A222" s="170"/>
      <c r="B222" s="165"/>
      <c r="C222" s="64">
        <v>21</v>
      </c>
      <c r="D222" s="68" t="s">
        <v>550</v>
      </c>
      <c r="E222" s="68">
        <v>280902820.81999999</v>
      </c>
      <c r="F222" s="68">
        <v>0</v>
      </c>
      <c r="G222" s="68">
        <v>8427084.6246000007</v>
      </c>
      <c r="H222" s="68">
        <v>8427084.6246000007</v>
      </c>
      <c r="I222" s="68">
        <f t="shared" si="44"/>
        <v>0</v>
      </c>
      <c r="J222" s="81">
        <v>217973310.18000001</v>
      </c>
      <c r="K222" s="69">
        <f t="shared" si="41"/>
        <v>498876131</v>
      </c>
      <c r="L222" s="63"/>
      <c r="M222" s="166"/>
      <c r="N222" s="70">
        <v>18</v>
      </c>
      <c r="O222" s="173"/>
      <c r="P222" s="68" t="s">
        <v>551</v>
      </c>
      <c r="Q222" s="68">
        <v>405543404.07999998</v>
      </c>
      <c r="R222" s="71">
        <v>0</v>
      </c>
      <c r="S222" s="68">
        <v>12166302.122500001</v>
      </c>
      <c r="T222" s="68">
        <v>12166302.122500001</v>
      </c>
      <c r="U222" s="68">
        <f t="shared" si="46"/>
        <v>0</v>
      </c>
      <c r="V222" s="68">
        <v>272534342.31</v>
      </c>
      <c r="W222" s="69">
        <f t="shared" si="42"/>
        <v>678077746.38999999</v>
      </c>
    </row>
    <row r="223" spans="1:23" ht="24.95" customHeight="1">
      <c r="A223" s="170"/>
      <c r="B223" s="165"/>
      <c r="C223" s="64">
        <v>22</v>
      </c>
      <c r="D223" s="68" t="s">
        <v>552</v>
      </c>
      <c r="E223" s="68">
        <v>330057074.17000002</v>
      </c>
      <c r="F223" s="68">
        <v>0</v>
      </c>
      <c r="G223" s="68">
        <v>9901712.2250999995</v>
      </c>
      <c r="H223" s="68">
        <v>9901712.2250999995</v>
      </c>
      <c r="I223" s="68">
        <f t="shared" si="44"/>
        <v>0</v>
      </c>
      <c r="J223" s="81">
        <v>242458044.66</v>
      </c>
      <c r="K223" s="69">
        <f t="shared" si="41"/>
        <v>572515118.83000004</v>
      </c>
      <c r="L223" s="63"/>
      <c r="M223" s="64"/>
      <c r="N223" s="177" t="s">
        <v>553</v>
      </c>
      <c r="O223" s="178"/>
      <c r="P223" s="72"/>
      <c r="Q223" s="72">
        <f t="shared" ref="Q223:T223" si="47">SUM(Q205:Q222)</f>
        <v>6432036592.9300003</v>
      </c>
      <c r="R223" s="71">
        <v>0</v>
      </c>
      <c r="S223" s="72">
        <f t="shared" si="47"/>
        <v>192961097.78830001</v>
      </c>
      <c r="T223" s="72">
        <f t="shared" si="47"/>
        <v>192961097.78830001</v>
      </c>
      <c r="U223" s="72">
        <f t="shared" si="46"/>
        <v>0</v>
      </c>
      <c r="V223" s="72">
        <f>SUM(V205:V222)</f>
        <v>4733760002.4100008</v>
      </c>
      <c r="W223" s="72">
        <f>SUM(W205:W222)</f>
        <v>11165796595.34</v>
      </c>
    </row>
    <row r="224" spans="1:23" ht="24.95" customHeight="1">
      <c r="A224" s="170"/>
      <c r="B224" s="165"/>
      <c r="C224" s="64">
        <v>23</v>
      </c>
      <c r="D224" s="68" t="s">
        <v>554</v>
      </c>
      <c r="E224" s="68">
        <v>337542614.25999999</v>
      </c>
      <c r="F224" s="68">
        <v>0</v>
      </c>
      <c r="G224" s="68">
        <v>12304981.1744</v>
      </c>
      <c r="H224" s="68">
        <v>12304981.1744</v>
      </c>
      <c r="I224" s="68">
        <f t="shared" si="44"/>
        <v>0</v>
      </c>
      <c r="J224" s="81">
        <v>223798088.03999999</v>
      </c>
      <c r="K224" s="69">
        <f t="shared" si="41"/>
        <v>561340702.29999995</v>
      </c>
      <c r="L224" s="63"/>
      <c r="M224" s="164">
        <v>29</v>
      </c>
      <c r="N224" s="70">
        <v>1</v>
      </c>
      <c r="O224" s="164" t="s">
        <v>103</v>
      </c>
      <c r="P224" s="68" t="s">
        <v>555</v>
      </c>
      <c r="Q224" s="68">
        <v>253445657.65000001</v>
      </c>
      <c r="R224" s="71">
        <v>0</v>
      </c>
      <c r="S224" s="68">
        <v>7603369.7295000004</v>
      </c>
      <c r="T224" s="68">
        <v>0</v>
      </c>
      <c r="U224" s="68">
        <f t="shared" si="46"/>
        <v>7603369.7295000004</v>
      </c>
      <c r="V224" s="68">
        <v>186595956.66999999</v>
      </c>
      <c r="W224" s="69">
        <f t="shared" si="42"/>
        <v>447644984.04949999</v>
      </c>
    </row>
    <row r="225" spans="1:23" ht="24.95" customHeight="1">
      <c r="A225" s="170"/>
      <c r="B225" s="165"/>
      <c r="C225" s="64">
        <v>24</v>
      </c>
      <c r="D225" s="68" t="s">
        <v>556</v>
      </c>
      <c r="E225" s="68">
        <v>410166039.14999998</v>
      </c>
      <c r="F225" s="68">
        <v>0</v>
      </c>
      <c r="G225" s="68">
        <v>10126278.4278</v>
      </c>
      <c r="H225" s="68">
        <v>10126278.4278</v>
      </c>
      <c r="I225" s="68">
        <f t="shared" si="44"/>
        <v>0</v>
      </c>
      <c r="J225" s="81">
        <v>281018349.66000003</v>
      </c>
      <c r="K225" s="69">
        <f t="shared" si="41"/>
        <v>691184388.80999994</v>
      </c>
      <c r="L225" s="63"/>
      <c r="M225" s="165"/>
      <c r="N225" s="70">
        <v>2</v>
      </c>
      <c r="O225" s="165"/>
      <c r="P225" s="68" t="s">
        <v>557</v>
      </c>
      <c r="Q225" s="68">
        <v>254156607.80000001</v>
      </c>
      <c r="R225" s="71">
        <v>0</v>
      </c>
      <c r="S225" s="68">
        <v>7624698.2339000003</v>
      </c>
      <c r="T225" s="68">
        <v>0</v>
      </c>
      <c r="U225" s="68">
        <f t="shared" si="46"/>
        <v>7624698.2339000003</v>
      </c>
      <c r="V225" s="68">
        <v>183993924.03</v>
      </c>
      <c r="W225" s="69">
        <f t="shared" si="42"/>
        <v>445775230.06389999</v>
      </c>
    </row>
    <row r="226" spans="1:23" ht="24.95" customHeight="1">
      <c r="A226" s="170"/>
      <c r="B226" s="166"/>
      <c r="C226" s="64">
        <v>25</v>
      </c>
      <c r="D226" s="68" t="s">
        <v>558</v>
      </c>
      <c r="E226" s="68">
        <v>324156529.30000001</v>
      </c>
      <c r="F226" s="68">
        <v>0</v>
      </c>
      <c r="G226" s="68">
        <v>9724695.8791000005</v>
      </c>
      <c r="H226" s="68">
        <v>9724695.8791000005</v>
      </c>
      <c r="I226" s="68">
        <f t="shared" si="44"/>
        <v>0</v>
      </c>
      <c r="J226" s="81">
        <v>216695716.97</v>
      </c>
      <c r="K226" s="69">
        <f t="shared" si="41"/>
        <v>540852246.26999998</v>
      </c>
      <c r="L226" s="63"/>
      <c r="M226" s="165"/>
      <c r="N226" s="70">
        <v>3</v>
      </c>
      <c r="O226" s="165"/>
      <c r="P226" s="68" t="s">
        <v>559</v>
      </c>
      <c r="Q226" s="68">
        <v>316636441.62</v>
      </c>
      <c r="R226" s="71">
        <v>0</v>
      </c>
      <c r="S226" s="68">
        <v>9499093.2486000005</v>
      </c>
      <c r="T226" s="68">
        <v>0</v>
      </c>
      <c r="U226" s="68">
        <f t="shared" si="46"/>
        <v>9499093.2486000005</v>
      </c>
      <c r="V226" s="68">
        <v>212152987.63999999</v>
      </c>
      <c r="W226" s="69">
        <f t="shared" si="42"/>
        <v>538288522.5086</v>
      </c>
    </row>
    <row r="227" spans="1:23" ht="24.95" customHeight="1">
      <c r="A227" s="64"/>
      <c r="B227" s="179" t="s">
        <v>560</v>
      </c>
      <c r="C227" s="177"/>
      <c r="D227" s="72"/>
      <c r="E227" s="72">
        <f t="shared" ref="E227:K227" si="48">SUM(E202:E226)</f>
        <v>8301086667.0100021</v>
      </c>
      <c r="F227" s="68">
        <v>0</v>
      </c>
      <c r="G227" s="72">
        <f t="shared" si="48"/>
        <v>249032600.01039997</v>
      </c>
      <c r="H227" s="72">
        <f t="shared" si="48"/>
        <v>249032600.01039997</v>
      </c>
      <c r="I227" s="72">
        <f t="shared" si="48"/>
        <v>0</v>
      </c>
      <c r="J227" s="72">
        <f t="shared" si="48"/>
        <v>5824323410.7300005</v>
      </c>
      <c r="K227" s="72">
        <f t="shared" si="48"/>
        <v>14125410077.739998</v>
      </c>
      <c r="L227" s="63"/>
      <c r="M227" s="165"/>
      <c r="N227" s="70">
        <v>4</v>
      </c>
      <c r="O227" s="165"/>
      <c r="P227" s="68" t="s">
        <v>561</v>
      </c>
      <c r="Q227" s="68">
        <v>279899615.70999998</v>
      </c>
      <c r="R227" s="71">
        <v>0</v>
      </c>
      <c r="S227" s="68">
        <v>8396988.4712000005</v>
      </c>
      <c r="T227" s="68">
        <v>0</v>
      </c>
      <c r="U227" s="68">
        <f t="shared" si="46"/>
        <v>8396988.4712000005</v>
      </c>
      <c r="V227" s="68">
        <v>186475052.06</v>
      </c>
      <c r="W227" s="69">
        <f t="shared" si="42"/>
        <v>474771656.24119997</v>
      </c>
    </row>
    <row r="228" spans="1:23" ht="24.95" customHeight="1">
      <c r="A228" s="170"/>
      <c r="B228" s="164" t="s">
        <v>562</v>
      </c>
      <c r="C228" s="64">
        <v>1</v>
      </c>
      <c r="D228" s="68" t="s">
        <v>563</v>
      </c>
      <c r="E228" s="68">
        <v>368101448.38270003</v>
      </c>
      <c r="F228" s="68">
        <f>-3791444.9183</f>
        <v>-3791444.9183</v>
      </c>
      <c r="G228" s="68">
        <v>11043043.4515</v>
      </c>
      <c r="H228" s="68">
        <v>0</v>
      </c>
      <c r="I228" s="68">
        <f t="shared" ref="I228:I240" si="49">G228-H228</f>
        <v>11043043.4515</v>
      </c>
      <c r="J228" s="81">
        <v>222693023.49000001</v>
      </c>
      <c r="K228" s="69">
        <f t="shared" si="41"/>
        <v>598046070.4059</v>
      </c>
      <c r="L228" s="63"/>
      <c r="M228" s="165"/>
      <c r="N228" s="70">
        <v>5</v>
      </c>
      <c r="O228" s="165"/>
      <c r="P228" s="68" t="s">
        <v>564</v>
      </c>
      <c r="Q228" s="68">
        <v>264872858.97999999</v>
      </c>
      <c r="R228" s="71">
        <v>0</v>
      </c>
      <c r="S228" s="68">
        <v>7946185.7692999998</v>
      </c>
      <c r="T228" s="68">
        <v>0</v>
      </c>
      <c r="U228" s="68">
        <f t="shared" si="46"/>
        <v>7946185.7692999998</v>
      </c>
      <c r="V228" s="68">
        <v>184728307.62</v>
      </c>
      <c r="W228" s="69">
        <f t="shared" si="42"/>
        <v>457547352.36930001</v>
      </c>
    </row>
    <row r="229" spans="1:23" ht="24.95" customHeight="1">
      <c r="A229" s="170"/>
      <c r="B229" s="165"/>
      <c r="C229" s="64">
        <v>2</v>
      </c>
      <c r="D229" s="68" t="s">
        <v>565</v>
      </c>
      <c r="E229" s="68">
        <v>345646681.63169998</v>
      </c>
      <c r="F229" s="68">
        <f>-3560160.8208</f>
        <v>-3560160.8207999999</v>
      </c>
      <c r="G229" s="68">
        <v>10369400.448999999</v>
      </c>
      <c r="H229" s="68">
        <v>0</v>
      </c>
      <c r="I229" s="68">
        <f t="shared" si="49"/>
        <v>10369400.448999999</v>
      </c>
      <c r="J229" s="81">
        <v>224376732.19999999</v>
      </c>
      <c r="K229" s="69">
        <f t="shared" si="41"/>
        <v>576832653.4598999</v>
      </c>
      <c r="L229" s="63"/>
      <c r="M229" s="165"/>
      <c r="N229" s="70">
        <v>6</v>
      </c>
      <c r="O229" s="165"/>
      <c r="P229" s="68" t="s">
        <v>566</v>
      </c>
      <c r="Q229" s="68">
        <v>301677176.57999998</v>
      </c>
      <c r="R229" s="71">
        <v>0</v>
      </c>
      <c r="S229" s="68">
        <v>9050315.2974999994</v>
      </c>
      <c r="T229" s="68">
        <v>0</v>
      </c>
      <c r="U229" s="68">
        <f t="shared" si="46"/>
        <v>9050315.2974999994</v>
      </c>
      <c r="V229" s="68">
        <v>208352242.58000001</v>
      </c>
      <c r="W229" s="69">
        <f t="shared" si="42"/>
        <v>519079734.45749998</v>
      </c>
    </row>
    <row r="230" spans="1:23" ht="24.95" customHeight="1">
      <c r="A230" s="170"/>
      <c r="B230" s="165"/>
      <c r="C230" s="64">
        <v>3</v>
      </c>
      <c r="D230" s="68" t="s">
        <v>567</v>
      </c>
      <c r="E230" s="68">
        <v>348622220.27569997</v>
      </c>
      <c r="F230" s="68">
        <f>-3590808.8688</f>
        <v>-3590808.8687999998</v>
      </c>
      <c r="G230" s="68">
        <v>10458666.6083</v>
      </c>
      <c r="H230" s="68">
        <v>0</v>
      </c>
      <c r="I230" s="68">
        <f t="shared" si="49"/>
        <v>10458666.6083</v>
      </c>
      <c r="J230" s="81">
        <v>224535527.15000001</v>
      </c>
      <c r="K230" s="69">
        <f t="shared" si="41"/>
        <v>580025605.1652</v>
      </c>
      <c r="L230" s="63"/>
      <c r="M230" s="165"/>
      <c r="N230" s="70">
        <v>7</v>
      </c>
      <c r="O230" s="165"/>
      <c r="P230" s="68" t="s">
        <v>568</v>
      </c>
      <c r="Q230" s="68">
        <v>252850296.12</v>
      </c>
      <c r="R230" s="71">
        <v>0</v>
      </c>
      <c r="S230" s="68">
        <v>7585508.8835000005</v>
      </c>
      <c r="T230" s="68">
        <v>0</v>
      </c>
      <c r="U230" s="68">
        <f t="shared" si="46"/>
        <v>7585508.8835000005</v>
      </c>
      <c r="V230" s="68">
        <v>189225545.91999999</v>
      </c>
      <c r="W230" s="69">
        <f t="shared" si="42"/>
        <v>449661350.9235</v>
      </c>
    </row>
    <row r="231" spans="1:23" ht="24.95" customHeight="1">
      <c r="A231" s="170"/>
      <c r="B231" s="165"/>
      <c r="C231" s="64">
        <v>4</v>
      </c>
      <c r="D231" s="68" t="s">
        <v>85</v>
      </c>
      <c r="E231" s="68">
        <v>336169234.83610004</v>
      </c>
      <c r="F231" s="68">
        <f>-3462543.1188</f>
        <v>-3462543.1187999998</v>
      </c>
      <c r="G231" s="68">
        <v>10085077.0451</v>
      </c>
      <c r="H231" s="68">
        <v>0</v>
      </c>
      <c r="I231" s="68">
        <f t="shared" si="49"/>
        <v>10085077.0451</v>
      </c>
      <c r="J231" s="81">
        <v>214120851.88</v>
      </c>
      <c r="K231" s="69">
        <f t="shared" si="41"/>
        <v>556912620.64240003</v>
      </c>
      <c r="L231" s="63"/>
      <c r="M231" s="165"/>
      <c r="N231" s="70">
        <v>8</v>
      </c>
      <c r="O231" s="165"/>
      <c r="P231" s="68" t="s">
        <v>569</v>
      </c>
      <c r="Q231" s="68">
        <v>262598013.36000001</v>
      </c>
      <c r="R231" s="71">
        <v>0</v>
      </c>
      <c r="S231" s="68">
        <v>7877940.4007999999</v>
      </c>
      <c r="T231" s="68">
        <v>0</v>
      </c>
      <c r="U231" s="68">
        <f t="shared" si="46"/>
        <v>7877940.4007999999</v>
      </c>
      <c r="V231" s="68">
        <v>186540154.53999999</v>
      </c>
      <c r="W231" s="69">
        <f t="shared" si="42"/>
        <v>457016108.30079997</v>
      </c>
    </row>
    <row r="232" spans="1:23" ht="24.95" customHeight="1">
      <c r="A232" s="170"/>
      <c r="B232" s="165"/>
      <c r="C232" s="64">
        <v>5</v>
      </c>
      <c r="D232" s="68" t="s">
        <v>570</v>
      </c>
      <c r="E232" s="68">
        <v>335078347.16369998</v>
      </c>
      <c r="F232" s="68">
        <f>-3451306.9758</f>
        <v>-3451306.9758000001</v>
      </c>
      <c r="G232" s="68">
        <v>10052350.414899999</v>
      </c>
      <c r="H232" s="68">
        <v>0</v>
      </c>
      <c r="I232" s="68">
        <f t="shared" si="49"/>
        <v>10052350.414899999</v>
      </c>
      <c r="J232" s="81">
        <v>220590454.36000001</v>
      </c>
      <c r="K232" s="69">
        <f t="shared" si="41"/>
        <v>562269844.96280003</v>
      </c>
      <c r="L232" s="63"/>
      <c r="M232" s="165"/>
      <c r="N232" s="70">
        <v>9</v>
      </c>
      <c r="O232" s="165"/>
      <c r="P232" s="68" t="s">
        <v>571</v>
      </c>
      <c r="Q232" s="68">
        <v>258278175.88999999</v>
      </c>
      <c r="R232" s="71">
        <v>0</v>
      </c>
      <c r="S232" s="68">
        <v>7748345.2767000003</v>
      </c>
      <c r="T232" s="68">
        <v>0</v>
      </c>
      <c r="U232" s="68">
        <f t="shared" si="46"/>
        <v>7748345.2767000003</v>
      </c>
      <c r="V232" s="68">
        <v>185989022.40000001</v>
      </c>
      <c r="W232" s="69">
        <f t="shared" si="42"/>
        <v>452015543.56669998</v>
      </c>
    </row>
    <row r="233" spans="1:23" ht="24.95" customHeight="1">
      <c r="A233" s="170"/>
      <c r="B233" s="165"/>
      <c r="C233" s="64">
        <v>6</v>
      </c>
      <c r="D233" s="68" t="s">
        <v>572</v>
      </c>
      <c r="E233" s="68">
        <v>348277745.31110001</v>
      </c>
      <c r="F233" s="68">
        <f>-3587260.7767</f>
        <v>-3587260.7766999998</v>
      </c>
      <c r="G233" s="68">
        <v>10448332.359300001</v>
      </c>
      <c r="H233" s="68">
        <v>0</v>
      </c>
      <c r="I233" s="68">
        <f t="shared" si="49"/>
        <v>10448332.359300001</v>
      </c>
      <c r="J233" s="81">
        <v>216314357.81999999</v>
      </c>
      <c r="K233" s="69">
        <f t="shared" si="41"/>
        <v>571453174.71370006</v>
      </c>
      <c r="L233" s="63"/>
      <c r="M233" s="165"/>
      <c r="N233" s="70">
        <v>10</v>
      </c>
      <c r="O233" s="165"/>
      <c r="P233" s="68" t="s">
        <v>573</v>
      </c>
      <c r="Q233" s="68">
        <v>293196767.29000002</v>
      </c>
      <c r="R233" s="71">
        <v>0</v>
      </c>
      <c r="S233" s="68">
        <v>8795903.0186000001</v>
      </c>
      <c r="T233" s="68">
        <v>0</v>
      </c>
      <c r="U233" s="68">
        <f t="shared" si="46"/>
        <v>8795903.0186000001</v>
      </c>
      <c r="V233" s="68">
        <v>206038520.94</v>
      </c>
      <c r="W233" s="69">
        <f t="shared" si="42"/>
        <v>508031191.24860001</v>
      </c>
    </row>
    <row r="234" spans="1:23" ht="24.95" customHeight="1">
      <c r="A234" s="170"/>
      <c r="B234" s="165"/>
      <c r="C234" s="64">
        <v>7</v>
      </c>
      <c r="D234" s="68" t="s">
        <v>574</v>
      </c>
      <c r="E234" s="68">
        <v>406936013.66970003</v>
      </c>
      <c r="F234" s="68">
        <f>-4191440.9408</f>
        <v>-4191440.9408</v>
      </c>
      <c r="G234" s="68">
        <v>12208080.4101</v>
      </c>
      <c r="H234" s="68">
        <v>0</v>
      </c>
      <c r="I234" s="68">
        <f t="shared" si="49"/>
        <v>12208080.4101</v>
      </c>
      <c r="J234" s="81">
        <v>244352861.27000001</v>
      </c>
      <c r="K234" s="69">
        <f t="shared" si="41"/>
        <v>659305514.40900004</v>
      </c>
      <c r="L234" s="63"/>
      <c r="M234" s="165"/>
      <c r="N234" s="70">
        <v>11</v>
      </c>
      <c r="O234" s="165"/>
      <c r="P234" s="68" t="s">
        <v>575</v>
      </c>
      <c r="Q234" s="68">
        <v>310445713.91000003</v>
      </c>
      <c r="R234" s="71">
        <v>0</v>
      </c>
      <c r="S234" s="68">
        <v>9313371.4171999991</v>
      </c>
      <c r="T234" s="68">
        <v>0</v>
      </c>
      <c r="U234" s="68">
        <f t="shared" si="46"/>
        <v>9313371.4171999991</v>
      </c>
      <c r="V234" s="68">
        <v>217961231.53999999</v>
      </c>
      <c r="W234" s="69">
        <f t="shared" si="42"/>
        <v>537720316.86720002</v>
      </c>
    </row>
    <row r="235" spans="1:23" ht="24.95" customHeight="1">
      <c r="A235" s="170"/>
      <c r="B235" s="165"/>
      <c r="C235" s="64">
        <v>8</v>
      </c>
      <c r="D235" s="68" t="s">
        <v>576</v>
      </c>
      <c r="E235" s="68">
        <v>360453079.0575</v>
      </c>
      <c r="F235" s="68">
        <f>-3712666.7143</f>
        <v>-3712666.7143000001</v>
      </c>
      <c r="G235" s="68">
        <v>10813592.3717</v>
      </c>
      <c r="H235" s="68">
        <v>0</v>
      </c>
      <c r="I235" s="68">
        <f t="shared" si="49"/>
        <v>10813592.3717</v>
      </c>
      <c r="J235" s="81">
        <v>222460514.62</v>
      </c>
      <c r="K235" s="69">
        <f t="shared" si="41"/>
        <v>590014519.33490002</v>
      </c>
      <c r="L235" s="63"/>
      <c r="M235" s="165"/>
      <c r="N235" s="70">
        <v>12</v>
      </c>
      <c r="O235" s="165"/>
      <c r="P235" s="68" t="s">
        <v>577</v>
      </c>
      <c r="Q235" s="68">
        <v>358803703.95999998</v>
      </c>
      <c r="R235" s="71">
        <v>0</v>
      </c>
      <c r="S235" s="68">
        <v>10764111.1187</v>
      </c>
      <c r="T235" s="68">
        <v>0</v>
      </c>
      <c r="U235" s="68">
        <f t="shared" si="46"/>
        <v>10764111.1187</v>
      </c>
      <c r="V235" s="68">
        <v>225137316.53</v>
      </c>
      <c r="W235" s="69">
        <f t="shared" si="42"/>
        <v>594705131.60870004</v>
      </c>
    </row>
    <row r="236" spans="1:23" ht="24.95" customHeight="1">
      <c r="A236" s="170"/>
      <c r="B236" s="165"/>
      <c r="C236" s="64">
        <v>9</v>
      </c>
      <c r="D236" s="68" t="s">
        <v>578</v>
      </c>
      <c r="E236" s="68">
        <v>326123678.3301</v>
      </c>
      <c r="F236" s="68">
        <f>-3359073.8868</f>
        <v>-3359073.8868</v>
      </c>
      <c r="G236" s="68">
        <v>9783710.3498999998</v>
      </c>
      <c r="H236" s="68">
        <v>0</v>
      </c>
      <c r="I236" s="68">
        <f t="shared" si="49"/>
        <v>9783710.3498999998</v>
      </c>
      <c r="J236" s="81">
        <v>212082351.86000001</v>
      </c>
      <c r="K236" s="69">
        <f t="shared" si="41"/>
        <v>544630666.65320003</v>
      </c>
      <c r="L236" s="63"/>
      <c r="M236" s="165"/>
      <c r="N236" s="70">
        <v>13</v>
      </c>
      <c r="O236" s="165"/>
      <c r="P236" s="68" t="s">
        <v>579</v>
      </c>
      <c r="Q236" s="68">
        <v>334456806.43000001</v>
      </c>
      <c r="R236" s="71">
        <v>0</v>
      </c>
      <c r="S236" s="68">
        <v>10033704.1928</v>
      </c>
      <c r="T236" s="68">
        <v>0</v>
      </c>
      <c r="U236" s="68">
        <f t="shared" si="46"/>
        <v>10033704.1928</v>
      </c>
      <c r="V236" s="68">
        <v>213290386.59999999</v>
      </c>
      <c r="W236" s="69">
        <f t="shared" si="42"/>
        <v>557780897.22280002</v>
      </c>
    </row>
    <row r="237" spans="1:23" ht="24.95" customHeight="1">
      <c r="A237" s="170"/>
      <c r="B237" s="165"/>
      <c r="C237" s="64">
        <v>10</v>
      </c>
      <c r="D237" s="68" t="s">
        <v>580</v>
      </c>
      <c r="E237" s="68">
        <v>452984378.4217</v>
      </c>
      <c r="F237" s="68">
        <f>-4665739.0977</f>
        <v>-4665739.0976999998</v>
      </c>
      <c r="G237" s="68">
        <v>13589531.352700001</v>
      </c>
      <c r="H237" s="68">
        <v>0</v>
      </c>
      <c r="I237" s="68">
        <f t="shared" si="49"/>
        <v>13589531.352700001</v>
      </c>
      <c r="J237" s="81">
        <v>251058761.65000001</v>
      </c>
      <c r="K237" s="69">
        <f t="shared" si="41"/>
        <v>712966932.32669997</v>
      </c>
      <c r="L237" s="63"/>
      <c r="M237" s="165"/>
      <c r="N237" s="70">
        <v>14</v>
      </c>
      <c r="O237" s="165"/>
      <c r="P237" s="68" t="s">
        <v>581</v>
      </c>
      <c r="Q237" s="68">
        <v>291542749.25999999</v>
      </c>
      <c r="R237" s="71">
        <v>0</v>
      </c>
      <c r="S237" s="68">
        <v>8746282.4779000003</v>
      </c>
      <c r="T237" s="68">
        <v>0</v>
      </c>
      <c r="U237" s="68">
        <f t="shared" si="46"/>
        <v>8746282.4779000003</v>
      </c>
      <c r="V237" s="68">
        <v>206967523.06</v>
      </c>
      <c r="W237" s="69">
        <f t="shared" si="42"/>
        <v>507256554.79790002</v>
      </c>
    </row>
    <row r="238" spans="1:23" ht="24.95" customHeight="1">
      <c r="A238" s="170"/>
      <c r="B238" s="165"/>
      <c r="C238" s="64">
        <v>11</v>
      </c>
      <c r="D238" s="68" t="s">
        <v>582</v>
      </c>
      <c r="E238" s="68">
        <v>351418516.55800003</v>
      </c>
      <c r="F238" s="68">
        <f>-3619610.7205</f>
        <v>-3619610.7204999998</v>
      </c>
      <c r="G238" s="68">
        <v>10542555.4967</v>
      </c>
      <c r="H238" s="68">
        <v>0</v>
      </c>
      <c r="I238" s="68">
        <f t="shared" si="49"/>
        <v>10542555.4967</v>
      </c>
      <c r="J238" s="81">
        <v>221626238.34999999</v>
      </c>
      <c r="K238" s="69">
        <f t="shared" si="41"/>
        <v>579967699.68420005</v>
      </c>
      <c r="L238" s="63"/>
      <c r="M238" s="165"/>
      <c r="N238" s="70">
        <v>15</v>
      </c>
      <c r="O238" s="165"/>
      <c r="P238" s="68" t="s">
        <v>583</v>
      </c>
      <c r="Q238" s="68">
        <v>229100489.31</v>
      </c>
      <c r="R238" s="71">
        <v>0</v>
      </c>
      <c r="S238" s="68">
        <v>6873014.6792000001</v>
      </c>
      <c r="T238" s="68">
        <v>0</v>
      </c>
      <c r="U238" s="68">
        <f t="shared" si="46"/>
        <v>6873014.6792000001</v>
      </c>
      <c r="V238" s="68">
        <v>173114231.02000001</v>
      </c>
      <c r="W238" s="69">
        <f t="shared" si="42"/>
        <v>409087735.00919998</v>
      </c>
    </row>
    <row r="239" spans="1:23" ht="24.95" customHeight="1">
      <c r="A239" s="170"/>
      <c r="B239" s="165"/>
      <c r="C239" s="64">
        <v>12</v>
      </c>
      <c r="D239" s="68" t="s">
        <v>584</v>
      </c>
      <c r="E239" s="68">
        <v>387763338.722</v>
      </c>
      <c r="F239" s="68">
        <f>-3993962.3888</f>
        <v>-3993962.3887999998</v>
      </c>
      <c r="G239" s="68">
        <v>11632900.161699999</v>
      </c>
      <c r="H239" s="68">
        <v>0</v>
      </c>
      <c r="I239" s="68">
        <f t="shared" si="49"/>
        <v>11632900.161699999</v>
      </c>
      <c r="J239" s="81">
        <v>238060654.46000001</v>
      </c>
      <c r="K239" s="69">
        <f t="shared" si="41"/>
        <v>633462930.95490003</v>
      </c>
      <c r="L239" s="63"/>
      <c r="M239" s="165"/>
      <c r="N239" s="70">
        <v>16</v>
      </c>
      <c r="O239" s="165"/>
      <c r="P239" s="68" t="s">
        <v>323</v>
      </c>
      <c r="Q239" s="68">
        <v>295217663.01999998</v>
      </c>
      <c r="R239" s="71">
        <v>0</v>
      </c>
      <c r="S239" s="68">
        <v>8856529.8904999997</v>
      </c>
      <c r="T239" s="68">
        <v>0</v>
      </c>
      <c r="U239" s="68">
        <f t="shared" si="46"/>
        <v>8856529.8904999997</v>
      </c>
      <c r="V239" s="68">
        <v>193674904.63</v>
      </c>
      <c r="W239" s="69">
        <f t="shared" si="42"/>
        <v>497749097.54049999</v>
      </c>
    </row>
    <row r="240" spans="1:23" ht="24.95" customHeight="1">
      <c r="A240" s="170"/>
      <c r="B240" s="166"/>
      <c r="C240" s="64">
        <v>13</v>
      </c>
      <c r="D240" s="68" t="s">
        <v>585</v>
      </c>
      <c r="E240" s="68">
        <v>424697069.59449995</v>
      </c>
      <c r="F240" s="68">
        <f>-4374379.8168</f>
        <v>-4374379.8168000001</v>
      </c>
      <c r="G240" s="68">
        <v>12740912.0878</v>
      </c>
      <c r="H240" s="68">
        <v>0</v>
      </c>
      <c r="I240" s="68">
        <f t="shared" si="49"/>
        <v>12740912.0878</v>
      </c>
      <c r="J240" s="81">
        <v>252008086.77000001</v>
      </c>
      <c r="K240" s="69">
        <f t="shared" si="41"/>
        <v>685071688.63549995</v>
      </c>
      <c r="L240" s="63"/>
      <c r="M240" s="165"/>
      <c r="N240" s="70">
        <v>17</v>
      </c>
      <c r="O240" s="165"/>
      <c r="P240" s="68" t="s">
        <v>586</v>
      </c>
      <c r="Q240" s="68">
        <v>260274733.61000001</v>
      </c>
      <c r="R240" s="71">
        <v>0</v>
      </c>
      <c r="S240" s="68">
        <v>7808242.0082999999</v>
      </c>
      <c r="T240" s="68">
        <v>0</v>
      </c>
      <c r="U240" s="68">
        <f t="shared" ref="U240:U253" si="50">S240-T240</f>
        <v>7808242.0082999999</v>
      </c>
      <c r="V240" s="68">
        <v>181722570.68000001</v>
      </c>
      <c r="W240" s="69">
        <f t="shared" si="42"/>
        <v>449805546.29830003</v>
      </c>
    </row>
    <row r="241" spans="1:23" ht="24.95" customHeight="1">
      <c r="A241" s="64"/>
      <c r="B241" s="179" t="s">
        <v>587</v>
      </c>
      <c r="C241" s="177"/>
      <c r="D241" s="72"/>
      <c r="E241" s="72">
        <f>SUM(E228:E240)</f>
        <v>4792271751.9544992</v>
      </c>
      <c r="F241" s="72">
        <f t="shared" ref="F241:K241" si="51">SUM(F228:F240)</f>
        <v>-49360399.0449</v>
      </c>
      <c r="G241" s="72">
        <f t="shared" si="51"/>
        <v>143768152.5587</v>
      </c>
      <c r="H241" s="72">
        <f t="shared" si="51"/>
        <v>0</v>
      </c>
      <c r="I241" s="72">
        <f t="shared" si="51"/>
        <v>143768152.5587</v>
      </c>
      <c r="J241" s="72">
        <f t="shared" si="51"/>
        <v>2964280415.8800001</v>
      </c>
      <c r="K241" s="72">
        <f t="shared" si="51"/>
        <v>7850959921.3483009</v>
      </c>
      <c r="L241" s="63"/>
      <c r="M241" s="165"/>
      <c r="N241" s="70">
        <v>18</v>
      </c>
      <c r="O241" s="165"/>
      <c r="P241" s="68" t="s">
        <v>588</v>
      </c>
      <c r="Q241" s="68">
        <v>271339227.54000002</v>
      </c>
      <c r="R241" s="71">
        <v>0</v>
      </c>
      <c r="S241" s="68">
        <v>8140176.8262999998</v>
      </c>
      <c r="T241" s="68">
        <v>0</v>
      </c>
      <c r="U241" s="68">
        <f t="shared" si="50"/>
        <v>8140176.8262999998</v>
      </c>
      <c r="V241" s="68">
        <v>197063678.41</v>
      </c>
      <c r="W241" s="69">
        <f t="shared" si="42"/>
        <v>476543082.77630007</v>
      </c>
    </row>
    <row r="242" spans="1:23" ht="24.95" customHeight="1">
      <c r="A242" s="170">
        <v>12</v>
      </c>
      <c r="B242" s="164" t="s">
        <v>589</v>
      </c>
      <c r="C242" s="64">
        <v>1</v>
      </c>
      <c r="D242" s="68" t="s">
        <v>590</v>
      </c>
      <c r="E242" s="68">
        <v>440925817.41000003</v>
      </c>
      <c r="F242" s="68">
        <v>0</v>
      </c>
      <c r="G242" s="68">
        <v>13227774.5222</v>
      </c>
      <c r="H242" s="68">
        <v>13227774.5222</v>
      </c>
      <c r="I242" s="68">
        <f>G242-H242</f>
        <v>0</v>
      </c>
      <c r="J242" s="81">
        <v>279718413.64999998</v>
      </c>
      <c r="K242" s="69">
        <f t="shared" si="41"/>
        <v>720644231.05999994</v>
      </c>
      <c r="L242" s="63"/>
      <c r="M242" s="165"/>
      <c r="N242" s="70">
        <v>19</v>
      </c>
      <c r="O242" s="165"/>
      <c r="P242" s="68" t="s">
        <v>591</v>
      </c>
      <c r="Q242" s="68">
        <v>287536657.33999997</v>
      </c>
      <c r="R242" s="71">
        <v>0</v>
      </c>
      <c r="S242" s="68">
        <v>8626099.7202000003</v>
      </c>
      <c r="T242" s="68">
        <v>0</v>
      </c>
      <c r="U242" s="68">
        <f t="shared" si="50"/>
        <v>8626099.7202000003</v>
      </c>
      <c r="V242" s="68">
        <v>196019627.44999999</v>
      </c>
      <c r="W242" s="69">
        <f t="shared" si="42"/>
        <v>492182384.51019996</v>
      </c>
    </row>
    <row r="243" spans="1:23" ht="24.95" customHeight="1">
      <c r="A243" s="170"/>
      <c r="B243" s="165"/>
      <c r="C243" s="64">
        <v>2</v>
      </c>
      <c r="D243" s="68" t="s">
        <v>592</v>
      </c>
      <c r="E243" s="68">
        <v>418783581.76999998</v>
      </c>
      <c r="F243" s="68">
        <v>0</v>
      </c>
      <c r="G243" s="68">
        <v>12563507.4531</v>
      </c>
      <c r="H243" s="68">
        <v>12563507.4531</v>
      </c>
      <c r="I243" s="68">
        <f t="shared" ref="I243:I259" si="52">G243-H243</f>
        <v>0</v>
      </c>
      <c r="J243" s="81">
        <v>306513425.19</v>
      </c>
      <c r="K243" s="69">
        <f t="shared" si="41"/>
        <v>725297006.96000004</v>
      </c>
      <c r="L243" s="63"/>
      <c r="M243" s="165"/>
      <c r="N243" s="70">
        <v>20</v>
      </c>
      <c r="O243" s="165"/>
      <c r="P243" s="68" t="s">
        <v>331</v>
      </c>
      <c r="Q243" s="68">
        <v>284560013.48000002</v>
      </c>
      <c r="R243" s="71">
        <v>0</v>
      </c>
      <c r="S243" s="68">
        <v>8536800.4044000003</v>
      </c>
      <c r="T243" s="68">
        <v>0</v>
      </c>
      <c r="U243" s="68">
        <f t="shared" si="50"/>
        <v>8536800.4044000003</v>
      </c>
      <c r="V243" s="68">
        <v>201510970.36000001</v>
      </c>
      <c r="W243" s="69">
        <f t="shared" si="42"/>
        <v>494607784.24440002</v>
      </c>
    </row>
    <row r="244" spans="1:23" ht="24.95" customHeight="1">
      <c r="A244" s="170"/>
      <c r="B244" s="165"/>
      <c r="C244" s="64">
        <v>3</v>
      </c>
      <c r="D244" s="68" t="s">
        <v>593</v>
      </c>
      <c r="E244" s="68">
        <v>277116766.47000003</v>
      </c>
      <c r="F244" s="68">
        <v>0</v>
      </c>
      <c r="G244" s="68">
        <v>8313502.9941999996</v>
      </c>
      <c r="H244" s="68">
        <v>8313502.9941999996</v>
      </c>
      <c r="I244" s="68">
        <f t="shared" si="52"/>
        <v>0</v>
      </c>
      <c r="J244" s="81">
        <v>225707463.38</v>
      </c>
      <c r="K244" s="69">
        <f t="shared" si="41"/>
        <v>502824229.85000002</v>
      </c>
      <c r="L244" s="63"/>
      <c r="M244" s="165"/>
      <c r="N244" s="70">
        <v>21</v>
      </c>
      <c r="O244" s="165"/>
      <c r="P244" s="68" t="s">
        <v>594</v>
      </c>
      <c r="Q244" s="68">
        <v>307883210.07999998</v>
      </c>
      <c r="R244" s="71">
        <v>0</v>
      </c>
      <c r="S244" s="68">
        <v>9236496.3023000006</v>
      </c>
      <c r="T244" s="68">
        <v>0</v>
      </c>
      <c r="U244" s="68">
        <f t="shared" si="50"/>
        <v>9236496.3023000006</v>
      </c>
      <c r="V244" s="68">
        <v>209813087.22</v>
      </c>
      <c r="W244" s="69">
        <f t="shared" si="42"/>
        <v>526932793.60229993</v>
      </c>
    </row>
    <row r="245" spans="1:23" ht="24.95" customHeight="1">
      <c r="A245" s="170"/>
      <c r="B245" s="165"/>
      <c r="C245" s="64">
        <v>4</v>
      </c>
      <c r="D245" s="68" t="s">
        <v>595</v>
      </c>
      <c r="E245" s="68">
        <v>285299875.88999999</v>
      </c>
      <c r="F245" s="68">
        <v>0</v>
      </c>
      <c r="G245" s="68">
        <v>8558996.2767999992</v>
      </c>
      <c r="H245" s="68">
        <v>8558996.2767999992</v>
      </c>
      <c r="I245" s="68">
        <f t="shared" si="52"/>
        <v>0</v>
      </c>
      <c r="J245" s="81">
        <v>230542270.13</v>
      </c>
      <c r="K245" s="69">
        <f t="shared" si="41"/>
        <v>515842146.01999998</v>
      </c>
      <c r="L245" s="63"/>
      <c r="M245" s="165"/>
      <c r="N245" s="70">
        <v>22</v>
      </c>
      <c r="O245" s="165"/>
      <c r="P245" s="68" t="s">
        <v>596</v>
      </c>
      <c r="Q245" s="68">
        <v>279455077.07999998</v>
      </c>
      <c r="R245" s="71">
        <v>0</v>
      </c>
      <c r="S245" s="68">
        <v>8383652.3125</v>
      </c>
      <c r="T245" s="68">
        <v>0</v>
      </c>
      <c r="U245" s="68">
        <f t="shared" si="50"/>
        <v>8383652.3125</v>
      </c>
      <c r="V245" s="68">
        <v>195889422.47999999</v>
      </c>
      <c r="W245" s="69">
        <f t="shared" si="42"/>
        <v>483728151.87249994</v>
      </c>
    </row>
    <row r="246" spans="1:23" ht="24.95" customHeight="1">
      <c r="A246" s="170"/>
      <c r="B246" s="165"/>
      <c r="C246" s="64">
        <v>5</v>
      </c>
      <c r="D246" s="68" t="s">
        <v>597</v>
      </c>
      <c r="E246" s="68">
        <v>341602352.41000003</v>
      </c>
      <c r="F246" s="68">
        <v>0</v>
      </c>
      <c r="G246" s="68">
        <v>10248070.5723</v>
      </c>
      <c r="H246" s="68">
        <v>10248070.5723</v>
      </c>
      <c r="I246" s="68">
        <f t="shared" si="52"/>
        <v>0</v>
      </c>
      <c r="J246" s="81">
        <v>247205406.09</v>
      </c>
      <c r="K246" s="69">
        <f t="shared" si="41"/>
        <v>588807758.5</v>
      </c>
      <c r="L246" s="63"/>
      <c r="M246" s="165"/>
      <c r="N246" s="70">
        <v>23</v>
      </c>
      <c r="O246" s="165"/>
      <c r="P246" s="68" t="s">
        <v>598</v>
      </c>
      <c r="Q246" s="68">
        <v>343629233.39999998</v>
      </c>
      <c r="R246" s="71">
        <v>0</v>
      </c>
      <c r="S246" s="68">
        <v>10308877.0021</v>
      </c>
      <c r="T246" s="68">
        <v>0</v>
      </c>
      <c r="U246" s="68">
        <f t="shared" si="50"/>
        <v>10308877.0021</v>
      </c>
      <c r="V246" s="68">
        <v>226270582</v>
      </c>
      <c r="W246" s="69">
        <f t="shared" si="42"/>
        <v>580208692.40209997</v>
      </c>
    </row>
    <row r="247" spans="1:23" ht="24.95" customHeight="1">
      <c r="A247" s="170"/>
      <c r="B247" s="165"/>
      <c r="C247" s="64">
        <v>6</v>
      </c>
      <c r="D247" s="68" t="s">
        <v>599</v>
      </c>
      <c r="E247" s="68">
        <v>290349649.91000003</v>
      </c>
      <c r="F247" s="68">
        <v>0</v>
      </c>
      <c r="G247" s="68">
        <v>8710489.4971999992</v>
      </c>
      <c r="H247" s="68">
        <v>8710489.4971999992</v>
      </c>
      <c r="I247" s="68">
        <f t="shared" si="52"/>
        <v>0</v>
      </c>
      <c r="J247" s="81">
        <v>232779866.63999999</v>
      </c>
      <c r="K247" s="69">
        <f t="shared" si="41"/>
        <v>523129516.55000001</v>
      </c>
      <c r="L247" s="63"/>
      <c r="M247" s="165"/>
      <c r="N247" s="70">
        <v>24</v>
      </c>
      <c r="O247" s="165"/>
      <c r="P247" s="68" t="s">
        <v>600</v>
      </c>
      <c r="Q247" s="68">
        <v>284959182.68000001</v>
      </c>
      <c r="R247" s="71">
        <v>0</v>
      </c>
      <c r="S247" s="68">
        <v>8548775.4803999998</v>
      </c>
      <c r="T247" s="68">
        <v>0</v>
      </c>
      <c r="U247" s="68">
        <f t="shared" si="50"/>
        <v>8548775.4803999998</v>
      </c>
      <c r="V247" s="68">
        <v>200482420</v>
      </c>
      <c r="W247" s="69">
        <f t="shared" si="42"/>
        <v>493990378.16040003</v>
      </c>
    </row>
    <row r="248" spans="1:23" ht="24.95" customHeight="1">
      <c r="A248" s="170"/>
      <c r="B248" s="165"/>
      <c r="C248" s="64">
        <v>7</v>
      </c>
      <c r="D248" s="68" t="s">
        <v>601</v>
      </c>
      <c r="E248" s="68">
        <v>290616708.56</v>
      </c>
      <c r="F248" s="68">
        <v>0</v>
      </c>
      <c r="G248" s="68">
        <v>8718501.2566999998</v>
      </c>
      <c r="H248" s="68">
        <v>8718501.2566999998</v>
      </c>
      <c r="I248" s="68">
        <f t="shared" si="52"/>
        <v>0</v>
      </c>
      <c r="J248" s="81">
        <v>222009711.13999999</v>
      </c>
      <c r="K248" s="69">
        <f t="shared" si="41"/>
        <v>512626419.69999999</v>
      </c>
      <c r="L248" s="63"/>
      <c r="M248" s="165"/>
      <c r="N248" s="70">
        <v>25</v>
      </c>
      <c r="O248" s="165"/>
      <c r="P248" s="68" t="s">
        <v>602</v>
      </c>
      <c r="Q248" s="68">
        <v>375430177.25</v>
      </c>
      <c r="R248" s="71">
        <v>0</v>
      </c>
      <c r="S248" s="68">
        <v>11262905.317600001</v>
      </c>
      <c r="T248" s="68">
        <v>0</v>
      </c>
      <c r="U248" s="68">
        <f t="shared" si="50"/>
        <v>11262905.317600001</v>
      </c>
      <c r="V248" s="68">
        <v>206544529.13999999</v>
      </c>
      <c r="W248" s="69">
        <f t="shared" si="42"/>
        <v>593237611.7076</v>
      </c>
    </row>
    <row r="249" spans="1:23" ht="24.95" customHeight="1">
      <c r="A249" s="170"/>
      <c r="B249" s="165"/>
      <c r="C249" s="64">
        <v>8</v>
      </c>
      <c r="D249" s="68" t="s">
        <v>603</v>
      </c>
      <c r="E249" s="68">
        <v>337139610.04000002</v>
      </c>
      <c r="F249" s="68">
        <v>0</v>
      </c>
      <c r="G249" s="68">
        <v>10114188.301200001</v>
      </c>
      <c r="H249" s="68">
        <v>10114188.301200001</v>
      </c>
      <c r="I249" s="68">
        <f t="shared" si="52"/>
        <v>0</v>
      </c>
      <c r="J249" s="81">
        <v>239722064.93000001</v>
      </c>
      <c r="K249" s="69">
        <f t="shared" si="41"/>
        <v>576861674.97000003</v>
      </c>
      <c r="L249" s="63"/>
      <c r="M249" s="165"/>
      <c r="N249" s="70">
        <v>26</v>
      </c>
      <c r="O249" s="165"/>
      <c r="P249" s="68" t="s">
        <v>604</v>
      </c>
      <c r="Q249" s="68">
        <v>256973202.59</v>
      </c>
      <c r="R249" s="71">
        <v>0</v>
      </c>
      <c r="S249" s="68">
        <v>7709196.0778000001</v>
      </c>
      <c r="T249" s="68">
        <v>0</v>
      </c>
      <c r="U249" s="68">
        <f t="shared" si="50"/>
        <v>7709196.0778000001</v>
      </c>
      <c r="V249" s="68">
        <v>186732361.88</v>
      </c>
      <c r="W249" s="69">
        <f t="shared" si="42"/>
        <v>451414760.5478</v>
      </c>
    </row>
    <row r="250" spans="1:23" ht="24.95" customHeight="1">
      <c r="A250" s="170"/>
      <c r="B250" s="165"/>
      <c r="C250" s="64">
        <v>9</v>
      </c>
      <c r="D250" s="68" t="s">
        <v>605</v>
      </c>
      <c r="E250" s="68">
        <v>371063521.80000001</v>
      </c>
      <c r="F250" s="68">
        <v>0</v>
      </c>
      <c r="G250" s="68">
        <v>11131905.653899999</v>
      </c>
      <c r="H250" s="68">
        <v>11131905.653899999</v>
      </c>
      <c r="I250" s="68">
        <f t="shared" si="52"/>
        <v>0</v>
      </c>
      <c r="J250" s="81">
        <v>257500554.56999999</v>
      </c>
      <c r="K250" s="69">
        <f t="shared" si="41"/>
        <v>628564076.37</v>
      </c>
      <c r="L250" s="63"/>
      <c r="M250" s="165"/>
      <c r="N250" s="70">
        <v>27</v>
      </c>
      <c r="O250" s="165"/>
      <c r="P250" s="68" t="s">
        <v>606</v>
      </c>
      <c r="Q250" s="68">
        <v>310821341.24000001</v>
      </c>
      <c r="R250" s="71">
        <v>0</v>
      </c>
      <c r="S250" s="68">
        <v>9324640.2370999996</v>
      </c>
      <c r="T250" s="68">
        <v>0</v>
      </c>
      <c r="U250" s="68">
        <f t="shared" si="50"/>
        <v>9324640.2370999996</v>
      </c>
      <c r="V250" s="68">
        <v>205735398.25999999</v>
      </c>
      <c r="W250" s="69">
        <f t="shared" si="42"/>
        <v>525881379.73710001</v>
      </c>
    </row>
    <row r="251" spans="1:23" ht="24.95" customHeight="1">
      <c r="A251" s="170"/>
      <c r="B251" s="165"/>
      <c r="C251" s="64">
        <v>10</v>
      </c>
      <c r="D251" s="68" t="s">
        <v>607</v>
      </c>
      <c r="E251" s="68">
        <v>270003163.61000001</v>
      </c>
      <c r="F251" s="68">
        <v>0</v>
      </c>
      <c r="G251" s="68">
        <v>8100094.9082000004</v>
      </c>
      <c r="H251" s="68">
        <v>8100094.9082000004</v>
      </c>
      <c r="I251" s="68">
        <f t="shared" si="52"/>
        <v>0</v>
      </c>
      <c r="J251" s="81">
        <v>213420316.65000001</v>
      </c>
      <c r="K251" s="69">
        <f t="shared" si="41"/>
        <v>483423480.25999999</v>
      </c>
      <c r="L251" s="63"/>
      <c r="M251" s="165"/>
      <c r="N251" s="70">
        <v>28</v>
      </c>
      <c r="O251" s="165"/>
      <c r="P251" s="68" t="s">
        <v>608</v>
      </c>
      <c r="Q251" s="68">
        <v>311817944.75999999</v>
      </c>
      <c r="R251" s="71">
        <v>0</v>
      </c>
      <c r="S251" s="68">
        <v>9354538.3430000003</v>
      </c>
      <c r="T251" s="68">
        <v>0</v>
      </c>
      <c r="U251" s="68">
        <f t="shared" si="50"/>
        <v>9354538.3430000003</v>
      </c>
      <c r="V251" s="68">
        <v>211541575.41</v>
      </c>
      <c r="W251" s="69">
        <f t="shared" si="42"/>
        <v>532714058.51300001</v>
      </c>
    </row>
    <row r="252" spans="1:23" ht="24.95" customHeight="1">
      <c r="A252" s="170"/>
      <c r="B252" s="165"/>
      <c r="C252" s="64">
        <v>11</v>
      </c>
      <c r="D252" s="68" t="s">
        <v>609</v>
      </c>
      <c r="E252" s="68">
        <v>463295317.11000001</v>
      </c>
      <c r="F252" s="68">
        <v>0</v>
      </c>
      <c r="G252" s="68">
        <v>13898859.5134</v>
      </c>
      <c r="H252" s="68">
        <v>13898859.5134</v>
      </c>
      <c r="I252" s="68">
        <f t="shared" si="52"/>
        <v>0</v>
      </c>
      <c r="J252" s="81">
        <v>317262913.24000001</v>
      </c>
      <c r="K252" s="69">
        <f t="shared" si="41"/>
        <v>780558230.35000002</v>
      </c>
      <c r="L252" s="63"/>
      <c r="M252" s="165"/>
      <c r="N252" s="70">
        <v>29</v>
      </c>
      <c r="O252" s="165"/>
      <c r="P252" s="68" t="s">
        <v>610</v>
      </c>
      <c r="Q252" s="68">
        <v>274781953.23000002</v>
      </c>
      <c r="R252" s="71">
        <v>0</v>
      </c>
      <c r="S252" s="68">
        <v>8243458.5968000004</v>
      </c>
      <c r="T252" s="68">
        <v>0</v>
      </c>
      <c r="U252" s="68">
        <f t="shared" si="50"/>
        <v>8243458.5968000004</v>
      </c>
      <c r="V252" s="68">
        <v>195854976.72</v>
      </c>
      <c r="W252" s="69">
        <f t="shared" si="42"/>
        <v>478880388.54680002</v>
      </c>
    </row>
    <row r="253" spans="1:23" ht="24.95" customHeight="1">
      <c r="A253" s="170"/>
      <c r="B253" s="165"/>
      <c r="C253" s="64">
        <v>12</v>
      </c>
      <c r="D253" s="68" t="s">
        <v>611</v>
      </c>
      <c r="E253" s="68">
        <v>476804588.50999999</v>
      </c>
      <c r="F253" s="68">
        <v>0</v>
      </c>
      <c r="G253" s="68">
        <v>14304137.655200001</v>
      </c>
      <c r="H253" s="68">
        <v>14304137.655200001</v>
      </c>
      <c r="I253" s="68">
        <f t="shared" si="52"/>
        <v>0</v>
      </c>
      <c r="J253" s="81">
        <v>318490904.55000001</v>
      </c>
      <c r="K253" s="69">
        <f t="shared" si="41"/>
        <v>795295493.05999994</v>
      </c>
      <c r="L253" s="63"/>
      <c r="M253" s="166"/>
      <c r="N253" s="70">
        <v>30</v>
      </c>
      <c r="O253" s="166"/>
      <c r="P253" s="68" t="s">
        <v>612</v>
      </c>
      <c r="Q253" s="68">
        <v>305715496.54000002</v>
      </c>
      <c r="R253" s="71">
        <v>0</v>
      </c>
      <c r="S253" s="68">
        <v>9171464.8961999994</v>
      </c>
      <c r="T253" s="68">
        <v>0</v>
      </c>
      <c r="U253" s="68">
        <f t="shared" si="50"/>
        <v>9171464.8961999994</v>
      </c>
      <c r="V253" s="68">
        <v>214323759.38</v>
      </c>
      <c r="W253" s="69">
        <f t="shared" si="42"/>
        <v>529210720.81620002</v>
      </c>
    </row>
    <row r="254" spans="1:23" ht="24.95" customHeight="1">
      <c r="A254" s="170"/>
      <c r="B254" s="165"/>
      <c r="C254" s="64">
        <v>13</v>
      </c>
      <c r="D254" s="68" t="s">
        <v>613</v>
      </c>
      <c r="E254" s="68">
        <v>373722902.62</v>
      </c>
      <c r="F254" s="68">
        <v>0</v>
      </c>
      <c r="G254" s="68">
        <v>11211687.078500001</v>
      </c>
      <c r="H254" s="68">
        <v>11211687.078500001</v>
      </c>
      <c r="I254" s="68">
        <f t="shared" si="52"/>
        <v>0</v>
      </c>
      <c r="J254" s="81">
        <v>252370892.13</v>
      </c>
      <c r="K254" s="69">
        <f t="shared" si="41"/>
        <v>626093794.75</v>
      </c>
      <c r="L254" s="63"/>
      <c r="M254" s="64"/>
      <c r="N254" s="177" t="s">
        <v>614</v>
      </c>
      <c r="O254" s="178"/>
      <c r="P254" s="72"/>
      <c r="Q254" s="72">
        <f t="shared" ref="Q254:W254" si="53">SUM(Q224:Q253)</f>
        <v>8712356187.7099991</v>
      </c>
      <c r="R254" s="71">
        <v>0</v>
      </c>
      <c r="S254" s="72">
        <f t="shared" si="53"/>
        <v>261370685.6309</v>
      </c>
      <c r="T254" s="72">
        <f t="shared" si="53"/>
        <v>0</v>
      </c>
      <c r="U254" s="72">
        <f t="shared" si="53"/>
        <v>261370685.6309</v>
      </c>
      <c r="V254" s="72">
        <f t="shared" si="53"/>
        <v>5989742267.1700001</v>
      </c>
      <c r="W254" s="72">
        <f t="shared" si="53"/>
        <v>14963469140.510902</v>
      </c>
    </row>
    <row r="255" spans="1:23" ht="24.95" customHeight="1">
      <c r="A255" s="170"/>
      <c r="B255" s="165"/>
      <c r="C255" s="64">
        <v>14</v>
      </c>
      <c r="D255" s="68" t="s">
        <v>615</v>
      </c>
      <c r="E255" s="68">
        <v>356410268.19</v>
      </c>
      <c r="F255" s="68">
        <v>0</v>
      </c>
      <c r="G255" s="68">
        <v>10692308.045700001</v>
      </c>
      <c r="H255" s="68">
        <v>10692308.045700001</v>
      </c>
      <c r="I255" s="68">
        <f t="shared" si="52"/>
        <v>0</v>
      </c>
      <c r="J255" s="81">
        <v>242427090.38999999</v>
      </c>
      <c r="K255" s="69">
        <f t="shared" si="41"/>
        <v>598837358.57999992</v>
      </c>
      <c r="L255" s="63"/>
      <c r="M255" s="164">
        <v>30</v>
      </c>
      <c r="N255" s="70">
        <v>1</v>
      </c>
      <c r="O255" s="164" t="s">
        <v>104</v>
      </c>
      <c r="P255" s="68" t="s">
        <v>616</v>
      </c>
      <c r="Q255" s="82">
        <v>300882166.38</v>
      </c>
      <c r="R255" s="71">
        <v>0</v>
      </c>
      <c r="S255" s="68">
        <v>9026464.9913999997</v>
      </c>
      <c r="T255" s="68">
        <v>0</v>
      </c>
      <c r="U255" s="68">
        <f t="shared" ref="U255:U286" si="54">S255-T255</f>
        <v>9026464.9913999997</v>
      </c>
      <c r="V255" s="68">
        <v>303497948.38</v>
      </c>
      <c r="W255" s="69">
        <f t="shared" si="42"/>
        <v>613406579.75139999</v>
      </c>
    </row>
    <row r="256" spans="1:23" ht="24.95" customHeight="1">
      <c r="A256" s="170"/>
      <c r="B256" s="165"/>
      <c r="C256" s="64">
        <v>15</v>
      </c>
      <c r="D256" s="68" t="s">
        <v>617</v>
      </c>
      <c r="E256" s="68">
        <v>388992482.23000002</v>
      </c>
      <c r="F256" s="68">
        <v>0</v>
      </c>
      <c r="G256" s="68">
        <v>11669774.4669</v>
      </c>
      <c r="H256" s="68">
        <v>11669774.4669</v>
      </c>
      <c r="I256" s="68">
        <f t="shared" si="52"/>
        <v>0</v>
      </c>
      <c r="J256" s="81">
        <v>236057036.16</v>
      </c>
      <c r="K256" s="69">
        <f t="shared" si="41"/>
        <v>625049518.38999999</v>
      </c>
      <c r="L256" s="63"/>
      <c r="M256" s="165"/>
      <c r="N256" s="70">
        <v>2</v>
      </c>
      <c r="O256" s="165"/>
      <c r="P256" s="68" t="s">
        <v>618</v>
      </c>
      <c r="Q256" s="82">
        <v>349413954.19999999</v>
      </c>
      <c r="R256" s="71">
        <v>0</v>
      </c>
      <c r="S256" s="68">
        <v>10482418.626</v>
      </c>
      <c r="T256" s="68">
        <v>0</v>
      </c>
      <c r="U256" s="68">
        <f t="shared" si="54"/>
        <v>10482418.626</v>
      </c>
      <c r="V256" s="68">
        <v>330085252</v>
      </c>
      <c r="W256" s="69">
        <f t="shared" si="42"/>
        <v>689981624.82599998</v>
      </c>
    </row>
    <row r="257" spans="1:23" ht="24.95" customHeight="1">
      <c r="A257" s="170"/>
      <c r="B257" s="165"/>
      <c r="C257" s="64">
        <v>16</v>
      </c>
      <c r="D257" s="68" t="s">
        <v>619</v>
      </c>
      <c r="E257" s="68">
        <v>341227213.79000002</v>
      </c>
      <c r="F257" s="68">
        <v>0</v>
      </c>
      <c r="G257" s="68">
        <v>10236816.4136</v>
      </c>
      <c r="H257" s="68">
        <v>10236816.4136</v>
      </c>
      <c r="I257" s="68">
        <f t="shared" si="52"/>
        <v>0</v>
      </c>
      <c r="J257" s="81">
        <v>242611719.66</v>
      </c>
      <c r="K257" s="69">
        <f t="shared" si="41"/>
        <v>583838933.45000005</v>
      </c>
      <c r="L257" s="63"/>
      <c r="M257" s="165"/>
      <c r="N257" s="70">
        <v>3</v>
      </c>
      <c r="O257" s="165"/>
      <c r="P257" s="68" t="s">
        <v>620</v>
      </c>
      <c r="Q257" s="82">
        <v>348054478.60000002</v>
      </c>
      <c r="R257" s="71">
        <v>0</v>
      </c>
      <c r="S257" s="68">
        <v>10441634.357999999</v>
      </c>
      <c r="T257" s="68">
        <v>0</v>
      </c>
      <c r="U257" s="68">
        <f t="shared" si="54"/>
        <v>10441634.357999999</v>
      </c>
      <c r="V257" s="68">
        <v>315736182.13</v>
      </c>
      <c r="W257" s="69">
        <f t="shared" si="42"/>
        <v>674232295.08800006</v>
      </c>
    </row>
    <row r="258" spans="1:23" ht="24.95" customHeight="1">
      <c r="A258" s="170"/>
      <c r="B258" s="165"/>
      <c r="C258" s="64">
        <v>17</v>
      </c>
      <c r="D258" s="68" t="s">
        <v>621</v>
      </c>
      <c r="E258" s="68">
        <v>279852649.55000001</v>
      </c>
      <c r="F258" s="68">
        <v>0</v>
      </c>
      <c r="G258" s="68">
        <v>8395579.4871999994</v>
      </c>
      <c r="H258" s="68">
        <v>8395579.4871999994</v>
      </c>
      <c r="I258" s="68">
        <f t="shared" si="52"/>
        <v>0</v>
      </c>
      <c r="J258" s="81">
        <v>222978670.34999999</v>
      </c>
      <c r="K258" s="69">
        <f t="shared" si="41"/>
        <v>502831319.89999998</v>
      </c>
      <c r="L258" s="63"/>
      <c r="M258" s="165"/>
      <c r="N258" s="70">
        <v>4</v>
      </c>
      <c r="O258" s="165"/>
      <c r="P258" s="68" t="s">
        <v>622</v>
      </c>
      <c r="Q258" s="82">
        <v>372899423.30000001</v>
      </c>
      <c r="R258" s="71">
        <v>0</v>
      </c>
      <c r="S258" s="68">
        <v>11186982.699100001</v>
      </c>
      <c r="T258" s="68">
        <v>0</v>
      </c>
      <c r="U258" s="68">
        <f t="shared" si="54"/>
        <v>11186982.699100001</v>
      </c>
      <c r="V258" s="68">
        <v>295444185.44</v>
      </c>
      <c r="W258" s="69">
        <f t="shared" si="42"/>
        <v>679530591.43910003</v>
      </c>
    </row>
    <row r="259" spans="1:23" ht="24.95" customHeight="1">
      <c r="A259" s="170"/>
      <c r="B259" s="166"/>
      <c r="C259" s="64">
        <v>18</v>
      </c>
      <c r="D259" s="68" t="s">
        <v>623</v>
      </c>
      <c r="E259" s="68">
        <v>348248389.12</v>
      </c>
      <c r="F259" s="68">
        <v>0</v>
      </c>
      <c r="G259" s="68">
        <v>10447451.673599999</v>
      </c>
      <c r="H259" s="68">
        <v>10447451.673599999</v>
      </c>
      <c r="I259" s="68">
        <f t="shared" si="52"/>
        <v>0</v>
      </c>
      <c r="J259" s="81">
        <v>231047589.41</v>
      </c>
      <c r="K259" s="69">
        <f t="shared" si="41"/>
        <v>579295978.52999997</v>
      </c>
      <c r="L259" s="63"/>
      <c r="M259" s="165"/>
      <c r="N259" s="70">
        <v>5</v>
      </c>
      <c r="O259" s="165"/>
      <c r="P259" s="68" t="s">
        <v>624</v>
      </c>
      <c r="Q259" s="82">
        <v>378343872.56</v>
      </c>
      <c r="R259" s="71">
        <v>0</v>
      </c>
      <c r="S259" s="68">
        <v>11350316.176899999</v>
      </c>
      <c r="T259" s="68">
        <v>0</v>
      </c>
      <c r="U259" s="68">
        <f t="shared" si="54"/>
        <v>11350316.176899999</v>
      </c>
      <c r="V259" s="68">
        <v>354270997.29000002</v>
      </c>
      <c r="W259" s="69">
        <f t="shared" si="42"/>
        <v>743965186.02690005</v>
      </c>
    </row>
    <row r="260" spans="1:23" ht="24.95" customHeight="1">
      <c r="A260" s="64"/>
      <c r="B260" s="179" t="s">
        <v>589</v>
      </c>
      <c r="C260" s="177"/>
      <c r="D260" s="72"/>
      <c r="E260" s="72">
        <f t="shared" ref="E260:K260" si="55">SUM(E242:E259)</f>
        <v>6351454858.9900007</v>
      </c>
      <c r="F260" s="68">
        <v>0</v>
      </c>
      <c r="G260" s="72">
        <f t="shared" si="55"/>
        <v>190543645.76989996</v>
      </c>
      <c r="H260" s="72">
        <f t="shared" si="55"/>
        <v>190543645.76989996</v>
      </c>
      <c r="I260" s="72">
        <f t="shared" si="55"/>
        <v>0</v>
      </c>
      <c r="J260" s="72">
        <f t="shared" si="55"/>
        <v>4518366308.2599993</v>
      </c>
      <c r="K260" s="72">
        <f t="shared" si="55"/>
        <v>10869821167.25</v>
      </c>
      <c r="L260" s="63"/>
      <c r="M260" s="165"/>
      <c r="N260" s="70">
        <v>6</v>
      </c>
      <c r="O260" s="165"/>
      <c r="P260" s="68" t="s">
        <v>625</v>
      </c>
      <c r="Q260" s="82">
        <v>388860488.56</v>
      </c>
      <c r="R260" s="71">
        <v>0</v>
      </c>
      <c r="S260" s="68">
        <v>11665814.6567</v>
      </c>
      <c r="T260" s="68">
        <v>0</v>
      </c>
      <c r="U260" s="68">
        <f t="shared" si="54"/>
        <v>11665814.6567</v>
      </c>
      <c r="V260" s="68">
        <v>362958906.64999998</v>
      </c>
      <c r="W260" s="69">
        <f t="shared" si="42"/>
        <v>763485209.86669993</v>
      </c>
    </row>
    <row r="261" spans="1:23" ht="24.95" customHeight="1">
      <c r="A261" s="170">
        <v>13</v>
      </c>
      <c r="B261" s="164" t="s">
        <v>626</v>
      </c>
      <c r="C261" s="64">
        <v>1</v>
      </c>
      <c r="D261" s="68" t="s">
        <v>627</v>
      </c>
      <c r="E261" s="68">
        <v>409199267.30000001</v>
      </c>
      <c r="F261" s="68">
        <v>0</v>
      </c>
      <c r="G261" s="68">
        <v>12275978.019099999</v>
      </c>
      <c r="H261" s="68">
        <v>0</v>
      </c>
      <c r="I261" s="68">
        <f t="shared" ref="I261:I276" si="56">G261-H261</f>
        <v>12275978.019099999</v>
      </c>
      <c r="J261" s="81">
        <v>269916243.55000001</v>
      </c>
      <c r="K261" s="69">
        <f t="shared" si="41"/>
        <v>691391488.86910009</v>
      </c>
      <c r="L261" s="63"/>
      <c r="M261" s="165"/>
      <c r="N261" s="70">
        <v>7</v>
      </c>
      <c r="O261" s="165"/>
      <c r="P261" s="68" t="s">
        <v>628</v>
      </c>
      <c r="Q261" s="82">
        <v>421579342.94999999</v>
      </c>
      <c r="R261" s="71">
        <v>0</v>
      </c>
      <c r="S261" s="68">
        <v>12647380.2884</v>
      </c>
      <c r="T261" s="68">
        <v>0</v>
      </c>
      <c r="U261" s="68">
        <f t="shared" si="54"/>
        <v>12647380.2884</v>
      </c>
      <c r="V261" s="68">
        <v>371089483.63</v>
      </c>
      <c r="W261" s="69">
        <f t="shared" si="42"/>
        <v>805316206.86839998</v>
      </c>
    </row>
    <row r="262" spans="1:23" ht="24.95" customHeight="1">
      <c r="A262" s="170"/>
      <c r="B262" s="165"/>
      <c r="C262" s="64">
        <v>2</v>
      </c>
      <c r="D262" s="68" t="s">
        <v>629</v>
      </c>
      <c r="E262" s="68">
        <v>311372991.38</v>
      </c>
      <c r="F262" s="68">
        <v>0</v>
      </c>
      <c r="G262" s="68">
        <v>9341189.7414999995</v>
      </c>
      <c r="H262" s="68">
        <v>0</v>
      </c>
      <c r="I262" s="68">
        <f t="shared" si="56"/>
        <v>9341189.7414999995</v>
      </c>
      <c r="J262" s="81">
        <v>214655601.15000001</v>
      </c>
      <c r="K262" s="69">
        <f t="shared" si="41"/>
        <v>535369782.27149999</v>
      </c>
      <c r="L262" s="63"/>
      <c r="M262" s="165"/>
      <c r="N262" s="70">
        <v>8</v>
      </c>
      <c r="O262" s="165"/>
      <c r="P262" s="68" t="s">
        <v>630</v>
      </c>
      <c r="Q262" s="82">
        <v>310266924.99000001</v>
      </c>
      <c r="R262" s="71">
        <v>0</v>
      </c>
      <c r="S262" s="68">
        <v>9308007.7496000007</v>
      </c>
      <c r="T262" s="68">
        <v>0</v>
      </c>
      <c r="U262" s="68">
        <f t="shared" si="54"/>
        <v>9308007.7496000007</v>
      </c>
      <c r="V262" s="68">
        <v>309925871.48000002</v>
      </c>
      <c r="W262" s="69">
        <f t="shared" si="42"/>
        <v>629500804.21959996</v>
      </c>
    </row>
    <row r="263" spans="1:23" ht="24.95" customHeight="1">
      <c r="A263" s="170"/>
      <c r="B263" s="165"/>
      <c r="C263" s="64">
        <v>3</v>
      </c>
      <c r="D263" s="68" t="s">
        <v>631</v>
      </c>
      <c r="E263" s="68">
        <v>296889769.19999999</v>
      </c>
      <c r="F263" s="68">
        <v>0</v>
      </c>
      <c r="G263" s="68">
        <v>8906693.0759999994</v>
      </c>
      <c r="H263" s="68">
        <v>0</v>
      </c>
      <c r="I263" s="68">
        <f t="shared" si="56"/>
        <v>8906693.0759999994</v>
      </c>
      <c r="J263" s="81">
        <v>193556884.78</v>
      </c>
      <c r="K263" s="69">
        <f t="shared" si="41"/>
        <v>499353347.05599999</v>
      </c>
      <c r="L263" s="63"/>
      <c r="M263" s="165"/>
      <c r="N263" s="70">
        <v>9</v>
      </c>
      <c r="O263" s="165"/>
      <c r="P263" s="68" t="s">
        <v>632</v>
      </c>
      <c r="Q263" s="82">
        <v>368221361.07999998</v>
      </c>
      <c r="R263" s="71">
        <v>0</v>
      </c>
      <c r="S263" s="68">
        <v>11046640.8324</v>
      </c>
      <c r="T263" s="68">
        <v>0</v>
      </c>
      <c r="U263" s="68">
        <f t="shared" si="54"/>
        <v>11046640.8324</v>
      </c>
      <c r="V263" s="68">
        <v>348922604.26999998</v>
      </c>
      <c r="W263" s="69">
        <f t="shared" si="42"/>
        <v>728190606.18239999</v>
      </c>
    </row>
    <row r="264" spans="1:23" ht="24.95" customHeight="1">
      <c r="A264" s="170"/>
      <c r="B264" s="165"/>
      <c r="C264" s="64">
        <v>4</v>
      </c>
      <c r="D264" s="68" t="s">
        <v>633</v>
      </c>
      <c r="E264" s="68">
        <v>306554804.44999999</v>
      </c>
      <c r="F264" s="68">
        <v>0</v>
      </c>
      <c r="G264" s="68">
        <v>9196644.1335000005</v>
      </c>
      <c r="H264" s="68">
        <v>0</v>
      </c>
      <c r="I264" s="68">
        <f t="shared" si="56"/>
        <v>9196644.1335000005</v>
      </c>
      <c r="J264" s="81">
        <v>211129044.33000001</v>
      </c>
      <c r="K264" s="69">
        <f t="shared" ref="K264:K327" si="57">E264+F264+I264+J264</f>
        <v>526880492.91349995</v>
      </c>
      <c r="L264" s="63"/>
      <c r="M264" s="165"/>
      <c r="N264" s="70">
        <v>10</v>
      </c>
      <c r="O264" s="165"/>
      <c r="P264" s="68" t="s">
        <v>634</v>
      </c>
      <c r="Q264" s="82">
        <v>385510844.49000001</v>
      </c>
      <c r="R264" s="71">
        <v>0</v>
      </c>
      <c r="S264" s="68">
        <v>11565325.3347</v>
      </c>
      <c r="T264" s="68">
        <v>0</v>
      </c>
      <c r="U264" s="68">
        <f t="shared" si="54"/>
        <v>11565325.3347</v>
      </c>
      <c r="V264" s="68">
        <v>354619588.37</v>
      </c>
      <c r="W264" s="69">
        <f t="shared" ref="W264:W327" si="58">Q264+U264+V264</f>
        <v>751695758.1947</v>
      </c>
    </row>
    <row r="265" spans="1:23" ht="24.95" customHeight="1">
      <c r="A265" s="170"/>
      <c r="B265" s="165"/>
      <c r="C265" s="64">
        <v>5</v>
      </c>
      <c r="D265" s="68" t="s">
        <v>635</v>
      </c>
      <c r="E265" s="68">
        <v>324701276.52999997</v>
      </c>
      <c r="F265" s="68">
        <v>0</v>
      </c>
      <c r="G265" s="68">
        <v>9741038.2959000003</v>
      </c>
      <c r="H265" s="68">
        <v>0</v>
      </c>
      <c r="I265" s="68">
        <f t="shared" si="56"/>
        <v>9741038.2959000003</v>
      </c>
      <c r="J265" s="81">
        <v>220540314.63</v>
      </c>
      <c r="K265" s="69">
        <f t="shared" si="57"/>
        <v>554982629.45589995</v>
      </c>
      <c r="L265" s="63"/>
      <c r="M265" s="165"/>
      <c r="N265" s="70">
        <v>11</v>
      </c>
      <c r="O265" s="165"/>
      <c r="P265" s="68" t="s">
        <v>636</v>
      </c>
      <c r="Q265" s="82">
        <v>278815239.39999998</v>
      </c>
      <c r="R265" s="71">
        <v>0</v>
      </c>
      <c r="S265" s="68">
        <v>8364457.1819000002</v>
      </c>
      <c r="T265" s="68">
        <v>0</v>
      </c>
      <c r="U265" s="68">
        <f t="shared" si="54"/>
        <v>8364457.1819000002</v>
      </c>
      <c r="V265" s="68">
        <v>292752938.27999997</v>
      </c>
      <c r="W265" s="69">
        <f t="shared" si="58"/>
        <v>579932634.86189997</v>
      </c>
    </row>
    <row r="266" spans="1:23" ht="24.95" customHeight="1">
      <c r="A266" s="170"/>
      <c r="B266" s="165"/>
      <c r="C266" s="64">
        <v>6</v>
      </c>
      <c r="D266" s="68" t="s">
        <v>637</v>
      </c>
      <c r="E266" s="68">
        <v>331003164.79000002</v>
      </c>
      <c r="F266" s="68">
        <v>0</v>
      </c>
      <c r="G266" s="68">
        <v>9930094.9436000008</v>
      </c>
      <c r="H266" s="68">
        <v>0</v>
      </c>
      <c r="I266" s="68">
        <f t="shared" si="56"/>
        <v>9930094.9436000008</v>
      </c>
      <c r="J266" s="81">
        <v>225574562.31999999</v>
      </c>
      <c r="K266" s="69">
        <f t="shared" si="57"/>
        <v>566507822.05360007</v>
      </c>
      <c r="L266" s="63"/>
      <c r="M266" s="165"/>
      <c r="N266" s="70">
        <v>12</v>
      </c>
      <c r="O266" s="165"/>
      <c r="P266" s="68" t="s">
        <v>638</v>
      </c>
      <c r="Q266" s="82">
        <v>288695454.48000002</v>
      </c>
      <c r="R266" s="71">
        <v>0</v>
      </c>
      <c r="S266" s="68">
        <v>8723128.3999000005</v>
      </c>
      <c r="T266" s="68">
        <v>0</v>
      </c>
      <c r="U266" s="68">
        <f t="shared" si="54"/>
        <v>8723128.3999000005</v>
      </c>
      <c r="V266" s="68">
        <v>292102946.81</v>
      </c>
      <c r="W266" s="69">
        <f t="shared" si="58"/>
        <v>589521529.68990004</v>
      </c>
    </row>
    <row r="267" spans="1:23" ht="24.95" customHeight="1">
      <c r="A267" s="170"/>
      <c r="B267" s="165"/>
      <c r="C267" s="64">
        <v>7</v>
      </c>
      <c r="D267" s="68" t="s">
        <v>639</v>
      </c>
      <c r="E267" s="68">
        <v>272748663.16000003</v>
      </c>
      <c r="F267" s="68">
        <v>0</v>
      </c>
      <c r="G267" s="68">
        <v>8182459.8948999997</v>
      </c>
      <c r="H267" s="68">
        <v>0</v>
      </c>
      <c r="I267" s="68">
        <f t="shared" si="56"/>
        <v>8182459.8948999997</v>
      </c>
      <c r="J267" s="81">
        <v>195948453.84</v>
      </c>
      <c r="K267" s="69">
        <f t="shared" si="57"/>
        <v>476879576.89490008</v>
      </c>
      <c r="L267" s="63"/>
      <c r="M267" s="165"/>
      <c r="N267" s="70">
        <v>13</v>
      </c>
      <c r="O267" s="165"/>
      <c r="P267" s="68" t="s">
        <v>640</v>
      </c>
      <c r="Q267" s="82">
        <v>290770946.66000003</v>
      </c>
      <c r="R267" s="71">
        <v>0</v>
      </c>
      <c r="S267" s="68">
        <v>8551310.5437000003</v>
      </c>
      <c r="T267" s="68">
        <v>0</v>
      </c>
      <c r="U267" s="68">
        <f t="shared" si="54"/>
        <v>8551310.5437000003</v>
      </c>
      <c r="V267" s="68">
        <v>292850075.31999999</v>
      </c>
      <c r="W267" s="69">
        <f t="shared" si="58"/>
        <v>592172332.5237</v>
      </c>
    </row>
    <row r="268" spans="1:23" ht="24.95" customHeight="1">
      <c r="A268" s="170"/>
      <c r="B268" s="165"/>
      <c r="C268" s="64">
        <v>8</v>
      </c>
      <c r="D268" s="68" t="s">
        <v>641</v>
      </c>
      <c r="E268" s="68">
        <v>336004534.16000003</v>
      </c>
      <c r="F268" s="68">
        <v>0</v>
      </c>
      <c r="G268" s="68">
        <v>10080136.024700001</v>
      </c>
      <c r="H268" s="68">
        <v>0</v>
      </c>
      <c r="I268" s="68">
        <f t="shared" si="56"/>
        <v>10080136.024700001</v>
      </c>
      <c r="J268" s="81">
        <v>218417422.5</v>
      </c>
      <c r="K268" s="69">
        <f t="shared" si="57"/>
        <v>564502092.68470001</v>
      </c>
      <c r="L268" s="63"/>
      <c r="M268" s="165"/>
      <c r="N268" s="70">
        <v>14</v>
      </c>
      <c r="O268" s="165"/>
      <c r="P268" s="68" t="s">
        <v>642</v>
      </c>
      <c r="Q268" s="82">
        <v>285043684.79000002</v>
      </c>
      <c r="R268" s="71">
        <v>0</v>
      </c>
      <c r="S268" s="68">
        <v>12700953.362400001</v>
      </c>
      <c r="T268" s="68">
        <v>0</v>
      </c>
      <c r="U268" s="68">
        <f t="shared" si="54"/>
        <v>12700953.362400001</v>
      </c>
      <c r="V268" s="68">
        <v>306218129.97000003</v>
      </c>
      <c r="W268" s="69">
        <f t="shared" si="58"/>
        <v>603962768.12240005</v>
      </c>
    </row>
    <row r="269" spans="1:23" ht="24.95" customHeight="1">
      <c r="A269" s="170"/>
      <c r="B269" s="165"/>
      <c r="C269" s="64">
        <v>9</v>
      </c>
      <c r="D269" s="68" t="s">
        <v>643</v>
      </c>
      <c r="E269" s="68">
        <v>359511496.02999997</v>
      </c>
      <c r="F269" s="68">
        <v>0</v>
      </c>
      <c r="G269" s="68">
        <v>10785344.880999999</v>
      </c>
      <c r="H269" s="68">
        <v>0</v>
      </c>
      <c r="I269" s="68">
        <f t="shared" si="56"/>
        <v>10785344.880999999</v>
      </c>
      <c r="J269" s="81">
        <v>239874030.30000001</v>
      </c>
      <c r="K269" s="69">
        <f t="shared" si="57"/>
        <v>610170871.21099997</v>
      </c>
      <c r="L269" s="63"/>
      <c r="M269" s="165"/>
      <c r="N269" s="70">
        <v>15</v>
      </c>
      <c r="O269" s="165"/>
      <c r="P269" s="68" t="s">
        <v>644</v>
      </c>
      <c r="Q269" s="82">
        <v>340571812.52999997</v>
      </c>
      <c r="R269" s="71">
        <v>0</v>
      </c>
      <c r="S269" s="68">
        <v>8660863.6344000008</v>
      </c>
      <c r="T269" s="68">
        <v>0</v>
      </c>
      <c r="U269" s="68">
        <f t="shared" si="54"/>
        <v>8660863.6344000008</v>
      </c>
      <c r="V269" s="68">
        <v>298004883.17000002</v>
      </c>
      <c r="W269" s="69">
        <f t="shared" si="58"/>
        <v>647237559.33439994</v>
      </c>
    </row>
    <row r="270" spans="1:23" ht="24.95" customHeight="1">
      <c r="A270" s="170"/>
      <c r="B270" s="165"/>
      <c r="C270" s="64">
        <v>10</v>
      </c>
      <c r="D270" s="68" t="s">
        <v>645</v>
      </c>
      <c r="E270" s="68">
        <v>313932485.29000002</v>
      </c>
      <c r="F270" s="68">
        <v>0</v>
      </c>
      <c r="G270" s="68">
        <v>9417974.5588000007</v>
      </c>
      <c r="H270" s="68">
        <v>0</v>
      </c>
      <c r="I270" s="68">
        <f t="shared" si="56"/>
        <v>9417974.5588000007</v>
      </c>
      <c r="J270" s="81">
        <v>214366945.68000001</v>
      </c>
      <c r="K270" s="69">
        <f t="shared" si="57"/>
        <v>537717405.52880001</v>
      </c>
      <c r="L270" s="63"/>
      <c r="M270" s="165"/>
      <c r="N270" s="70">
        <v>16</v>
      </c>
      <c r="O270" s="165"/>
      <c r="P270" s="68" t="s">
        <v>646</v>
      </c>
      <c r="Q270" s="82">
        <v>302944901.51999998</v>
      </c>
      <c r="R270" s="71">
        <v>0</v>
      </c>
      <c r="S270" s="68">
        <v>9088347.0457000006</v>
      </c>
      <c r="T270" s="68">
        <v>0</v>
      </c>
      <c r="U270" s="68">
        <f t="shared" si="54"/>
        <v>9088347.0457000006</v>
      </c>
      <c r="V270" s="68">
        <v>299495351.17000002</v>
      </c>
      <c r="W270" s="69">
        <f t="shared" si="58"/>
        <v>611528599.73570001</v>
      </c>
    </row>
    <row r="271" spans="1:23" ht="24.95" customHeight="1">
      <c r="A271" s="170"/>
      <c r="B271" s="165"/>
      <c r="C271" s="64">
        <v>11</v>
      </c>
      <c r="D271" s="68" t="s">
        <v>647</v>
      </c>
      <c r="E271" s="68">
        <v>336430419.88999999</v>
      </c>
      <c r="F271" s="68">
        <v>0</v>
      </c>
      <c r="G271" s="68">
        <v>10092912.596799999</v>
      </c>
      <c r="H271" s="68">
        <v>0</v>
      </c>
      <c r="I271" s="68">
        <f t="shared" si="56"/>
        <v>10092912.596799999</v>
      </c>
      <c r="J271" s="81">
        <v>221628456.16</v>
      </c>
      <c r="K271" s="69">
        <f t="shared" si="57"/>
        <v>568151788.64679992</v>
      </c>
      <c r="L271" s="63"/>
      <c r="M271" s="165"/>
      <c r="N271" s="70">
        <v>17</v>
      </c>
      <c r="O271" s="165"/>
      <c r="P271" s="68" t="s">
        <v>648</v>
      </c>
      <c r="Q271" s="82">
        <v>395802623.35000002</v>
      </c>
      <c r="R271" s="71">
        <v>0</v>
      </c>
      <c r="S271" s="68">
        <v>11874078.7006</v>
      </c>
      <c r="T271" s="68">
        <v>0</v>
      </c>
      <c r="U271" s="68">
        <f t="shared" si="54"/>
        <v>11874078.7006</v>
      </c>
      <c r="V271" s="68">
        <v>345781151.04000002</v>
      </c>
      <c r="W271" s="69">
        <f t="shared" si="58"/>
        <v>753457853.09060001</v>
      </c>
    </row>
    <row r="272" spans="1:23" ht="24.95" customHeight="1">
      <c r="A272" s="170"/>
      <c r="B272" s="165"/>
      <c r="C272" s="64">
        <v>12</v>
      </c>
      <c r="D272" s="68" t="s">
        <v>649</v>
      </c>
      <c r="E272" s="68">
        <v>236093507.91999999</v>
      </c>
      <c r="F272" s="68">
        <v>0</v>
      </c>
      <c r="G272" s="68">
        <v>7082805.2374999998</v>
      </c>
      <c r="H272" s="68">
        <v>0</v>
      </c>
      <c r="I272" s="68">
        <f t="shared" si="56"/>
        <v>7082805.2374999998</v>
      </c>
      <c r="J272" s="81">
        <v>178603636.30000001</v>
      </c>
      <c r="K272" s="69">
        <f t="shared" si="57"/>
        <v>421779949.45749998</v>
      </c>
      <c r="L272" s="63"/>
      <c r="M272" s="165"/>
      <c r="N272" s="70">
        <v>18</v>
      </c>
      <c r="O272" s="165"/>
      <c r="P272" s="68" t="s">
        <v>650</v>
      </c>
      <c r="Q272" s="82">
        <v>342240706.83999997</v>
      </c>
      <c r="R272" s="71">
        <v>0</v>
      </c>
      <c r="S272" s="68">
        <v>10267221.2052</v>
      </c>
      <c r="T272" s="68">
        <v>0</v>
      </c>
      <c r="U272" s="68">
        <f t="shared" si="54"/>
        <v>10267221.2052</v>
      </c>
      <c r="V272" s="68">
        <v>301596198.01999998</v>
      </c>
      <c r="W272" s="69">
        <f t="shared" si="58"/>
        <v>654104126.06519997</v>
      </c>
    </row>
    <row r="273" spans="1:23" ht="24.95" customHeight="1">
      <c r="A273" s="170"/>
      <c r="B273" s="165"/>
      <c r="C273" s="64">
        <v>13</v>
      </c>
      <c r="D273" s="68" t="s">
        <v>651</v>
      </c>
      <c r="E273" s="68">
        <v>299232589.82999998</v>
      </c>
      <c r="F273" s="68">
        <v>0</v>
      </c>
      <c r="G273" s="68">
        <v>8976977.6950000003</v>
      </c>
      <c r="H273" s="68">
        <v>0</v>
      </c>
      <c r="I273" s="68">
        <f t="shared" si="56"/>
        <v>8976977.6950000003</v>
      </c>
      <c r="J273" s="81">
        <v>208095750.78</v>
      </c>
      <c r="K273" s="69">
        <f t="shared" si="57"/>
        <v>516305318.30499995</v>
      </c>
      <c r="L273" s="63"/>
      <c r="M273" s="165"/>
      <c r="N273" s="70">
        <v>19</v>
      </c>
      <c r="O273" s="165"/>
      <c r="P273" s="68" t="s">
        <v>652</v>
      </c>
      <c r="Q273" s="82">
        <v>314181972.79000002</v>
      </c>
      <c r="R273" s="71">
        <v>0</v>
      </c>
      <c r="S273" s="68">
        <v>9425459.1835999992</v>
      </c>
      <c r="T273" s="68">
        <v>0</v>
      </c>
      <c r="U273" s="68">
        <f t="shared" si="54"/>
        <v>9425459.1835999992</v>
      </c>
      <c r="V273" s="68">
        <v>292753282.74000001</v>
      </c>
      <c r="W273" s="69">
        <f t="shared" si="58"/>
        <v>616360714.71360004</v>
      </c>
    </row>
    <row r="274" spans="1:23" ht="24.95" customHeight="1">
      <c r="A274" s="170"/>
      <c r="B274" s="165"/>
      <c r="C274" s="64">
        <v>14</v>
      </c>
      <c r="D274" s="68" t="s">
        <v>653</v>
      </c>
      <c r="E274" s="68">
        <v>292002274.63999999</v>
      </c>
      <c r="F274" s="68">
        <v>0</v>
      </c>
      <c r="G274" s="68">
        <v>8760068.2390999999</v>
      </c>
      <c r="H274" s="68">
        <v>0</v>
      </c>
      <c r="I274" s="68">
        <f t="shared" si="56"/>
        <v>8760068.2390999999</v>
      </c>
      <c r="J274" s="81">
        <v>202792826.16999999</v>
      </c>
      <c r="K274" s="69">
        <f t="shared" si="57"/>
        <v>503555169.04909992</v>
      </c>
      <c r="L274" s="63"/>
      <c r="M274" s="165"/>
      <c r="N274" s="70">
        <v>20</v>
      </c>
      <c r="O274" s="165"/>
      <c r="P274" s="68" t="s">
        <v>654</v>
      </c>
      <c r="Q274" s="82">
        <v>283688406.52999997</v>
      </c>
      <c r="R274" s="71">
        <v>0</v>
      </c>
      <c r="S274" s="68">
        <v>8510652.1958000008</v>
      </c>
      <c r="T274" s="68">
        <v>0</v>
      </c>
      <c r="U274" s="68">
        <f t="shared" si="54"/>
        <v>8510652.1958000008</v>
      </c>
      <c r="V274" s="68">
        <v>326515982.44</v>
      </c>
      <c r="W274" s="69">
        <f t="shared" si="58"/>
        <v>618715041.16579998</v>
      </c>
    </row>
    <row r="275" spans="1:23" ht="24.95" customHeight="1">
      <c r="A275" s="170"/>
      <c r="B275" s="165"/>
      <c r="C275" s="64">
        <v>15</v>
      </c>
      <c r="D275" s="68" t="s">
        <v>655</v>
      </c>
      <c r="E275" s="68">
        <v>313176378.38</v>
      </c>
      <c r="F275" s="68">
        <v>0</v>
      </c>
      <c r="G275" s="68">
        <v>9395291.3509</v>
      </c>
      <c r="H275" s="68">
        <v>0</v>
      </c>
      <c r="I275" s="68">
        <f t="shared" si="56"/>
        <v>9395291.3509</v>
      </c>
      <c r="J275" s="81">
        <v>214071056.61000001</v>
      </c>
      <c r="K275" s="69">
        <f t="shared" si="57"/>
        <v>536642726.3409</v>
      </c>
      <c r="L275" s="63"/>
      <c r="M275" s="165"/>
      <c r="N275" s="70">
        <v>21</v>
      </c>
      <c r="O275" s="165"/>
      <c r="P275" s="68" t="s">
        <v>656</v>
      </c>
      <c r="Q275" s="82">
        <v>350353511.26999998</v>
      </c>
      <c r="R275" s="71">
        <v>0</v>
      </c>
      <c r="S275" s="68">
        <v>10510605.338</v>
      </c>
      <c r="T275" s="68">
        <v>0</v>
      </c>
      <c r="U275" s="68">
        <f t="shared" si="54"/>
        <v>10510605.338</v>
      </c>
      <c r="V275" s="68">
        <v>308245951.81</v>
      </c>
      <c r="W275" s="69">
        <f t="shared" si="58"/>
        <v>669110068.41799998</v>
      </c>
    </row>
    <row r="276" spans="1:23" ht="24.95" customHeight="1">
      <c r="A276" s="170"/>
      <c r="B276" s="166"/>
      <c r="C276" s="64">
        <v>16</v>
      </c>
      <c r="D276" s="68" t="s">
        <v>657</v>
      </c>
      <c r="E276" s="68">
        <v>304431866.47000003</v>
      </c>
      <c r="F276" s="68">
        <v>0</v>
      </c>
      <c r="G276" s="68">
        <v>9132955.9942000005</v>
      </c>
      <c r="H276" s="68">
        <v>0</v>
      </c>
      <c r="I276" s="68">
        <f t="shared" si="56"/>
        <v>9132955.9942000005</v>
      </c>
      <c r="J276" s="81">
        <v>209839050.66</v>
      </c>
      <c r="K276" s="69">
        <f t="shared" si="57"/>
        <v>523403873.12419999</v>
      </c>
      <c r="L276" s="63"/>
      <c r="M276" s="165"/>
      <c r="N276" s="70">
        <v>22</v>
      </c>
      <c r="O276" s="165"/>
      <c r="P276" s="68" t="s">
        <v>658</v>
      </c>
      <c r="Q276" s="82">
        <v>324520065.02999997</v>
      </c>
      <c r="R276" s="71">
        <v>0</v>
      </c>
      <c r="S276" s="68">
        <v>9735601.9510999992</v>
      </c>
      <c r="T276" s="68">
        <v>0</v>
      </c>
      <c r="U276" s="68">
        <f t="shared" si="54"/>
        <v>9735601.9510999992</v>
      </c>
      <c r="V276" s="68">
        <v>325731652.5</v>
      </c>
      <c r="W276" s="69">
        <f t="shared" si="58"/>
        <v>659987319.48109996</v>
      </c>
    </row>
    <row r="277" spans="1:23" ht="24.95" customHeight="1">
      <c r="A277" s="64"/>
      <c r="B277" s="179" t="s">
        <v>659</v>
      </c>
      <c r="C277" s="177"/>
      <c r="D277" s="72"/>
      <c r="E277" s="72">
        <f t="shared" ref="E277:K277" si="59">SUM(E261:E276)</f>
        <v>5043285489.4200001</v>
      </c>
      <c r="F277" s="68">
        <v>0</v>
      </c>
      <c r="G277" s="72">
        <f t="shared" si="59"/>
        <v>151298564.68249997</v>
      </c>
      <c r="H277" s="72">
        <f t="shared" si="59"/>
        <v>0</v>
      </c>
      <c r="I277" s="72">
        <f t="shared" si="59"/>
        <v>151298564.68249997</v>
      </c>
      <c r="J277" s="72">
        <f t="shared" si="59"/>
        <v>3439010279.7600002</v>
      </c>
      <c r="K277" s="72">
        <f t="shared" si="59"/>
        <v>8633594333.8625011</v>
      </c>
      <c r="L277" s="63"/>
      <c r="M277" s="165"/>
      <c r="N277" s="70">
        <v>23</v>
      </c>
      <c r="O277" s="165"/>
      <c r="P277" s="68" t="s">
        <v>660</v>
      </c>
      <c r="Q277" s="82">
        <v>335959791.02999997</v>
      </c>
      <c r="R277" s="71">
        <v>0</v>
      </c>
      <c r="S277" s="68">
        <v>10078793.731000001</v>
      </c>
      <c r="T277" s="68">
        <v>0</v>
      </c>
      <c r="U277" s="68">
        <f t="shared" si="54"/>
        <v>10078793.731000001</v>
      </c>
      <c r="V277" s="68">
        <v>292007532.06</v>
      </c>
      <c r="W277" s="69">
        <f t="shared" si="58"/>
        <v>638046116.82099998</v>
      </c>
    </row>
    <row r="278" spans="1:23" ht="24.95" customHeight="1">
      <c r="A278" s="170">
        <v>14</v>
      </c>
      <c r="B278" s="164" t="s">
        <v>88</v>
      </c>
      <c r="C278" s="64">
        <v>1</v>
      </c>
      <c r="D278" s="68" t="s">
        <v>661</v>
      </c>
      <c r="E278" s="68">
        <v>381353338.30000001</v>
      </c>
      <c r="F278" s="68">
        <v>0</v>
      </c>
      <c r="G278" s="68">
        <v>11440600.1489</v>
      </c>
      <c r="H278" s="68">
        <v>0</v>
      </c>
      <c r="I278" s="68">
        <f t="shared" ref="I278:I294" si="60">G278-H278</f>
        <v>11440600.1489</v>
      </c>
      <c r="J278" s="81">
        <v>228065688</v>
      </c>
      <c r="K278" s="69">
        <f t="shared" si="57"/>
        <v>620859626.44889998</v>
      </c>
      <c r="L278" s="63"/>
      <c r="M278" s="165"/>
      <c r="N278" s="70">
        <v>24</v>
      </c>
      <c r="O278" s="165"/>
      <c r="P278" s="68" t="s">
        <v>662</v>
      </c>
      <c r="Q278" s="82">
        <v>287606081.95999998</v>
      </c>
      <c r="R278" s="71">
        <v>0</v>
      </c>
      <c r="S278" s="68">
        <v>8628182.4587999992</v>
      </c>
      <c r="T278" s="68">
        <v>0</v>
      </c>
      <c r="U278" s="68">
        <f t="shared" si="54"/>
        <v>8628182.4587999992</v>
      </c>
      <c r="V278" s="68">
        <v>279734163.63</v>
      </c>
      <c r="W278" s="69">
        <f t="shared" si="58"/>
        <v>575968428.04879999</v>
      </c>
    </row>
    <row r="279" spans="1:23" ht="24.95" customHeight="1">
      <c r="A279" s="170"/>
      <c r="B279" s="165"/>
      <c r="C279" s="64">
        <v>2</v>
      </c>
      <c r="D279" s="68" t="s">
        <v>663</v>
      </c>
      <c r="E279" s="68">
        <v>321317594.26999998</v>
      </c>
      <c r="F279" s="68">
        <v>0</v>
      </c>
      <c r="G279" s="68">
        <v>9639527.8281999994</v>
      </c>
      <c r="H279" s="68">
        <v>0</v>
      </c>
      <c r="I279" s="68">
        <f t="shared" si="60"/>
        <v>9639527.8281999994</v>
      </c>
      <c r="J279" s="81">
        <v>205878830.11000001</v>
      </c>
      <c r="K279" s="69">
        <f t="shared" si="57"/>
        <v>536835952.20819998</v>
      </c>
      <c r="L279" s="63"/>
      <c r="M279" s="165"/>
      <c r="N279" s="70">
        <v>25</v>
      </c>
      <c r="O279" s="165"/>
      <c r="P279" s="68" t="s">
        <v>664</v>
      </c>
      <c r="Q279" s="82">
        <v>263187890.58000001</v>
      </c>
      <c r="R279" s="71">
        <v>0</v>
      </c>
      <c r="S279" s="68">
        <v>7895636.7175000003</v>
      </c>
      <c r="T279" s="68">
        <v>0</v>
      </c>
      <c r="U279" s="68">
        <f t="shared" si="54"/>
        <v>7895636.7175000003</v>
      </c>
      <c r="V279" s="68">
        <v>285443548.19999999</v>
      </c>
      <c r="W279" s="69">
        <f t="shared" si="58"/>
        <v>556527075.49749994</v>
      </c>
    </row>
    <row r="280" spans="1:23" ht="24.95" customHeight="1">
      <c r="A280" s="170"/>
      <c r="B280" s="165"/>
      <c r="C280" s="64">
        <v>3</v>
      </c>
      <c r="D280" s="68" t="s">
        <v>665</v>
      </c>
      <c r="E280" s="68">
        <v>434937420.05000001</v>
      </c>
      <c r="F280" s="68">
        <v>0</v>
      </c>
      <c r="G280" s="68">
        <v>13048122.601500001</v>
      </c>
      <c r="H280" s="68">
        <v>0</v>
      </c>
      <c r="I280" s="68">
        <f t="shared" si="60"/>
        <v>13048122.601500001</v>
      </c>
      <c r="J280" s="81">
        <v>255951252.28</v>
      </c>
      <c r="K280" s="69">
        <f t="shared" si="57"/>
        <v>703936794.93149996</v>
      </c>
      <c r="L280" s="63"/>
      <c r="M280" s="165"/>
      <c r="N280" s="70">
        <v>26</v>
      </c>
      <c r="O280" s="165"/>
      <c r="P280" s="68" t="s">
        <v>666</v>
      </c>
      <c r="Q280" s="82">
        <v>348870539.60000002</v>
      </c>
      <c r="R280" s="71">
        <v>0</v>
      </c>
      <c r="S280" s="68">
        <v>10466116.187999999</v>
      </c>
      <c r="T280" s="68">
        <v>0</v>
      </c>
      <c r="U280" s="68">
        <f t="shared" si="54"/>
        <v>10466116.187999999</v>
      </c>
      <c r="V280" s="68">
        <v>327111205.14999998</v>
      </c>
      <c r="W280" s="69">
        <f t="shared" si="58"/>
        <v>686447860.93799996</v>
      </c>
    </row>
    <row r="281" spans="1:23" ht="24.95" customHeight="1">
      <c r="A281" s="170"/>
      <c r="B281" s="165"/>
      <c r="C281" s="64">
        <v>4</v>
      </c>
      <c r="D281" s="68" t="s">
        <v>667</v>
      </c>
      <c r="E281" s="68">
        <v>408857151.93000001</v>
      </c>
      <c r="F281" s="68">
        <v>0</v>
      </c>
      <c r="G281" s="68">
        <v>12265714.557800001</v>
      </c>
      <c r="H281" s="68">
        <v>0</v>
      </c>
      <c r="I281" s="68">
        <f t="shared" si="60"/>
        <v>12265714.557800001</v>
      </c>
      <c r="J281" s="81">
        <v>244158057.74000001</v>
      </c>
      <c r="K281" s="69">
        <f t="shared" si="57"/>
        <v>665280924.22780001</v>
      </c>
      <c r="L281" s="63"/>
      <c r="M281" s="165"/>
      <c r="N281" s="70">
        <v>27</v>
      </c>
      <c r="O281" s="165"/>
      <c r="P281" s="68" t="s">
        <v>668</v>
      </c>
      <c r="Q281" s="82">
        <v>380104203.74000001</v>
      </c>
      <c r="R281" s="71">
        <v>0</v>
      </c>
      <c r="S281" s="68">
        <v>11403126.1121</v>
      </c>
      <c r="T281" s="68">
        <v>0</v>
      </c>
      <c r="U281" s="68">
        <f t="shared" si="54"/>
        <v>11403126.1121</v>
      </c>
      <c r="V281" s="68">
        <v>348582624.63</v>
      </c>
      <c r="W281" s="69">
        <f t="shared" si="58"/>
        <v>740089954.48210001</v>
      </c>
    </row>
    <row r="282" spans="1:23" ht="24.95" customHeight="1">
      <c r="A282" s="170"/>
      <c r="B282" s="165"/>
      <c r="C282" s="64">
        <v>5</v>
      </c>
      <c r="D282" s="68" t="s">
        <v>669</v>
      </c>
      <c r="E282" s="68">
        <v>395317780.81999999</v>
      </c>
      <c r="F282" s="68">
        <v>0</v>
      </c>
      <c r="G282" s="68">
        <v>11859533.4246</v>
      </c>
      <c r="H282" s="68">
        <v>0</v>
      </c>
      <c r="I282" s="68">
        <f t="shared" si="60"/>
        <v>11859533.4246</v>
      </c>
      <c r="J282" s="81">
        <v>228268573.53</v>
      </c>
      <c r="K282" s="69">
        <f t="shared" si="57"/>
        <v>635445887.77460003</v>
      </c>
      <c r="L282" s="63"/>
      <c r="M282" s="165"/>
      <c r="N282" s="70">
        <v>28</v>
      </c>
      <c r="O282" s="165"/>
      <c r="P282" s="68" t="s">
        <v>670</v>
      </c>
      <c r="Q282" s="82">
        <v>291123682.93000001</v>
      </c>
      <c r="R282" s="71">
        <v>0</v>
      </c>
      <c r="S282" s="68">
        <v>8733710.4879999999</v>
      </c>
      <c r="T282" s="68">
        <v>0</v>
      </c>
      <c r="U282" s="68">
        <f t="shared" si="54"/>
        <v>8733710.4879999999</v>
      </c>
      <c r="V282" s="68">
        <v>293256535.27999997</v>
      </c>
      <c r="W282" s="69">
        <f t="shared" si="58"/>
        <v>593113928.69799995</v>
      </c>
    </row>
    <row r="283" spans="1:23" ht="24.95" customHeight="1">
      <c r="A283" s="170"/>
      <c r="B283" s="165"/>
      <c r="C283" s="64">
        <v>6</v>
      </c>
      <c r="D283" s="68" t="s">
        <v>671</v>
      </c>
      <c r="E283" s="68">
        <v>380085506.94999999</v>
      </c>
      <c r="F283" s="68">
        <v>0</v>
      </c>
      <c r="G283" s="68">
        <v>11402565.2086</v>
      </c>
      <c r="H283" s="68">
        <v>0</v>
      </c>
      <c r="I283" s="68">
        <f t="shared" si="60"/>
        <v>11402565.2086</v>
      </c>
      <c r="J283" s="81">
        <v>218277581.09999999</v>
      </c>
      <c r="K283" s="69">
        <f t="shared" si="57"/>
        <v>609765653.2586</v>
      </c>
      <c r="L283" s="63"/>
      <c r="M283" s="165"/>
      <c r="N283" s="70">
        <v>29</v>
      </c>
      <c r="O283" s="165"/>
      <c r="P283" s="68" t="s">
        <v>672</v>
      </c>
      <c r="Q283" s="82">
        <v>350109967.22000003</v>
      </c>
      <c r="R283" s="71">
        <v>0</v>
      </c>
      <c r="S283" s="68">
        <v>10503299.0167</v>
      </c>
      <c r="T283" s="68">
        <v>0</v>
      </c>
      <c r="U283" s="68">
        <f t="shared" si="54"/>
        <v>10503299.0167</v>
      </c>
      <c r="V283" s="68">
        <v>309165998.04000002</v>
      </c>
      <c r="W283" s="69">
        <f t="shared" si="58"/>
        <v>669779264.27670002</v>
      </c>
    </row>
    <row r="284" spans="1:23" ht="24.95" customHeight="1">
      <c r="A284" s="170"/>
      <c r="B284" s="165"/>
      <c r="C284" s="64">
        <v>7</v>
      </c>
      <c r="D284" s="68" t="s">
        <v>673</v>
      </c>
      <c r="E284" s="68">
        <v>383766982.98000002</v>
      </c>
      <c r="F284" s="68">
        <v>0</v>
      </c>
      <c r="G284" s="68">
        <v>11513009.489499999</v>
      </c>
      <c r="H284" s="68">
        <v>0</v>
      </c>
      <c r="I284" s="68">
        <f t="shared" si="60"/>
        <v>11513009.489499999</v>
      </c>
      <c r="J284" s="81">
        <v>231893989.66999999</v>
      </c>
      <c r="K284" s="69">
        <f t="shared" si="57"/>
        <v>627173982.13950002</v>
      </c>
      <c r="L284" s="63"/>
      <c r="M284" s="165"/>
      <c r="N284" s="70">
        <v>30</v>
      </c>
      <c r="O284" s="165"/>
      <c r="P284" s="68" t="s">
        <v>674</v>
      </c>
      <c r="Q284" s="82">
        <v>295609631.39999998</v>
      </c>
      <c r="R284" s="71">
        <v>0</v>
      </c>
      <c r="S284" s="68">
        <v>8868288.9419</v>
      </c>
      <c r="T284" s="68">
        <v>0</v>
      </c>
      <c r="U284" s="68">
        <f t="shared" si="54"/>
        <v>8868288.9419</v>
      </c>
      <c r="V284" s="68">
        <v>299940734.85000002</v>
      </c>
      <c r="W284" s="69">
        <f t="shared" si="58"/>
        <v>604418655.19190001</v>
      </c>
    </row>
    <row r="285" spans="1:23" ht="24.95" customHeight="1">
      <c r="A285" s="170"/>
      <c r="B285" s="165"/>
      <c r="C285" s="64">
        <v>8</v>
      </c>
      <c r="D285" s="68" t="s">
        <v>675</v>
      </c>
      <c r="E285" s="68">
        <v>415357636.36000001</v>
      </c>
      <c r="F285" s="68">
        <v>0</v>
      </c>
      <c r="G285" s="68">
        <v>12460729.090700001</v>
      </c>
      <c r="H285" s="68">
        <v>0</v>
      </c>
      <c r="I285" s="68">
        <f t="shared" si="60"/>
        <v>12460729.090700001</v>
      </c>
      <c r="J285" s="81">
        <v>249179904.96000001</v>
      </c>
      <c r="K285" s="69">
        <f t="shared" si="57"/>
        <v>676998270.41070008</v>
      </c>
      <c r="L285" s="63"/>
      <c r="M285" s="165"/>
      <c r="N285" s="70">
        <v>31</v>
      </c>
      <c r="O285" s="165"/>
      <c r="P285" s="68" t="s">
        <v>676</v>
      </c>
      <c r="Q285" s="82">
        <v>296900099.50999999</v>
      </c>
      <c r="R285" s="71">
        <v>0</v>
      </c>
      <c r="S285" s="68">
        <v>8907002.9853000008</v>
      </c>
      <c r="T285" s="68">
        <v>0</v>
      </c>
      <c r="U285" s="68">
        <f t="shared" si="54"/>
        <v>8907002.9853000008</v>
      </c>
      <c r="V285" s="68">
        <v>304208564.38999999</v>
      </c>
      <c r="W285" s="69">
        <f t="shared" si="58"/>
        <v>610015666.88529992</v>
      </c>
    </row>
    <row r="286" spans="1:23" ht="24.95" customHeight="1">
      <c r="A286" s="170"/>
      <c r="B286" s="165"/>
      <c r="C286" s="64">
        <v>9</v>
      </c>
      <c r="D286" s="68" t="s">
        <v>677</v>
      </c>
      <c r="E286" s="68">
        <v>377944856.13</v>
      </c>
      <c r="F286" s="68">
        <v>0</v>
      </c>
      <c r="G286" s="68">
        <v>11338345.684</v>
      </c>
      <c r="H286" s="68">
        <v>0</v>
      </c>
      <c r="I286" s="68">
        <f t="shared" si="60"/>
        <v>11338345.684</v>
      </c>
      <c r="J286" s="81">
        <v>210565175.63999999</v>
      </c>
      <c r="K286" s="69">
        <f t="shared" si="57"/>
        <v>599848377.454</v>
      </c>
      <c r="L286" s="63"/>
      <c r="M286" s="165"/>
      <c r="N286" s="70">
        <v>32</v>
      </c>
      <c r="O286" s="165"/>
      <c r="P286" s="68" t="s">
        <v>678</v>
      </c>
      <c r="Q286" s="82">
        <v>295458372.67000002</v>
      </c>
      <c r="R286" s="71">
        <v>0</v>
      </c>
      <c r="S286" s="68">
        <v>8863751.1800999995</v>
      </c>
      <c r="T286" s="68">
        <v>0</v>
      </c>
      <c r="U286" s="68">
        <f t="shared" si="54"/>
        <v>8863751.1800999995</v>
      </c>
      <c r="V286" s="68">
        <v>295248189.06999999</v>
      </c>
      <c r="W286" s="69">
        <f t="shared" si="58"/>
        <v>599570312.92009997</v>
      </c>
    </row>
    <row r="287" spans="1:23" ht="24.95" customHeight="1">
      <c r="A287" s="170"/>
      <c r="B287" s="165"/>
      <c r="C287" s="64">
        <v>10</v>
      </c>
      <c r="D287" s="68" t="s">
        <v>679</v>
      </c>
      <c r="E287" s="68">
        <v>353441749.69999999</v>
      </c>
      <c r="F287" s="68">
        <v>0</v>
      </c>
      <c r="G287" s="68">
        <v>10603252.4911</v>
      </c>
      <c r="H287" s="68">
        <v>0</v>
      </c>
      <c r="I287" s="68">
        <f t="shared" si="60"/>
        <v>10603252.4911</v>
      </c>
      <c r="J287" s="81">
        <v>210939601.03999999</v>
      </c>
      <c r="K287" s="69">
        <f t="shared" si="57"/>
        <v>574984603.23109996</v>
      </c>
      <c r="L287" s="63"/>
      <c r="M287" s="166"/>
      <c r="N287" s="70">
        <v>33</v>
      </c>
      <c r="O287" s="166"/>
      <c r="P287" s="68" t="s">
        <v>680</v>
      </c>
      <c r="Q287" s="82">
        <v>423365112.07999998</v>
      </c>
      <c r="R287" s="71">
        <v>0</v>
      </c>
      <c r="S287" s="68">
        <v>10217154.375800001</v>
      </c>
      <c r="T287" s="68">
        <v>0</v>
      </c>
      <c r="U287" s="68">
        <f t="shared" ref="U287:U318" si="61">S287-T287</f>
        <v>10217154.375800001</v>
      </c>
      <c r="V287" s="68">
        <v>353040939.23000002</v>
      </c>
      <c r="W287" s="69">
        <f t="shared" si="58"/>
        <v>786623205.68580008</v>
      </c>
    </row>
    <row r="288" spans="1:23" ht="24.95" customHeight="1">
      <c r="A288" s="170"/>
      <c r="B288" s="165"/>
      <c r="C288" s="64">
        <v>11</v>
      </c>
      <c r="D288" s="68" t="s">
        <v>681</v>
      </c>
      <c r="E288" s="68">
        <v>370029753.67000002</v>
      </c>
      <c r="F288" s="68">
        <v>0</v>
      </c>
      <c r="G288" s="68">
        <v>11100892.609999999</v>
      </c>
      <c r="H288" s="68">
        <v>0</v>
      </c>
      <c r="I288" s="68">
        <f t="shared" si="60"/>
        <v>11100892.609999999</v>
      </c>
      <c r="J288" s="81">
        <v>211063261.31</v>
      </c>
      <c r="K288" s="69">
        <f t="shared" si="57"/>
        <v>592193907.59000003</v>
      </c>
      <c r="L288" s="63"/>
      <c r="M288" s="64"/>
      <c r="N288" s="177" t="s">
        <v>682</v>
      </c>
      <c r="O288" s="178"/>
      <c r="P288" s="72"/>
      <c r="Q288" s="72">
        <f>SUM(Q255:Q287)</f>
        <v>10989957555.019999</v>
      </c>
      <c r="R288" s="71">
        <v>0</v>
      </c>
      <c r="S288" s="72">
        <f t="shared" ref="S288:T288" si="62">SUM(S255:S287)</f>
        <v>329698726.65069997</v>
      </c>
      <c r="T288" s="72">
        <f t="shared" si="62"/>
        <v>0</v>
      </c>
      <c r="U288" s="72">
        <f t="shared" si="61"/>
        <v>329698726.65069997</v>
      </c>
      <c r="V288" s="72">
        <f>SUM(V255:V287)</f>
        <v>10416339597.440001</v>
      </c>
      <c r="W288" s="72">
        <f>SUM(W255:W287)</f>
        <v>21735995879.110699</v>
      </c>
    </row>
    <row r="289" spans="1:23" ht="24.95" customHeight="1">
      <c r="A289" s="170"/>
      <c r="B289" s="165"/>
      <c r="C289" s="64">
        <v>12</v>
      </c>
      <c r="D289" s="68" t="s">
        <v>683</v>
      </c>
      <c r="E289" s="68">
        <v>359272950.55000001</v>
      </c>
      <c r="F289" s="68">
        <v>0</v>
      </c>
      <c r="G289" s="68">
        <v>10778188.5164</v>
      </c>
      <c r="H289" s="68">
        <v>0</v>
      </c>
      <c r="I289" s="68">
        <f t="shared" si="60"/>
        <v>10778188.5164</v>
      </c>
      <c r="J289" s="81">
        <v>210347133.97999999</v>
      </c>
      <c r="K289" s="69">
        <f t="shared" si="57"/>
        <v>580398273.04639995</v>
      </c>
      <c r="L289" s="63"/>
      <c r="M289" s="164">
        <v>31</v>
      </c>
      <c r="N289" s="70">
        <v>1</v>
      </c>
      <c r="O289" s="164" t="s">
        <v>105</v>
      </c>
      <c r="P289" s="68" t="s">
        <v>684</v>
      </c>
      <c r="Q289" s="83">
        <v>401733993.32999998</v>
      </c>
      <c r="R289" s="71">
        <v>0</v>
      </c>
      <c r="S289" s="68">
        <v>12052019.799799999</v>
      </c>
      <c r="T289" s="68">
        <f t="shared" ref="T289:T305" si="63">S289/2</f>
        <v>6026009.8998999996</v>
      </c>
      <c r="U289" s="68">
        <f t="shared" si="61"/>
        <v>6026009.8998999996</v>
      </c>
      <c r="V289" s="68">
        <v>239100883.75999999</v>
      </c>
      <c r="W289" s="69">
        <f t="shared" si="58"/>
        <v>646860886.98989999</v>
      </c>
    </row>
    <row r="290" spans="1:23" ht="24.95" customHeight="1">
      <c r="A290" s="170"/>
      <c r="B290" s="165"/>
      <c r="C290" s="64">
        <v>13</v>
      </c>
      <c r="D290" s="68" t="s">
        <v>685</v>
      </c>
      <c r="E290" s="68">
        <v>465305470.25999999</v>
      </c>
      <c r="F290" s="68">
        <v>0</v>
      </c>
      <c r="G290" s="68">
        <v>13959164.107799999</v>
      </c>
      <c r="H290" s="68">
        <v>0</v>
      </c>
      <c r="I290" s="68">
        <f t="shared" si="60"/>
        <v>13959164.107799999</v>
      </c>
      <c r="J290" s="81">
        <v>266472364.94</v>
      </c>
      <c r="K290" s="69">
        <f t="shared" si="57"/>
        <v>745736999.30780005</v>
      </c>
      <c r="L290" s="63"/>
      <c r="M290" s="165"/>
      <c r="N290" s="70">
        <v>2</v>
      </c>
      <c r="O290" s="165"/>
      <c r="P290" s="68" t="s">
        <v>279</v>
      </c>
      <c r="Q290" s="83">
        <v>405250688.47000003</v>
      </c>
      <c r="R290" s="71">
        <v>0</v>
      </c>
      <c r="S290" s="68">
        <v>12157520.654200001</v>
      </c>
      <c r="T290" s="68">
        <f t="shared" si="63"/>
        <v>6078760.3271000003</v>
      </c>
      <c r="U290" s="68">
        <f t="shared" si="61"/>
        <v>6078760.3271000003</v>
      </c>
      <c r="V290" s="68">
        <v>243093836.16</v>
      </c>
      <c r="W290" s="69">
        <f t="shared" si="58"/>
        <v>654423284.95710003</v>
      </c>
    </row>
    <row r="291" spans="1:23" ht="24.95" customHeight="1">
      <c r="A291" s="170"/>
      <c r="B291" s="165"/>
      <c r="C291" s="64">
        <v>14</v>
      </c>
      <c r="D291" s="68" t="s">
        <v>686</v>
      </c>
      <c r="E291" s="68">
        <v>319265002.44999999</v>
      </c>
      <c r="F291" s="68">
        <v>0</v>
      </c>
      <c r="G291" s="68">
        <v>9577950.0734999999</v>
      </c>
      <c r="H291" s="68">
        <v>0</v>
      </c>
      <c r="I291" s="68">
        <f t="shared" si="60"/>
        <v>9577950.0734999999</v>
      </c>
      <c r="J291" s="81">
        <v>203420780.74000001</v>
      </c>
      <c r="K291" s="69">
        <f t="shared" si="57"/>
        <v>532263733.26349998</v>
      </c>
      <c r="L291" s="63"/>
      <c r="M291" s="165"/>
      <c r="N291" s="70">
        <v>3</v>
      </c>
      <c r="O291" s="165"/>
      <c r="P291" s="68" t="s">
        <v>687</v>
      </c>
      <c r="Q291" s="83">
        <v>403484764.63</v>
      </c>
      <c r="R291" s="71">
        <v>0</v>
      </c>
      <c r="S291" s="68">
        <v>12104542.9388</v>
      </c>
      <c r="T291" s="68">
        <f t="shared" si="63"/>
        <v>6052271.4693999998</v>
      </c>
      <c r="U291" s="68">
        <f t="shared" si="61"/>
        <v>6052271.4693999998</v>
      </c>
      <c r="V291" s="68">
        <v>240198670.11000001</v>
      </c>
      <c r="W291" s="69">
        <f t="shared" si="58"/>
        <v>649735706.20939994</v>
      </c>
    </row>
    <row r="292" spans="1:23" ht="24.95" customHeight="1">
      <c r="A292" s="170"/>
      <c r="B292" s="165"/>
      <c r="C292" s="64">
        <v>15</v>
      </c>
      <c r="D292" s="68" t="s">
        <v>688</v>
      </c>
      <c r="E292" s="68">
        <v>353374726.77999997</v>
      </c>
      <c r="F292" s="68">
        <v>0</v>
      </c>
      <c r="G292" s="68">
        <v>10601241.803400001</v>
      </c>
      <c r="H292" s="68">
        <v>0</v>
      </c>
      <c r="I292" s="68">
        <f t="shared" si="60"/>
        <v>10601241.803400001</v>
      </c>
      <c r="J292" s="81">
        <v>221290896.11000001</v>
      </c>
      <c r="K292" s="69">
        <f t="shared" si="57"/>
        <v>585266864.69339991</v>
      </c>
      <c r="L292" s="63"/>
      <c r="M292" s="165"/>
      <c r="N292" s="70">
        <v>4</v>
      </c>
      <c r="O292" s="165"/>
      <c r="P292" s="68" t="s">
        <v>689</v>
      </c>
      <c r="Q292" s="83">
        <v>306322613.92000002</v>
      </c>
      <c r="R292" s="71">
        <v>0</v>
      </c>
      <c r="S292" s="68">
        <v>9189678.4175000004</v>
      </c>
      <c r="T292" s="68">
        <f t="shared" si="63"/>
        <v>4594839.2087500002</v>
      </c>
      <c r="U292" s="68">
        <f t="shared" si="61"/>
        <v>4594839.2087500002</v>
      </c>
      <c r="V292" s="68">
        <v>208215093.87</v>
      </c>
      <c r="W292" s="69">
        <f t="shared" si="58"/>
        <v>519132546.99875003</v>
      </c>
    </row>
    <row r="293" spans="1:23" ht="24.95" customHeight="1">
      <c r="A293" s="170"/>
      <c r="B293" s="165"/>
      <c r="C293" s="64">
        <v>16</v>
      </c>
      <c r="D293" s="68" t="s">
        <v>690</v>
      </c>
      <c r="E293" s="68">
        <v>401252290.47000003</v>
      </c>
      <c r="F293" s="68">
        <v>0</v>
      </c>
      <c r="G293" s="68">
        <v>12037568.7141</v>
      </c>
      <c r="H293" s="68">
        <v>0</v>
      </c>
      <c r="I293" s="68">
        <f t="shared" si="60"/>
        <v>12037568.7141</v>
      </c>
      <c r="J293" s="81">
        <v>240420692.88</v>
      </c>
      <c r="K293" s="69">
        <f t="shared" si="57"/>
        <v>653710552.06410003</v>
      </c>
      <c r="L293" s="63"/>
      <c r="M293" s="165"/>
      <c r="N293" s="70">
        <v>5</v>
      </c>
      <c r="O293" s="165"/>
      <c r="P293" s="68" t="s">
        <v>691</v>
      </c>
      <c r="Q293" s="83">
        <v>532959542.24000001</v>
      </c>
      <c r="R293" s="71">
        <v>0</v>
      </c>
      <c r="S293" s="68">
        <v>15988786.267000001</v>
      </c>
      <c r="T293" s="68">
        <f t="shared" si="63"/>
        <v>7994393.1335000005</v>
      </c>
      <c r="U293" s="68">
        <f t="shared" si="61"/>
        <v>7994393.1335000005</v>
      </c>
      <c r="V293" s="68">
        <v>326604478.98000002</v>
      </c>
      <c r="W293" s="69">
        <f t="shared" si="58"/>
        <v>867558414.35350001</v>
      </c>
    </row>
    <row r="294" spans="1:23" ht="24.95" customHeight="1">
      <c r="A294" s="170"/>
      <c r="B294" s="166"/>
      <c r="C294" s="64">
        <v>17</v>
      </c>
      <c r="D294" s="68" t="s">
        <v>692</v>
      </c>
      <c r="E294" s="68">
        <v>332292352.16000003</v>
      </c>
      <c r="F294" s="68">
        <v>0</v>
      </c>
      <c r="G294" s="68">
        <v>9968770.5647</v>
      </c>
      <c r="H294" s="68">
        <v>0</v>
      </c>
      <c r="I294" s="68">
        <f t="shared" si="60"/>
        <v>9968770.5647</v>
      </c>
      <c r="J294" s="81">
        <v>202695008.59999999</v>
      </c>
      <c r="K294" s="69">
        <f t="shared" si="57"/>
        <v>544956131.3247</v>
      </c>
      <c r="L294" s="63"/>
      <c r="M294" s="165"/>
      <c r="N294" s="70">
        <v>6</v>
      </c>
      <c r="O294" s="165"/>
      <c r="P294" s="68" t="s">
        <v>693</v>
      </c>
      <c r="Q294" s="83">
        <v>460874406.04000002</v>
      </c>
      <c r="R294" s="71">
        <v>0</v>
      </c>
      <c r="S294" s="68">
        <v>13826232.181299999</v>
      </c>
      <c r="T294" s="68">
        <f t="shared" si="63"/>
        <v>6913116.0906499997</v>
      </c>
      <c r="U294" s="68">
        <f t="shared" si="61"/>
        <v>6913116.0906499997</v>
      </c>
      <c r="V294" s="68">
        <v>284379489.63999999</v>
      </c>
      <c r="W294" s="69">
        <f t="shared" si="58"/>
        <v>752167011.77065003</v>
      </c>
    </row>
    <row r="295" spans="1:23" ht="24.95" customHeight="1">
      <c r="A295" s="64"/>
      <c r="B295" s="179" t="s">
        <v>694</v>
      </c>
      <c r="C295" s="177"/>
      <c r="D295" s="72"/>
      <c r="E295" s="72">
        <f t="shared" ref="E295:K295" si="64">SUM(E278:E294)</f>
        <v>6453172563.8299999</v>
      </c>
      <c r="F295" s="68">
        <v>0</v>
      </c>
      <c r="G295" s="72">
        <f t="shared" si="64"/>
        <v>193595176.91480005</v>
      </c>
      <c r="H295" s="72">
        <f t="shared" si="64"/>
        <v>0</v>
      </c>
      <c r="I295" s="72">
        <f t="shared" si="64"/>
        <v>193595176.91480005</v>
      </c>
      <c r="J295" s="72">
        <f t="shared" si="64"/>
        <v>3838888792.6300001</v>
      </c>
      <c r="K295" s="72">
        <f t="shared" si="64"/>
        <v>10485656533.3748</v>
      </c>
      <c r="L295" s="63"/>
      <c r="M295" s="165"/>
      <c r="N295" s="70">
        <v>7</v>
      </c>
      <c r="O295" s="165"/>
      <c r="P295" s="68" t="s">
        <v>695</v>
      </c>
      <c r="Q295" s="83">
        <v>404575601.74000001</v>
      </c>
      <c r="R295" s="71">
        <v>0</v>
      </c>
      <c r="S295" s="68">
        <v>12137268.052100001</v>
      </c>
      <c r="T295" s="68">
        <f t="shared" si="63"/>
        <v>6068634.0260500005</v>
      </c>
      <c r="U295" s="68">
        <f t="shared" si="61"/>
        <v>6068634.0260500005</v>
      </c>
      <c r="V295" s="68">
        <v>235873660.59</v>
      </c>
      <c r="W295" s="69">
        <f t="shared" si="58"/>
        <v>646517896.35605001</v>
      </c>
    </row>
    <row r="296" spans="1:23" ht="24.95" customHeight="1">
      <c r="A296" s="170">
        <v>15</v>
      </c>
      <c r="B296" s="164" t="s">
        <v>696</v>
      </c>
      <c r="C296" s="64">
        <v>1</v>
      </c>
      <c r="D296" s="68" t="s">
        <v>697</v>
      </c>
      <c r="E296" s="68">
        <v>530178299.55000001</v>
      </c>
      <c r="F296" s="68">
        <v>0</v>
      </c>
      <c r="G296" s="68">
        <v>15905348.9866</v>
      </c>
      <c r="H296" s="68">
        <f t="shared" ref="H296:H306" si="65">G296/2</f>
        <v>7952674.4933000002</v>
      </c>
      <c r="I296" s="68">
        <f t="shared" ref="I296:I306" si="66">G296-H296</f>
        <v>7952674.4933000002</v>
      </c>
      <c r="J296" s="81">
        <v>320545826.91000003</v>
      </c>
      <c r="K296" s="69">
        <f t="shared" si="57"/>
        <v>858676800.9533</v>
      </c>
      <c r="L296" s="63"/>
      <c r="M296" s="165"/>
      <c r="N296" s="70">
        <v>8</v>
      </c>
      <c r="O296" s="165"/>
      <c r="P296" s="68" t="s">
        <v>698</v>
      </c>
      <c r="Q296" s="83">
        <v>357305519.58999997</v>
      </c>
      <c r="R296" s="71">
        <v>0</v>
      </c>
      <c r="S296" s="68">
        <v>10719165.5878</v>
      </c>
      <c r="T296" s="68">
        <f t="shared" si="63"/>
        <v>5359582.7938999999</v>
      </c>
      <c r="U296" s="68">
        <f t="shared" si="61"/>
        <v>5359582.7938999999</v>
      </c>
      <c r="V296" s="68">
        <v>220554253.69</v>
      </c>
      <c r="W296" s="69">
        <f t="shared" si="58"/>
        <v>583219356.07389998</v>
      </c>
    </row>
    <row r="297" spans="1:23" ht="24.95" customHeight="1">
      <c r="A297" s="170"/>
      <c r="B297" s="165"/>
      <c r="C297" s="64">
        <v>2</v>
      </c>
      <c r="D297" s="68" t="s">
        <v>699</v>
      </c>
      <c r="E297" s="68">
        <v>385032709.08999997</v>
      </c>
      <c r="F297" s="68">
        <v>0</v>
      </c>
      <c r="G297" s="68">
        <v>11550981.2728</v>
      </c>
      <c r="H297" s="68">
        <f t="shared" si="65"/>
        <v>5775490.6364000002</v>
      </c>
      <c r="I297" s="68">
        <f t="shared" si="66"/>
        <v>5775490.6364000002</v>
      </c>
      <c r="J297" s="81">
        <v>277383912.93000001</v>
      </c>
      <c r="K297" s="69">
        <f t="shared" si="57"/>
        <v>668192112.65639997</v>
      </c>
      <c r="L297" s="63"/>
      <c r="M297" s="165"/>
      <c r="N297" s="70">
        <v>9</v>
      </c>
      <c r="O297" s="165"/>
      <c r="P297" s="68" t="s">
        <v>700</v>
      </c>
      <c r="Q297" s="83">
        <v>366479597.26999998</v>
      </c>
      <c r="R297" s="71">
        <v>0</v>
      </c>
      <c r="S297" s="68">
        <v>10994387.918199999</v>
      </c>
      <c r="T297" s="68">
        <f t="shared" si="63"/>
        <v>5497193.9590999996</v>
      </c>
      <c r="U297" s="68">
        <f t="shared" si="61"/>
        <v>5497193.9590999996</v>
      </c>
      <c r="V297" s="68">
        <v>227174384.13</v>
      </c>
      <c r="W297" s="69">
        <f t="shared" si="58"/>
        <v>599151175.35909998</v>
      </c>
    </row>
    <row r="298" spans="1:23" ht="24.95" customHeight="1">
      <c r="A298" s="170"/>
      <c r="B298" s="165"/>
      <c r="C298" s="64">
        <v>3</v>
      </c>
      <c r="D298" s="68" t="s">
        <v>701</v>
      </c>
      <c r="E298" s="68">
        <v>387526962.22000003</v>
      </c>
      <c r="F298" s="68">
        <v>0</v>
      </c>
      <c r="G298" s="68">
        <v>11625808.866699999</v>
      </c>
      <c r="H298" s="68">
        <f t="shared" si="65"/>
        <v>5812904.4333499996</v>
      </c>
      <c r="I298" s="68">
        <f t="shared" si="66"/>
        <v>5812904.4333499996</v>
      </c>
      <c r="J298" s="81">
        <v>273799831.69999999</v>
      </c>
      <c r="K298" s="69">
        <f t="shared" si="57"/>
        <v>667139698.35335004</v>
      </c>
      <c r="L298" s="63"/>
      <c r="M298" s="165"/>
      <c r="N298" s="70">
        <v>10</v>
      </c>
      <c r="O298" s="165"/>
      <c r="P298" s="68" t="s">
        <v>702</v>
      </c>
      <c r="Q298" s="83">
        <v>347659009.36000001</v>
      </c>
      <c r="R298" s="71">
        <v>0</v>
      </c>
      <c r="S298" s="68">
        <v>10429770.2809</v>
      </c>
      <c r="T298" s="68">
        <f t="shared" si="63"/>
        <v>5214885.1404499998</v>
      </c>
      <c r="U298" s="68">
        <f t="shared" si="61"/>
        <v>5214885.1404499998</v>
      </c>
      <c r="V298" s="68">
        <v>215346399.37</v>
      </c>
      <c r="W298" s="69">
        <f t="shared" si="58"/>
        <v>568220293.87045002</v>
      </c>
    </row>
    <row r="299" spans="1:23" ht="24.95" customHeight="1">
      <c r="A299" s="170"/>
      <c r="B299" s="165"/>
      <c r="C299" s="64">
        <v>4</v>
      </c>
      <c r="D299" s="68" t="s">
        <v>703</v>
      </c>
      <c r="E299" s="68">
        <v>422262917.62</v>
      </c>
      <c r="F299" s="68">
        <v>0</v>
      </c>
      <c r="G299" s="68">
        <v>12667887.5286</v>
      </c>
      <c r="H299" s="68">
        <f t="shared" si="65"/>
        <v>6333943.7642999999</v>
      </c>
      <c r="I299" s="68">
        <f t="shared" si="66"/>
        <v>6333943.7642999999</v>
      </c>
      <c r="J299" s="81">
        <v>275537964.69999999</v>
      </c>
      <c r="K299" s="69">
        <f t="shared" si="57"/>
        <v>704134826.08430004</v>
      </c>
      <c r="L299" s="63"/>
      <c r="M299" s="165"/>
      <c r="N299" s="70">
        <v>11</v>
      </c>
      <c r="O299" s="165"/>
      <c r="P299" s="68" t="s">
        <v>704</v>
      </c>
      <c r="Q299" s="83">
        <v>480336010.14999998</v>
      </c>
      <c r="R299" s="71">
        <v>0</v>
      </c>
      <c r="S299" s="68">
        <v>14410080.304500001</v>
      </c>
      <c r="T299" s="68">
        <f t="shared" si="63"/>
        <v>7205040.1522500003</v>
      </c>
      <c r="U299" s="68">
        <f t="shared" si="61"/>
        <v>7205040.1522500003</v>
      </c>
      <c r="V299" s="68">
        <v>280320056.93000001</v>
      </c>
      <c r="W299" s="69">
        <f t="shared" si="58"/>
        <v>767861107.23224998</v>
      </c>
    </row>
    <row r="300" spans="1:23" ht="24.95" customHeight="1">
      <c r="A300" s="170"/>
      <c r="B300" s="165"/>
      <c r="C300" s="64">
        <v>5</v>
      </c>
      <c r="D300" s="68" t="s">
        <v>705</v>
      </c>
      <c r="E300" s="68">
        <v>410708477.39999998</v>
      </c>
      <c r="F300" s="68">
        <v>0</v>
      </c>
      <c r="G300" s="68">
        <v>12321254.322000001</v>
      </c>
      <c r="H300" s="68">
        <f t="shared" si="65"/>
        <v>6160627.1610000003</v>
      </c>
      <c r="I300" s="68">
        <f t="shared" si="66"/>
        <v>6160627.1610000003</v>
      </c>
      <c r="J300" s="81">
        <v>285491755.70999998</v>
      </c>
      <c r="K300" s="69">
        <f t="shared" si="57"/>
        <v>702360860.27099991</v>
      </c>
      <c r="L300" s="63"/>
      <c r="M300" s="165"/>
      <c r="N300" s="70">
        <v>12</v>
      </c>
      <c r="O300" s="165"/>
      <c r="P300" s="68" t="s">
        <v>706</v>
      </c>
      <c r="Q300" s="83">
        <v>323387340.60000002</v>
      </c>
      <c r="R300" s="71">
        <v>0</v>
      </c>
      <c r="S300" s="68">
        <v>9701620.2179000005</v>
      </c>
      <c r="T300" s="68">
        <f t="shared" si="63"/>
        <v>4850810.1089500003</v>
      </c>
      <c r="U300" s="68">
        <f t="shared" si="61"/>
        <v>4850810.1089500003</v>
      </c>
      <c r="V300" s="68">
        <v>212282793.56</v>
      </c>
      <c r="W300" s="69">
        <f t="shared" si="58"/>
        <v>540520944.26894999</v>
      </c>
    </row>
    <row r="301" spans="1:23" ht="24.95" customHeight="1">
      <c r="A301" s="170"/>
      <c r="B301" s="165"/>
      <c r="C301" s="64">
        <v>6</v>
      </c>
      <c r="D301" s="68" t="s">
        <v>89</v>
      </c>
      <c r="E301" s="68">
        <v>447209359.99000001</v>
      </c>
      <c r="F301" s="68">
        <v>0</v>
      </c>
      <c r="G301" s="68">
        <v>13416280.799699999</v>
      </c>
      <c r="H301" s="68">
        <f t="shared" si="65"/>
        <v>6708140.3998499997</v>
      </c>
      <c r="I301" s="68">
        <f t="shared" si="66"/>
        <v>6708140.3998499997</v>
      </c>
      <c r="J301" s="81">
        <v>296484430.81</v>
      </c>
      <c r="K301" s="69">
        <f t="shared" si="57"/>
        <v>750401931.19985008</v>
      </c>
      <c r="L301" s="63"/>
      <c r="M301" s="165"/>
      <c r="N301" s="70">
        <v>13</v>
      </c>
      <c r="O301" s="165"/>
      <c r="P301" s="68" t="s">
        <v>707</v>
      </c>
      <c r="Q301" s="83">
        <v>431728357.37</v>
      </c>
      <c r="R301" s="71">
        <v>0</v>
      </c>
      <c r="S301" s="68">
        <v>12951850.7212</v>
      </c>
      <c r="T301" s="68">
        <f t="shared" si="63"/>
        <v>6475925.3606000002</v>
      </c>
      <c r="U301" s="68">
        <f t="shared" si="61"/>
        <v>6475925.3606000002</v>
      </c>
      <c r="V301" s="68">
        <v>244756188.49000001</v>
      </c>
      <c r="W301" s="69">
        <f t="shared" si="58"/>
        <v>682960471.22060001</v>
      </c>
    </row>
    <row r="302" spans="1:23" ht="24.95" customHeight="1">
      <c r="A302" s="170"/>
      <c r="B302" s="165"/>
      <c r="C302" s="64">
        <v>7</v>
      </c>
      <c r="D302" s="68" t="s">
        <v>708</v>
      </c>
      <c r="E302" s="68">
        <v>350653463.61000001</v>
      </c>
      <c r="F302" s="68">
        <v>0</v>
      </c>
      <c r="G302" s="68">
        <v>10519603.908399999</v>
      </c>
      <c r="H302" s="68">
        <f t="shared" si="65"/>
        <v>5259801.9541999996</v>
      </c>
      <c r="I302" s="68">
        <f t="shared" si="66"/>
        <v>5259801.9541999996</v>
      </c>
      <c r="J302" s="81">
        <v>255771265.84</v>
      </c>
      <c r="K302" s="69">
        <f t="shared" si="57"/>
        <v>611684531.40420008</v>
      </c>
      <c r="L302" s="63"/>
      <c r="M302" s="165"/>
      <c r="N302" s="70">
        <v>14</v>
      </c>
      <c r="O302" s="165"/>
      <c r="P302" s="68" t="s">
        <v>709</v>
      </c>
      <c r="Q302" s="83">
        <v>431103935.39999998</v>
      </c>
      <c r="R302" s="71">
        <v>0</v>
      </c>
      <c r="S302" s="68">
        <v>12933118.061899999</v>
      </c>
      <c r="T302" s="68">
        <f t="shared" si="63"/>
        <v>6466559.0309499996</v>
      </c>
      <c r="U302" s="68">
        <f t="shared" si="61"/>
        <v>6466559.0309499996</v>
      </c>
      <c r="V302" s="68">
        <v>246562524.09999999</v>
      </c>
      <c r="W302" s="69">
        <f t="shared" si="58"/>
        <v>684133018.53094995</v>
      </c>
    </row>
    <row r="303" spans="1:23" ht="24.95" customHeight="1">
      <c r="A303" s="170"/>
      <c r="B303" s="165"/>
      <c r="C303" s="64">
        <v>8</v>
      </c>
      <c r="D303" s="68" t="s">
        <v>710</v>
      </c>
      <c r="E303" s="68">
        <v>376140430.61000001</v>
      </c>
      <c r="F303" s="68">
        <v>0</v>
      </c>
      <c r="G303" s="68">
        <v>11284212.918299999</v>
      </c>
      <c r="H303" s="68">
        <f t="shared" si="65"/>
        <v>5642106.4591499995</v>
      </c>
      <c r="I303" s="68">
        <f t="shared" si="66"/>
        <v>5642106.4591499995</v>
      </c>
      <c r="J303" s="81">
        <v>271441675.02999997</v>
      </c>
      <c r="K303" s="69">
        <f t="shared" si="57"/>
        <v>653224212.09914994</v>
      </c>
      <c r="L303" s="63"/>
      <c r="M303" s="165"/>
      <c r="N303" s="70">
        <v>15</v>
      </c>
      <c r="O303" s="165"/>
      <c r="P303" s="68" t="s">
        <v>711</v>
      </c>
      <c r="Q303" s="83">
        <v>340691209.63</v>
      </c>
      <c r="R303" s="71">
        <v>0</v>
      </c>
      <c r="S303" s="68">
        <v>10220736.289000001</v>
      </c>
      <c r="T303" s="68">
        <f t="shared" si="63"/>
        <v>5110368.1445000004</v>
      </c>
      <c r="U303" s="68">
        <f t="shared" si="61"/>
        <v>5110368.1445000004</v>
      </c>
      <c r="V303" s="68">
        <v>224044642.46000001</v>
      </c>
      <c r="W303" s="69">
        <f t="shared" si="58"/>
        <v>569846220.23450005</v>
      </c>
    </row>
    <row r="304" spans="1:23" ht="24.95" customHeight="1">
      <c r="A304" s="170"/>
      <c r="B304" s="165"/>
      <c r="C304" s="64">
        <v>9</v>
      </c>
      <c r="D304" s="68" t="s">
        <v>712</v>
      </c>
      <c r="E304" s="68">
        <v>342920659.12</v>
      </c>
      <c r="F304" s="68">
        <v>0</v>
      </c>
      <c r="G304" s="68">
        <v>10287619.773499999</v>
      </c>
      <c r="H304" s="68">
        <f t="shared" si="65"/>
        <v>5143809.8867499996</v>
      </c>
      <c r="I304" s="68">
        <f t="shared" si="66"/>
        <v>5143809.8867499996</v>
      </c>
      <c r="J304" s="81">
        <v>251768668.63</v>
      </c>
      <c r="K304" s="69">
        <f t="shared" si="57"/>
        <v>599833137.63674998</v>
      </c>
      <c r="L304" s="63"/>
      <c r="M304" s="165"/>
      <c r="N304" s="70">
        <v>16</v>
      </c>
      <c r="O304" s="165"/>
      <c r="P304" s="68" t="s">
        <v>713</v>
      </c>
      <c r="Q304" s="83">
        <v>434102479.97000003</v>
      </c>
      <c r="R304" s="71">
        <v>0</v>
      </c>
      <c r="S304" s="68">
        <v>13023074.3991</v>
      </c>
      <c r="T304" s="68">
        <f t="shared" si="63"/>
        <v>6511537.19955</v>
      </c>
      <c r="U304" s="68">
        <f t="shared" si="61"/>
        <v>6511537.19955</v>
      </c>
      <c r="V304" s="68">
        <v>250381869.87</v>
      </c>
      <c r="W304" s="69">
        <f t="shared" si="58"/>
        <v>690995887.03955007</v>
      </c>
    </row>
    <row r="305" spans="1:23" ht="24.95" customHeight="1">
      <c r="A305" s="170"/>
      <c r="B305" s="165"/>
      <c r="C305" s="64">
        <v>10</v>
      </c>
      <c r="D305" s="68" t="s">
        <v>714</v>
      </c>
      <c r="E305" s="68">
        <v>325216833.56999999</v>
      </c>
      <c r="F305" s="68">
        <v>0</v>
      </c>
      <c r="G305" s="68">
        <v>9756505.0070999991</v>
      </c>
      <c r="H305" s="68">
        <f t="shared" si="65"/>
        <v>4878252.5035499996</v>
      </c>
      <c r="I305" s="68">
        <f t="shared" si="66"/>
        <v>4878252.5035499996</v>
      </c>
      <c r="J305" s="81">
        <v>256362010.61000001</v>
      </c>
      <c r="K305" s="69">
        <f t="shared" si="57"/>
        <v>586457096.68355</v>
      </c>
      <c r="L305" s="63"/>
      <c r="M305" s="166"/>
      <c r="N305" s="70">
        <v>17</v>
      </c>
      <c r="O305" s="166"/>
      <c r="P305" s="68" t="s">
        <v>715</v>
      </c>
      <c r="Q305" s="83">
        <v>461235817.39999998</v>
      </c>
      <c r="R305" s="71">
        <v>0</v>
      </c>
      <c r="S305" s="68">
        <v>13837074.5221</v>
      </c>
      <c r="T305" s="68">
        <f t="shared" si="63"/>
        <v>6918537.2610499999</v>
      </c>
      <c r="U305" s="68">
        <f t="shared" si="61"/>
        <v>6918537.2610499999</v>
      </c>
      <c r="V305" s="68">
        <v>234432450.03</v>
      </c>
      <c r="W305" s="69">
        <f t="shared" si="58"/>
        <v>702586804.69104993</v>
      </c>
    </row>
    <row r="306" spans="1:23" ht="24.95" customHeight="1">
      <c r="A306" s="170"/>
      <c r="B306" s="166"/>
      <c r="C306" s="64">
        <v>11</v>
      </c>
      <c r="D306" s="68" t="s">
        <v>716</v>
      </c>
      <c r="E306" s="68">
        <v>443868235.01999998</v>
      </c>
      <c r="F306" s="68">
        <v>0</v>
      </c>
      <c r="G306" s="68">
        <v>13316047.0503</v>
      </c>
      <c r="H306" s="68">
        <f t="shared" si="65"/>
        <v>6658023.5251500001</v>
      </c>
      <c r="I306" s="68">
        <f t="shared" si="66"/>
        <v>6658023.5251500001</v>
      </c>
      <c r="J306" s="81">
        <v>292091907.61000001</v>
      </c>
      <c r="K306" s="69">
        <f t="shared" si="57"/>
        <v>742618166.15514994</v>
      </c>
      <c r="L306" s="63"/>
      <c r="M306" s="64"/>
      <c r="N306" s="177" t="s">
        <v>717</v>
      </c>
      <c r="O306" s="178"/>
      <c r="P306" s="72"/>
      <c r="Q306" s="72">
        <f t="shared" ref="Q306:T306" si="67">SUM(Q289:Q305)</f>
        <v>6889230887.1099997</v>
      </c>
      <c r="R306" s="71">
        <v>0</v>
      </c>
      <c r="S306" s="72">
        <f>SUM(S289:S305)</f>
        <v>206676926.6133</v>
      </c>
      <c r="T306" s="72">
        <f t="shared" si="67"/>
        <v>103338463.30665</v>
      </c>
      <c r="U306" s="72">
        <f t="shared" si="61"/>
        <v>103338463.30665</v>
      </c>
      <c r="V306" s="72">
        <f>SUM(V289:V305)</f>
        <v>4133321675.7399998</v>
      </c>
      <c r="W306" s="72">
        <f>SUM(W289:W305)</f>
        <v>11125891026.156652</v>
      </c>
    </row>
    <row r="307" spans="1:23" ht="24.95" customHeight="1">
      <c r="A307" s="64"/>
      <c r="B307" s="179" t="s">
        <v>718</v>
      </c>
      <c r="C307" s="177"/>
      <c r="D307" s="72"/>
      <c r="E307" s="72">
        <f t="shared" ref="E307:K307" si="68">SUM(E296:E306)</f>
        <v>4421718347.8000002</v>
      </c>
      <c r="F307" s="68">
        <v>0</v>
      </c>
      <c r="G307" s="72">
        <f t="shared" si="68"/>
        <v>132651550.434</v>
      </c>
      <c r="H307" s="72">
        <f t="shared" si="68"/>
        <v>66325775.217</v>
      </c>
      <c r="I307" s="72">
        <f t="shared" si="68"/>
        <v>66325775.217</v>
      </c>
      <c r="J307" s="72">
        <f t="shared" si="68"/>
        <v>3056679250.4800005</v>
      </c>
      <c r="K307" s="72">
        <f t="shared" si="68"/>
        <v>7544723373.4969997</v>
      </c>
      <c r="L307" s="63"/>
      <c r="M307" s="164">
        <v>32</v>
      </c>
      <c r="N307" s="70">
        <v>1</v>
      </c>
      <c r="O307" s="164" t="s">
        <v>106</v>
      </c>
      <c r="P307" s="68" t="s">
        <v>719</v>
      </c>
      <c r="Q307" s="68">
        <v>306886282.81999999</v>
      </c>
      <c r="R307" s="71">
        <v>0</v>
      </c>
      <c r="S307" s="68">
        <v>9206588.4845000003</v>
      </c>
      <c r="T307" s="68">
        <v>9206588.4845000003</v>
      </c>
      <c r="U307" s="68">
        <f t="shared" si="61"/>
        <v>0</v>
      </c>
      <c r="V307" s="68">
        <v>860548295.34000003</v>
      </c>
      <c r="W307" s="69">
        <f t="shared" si="58"/>
        <v>1167434578.1600001</v>
      </c>
    </row>
    <row r="308" spans="1:23" ht="24.95" customHeight="1">
      <c r="A308" s="170">
        <v>16</v>
      </c>
      <c r="B308" s="164" t="s">
        <v>720</v>
      </c>
      <c r="C308" s="64">
        <v>1</v>
      </c>
      <c r="D308" s="68" t="s">
        <v>721</v>
      </c>
      <c r="E308" s="68">
        <v>346970101.57999998</v>
      </c>
      <c r="F308" s="68">
        <v>0</v>
      </c>
      <c r="G308" s="68">
        <v>10409103.0474</v>
      </c>
      <c r="H308" s="68">
        <v>10409103.0474</v>
      </c>
      <c r="I308" s="68">
        <f t="shared" ref="I308:I334" si="69">G308-H308</f>
        <v>0</v>
      </c>
      <c r="J308" s="81">
        <v>226992531.66</v>
      </c>
      <c r="K308" s="69">
        <f t="shared" si="57"/>
        <v>573962633.24000001</v>
      </c>
      <c r="L308" s="63"/>
      <c r="M308" s="165"/>
      <c r="N308" s="70">
        <v>2</v>
      </c>
      <c r="O308" s="165"/>
      <c r="P308" s="68" t="s">
        <v>722</v>
      </c>
      <c r="Q308" s="68">
        <v>383430576.81</v>
      </c>
      <c r="R308" s="71">
        <v>0</v>
      </c>
      <c r="S308" s="68">
        <v>11502917.304400001</v>
      </c>
      <c r="T308" s="68">
        <v>11502917.304400001</v>
      </c>
      <c r="U308" s="68">
        <f t="shared" si="61"/>
        <v>0</v>
      </c>
      <c r="V308" s="68">
        <v>889027360.03999996</v>
      </c>
      <c r="W308" s="69">
        <f t="shared" si="58"/>
        <v>1272457936.8499999</v>
      </c>
    </row>
    <row r="309" spans="1:23" ht="24.95" customHeight="1">
      <c r="A309" s="170"/>
      <c r="B309" s="165"/>
      <c r="C309" s="64">
        <v>2</v>
      </c>
      <c r="D309" s="68" t="s">
        <v>723</v>
      </c>
      <c r="E309" s="68">
        <v>326516355.10000002</v>
      </c>
      <c r="F309" s="68">
        <v>0</v>
      </c>
      <c r="G309" s="68">
        <v>9795490.6530000009</v>
      </c>
      <c r="H309" s="68">
        <v>9795490.6530000009</v>
      </c>
      <c r="I309" s="68">
        <f t="shared" si="69"/>
        <v>0</v>
      </c>
      <c r="J309" s="81">
        <v>218467206.28</v>
      </c>
      <c r="K309" s="69">
        <f t="shared" si="57"/>
        <v>544983561.38</v>
      </c>
      <c r="L309" s="63"/>
      <c r="M309" s="165"/>
      <c r="N309" s="70">
        <v>3</v>
      </c>
      <c r="O309" s="165"/>
      <c r="P309" s="68" t="s">
        <v>724</v>
      </c>
      <c r="Q309" s="68">
        <v>353219988.72000003</v>
      </c>
      <c r="R309" s="71">
        <v>0</v>
      </c>
      <c r="S309" s="68">
        <v>10596599.661599999</v>
      </c>
      <c r="T309" s="68">
        <v>10596599.661599999</v>
      </c>
      <c r="U309" s="68">
        <f t="shared" si="61"/>
        <v>0</v>
      </c>
      <c r="V309" s="68">
        <v>856848476.35000002</v>
      </c>
      <c r="W309" s="69">
        <f t="shared" si="58"/>
        <v>1210068465.0700002</v>
      </c>
    </row>
    <row r="310" spans="1:23" ht="24.95" customHeight="1">
      <c r="A310" s="170"/>
      <c r="B310" s="165"/>
      <c r="C310" s="64">
        <v>3</v>
      </c>
      <c r="D310" s="68" t="s">
        <v>725</v>
      </c>
      <c r="E310" s="68">
        <v>299967172.41000003</v>
      </c>
      <c r="F310" s="68">
        <v>0</v>
      </c>
      <c r="G310" s="68">
        <v>8999015.1721000001</v>
      </c>
      <c r="H310" s="68">
        <v>8999015.1721000001</v>
      </c>
      <c r="I310" s="68">
        <f t="shared" si="69"/>
        <v>0</v>
      </c>
      <c r="J310" s="81">
        <v>204698891.91</v>
      </c>
      <c r="K310" s="69">
        <f t="shared" si="57"/>
        <v>504666064.32000005</v>
      </c>
      <c r="L310" s="63"/>
      <c r="M310" s="165"/>
      <c r="N310" s="70">
        <v>4</v>
      </c>
      <c r="O310" s="165"/>
      <c r="P310" s="68" t="s">
        <v>726</v>
      </c>
      <c r="Q310" s="68">
        <v>377055260.80000001</v>
      </c>
      <c r="R310" s="71">
        <v>0</v>
      </c>
      <c r="S310" s="68">
        <v>11311657.823899999</v>
      </c>
      <c r="T310" s="68">
        <v>11311657.823899999</v>
      </c>
      <c r="U310" s="68">
        <f t="shared" si="61"/>
        <v>0</v>
      </c>
      <c r="V310" s="68">
        <v>875794677.23000002</v>
      </c>
      <c r="W310" s="69">
        <f t="shared" si="58"/>
        <v>1252849938.03</v>
      </c>
    </row>
    <row r="311" spans="1:23" ht="24.95" customHeight="1">
      <c r="A311" s="170"/>
      <c r="B311" s="165"/>
      <c r="C311" s="64">
        <v>4</v>
      </c>
      <c r="D311" s="68" t="s">
        <v>727</v>
      </c>
      <c r="E311" s="68">
        <v>319038227.72000003</v>
      </c>
      <c r="F311" s="68">
        <v>0</v>
      </c>
      <c r="G311" s="68">
        <v>9571146.8314999994</v>
      </c>
      <c r="H311" s="68">
        <v>9571146.8314999994</v>
      </c>
      <c r="I311" s="68">
        <f t="shared" si="69"/>
        <v>0</v>
      </c>
      <c r="J311" s="81">
        <v>216638480.93000001</v>
      </c>
      <c r="K311" s="69">
        <f t="shared" si="57"/>
        <v>535676708.65000004</v>
      </c>
      <c r="L311" s="63"/>
      <c r="M311" s="165"/>
      <c r="N311" s="70">
        <v>5</v>
      </c>
      <c r="O311" s="165"/>
      <c r="P311" s="68" t="s">
        <v>728</v>
      </c>
      <c r="Q311" s="68">
        <v>350001614.33999997</v>
      </c>
      <c r="R311" s="71">
        <v>0</v>
      </c>
      <c r="S311" s="68">
        <v>10500048.430199999</v>
      </c>
      <c r="T311" s="68">
        <v>10500048.430199999</v>
      </c>
      <c r="U311" s="68">
        <f t="shared" si="61"/>
        <v>0</v>
      </c>
      <c r="V311" s="68">
        <v>878926141.19000006</v>
      </c>
      <c r="W311" s="69">
        <f t="shared" si="58"/>
        <v>1228927755.53</v>
      </c>
    </row>
    <row r="312" spans="1:23" ht="24.95" customHeight="1">
      <c r="A312" s="170"/>
      <c r="B312" s="165"/>
      <c r="C312" s="64">
        <v>5</v>
      </c>
      <c r="D312" s="68" t="s">
        <v>729</v>
      </c>
      <c r="E312" s="68">
        <v>342106704.48000002</v>
      </c>
      <c r="F312" s="68">
        <v>0</v>
      </c>
      <c r="G312" s="68">
        <v>10263201.134299999</v>
      </c>
      <c r="H312" s="68">
        <v>10263201.134299999</v>
      </c>
      <c r="I312" s="68">
        <f t="shared" si="69"/>
        <v>0</v>
      </c>
      <c r="J312" s="81">
        <v>214162864.22999999</v>
      </c>
      <c r="K312" s="69">
        <f t="shared" si="57"/>
        <v>556269568.71000004</v>
      </c>
      <c r="L312" s="63"/>
      <c r="M312" s="165"/>
      <c r="N312" s="70">
        <v>6</v>
      </c>
      <c r="O312" s="165"/>
      <c r="P312" s="68" t="s">
        <v>730</v>
      </c>
      <c r="Q312" s="68">
        <v>349943129.64999998</v>
      </c>
      <c r="R312" s="71">
        <v>0</v>
      </c>
      <c r="S312" s="68">
        <v>10498293.889599999</v>
      </c>
      <c r="T312" s="68">
        <v>10498293.889599999</v>
      </c>
      <c r="U312" s="68">
        <f t="shared" si="61"/>
        <v>0</v>
      </c>
      <c r="V312" s="68">
        <v>877292723.28999996</v>
      </c>
      <c r="W312" s="69">
        <f t="shared" si="58"/>
        <v>1227235852.9400001</v>
      </c>
    </row>
    <row r="313" spans="1:23" ht="24.95" customHeight="1">
      <c r="A313" s="170"/>
      <c r="B313" s="165"/>
      <c r="C313" s="64">
        <v>6</v>
      </c>
      <c r="D313" s="68" t="s">
        <v>731</v>
      </c>
      <c r="E313" s="68">
        <v>343252239.62</v>
      </c>
      <c r="F313" s="68">
        <v>0</v>
      </c>
      <c r="G313" s="68">
        <v>10297567.1885</v>
      </c>
      <c r="H313" s="68">
        <v>10297567.1885</v>
      </c>
      <c r="I313" s="68">
        <f t="shared" si="69"/>
        <v>0</v>
      </c>
      <c r="J313" s="81">
        <v>214670250.25999999</v>
      </c>
      <c r="K313" s="69">
        <f t="shared" si="57"/>
        <v>557922489.88</v>
      </c>
      <c r="L313" s="63"/>
      <c r="M313" s="165"/>
      <c r="N313" s="70">
        <v>7</v>
      </c>
      <c r="O313" s="165"/>
      <c r="P313" s="68" t="s">
        <v>732</v>
      </c>
      <c r="Q313" s="68">
        <v>379258278.25999999</v>
      </c>
      <c r="R313" s="71">
        <v>0</v>
      </c>
      <c r="S313" s="68">
        <v>11377748.3478</v>
      </c>
      <c r="T313" s="68">
        <v>11377748.3478</v>
      </c>
      <c r="U313" s="68">
        <f t="shared" si="61"/>
        <v>0</v>
      </c>
      <c r="V313" s="68">
        <v>889147231.27999997</v>
      </c>
      <c r="W313" s="69">
        <f t="shared" si="58"/>
        <v>1268405509.54</v>
      </c>
    </row>
    <row r="314" spans="1:23" ht="24.95" customHeight="1">
      <c r="A314" s="170"/>
      <c r="B314" s="165"/>
      <c r="C314" s="64">
        <v>7</v>
      </c>
      <c r="D314" s="68" t="s">
        <v>733</v>
      </c>
      <c r="E314" s="68">
        <v>307228858.30000001</v>
      </c>
      <c r="F314" s="68">
        <v>0</v>
      </c>
      <c r="G314" s="68">
        <v>9216865.7489999998</v>
      </c>
      <c r="H314" s="68">
        <v>9216865.7489999998</v>
      </c>
      <c r="I314" s="68">
        <f t="shared" si="69"/>
        <v>0</v>
      </c>
      <c r="J314" s="81">
        <v>201189902.43000001</v>
      </c>
      <c r="K314" s="69">
        <f t="shared" si="57"/>
        <v>508418760.73000002</v>
      </c>
      <c r="L314" s="63"/>
      <c r="M314" s="165"/>
      <c r="N314" s="70">
        <v>8</v>
      </c>
      <c r="O314" s="165"/>
      <c r="P314" s="68" t="s">
        <v>734</v>
      </c>
      <c r="Q314" s="68">
        <v>367429530.63</v>
      </c>
      <c r="R314" s="71">
        <v>0</v>
      </c>
      <c r="S314" s="68">
        <v>11022885.919</v>
      </c>
      <c r="T314" s="68">
        <v>11022885.919</v>
      </c>
      <c r="U314" s="68">
        <f t="shared" si="61"/>
        <v>0</v>
      </c>
      <c r="V314" s="68">
        <v>868862468.21000004</v>
      </c>
      <c r="W314" s="69">
        <f t="shared" si="58"/>
        <v>1236291998.8400002</v>
      </c>
    </row>
    <row r="315" spans="1:23" ht="24.95" customHeight="1">
      <c r="A315" s="170"/>
      <c r="B315" s="165"/>
      <c r="C315" s="64">
        <v>8</v>
      </c>
      <c r="D315" s="68" t="s">
        <v>735</v>
      </c>
      <c r="E315" s="68">
        <v>325418990.97000003</v>
      </c>
      <c r="F315" s="68">
        <v>0</v>
      </c>
      <c r="G315" s="68">
        <v>9762569.7290000003</v>
      </c>
      <c r="H315" s="68">
        <v>9762569.7290000003</v>
      </c>
      <c r="I315" s="68">
        <f t="shared" si="69"/>
        <v>0</v>
      </c>
      <c r="J315" s="81">
        <v>211031744.72</v>
      </c>
      <c r="K315" s="69">
        <f t="shared" si="57"/>
        <v>536450735.69000006</v>
      </c>
      <c r="L315" s="63"/>
      <c r="M315" s="165"/>
      <c r="N315" s="70">
        <v>9</v>
      </c>
      <c r="O315" s="165"/>
      <c r="P315" s="68" t="s">
        <v>736</v>
      </c>
      <c r="Q315" s="68">
        <v>350464104.16000003</v>
      </c>
      <c r="R315" s="71">
        <v>0</v>
      </c>
      <c r="S315" s="68">
        <v>10513923.1249</v>
      </c>
      <c r="T315" s="68">
        <v>10513923.1249</v>
      </c>
      <c r="U315" s="68">
        <f t="shared" si="61"/>
        <v>0</v>
      </c>
      <c r="V315" s="68">
        <v>872657357.49000001</v>
      </c>
      <c r="W315" s="69">
        <f t="shared" si="58"/>
        <v>1223121461.6500001</v>
      </c>
    </row>
    <row r="316" spans="1:23" ht="24.95" customHeight="1">
      <c r="A316" s="170"/>
      <c r="B316" s="165"/>
      <c r="C316" s="64">
        <v>9</v>
      </c>
      <c r="D316" s="68" t="s">
        <v>737</v>
      </c>
      <c r="E316" s="68">
        <v>366122683.83999997</v>
      </c>
      <c r="F316" s="68">
        <v>0</v>
      </c>
      <c r="G316" s="68">
        <v>10983680.5153</v>
      </c>
      <c r="H316" s="68">
        <v>10983680.5153</v>
      </c>
      <c r="I316" s="68">
        <f t="shared" si="69"/>
        <v>0</v>
      </c>
      <c r="J316" s="81">
        <v>228054838.87</v>
      </c>
      <c r="K316" s="69">
        <f t="shared" si="57"/>
        <v>594177522.71000004</v>
      </c>
      <c r="L316" s="63"/>
      <c r="M316" s="165"/>
      <c r="N316" s="70">
        <v>10</v>
      </c>
      <c r="O316" s="165"/>
      <c r="P316" s="68" t="s">
        <v>738</v>
      </c>
      <c r="Q316" s="68">
        <v>410975568.23000002</v>
      </c>
      <c r="R316" s="71">
        <v>0</v>
      </c>
      <c r="S316" s="68">
        <v>12329267.047</v>
      </c>
      <c r="T316" s="68">
        <v>12329267.047</v>
      </c>
      <c r="U316" s="68">
        <f t="shared" si="61"/>
        <v>0</v>
      </c>
      <c r="V316" s="68">
        <v>889037349.30999994</v>
      </c>
      <c r="W316" s="69">
        <f t="shared" si="58"/>
        <v>1300012917.54</v>
      </c>
    </row>
    <row r="317" spans="1:23" ht="24.95" customHeight="1">
      <c r="A317" s="170"/>
      <c r="B317" s="165"/>
      <c r="C317" s="64">
        <v>10</v>
      </c>
      <c r="D317" s="68" t="s">
        <v>739</v>
      </c>
      <c r="E317" s="68">
        <v>323601211.43000001</v>
      </c>
      <c r="F317" s="68">
        <v>0</v>
      </c>
      <c r="G317" s="68">
        <v>9708036.3428000007</v>
      </c>
      <c r="H317" s="68">
        <v>9708036.3428000007</v>
      </c>
      <c r="I317" s="68">
        <f t="shared" si="69"/>
        <v>0</v>
      </c>
      <c r="J317" s="81">
        <v>216250966.13999999</v>
      </c>
      <c r="K317" s="69">
        <f t="shared" si="57"/>
        <v>539852177.56999993</v>
      </c>
      <c r="L317" s="63"/>
      <c r="M317" s="165"/>
      <c r="N317" s="70">
        <v>11</v>
      </c>
      <c r="O317" s="165"/>
      <c r="P317" s="68" t="s">
        <v>740</v>
      </c>
      <c r="Q317" s="68">
        <v>366014960.79000002</v>
      </c>
      <c r="R317" s="71">
        <v>0</v>
      </c>
      <c r="S317" s="68">
        <v>10980448.8236</v>
      </c>
      <c r="T317" s="68">
        <v>10980448.8236</v>
      </c>
      <c r="U317" s="68">
        <f t="shared" si="61"/>
        <v>0</v>
      </c>
      <c r="V317" s="68">
        <v>881932567.03999996</v>
      </c>
      <c r="W317" s="69">
        <f t="shared" si="58"/>
        <v>1247947527.8299999</v>
      </c>
    </row>
    <row r="318" spans="1:23" ht="24.95" customHeight="1">
      <c r="A318" s="170"/>
      <c r="B318" s="165"/>
      <c r="C318" s="64">
        <v>11</v>
      </c>
      <c r="D318" s="68" t="s">
        <v>741</v>
      </c>
      <c r="E318" s="68">
        <v>399148512.91000003</v>
      </c>
      <c r="F318" s="68">
        <v>0</v>
      </c>
      <c r="G318" s="68">
        <v>11974455.387399999</v>
      </c>
      <c r="H318" s="68">
        <v>11974455.387399999</v>
      </c>
      <c r="I318" s="68">
        <f t="shared" si="69"/>
        <v>0</v>
      </c>
      <c r="J318" s="81">
        <v>241426338.09999999</v>
      </c>
      <c r="K318" s="69">
        <f t="shared" si="57"/>
        <v>640574851.00999999</v>
      </c>
      <c r="L318" s="63"/>
      <c r="M318" s="165"/>
      <c r="N318" s="70">
        <v>12</v>
      </c>
      <c r="O318" s="165"/>
      <c r="P318" s="68" t="s">
        <v>742</v>
      </c>
      <c r="Q318" s="68">
        <v>350307715.94</v>
      </c>
      <c r="R318" s="71">
        <v>0</v>
      </c>
      <c r="S318" s="68">
        <v>10509231.4781</v>
      </c>
      <c r="T318" s="68">
        <v>10509231.4781</v>
      </c>
      <c r="U318" s="68">
        <f t="shared" si="61"/>
        <v>0</v>
      </c>
      <c r="V318" s="68">
        <v>868463586.32000005</v>
      </c>
      <c r="W318" s="69">
        <f t="shared" si="58"/>
        <v>1218771302.26</v>
      </c>
    </row>
    <row r="319" spans="1:23" ht="24.95" customHeight="1">
      <c r="A319" s="170"/>
      <c r="B319" s="165"/>
      <c r="C319" s="64">
        <v>12</v>
      </c>
      <c r="D319" s="68" t="s">
        <v>743</v>
      </c>
      <c r="E319" s="68">
        <v>338994989.11000001</v>
      </c>
      <c r="F319" s="68">
        <v>0</v>
      </c>
      <c r="G319" s="68">
        <v>10169849.6733</v>
      </c>
      <c r="H319" s="68">
        <v>10169849.6733</v>
      </c>
      <c r="I319" s="68">
        <f t="shared" si="69"/>
        <v>0</v>
      </c>
      <c r="J319" s="81">
        <v>214688506.50999999</v>
      </c>
      <c r="K319" s="69">
        <f t="shared" si="57"/>
        <v>553683495.62</v>
      </c>
      <c r="L319" s="63"/>
      <c r="M319" s="165"/>
      <c r="N319" s="70">
        <v>13</v>
      </c>
      <c r="O319" s="165"/>
      <c r="P319" s="68" t="s">
        <v>744</v>
      </c>
      <c r="Q319" s="68">
        <v>415876147.13</v>
      </c>
      <c r="R319" s="71">
        <v>0</v>
      </c>
      <c r="S319" s="68">
        <v>12476284.413899999</v>
      </c>
      <c r="T319" s="68">
        <v>12476284.413899999</v>
      </c>
      <c r="U319" s="68">
        <f t="shared" ref="U319:U350" si="70">S319-T319</f>
        <v>0</v>
      </c>
      <c r="V319" s="68">
        <v>904456304.46000004</v>
      </c>
      <c r="W319" s="69">
        <f t="shared" si="58"/>
        <v>1320332451.5900002</v>
      </c>
    </row>
    <row r="320" spans="1:23" ht="24.95" customHeight="1">
      <c r="A320" s="170"/>
      <c r="B320" s="165"/>
      <c r="C320" s="64">
        <v>13</v>
      </c>
      <c r="D320" s="68" t="s">
        <v>745</v>
      </c>
      <c r="E320" s="68">
        <v>306239296.08999997</v>
      </c>
      <c r="F320" s="68">
        <v>0</v>
      </c>
      <c r="G320" s="68">
        <v>9187178.8827999998</v>
      </c>
      <c r="H320" s="68">
        <v>9187178.8827999998</v>
      </c>
      <c r="I320" s="68">
        <f t="shared" si="69"/>
        <v>0</v>
      </c>
      <c r="J320" s="81">
        <v>209582956.09999999</v>
      </c>
      <c r="K320" s="69">
        <f t="shared" si="57"/>
        <v>515822252.18999994</v>
      </c>
      <c r="L320" s="63"/>
      <c r="M320" s="165"/>
      <c r="N320" s="70">
        <v>14</v>
      </c>
      <c r="O320" s="165"/>
      <c r="P320" s="68" t="s">
        <v>746</v>
      </c>
      <c r="Q320" s="68">
        <v>509285447.19</v>
      </c>
      <c r="R320" s="71">
        <v>0</v>
      </c>
      <c r="S320" s="68">
        <v>15278563.4157</v>
      </c>
      <c r="T320" s="68">
        <v>15278563.4157</v>
      </c>
      <c r="U320" s="68">
        <f t="shared" si="70"/>
        <v>0</v>
      </c>
      <c r="V320" s="68">
        <v>963211124.66999996</v>
      </c>
      <c r="W320" s="69">
        <f t="shared" si="58"/>
        <v>1472496571.8599999</v>
      </c>
    </row>
    <row r="321" spans="1:23" ht="24.95" customHeight="1">
      <c r="A321" s="170"/>
      <c r="B321" s="165"/>
      <c r="C321" s="64">
        <v>14</v>
      </c>
      <c r="D321" s="68" t="s">
        <v>747</v>
      </c>
      <c r="E321" s="68">
        <v>298020716.07999998</v>
      </c>
      <c r="F321" s="68">
        <v>0</v>
      </c>
      <c r="G321" s="68">
        <v>8940621.4823000003</v>
      </c>
      <c r="H321" s="68">
        <v>8940621.4823000003</v>
      </c>
      <c r="I321" s="68">
        <f t="shared" si="69"/>
        <v>0</v>
      </c>
      <c r="J321" s="81">
        <v>203851870.69999999</v>
      </c>
      <c r="K321" s="69">
        <f t="shared" si="57"/>
        <v>501872586.77999997</v>
      </c>
      <c r="L321" s="63"/>
      <c r="M321" s="165"/>
      <c r="N321" s="70">
        <v>15</v>
      </c>
      <c r="O321" s="165"/>
      <c r="P321" s="68" t="s">
        <v>748</v>
      </c>
      <c r="Q321" s="68">
        <v>411168185.50999999</v>
      </c>
      <c r="R321" s="71">
        <v>0</v>
      </c>
      <c r="S321" s="68">
        <v>12335045.565300001</v>
      </c>
      <c r="T321" s="68">
        <v>12335045.565300001</v>
      </c>
      <c r="U321" s="68">
        <f t="shared" si="70"/>
        <v>0</v>
      </c>
      <c r="V321" s="68">
        <v>900588390.16999996</v>
      </c>
      <c r="W321" s="69">
        <f t="shared" si="58"/>
        <v>1311756575.6799998</v>
      </c>
    </row>
    <row r="322" spans="1:23" ht="24.95" customHeight="1">
      <c r="A322" s="170"/>
      <c r="B322" s="165"/>
      <c r="C322" s="64">
        <v>15</v>
      </c>
      <c r="D322" s="68" t="s">
        <v>749</v>
      </c>
      <c r="E322" s="68">
        <v>265489216.97</v>
      </c>
      <c r="F322" s="68">
        <v>0</v>
      </c>
      <c r="G322" s="68">
        <v>7964676.5091000004</v>
      </c>
      <c r="H322" s="68">
        <v>7964676.5091000004</v>
      </c>
      <c r="I322" s="68">
        <f t="shared" si="69"/>
        <v>0</v>
      </c>
      <c r="J322" s="81">
        <v>187207679.90000001</v>
      </c>
      <c r="K322" s="69">
        <f t="shared" si="57"/>
        <v>452696896.87</v>
      </c>
      <c r="L322" s="63"/>
      <c r="M322" s="165"/>
      <c r="N322" s="70">
        <v>16</v>
      </c>
      <c r="O322" s="165"/>
      <c r="P322" s="68" t="s">
        <v>750</v>
      </c>
      <c r="Q322" s="68">
        <v>414904750.61000001</v>
      </c>
      <c r="R322" s="71">
        <v>0</v>
      </c>
      <c r="S322" s="68">
        <v>12447142.5184</v>
      </c>
      <c r="T322" s="68">
        <v>12447142.5184</v>
      </c>
      <c r="U322" s="68">
        <f t="shared" si="70"/>
        <v>0</v>
      </c>
      <c r="V322" s="68">
        <v>900940425.83000004</v>
      </c>
      <c r="W322" s="69">
        <f t="shared" si="58"/>
        <v>1315845176.4400001</v>
      </c>
    </row>
    <row r="323" spans="1:23" ht="24.95" customHeight="1">
      <c r="A323" s="170"/>
      <c r="B323" s="165"/>
      <c r="C323" s="64">
        <v>16</v>
      </c>
      <c r="D323" s="68" t="s">
        <v>751</v>
      </c>
      <c r="E323" s="68">
        <v>287786843.77999997</v>
      </c>
      <c r="F323" s="68">
        <v>0</v>
      </c>
      <c r="G323" s="68">
        <v>8633605.3135000002</v>
      </c>
      <c r="H323" s="68">
        <v>8633605.3135000002</v>
      </c>
      <c r="I323" s="68">
        <f t="shared" si="69"/>
        <v>0</v>
      </c>
      <c r="J323" s="81">
        <v>200283978.97</v>
      </c>
      <c r="K323" s="69">
        <f t="shared" si="57"/>
        <v>488070822.75</v>
      </c>
      <c r="L323" s="63"/>
      <c r="M323" s="165"/>
      <c r="N323" s="70">
        <v>17</v>
      </c>
      <c r="O323" s="165"/>
      <c r="P323" s="68" t="s">
        <v>752</v>
      </c>
      <c r="Q323" s="68">
        <v>285058096.51999998</v>
      </c>
      <c r="R323" s="71">
        <v>0</v>
      </c>
      <c r="S323" s="68">
        <v>8551742.8957000002</v>
      </c>
      <c r="T323" s="68">
        <v>8551742.8957000002</v>
      </c>
      <c r="U323" s="68">
        <f t="shared" si="70"/>
        <v>0</v>
      </c>
      <c r="V323" s="68">
        <v>828836151.67999995</v>
      </c>
      <c r="W323" s="69">
        <f t="shared" si="58"/>
        <v>1113894248.1999998</v>
      </c>
    </row>
    <row r="324" spans="1:23" ht="24.95" customHeight="1">
      <c r="A324" s="170"/>
      <c r="B324" s="165"/>
      <c r="C324" s="64">
        <v>17</v>
      </c>
      <c r="D324" s="68" t="s">
        <v>753</v>
      </c>
      <c r="E324" s="68">
        <v>337851431.61000001</v>
      </c>
      <c r="F324" s="68">
        <v>0</v>
      </c>
      <c r="G324" s="68">
        <v>10135542.9482</v>
      </c>
      <c r="H324" s="68">
        <v>10135542.9482</v>
      </c>
      <c r="I324" s="68">
        <f t="shared" si="69"/>
        <v>0</v>
      </c>
      <c r="J324" s="81">
        <v>208858906.24000001</v>
      </c>
      <c r="K324" s="69">
        <f t="shared" si="57"/>
        <v>546710337.85000002</v>
      </c>
      <c r="L324" s="63"/>
      <c r="M324" s="165"/>
      <c r="N324" s="70">
        <v>18</v>
      </c>
      <c r="O324" s="165"/>
      <c r="P324" s="68" t="s">
        <v>754</v>
      </c>
      <c r="Q324" s="68">
        <v>350765205.38999999</v>
      </c>
      <c r="R324" s="71">
        <v>0</v>
      </c>
      <c r="S324" s="68">
        <v>10522956.161599999</v>
      </c>
      <c r="T324" s="68">
        <v>10522956.161599999</v>
      </c>
      <c r="U324" s="68">
        <f t="shared" si="70"/>
        <v>0</v>
      </c>
      <c r="V324" s="68">
        <v>879589566.50999999</v>
      </c>
      <c r="W324" s="69">
        <f t="shared" si="58"/>
        <v>1230354771.9000001</v>
      </c>
    </row>
    <row r="325" spans="1:23" ht="24.95" customHeight="1">
      <c r="A325" s="170"/>
      <c r="B325" s="165"/>
      <c r="C325" s="64">
        <v>18</v>
      </c>
      <c r="D325" s="68" t="s">
        <v>755</v>
      </c>
      <c r="E325" s="68">
        <v>365684419.51999998</v>
      </c>
      <c r="F325" s="68">
        <v>0</v>
      </c>
      <c r="G325" s="68">
        <v>10970532.5855</v>
      </c>
      <c r="H325" s="68">
        <v>10970532.5855</v>
      </c>
      <c r="I325" s="68">
        <f t="shared" si="69"/>
        <v>0</v>
      </c>
      <c r="J325" s="81">
        <v>222475314.81</v>
      </c>
      <c r="K325" s="69">
        <f t="shared" si="57"/>
        <v>588159734.32999992</v>
      </c>
      <c r="L325" s="63"/>
      <c r="M325" s="165"/>
      <c r="N325" s="70">
        <v>19</v>
      </c>
      <c r="O325" s="165"/>
      <c r="P325" s="68" t="s">
        <v>756</v>
      </c>
      <c r="Q325" s="68">
        <v>278016009.91000003</v>
      </c>
      <c r="R325" s="71">
        <v>0</v>
      </c>
      <c r="S325" s="68">
        <v>8340480.2972999997</v>
      </c>
      <c r="T325" s="68">
        <v>8340480.2972999997</v>
      </c>
      <c r="U325" s="68">
        <f t="shared" si="70"/>
        <v>0</v>
      </c>
      <c r="V325" s="68">
        <v>837682855.99000001</v>
      </c>
      <c r="W325" s="69">
        <f t="shared" si="58"/>
        <v>1115698865.9000001</v>
      </c>
    </row>
    <row r="326" spans="1:23" ht="24.95" customHeight="1">
      <c r="A326" s="170"/>
      <c r="B326" s="165"/>
      <c r="C326" s="64">
        <v>19</v>
      </c>
      <c r="D326" s="68" t="s">
        <v>757</v>
      </c>
      <c r="E326" s="68">
        <v>320393061.23000002</v>
      </c>
      <c r="F326" s="68">
        <v>0</v>
      </c>
      <c r="G326" s="68">
        <v>9611791.8369999994</v>
      </c>
      <c r="H326" s="68">
        <v>9611791.8369999994</v>
      </c>
      <c r="I326" s="68">
        <f t="shared" si="69"/>
        <v>0</v>
      </c>
      <c r="J326" s="81">
        <v>205148753.53</v>
      </c>
      <c r="K326" s="69">
        <f t="shared" si="57"/>
        <v>525541814.75999999</v>
      </c>
      <c r="L326" s="63"/>
      <c r="M326" s="165"/>
      <c r="N326" s="70">
        <v>20</v>
      </c>
      <c r="O326" s="165"/>
      <c r="P326" s="68" t="s">
        <v>758</v>
      </c>
      <c r="Q326" s="68">
        <v>300721410.31</v>
      </c>
      <c r="R326" s="71">
        <v>0</v>
      </c>
      <c r="S326" s="68">
        <v>9021642.3092999998</v>
      </c>
      <c r="T326" s="68">
        <v>9021642.3092999998</v>
      </c>
      <c r="U326" s="68">
        <f t="shared" si="70"/>
        <v>0</v>
      </c>
      <c r="V326" s="68">
        <v>855300139.48000002</v>
      </c>
      <c r="W326" s="69">
        <f t="shared" si="58"/>
        <v>1156021549.79</v>
      </c>
    </row>
    <row r="327" spans="1:23" ht="24.95" customHeight="1">
      <c r="A327" s="170"/>
      <c r="B327" s="165"/>
      <c r="C327" s="64">
        <v>20</v>
      </c>
      <c r="D327" s="68" t="s">
        <v>759</v>
      </c>
      <c r="E327" s="68">
        <v>284635675.49000001</v>
      </c>
      <c r="F327" s="68">
        <v>0</v>
      </c>
      <c r="G327" s="68">
        <v>8539070.2647999991</v>
      </c>
      <c r="H327" s="68">
        <v>8539070.2647999991</v>
      </c>
      <c r="I327" s="68">
        <f t="shared" si="69"/>
        <v>0</v>
      </c>
      <c r="J327" s="81">
        <v>193785097.59999999</v>
      </c>
      <c r="K327" s="69">
        <f t="shared" si="57"/>
        <v>478420773.09000003</v>
      </c>
      <c r="L327" s="63"/>
      <c r="M327" s="165"/>
      <c r="N327" s="70">
        <v>21</v>
      </c>
      <c r="O327" s="165"/>
      <c r="P327" s="68" t="s">
        <v>760</v>
      </c>
      <c r="Q327" s="68">
        <v>310590481.97000003</v>
      </c>
      <c r="R327" s="71">
        <v>0</v>
      </c>
      <c r="S327" s="68">
        <v>9317714.4590000007</v>
      </c>
      <c r="T327" s="68">
        <v>9317714.4590000007</v>
      </c>
      <c r="U327" s="68">
        <f t="shared" si="70"/>
        <v>0</v>
      </c>
      <c r="V327" s="68">
        <v>845371493.88</v>
      </c>
      <c r="W327" s="69">
        <f t="shared" si="58"/>
        <v>1155961975.8499999</v>
      </c>
    </row>
    <row r="328" spans="1:23" ht="24.95" customHeight="1">
      <c r="A328" s="170"/>
      <c r="B328" s="165"/>
      <c r="C328" s="64">
        <v>21</v>
      </c>
      <c r="D328" s="68" t="s">
        <v>761</v>
      </c>
      <c r="E328" s="68">
        <v>313060130.70999998</v>
      </c>
      <c r="F328" s="68">
        <v>0</v>
      </c>
      <c r="G328" s="68">
        <v>9391803.9213999994</v>
      </c>
      <c r="H328" s="68">
        <v>9391803.9213999994</v>
      </c>
      <c r="I328" s="68">
        <f t="shared" si="69"/>
        <v>0</v>
      </c>
      <c r="J328" s="81">
        <v>208758669.08000001</v>
      </c>
      <c r="K328" s="69">
        <f t="shared" ref="K328:K391" si="71">E328+F328+I328+J328</f>
        <v>521818799.78999996</v>
      </c>
      <c r="L328" s="63"/>
      <c r="M328" s="165"/>
      <c r="N328" s="70">
        <v>22</v>
      </c>
      <c r="O328" s="165"/>
      <c r="P328" s="68" t="s">
        <v>762</v>
      </c>
      <c r="Q328" s="68">
        <v>576806852.41999996</v>
      </c>
      <c r="R328" s="71">
        <v>0</v>
      </c>
      <c r="S328" s="68">
        <v>17304205.5726</v>
      </c>
      <c r="T328" s="68">
        <v>17304205.5726</v>
      </c>
      <c r="U328" s="68">
        <f t="shared" si="70"/>
        <v>0</v>
      </c>
      <c r="V328" s="68">
        <v>989502194.74000001</v>
      </c>
      <c r="W328" s="69">
        <f t="shared" ref="W328:W391" si="72">Q328+U328+V328</f>
        <v>1566309047.1599998</v>
      </c>
    </row>
    <row r="329" spans="1:23" ht="24.95" customHeight="1">
      <c r="A329" s="170"/>
      <c r="B329" s="165"/>
      <c r="C329" s="64">
        <v>22</v>
      </c>
      <c r="D329" s="68" t="s">
        <v>763</v>
      </c>
      <c r="E329" s="68">
        <v>304539608.13</v>
      </c>
      <c r="F329" s="68">
        <v>0</v>
      </c>
      <c r="G329" s="68">
        <v>9136188.2440000009</v>
      </c>
      <c r="H329" s="68">
        <v>9136188.2440000009</v>
      </c>
      <c r="I329" s="68">
        <f t="shared" si="69"/>
        <v>0</v>
      </c>
      <c r="J329" s="81">
        <v>200934659.36000001</v>
      </c>
      <c r="K329" s="69">
        <f t="shared" si="71"/>
        <v>505474267.49000001</v>
      </c>
      <c r="L329" s="63"/>
      <c r="M329" s="166"/>
      <c r="N329" s="70">
        <v>23</v>
      </c>
      <c r="O329" s="166"/>
      <c r="P329" s="68" t="s">
        <v>764</v>
      </c>
      <c r="Q329" s="68">
        <v>341404004.06</v>
      </c>
      <c r="R329" s="71">
        <v>0</v>
      </c>
      <c r="S329" s="68">
        <v>10242120.1219</v>
      </c>
      <c r="T329" s="68">
        <v>10242120.1219</v>
      </c>
      <c r="U329" s="68">
        <f t="shared" si="70"/>
        <v>0</v>
      </c>
      <c r="V329" s="68">
        <v>843687096.25999999</v>
      </c>
      <c r="W329" s="69">
        <f t="shared" si="72"/>
        <v>1185091100.3199999</v>
      </c>
    </row>
    <row r="330" spans="1:23" ht="24.95" customHeight="1">
      <c r="A330" s="170"/>
      <c r="B330" s="165"/>
      <c r="C330" s="64">
        <v>23</v>
      </c>
      <c r="D330" s="68" t="s">
        <v>765</v>
      </c>
      <c r="E330" s="68">
        <v>294568389.69</v>
      </c>
      <c r="F330" s="68">
        <v>0</v>
      </c>
      <c r="G330" s="68">
        <v>8837051.6907000002</v>
      </c>
      <c r="H330" s="68">
        <v>8837051.6907000002</v>
      </c>
      <c r="I330" s="68">
        <f t="shared" si="69"/>
        <v>0</v>
      </c>
      <c r="J330" s="81">
        <v>198116651.81</v>
      </c>
      <c r="K330" s="69">
        <f t="shared" si="71"/>
        <v>492685041.5</v>
      </c>
      <c r="L330" s="63"/>
      <c r="M330" s="64"/>
      <c r="N330" s="177" t="s">
        <v>766</v>
      </c>
      <c r="O330" s="178"/>
      <c r="P330" s="72"/>
      <c r="Q330" s="72">
        <f t="shared" ref="Q330:T330" si="73">SUM(Q307:Q329)</f>
        <v>8539583602.1700001</v>
      </c>
      <c r="R330" s="71">
        <v>0</v>
      </c>
      <c r="S330" s="72">
        <f t="shared" si="73"/>
        <v>256187508.06529999</v>
      </c>
      <c r="T330" s="72">
        <f t="shared" si="73"/>
        <v>256187508.06529999</v>
      </c>
      <c r="U330" s="72">
        <f t="shared" si="70"/>
        <v>0</v>
      </c>
      <c r="V330" s="72">
        <f>SUM(V307:V329)</f>
        <v>20257703976.760002</v>
      </c>
      <c r="W330" s="72">
        <f>SUM(W307:W329)</f>
        <v>28797287578.93</v>
      </c>
    </row>
    <row r="331" spans="1:23" ht="24.95" customHeight="1">
      <c r="A331" s="170"/>
      <c r="B331" s="165"/>
      <c r="C331" s="64">
        <v>24</v>
      </c>
      <c r="D331" s="68" t="s">
        <v>767</v>
      </c>
      <c r="E331" s="68">
        <v>304727120.72000003</v>
      </c>
      <c r="F331" s="68">
        <v>0</v>
      </c>
      <c r="G331" s="68">
        <v>9141813.6216000002</v>
      </c>
      <c r="H331" s="68">
        <v>9141813.6216000002</v>
      </c>
      <c r="I331" s="68">
        <f t="shared" si="69"/>
        <v>0</v>
      </c>
      <c r="J331" s="81">
        <v>200069726.34999999</v>
      </c>
      <c r="K331" s="69">
        <f t="shared" si="71"/>
        <v>504796847.07000005</v>
      </c>
      <c r="L331" s="63"/>
      <c r="M331" s="164">
        <v>33</v>
      </c>
      <c r="N331" s="70">
        <v>1</v>
      </c>
      <c r="O331" s="174" t="s">
        <v>107</v>
      </c>
      <c r="P331" s="68" t="s">
        <v>768</v>
      </c>
      <c r="Q331" s="68">
        <v>319865861.79000002</v>
      </c>
      <c r="R331" s="71">
        <v>0</v>
      </c>
      <c r="S331" s="68">
        <v>9595975.8537000008</v>
      </c>
      <c r="T331" s="68">
        <v>0</v>
      </c>
      <c r="U331" s="68">
        <f t="shared" si="70"/>
        <v>9595975.8537000008</v>
      </c>
      <c r="V331" s="68">
        <v>203474719.93000001</v>
      </c>
      <c r="W331" s="69">
        <f t="shared" si="72"/>
        <v>532936557.57370001</v>
      </c>
    </row>
    <row r="332" spans="1:23" ht="24.95" customHeight="1">
      <c r="A332" s="170"/>
      <c r="B332" s="165"/>
      <c r="C332" s="64">
        <v>25</v>
      </c>
      <c r="D332" s="68" t="s">
        <v>769</v>
      </c>
      <c r="E332" s="68">
        <v>307517774.29000002</v>
      </c>
      <c r="F332" s="68">
        <v>0</v>
      </c>
      <c r="G332" s="68">
        <v>9225533.2285999991</v>
      </c>
      <c r="H332" s="68">
        <v>9225533.2285999991</v>
      </c>
      <c r="I332" s="68">
        <f t="shared" si="69"/>
        <v>0</v>
      </c>
      <c r="J332" s="81">
        <v>203418198.56999999</v>
      </c>
      <c r="K332" s="69">
        <f t="shared" si="71"/>
        <v>510935972.86000001</v>
      </c>
      <c r="L332" s="63"/>
      <c r="M332" s="165"/>
      <c r="N332" s="70">
        <v>2</v>
      </c>
      <c r="O332" s="175"/>
      <c r="P332" s="68" t="s">
        <v>770</v>
      </c>
      <c r="Q332" s="68">
        <v>364114530.38</v>
      </c>
      <c r="R332" s="71">
        <v>0</v>
      </c>
      <c r="S332" s="68">
        <v>10923435.9113</v>
      </c>
      <c r="T332" s="68">
        <v>0</v>
      </c>
      <c r="U332" s="68">
        <f t="shared" si="70"/>
        <v>10923435.9113</v>
      </c>
      <c r="V332" s="68">
        <v>227717300.72</v>
      </c>
      <c r="W332" s="69">
        <f t="shared" si="72"/>
        <v>602755267.01129997</v>
      </c>
    </row>
    <row r="333" spans="1:23" ht="24.95" customHeight="1">
      <c r="A333" s="170"/>
      <c r="B333" s="165"/>
      <c r="C333" s="64">
        <v>26</v>
      </c>
      <c r="D333" s="68" t="s">
        <v>771</v>
      </c>
      <c r="E333" s="68">
        <v>327146638.91000003</v>
      </c>
      <c r="F333" s="68">
        <v>0</v>
      </c>
      <c r="G333" s="68">
        <v>9814399.1674000006</v>
      </c>
      <c r="H333" s="68">
        <v>9814399.1674000006</v>
      </c>
      <c r="I333" s="68">
        <f t="shared" si="69"/>
        <v>0</v>
      </c>
      <c r="J333" s="81">
        <v>220014854.24000001</v>
      </c>
      <c r="K333" s="69">
        <f t="shared" si="71"/>
        <v>547161493.1500001</v>
      </c>
      <c r="L333" s="63"/>
      <c r="M333" s="165"/>
      <c r="N333" s="70">
        <v>3</v>
      </c>
      <c r="O333" s="175"/>
      <c r="P333" s="68" t="s">
        <v>772</v>
      </c>
      <c r="Q333" s="68">
        <v>392393933.06999999</v>
      </c>
      <c r="R333" s="71">
        <v>0</v>
      </c>
      <c r="S333" s="68">
        <v>11771817.992000001</v>
      </c>
      <c r="T333" s="68">
        <v>0</v>
      </c>
      <c r="U333" s="68">
        <f t="shared" si="70"/>
        <v>11771817.992000001</v>
      </c>
      <c r="V333" s="68">
        <v>234310219.02000001</v>
      </c>
      <c r="W333" s="69">
        <f t="shared" si="72"/>
        <v>638475970.08200002</v>
      </c>
    </row>
    <row r="334" spans="1:23" ht="24.95" customHeight="1">
      <c r="A334" s="170"/>
      <c r="B334" s="166"/>
      <c r="C334" s="64">
        <v>27</v>
      </c>
      <c r="D334" s="68" t="s">
        <v>773</v>
      </c>
      <c r="E334" s="68">
        <v>292660361.08999997</v>
      </c>
      <c r="F334" s="68">
        <v>0</v>
      </c>
      <c r="G334" s="68">
        <v>8779810.8325999994</v>
      </c>
      <c r="H334" s="68">
        <v>8779810.8325999994</v>
      </c>
      <c r="I334" s="68">
        <f t="shared" si="69"/>
        <v>0</v>
      </c>
      <c r="J334" s="81">
        <v>193791297.84</v>
      </c>
      <c r="K334" s="69">
        <f t="shared" si="71"/>
        <v>486451658.92999995</v>
      </c>
      <c r="L334" s="63"/>
      <c r="M334" s="165"/>
      <c r="N334" s="70">
        <v>4</v>
      </c>
      <c r="O334" s="175"/>
      <c r="P334" s="68" t="s">
        <v>774</v>
      </c>
      <c r="Q334" s="68">
        <v>426046545.02999997</v>
      </c>
      <c r="R334" s="71">
        <v>0</v>
      </c>
      <c r="S334" s="68">
        <v>12781396.3508</v>
      </c>
      <c r="T334" s="68">
        <v>0</v>
      </c>
      <c r="U334" s="68">
        <f t="shared" si="70"/>
        <v>12781396.3508</v>
      </c>
      <c r="V334" s="68">
        <v>252814825.25999999</v>
      </c>
      <c r="W334" s="69">
        <f t="shared" si="72"/>
        <v>691642766.6408</v>
      </c>
    </row>
    <row r="335" spans="1:23" ht="24.95" customHeight="1">
      <c r="A335" s="64"/>
      <c r="B335" s="179" t="s">
        <v>775</v>
      </c>
      <c r="C335" s="177"/>
      <c r="D335" s="72"/>
      <c r="E335" s="72">
        <f t="shared" ref="E335:L335" si="74">SUM(E308:E334)</f>
        <v>8648686731.7799988</v>
      </c>
      <c r="F335" s="68">
        <v>0</v>
      </c>
      <c r="G335" s="72">
        <f t="shared" si="74"/>
        <v>259460601.9531</v>
      </c>
      <c r="H335" s="72">
        <f t="shared" si="74"/>
        <v>259460601.9531</v>
      </c>
      <c r="I335" s="72">
        <f t="shared" si="74"/>
        <v>0</v>
      </c>
      <c r="J335" s="72">
        <f t="shared" si="74"/>
        <v>5664571137.1400003</v>
      </c>
      <c r="K335" s="72">
        <f t="shared" si="74"/>
        <v>14313257868.919998</v>
      </c>
      <c r="L335" s="72">
        <f t="shared" si="74"/>
        <v>0</v>
      </c>
      <c r="M335" s="165"/>
      <c r="N335" s="70">
        <v>5</v>
      </c>
      <c r="O335" s="175"/>
      <c r="P335" s="68" t="s">
        <v>776</v>
      </c>
      <c r="Q335" s="68">
        <v>400784079.04000002</v>
      </c>
      <c r="R335" s="71">
        <v>0</v>
      </c>
      <c r="S335" s="68">
        <v>12023522.371300001</v>
      </c>
      <c r="T335" s="68">
        <v>0</v>
      </c>
      <c r="U335" s="68">
        <f t="shared" si="70"/>
        <v>12023522.371300001</v>
      </c>
      <c r="V335" s="68">
        <v>230090613.53</v>
      </c>
      <c r="W335" s="69">
        <f t="shared" si="72"/>
        <v>642898214.94130003</v>
      </c>
    </row>
    <row r="336" spans="1:23" ht="24.95" customHeight="1">
      <c r="A336" s="170">
        <v>17</v>
      </c>
      <c r="B336" s="164" t="s">
        <v>777</v>
      </c>
      <c r="C336" s="64">
        <v>1</v>
      </c>
      <c r="D336" s="68" t="s">
        <v>778</v>
      </c>
      <c r="E336" s="68">
        <v>305618828.31</v>
      </c>
      <c r="F336" s="68">
        <v>0</v>
      </c>
      <c r="G336" s="68">
        <v>9168564.8491999991</v>
      </c>
      <c r="H336" s="68">
        <v>0</v>
      </c>
      <c r="I336" s="68">
        <f t="shared" ref="I336:I362" si="75">G336-H336</f>
        <v>9168564.8491999991</v>
      </c>
      <c r="J336" s="81">
        <v>227725569.50999999</v>
      </c>
      <c r="K336" s="69">
        <f t="shared" si="71"/>
        <v>542512962.66919994</v>
      </c>
      <c r="L336" s="63"/>
      <c r="M336" s="165"/>
      <c r="N336" s="70">
        <v>6</v>
      </c>
      <c r="O336" s="175"/>
      <c r="P336" s="68" t="s">
        <v>779</v>
      </c>
      <c r="Q336" s="68">
        <v>363155740.68000001</v>
      </c>
      <c r="R336" s="71">
        <v>0</v>
      </c>
      <c r="S336" s="68">
        <v>10894672.2204</v>
      </c>
      <c r="T336" s="68">
        <v>0</v>
      </c>
      <c r="U336" s="68">
        <f t="shared" si="70"/>
        <v>10894672.2204</v>
      </c>
      <c r="V336" s="68">
        <v>200208228.59</v>
      </c>
      <c r="W336" s="69">
        <f t="shared" si="72"/>
        <v>574258641.49039996</v>
      </c>
    </row>
    <row r="337" spans="1:23" ht="24.95" customHeight="1">
      <c r="A337" s="170"/>
      <c r="B337" s="165"/>
      <c r="C337" s="64">
        <v>2</v>
      </c>
      <c r="D337" s="68" t="s">
        <v>780</v>
      </c>
      <c r="E337" s="68">
        <v>361458821.55000001</v>
      </c>
      <c r="F337" s="68">
        <v>0</v>
      </c>
      <c r="G337" s="68">
        <v>10843764.646400001</v>
      </c>
      <c r="H337" s="68">
        <v>0</v>
      </c>
      <c r="I337" s="68">
        <f t="shared" si="75"/>
        <v>10843764.646400001</v>
      </c>
      <c r="J337" s="81">
        <v>253938792.19</v>
      </c>
      <c r="K337" s="69">
        <f t="shared" si="71"/>
        <v>626241378.38639998</v>
      </c>
      <c r="L337" s="63"/>
      <c r="M337" s="165"/>
      <c r="N337" s="70">
        <v>7</v>
      </c>
      <c r="O337" s="175"/>
      <c r="P337" s="68" t="s">
        <v>781</v>
      </c>
      <c r="Q337" s="68">
        <v>414775675.79000002</v>
      </c>
      <c r="R337" s="71">
        <v>0</v>
      </c>
      <c r="S337" s="68">
        <v>12443270.273600001</v>
      </c>
      <c r="T337" s="68">
        <v>0</v>
      </c>
      <c r="U337" s="68">
        <f t="shared" si="70"/>
        <v>12443270.273600001</v>
      </c>
      <c r="V337" s="68">
        <v>246990391.86000001</v>
      </c>
      <c r="W337" s="69">
        <f t="shared" si="72"/>
        <v>674209337.92359996</v>
      </c>
    </row>
    <row r="338" spans="1:23" ht="24.95" customHeight="1">
      <c r="A338" s="170"/>
      <c r="B338" s="165"/>
      <c r="C338" s="64">
        <v>3</v>
      </c>
      <c r="D338" s="68" t="s">
        <v>782</v>
      </c>
      <c r="E338" s="68">
        <v>448580255.26999998</v>
      </c>
      <c r="F338" s="68">
        <v>0</v>
      </c>
      <c r="G338" s="68">
        <v>13457407.658</v>
      </c>
      <c r="H338" s="68">
        <v>0</v>
      </c>
      <c r="I338" s="68">
        <f t="shared" si="75"/>
        <v>13457407.658</v>
      </c>
      <c r="J338" s="81">
        <v>290200531.70999998</v>
      </c>
      <c r="K338" s="69">
        <f t="shared" si="71"/>
        <v>752238194.63800001</v>
      </c>
      <c r="L338" s="63"/>
      <c r="M338" s="165"/>
      <c r="N338" s="70">
        <v>8</v>
      </c>
      <c r="O338" s="175"/>
      <c r="P338" s="68" t="s">
        <v>783</v>
      </c>
      <c r="Q338" s="68">
        <v>353932531.06999999</v>
      </c>
      <c r="R338" s="71">
        <v>0</v>
      </c>
      <c r="S338" s="68">
        <v>10617975.9322</v>
      </c>
      <c r="T338" s="68">
        <v>0</v>
      </c>
      <c r="U338" s="68">
        <f t="shared" si="70"/>
        <v>10617975.9322</v>
      </c>
      <c r="V338" s="68">
        <v>219134450.93000001</v>
      </c>
      <c r="W338" s="69">
        <f t="shared" si="72"/>
        <v>583684957.93219995</v>
      </c>
    </row>
    <row r="339" spans="1:23" ht="24.95" customHeight="1">
      <c r="A339" s="170"/>
      <c r="B339" s="165"/>
      <c r="C339" s="64">
        <v>4</v>
      </c>
      <c r="D339" s="68" t="s">
        <v>784</v>
      </c>
      <c r="E339" s="68">
        <v>339298524.82999998</v>
      </c>
      <c r="F339" s="68">
        <v>0</v>
      </c>
      <c r="G339" s="68">
        <v>10178955.7448</v>
      </c>
      <c r="H339" s="68">
        <v>0</v>
      </c>
      <c r="I339" s="68">
        <f t="shared" si="75"/>
        <v>10178955.7448</v>
      </c>
      <c r="J339" s="81">
        <v>231283127.50999999</v>
      </c>
      <c r="K339" s="69">
        <f t="shared" si="71"/>
        <v>580760608.0848</v>
      </c>
      <c r="L339" s="63"/>
      <c r="M339" s="165"/>
      <c r="N339" s="70">
        <v>9</v>
      </c>
      <c r="O339" s="175"/>
      <c r="P339" s="68" t="s">
        <v>785</v>
      </c>
      <c r="Q339" s="68">
        <v>400625262.44999999</v>
      </c>
      <c r="R339" s="71">
        <v>0</v>
      </c>
      <c r="S339" s="68">
        <v>12018757.873400001</v>
      </c>
      <c r="T339" s="68">
        <v>0</v>
      </c>
      <c r="U339" s="68">
        <f t="shared" si="70"/>
        <v>12018757.873400001</v>
      </c>
      <c r="V339" s="68">
        <v>217623659.94</v>
      </c>
      <c r="W339" s="69">
        <f t="shared" si="72"/>
        <v>630267680.26339996</v>
      </c>
    </row>
    <row r="340" spans="1:23" ht="24.95" customHeight="1">
      <c r="A340" s="170"/>
      <c r="B340" s="165"/>
      <c r="C340" s="64">
        <v>5</v>
      </c>
      <c r="D340" s="68" t="s">
        <v>786</v>
      </c>
      <c r="E340" s="68">
        <v>285608194.02999997</v>
      </c>
      <c r="F340" s="68">
        <v>0</v>
      </c>
      <c r="G340" s="68">
        <v>8734431.9768000003</v>
      </c>
      <c r="H340" s="68">
        <v>0</v>
      </c>
      <c r="I340" s="68">
        <f t="shared" si="75"/>
        <v>8734431.9768000003</v>
      </c>
      <c r="J340" s="81">
        <v>215797003.13999999</v>
      </c>
      <c r="K340" s="69">
        <f t="shared" si="71"/>
        <v>510139629.14679998</v>
      </c>
      <c r="L340" s="63"/>
      <c r="M340" s="165"/>
      <c r="N340" s="70">
        <v>10</v>
      </c>
      <c r="O340" s="175"/>
      <c r="P340" s="68" t="s">
        <v>787</v>
      </c>
      <c r="Q340" s="68">
        <v>361708836.44</v>
      </c>
      <c r="R340" s="71">
        <v>0</v>
      </c>
      <c r="S340" s="68">
        <v>10851265.0931</v>
      </c>
      <c r="T340" s="68">
        <v>0</v>
      </c>
      <c r="U340" s="68">
        <f t="shared" si="70"/>
        <v>10851265.0931</v>
      </c>
      <c r="V340" s="68">
        <v>210236766.90000001</v>
      </c>
      <c r="W340" s="69">
        <f t="shared" si="72"/>
        <v>582796868.43309999</v>
      </c>
    </row>
    <row r="341" spans="1:23" ht="24.95" customHeight="1">
      <c r="A341" s="170"/>
      <c r="B341" s="165"/>
      <c r="C341" s="64">
        <v>6</v>
      </c>
      <c r="D341" s="68" t="s">
        <v>788</v>
      </c>
      <c r="E341" s="68">
        <v>400915494.16000003</v>
      </c>
      <c r="F341" s="68">
        <v>0</v>
      </c>
      <c r="G341" s="68">
        <v>8568245.8210000005</v>
      </c>
      <c r="H341" s="68">
        <v>0</v>
      </c>
      <c r="I341" s="68">
        <f t="shared" si="75"/>
        <v>8568245.8210000005</v>
      </c>
      <c r="J341" s="81">
        <v>267042647.86000001</v>
      </c>
      <c r="K341" s="69">
        <f t="shared" si="71"/>
        <v>676526387.84100008</v>
      </c>
      <c r="L341" s="63"/>
      <c r="M341" s="165"/>
      <c r="N341" s="70">
        <v>11</v>
      </c>
      <c r="O341" s="175"/>
      <c r="P341" s="68" t="s">
        <v>789</v>
      </c>
      <c r="Q341" s="68">
        <v>335415178.64999998</v>
      </c>
      <c r="R341" s="71">
        <v>0</v>
      </c>
      <c r="S341" s="68">
        <v>10062455.3594</v>
      </c>
      <c r="T341" s="68">
        <v>0</v>
      </c>
      <c r="U341" s="68">
        <f t="shared" si="70"/>
        <v>10062455.3594</v>
      </c>
      <c r="V341" s="68">
        <v>213419899.5</v>
      </c>
      <c r="W341" s="69">
        <f t="shared" si="72"/>
        <v>558897533.50939989</v>
      </c>
    </row>
    <row r="342" spans="1:23" ht="24.95" customHeight="1">
      <c r="A342" s="170"/>
      <c r="B342" s="165"/>
      <c r="C342" s="64">
        <v>7</v>
      </c>
      <c r="D342" s="68" t="s">
        <v>790</v>
      </c>
      <c r="E342" s="68">
        <v>291147732.56</v>
      </c>
      <c r="F342" s="68">
        <v>0</v>
      </c>
      <c r="G342" s="68">
        <v>12027464.824899999</v>
      </c>
      <c r="H342" s="68">
        <v>0</v>
      </c>
      <c r="I342" s="68">
        <f t="shared" si="75"/>
        <v>12027464.824899999</v>
      </c>
      <c r="J342" s="81">
        <v>209949146.62</v>
      </c>
      <c r="K342" s="69">
        <f t="shared" si="71"/>
        <v>513124344.00489998</v>
      </c>
      <c r="L342" s="63"/>
      <c r="M342" s="165"/>
      <c r="N342" s="70">
        <v>12</v>
      </c>
      <c r="O342" s="175"/>
      <c r="P342" s="68" t="s">
        <v>791</v>
      </c>
      <c r="Q342" s="68">
        <v>399352579.88999999</v>
      </c>
      <c r="R342" s="71">
        <v>0</v>
      </c>
      <c r="S342" s="68">
        <v>11980577.3967</v>
      </c>
      <c r="T342" s="68">
        <v>0</v>
      </c>
      <c r="U342" s="68">
        <f t="shared" si="70"/>
        <v>11980577.3967</v>
      </c>
      <c r="V342" s="68">
        <v>218678389.08000001</v>
      </c>
      <c r="W342" s="69">
        <f t="shared" si="72"/>
        <v>630011546.36670005</v>
      </c>
    </row>
    <row r="343" spans="1:23" ht="24.95" customHeight="1">
      <c r="A343" s="170"/>
      <c r="B343" s="165"/>
      <c r="C343" s="64">
        <v>8</v>
      </c>
      <c r="D343" s="68" t="s">
        <v>792</v>
      </c>
      <c r="E343" s="68">
        <v>336475947.31</v>
      </c>
      <c r="F343" s="68">
        <v>0</v>
      </c>
      <c r="G343" s="68">
        <v>10094278.419299999</v>
      </c>
      <c r="H343" s="68">
        <v>0</v>
      </c>
      <c r="I343" s="68">
        <f t="shared" si="75"/>
        <v>10094278.419299999</v>
      </c>
      <c r="J343" s="81">
        <v>234694635.49000001</v>
      </c>
      <c r="K343" s="69">
        <f t="shared" si="71"/>
        <v>581264861.21930003</v>
      </c>
      <c r="L343" s="63"/>
      <c r="M343" s="165"/>
      <c r="N343" s="70">
        <v>13</v>
      </c>
      <c r="O343" s="175"/>
      <c r="P343" s="68" t="s">
        <v>793</v>
      </c>
      <c r="Q343" s="68">
        <v>419001443.06999999</v>
      </c>
      <c r="R343" s="71">
        <v>0</v>
      </c>
      <c r="S343" s="68">
        <v>12570043.292199999</v>
      </c>
      <c r="T343" s="68">
        <v>0</v>
      </c>
      <c r="U343" s="68">
        <f t="shared" si="70"/>
        <v>12570043.292199999</v>
      </c>
      <c r="V343" s="68">
        <v>238806423.94999999</v>
      </c>
      <c r="W343" s="69">
        <f t="shared" si="72"/>
        <v>670377910.31220007</v>
      </c>
    </row>
    <row r="344" spans="1:23" ht="24.95" customHeight="1">
      <c r="A344" s="170"/>
      <c r="B344" s="165"/>
      <c r="C344" s="64">
        <v>9</v>
      </c>
      <c r="D344" s="68" t="s">
        <v>794</v>
      </c>
      <c r="E344" s="68">
        <v>294730599.82999998</v>
      </c>
      <c r="F344" s="68">
        <v>0</v>
      </c>
      <c r="G344" s="68">
        <v>8841917.9947999995</v>
      </c>
      <c r="H344" s="68">
        <v>0</v>
      </c>
      <c r="I344" s="68">
        <f t="shared" si="75"/>
        <v>8841917.9947999995</v>
      </c>
      <c r="J344" s="81">
        <v>219169242.94999999</v>
      </c>
      <c r="K344" s="69">
        <f t="shared" si="71"/>
        <v>522741760.77479994</v>
      </c>
      <c r="L344" s="63"/>
      <c r="M344" s="165"/>
      <c r="N344" s="70">
        <v>14</v>
      </c>
      <c r="O344" s="175"/>
      <c r="P344" s="68" t="s">
        <v>795</v>
      </c>
      <c r="Q344" s="68">
        <v>377542497.50999999</v>
      </c>
      <c r="R344" s="71">
        <v>0</v>
      </c>
      <c r="S344" s="68">
        <v>11326274.9252</v>
      </c>
      <c r="T344" s="68">
        <v>0</v>
      </c>
      <c r="U344" s="68">
        <f t="shared" si="70"/>
        <v>11326274.9252</v>
      </c>
      <c r="V344" s="68">
        <v>221175017.69999999</v>
      </c>
      <c r="W344" s="69">
        <f t="shared" si="72"/>
        <v>610043790.13520002</v>
      </c>
    </row>
    <row r="345" spans="1:23" ht="24.95" customHeight="1">
      <c r="A345" s="170"/>
      <c r="B345" s="165"/>
      <c r="C345" s="64">
        <v>10</v>
      </c>
      <c r="D345" s="68" t="s">
        <v>796</v>
      </c>
      <c r="E345" s="68">
        <v>311366835.91000003</v>
      </c>
      <c r="F345" s="68">
        <v>0</v>
      </c>
      <c r="G345" s="68">
        <v>9341005.0774000008</v>
      </c>
      <c r="H345" s="68">
        <v>0</v>
      </c>
      <c r="I345" s="68">
        <f t="shared" si="75"/>
        <v>9341005.0774000008</v>
      </c>
      <c r="J345" s="81">
        <v>221875646.25</v>
      </c>
      <c r="K345" s="69">
        <f t="shared" si="71"/>
        <v>542583487.23740005</v>
      </c>
      <c r="L345" s="63"/>
      <c r="M345" s="165"/>
      <c r="N345" s="70">
        <v>15</v>
      </c>
      <c r="O345" s="175"/>
      <c r="P345" s="68" t="s">
        <v>797</v>
      </c>
      <c r="Q345" s="68">
        <v>338066178.49000001</v>
      </c>
      <c r="R345" s="71">
        <v>0</v>
      </c>
      <c r="S345" s="68">
        <v>10141985.354699999</v>
      </c>
      <c r="T345" s="68">
        <v>0</v>
      </c>
      <c r="U345" s="68">
        <f t="shared" si="70"/>
        <v>10141985.354699999</v>
      </c>
      <c r="V345" s="68">
        <v>203251166.94999999</v>
      </c>
      <c r="W345" s="69">
        <f t="shared" si="72"/>
        <v>551459330.79469991</v>
      </c>
    </row>
    <row r="346" spans="1:23" ht="24.95" customHeight="1">
      <c r="A346" s="170"/>
      <c r="B346" s="165"/>
      <c r="C346" s="64">
        <v>11</v>
      </c>
      <c r="D346" s="68" t="s">
        <v>798</v>
      </c>
      <c r="E346" s="68">
        <v>433129335</v>
      </c>
      <c r="F346" s="68">
        <v>0</v>
      </c>
      <c r="G346" s="68">
        <v>12993880.050000001</v>
      </c>
      <c r="H346" s="68">
        <v>0</v>
      </c>
      <c r="I346" s="68">
        <f t="shared" si="75"/>
        <v>12993880.050000001</v>
      </c>
      <c r="J346" s="81">
        <v>276149762.11000001</v>
      </c>
      <c r="K346" s="69">
        <f t="shared" si="71"/>
        <v>722272977.16000009</v>
      </c>
      <c r="L346" s="63"/>
      <c r="M346" s="165"/>
      <c r="N346" s="70">
        <v>16</v>
      </c>
      <c r="O346" s="175"/>
      <c r="P346" s="68" t="s">
        <v>799</v>
      </c>
      <c r="Q346" s="68">
        <v>375671947.92000002</v>
      </c>
      <c r="R346" s="71">
        <v>0</v>
      </c>
      <c r="S346" s="68">
        <v>11270158.4375</v>
      </c>
      <c r="T346" s="68">
        <v>0</v>
      </c>
      <c r="U346" s="68">
        <f t="shared" si="70"/>
        <v>11270158.4375</v>
      </c>
      <c r="V346" s="68">
        <v>247502944.75</v>
      </c>
      <c r="W346" s="69">
        <f t="shared" si="72"/>
        <v>634445051.10750008</v>
      </c>
    </row>
    <row r="347" spans="1:23" ht="24.95" customHeight="1">
      <c r="A347" s="170"/>
      <c r="B347" s="165"/>
      <c r="C347" s="64">
        <v>12</v>
      </c>
      <c r="D347" s="68" t="s">
        <v>800</v>
      </c>
      <c r="E347" s="68">
        <v>320240041.12</v>
      </c>
      <c r="F347" s="68">
        <v>0</v>
      </c>
      <c r="G347" s="68">
        <v>9607201.2335000001</v>
      </c>
      <c r="H347" s="68">
        <v>0</v>
      </c>
      <c r="I347" s="68">
        <f t="shared" si="75"/>
        <v>9607201.2335000001</v>
      </c>
      <c r="J347" s="81">
        <v>225147648.90000001</v>
      </c>
      <c r="K347" s="69">
        <f t="shared" si="71"/>
        <v>554994891.25349998</v>
      </c>
      <c r="L347" s="63"/>
      <c r="M347" s="165"/>
      <c r="N347" s="70">
        <v>17</v>
      </c>
      <c r="O347" s="175"/>
      <c r="P347" s="68" t="s">
        <v>801</v>
      </c>
      <c r="Q347" s="68">
        <v>372637082.66000003</v>
      </c>
      <c r="R347" s="71">
        <v>0</v>
      </c>
      <c r="S347" s="68">
        <v>11179112.479900001</v>
      </c>
      <c r="T347" s="68">
        <v>0</v>
      </c>
      <c r="U347" s="68">
        <f t="shared" si="70"/>
        <v>11179112.479900001</v>
      </c>
      <c r="V347" s="68">
        <v>234436979.41</v>
      </c>
      <c r="W347" s="69">
        <f t="shared" si="72"/>
        <v>618253174.54990005</v>
      </c>
    </row>
    <row r="348" spans="1:23" ht="24.95" customHeight="1">
      <c r="A348" s="170"/>
      <c r="B348" s="165"/>
      <c r="C348" s="64">
        <v>13</v>
      </c>
      <c r="D348" s="68" t="s">
        <v>802</v>
      </c>
      <c r="E348" s="68">
        <v>270334794.64999998</v>
      </c>
      <c r="F348" s="68">
        <v>0</v>
      </c>
      <c r="G348" s="68">
        <v>8110043.8395999996</v>
      </c>
      <c r="H348" s="68">
        <v>0</v>
      </c>
      <c r="I348" s="68">
        <f t="shared" si="75"/>
        <v>8110043.8395999996</v>
      </c>
      <c r="J348" s="81">
        <v>218641189.47</v>
      </c>
      <c r="K348" s="69">
        <f t="shared" si="71"/>
        <v>497086027.95959997</v>
      </c>
      <c r="L348" s="63"/>
      <c r="M348" s="165"/>
      <c r="N348" s="70">
        <v>18</v>
      </c>
      <c r="O348" s="175"/>
      <c r="P348" s="68" t="s">
        <v>803</v>
      </c>
      <c r="Q348" s="68">
        <v>417247894.32999998</v>
      </c>
      <c r="R348" s="71">
        <v>0</v>
      </c>
      <c r="S348" s="68">
        <v>12517436.8299</v>
      </c>
      <c r="T348" s="68">
        <v>0</v>
      </c>
      <c r="U348" s="68">
        <f t="shared" si="70"/>
        <v>12517436.8299</v>
      </c>
      <c r="V348" s="68">
        <v>244776562.91999999</v>
      </c>
      <c r="W348" s="69">
        <f t="shared" si="72"/>
        <v>674541894.07990003</v>
      </c>
    </row>
    <row r="349" spans="1:23" ht="24.95" customHeight="1">
      <c r="A349" s="170"/>
      <c r="B349" s="165"/>
      <c r="C349" s="64">
        <v>14</v>
      </c>
      <c r="D349" s="68" t="s">
        <v>804</v>
      </c>
      <c r="E349" s="68">
        <v>371566548.74000001</v>
      </c>
      <c r="F349" s="68">
        <v>0</v>
      </c>
      <c r="G349" s="68">
        <v>11146996.462300001</v>
      </c>
      <c r="H349" s="68">
        <v>0</v>
      </c>
      <c r="I349" s="68">
        <f t="shared" si="75"/>
        <v>11146996.462300001</v>
      </c>
      <c r="J349" s="81">
        <v>261169990.40000001</v>
      </c>
      <c r="K349" s="69">
        <f t="shared" si="71"/>
        <v>643883535.60230005</v>
      </c>
      <c r="L349" s="63"/>
      <c r="M349" s="165"/>
      <c r="N349" s="70">
        <v>19</v>
      </c>
      <c r="O349" s="175"/>
      <c r="P349" s="68" t="s">
        <v>805</v>
      </c>
      <c r="Q349" s="68">
        <v>384685743.44</v>
      </c>
      <c r="R349" s="71">
        <v>0</v>
      </c>
      <c r="S349" s="68">
        <v>11540572.303099999</v>
      </c>
      <c r="T349" s="68">
        <v>0</v>
      </c>
      <c r="U349" s="68">
        <f t="shared" si="70"/>
        <v>11540572.303099999</v>
      </c>
      <c r="V349" s="68">
        <v>206514902.63</v>
      </c>
      <c r="W349" s="69">
        <f t="shared" si="72"/>
        <v>602741218.37310004</v>
      </c>
    </row>
    <row r="350" spans="1:23" ht="24.95" customHeight="1">
      <c r="A350" s="170"/>
      <c r="B350" s="165"/>
      <c r="C350" s="64">
        <v>15</v>
      </c>
      <c r="D350" s="68" t="s">
        <v>806</v>
      </c>
      <c r="E350" s="68">
        <v>417917245.06999999</v>
      </c>
      <c r="F350" s="68">
        <v>0</v>
      </c>
      <c r="G350" s="68">
        <v>12537517.3522</v>
      </c>
      <c r="H350" s="68">
        <v>0</v>
      </c>
      <c r="I350" s="68">
        <f t="shared" si="75"/>
        <v>12537517.3522</v>
      </c>
      <c r="J350" s="81">
        <v>275624808.74000001</v>
      </c>
      <c r="K350" s="69">
        <f t="shared" si="71"/>
        <v>706079571.16219997</v>
      </c>
      <c r="L350" s="63"/>
      <c r="M350" s="165"/>
      <c r="N350" s="70">
        <v>20</v>
      </c>
      <c r="O350" s="175"/>
      <c r="P350" s="68" t="s">
        <v>807</v>
      </c>
      <c r="Q350" s="68">
        <v>350069639.43000001</v>
      </c>
      <c r="R350" s="71">
        <v>0</v>
      </c>
      <c r="S350" s="68">
        <v>10502089.183</v>
      </c>
      <c r="T350" s="68">
        <v>0</v>
      </c>
      <c r="U350" s="68">
        <f t="shared" si="70"/>
        <v>10502089.183</v>
      </c>
      <c r="V350" s="68">
        <v>190847938.02000001</v>
      </c>
      <c r="W350" s="69">
        <f t="shared" si="72"/>
        <v>551419666.63300002</v>
      </c>
    </row>
    <row r="351" spans="1:23" ht="24.95" customHeight="1">
      <c r="A351" s="170"/>
      <c r="B351" s="165"/>
      <c r="C351" s="64">
        <v>16</v>
      </c>
      <c r="D351" s="68" t="s">
        <v>808</v>
      </c>
      <c r="E351" s="68">
        <v>306293097.81</v>
      </c>
      <c r="F351" s="68">
        <v>0</v>
      </c>
      <c r="G351" s="68">
        <v>9188792.9342999998</v>
      </c>
      <c r="H351" s="68">
        <v>0</v>
      </c>
      <c r="I351" s="68">
        <f t="shared" si="75"/>
        <v>9188792.9342999998</v>
      </c>
      <c r="J351" s="81">
        <v>226332238.56</v>
      </c>
      <c r="K351" s="69">
        <f t="shared" si="71"/>
        <v>541814129.30430007</v>
      </c>
      <c r="L351" s="63"/>
      <c r="M351" s="165"/>
      <c r="N351" s="70">
        <v>21</v>
      </c>
      <c r="O351" s="175"/>
      <c r="P351" s="68" t="s">
        <v>809</v>
      </c>
      <c r="Q351" s="68">
        <v>360867936.76999998</v>
      </c>
      <c r="R351" s="71">
        <v>0</v>
      </c>
      <c r="S351" s="68">
        <v>10826038.1031</v>
      </c>
      <c r="T351" s="68">
        <v>0</v>
      </c>
      <c r="U351" s="68">
        <f t="shared" ref="U351:U382" si="76">S351-T351</f>
        <v>10826038.1031</v>
      </c>
      <c r="V351" s="68">
        <v>229168500.56</v>
      </c>
      <c r="W351" s="69">
        <f t="shared" si="72"/>
        <v>600862475.43309999</v>
      </c>
    </row>
    <row r="352" spans="1:23" ht="24.95" customHeight="1">
      <c r="A352" s="170"/>
      <c r="B352" s="165"/>
      <c r="C352" s="64">
        <v>17</v>
      </c>
      <c r="D352" s="68" t="s">
        <v>810</v>
      </c>
      <c r="E352" s="68">
        <v>324116158.77999997</v>
      </c>
      <c r="F352" s="68">
        <v>0</v>
      </c>
      <c r="G352" s="68">
        <v>9723484.7633999996</v>
      </c>
      <c r="H352" s="68">
        <v>0</v>
      </c>
      <c r="I352" s="68">
        <f t="shared" si="75"/>
        <v>9723484.7633999996</v>
      </c>
      <c r="J352" s="81">
        <v>237884657.24000001</v>
      </c>
      <c r="K352" s="69">
        <f t="shared" si="71"/>
        <v>571724300.78340006</v>
      </c>
      <c r="L352" s="63"/>
      <c r="M352" s="165"/>
      <c r="N352" s="70">
        <v>22</v>
      </c>
      <c r="O352" s="175"/>
      <c r="P352" s="68" t="s">
        <v>811</v>
      </c>
      <c r="Q352" s="68">
        <v>347211028.62</v>
      </c>
      <c r="R352" s="71">
        <v>0</v>
      </c>
      <c r="S352" s="68">
        <v>10416330.8587</v>
      </c>
      <c r="T352" s="68">
        <v>0</v>
      </c>
      <c r="U352" s="68">
        <f t="shared" si="76"/>
        <v>10416330.8587</v>
      </c>
      <c r="V352" s="68">
        <v>223205250.74000001</v>
      </c>
      <c r="W352" s="69">
        <f t="shared" si="72"/>
        <v>580832610.21869993</v>
      </c>
    </row>
    <row r="353" spans="1:23" ht="24.95" customHeight="1">
      <c r="A353" s="170"/>
      <c r="B353" s="165"/>
      <c r="C353" s="64">
        <v>18</v>
      </c>
      <c r="D353" s="68" t="s">
        <v>812</v>
      </c>
      <c r="E353" s="68">
        <v>338047487.5</v>
      </c>
      <c r="F353" s="68">
        <v>0</v>
      </c>
      <c r="G353" s="68">
        <v>10141424.625</v>
      </c>
      <c r="H353" s="68">
        <v>0</v>
      </c>
      <c r="I353" s="68">
        <f t="shared" si="75"/>
        <v>10141424.625</v>
      </c>
      <c r="J353" s="81">
        <v>248228374.24000001</v>
      </c>
      <c r="K353" s="69">
        <f t="shared" si="71"/>
        <v>596417286.36500001</v>
      </c>
      <c r="L353" s="63"/>
      <c r="M353" s="166"/>
      <c r="N353" s="70">
        <v>23</v>
      </c>
      <c r="O353" s="176"/>
      <c r="P353" s="68" t="s">
        <v>813</v>
      </c>
      <c r="Q353" s="68">
        <v>325510262.89999998</v>
      </c>
      <c r="R353" s="71">
        <v>0</v>
      </c>
      <c r="S353" s="68">
        <v>9765307.8872999996</v>
      </c>
      <c r="T353" s="68">
        <v>0</v>
      </c>
      <c r="U353" s="68">
        <f t="shared" si="76"/>
        <v>9765307.8872999996</v>
      </c>
      <c r="V353" s="68">
        <v>206913784.5</v>
      </c>
      <c r="W353" s="69">
        <f t="shared" si="72"/>
        <v>542189355.28729999</v>
      </c>
    </row>
    <row r="354" spans="1:23" ht="24.95" customHeight="1">
      <c r="A354" s="170"/>
      <c r="B354" s="165"/>
      <c r="C354" s="64">
        <v>19</v>
      </c>
      <c r="D354" s="68" t="s">
        <v>814</v>
      </c>
      <c r="E354" s="68">
        <v>349252609.43000001</v>
      </c>
      <c r="F354" s="68">
        <v>0</v>
      </c>
      <c r="G354" s="68">
        <v>10477578.2829</v>
      </c>
      <c r="H354" s="68">
        <v>0</v>
      </c>
      <c r="I354" s="68">
        <f t="shared" si="75"/>
        <v>10477578.2829</v>
      </c>
      <c r="J354" s="81">
        <v>241818018.47999999</v>
      </c>
      <c r="K354" s="69">
        <f t="shared" si="71"/>
        <v>601548206.19289994</v>
      </c>
      <c r="L354" s="63"/>
      <c r="M354" s="64"/>
      <c r="N354" s="177" t="s">
        <v>815</v>
      </c>
      <c r="O354" s="178"/>
      <c r="P354" s="72"/>
      <c r="Q354" s="72">
        <f t="shared" ref="Q354:T354" si="77">SUM(Q331:Q353)</f>
        <v>8600682409.4200001</v>
      </c>
      <c r="R354" s="71">
        <v>0</v>
      </c>
      <c r="S354" s="72">
        <f t="shared" si="77"/>
        <v>258020472.28250003</v>
      </c>
      <c r="T354" s="72">
        <f t="shared" si="77"/>
        <v>0</v>
      </c>
      <c r="U354" s="72">
        <f t="shared" si="76"/>
        <v>258020472.28250003</v>
      </c>
      <c r="V354" s="72">
        <f>SUM(V331:V353)</f>
        <v>5121298937.3899994</v>
      </c>
      <c r="W354" s="72">
        <f>SUM(W331:W353)</f>
        <v>13980001819.092503</v>
      </c>
    </row>
    <row r="355" spans="1:23" ht="24.95" customHeight="1">
      <c r="A355" s="170"/>
      <c r="B355" s="165"/>
      <c r="C355" s="64">
        <v>20</v>
      </c>
      <c r="D355" s="68" t="s">
        <v>816</v>
      </c>
      <c r="E355" s="68">
        <v>352272486.83999997</v>
      </c>
      <c r="F355" s="68">
        <v>0</v>
      </c>
      <c r="G355" s="68">
        <v>10568174.6053</v>
      </c>
      <c r="H355" s="68">
        <v>0</v>
      </c>
      <c r="I355" s="68">
        <f t="shared" si="75"/>
        <v>10568174.6053</v>
      </c>
      <c r="J355" s="81">
        <v>244161019.00999999</v>
      </c>
      <c r="K355" s="69">
        <f t="shared" si="71"/>
        <v>607001680.45529997</v>
      </c>
      <c r="L355" s="63"/>
      <c r="M355" s="164">
        <v>34</v>
      </c>
      <c r="N355" s="70">
        <v>1</v>
      </c>
      <c r="O355" s="164" t="s">
        <v>108</v>
      </c>
      <c r="P355" s="68" t="s">
        <v>817</v>
      </c>
      <c r="Q355" s="68">
        <v>323092529.94</v>
      </c>
      <c r="R355" s="71">
        <v>0</v>
      </c>
      <c r="S355" s="68">
        <v>9692775.8981999997</v>
      </c>
      <c r="T355" s="68">
        <f t="shared" ref="T355:T370" si="78">S355/2</f>
        <v>4846387.9490999999</v>
      </c>
      <c r="U355" s="68">
        <f t="shared" si="76"/>
        <v>4846387.9490999999</v>
      </c>
      <c r="V355" s="68">
        <v>259638927.93000001</v>
      </c>
      <c r="W355" s="69">
        <f t="shared" si="72"/>
        <v>587577845.81910002</v>
      </c>
    </row>
    <row r="356" spans="1:23" ht="24.95" customHeight="1">
      <c r="A356" s="170"/>
      <c r="B356" s="165"/>
      <c r="C356" s="64">
        <v>21</v>
      </c>
      <c r="D356" s="68" t="s">
        <v>818</v>
      </c>
      <c r="E356" s="68">
        <v>330008685.67000002</v>
      </c>
      <c r="F356" s="68">
        <v>0</v>
      </c>
      <c r="G356" s="68">
        <v>9900260.5702</v>
      </c>
      <c r="H356" s="68">
        <v>0</v>
      </c>
      <c r="I356" s="68">
        <f t="shared" si="75"/>
        <v>9900260.5702</v>
      </c>
      <c r="J356" s="81">
        <v>237856756.18000001</v>
      </c>
      <c r="K356" s="69">
        <f t="shared" si="71"/>
        <v>577765702.42020011</v>
      </c>
      <c r="L356" s="63"/>
      <c r="M356" s="165"/>
      <c r="N356" s="70">
        <v>2</v>
      </c>
      <c r="O356" s="165"/>
      <c r="P356" s="68" t="s">
        <v>819</v>
      </c>
      <c r="Q356" s="68">
        <v>552885723.24000001</v>
      </c>
      <c r="R356" s="71">
        <v>0</v>
      </c>
      <c r="S356" s="68">
        <v>16586571.6973</v>
      </c>
      <c r="T356" s="68">
        <f t="shared" si="78"/>
        <v>8293285.8486500001</v>
      </c>
      <c r="U356" s="68">
        <f t="shared" si="76"/>
        <v>8293285.8486500001</v>
      </c>
      <c r="V356" s="68">
        <v>301667576.44</v>
      </c>
      <c r="W356" s="69">
        <f t="shared" si="72"/>
        <v>862846585.52865005</v>
      </c>
    </row>
    <row r="357" spans="1:23" ht="24.95" customHeight="1">
      <c r="A357" s="170"/>
      <c r="B357" s="165"/>
      <c r="C357" s="64">
        <v>22</v>
      </c>
      <c r="D357" s="68" t="s">
        <v>820</v>
      </c>
      <c r="E357" s="68">
        <v>302703476.22000003</v>
      </c>
      <c r="F357" s="68">
        <v>0</v>
      </c>
      <c r="G357" s="68">
        <v>9081104.2866999991</v>
      </c>
      <c r="H357" s="68">
        <v>0</v>
      </c>
      <c r="I357" s="68">
        <f t="shared" si="75"/>
        <v>9081104.2866999991</v>
      </c>
      <c r="J357" s="81">
        <v>226493444.71000001</v>
      </c>
      <c r="K357" s="69">
        <f t="shared" si="71"/>
        <v>538278025.21670008</v>
      </c>
      <c r="L357" s="63"/>
      <c r="M357" s="165"/>
      <c r="N357" s="70">
        <v>3</v>
      </c>
      <c r="O357" s="165"/>
      <c r="P357" s="68" t="s">
        <v>821</v>
      </c>
      <c r="Q357" s="68">
        <v>379730790.55000001</v>
      </c>
      <c r="R357" s="71">
        <v>0</v>
      </c>
      <c r="S357" s="68">
        <v>11391923.716399999</v>
      </c>
      <c r="T357" s="68">
        <f t="shared" si="78"/>
        <v>5695961.8581999997</v>
      </c>
      <c r="U357" s="68">
        <f t="shared" si="76"/>
        <v>5695961.8581999997</v>
      </c>
      <c r="V357" s="68">
        <v>275893881.64999998</v>
      </c>
      <c r="W357" s="69">
        <f t="shared" si="72"/>
        <v>661320634.0582</v>
      </c>
    </row>
    <row r="358" spans="1:23" ht="24.95" customHeight="1">
      <c r="A358" s="170"/>
      <c r="B358" s="165"/>
      <c r="C358" s="64">
        <v>23</v>
      </c>
      <c r="D358" s="68" t="s">
        <v>822</v>
      </c>
      <c r="E358" s="68">
        <v>371483305.51999998</v>
      </c>
      <c r="F358" s="68">
        <v>0</v>
      </c>
      <c r="G358" s="68">
        <v>11144499.1656</v>
      </c>
      <c r="H358" s="68">
        <v>0</v>
      </c>
      <c r="I358" s="68">
        <f t="shared" si="75"/>
        <v>11144499.1656</v>
      </c>
      <c r="J358" s="81">
        <v>248400947.5</v>
      </c>
      <c r="K358" s="69">
        <f t="shared" si="71"/>
        <v>631028752.18560004</v>
      </c>
      <c r="L358" s="63"/>
      <c r="M358" s="165"/>
      <c r="N358" s="70">
        <v>4</v>
      </c>
      <c r="O358" s="165"/>
      <c r="P358" s="68" t="s">
        <v>823</v>
      </c>
      <c r="Q358" s="68">
        <v>453400834.81999999</v>
      </c>
      <c r="R358" s="71">
        <v>0</v>
      </c>
      <c r="S358" s="68">
        <v>13602025.0447</v>
      </c>
      <c r="T358" s="68">
        <f t="shared" si="78"/>
        <v>6801012.5223500002</v>
      </c>
      <c r="U358" s="68">
        <f t="shared" si="76"/>
        <v>6801012.5223500002</v>
      </c>
      <c r="V358" s="68">
        <v>259935161.46000001</v>
      </c>
      <c r="W358" s="69">
        <f t="shared" si="72"/>
        <v>720137008.80235004</v>
      </c>
    </row>
    <row r="359" spans="1:23" ht="24.95" customHeight="1">
      <c r="A359" s="170"/>
      <c r="B359" s="165"/>
      <c r="C359" s="64">
        <v>24</v>
      </c>
      <c r="D359" s="68" t="s">
        <v>824</v>
      </c>
      <c r="E359" s="68">
        <v>274715045.88999999</v>
      </c>
      <c r="F359" s="68">
        <v>0</v>
      </c>
      <c r="G359" s="68">
        <v>8241451.3766999999</v>
      </c>
      <c r="H359" s="68">
        <v>0</v>
      </c>
      <c r="I359" s="68">
        <f t="shared" si="75"/>
        <v>8241451.3766999999</v>
      </c>
      <c r="J359" s="81">
        <v>209062168.31999999</v>
      </c>
      <c r="K359" s="69">
        <f t="shared" si="71"/>
        <v>492018665.58669996</v>
      </c>
      <c r="L359" s="63"/>
      <c r="M359" s="165"/>
      <c r="N359" s="70">
        <v>5</v>
      </c>
      <c r="O359" s="165"/>
      <c r="P359" s="68" t="s">
        <v>825</v>
      </c>
      <c r="Q359" s="68">
        <v>489829536.57999998</v>
      </c>
      <c r="R359" s="71">
        <v>0</v>
      </c>
      <c r="S359" s="68">
        <v>14694886.0975</v>
      </c>
      <c r="T359" s="68">
        <f t="shared" si="78"/>
        <v>7347443.0487500001</v>
      </c>
      <c r="U359" s="68">
        <f t="shared" si="76"/>
        <v>7347443.0487500001</v>
      </c>
      <c r="V359" s="68">
        <v>314003980.60000002</v>
      </c>
      <c r="W359" s="69">
        <f t="shared" si="72"/>
        <v>811180960.22874999</v>
      </c>
    </row>
    <row r="360" spans="1:23" ht="24.95" customHeight="1">
      <c r="A360" s="170"/>
      <c r="B360" s="165"/>
      <c r="C360" s="64">
        <v>25</v>
      </c>
      <c r="D360" s="68" t="s">
        <v>826</v>
      </c>
      <c r="E360" s="68">
        <v>344800187.26999998</v>
      </c>
      <c r="F360" s="68">
        <v>0</v>
      </c>
      <c r="G360" s="68">
        <v>10344005.618100001</v>
      </c>
      <c r="H360" s="68">
        <v>0</v>
      </c>
      <c r="I360" s="68">
        <f t="shared" si="75"/>
        <v>10344005.618100001</v>
      </c>
      <c r="J360" s="81">
        <v>227328754.37</v>
      </c>
      <c r="K360" s="69">
        <f t="shared" si="71"/>
        <v>582472947.25810003</v>
      </c>
      <c r="L360" s="63"/>
      <c r="M360" s="165"/>
      <c r="N360" s="70">
        <v>6</v>
      </c>
      <c r="O360" s="165"/>
      <c r="P360" s="68" t="s">
        <v>827</v>
      </c>
      <c r="Q360" s="68">
        <v>339329642.23000002</v>
      </c>
      <c r="R360" s="71">
        <v>0</v>
      </c>
      <c r="S360" s="68">
        <v>10179889.267000001</v>
      </c>
      <c r="T360" s="68">
        <f t="shared" si="78"/>
        <v>5089944.6335000005</v>
      </c>
      <c r="U360" s="68">
        <f t="shared" si="76"/>
        <v>5089944.6335000005</v>
      </c>
      <c r="V360" s="68">
        <v>258651368.02000001</v>
      </c>
      <c r="W360" s="69">
        <f t="shared" si="72"/>
        <v>603070954.88349998</v>
      </c>
    </row>
    <row r="361" spans="1:23" ht="24.95" customHeight="1">
      <c r="A361" s="170"/>
      <c r="B361" s="165"/>
      <c r="C361" s="64">
        <v>26</v>
      </c>
      <c r="D361" s="68" t="s">
        <v>828</v>
      </c>
      <c r="E361" s="68">
        <v>313594022.79000002</v>
      </c>
      <c r="F361" s="68">
        <v>0</v>
      </c>
      <c r="G361" s="68">
        <v>9407820.6838000007</v>
      </c>
      <c r="H361" s="68">
        <v>0</v>
      </c>
      <c r="I361" s="68">
        <f t="shared" si="75"/>
        <v>9407820.6838000007</v>
      </c>
      <c r="J361" s="81">
        <v>227641521.87</v>
      </c>
      <c r="K361" s="69">
        <f t="shared" si="71"/>
        <v>550643365.34380007</v>
      </c>
      <c r="L361" s="63"/>
      <c r="M361" s="165"/>
      <c r="N361" s="70">
        <v>7</v>
      </c>
      <c r="O361" s="165"/>
      <c r="P361" s="68" t="s">
        <v>829</v>
      </c>
      <c r="Q361" s="68">
        <v>326376786.75999999</v>
      </c>
      <c r="R361" s="71">
        <v>0</v>
      </c>
      <c r="S361" s="68">
        <v>9791303.6028000005</v>
      </c>
      <c r="T361" s="68">
        <f t="shared" si="78"/>
        <v>4895651.8014000002</v>
      </c>
      <c r="U361" s="68">
        <f t="shared" si="76"/>
        <v>4895651.8014000002</v>
      </c>
      <c r="V361" s="68">
        <v>277869001.48000002</v>
      </c>
      <c r="W361" s="69">
        <f t="shared" si="72"/>
        <v>609141440.04139996</v>
      </c>
    </row>
    <row r="362" spans="1:23" ht="24.95" customHeight="1">
      <c r="A362" s="170"/>
      <c r="B362" s="166"/>
      <c r="C362" s="64">
        <v>27</v>
      </c>
      <c r="D362" s="68" t="s">
        <v>830</v>
      </c>
      <c r="E362" s="68">
        <v>290583951.06</v>
      </c>
      <c r="F362" s="68">
        <v>0</v>
      </c>
      <c r="G362" s="68">
        <v>8717518.5316000003</v>
      </c>
      <c r="H362" s="68">
        <v>0</v>
      </c>
      <c r="I362" s="68">
        <f t="shared" si="75"/>
        <v>8717518.5316000003</v>
      </c>
      <c r="J362" s="81">
        <v>215241737.5</v>
      </c>
      <c r="K362" s="69">
        <f t="shared" si="71"/>
        <v>514543207.0916</v>
      </c>
      <c r="L362" s="63"/>
      <c r="M362" s="165"/>
      <c r="N362" s="70">
        <v>8</v>
      </c>
      <c r="O362" s="165"/>
      <c r="P362" s="68" t="s">
        <v>831</v>
      </c>
      <c r="Q362" s="68">
        <v>506581407.98000002</v>
      </c>
      <c r="R362" s="71">
        <v>0</v>
      </c>
      <c r="S362" s="68">
        <v>15197442.239399999</v>
      </c>
      <c r="T362" s="68">
        <f t="shared" si="78"/>
        <v>7598721.1196999997</v>
      </c>
      <c r="U362" s="68">
        <f t="shared" si="76"/>
        <v>7598721.1196999997</v>
      </c>
      <c r="V362" s="68">
        <v>297158282.12</v>
      </c>
      <c r="W362" s="69">
        <f t="shared" si="72"/>
        <v>811338411.2197001</v>
      </c>
    </row>
    <row r="363" spans="1:23" ht="24.95" customHeight="1">
      <c r="A363" s="64"/>
      <c r="B363" s="179" t="s">
        <v>832</v>
      </c>
      <c r="C363" s="177"/>
      <c r="D363" s="72"/>
      <c r="E363" s="72">
        <f t="shared" ref="E363:K363" si="79">SUM(E336:E362)</f>
        <v>9086259713.1200008</v>
      </c>
      <c r="F363" s="68">
        <v>0</v>
      </c>
      <c r="G363" s="72">
        <f t="shared" si="79"/>
        <v>272587791.39380002</v>
      </c>
      <c r="H363" s="72">
        <f t="shared" si="79"/>
        <v>0</v>
      </c>
      <c r="I363" s="72">
        <f t="shared" si="79"/>
        <v>272587791.39380002</v>
      </c>
      <c r="J363" s="72">
        <f t="shared" si="79"/>
        <v>6418859380.8299999</v>
      </c>
      <c r="K363" s="72">
        <f t="shared" si="79"/>
        <v>15777706885.3438</v>
      </c>
      <c r="L363" s="63"/>
      <c r="M363" s="165"/>
      <c r="N363" s="70">
        <v>9</v>
      </c>
      <c r="O363" s="165"/>
      <c r="P363" s="68" t="s">
        <v>833</v>
      </c>
      <c r="Q363" s="68">
        <v>360604542.30000001</v>
      </c>
      <c r="R363" s="71">
        <v>0</v>
      </c>
      <c r="S363" s="68">
        <v>10818136.268999999</v>
      </c>
      <c r="T363" s="68">
        <f t="shared" si="78"/>
        <v>5409068.1344999997</v>
      </c>
      <c r="U363" s="68">
        <f t="shared" si="76"/>
        <v>5409068.1344999997</v>
      </c>
      <c r="V363" s="68">
        <v>261226877.43000001</v>
      </c>
      <c r="W363" s="69">
        <f t="shared" si="72"/>
        <v>627240487.86450005</v>
      </c>
    </row>
    <row r="364" spans="1:23" ht="24.95" customHeight="1">
      <c r="A364" s="170">
        <v>18</v>
      </c>
      <c r="B364" s="164" t="s">
        <v>834</v>
      </c>
      <c r="C364" s="64">
        <v>1</v>
      </c>
      <c r="D364" s="68" t="s">
        <v>835</v>
      </c>
      <c r="E364" s="68">
        <v>544056932.17999995</v>
      </c>
      <c r="F364" s="68">
        <v>0</v>
      </c>
      <c r="G364" s="68">
        <v>16321707.965500001</v>
      </c>
      <c r="H364" s="68">
        <f t="shared" ref="H364:H386" si="80">G364/2</f>
        <v>8160853.9827500004</v>
      </c>
      <c r="I364" s="68">
        <f>G364-H364</f>
        <v>8160853.9827500004</v>
      </c>
      <c r="J364" s="81">
        <v>278293250.35000002</v>
      </c>
      <c r="K364" s="69">
        <f t="shared" si="71"/>
        <v>830511036.51275003</v>
      </c>
      <c r="L364" s="63"/>
      <c r="M364" s="165"/>
      <c r="N364" s="70">
        <v>10</v>
      </c>
      <c r="O364" s="165"/>
      <c r="P364" s="68" t="s">
        <v>836</v>
      </c>
      <c r="Q364" s="68">
        <v>332945350.01999998</v>
      </c>
      <c r="R364" s="71">
        <v>0</v>
      </c>
      <c r="S364" s="68">
        <v>9988360.5004999992</v>
      </c>
      <c r="T364" s="68">
        <f t="shared" si="78"/>
        <v>4994180.2502499996</v>
      </c>
      <c r="U364" s="68">
        <f t="shared" si="76"/>
        <v>4994180.2502499996</v>
      </c>
      <c r="V364" s="68">
        <v>262969488.38</v>
      </c>
      <c r="W364" s="69">
        <f t="shared" si="72"/>
        <v>600909018.65024996</v>
      </c>
    </row>
    <row r="365" spans="1:23" ht="24.95" customHeight="1">
      <c r="A365" s="170"/>
      <c r="B365" s="165"/>
      <c r="C365" s="64">
        <v>2</v>
      </c>
      <c r="D365" s="68" t="s">
        <v>837</v>
      </c>
      <c r="E365" s="68">
        <v>553211418.83000004</v>
      </c>
      <c r="F365" s="68">
        <v>0</v>
      </c>
      <c r="G365" s="68">
        <v>16596342.5648</v>
      </c>
      <c r="H365" s="68">
        <f t="shared" si="80"/>
        <v>8298171.2823999999</v>
      </c>
      <c r="I365" s="68">
        <f t="shared" ref="I365:I386" si="81">G365-H365</f>
        <v>8298171.2823999999</v>
      </c>
      <c r="J365" s="81">
        <v>318211407.19999999</v>
      </c>
      <c r="K365" s="69">
        <f t="shared" si="71"/>
        <v>879720997.3124001</v>
      </c>
      <c r="L365" s="63"/>
      <c r="M365" s="165"/>
      <c r="N365" s="70">
        <v>11</v>
      </c>
      <c r="O365" s="165"/>
      <c r="P365" s="68" t="s">
        <v>838</v>
      </c>
      <c r="Q365" s="68">
        <v>496860346.82999998</v>
      </c>
      <c r="R365" s="71">
        <v>0</v>
      </c>
      <c r="S365" s="68">
        <v>14905810.404899999</v>
      </c>
      <c r="T365" s="68">
        <f t="shared" si="78"/>
        <v>7452905.2024499997</v>
      </c>
      <c r="U365" s="68">
        <f t="shared" si="76"/>
        <v>7452905.2024499997</v>
      </c>
      <c r="V365" s="68">
        <v>307007358.00999999</v>
      </c>
      <c r="W365" s="69">
        <f t="shared" si="72"/>
        <v>811320610.04244995</v>
      </c>
    </row>
    <row r="366" spans="1:23" ht="24.95" customHeight="1">
      <c r="A366" s="170"/>
      <c r="B366" s="165"/>
      <c r="C366" s="64">
        <v>3</v>
      </c>
      <c r="D366" s="68" t="s">
        <v>839</v>
      </c>
      <c r="E366" s="68">
        <v>457826627.39999998</v>
      </c>
      <c r="F366" s="68">
        <v>0</v>
      </c>
      <c r="G366" s="68">
        <v>13734798.822000001</v>
      </c>
      <c r="H366" s="68">
        <f t="shared" si="80"/>
        <v>6867399.4110000003</v>
      </c>
      <c r="I366" s="68">
        <f t="shared" si="81"/>
        <v>6867399.4110000003</v>
      </c>
      <c r="J366" s="81">
        <v>290026853.73000002</v>
      </c>
      <c r="K366" s="69">
        <f t="shared" si="71"/>
        <v>754720880.54100001</v>
      </c>
      <c r="L366" s="63"/>
      <c r="M366" s="165"/>
      <c r="N366" s="70">
        <v>12</v>
      </c>
      <c r="O366" s="165"/>
      <c r="P366" s="68" t="s">
        <v>840</v>
      </c>
      <c r="Q366" s="68">
        <v>393281027.88</v>
      </c>
      <c r="R366" s="71">
        <v>0</v>
      </c>
      <c r="S366" s="68">
        <v>11798430.8365</v>
      </c>
      <c r="T366" s="68">
        <f t="shared" si="78"/>
        <v>5899215.4182500001</v>
      </c>
      <c r="U366" s="68">
        <f t="shared" si="76"/>
        <v>5899215.4182500001</v>
      </c>
      <c r="V366" s="68">
        <v>276320320.14999998</v>
      </c>
      <c r="W366" s="69">
        <f t="shared" si="72"/>
        <v>675500563.44825006</v>
      </c>
    </row>
    <row r="367" spans="1:23" ht="24.95" customHeight="1">
      <c r="A367" s="170"/>
      <c r="B367" s="165"/>
      <c r="C367" s="64">
        <v>4</v>
      </c>
      <c r="D367" s="68" t="s">
        <v>841</v>
      </c>
      <c r="E367" s="68">
        <v>579526889.38</v>
      </c>
      <c r="F367" s="68">
        <v>0</v>
      </c>
      <c r="G367" s="68">
        <v>10575598.602</v>
      </c>
      <c r="H367" s="68">
        <f t="shared" si="80"/>
        <v>5287799.301</v>
      </c>
      <c r="I367" s="68">
        <f t="shared" si="81"/>
        <v>5287799.301</v>
      </c>
      <c r="J367" s="81">
        <v>339560544.23000002</v>
      </c>
      <c r="K367" s="69">
        <f t="shared" si="71"/>
        <v>924375232.91100001</v>
      </c>
      <c r="L367" s="63"/>
      <c r="M367" s="165"/>
      <c r="N367" s="70">
        <v>13</v>
      </c>
      <c r="O367" s="165"/>
      <c r="P367" s="68" t="s">
        <v>842</v>
      </c>
      <c r="Q367" s="68">
        <v>338019796.49000001</v>
      </c>
      <c r="R367" s="71">
        <v>0</v>
      </c>
      <c r="S367" s="68">
        <v>10140593.8946</v>
      </c>
      <c r="T367" s="68">
        <f t="shared" si="78"/>
        <v>5070296.9473000001</v>
      </c>
      <c r="U367" s="68">
        <f t="shared" si="76"/>
        <v>5070296.9473000001</v>
      </c>
      <c r="V367" s="68">
        <v>268370583.41</v>
      </c>
      <c r="W367" s="69">
        <f t="shared" si="72"/>
        <v>611460676.84730005</v>
      </c>
    </row>
    <row r="368" spans="1:23" ht="24.95" customHeight="1">
      <c r="A368" s="170"/>
      <c r="B368" s="165"/>
      <c r="C368" s="64">
        <v>5</v>
      </c>
      <c r="D368" s="68" t="s">
        <v>843</v>
      </c>
      <c r="E368" s="68">
        <v>388230739.67000002</v>
      </c>
      <c r="F368" s="68">
        <v>0</v>
      </c>
      <c r="G368" s="68">
        <v>17385806.681400001</v>
      </c>
      <c r="H368" s="68">
        <f t="shared" si="80"/>
        <v>8692903.3407000005</v>
      </c>
      <c r="I368" s="68">
        <f t="shared" si="81"/>
        <v>8692903.3407000005</v>
      </c>
      <c r="J368" s="81">
        <v>258164182.11000001</v>
      </c>
      <c r="K368" s="69">
        <f t="shared" si="71"/>
        <v>655087825.1207</v>
      </c>
      <c r="L368" s="63"/>
      <c r="M368" s="165"/>
      <c r="N368" s="70">
        <v>14</v>
      </c>
      <c r="O368" s="165"/>
      <c r="P368" s="68" t="s">
        <v>844</v>
      </c>
      <c r="Q368" s="68">
        <v>484165352</v>
      </c>
      <c r="R368" s="71">
        <v>0</v>
      </c>
      <c r="S368" s="68">
        <v>14524960.559900001</v>
      </c>
      <c r="T368" s="68">
        <f t="shared" si="78"/>
        <v>7262480.2799500003</v>
      </c>
      <c r="U368" s="68">
        <f t="shared" si="76"/>
        <v>7262480.2799500003</v>
      </c>
      <c r="V368" s="68">
        <v>312900682.94</v>
      </c>
      <c r="W368" s="69">
        <f t="shared" si="72"/>
        <v>804328515.21994996</v>
      </c>
    </row>
    <row r="369" spans="1:23" ht="24.95" customHeight="1">
      <c r="A369" s="170"/>
      <c r="B369" s="165"/>
      <c r="C369" s="64">
        <v>6</v>
      </c>
      <c r="D369" s="68" t="s">
        <v>845</v>
      </c>
      <c r="E369" s="68">
        <v>338536441.38999999</v>
      </c>
      <c r="F369" s="68">
        <v>0</v>
      </c>
      <c r="G369" s="68">
        <v>11646922.189999999</v>
      </c>
      <c r="H369" s="68">
        <f t="shared" si="80"/>
        <v>5823461.0949999997</v>
      </c>
      <c r="I369" s="68">
        <f t="shared" si="81"/>
        <v>5823461.0949999997</v>
      </c>
      <c r="J369" s="81">
        <v>244885686.43000001</v>
      </c>
      <c r="K369" s="69">
        <f t="shared" si="71"/>
        <v>589245588.91499996</v>
      </c>
      <c r="L369" s="63"/>
      <c r="M369" s="165"/>
      <c r="N369" s="70">
        <v>15</v>
      </c>
      <c r="O369" s="165"/>
      <c r="P369" s="68" t="s">
        <v>846</v>
      </c>
      <c r="Q369" s="68">
        <v>320959648.72000003</v>
      </c>
      <c r="R369" s="71">
        <v>0</v>
      </c>
      <c r="S369" s="68">
        <v>9628789.4616</v>
      </c>
      <c r="T369" s="68">
        <f t="shared" si="78"/>
        <v>4814394.7308</v>
      </c>
      <c r="U369" s="68">
        <f t="shared" si="76"/>
        <v>4814394.7308</v>
      </c>
      <c r="V369" s="68">
        <v>260496282.88</v>
      </c>
      <c r="W369" s="69">
        <f t="shared" si="72"/>
        <v>586270326.33080006</v>
      </c>
    </row>
    <row r="370" spans="1:23" ht="24.95" customHeight="1">
      <c r="A370" s="170"/>
      <c r="B370" s="165"/>
      <c r="C370" s="64">
        <v>7</v>
      </c>
      <c r="D370" s="68" t="s">
        <v>847</v>
      </c>
      <c r="E370" s="68">
        <v>451077611.61000001</v>
      </c>
      <c r="F370" s="68">
        <v>0</v>
      </c>
      <c r="G370" s="68">
        <v>10156093.241599999</v>
      </c>
      <c r="H370" s="68">
        <f t="shared" si="80"/>
        <v>5078046.6207999997</v>
      </c>
      <c r="I370" s="68">
        <f t="shared" si="81"/>
        <v>5078046.6207999997</v>
      </c>
      <c r="J370" s="81">
        <v>287377285.94</v>
      </c>
      <c r="K370" s="69">
        <f t="shared" si="71"/>
        <v>743532944.17079997</v>
      </c>
      <c r="L370" s="63"/>
      <c r="M370" s="166"/>
      <c r="N370" s="70">
        <v>16</v>
      </c>
      <c r="O370" s="166"/>
      <c r="P370" s="68" t="s">
        <v>848</v>
      </c>
      <c r="Q370" s="68">
        <v>348176923.63</v>
      </c>
      <c r="R370" s="71">
        <v>0</v>
      </c>
      <c r="S370" s="68">
        <v>10445307.708900001</v>
      </c>
      <c r="T370" s="68">
        <f t="shared" si="78"/>
        <v>5222653.8544500005</v>
      </c>
      <c r="U370" s="68">
        <f t="shared" si="76"/>
        <v>5222653.8544500005</v>
      </c>
      <c r="V370" s="68">
        <v>273569481.81999999</v>
      </c>
      <c r="W370" s="69">
        <f t="shared" si="72"/>
        <v>626969059.30445004</v>
      </c>
    </row>
    <row r="371" spans="1:23" ht="24.95" customHeight="1">
      <c r="A371" s="170"/>
      <c r="B371" s="165"/>
      <c r="C371" s="64">
        <v>8</v>
      </c>
      <c r="D371" s="68" t="s">
        <v>849</v>
      </c>
      <c r="E371" s="68">
        <v>497585527.72000003</v>
      </c>
      <c r="F371" s="68">
        <v>0</v>
      </c>
      <c r="G371" s="68">
        <v>13532328.348200001</v>
      </c>
      <c r="H371" s="68">
        <f t="shared" si="80"/>
        <v>6766164.1741000004</v>
      </c>
      <c r="I371" s="68">
        <f t="shared" si="81"/>
        <v>6766164.1741000004</v>
      </c>
      <c r="J371" s="81">
        <v>275506932.89999998</v>
      </c>
      <c r="K371" s="69">
        <f t="shared" si="71"/>
        <v>779858624.79410005</v>
      </c>
      <c r="L371" s="63"/>
      <c r="M371" s="64"/>
      <c r="N371" s="177" t="s">
        <v>850</v>
      </c>
      <c r="O371" s="178"/>
      <c r="P371" s="72"/>
      <c r="Q371" s="72">
        <f t="shared" ref="Q371:T371" si="82">SUM(Q355:Q370)</f>
        <v>6446240239.9700003</v>
      </c>
      <c r="R371" s="71">
        <v>0</v>
      </c>
      <c r="S371" s="72">
        <f t="shared" si="82"/>
        <v>193387207.1992</v>
      </c>
      <c r="T371" s="72">
        <f t="shared" si="82"/>
        <v>96693603.599600002</v>
      </c>
      <c r="U371" s="72">
        <f t="shared" si="76"/>
        <v>96693603.599600002</v>
      </c>
      <c r="V371" s="72">
        <f>SUM(V355:V370)</f>
        <v>4467679254.7199993</v>
      </c>
      <c r="W371" s="72">
        <f>SUM(W355:W370)</f>
        <v>11010613098.2896</v>
      </c>
    </row>
    <row r="372" spans="1:23" ht="24.95" customHeight="1">
      <c r="A372" s="170"/>
      <c r="B372" s="165"/>
      <c r="C372" s="64">
        <v>9</v>
      </c>
      <c r="D372" s="68" t="s">
        <v>851</v>
      </c>
      <c r="E372" s="68">
        <v>470069492.29000002</v>
      </c>
      <c r="F372" s="68">
        <v>0</v>
      </c>
      <c r="G372" s="68">
        <v>14927565.831599999</v>
      </c>
      <c r="H372" s="68">
        <f t="shared" si="80"/>
        <v>7463782.9157999996</v>
      </c>
      <c r="I372" s="68">
        <f t="shared" si="81"/>
        <v>7463782.9157999996</v>
      </c>
      <c r="J372" s="81">
        <v>314575312.87</v>
      </c>
      <c r="K372" s="69">
        <f t="shared" si="71"/>
        <v>792108588.07579994</v>
      </c>
      <c r="L372" s="63"/>
      <c r="M372" s="164">
        <v>35</v>
      </c>
      <c r="N372" s="70">
        <v>1</v>
      </c>
      <c r="O372" s="66"/>
      <c r="P372" s="68" t="s">
        <v>852</v>
      </c>
      <c r="Q372" s="68">
        <v>359820145.88999999</v>
      </c>
      <c r="R372" s="71">
        <v>0</v>
      </c>
      <c r="S372" s="68">
        <v>10794604.376700001</v>
      </c>
      <c r="T372" s="68">
        <v>0</v>
      </c>
      <c r="U372" s="68">
        <f t="shared" si="76"/>
        <v>10794604.376700001</v>
      </c>
      <c r="V372" s="68">
        <v>221386821.80000001</v>
      </c>
      <c r="W372" s="69">
        <f t="shared" si="72"/>
        <v>592001572.06669998</v>
      </c>
    </row>
    <row r="373" spans="1:23" ht="24.95" customHeight="1">
      <c r="A373" s="170"/>
      <c r="B373" s="165"/>
      <c r="C373" s="64">
        <v>10</v>
      </c>
      <c r="D373" s="68" t="s">
        <v>853</v>
      </c>
      <c r="E373" s="68">
        <v>501872715.00999999</v>
      </c>
      <c r="F373" s="68">
        <v>0</v>
      </c>
      <c r="G373" s="68">
        <v>14102084.7686</v>
      </c>
      <c r="H373" s="68">
        <f t="shared" si="80"/>
        <v>7051042.3843</v>
      </c>
      <c r="I373" s="68">
        <f t="shared" si="81"/>
        <v>7051042.3843</v>
      </c>
      <c r="J373" s="81">
        <v>329971189.36000001</v>
      </c>
      <c r="K373" s="69">
        <f t="shared" si="71"/>
        <v>838894946.7543</v>
      </c>
      <c r="L373" s="63"/>
      <c r="M373" s="165"/>
      <c r="N373" s="70">
        <v>2</v>
      </c>
      <c r="O373" s="164" t="s">
        <v>109</v>
      </c>
      <c r="P373" s="68" t="s">
        <v>854</v>
      </c>
      <c r="Q373" s="68">
        <v>398176614.81999999</v>
      </c>
      <c r="R373" s="71">
        <v>0</v>
      </c>
      <c r="S373" s="68">
        <v>11945298.444499999</v>
      </c>
      <c r="T373" s="68">
        <v>0</v>
      </c>
      <c r="U373" s="68">
        <f t="shared" si="76"/>
        <v>11945298.444499999</v>
      </c>
      <c r="V373" s="68">
        <v>210826440.97</v>
      </c>
      <c r="W373" s="69">
        <f t="shared" si="72"/>
        <v>620948354.23450005</v>
      </c>
    </row>
    <row r="374" spans="1:23" ht="24.95" customHeight="1">
      <c r="A374" s="170"/>
      <c r="B374" s="165"/>
      <c r="C374" s="64">
        <v>11</v>
      </c>
      <c r="D374" s="68" t="s">
        <v>855</v>
      </c>
      <c r="E374" s="68">
        <v>433705384.16000003</v>
      </c>
      <c r="F374" s="68">
        <v>0</v>
      </c>
      <c r="G374" s="68">
        <v>15056181.450300001</v>
      </c>
      <c r="H374" s="68">
        <f t="shared" si="80"/>
        <v>7528090.7251500003</v>
      </c>
      <c r="I374" s="68">
        <f t="shared" si="81"/>
        <v>7528090.7251500003</v>
      </c>
      <c r="J374" s="81">
        <v>274359544.66000003</v>
      </c>
      <c r="K374" s="69">
        <f t="shared" si="71"/>
        <v>715593019.54515004</v>
      </c>
      <c r="L374" s="63"/>
      <c r="M374" s="165"/>
      <c r="N374" s="70">
        <v>3</v>
      </c>
      <c r="O374" s="165"/>
      <c r="P374" s="68" t="s">
        <v>856</v>
      </c>
      <c r="Q374" s="68">
        <v>333389259.27999997</v>
      </c>
      <c r="R374" s="71">
        <v>0</v>
      </c>
      <c r="S374" s="68">
        <v>10001677.7784</v>
      </c>
      <c r="T374" s="68">
        <v>0</v>
      </c>
      <c r="U374" s="68">
        <f t="shared" si="76"/>
        <v>10001677.7784</v>
      </c>
      <c r="V374" s="68">
        <v>203554941.22999999</v>
      </c>
      <c r="W374" s="69">
        <f t="shared" si="72"/>
        <v>546945878.28839993</v>
      </c>
    </row>
    <row r="375" spans="1:23" ht="24.95" customHeight="1">
      <c r="A375" s="170"/>
      <c r="B375" s="165"/>
      <c r="C375" s="64">
        <v>12</v>
      </c>
      <c r="D375" s="68" t="s">
        <v>857</v>
      </c>
      <c r="E375" s="68">
        <v>352519953.39999998</v>
      </c>
      <c r="F375" s="68">
        <v>0</v>
      </c>
      <c r="G375" s="68">
        <v>13011161.524700001</v>
      </c>
      <c r="H375" s="68">
        <f t="shared" si="80"/>
        <v>6505580.7623500004</v>
      </c>
      <c r="I375" s="68">
        <f t="shared" si="81"/>
        <v>6505580.7623500004</v>
      </c>
      <c r="J375" s="81">
        <v>229554223.52000001</v>
      </c>
      <c r="K375" s="69">
        <f t="shared" si="71"/>
        <v>588579757.68235004</v>
      </c>
      <c r="L375" s="63"/>
      <c r="M375" s="165"/>
      <c r="N375" s="70">
        <v>4</v>
      </c>
      <c r="O375" s="165"/>
      <c r="P375" s="68" t="s">
        <v>858</v>
      </c>
      <c r="Q375" s="68">
        <v>373274422.82999998</v>
      </c>
      <c r="R375" s="71">
        <v>0</v>
      </c>
      <c r="S375" s="68">
        <v>11198232.685000001</v>
      </c>
      <c r="T375" s="68">
        <v>0</v>
      </c>
      <c r="U375" s="68">
        <f t="shared" si="76"/>
        <v>11198232.685000001</v>
      </c>
      <c r="V375" s="68">
        <v>220392372.72999999</v>
      </c>
      <c r="W375" s="69">
        <f t="shared" si="72"/>
        <v>604865028.245</v>
      </c>
    </row>
    <row r="376" spans="1:23" ht="24.95" customHeight="1">
      <c r="A376" s="170"/>
      <c r="B376" s="165"/>
      <c r="C376" s="64">
        <v>13</v>
      </c>
      <c r="D376" s="68" t="s">
        <v>859</v>
      </c>
      <c r="E376" s="68">
        <v>375748335.25</v>
      </c>
      <c r="F376" s="68">
        <v>0</v>
      </c>
      <c r="G376" s="68">
        <v>11272450.057499999</v>
      </c>
      <c r="H376" s="68">
        <f t="shared" si="80"/>
        <v>5636225.0287499996</v>
      </c>
      <c r="I376" s="68">
        <f t="shared" si="81"/>
        <v>5636225.0287499996</v>
      </c>
      <c r="J376" s="81">
        <v>268033925.46000001</v>
      </c>
      <c r="K376" s="69">
        <f t="shared" si="71"/>
        <v>649418485.73874998</v>
      </c>
      <c r="L376" s="63"/>
      <c r="M376" s="165"/>
      <c r="N376" s="70">
        <v>5</v>
      </c>
      <c r="O376" s="165"/>
      <c r="P376" s="68" t="s">
        <v>860</v>
      </c>
      <c r="Q376" s="68">
        <v>523545933.68000001</v>
      </c>
      <c r="R376" s="71">
        <v>0</v>
      </c>
      <c r="S376" s="68">
        <v>15706378.010299999</v>
      </c>
      <c r="T376" s="68">
        <v>0</v>
      </c>
      <c r="U376" s="68">
        <f t="shared" si="76"/>
        <v>15706378.010299999</v>
      </c>
      <c r="V376" s="68">
        <v>276836915.88</v>
      </c>
      <c r="W376" s="69">
        <f t="shared" si="72"/>
        <v>816089227.57029998</v>
      </c>
    </row>
    <row r="377" spans="1:23" ht="24.95" customHeight="1">
      <c r="A377" s="170"/>
      <c r="B377" s="165"/>
      <c r="C377" s="64">
        <v>14</v>
      </c>
      <c r="D377" s="68" t="s">
        <v>861</v>
      </c>
      <c r="E377" s="68">
        <v>386897453.13999999</v>
      </c>
      <c r="F377" s="68">
        <v>0</v>
      </c>
      <c r="G377" s="68">
        <v>11606923.5942</v>
      </c>
      <c r="H377" s="68">
        <f t="shared" si="80"/>
        <v>5803461.7971000001</v>
      </c>
      <c r="I377" s="68">
        <f t="shared" si="81"/>
        <v>5803461.7971000001</v>
      </c>
      <c r="J377" s="81">
        <v>249925445.44999999</v>
      </c>
      <c r="K377" s="69">
        <f t="shared" si="71"/>
        <v>642626360.38709998</v>
      </c>
      <c r="L377" s="63"/>
      <c r="M377" s="165"/>
      <c r="N377" s="70">
        <v>6</v>
      </c>
      <c r="O377" s="165"/>
      <c r="P377" s="68" t="s">
        <v>862</v>
      </c>
      <c r="Q377" s="68">
        <v>433884358.81</v>
      </c>
      <c r="R377" s="71">
        <v>0</v>
      </c>
      <c r="S377" s="68">
        <v>13016530.7644</v>
      </c>
      <c r="T377" s="68">
        <v>0</v>
      </c>
      <c r="U377" s="68">
        <f t="shared" si="76"/>
        <v>13016530.7644</v>
      </c>
      <c r="V377" s="68">
        <v>227419307.59</v>
      </c>
      <c r="W377" s="69">
        <f t="shared" si="72"/>
        <v>674320197.16439998</v>
      </c>
    </row>
    <row r="378" spans="1:23" ht="24.95" customHeight="1">
      <c r="A378" s="170"/>
      <c r="B378" s="165"/>
      <c r="C378" s="64">
        <v>15</v>
      </c>
      <c r="D378" s="68" t="s">
        <v>863</v>
      </c>
      <c r="E378" s="68">
        <v>447871676.91000003</v>
      </c>
      <c r="F378" s="68">
        <v>0</v>
      </c>
      <c r="G378" s="68">
        <v>13436150.307399999</v>
      </c>
      <c r="H378" s="68">
        <f t="shared" si="80"/>
        <v>6718075.1536999997</v>
      </c>
      <c r="I378" s="68">
        <f t="shared" si="81"/>
        <v>6718075.1536999997</v>
      </c>
      <c r="J378" s="81">
        <v>288517440.56999999</v>
      </c>
      <c r="K378" s="69">
        <f t="shared" si="71"/>
        <v>743107192.63370001</v>
      </c>
      <c r="L378" s="63"/>
      <c r="M378" s="165"/>
      <c r="N378" s="70">
        <v>7</v>
      </c>
      <c r="O378" s="165"/>
      <c r="P378" s="68" t="s">
        <v>864</v>
      </c>
      <c r="Q378" s="68">
        <v>399464389.57999998</v>
      </c>
      <c r="R378" s="71">
        <v>0</v>
      </c>
      <c r="S378" s="68">
        <v>11983931.6874</v>
      </c>
      <c r="T378" s="68">
        <v>0</v>
      </c>
      <c r="U378" s="68">
        <f t="shared" si="76"/>
        <v>11983931.6874</v>
      </c>
      <c r="V378" s="68">
        <v>218047649.91</v>
      </c>
      <c r="W378" s="69">
        <f t="shared" si="72"/>
        <v>629495971.17739999</v>
      </c>
    </row>
    <row r="379" spans="1:23" ht="24.95" customHeight="1">
      <c r="A379" s="170"/>
      <c r="B379" s="165"/>
      <c r="C379" s="64">
        <v>16</v>
      </c>
      <c r="D379" s="68" t="s">
        <v>865</v>
      </c>
      <c r="E379" s="68">
        <v>347384300.37</v>
      </c>
      <c r="F379" s="68">
        <v>0</v>
      </c>
      <c r="G379" s="68">
        <v>10421529.011</v>
      </c>
      <c r="H379" s="68">
        <f t="shared" si="80"/>
        <v>5210764.5055</v>
      </c>
      <c r="I379" s="68">
        <f t="shared" si="81"/>
        <v>5210764.5055</v>
      </c>
      <c r="J379" s="81">
        <v>239241748.81</v>
      </c>
      <c r="K379" s="69">
        <f t="shared" si="71"/>
        <v>591836813.68550003</v>
      </c>
      <c r="L379" s="63"/>
      <c r="M379" s="165"/>
      <c r="N379" s="70">
        <v>8</v>
      </c>
      <c r="O379" s="165"/>
      <c r="P379" s="68" t="s">
        <v>866</v>
      </c>
      <c r="Q379" s="68">
        <v>347052619.04000002</v>
      </c>
      <c r="R379" s="71">
        <v>0</v>
      </c>
      <c r="S379" s="68">
        <v>10411578.5711</v>
      </c>
      <c r="T379" s="68">
        <v>0</v>
      </c>
      <c r="U379" s="68">
        <f t="shared" si="76"/>
        <v>10411578.5711</v>
      </c>
      <c r="V379" s="68">
        <v>208892656.06</v>
      </c>
      <c r="W379" s="69">
        <f t="shared" si="72"/>
        <v>566356853.67110002</v>
      </c>
    </row>
    <row r="380" spans="1:23" ht="24.95" customHeight="1">
      <c r="A380" s="170"/>
      <c r="B380" s="165"/>
      <c r="C380" s="64">
        <v>17</v>
      </c>
      <c r="D380" s="68" t="s">
        <v>867</v>
      </c>
      <c r="E380" s="68">
        <v>483358519.31</v>
      </c>
      <c r="F380" s="68">
        <v>0</v>
      </c>
      <c r="G380" s="68">
        <v>14500755.579399999</v>
      </c>
      <c r="H380" s="68">
        <f t="shared" si="80"/>
        <v>7250377.7896999996</v>
      </c>
      <c r="I380" s="68">
        <f t="shared" si="81"/>
        <v>7250377.7896999996</v>
      </c>
      <c r="J380" s="81">
        <v>305435819.61000001</v>
      </c>
      <c r="K380" s="69">
        <f t="shared" si="71"/>
        <v>796044716.70969999</v>
      </c>
      <c r="L380" s="63"/>
      <c r="M380" s="165"/>
      <c r="N380" s="70">
        <v>9</v>
      </c>
      <c r="O380" s="165"/>
      <c r="P380" s="68" t="s">
        <v>868</v>
      </c>
      <c r="Q380" s="68">
        <v>457706873.07999998</v>
      </c>
      <c r="R380" s="71">
        <v>0</v>
      </c>
      <c r="S380" s="68">
        <v>13731206.192399999</v>
      </c>
      <c r="T380" s="68">
        <v>0</v>
      </c>
      <c r="U380" s="68">
        <f t="shared" si="76"/>
        <v>13731206.192399999</v>
      </c>
      <c r="V380" s="68">
        <v>252147229.13</v>
      </c>
      <c r="W380" s="69">
        <f t="shared" si="72"/>
        <v>723585308.40240002</v>
      </c>
    </row>
    <row r="381" spans="1:23" ht="24.95" customHeight="1">
      <c r="A381" s="170"/>
      <c r="B381" s="165"/>
      <c r="C381" s="64">
        <v>18</v>
      </c>
      <c r="D381" s="68" t="s">
        <v>869</v>
      </c>
      <c r="E381" s="68">
        <v>325113764.5</v>
      </c>
      <c r="F381" s="68">
        <v>0</v>
      </c>
      <c r="G381" s="68">
        <v>9753412.9350000005</v>
      </c>
      <c r="H381" s="68">
        <f t="shared" si="80"/>
        <v>4876706.4675000003</v>
      </c>
      <c r="I381" s="68">
        <f t="shared" si="81"/>
        <v>4876706.4675000003</v>
      </c>
      <c r="J381" s="81">
        <v>241744922.12</v>
      </c>
      <c r="K381" s="69">
        <f t="shared" si="71"/>
        <v>571735393.08749998</v>
      </c>
      <c r="L381" s="63"/>
      <c r="M381" s="165"/>
      <c r="N381" s="70">
        <v>10</v>
      </c>
      <c r="O381" s="165"/>
      <c r="P381" s="68" t="s">
        <v>870</v>
      </c>
      <c r="Q381" s="68">
        <v>322799873.72000003</v>
      </c>
      <c r="R381" s="71">
        <v>0</v>
      </c>
      <c r="S381" s="68">
        <v>9683996.2116</v>
      </c>
      <c r="T381" s="68">
        <v>0</v>
      </c>
      <c r="U381" s="68">
        <f t="shared" si="76"/>
        <v>9683996.2116</v>
      </c>
      <c r="V381" s="68">
        <v>210092057.38999999</v>
      </c>
      <c r="W381" s="69">
        <f t="shared" si="72"/>
        <v>542575927.32159996</v>
      </c>
    </row>
    <row r="382" spans="1:23" ht="24.95" customHeight="1">
      <c r="A382" s="170"/>
      <c r="B382" s="165"/>
      <c r="C382" s="64">
        <v>19</v>
      </c>
      <c r="D382" s="68" t="s">
        <v>871</v>
      </c>
      <c r="E382" s="68">
        <v>428987197.57999998</v>
      </c>
      <c r="F382" s="68">
        <v>0</v>
      </c>
      <c r="G382" s="68">
        <v>12869615.9275</v>
      </c>
      <c r="H382" s="68">
        <f t="shared" si="80"/>
        <v>6434807.9637500001</v>
      </c>
      <c r="I382" s="68">
        <f t="shared" si="81"/>
        <v>6434807.9637500001</v>
      </c>
      <c r="J382" s="81">
        <v>290179792.89999998</v>
      </c>
      <c r="K382" s="69">
        <f t="shared" si="71"/>
        <v>725601798.4437499</v>
      </c>
      <c r="L382" s="63"/>
      <c r="M382" s="165"/>
      <c r="N382" s="70">
        <v>11</v>
      </c>
      <c r="O382" s="165"/>
      <c r="P382" s="68" t="s">
        <v>872</v>
      </c>
      <c r="Q382" s="68">
        <v>309190956.06</v>
      </c>
      <c r="R382" s="71">
        <v>0</v>
      </c>
      <c r="S382" s="68">
        <v>9275728.6817000005</v>
      </c>
      <c r="T382" s="68">
        <v>0</v>
      </c>
      <c r="U382" s="68">
        <f t="shared" si="76"/>
        <v>9275728.6817000005</v>
      </c>
      <c r="V382" s="68">
        <v>194458505.16</v>
      </c>
      <c r="W382" s="69">
        <f t="shared" si="72"/>
        <v>512925189.90170002</v>
      </c>
    </row>
    <row r="383" spans="1:23" ht="24.95" customHeight="1">
      <c r="A383" s="170"/>
      <c r="B383" s="165"/>
      <c r="C383" s="64">
        <v>20</v>
      </c>
      <c r="D383" s="68" t="s">
        <v>873</v>
      </c>
      <c r="E383" s="68">
        <v>359674477.27999997</v>
      </c>
      <c r="F383" s="68">
        <v>0</v>
      </c>
      <c r="G383" s="68">
        <v>10790234.318299999</v>
      </c>
      <c r="H383" s="68">
        <f t="shared" si="80"/>
        <v>5395117.1591499997</v>
      </c>
      <c r="I383" s="68">
        <f t="shared" si="81"/>
        <v>5395117.1591499997</v>
      </c>
      <c r="J383" s="81">
        <v>242803784.75</v>
      </c>
      <c r="K383" s="69">
        <f t="shared" si="71"/>
        <v>607873379.18914998</v>
      </c>
      <c r="L383" s="63"/>
      <c r="M383" s="165"/>
      <c r="N383" s="70">
        <v>12</v>
      </c>
      <c r="O383" s="165"/>
      <c r="P383" s="68" t="s">
        <v>874</v>
      </c>
      <c r="Q383" s="68">
        <v>331499988.42000002</v>
      </c>
      <c r="R383" s="71">
        <v>0</v>
      </c>
      <c r="S383" s="68">
        <v>9944999.6526999995</v>
      </c>
      <c r="T383" s="68">
        <v>0</v>
      </c>
      <c r="U383" s="68">
        <f t="shared" ref="U383:U411" si="83">S383-T383</f>
        <v>9944999.6526999995</v>
      </c>
      <c r="V383" s="68">
        <v>203489149.83000001</v>
      </c>
      <c r="W383" s="69">
        <f t="shared" si="72"/>
        <v>544934137.90270007</v>
      </c>
    </row>
    <row r="384" spans="1:23" ht="24.95" customHeight="1">
      <c r="A384" s="170"/>
      <c r="B384" s="165"/>
      <c r="C384" s="64">
        <v>21</v>
      </c>
      <c r="D384" s="68" t="s">
        <v>875</v>
      </c>
      <c r="E384" s="68">
        <v>458453750.31999999</v>
      </c>
      <c r="F384" s="68">
        <v>0</v>
      </c>
      <c r="G384" s="68">
        <v>13753612.5097</v>
      </c>
      <c r="H384" s="68">
        <f t="shared" si="80"/>
        <v>6876806.2548500001</v>
      </c>
      <c r="I384" s="68">
        <f t="shared" si="81"/>
        <v>6876806.2548500001</v>
      </c>
      <c r="J384" s="81">
        <v>292383977.02999997</v>
      </c>
      <c r="K384" s="69">
        <f t="shared" si="71"/>
        <v>757714533.60484993</v>
      </c>
      <c r="L384" s="63"/>
      <c r="M384" s="165"/>
      <c r="N384" s="70">
        <v>13</v>
      </c>
      <c r="O384" s="165"/>
      <c r="P384" s="68" t="s">
        <v>876</v>
      </c>
      <c r="Q384" s="68">
        <v>360545444.95999998</v>
      </c>
      <c r="R384" s="71">
        <v>0</v>
      </c>
      <c r="S384" s="68">
        <v>10816363.3487</v>
      </c>
      <c r="T384" s="68">
        <v>0</v>
      </c>
      <c r="U384" s="68">
        <f t="shared" si="83"/>
        <v>10816363.3487</v>
      </c>
      <c r="V384" s="68">
        <v>225124186.66</v>
      </c>
      <c r="W384" s="69">
        <f t="shared" si="72"/>
        <v>596485994.96869993</v>
      </c>
    </row>
    <row r="385" spans="1:23" ht="24.95" customHeight="1">
      <c r="A385" s="170"/>
      <c r="B385" s="165"/>
      <c r="C385" s="64">
        <v>22</v>
      </c>
      <c r="D385" s="68" t="s">
        <v>877</v>
      </c>
      <c r="E385" s="68">
        <v>512917319.74000001</v>
      </c>
      <c r="F385" s="68">
        <v>0</v>
      </c>
      <c r="G385" s="68">
        <v>15387519.5923</v>
      </c>
      <c r="H385" s="68">
        <f t="shared" si="80"/>
        <v>7693759.7961499998</v>
      </c>
      <c r="I385" s="68">
        <f t="shared" si="81"/>
        <v>7693759.7961499998</v>
      </c>
      <c r="J385" s="81">
        <v>300340947.38</v>
      </c>
      <c r="K385" s="69">
        <f t="shared" si="71"/>
        <v>820952026.91615009</v>
      </c>
      <c r="L385" s="63"/>
      <c r="M385" s="165"/>
      <c r="N385" s="70">
        <v>14</v>
      </c>
      <c r="O385" s="165"/>
      <c r="P385" s="68" t="s">
        <v>878</v>
      </c>
      <c r="Q385" s="68">
        <v>396739247.00999999</v>
      </c>
      <c r="R385" s="71">
        <v>0</v>
      </c>
      <c r="S385" s="68">
        <v>11902177.410399999</v>
      </c>
      <c r="T385" s="68">
        <v>0</v>
      </c>
      <c r="U385" s="68">
        <f t="shared" si="83"/>
        <v>11902177.410399999</v>
      </c>
      <c r="V385" s="68">
        <v>244153401.81999999</v>
      </c>
      <c r="W385" s="69">
        <f t="shared" si="72"/>
        <v>652794826.24039996</v>
      </c>
    </row>
    <row r="386" spans="1:23" ht="24.95" customHeight="1">
      <c r="A386" s="170"/>
      <c r="B386" s="166"/>
      <c r="C386" s="64">
        <v>23</v>
      </c>
      <c r="D386" s="68" t="s">
        <v>879</v>
      </c>
      <c r="E386" s="68">
        <v>523732898.24000001</v>
      </c>
      <c r="F386" s="68">
        <v>0</v>
      </c>
      <c r="G386" s="68">
        <v>15711986.9472</v>
      </c>
      <c r="H386" s="68">
        <f t="shared" si="80"/>
        <v>7855993.4736000001</v>
      </c>
      <c r="I386" s="68">
        <f t="shared" si="81"/>
        <v>7855993.4736000001</v>
      </c>
      <c r="J386" s="81">
        <v>331971799.05000001</v>
      </c>
      <c r="K386" s="69">
        <f t="shared" si="71"/>
        <v>863560690.76360011</v>
      </c>
      <c r="L386" s="63"/>
      <c r="M386" s="165"/>
      <c r="N386" s="70">
        <v>15</v>
      </c>
      <c r="O386" s="165"/>
      <c r="P386" s="68" t="s">
        <v>880</v>
      </c>
      <c r="Q386" s="68">
        <v>367971683.57999998</v>
      </c>
      <c r="R386" s="71">
        <v>0</v>
      </c>
      <c r="S386" s="68">
        <v>11039150.5074</v>
      </c>
      <c r="T386" s="68">
        <v>0</v>
      </c>
      <c r="U386" s="68">
        <f t="shared" si="83"/>
        <v>11039150.5074</v>
      </c>
      <c r="V386" s="68">
        <v>199831354.66999999</v>
      </c>
      <c r="W386" s="69">
        <f t="shared" si="72"/>
        <v>578842188.75739992</v>
      </c>
    </row>
    <row r="387" spans="1:23" ht="24.95" customHeight="1">
      <c r="A387" s="64"/>
      <c r="B387" s="179" t="s">
        <v>881</v>
      </c>
      <c r="C387" s="177"/>
      <c r="D387" s="72"/>
      <c r="E387" s="72">
        <f t="shared" ref="E387:K387" si="84">SUM(E364:E386)</f>
        <v>10218359425.68</v>
      </c>
      <c r="F387" s="68">
        <v>0</v>
      </c>
      <c r="G387" s="72">
        <f t="shared" si="84"/>
        <v>306550782.77020001</v>
      </c>
      <c r="H387" s="72">
        <f t="shared" si="84"/>
        <v>153275391.38510001</v>
      </c>
      <c r="I387" s="72">
        <f t="shared" si="84"/>
        <v>153275391.38510001</v>
      </c>
      <c r="J387" s="72">
        <f t="shared" si="84"/>
        <v>6491066016.4299994</v>
      </c>
      <c r="K387" s="72">
        <f t="shared" si="84"/>
        <v>16862700833.495098</v>
      </c>
      <c r="L387" s="84"/>
      <c r="M387" s="165"/>
      <c r="N387" s="70">
        <v>16</v>
      </c>
      <c r="O387" s="165"/>
      <c r="P387" s="68" t="s">
        <v>882</v>
      </c>
      <c r="Q387" s="68">
        <v>383489562.13</v>
      </c>
      <c r="R387" s="71">
        <v>0</v>
      </c>
      <c r="S387" s="68">
        <v>11504686.8639</v>
      </c>
      <c r="T387" s="68">
        <v>0</v>
      </c>
      <c r="U387" s="68">
        <f t="shared" si="83"/>
        <v>11504686.8639</v>
      </c>
      <c r="V387" s="68">
        <v>216577849.33000001</v>
      </c>
      <c r="W387" s="69">
        <f t="shared" si="72"/>
        <v>611572098.32389998</v>
      </c>
    </row>
    <row r="388" spans="1:23" ht="24.95" customHeight="1">
      <c r="A388" s="170">
        <v>19</v>
      </c>
      <c r="B388" s="164" t="s">
        <v>93</v>
      </c>
      <c r="C388" s="64">
        <v>1</v>
      </c>
      <c r="D388" s="68" t="s">
        <v>883</v>
      </c>
      <c r="E388" s="68">
        <v>336089938.63999999</v>
      </c>
      <c r="F388" s="68">
        <v>0</v>
      </c>
      <c r="G388" s="68">
        <v>10082698.1592</v>
      </c>
      <c r="H388" s="68">
        <v>0</v>
      </c>
      <c r="I388" s="68">
        <f t="shared" ref="I388:I412" si="85">G388-H388</f>
        <v>10082698.1592</v>
      </c>
      <c r="J388" s="81">
        <v>231613522.18000001</v>
      </c>
      <c r="K388" s="69">
        <f t="shared" si="71"/>
        <v>577786158.97920001</v>
      </c>
      <c r="L388" s="63"/>
      <c r="M388" s="166"/>
      <c r="N388" s="70">
        <v>17</v>
      </c>
      <c r="O388" s="166"/>
      <c r="P388" s="68" t="s">
        <v>884</v>
      </c>
      <c r="Q388" s="68">
        <v>382578256.76999998</v>
      </c>
      <c r="R388" s="71">
        <v>0</v>
      </c>
      <c r="S388" s="68">
        <v>11477347.7031</v>
      </c>
      <c r="T388" s="68">
        <v>0</v>
      </c>
      <c r="U388" s="68">
        <f t="shared" si="83"/>
        <v>11477347.7031</v>
      </c>
      <c r="V388" s="68">
        <v>211502266.77000001</v>
      </c>
      <c r="W388" s="69">
        <f t="shared" si="72"/>
        <v>605557871.24310005</v>
      </c>
    </row>
    <row r="389" spans="1:23" ht="24.95" customHeight="1">
      <c r="A389" s="170"/>
      <c r="B389" s="165"/>
      <c r="C389" s="64">
        <v>2</v>
      </c>
      <c r="D389" s="68" t="s">
        <v>885</v>
      </c>
      <c r="E389" s="68">
        <v>344244423.24000001</v>
      </c>
      <c r="F389" s="68">
        <v>0</v>
      </c>
      <c r="G389" s="68">
        <v>10327332.6972</v>
      </c>
      <c r="H389" s="68">
        <v>0</v>
      </c>
      <c r="I389" s="68">
        <f t="shared" si="85"/>
        <v>10327332.6972</v>
      </c>
      <c r="J389" s="81">
        <v>237130354.96000001</v>
      </c>
      <c r="K389" s="69">
        <f t="shared" si="71"/>
        <v>591702110.89719999</v>
      </c>
      <c r="L389" s="63"/>
      <c r="M389" s="64"/>
      <c r="N389" s="177" t="s">
        <v>886</v>
      </c>
      <c r="O389" s="178"/>
      <c r="P389" s="72"/>
      <c r="Q389" s="72">
        <f t="shared" ref="Q389:T389" si="86">SUM(Q372:Q388)</f>
        <v>6481129629.6599998</v>
      </c>
      <c r="R389" s="71">
        <v>0</v>
      </c>
      <c r="S389" s="72">
        <f t="shared" si="86"/>
        <v>194433888.8897</v>
      </c>
      <c r="T389" s="72">
        <f t="shared" si="86"/>
        <v>0</v>
      </c>
      <c r="U389" s="72">
        <f t="shared" si="83"/>
        <v>194433888.8897</v>
      </c>
      <c r="V389" s="72">
        <f>SUM(V372:V388)</f>
        <v>3744733106.9299998</v>
      </c>
      <c r="W389" s="72">
        <f>SUM(W372:W388)</f>
        <v>10420296625.4797</v>
      </c>
    </row>
    <row r="390" spans="1:23" ht="24.95" customHeight="1">
      <c r="A390" s="170"/>
      <c r="B390" s="165"/>
      <c r="C390" s="64">
        <v>3</v>
      </c>
      <c r="D390" s="68" t="s">
        <v>887</v>
      </c>
      <c r="E390" s="68">
        <v>313883092.5</v>
      </c>
      <c r="F390" s="68">
        <v>0</v>
      </c>
      <c r="G390" s="68">
        <v>9416492.7751000002</v>
      </c>
      <c r="H390" s="68">
        <v>0</v>
      </c>
      <c r="I390" s="68">
        <f t="shared" si="85"/>
        <v>9416492.7751000002</v>
      </c>
      <c r="J390" s="81">
        <v>227724595.97999999</v>
      </c>
      <c r="K390" s="69">
        <f t="shared" si="71"/>
        <v>551024181.25510001</v>
      </c>
      <c r="L390" s="63"/>
      <c r="M390" s="164">
        <v>36</v>
      </c>
      <c r="N390" s="70">
        <v>1</v>
      </c>
      <c r="O390" s="164" t="s">
        <v>110</v>
      </c>
      <c r="P390" s="68" t="s">
        <v>888</v>
      </c>
      <c r="Q390" s="68">
        <v>360109597.25</v>
      </c>
      <c r="R390" s="71">
        <v>0</v>
      </c>
      <c r="S390" s="68">
        <v>10803287.9175</v>
      </c>
      <c r="T390" s="68">
        <v>0</v>
      </c>
      <c r="U390" s="68">
        <f t="shared" si="83"/>
        <v>10803287.9175</v>
      </c>
      <c r="V390" s="68">
        <v>241906447.37</v>
      </c>
      <c r="W390" s="69">
        <f t="shared" si="72"/>
        <v>612819332.53750002</v>
      </c>
    </row>
    <row r="391" spans="1:23" ht="24.95" customHeight="1">
      <c r="A391" s="170"/>
      <c r="B391" s="165"/>
      <c r="C391" s="64">
        <v>4</v>
      </c>
      <c r="D391" s="68" t="s">
        <v>889</v>
      </c>
      <c r="E391" s="68">
        <v>340519761.25999999</v>
      </c>
      <c r="F391" s="68">
        <v>0</v>
      </c>
      <c r="G391" s="68">
        <v>10215592.8379</v>
      </c>
      <c r="H391" s="68">
        <v>0</v>
      </c>
      <c r="I391" s="68">
        <f t="shared" si="85"/>
        <v>10215592.8379</v>
      </c>
      <c r="J391" s="81">
        <v>236684626.83000001</v>
      </c>
      <c r="K391" s="69">
        <f t="shared" si="71"/>
        <v>587419980.92789996</v>
      </c>
      <c r="L391" s="63"/>
      <c r="M391" s="165"/>
      <c r="N391" s="70">
        <v>2</v>
      </c>
      <c r="O391" s="165"/>
      <c r="P391" s="68" t="s">
        <v>890</v>
      </c>
      <c r="Q391" s="68">
        <v>348676093.60000002</v>
      </c>
      <c r="R391" s="71">
        <v>0</v>
      </c>
      <c r="S391" s="68">
        <v>10460282.8081</v>
      </c>
      <c r="T391" s="68">
        <v>0</v>
      </c>
      <c r="U391" s="68">
        <f t="shared" si="83"/>
        <v>10460282.8081</v>
      </c>
      <c r="V391" s="68">
        <v>257277867.37</v>
      </c>
      <c r="W391" s="69">
        <f t="shared" si="72"/>
        <v>616414243.77810001</v>
      </c>
    </row>
    <row r="392" spans="1:23" ht="24.95" customHeight="1">
      <c r="A392" s="170"/>
      <c r="B392" s="165"/>
      <c r="C392" s="64">
        <v>5</v>
      </c>
      <c r="D392" s="68" t="s">
        <v>891</v>
      </c>
      <c r="E392" s="68">
        <v>412721160.26999998</v>
      </c>
      <c r="F392" s="68">
        <v>0</v>
      </c>
      <c r="G392" s="68">
        <v>12381634.8082</v>
      </c>
      <c r="H392" s="68">
        <v>0</v>
      </c>
      <c r="I392" s="68">
        <f t="shared" si="85"/>
        <v>12381634.8082</v>
      </c>
      <c r="J392" s="81">
        <v>267079564.66</v>
      </c>
      <c r="K392" s="69">
        <f t="shared" ref="K392:K412" si="87">E392+F392+I392+J392</f>
        <v>692182359.73819995</v>
      </c>
      <c r="L392" s="63"/>
      <c r="M392" s="165"/>
      <c r="N392" s="70">
        <v>3</v>
      </c>
      <c r="O392" s="165"/>
      <c r="P392" s="68" t="s">
        <v>892</v>
      </c>
      <c r="Q392" s="68">
        <v>411494902.69999999</v>
      </c>
      <c r="R392" s="71">
        <v>0</v>
      </c>
      <c r="S392" s="68">
        <v>12344847.0811</v>
      </c>
      <c r="T392" s="68">
        <v>0</v>
      </c>
      <c r="U392" s="68">
        <f t="shared" si="83"/>
        <v>12344847.0811</v>
      </c>
      <c r="V392" s="68">
        <v>265795614.68000001</v>
      </c>
      <c r="W392" s="69">
        <f t="shared" ref="W392:W410" si="88">Q392+U392+V392</f>
        <v>689635364.46109998</v>
      </c>
    </row>
    <row r="393" spans="1:23" ht="24.95" customHeight="1">
      <c r="A393" s="170"/>
      <c r="B393" s="165"/>
      <c r="C393" s="64">
        <v>6</v>
      </c>
      <c r="D393" s="68" t="s">
        <v>893</v>
      </c>
      <c r="E393" s="68">
        <v>328816978.63999999</v>
      </c>
      <c r="F393" s="68">
        <v>0</v>
      </c>
      <c r="G393" s="68">
        <v>9864509.3592000008</v>
      </c>
      <c r="H393" s="68">
        <v>0</v>
      </c>
      <c r="I393" s="68">
        <f t="shared" si="85"/>
        <v>9864509.3592000008</v>
      </c>
      <c r="J393" s="81">
        <v>230495412.84</v>
      </c>
      <c r="K393" s="69">
        <f t="shared" si="87"/>
        <v>569176900.83920002</v>
      </c>
      <c r="L393" s="63"/>
      <c r="M393" s="165"/>
      <c r="N393" s="70">
        <v>4</v>
      </c>
      <c r="O393" s="165"/>
      <c r="P393" s="68" t="s">
        <v>894</v>
      </c>
      <c r="Q393" s="68">
        <v>454170325.12</v>
      </c>
      <c r="R393" s="71">
        <v>0</v>
      </c>
      <c r="S393" s="68">
        <v>13625109.753699999</v>
      </c>
      <c r="T393" s="68">
        <v>0</v>
      </c>
      <c r="U393" s="68">
        <f t="shared" si="83"/>
        <v>13625109.753699999</v>
      </c>
      <c r="V393" s="68">
        <v>281738489.81999999</v>
      </c>
      <c r="W393" s="69">
        <f t="shared" si="88"/>
        <v>749533924.69370008</v>
      </c>
    </row>
    <row r="394" spans="1:23" ht="24.95" customHeight="1">
      <c r="A394" s="170"/>
      <c r="B394" s="165"/>
      <c r="C394" s="64">
        <v>7</v>
      </c>
      <c r="D394" s="68" t="s">
        <v>895</v>
      </c>
      <c r="E394" s="68">
        <v>530746368.79000002</v>
      </c>
      <c r="F394" s="68">
        <v>0</v>
      </c>
      <c r="G394" s="68">
        <v>15922391.0636</v>
      </c>
      <c r="H394" s="68">
        <v>0</v>
      </c>
      <c r="I394" s="68">
        <f t="shared" si="85"/>
        <v>15922391.0636</v>
      </c>
      <c r="J394" s="81">
        <v>315881627.24000001</v>
      </c>
      <c r="K394" s="69">
        <f t="shared" si="87"/>
        <v>862550387.09360003</v>
      </c>
      <c r="L394" s="63"/>
      <c r="M394" s="165"/>
      <c r="N394" s="70">
        <v>5</v>
      </c>
      <c r="O394" s="165"/>
      <c r="P394" s="68" t="s">
        <v>896</v>
      </c>
      <c r="Q394" s="68">
        <v>395306866.30000001</v>
      </c>
      <c r="R394" s="71">
        <v>0</v>
      </c>
      <c r="S394" s="68">
        <v>11859205.9891</v>
      </c>
      <c r="T394" s="68">
        <v>0</v>
      </c>
      <c r="U394" s="68">
        <f t="shared" si="83"/>
        <v>11859205.9891</v>
      </c>
      <c r="V394" s="68">
        <v>263352032.53</v>
      </c>
      <c r="W394" s="69">
        <f t="shared" si="88"/>
        <v>670518104.81910002</v>
      </c>
    </row>
    <row r="395" spans="1:23" ht="24.95" customHeight="1">
      <c r="A395" s="170"/>
      <c r="B395" s="165"/>
      <c r="C395" s="64">
        <v>8</v>
      </c>
      <c r="D395" s="68" t="s">
        <v>897</v>
      </c>
      <c r="E395" s="68">
        <v>361605879.76999998</v>
      </c>
      <c r="F395" s="68">
        <v>0</v>
      </c>
      <c r="G395" s="68">
        <v>10848176.392999999</v>
      </c>
      <c r="H395" s="68">
        <v>0</v>
      </c>
      <c r="I395" s="68">
        <f t="shared" si="85"/>
        <v>10848176.392999999</v>
      </c>
      <c r="J395" s="81">
        <v>243266866.94</v>
      </c>
      <c r="K395" s="69">
        <f t="shared" si="87"/>
        <v>615720923.10299993</v>
      </c>
      <c r="L395" s="63"/>
      <c r="M395" s="165"/>
      <c r="N395" s="70">
        <v>6</v>
      </c>
      <c r="O395" s="165"/>
      <c r="P395" s="68" t="s">
        <v>898</v>
      </c>
      <c r="Q395" s="68">
        <v>548906360.36000001</v>
      </c>
      <c r="R395" s="71">
        <v>0</v>
      </c>
      <c r="S395" s="68">
        <v>16467190.810699999</v>
      </c>
      <c r="T395" s="68">
        <v>0</v>
      </c>
      <c r="U395" s="68">
        <f t="shared" si="83"/>
        <v>16467190.810699999</v>
      </c>
      <c r="V395" s="68">
        <v>324880080.81</v>
      </c>
      <c r="W395" s="69">
        <f t="shared" si="88"/>
        <v>890253631.98070002</v>
      </c>
    </row>
    <row r="396" spans="1:23" ht="24.95" customHeight="1">
      <c r="A396" s="170"/>
      <c r="B396" s="165"/>
      <c r="C396" s="64">
        <v>9</v>
      </c>
      <c r="D396" s="68" t="s">
        <v>899</v>
      </c>
      <c r="E396" s="68">
        <v>388712284.19999999</v>
      </c>
      <c r="F396" s="68">
        <v>0</v>
      </c>
      <c r="G396" s="68">
        <v>11661368.525900001</v>
      </c>
      <c r="H396" s="68">
        <v>0</v>
      </c>
      <c r="I396" s="68">
        <f t="shared" si="85"/>
        <v>11661368.525900001</v>
      </c>
      <c r="J396" s="81">
        <v>249267662.63</v>
      </c>
      <c r="K396" s="69">
        <f t="shared" si="87"/>
        <v>649641315.35590005</v>
      </c>
      <c r="L396" s="63"/>
      <c r="M396" s="165"/>
      <c r="N396" s="70">
        <v>7</v>
      </c>
      <c r="O396" s="165"/>
      <c r="P396" s="68" t="s">
        <v>900</v>
      </c>
      <c r="Q396" s="68">
        <v>416870566.87</v>
      </c>
      <c r="R396" s="71">
        <v>0</v>
      </c>
      <c r="S396" s="68">
        <v>12506117.005899999</v>
      </c>
      <c r="T396" s="68">
        <v>0</v>
      </c>
      <c r="U396" s="68">
        <f t="shared" si="83"/>
        <v>12506117.005899999</v>
      </c>
      <c r="V396" s="68">
        <v>289816020.32999998</v>
      </c>
      <c r="W396" s="69">
        <f t="shared" si="88"/>
        <v>719192704.20589995</v>
      </c>
    </row>
    <row r="397" spans="1:23" ht="24.95" customHeight="1">
      <c r="A397" s="170"/>
      <c r="B397" s="165"/>
      <c r="C397" s="64">
        <v>10</v>
      </c>
      <c r="D397" s="68" t="s">
        <v>901</v>
      </c>
      <c r="E397" s="68">
        <v>391434714.91000003</v>
      </c>
      <c r="F397" s="68">
        <v>0</v>
      </c>
      <c r="G397" s="68">
        <v>11743041.4472</v>
      </c>
      <c r="H397" s="68">
        <v>0</v>
      </c>
      <c r="I397" s="68">
        <f t="shared" si="85"/>
        <v>11743041.4472</v>
      </c>
      <c r="J397" s="81">
        <v>257013136.02000001</v>
      </c>
      <c r="K397" s="69">
        <f t="shared" si="87"/>
        <v>660190892.37720001</v>
      </c>
      <c r="L397" s="63"/>
      <c r="M397" s="165"/>
      <c r="N397" s="70">
        <v>8</v>
      </c>
      <c r="O397" s="165"/>
      <c r="P397" s="68" t="s">
        <v>814</v>
      </c>
      <c r="Q397" s="68">
        <v>378215109.72000003</v>
      </c>
      <c r="R397" s="71">
        <v>0</v>
      </c>
      <c r="S397" s="68">
        <v>11346453.2915</v>
      </c>
      <c r="T397" s="68">
        <v>0</v>
      </c>
      <c r="U397" s="68">
        <f t="shared" si="83"/>
        <v>11346453.2915</v>
      </c>
      <c r="V397" s="68">
        <v>254423691.77000001</v>
      </c>
      <c r="W397" s="69">
        <f t="shared" si="88"/>
        <v>643985254.78149998</v>
      </c>
    </row>
    <row r="398" spans="1:23" ht="24.95" customHeight="1">
      <c r="A398" s="170"/>
      <c r="B398" s="165"/>
      <c r="C398" s="64">
        <v>11</v>
      </c>
      <c r="D398" s="68" t="s">
        <v>902</v>
      </c>
      <c r="E398" s="68">
        <v>362805882.23000002</v>
      </c>
      <c r="F398" s="68">
        <v>0</v>
      </c>
      <c r="G398" s="68">
        <v>10884176.467</v>
      </c>
      <c r="H398" s="68">
        <v>0</v>
      </c>
      <c r="I398" s="68">
        <f t="shared" si="85"/>
        <v>10884176.467</v>
      </c>
      <c r="J398" s="81">
        <v>223706153.72</v>
      </c>
      <c r="K398" s="69">
        <f t="shared" si="87"/>
        <v>597396212.41700006</v>
      </c>
      <c r="L398" s="63"/>
      <c r="M398" s="165"/>
      <c r="N398" s="70">
        <v>9</v>
      </c>
      <c r="O398" s="165"/>
      <c r="P398" s="68" t="s">
        <v>903</v>
      </c>
      <c r="Q398" s="68">
        <v>408861229.14999998</v>
      </c>
      <c r="R398" s="71">
        <v>0</v>
      </c>
      <c r="S398" s="68">
        <v>12265836.874399999</v>
      </c>
      <c r="T398" s="68">
        <v>0</v>
      </c>
      <c r="U398" s="68">
        <f t="shared" si="83"/>
        <v>12265836.874399999</v>
      </c>
      <c r="V398" s="68">
        <v>265526593.30000001</v>
      </c>
      <c r="W398" s="69">
        <f t="shared" si="88"/>
        <v>686653659.32439995</v>
      </c>
    </row>
    <row r="399" spans="1:23" ht="24.95" customHeight="1">
      <c r="A399" s="170"/>
      <c r="B399" s="165"/>
      <c r="C399" s="64">
        <v>12</v>
      </c>
      <c r="D399" s="68" t="s">
        <v>904</v>
      </c>
      <c r="E399" s="68">
        <v>355435085.58999997</v>
      </c>
      <c r="F399" s="68">
        <v>0</v>
      </c>
      <c r="G399" s="68">
        <v>10663052.5678</v>
      </c>
      <c r="H399" s="68">
        <v>0</v>
      </c>
      <c r="I399" s="68">
        <f t="shared" si="85"/>
        <v>10663052.5678</v>
      </c>
      <c r="J399" s="81">
        <v>240118524.56</v>
      </c>
      <c r="K399" s="69">
        <f t="shared" si="87"/>
        <v>606216662.7177999</v>
      </c>
      <c r="L399" s="63"/>
      <c r="M399" s="165"/>
      <c r="N399" s="70">
        <v>10</v>
      </c>
      <c r="O399" s="165"/>
      <c r="P399" s="68" t="s">
        <v>905</v>
      </c>
      <c r="Q399" s="68">
        <v>539663478.51999998</v>
      </c>
      <c r="R399" s="71">
        <v>0</v>
      </c>
      <c r="S399" s="68">
        <v>16189904.355599999</v>
      </c>
      <c r="T399" s="68">
        <v>0</v>
      </c>
      <c r="U399" s="68">
        <f t="shared" si="83"/>
        <v>16189904.355599999</v>
      </c>
      <c r="V399" s="68">
        <v>293444192.13999999</v>
      </c>
      <c r="W399" s="69">
        <f t="shared" si="88"/>
        <v>849297575.01559997</v>
      </c>
    </row>
    <row r="400" spans="1:23" ht="24.95" customHeight="1">
      <c r="A400" s="170"/>
      <c r="B400" s="165"/>
      <c r="C400" s="64">
        <v>13</v>
      </c>
      <c r="D400" s="68" t="s">
        <v>906</v>
      </c>
      <c r="E400" s="68">
        <v>371379411.86000001</v>
      </c>
      <c r="F400" s="68">
        <v>0</v>
      </c>
      <c r="G400" s="68">
        <v>11141382.355699999</v>
      </c>
      <c r="H400" s="68">
        <v>0</v>
      </c>
      <c r="I400" s="68">
        <f t="shared" si="85"/>
        <v>11141382.355699999</v>
      </c>
      <c r="J400" s="81">
        <v>244330207.52000001</v>
      </c>
      <c r="K400" s="69">
        <f t="shared" si="87"/>
        <v>626851001.73570001</v>
      </c>
      <c r="L400" s="63"/>
      <c r="M400" s="165"/>
      <c r="N400" s="70">
        <v>11</v>
      </c>
      <c r="O400" s="165"/>
      <c r="P400" s="68" t="s">
        <v>907</v>
      </c>
      <c r="Q400" s="68">
        <v>336955065.00999999</v>
      </c>
      <c r="R400" s="71">
        <v>0</v>
      </c>
      <c r="S400" s="68">
        <v>10108651.9504</v>
      </c>
      <c r="T400" s="68">
        <v>0</v>
      </c>
      <c r="U400" s="68">
        <f t="shared" si="83"/>
        <v>10108651.9504</v>
      </c>
      <c r="V400" s="68">
        <v>239622349.09</v>
      </c>
      <c r="W400" s="69">
        <f t="shared" si="88"/>
        <v>586686066.05040002</v>
      </c>
    </row>
    <row r="401" spans="1:23" ht="24.95" customHeight="1">
      <c r="A401" s="170"/>
      <c r="B401" s="165"/>
      <c r="C401" s="64">
        <v>14</v>
      </c>
      <c r="D401" s="68" t="s">
        <v>908</v>
      </c>
      <c r="E401" s="68">
        <v>331272101.88999999</v>
      </c>
      <c r="F401" s="68">
        <v>0</v>
      </c>
      <c r="G401" s="68">
        <v>9938163.0567000005</v>
      </c>
      <c r="H401" s="68">
        <v>0</v>
      </c>
      <c r="I401" s="68">
        <f t="shared" si="85"/>
        <v>9938163.0567000005</v>
      </c>
      <c r="J401" s="81">
        <v>227605069.19</v>
      </c>
      <c r="K401" s="69">
        <f t="shared" si="87"/>
        <v>568815334.13669991</v>
      </c>
      <c r="L401" s="63"/>
      <c r="M401" s="165"/>
      <c r="N401" s="70">
        <v>12</v>
      </c>
      <c r="O401" s="165"/>
      <c r="P401" s="68" t="s">
        <v>909</v>
      </c>
      <c r="Q401" s="68">
        <v>389188669.49000001</v>
      </c>
      <c r="R401" s="71">
        <v>0</v>
      </c>
      <c r="S401" s="68">
        <v>11675660.0847</v>
      </c>
      <c r="T401" s="68">
        <v>0</v>
      </c>
      <c r="U401" s="68">
        <f t="shared" si="83"/>
        <v>11675660.0847</v>
      </c>
      <c r="V401" s="68">
        <v>267016716.84999999</v>
      </c>
      <c r="W401" s="69">
        <f t="shared" si="88"/>
        <v>667881046.42470002</v>
      </c>
    </row>
    <row r="402" spans="1:23" ht="24.95" customHeight="1">
      <c r="A402" s="170"/>
      <c r="B402" s="165"/>
      <c r="C402" s="64">
        <v>15</v>
      </c>
      <c r="D402" s="68" t="s">
        <v>910</v>
      </c>
      <c r="E402" s="68">
        <v>329543443.93000001</v>
      </c>
      <c r="F402" s="68">
        <v>0</v>
      </c>
      <c r="G402" s="68">
        <v>9886303.318</v>
      </c>
      <c r="H402" s="68">
        <v>0</v>
      </c>
      <c r="I402" s="68">
        <f t="shared" si="85"/>
        <v>9886303.318</v>
      </c>
      <c r="J402" s="81">
        <v>211757953.25999999</v>
      </c>
      <c r="K402" s="69">
        <f t="shared" si="87"/>
        <v>551187700.50800002</v>
      </c>
      <c r="L402" s="63"/>
      <c r="M402" s="165"/>
      <c r="N402" s="70">
        <v>13</v>
      </c>
      <c r="O402" s="165"/>
      <c r="P402" s="68" t="s">
        <v>911</v>
      </c>
      <c r="Q402" s="68">
        <v>412332601.11000001</v>
      </c>
      <c r="R402" s="71">
        <v>0</v>
      </c>
      <c r="S402" s="68">
        <v>12369978.033299999</v>
      </c>
      <c r="T402" s="68">
        <v>0</v>
      </c>
      <c r="U402" s="68">
        <f t="shared" si="83"/>
        <v>12369978.033299999</v>
      </c>
      <c r="V402" s="68">
        <v>284525496.19</v>
      </c>
      <c r="W402" s="69">
        <f t="shared" si="88"/>
        <v>709228075.33329999</v>
      </c>
    </row>
    <row r="403" spans="1:23" ht="24.95" customHeight="1">
      <c r="A403" s="170"/>
      <c r="B403" s="165"/>
      <c r="C403" s="64">
        <v>16</v>
      </c>
      <c r="D403" s="68" t="s">
        <v>912</v>
      </c>
      <c r="E403" s="68">
        <v>356160952.54000002</v>
      </c>
      <c r="F403" s="68">
        <v>0</v>
      </c>
      <c r="G403" s="68">
        <v>10684828.576099999</v>
      </c>
      <c r="H403" s="68">
        <v>0</v>
      </c>
      <c r="I403" s="68">
        <f t="shared" si="85"/>
        <v>10684828.576099999</v>
      </c>
      <c r="J403" s="81">
        <v>240872197.77000001</v>
      </c>
      <c r="K403" s="69">
        <f t="shared" si="87"/>
        <v>607717978.88610005</v>
      </c>
      <c r="L403" s="63"/>
      <c r="M403" s="166"/>
      <c r="N403" s="70">
        <v>14</v>
      </c>
      <c r="O403" s="166"/>
      <c r="P403" s="68" t="s">
        <v>913</v>
      </c>
      <c r="Q403" s="68">
        <v>455383006.63999999</v>
      </c>
      <c r="R403" s="71">
        <v>0</v>
      </c>
      <c r="S403" s="68">
        <v>13661490.199100001</v>
      </c>
      <c r="T403" s="68">
        <v>0</v>
      </c>
      <c r="U403" s="68">
        <f t="shared" si="83"/>
        <v>13661490.199100001</v>
      </c>
      <c r="V403" s="68">
        <v>294111406.49000001</v>
      </c>
      <c r="W403" s="69">
        <f t="shared" si="88"/>
        <v>763155903.32910001</v>
      </c>
    </row>
    <row r="404" spans="1:23" ht="24.95" customHeight="1">
      <c r="A404" s="170"/>
      <c r="B404" s="165"/>
      <c r="C404" s="64">
        <v>17</v>
      </c>
      <c r="D404" s="68" t="s">
        <v>914</v>
      </c>
      <c r="E404" s="68">
        <v>406711117.82999998</v>
      </c>
      <c r="F404" s="68">
        <v>0</v>
      </c>
      <c r="G404" s="68">
        <v>12201333.5349</v>
      </c>
      <c r="H404" s="68">
        <v>0</v>
      </c>
      <c r="I404" s="68">
        <f t="shared" si="85"/>
        <v>12201333.5349</v>
      </c>
      <c r="J404" s="81">
        <v>268791518.88999999</v>
      </c>
      <c r="K404" s="69">
        <f t="shared" si="87"/>
        <v>687703970.25489998</v>
      </c>
      <c r="L404" s="63"/>
      <c r="M404" s="64"/>
      <c r="N404" s="177" t="s">
        <v>915</v>
      </c>
      <c r="O404" s="178"/>
      <c r="P404" s="72"/>
      <c r="Q404" s="72">
        <f>SUM(Q390:Q403)</f>
        <v>5856133871.8400002</v>
      </c>
      <c r="R404" s="71">
        <v>0</v>
      </c>
      <c r="S404" s="72">
        <f t="shared" ref="S404:T404" si="89">SUM(S390:S403)</f>
        <v>175684016.15509999</v>
      </c>
      <c r="T404" s="72">
        <f t="shared" si="89"/>
        <v>0</v>
      </c>
      <c r="U404" s="72">
        <f t="shared" si="83"/>
        <v>175684016.15509999</v>
      </c>
      <c r="V404" s="72">
        <f>SUM(V390:V403)</f>
        <v>3823436998.7399998</v>
      </c>
      <c r="W404" s="72">
        <f>SUM(W390:W403)</f>
        <v>9855254886.7350998</v>
      </c>
    </row>
    <row r="405" spans="1:23" ht="24.95" customHeight="1">
      <c r="A405" s="170"/>
      <c r="B405" s="165"/>
      <c r="C405" s="64">
        <v>18</v>
      </c>
      <c r="D405" s="68" t="s">
        <v>916</v>
      </c>
      <c r="E405" s="68">
        <v>488977255.04000002</v>
      </c>
      <c r="F405" s="68">
        <v>0</v>
      </c>
      <c r="G405" s="68">
        <v>14669317.6511</v>
      </c>
      <c r="H405" s="68">
        <v>0</v>
      </c>
      <c r="I405" s="68">
        <f t="shared" si="85"/>
        <v>14669317.6511</v>
      </c>
      <c r="J405" s="81">
        <v>296344681.58999997</v>
      </c>
      <c r="K405" s="69">
        <f t="shared" si="87"/>
        <v>799991254.28110003</v>
      </c>
      <c r="L405" s="63"/>
      <c r="M405" s="164">
        <v>37</v>
      </c>
      <c r="N405" s="70">
        <v>1</v>
      </c>
      <c r="O405" s="164" t="s">
        <v>917</v>
      </c>
      <c r="P405" s="68" t="s">
        <v>918</v>
      </c>
      <c r="Q405" s="68">
        <v>300812699.57999998</v>
      </c>
      <c r="R405" s="71">
        <v>0</v>
      </c>
      <c r="S405" s="68">
        <v>9024380.9874000009</v>
      </c>
      <c r="T405" s="68">
        <v>0</v>
      </c>
      <c r="U405" s="68">
        <f t="shared" si="83"/>
        <v>9024380.9874000009</v>
      </c>
      <c r="V405" s="68">
        <v>1313886104.45</v>
      </c>
      <c r="W405" s="69">
        <f t="shared" si="88"/>
        <v>1623723185.0174</v>
      </c>
    </row>
    <row r="406" spans="1:23" ht="24.95" customHeight="1">
      <c r="A406" s="170"/>
      <c r="B406" s="165"/>
      <c r="C406" s="64">
        <v>19</v>
      </c>
      <c r="D406" s="68" t="s">
        <v>919</v>
      </c>
      <c r="E406" s="68">
        <v>336183942.06999999</v>
      </c>
      <c r="F406" s="68">
        <v>0</v>
      </c>
      <c r="G406" s="68">
        <v>10085518.2622</v>
      </c>
      <c r="H406" s="68">
        <v>0</v>
      </c>
      <c r="I406" s="68">
        <f t="shared" si="85"/>
        <v>10085518.2622</v>
      </c>
      <c r="J406" s="81">
        <v>235006429.44999999</v>
      </c>
      <c r="K406" s="69">
        <f t="shared" si="87"/>
        <v>581275889.78219998</v>
      </c>
      <c r="L406" s="63"/>
      <c r="M406" s="165"/>
      <c r="N406" s="70">
        <v>2</v>
      </c>
      <c r="O406" s="165"/>
      <c r="P406" s="68" t="s">
        <v>920</v>
      </c>
      <c r="Q406" s="68">
        <v>767903622.17999995</v>
      </c>
      <c r="R406" s="71">
        <v>0</v>
      </c>
      <c r="S406" s="68">
        <v>23037108.6655</v>
      </c>
      <c r="T406" s="68">
        <v>0</v>
      </c>
      <c r="U406" s="68">
        <f t="shared" si="83"/>
        <v>23037108.6655</v>
      </c>
      <c r="V406" s="68">
        <v>1561937938.25</v>
      </c>
      <c r="W406" s="69">
        <f t="shared" si="88"/>
        <v>2352878669.0955</v>
      </c>
    </row>
    <row r="407" spans="1:23" ht="24.95" customHeight="1">
      <c r="A407" s="170"/>
      <c r="B407" s="165"/>
      <c r="C407" s="64">
        <v>20</v>
      </c>
      <c r="D407" s="68" t="s">
        <v>921</v>
      </c>
      <c r="E407" s="68">
        <v>323935618.58999997</v>
      </c>
      <c r="F407" s="68">
        <v>0</v>
      </c>
      <c r="G407" s="68">
        <v>9718068.5578000005</v>
      </c>
      <c r="H407" s="68">
        <v>0</v>
      </c>
      <c r="I407" s="68">
        <f t="shared" si="85"/>
        <v>9718068.5578000005</v>
      </c>
      <c r="J407" s="81">
        <v>224617932.96000001</v>
      </c>
      <c r="K407" s="69">
        <f t="shared" si="87"/>
        <v>558271620.10780001</v>
      </c>
      <c r="L407" s="63"/>
      <c r="M407" s="165"/>
      <c r="N407" s="70">
        <v>3</v>
      </c>
      <c r="O407" s="165"/>
      <c r="P407" s="68" t="s">
        <v>922</v>
      </c>
      <c r="Q407" s="68">
        <v>432539110.93000001</v>
      </c>
      <c r="R407" s="71">
        <v>0</v>
      </c>
      <c r="S407" s="68">
        <v>12976173.3278</v>
      </c>
      <c r="T407" s="68">
        <v>0</v>
      </c>
      <c r="U407" s="68">
        <f t="shared" si="83"/>
        <v>12976173.3278</v>
      </c>
      <c r="V407" s="68">
        <v>1372020901</v>
      </c>
      <c r="W407" s="69">
        <f t="shared" si="88"/>
        <v>1817536185.2578001</v>
      </c>
    </row>
    <row r="408" spans="1:23" ht="24.95" customHeight="1">
      <c r="A408" s="170"/>
      <c r="B408" s="165"/>
      <c r="C408" s="64">
        <v>21</v>
      </c>
      <c r="D408" s="68" t="s">
        <v>923</v>
      </c>
      <c r="E408" s="68">
        <v>471977543.49000001</v>
      </c>
      <c r="F408" s="68">
        <v>0</v>
      </c>
      <c r="G408" s="68">
        <v>14159326.3048</v>
      </c>
      <c r="H408" s="68">
        <v>0</v>
      </c>
      <c r="I408" s="68">
        <f t="shared" si="85"/>
        <v>14159326.3048</v>
      </c>
      <c r="J408" s="81">
        <v>297538571.60000002</v>
      </c>
      <c r="K408" s="69">
        <f t="shared" si="87"/>
        <v>783675441.39479995</v>
      </c>
      <c r="L408" s="63"/>
      <c r="M408" s="165"/>
      <c r="N408" s="70">
        <v>4</v>
      </c>
      <c r="O408" s="165"/>
      <c r="P408" s="68" t="s">
        <v>924</v>
      </c>
      <c r="Q408" s="68">
        <v>370691752.48000002</v>
      </c>
      <c r="R408" s="71">
        <v>0</v>
      </c>
      <c r="S408" s="68">
        <v>11120752.5745</v>
      </c>
      <c r="T408" s="68">
        <v>0</v>
      </c>
      <c r="U408" s="68">
        <f t="shared" si="83"/>
        <v>11120752.5745</v>
      </c>
      <c r="V408" s="68">
        <v>1348099699.1300001</v>
      </c>
      <c r="W408" s="69">
        <f t="shared" si="88"/>
        <v>1729912204.1845002</v>
      </c>
    </row>
    <row r="409" spans="1:23" ht="24.95" customHeight="1">
      <c r="A409" s="170"/>
      <c r="B409" s="165"/>
      <c r="C409" s="64">
        <v>22</v>
      </c>
      <c r="D409" s="68" t="s">
        <v>925</v>
      </c>
      <c r="E409" s="68">
        <v>314119392.48000002</v>
      </c>
      <c r="F409" s="68">
        <v>0</v>
      </c>
      <c r="G409" s="68">
        <v>9423581.7743999995</v>
      </c>
      <c r="H409" s="68">
        <v>0</v>
      </c>
      <c r="I409" s="68">
        <f t="shared" si="85"/>
        <v>9423581.7743999995</v>
      </c>
      <c r="J409" s="81">
        <v>220339425.22999999</v>
      </c>
      <c r="K409" s="69">
        <f t="shared" si="87"/>
        <v>543882399.48440003</v>
      </c>
      <c r="L409" s="63"/>
      <c r="M409" s="165"/>
      <c r="N409" s="70">
        <v>5</v>
      </c>
      <c r="O409" s="165"/>
      <c r="P409" s="68" t="s">
        <v>926</v>
      </c>
      <c r="Q409" s="68">
        <v>352220196.36000001</v>
      </c>
      <c r="R409" s="71">
        <v>0</v>
      </c>
      <c r="S409" s="68">
        <v>10566605.890900001</v>
      </c>
      <c r="T409" s="68">
        <v>0</v>
      </c>
      <c r="U409" s="68">
        <f t="shared" si="83"/>
        <v>10566605.890900001</v>
      </c>
      <c r="V409" s="68">
        <v>1327293427.26</v>
      </c>
      <c r="W409" s="69">
        <f t="shared" si="88"/>
        <v>1690080229.5109</v>
      </c>
    </row>
    <row r="410" spans="1:23" ht="24.95" customHeight="1">
      <c r="A410" s="170"/>
      <c r="B410" s="165"/>
      <c r="C410" s="64">
        <v>23</v>
      </c>
      <c r="D410" s="68" t="s">
        <v>927</v>
      </c>
      <c r="E410" s="68">
        <v>317010813.25999999</v>
      </c>
      <c r="F410" s="68">
        <v>0</v>
      </c>
      <c r="G410" s="68">
        <v>9510324.3977000006</v>
      </c>
      <c r="H410" s="68">
        <v>0</v>
      </c>
      <c r="I410" s="68">
        <f t="shared" si="85"/>
        <v>9510324.3977000006</v>
      </c>
      <c r="J410" s="81">
        <v>218730463.81999999</v>
      </c>
      <c r="K410" s="69">
        <f t="shared" si="87"/>
        <v>545251601.4777</v>
      </c>
      <c r="L410" s="63"/>
      <c r="M410" s="166"/>
      <c r="N410" s="70">
        <v>6</v>
      </c>
      <c r="O410" s="166"/>
      <c r="P410" s="68" t="s">
        <v>928</v>
      </c>
      <c r="Q410" s="68">
        <v>362307061.23000002</v>
      </c>
      <c r="R410" s="71">
        <v>0</v>
      </c>
      <c r="S410" s="68">
        <v>10869211.8369</v>
      </c>
      <c r="T410" s="68">
        <v>0</v>
      </c>
      <c r="U410" s="68">
        <f t="shared" si="83"/>
        <v>10869211.8369</v>
      </c>
      <c r="V410" s="68">
        <v>1323321831.24</v>
      </c>
      <c r="W410" s="69">
        <f t="shared" si="88"/>
        <v>1696498104.3069</v>
      </c>
    </row>
    <row r="411" spans="1:23" ht="24.95" customHeight="1">
      <c r="A411" s="170"/>
      <c r="B411" s="165"/>
      <c r="C411" s="64">
        <v>24</v>
      </c>
      <c r="D411" s="68" t="s">
        <v>929</v>
      </c>
      <c r="E411" s="68">
        <v>408982092.29000002</v>
      </c>
      <c r="F411" s="68">
        <v>0</v>
      </c>
      <c r="G411" s="68">
        <v>12269462.7687</v>
      </c>
      <c r="H411" s="68">
        <v>0</v>
      </c>
      <c r="I411" s="68">
        <f t="shared" si="85"/>
        <v>12269462.7687</v>
      </c>
      <c r="J411" s="81">
        <v>262836536.06</v>
      </c>
      <c r="K411" s="69">
        <f t="shared" si="87"/>
        <v>684088091.11870003</v>
      </c>
      <c r="L411" s="63"/>
      <c r="M411" s="64"/>
      <c r="N411" s="177" t="s">
        <v>930</v>
      </c>
      <c r="O411" s="178"/>
      <c r="P411" s="71"/>
      <c r="Q411" s="71">
        <f t="shared" ref="Q411:T411" si="90">SUM(Q405:Q410)</f>
        <v>2586474442.7600002</v>
      </c>
      <c r="R411" s="71">
        <v>0</v>
      </c>
      <c r="S411" s="71">
        <f t="shared" si="90"/>
        <v>77594233.283000007</v>
      </c>
      <c r="T411" s="71">
        <f t="shared" si="90"/>
        <v>0</v>
      </c>
      <c r="U411" s="72">
        <f t="shared" si="83"/>
        <v>77594233.283000007</v>
      </c>
      <c r="V411" s="71">
        <f>SUM(V405:V410)</f>
        <v>8246559901.3299999</v>
      </c>
      <c r="W411" s="71">
        <f>SUM(W405:W410)</f>
        <v>10910628577.373001</v>
      </c>
    </row>
    <row r="412" spans="1:23" ht="24.95" customHeight="1">
      <c r="A412" s="164"/>
      <c r="B412" s="165"/>
      <c r="C412" s="64">
        <v>25</v>
      </c>
      <c r="D412" s="68" t="s">
        <v>931</v>
      </c>
      <c r="E412" s="68">
        <v>417889012.02999997</v>
      </c>
      <c r="F412" s="68">
        <v>0</v>
      </c>
      <c r="G412" s="68">
        <v>12536670.3608</v>
      </c>
      <c r="H412" s="68">
        <v>0</v>
      </c>
      <c r="I412" s="68">
        <f t="shared" si="85"/>
        <v>12536670.3608</v>
      </c>
      <c r="J412" s="81">
        <v>273582923.98000002</v>
      </c>
      <c r="K412" s="69">
        <f t="shared" si="87"/>
        <v>704008606.37080002</v>
      </c>
      <c r="L412" s="63"/>
      <c r="M412" s="179" t="s">
        <v>932</v>
      </c>
      <c r="N412" s="180"/>
      <c r="O412" s="181"/>
      <c r="P412" s="85"/>
      <c r="Q412" s="86">
        <v>284662713246</v>
      </c>
      <c r="R412" s="86">
        <f>-49360399.04</f>
        <v>-49360399.039999999</v>
      </c>
      <c r="S412" s="86">
        <v>8539881397.3800001</v>
      </c>
      <c r="T412" s="86">
        <v>3022223257.1300001</v>
      </c>
      <c r="U412" s="87">
        <f>S412-T412</f>
        <v>5517658140.25</v>
      </c>
      <c r="V412" s="86">
        <v>241074745399.57999</v>
      </c>
      <c r="W412" s="69">
        <f>Q412+R412+U412+V412</f>
        <v>531205756386.79004</v>
      </c>
    </row>
    <row r="413" spans="1:23">
      <c r="A413" s="64"/>
      <c r="B413" s="66"/>
      <c r="C413" s="88"/>
      <c r="D413" s="89"/>
      <c r="E413" s="90">
        <f>SUM(E388:E412)</f>
        <v>9341158267.3400002</v>
      </c>
      <c r="F413" s="90">
        <f t="shared" ref="F413:K413" si="91">SUM(F388:F412)</f>
        <v>0</v>
      </c>
      <c r="G413" s="90">
        <f t="shared" si="91"/>
        <v>280234748.02020001</v>
      </c>
      <c r="H413" s="90">
        <f t="shared" si="91"/>
        <v>0</v>
      </c>
      <c r="I413" s="90">
        <f t="shared" si="91"/>
        <v>280234748.02020001</v>
      </c>
      <c r="J413" s="90">
        <f t="shared" si="91"/>
        <v>6182335959.8799992</v>
      </c>
      <c r="K413" s="90">
        <f t="shared" si="91"/>
        <v>15803728975.240198</v>
      </c>
      <c r="L413" s="90">
        <f t="shared" ref="L413" si="92">SUM(L388:L412)</f>
        <v>0</v>
      </c>
      <c r="M413" s="91"/>
      <c r="N413" s="182"/>
      <c r="O413" s="180"/>
      <c r="P413" s="181"/>
      <c r="Q413" s="92"/>
      <c r="R413" s="92"/>
      <c r="S413" s="92"/>
      <c r="T413" s="92"/>
      <c r="U413" s="92"/>
      <c r="V413" s="92"/>
      <c r="W413" s="92"/>
    </row>
    <row r="414" spans="1:23" ht="16.149999999999999">
      <c r="D414" s="93"/>
      <c r="E414" s="94"/>
      <c r="F414" s="94"/>
      <c r="G414" s="94"/>
      <c r="H414" s="94"/>
      <c r="I414" s="94"/>
      <c r="J414" s="94"/>
      <c r="K414" s="94"/>
      <c r="P414" s="80"/>
      <c r="Q414" s="19"/>
      <c r="R414" s="19"/>
      <c r="S414" s="19"/>
      <c r="T414" s="19"/>
      <c r="U414" s="19"/>
      <c r="V414" s="95"/>
      <c r="W414" s="80"/>
    </row>
    <row r="415" spans="1:23">
      <c r="C415" s="96"/>
      <c r="D415" s="92"/>
      <c r="E415" s="92"/>
      <c r="F415" s="92"/>
      <c r="G415" s="92"/>
      <c r="H415" s="92"/>
      <c r="I415" s="92"/>
      <c r="J415" s="92"/>
      <c r="K415" s="92"/>
      <c r="Q415" s="95"/>
      <c r="R415" s="95"/>
      <c r="S415" s="95"/>
      <c r="T415" s="95"/>
      <c r="U415" s="95"/>
      <c r="V415" s="95"/>
    </row>
    <row r="419" spans="10:18">
      <c r="J419" s="80"/>
    </row>
    <row r="421" spans="10:18">
      <c r="Q421" s="19"/>
      <c r="R421" s="19"/>
    </row>
    <row r="422" spans="10:18">
      <c r="Q422" s="19"/>
      <c r="R422" s="19"/>
    </row>
    <row r="423" spans="10:18">
      <c r="Q423" s="19"/>
      <c r="R423" s="19"/>
    </row>
    <row r="424" spans="10:18">
      <c r="Q424" s="19"/>
      <c r="R424" s="19"/>
    </row>
  </sheetData>
  <mergeCells count="118">
    <mergeCell ref="A1:V1"/>
    <mergeCell ref="A2:W2"/>
    <mergeCell ref="A3:W3"/>
    <mergeCell ref="B24:C24"/>
    <mergeCell ref="N26:O26"/>
    <mergeCell ref="B46:C46"/>
    <mergeCell ref="N61:O61"/>
    <mergeCell ref="B78:C78"/>
    <mergeCell ref="N83:O83"/>
    <mergeCell ref="M7:M25"/>
    <mergeCell ref="M27:M60"/>
    <mergeCell ref="M62:M82"/>
    <mergeCell ref="N105:O105"/>
    <mergeCell ref="B121:C121"/>
    <mergeCell ref="N122:O122"/>
    <mergeCell ref="B130:C130"/>
    <mergeCell ref="N143:O143"/>
    <mergeCell ref="B154:C154"/>
    <mergeCell ref="N157:O157"/>
    <mergeCell ref="B182:C182"/>
    <mergeCell ref="M84:M104"/>
    <mergeCell ref="M106:M121"/>
    <mergeCell ref="M123:M142"/>
    <mergeCell ref="M144:M156"/>
    <mergeCell ref="M158:M182"/>
    <mergeCell ref="N183:O183"/>
    <mergeCell ref="B201:C201"/>
    <mergeCell ref="N204:O204"/>
    <mergeCell ref="N223:O223"/>
    <mergeCell ref="B227:C227"/>
    <mergeCell ref="B241:C241"/>
    <mergeCell ref="N254:O254"/>
    <mergeCell ref="B260:C260"/>
    <mergeCell ref="B277:C277"/>
    <mergeCell ref="M184:M203"/>
    <mergeCell ref="M205:M222"/>
    <mergeCell ref="M224:M253"/>
    <mergeCell ref="M255:M287"/>
    <mergeCell ref="N330:O330"/>
    <mergeCell ref="B335:C335"/>
    <mergeCell ref="N354:O354"/>
    <mergeCell ref="B363:C363"/>
    <mergeCell ref="N371:O371"/>
    <mergeCell ref="M289:M305"/>
    <mergeCell ref="M307:M329"/>
    <mergeCell ref="M331:M353"/>
    <mergeCell ref="M355:M370"/>
    <mergeCell ref="N411:O411"/>
    <mergeCell ref="M412:O412"/>
    <mergeCell ref="N413:P413"/>
    <mergeCell ref="A7:A23"/>
    <mergeCell ref="A25:A45"/>
    <mergeCell ref="A47:A77"/>
    <mergeCell ref="A79:A99"/>
    <mergeCell ref="A101:A120"/>
    <mergeCell ref="A122:A129"/>
    <mergeCell ref="A131:A153"/>
    <mergeCell ref="A155:A181"/>
    <mergeCell ref="A183:A200"/>
    <mergeCell ref="A202:A226"/>
    <mergeCell ref="A228:A240"/>
    <mergeCell ref="A242:A259"/>
    <mergeCell ref="A261:A276"/>
    <mergeCell ref="A278:A294"/>
    <mergeCell ref="A296:A306"/>
    <mergeCell ref="A308:A334"/>
    <mergeCell ref="A336:A362"/>
    <mergeCell ref="A364:A386"/>
    <mergeCell ref="N288:O288"/>
    <mergeCell ref="B295:C295"/>
    <mergeCell ref="N306:O306"/>
    <mergeCell ref="A388:A412"/>
    <mergeCell ref="B7:B23"/>
    <mergeCell ref="B25:B45"/>
    <mergeCell ref="B47:B77"/>
    <mergeCell ref="B79:B99"/>
    <mergeCell ref="B101:B120"/>
    <mergeCell ref="B122:B129"/>
    <mergeCell ref="B131:B153"/>
    <mergeCell ref="B155:B181"/>
    <mergeCell ref="B183:B200"/>
    <mergeCell ref="B202:B226"/>
    <mergeCell ref="B228:B240"/>
    <mergeCell ref="B242:B259"/>
    <mergeCell ref="B261:B276"/>
    <mergeCell ref="B278:B294"/>
    <mergeCell ref="B296:B306"/>
    <mergeCell ref="B308:B334"/>
    <mergeCell ref="B336:B362"/>
    <mergeCell ref="B364:B386"/>
    <mergeCell ref="B388:B412"/>
    <mergeCell ref="B387:C387"/>
    <mergeCell ref="B307:C307"/>
    <mergeCell ref="B100:C100"/>
    <mergeCell ref="M372:M388"/>
    <mergeCell ref="M390:M403"/>
    <mergeCell ref="M405:M410"/>
    <mergeCell ref="O7:O25"/>
    <mergeCell ref="O27:O60"/>
    <mergeCell ref="O62:O82"/>
    <mergeCell ref="O84:O104"/>
    <mergeCell ref="O106:O121"/>
    <mergeCell ref="O123:O142"/>
    <mergeCell ref="O144:O156"/>
    <mergeCell ref="O158:O182"/>
    <mergeCell ref="O184:O203"/>
    <mergeCell ref="O205:O222"/>
    <mergeCell ref="O224:O253"/>
    <mergeCell ref="O255:O287"/>
    <mergeCell ref="O289:O305"/>
    <mergeCell ref="O307:O329"/>
    <mergeCell ref="O331:O353"/>
    <mergeCell ref="O355:O370"/>
    <mergeCell ref="O373:O388"/>
    <mergeCell ref="O390:O403"/>
    <mergeCell ref="O405:O410"/>
    <mergeCell ref="N389:O389"/>
    <mergeCell ref="N404:O404"/>
  </mergeCells>
  <pageMargins left="0.15748031496063" right="0.15748031496063" top="0.196850393700787" bottom="0.196850393700787" header="0.511811023622047" footer="0.511811023622047"/>
  <pageSetup paperSize="9" scale="6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301D-A6AA-4726-9E66-6400AA6226B8}">
  <dimension ref="A1:AEM47"/>
  <sheetViews>
    <sheetView topLeftCell="A22" workbookViewId="0">
      <selection activeCell="A45" sqref="A45"/>
    </sheetView>
  </sheetViews>
  <sheetFormatPr defaultColWidth="8.86328125" defaultRowHeight="17.649999999999999"/>
  <cols>
    <col min="1" max="1" width="8.86328125" style="29"/>
    <col min="2" max="2" width="19.73046875" style="29" customWidth="1"/>
    <col min="3" max="4" width="27" style="29" customWidth="1"/>
    <col min="5" max="6" width="25.3984375" style="29" customWidth="1"/>
    <col min="7" max="7" width="24.73046875" style="29" customWidth="1"/>
    <col min="8" max="8" width="26.265625" style="29" customWidth="1"/>
    <col min="9" max="9" width="27.265625" style="29" customWidth="1"/>
    <col min="10" max="10" width="8.86328125" style="29"/>
    <col min="11" max="11" width="23.86328125" style="29" customWidth="1"/>
    <col min="12" max="16384" width="8.86328125" style="29"/>
  </cols>
  <sheetData>
    <row r="1" spans="1:819" ht="30.4">
      <c r="A1" s="185" t="s">
        <v>54</v>
      </c>
      <c r="B1" s="186"/>
      <c r="C1" s="186"/>
      <c r="D1" s="186"/>
      <c r="E1" s="186"/>
      <c r="F1" s="186"/>
      <c r="G1" s="186"/>
      <c r="H1" s="186"/>
      <c r="I1" s="187"/>
    </row>
    <row r="2" spans="1:819" ht="26.25" customHeight="1">
      <c r="A2" s="188" t="s">
        <v>55</v>
      </c>
      <c r="B2" s="189"/>
      <c r="C2" s="189"/>
      <c r="D2" s="189"/>
      <c r="E2" s="189"/>
      <c r="F2" s="189"/>
      <c r="G2" s="189"/>
      <c r="H2" s="189"/>
      <c r="I2" s="190"/>
    </row>
    <row r="3" spans="1:819" ht="31.5" customHeight="1">
      <c r="A3" s="191" t="s">
        <v>987</v>
      </c>
      <c r="B3" s="192"/>
      <c r="C3" s="192"/>
      <c r="D3" s="192"/>
      <c r="E3" s="192"/>
      <c r="F3" s="192"/>
      <c r="G3" s="192"/>
      <c r="H3" s="192"/>
      <c r="I3" s="193"/>
      <c r="AEM3" s="29" t="s">
        <v>933</v>
      </c>
    </row>
    <row r="4" spans="1:819" ht="61.15" customHeight="1">
      <c r="A4" s="48" t="s">
        <v>20</v>
      </c>
      <c r="B4" s="48" t="s">
        <v>116</v>
      </c>
      <c r="C4" s="49" t="s">
        <v>40</v>
      </c>
      <c r="D4" s="49" t="s">
        <v>114</v>
      </c>
      <c r="E4" s="49" t="s">
        <v>934</v>
      </c>
      <c r="F4" s="51" t="s">
        <v>65</v>
      </c>
      <c r="G4" s="52" t="s">
        <v>66</v>
      </c>
      <c r="H4" s="53" t="s">
        <v>935</v>
      </c>
      <c r="I4" s="3" t="s">
        <v>115</v>
      </c>
      <c r="K4" s="43"/>
      <c r="BK4" s="29">
        <v>0</v>
      </c>
    </row>
    <row r="5" spans="1:819">
      <c r="A5" s="48"/>
      <c r="B5" s="48"/>
      <c r="C5" s="141" t="s">
        <v>25</v>
      </c>
      <c r="D5" s="141" t="s">
        <v>25</v>
      </c>
      <c r="E5" s="141" t="s">
        <v>25</v>
      </c>
      <c r="F5" s="141" t="s">
        <v>25</v>
      </c>
      <c r="G5" s="141" t="s">
        <v>25</v>
      </c>
      <c r="H5" s="141" t="s">
        <v>25</v>
      </c>
      <c r="I5" s="141" t="s">
        <v>25</v>
      </c>
    </row>
    <row r="6" spans="1:819">
      <c r="A6" s="54">
        <v>1</v>
      </c>
      <c r="B6" s="55" t="s">
        <v>75</v>
      </c>
      <c r="C6" s="56">
        <v>5908507418.6833982</v>
      </c>
      <c r="D6" s="56">
        <v>0</v>
      </c>
      <c r="E6" s="56">
        <v>177255222.56050193</v>
      </c>
      <c r="F6" s="57">
        <f>E6</f>
        <v>177255222.56050193</v>
      </c>
      <c r="G6" s="57">
        <f t="shared" ref="G6:G42" si="0">E6-F6</f>
        <v>0</v>
      </c>
      <c r="H6" s="56">
        <v>3692840072.6452999</v>
      </c>
      <c r="I6" s="58">
        <f>C6+D6+G6+H6</f>
        <v>9601347491.3286972</v>
      </c>
      <c r="K6" s="59"/>
    </row>
    <row r="7" spans="1:819">
      <c r="A7" s="54">
        <v>2</v>
      </c>
      <c r="B7" s="55" t="s">
        <v>76</v>
      </c>
      <c r="C7" s="56">
        <v>7452734099.6861162</v>
      </c>
      <c r="D7" s="56">
        <v>0</v>
      </c>
      <c r="E7" s="56">
        <v>223582022.99058348</v>
      </c>
      <c r="F7" s="56">
        <v>0</v>
      </c>
      <c r="G7" s="57">
        <f t="shared" si="0"/>
        <v>223582022.99058348</v>
      </c>
      <c r="H7" s="56">
        <v>4543622338.7470999</v>
      </c>
      <c r="I7" s="58">
        <f t="shared" ref="I7:I42" si="1">C7+D7+G7+H7</f>
        <v>12219938461.4238</v>
      </c>
    </row>
    <row r="8" spans="1:819">
      <c r="A8" s="54">
        <v>3</v>
      </c>
      <c r="B8" s="55" t="s">
        <v>77</v>
      </c>
      <c r="C8" s="56">
        <v>9926603877.6126213</v>
      </c>
      <c r="D8" s="56">
        <v>0</v>
      </c>
      <c r="E8" s="56">
        <v>297798116.32837862</v>
      </c>
      <c r="F8" s="56">
        <f>E8</f>
        <v>297798116.32837862</v>
      </c>
      <c r="G8" s="57">
        <f t="shared" si="0"/>
        <v>0</v>
      </c>
      <c r="H8" s="56">
        <v>6237298085.2797003</v>
      </c>
      <c r="I8" s="58">
        <f t="shared" si="1"/>
        <v>16163901962.892323</v>
      </c>
    </row>
    <row r="9" spans="1:819">
      <c r="A9" s="54">
        <v>4</v>
      </c>
      <c r="B9" s="55" t="s">
        <v>78</v>
      </c>
      <c r="C9" s="56">
        <v>7493009464.8969898</v>
      </c>
      <c r="D9" s="56">
        <v>0</v>
      </c>
      <c r="E9" s="56">
        <v>224790283.94690967</v>
      </c>
      <c r="F9" s="56">
        <v>0</v>
      </c>
      <c r="G9" s="57">
        <f t="shared" si="0"/>
        <v>224790283.94690967</v>
      </c>
      <c r="H9" s="56">
        <v>4905605989.8491001</v>
      </c>
      <c r="I9" s="58">
        <f t="shared" si="1"/>
        <v>12623405738.693001</v>
      </c>
    </row>
    <row r="10" spans="1:819">
      <c r="A10" s="54">
        <v>5</v>
      </c>
      <c r="B10" s="55" t="s">
        <v>79</v>
      </c>
      <c r="C10" s="56">
        <v>8506048515.7982521</v>
      </c>
      <c r="D10" s="56">
        <v>0</v>
      </c>
      <c r="E10" s="56">
        <v>255181455.47394758</v>
      </c>
      <c r="F10" s="56">
        <v>0</v>
      </c>
      <c r="G10" s="57">
        <f t="shared" si="0"/>
        <v>255181455.47394758</v>
      </c>
      <c r="H10" s="56">
        <v>4884469973.0190001</v>
      </c>
      <c r="I10" s="58">
        <f t="shared" si="1"/>
        <v>13645699944.291199</v>
      </c>
    </row>
    <row r="11" spans="1:819">
      <c r="A11" s="54">
        <v>6</v>
      </c>
      <c r="B11" s="55" t="s">
        <v>80</v>
      </c>
      <c r="C11" s="56">
        <v>3462273095.6562133</v>
      </c>
      <c r="D11" s="56">
        <v>0</v>
      </c>
      <c r="E11" s="56">
        <v>103868192.86968641</v>
      </c>
      <c r="F11" s="56">
        <f>E11</f>
        <v>103868192.86968641</v>
      </c>
      <c r="G11" s="57">
        <f t="shared" si="0"/>
        <v>0</v>
      </c>
      <c r="H11" s="56">
        <v>3084442896.4614</v>
      </c>
      <c r="I11" s="58">
        <f t="shared" si="1"/>
        <v>6546715992.1176128</v>
      </c>
    </row>
    <row r="12" spans="1:819">
      <c r="A12" s="54">
        <v>7</v>
      </c>
      <c r="B12" s="55" t="s">
        <v>81</v>
      </c>
      <c r="C12" s="56">
        <v>9255897255.5552444</v>
      </c>
      <c r="D12" s="56">
        <v>0</v>
      </c>
      <c r="E12" s="56">
        <v>277676917.66665721</v>
      </c>
      <c r="F12" s="57">
        <f>E12/2</f>
        <v>138838458.8333286</v>
      </c>
      <c r="G12" s="57">
        <f t="shared" si="0"/>
        <v>138838458.8333286</v>
      </c>
      <c r="H12" s="56">
        <v>5139886603.0137997</v>
      </c>
      <c r="I12" s="58">
        <f t="shared" si="1"/>
        <v>14534622317.402372</v>
      </c>
    </row>
    <row r="13" spans="1:819">
      <c r="A13" s="54">
        <v>8</v>
      </c>
      <c r="B13" s="55" t="s">
        <v>82</v>
      </c>
      <c r="C13" s="56">
        <v>10049130648.343786</v>
      </c>
      <c r="D13" s="56">
        <v>0</v>
      </c>
      <c r="E13" s="56">
        <v>301473919.45031363</v>
      </c>
      <c r="F13" s="56">
        <v>0</v>
      </c>
      <c r="G13" s="57">
        <f t="shared" si="0"/>
        <v>301473919.45031363</v>
      </c>
      <c r="H13" s="56">
        <v>5983931269.9553003</v>
      </c>
      <c r="I13" s="58">
        <f t="shared" si="1"/>
        <v>16334535837.749401</v>
      </c>
    </row>
    <row r="14" spans="1:819">
      <c r="A14" s="54">
        <v>9</v>
      </c>
      <c r="B14" s="55" t="s">
        <v>83</v>
      </c>
      <c r="C14" s="56">
        <v>6478358022.51369</v>
      </c>
      <c r="D14" s="56">
        <v>0</v>
      </c>
      <c r="E14" s="56">
        <v>194350740.67541063</v>
      </c>
      <c r="F14" s="56">
        <f>E14</f>
        <v>194350740.67541063</v>
      </c>
      <c r="G14" s="57">
        <f t="shared" si="0"/>
        <v>0</v>
      </c>
      <c r="H14" s="56">
        <v>4276844359.5762</v>
      </c>
      <c r="I14" s="58">
        <f t="shared" si="1"/>
        <v>10755202382.08989</v>
      </c>
    </row>
    <row r="15" spans="1:819">
      <c r="A15" s="54">
        <v>10</v>
      </c>
      <c r="B15" s="55" t="s">
        <v>84</v>
      </c>
      <c r="C15" s="56">
        <v>8301086667.0066023</v>
      </c>
      <c r="D15" s="56">
        <v>0</v>
      </c>
      <c r="E15" s="56">
        <v>249032600.01019803</v>
      </c>
      <c r="F15" s="56">
        <f>E15</f>
        <v>249032600.01019803</v>
      </c>
      <c r="G15" s="57">
        <f t="shared" si="0"/>
        <v>0</v>
      </c>
      <c r="H15" s="56">
        <v>5824323410.7332001</v>
      </c>
      <c r="I15" s="58">
        <f t="shared" si="1"/>
        <v>14125410077.739803</v>
      </c>
    </row>
    <row r="16" spans="1:819">
      <c r="A16" s="54">
        <v>11</v>
      </c>
      <c r="B16" s="55" t="s">
        <v>85</v>
      </c>
      <c r="C16" s="56">
        <v>4792271751.9545631</v>
      </c>
      <c r="D16" s="56">
        <f>-49360399.04</f>
        <v>-49360399.039999999</v>
      </c>
      <c r="E16" s="56">
        <v>143768152.5586369</v>
      </c>
      <c r="F16" s="56">
        <v>0</v>
      </c>
      <c r="G16" s="57">
        <f t="shared" si="0"/>
        <v>143768152.5586369</v>
      </c>
      <c r="H16" s="56">
        <v>2964280415.8796</v>
      </c>
      <c r="I16" s="58">
        <f t="shared" si="1"/>
        <v>7850959921.3528004</v>
      </c>
    </row>
    <row r="17" spans="1:9">
      <c r="A17" s="54">
        <v>12</v>
      </c>
      <c r="B17" s="55" t="s">
        <v>86</v>
      </c>
      <c r="C17" s="56">
        <v>6351454858.9890299</v>
      </c>
      <c r="D17" s="56">
        <v>0</v>
      </c>
      <c r="E17" s="56">
        <v>190543645.76967087</v>
      </c>
      <c r="F17" s="56">
        <f>E17</f>
        <v>190543645.76967087</v>
      </c>
      <c r="G17" s="57">
        <f t="shared" si="0"/>
        <v>0</v>
      </c>
      <c r="H17" s="56">
        <v>4518366308.2561998</v>
      </c>
      <c r="I17" s="58">
        <f t="shared" si="1"/>
        <v>10869821167.24523</v>
      </c>
    </row>
    <row r="18" spans="1:9">
      <c r="A18" s="54">
        <v>13</v>
      </c>
      <c r="B18" s="55" t="s">
        <v>87</v>
      </c>
      <c r="C18" s="56">
        <v>5043285489.4153404</v>
      </c>
      <c r="D18" s="56">
        <v>0</v>
      </c>
      <c r="E18" s="56">
        <v>151298564.68246019</v>
      </c>
      <c r="F18" s="56">
        <v>0</v>
      </c>
      <c r="G18" s="57">
        <f t="shared" si="0"/>
        <v>151298564.68246019</v>
      </c>
      <c r="H18" s="56">
        <v>3439010279.7591</v>
      </c>
      <c r="I18" s="58">
        <f t="shared" si="1"/>
        <v>8633594333.8568993</v>
      </c>
    </row>
    <row r="19" spans="1:9">
      <c r="A19" s="54">
        <v>14</v>
      </c>
      <c r="B19" s="55" t="s">
        <v>88</v>
      </c>
      <c r="C19" s="56">
        <v>6453172563.825242</v>
      </c>
      <c r="D19" s="56">
        <v>0</v>
      </c>
      <c r="E19" s="56">
        <v>193595176.91475728</v>
      </c>
      <c r="F19" s="56">
        <v>0</v>
      </c>
      <c r="G19" s="57">
        <f t="shared" si="0"/>
        <v>193595176.91475728</v>
      </c>
      <c r="H19" s="56">
        <v>3838888792.6349001</v>
      </c>
      <c r="I19" s="58">
        <f t="shared" si="1"/>
        <v>10485656533.374901</v>
      </c>
    </row>
    <row r="20" spans="1:9">
      <c r="A20" s="54">
        <v>15</v>
      </c>
      <c r="B20" s="55" t="s">
        <v>89</v>
      </c>
      <c r="C20" s="56">
        <v>4421718347.8001938</v>
      </c>
      <c r="D20" s="56">
        <v>0</v>
      </c>
      <c r="E20" s="56">
        <v>132651550.43400581</v>
      </c>
      <c r="F20" s="56">
        <f>E20/2</f>
        <v>66325775.217002906</v>
      </c>
      <c r="G20" s="57">
        <f t="shared" si="0"/>
        <v>66325775.217002906</v>
      </c>
      <c r="H20" s="56">
        <v>3056679250.4805999</v>
      </c>
      <c r="I20" s="58">
        <f t="shared" si="1"/>
        <v>7544723373.497797</v>
      </c>
    </row>
    <row r="21" spans="1:9">
      <c r="A21" s="54">
        <v>16</v>
      </c>
      <c r="B21" s="55" t="s">
        <v>90</v>
      </c>
      <c r="C21" s="56">
        <v>8648686731.7751446</v>
      </c>
      <c r="D21" s="56">
        <v>0</v>
      </c>
      <c r="E21" s="56">
        <v>259460601.95325437</v>
      </c>
      <c r="F21" s="56">
        <f>E21</f>
        <v>259460601.95325437</v>
      </c>
      <c r="G21" s="57">
        <f t="shared" si="0"/>
        <v>0</v>
      </c>
      <c r="H21" s="56">
        <v>5664571137.1452999</v>
      </c>
      <c r="I21" s="58">
        <f t="shared" si="1"/>
        <v>14313257868.920444</v>
      </c>
    </row>
    <row r="22" spans="1:9">
      <c r="A22" s="54">
        <v>17</v>
      </c>
      <c r="B22" s="55" t="s">
        <v>91</v>
      </c>
      <c r="C22" s="56">
        <v>9086259713.1215534</v>
      </c>
      <c r="D22" s="56">
        <v>0</v>
      </c>
      <c r="E22" s="56">
        <v>272587791.39364654</v>
      </c>
      <c r="F22" s="56">
        <v>0</v>
      </c>
      <c r="G22" s="57">
        <f t="shared" si="0"/>
        <v>272587791.39364654</v>
      </c>
      <c r="H22" s="56">
        <v>6418859380.8269997</v>
      </c>
      <c r="I22" s="58">
        <f t="shared" si="1"/>
        <v>15777706885.342199</v>
      </c>
    </row>
    <row r="23" spans="1:9">
      <c r="A23" s="54">
        <v>18</v>
      </c>
      <c r="B23" s="55" t="s">
        <v>92</v>
      </c>
      <c r="C23" s="56">
        <v>10218359425.672136</v>
      </c>
      <c r="D23" s="56">
        <v>0</v>
      </c>
      <c r="E23" s="56">
        <v>306550782.77016401</v>
      </c>
      <c r="F23" s="56">
        <f>E23/2</f>
        <v>153275391.38508201</v>
      </c>
      <c r="G23" s="57">
        <f t="shared" si="0"/>
        <v>153275391.38508201</v>
      </c>
      <c r="H23" s="56">
        <v>6491066016.4379997</v>
      </c>
      <c r="I23" s="58">
        <f t="shared" si="1"/>
        <v>16862700833.495218</v>
      </c>
    </row>
    <row r="24" spans="1:9">
      <c r="A24" s="54">
        <v>19</v>
      </c>
      <c r="B24" s="55" t="s">
        <v>93</v>
      </c>
      <c r="C24" s="56">
        <v>16268503977.61301</v>
      </c>
      <c r="D24" s="56">
        <v>0</v>
      </c>
      <c r="E24" s="56">
        <v>488055119.32839012</v>
      </c>
      <c r="F24" s="56">
        <v>0</v>
      </c>
      <c r="G24" s="57">
        <f t="shared" si="0"/>
        <v>488055119.32839012</v>
      </c>
      <c r="H24" s="56">
        <v>10784031765.262501</v>
      </c>
      <c r="I24" s="58">
        <f t="shared" si="1"/>
        <v>27540590862.203903</v>
      </c>
    </row>
    <row r="25" spans="1:9">
      <c r="A25" s="54">
        <v>20</v>
      </c>
      <c r="B25" s="55" t="s">
        <v>94</v>
      </c>
      <c r="C25" s="56">
        <v>12385488991.38398</v>
      </c>
      <c r="D25" s="56">
        <v>0</v>
      </c>
      <c r="E25" s="56">
        <v>371564669.74151933</v>
      </c>
      <c r="F25" s="56">
        <v>0</v>
      </c>
      <c r="G25" s="57">
        <f t="shared" si="0"/>
        <v>371564669.74151933</v>
      </c>
      <c r="H25" s="56">
        <v>7564290145.9161997</v>
      </c>
      <c r="I25" s="58">
        <f t="shared" si="1"/>
        <v>20321343807.041698</v>
      </c>
    </row>
    <row r="26" spans="1:9">
      <c r="A26" s="54">
        <v>21</v>
      </c>
      <c r="B26" s="55" t="s">
        <v>95</v>
      </c>
      <c r="C26" s="56">
        <v>7816573001.2505827</v>
      </c>
      <c r="D26" s="56">
        <v>0</v>
      </c>
      <c r="E26" s="56">
        <v>234497190.03751743</v>
      </c>
      <c r="F26" s="57">
        <f>E26/2</f>
        <v>117248595.01875871</v>
      </c>
      <c r="G26" s="57">
        <f t="shared" si="0"/>
        <v>117248595.01875871</v>
      </c>
      <c r="H26" s="56">
        <v>4487379218.4776001</v>
      </c>
      <c r="I26" s="58">
        <f t="shared" si="1"/>
        <v>12421200814.746941</v>
      </c>
    </row>
    <row r="27" spans="1:9">
      <c r="A27" s="54">
        <v>22</v>
      </c>
      <c r="B27" s="55" t="s">
        <v>96</v>
      </c>
      <c r="C27" s="56">
        <v>8079000749.1554375</v>
      </c>
      <c r="D27" s="56">
        <v>0</v>
      </c>
      <c r="E27" s="56">
        <v>242370022.47466308</v>
      </c>
      <c r="F27" s="57">
        <f>E27/2</f>
        <v>121185011.23733154</v>
      </c>
      <c r="G27" s="57">
        <f t="shared" si="0"/>
        <v>121185011.23733154</v>
      </c>
      <c r="H27" s="56">
        <v>4555780160.5237999</v>
      </c>
      <c r="I27" s="58">
        <f t="shared" si="1"/>
        <v>12755965920.916569</v>
      </c>
    </row>
    <row r="28" spans="1:9">
      <c r="A28" s="54">
        <v>23</v>
      </c>
      <c r="B28" s="55" t="s">
        <v>97</v>
      </c>
      <c r="C28" s="56">
        <v>5716739264.3161163</v>
      </c>
      <c r="D28" s="56">
        <v>0</v>
      </c>
      <c r="E28" s="56">
        <v>171502177.92948347</v>
      </c>
      <c r="F28" s="57">
        <f>E28/2</f>
        <v>85751088.964741737</v>
      </c>
      <c r="G28" s="57">
        <f t="shared" si="0"/>
        <v>85751088.964741737</v>
      </c>
      <c r="H28" s="56">
        <v>3480358292.4240999</v>
      </c>
      <c r="I28" s="58">
        <f t="shared" si="1"/>
        <v>9282848645.704958</v>
      </c>
    </row>
    <row r="29" spans="1:9">
      <c r="A29" s="54">
        <v>24</v>
      </c>
      <c r="B29" s="55" t="s">
        <v>98</v>
      </c>
      <c r="C29" s="56">
        <v>9738443545.2174759</v>
      </c>
      <c r="D29" s="56">
        <v>0</v>
      </c>
      <c r="E29" s="56">
        <v>292153306.35652423</v>
      </c>
      <c r="F29" s="56">
        <v>0</v>
      </c>
      <c r="G29" s="57">
        <f t="shared" si="0"/>
        <v>292153306.35652423</v>
      </c>
      <c r="H29" s="56">
        <v>41308206711.945503</v>
      </c>
      <c r="I29" s="58">
        <f t="shared" si="1"/>
        <v>51338803563.519501</v>
      </c>
    </row>
    <row r="30" spans="1:9">
      <c r="A30" s="54">
        <v>25</v>
      </c>
      <c r="B30" s="55" t="s">
        <v>99</v>
      </c>
      <c r="C30" s="56">
        <v>5100316728.7840776</v>
      </c>
      <c r="D30" s="56">
        <v>0</v>
      </c>
      <c r="E30" s="56">
        <v>153009501.86352229</v>
      </c>
      <c r="F30" s="56">
        <f>E30/2</f>
        <v>76504750.931761146</v>
      </c>
      <c r="G30" s="57">
        <f t="shared" si="0"/>
        <v>76504750.931761146</v>
      </c>
      <c r="H30" s="56">
        <v>2850782465.5711999</v>
      </c>
      <c r="I30" s="58">
        <f t="shared" si="1"/>
        <v>8027603945.2870388</v>
      </c>
    </row>
    <row r="31" spans="1:9">
      <c r="A31" s="54">
        <v>26</v>
      </c>
      <c r="B31" s="55" t="s">
        <v>100</v>
      </c>
      <c r="C31" s="56">
        <v>9440292841.1660194</v>
      </c>
      <c r="D31" s="56">
        <v>0</v>
      </c>
      <c r="E31" s="56">
        <v>283208785.23498058</v>
      </c>
      <c r="F31" s="57">
        <f>E31/2</f>
        <v>141604392.61749029</v>
      </c>
      <c r="G31" s="57">
        <f t="shared" si="0"/>
        <v>141604392.61749029</v>
      </c>
      <c r="H31" s="56">
        <v>5361140740.2644997</v>
      </c>
      <c r="I31" s="58">
        <f t="shared" si="1"/>
        <v>14943037974.04801</v>
      </c>
    </row>
    <row r="32" spans="1:9">
      <c r="A32" s="54">
        <v>27</v>
      </c>
      <c r="B32" s="55" t="s">
        <v>101</v>
      </c>
      <c r="C32" s="56">
        <v>6734670780.2266989</v>
      </c>
      <c r="D32" s="56">
        <v>0</v>
      </c>
      <c r="E32" s="56">
        <v>202040123.40680099</v>
      </c>
      <c r="F32" s="56">
        <v>0</v>
      </c>
      <c r="G32" s="57">
        <f t="shared" si="0"/>
        <v>202040123.40680099</v>
      </c>
      <c r="H32" s="56">
        <v>4783213599.8627005</v>
      </c>
      <c r="I32" s="58">
        <f t="shared" si="1"/>
        <v>11719924503.496201</v>
      </c>
    </row>
    <row r="33" spans="1:10">
      <c r="A33" s="54">
        <v>28</v>
      </c>
      <c r="B33" s="55" t="s">
        <v>102</v>
      </c>
      <c r="C33" s="56">
        <v>6432036592.9314566</v>
      </c>
      <c r="D33" s="56">
        <v>0</v>
      </c>
      <c r="E33" s="56">
        <v>192961097.78794366</v>
      </c>
      <c r="F33" s="56">
        <f>E33</f>
        <v>192961097.78794366</v>
      </c>
      <c r="G33" s="57">
        <f t="shared" si="0"/>
        <v>0</v>
      </c>
      <c r="H33" s="56">
        <v>4733760002.4054003</v>
      </c>
      <c r="I33" s="58">
        <f t="shared" si="1"/>
        <v>11165796595.336857</v>
      </c>
    </row>
    <row r="34" spans="1:10">
      <c r="A34" s="54">
        <v>29</v>
      </c>
      <c r="B34" s="55" t="s">
        <v>103</v>
      </c>
      <c r="C34" s="56">
        <v>8712356187.7054367</v>
      </c>
      <c r="D34" s="56">
        <v>0</v>
      </c>
      <c r="E34" s="56">
        <v>261370685.63116306</v>
      </c>
      <c r="F34" s="56">
        <v>0</v>
      </c>
      <c r="G34" s="57">
        <f t="shared" si="0"/>
        <v>261370685.63116306</v>
      </c>
      <c r="H34" s="56">
        <v>5989742267.1737003</v>
      </c>
      <c r="I34" s="58">
        <f t="shared" si="1"/>
        <v>14963469140.5103</v>
      </c>
    </row>
    <row r="35" spans="1:10">
      <c r="A35" s="54">
        <v>30</v>
      </c>
      <c r="B35" s="55" t="s">
        <v>104</v>
      </c>
      <c r="C35" s="56">
        <v>10989957555.011942</v>
      </c>
      <c r="D35" s="56">
        <v>0</v>
      </c>
      <c r="E35" s="56">
        <v>329698726.65035826</v>
      </c>
      <c r="F35" s="56">
        <v>0</v>
      </c>
      <c r="G35" s="57">
        <f t="shared" si="0"/>
        <v>329698726.65035826</v>
      </c>
      <c r="H35" s="56">
        <v>10416339597.4433</v>
      </c>
      <c r="I35" s="58">
        <f t="shared" si="1"/>
        <v>21735995879.105598</v>
      </c>
    </row>
    <row r="36" spans="1:10">
      <c r="A36" s="54">
        <v>31</v>
      </c>
      <c r="B36" s="55" t="s">
        <v>105</v>
      </c>
      <c r="C36" s="56">
        <v>6889230887.1076698</v>
      </c>
      <c r="D36" s="56">
        <v>0</v>
      </c>
      <c r="E36" s="56">
        <v>206676926.61323008</v>
      </c>
      <c r="F36" s="57">
        <f>E36/2</f>
        <v>103338463.30661504</v>
      </c>
      <c r="G36" s="57">
        <f t="shared" si="0"/>
        <v>103338463.30661504</v>
      </c>
      <c r="H36" s="56">
        <v>4133321675.7389002</v>
      </c>
      <c r="I36" s="58">
        <f t="shared" si="1"/>
        <v>11125891026.153185</v>
      </c>
    </row>
    <row r="37" spans="1:10">
      <c r="A37" s="54">
        <v>32</v>
      </c>
      <c r="B37" s="55" t="s">
        <v>106</v>
      </c>
      <c r="C37" s="56">
        <v>8539583602.17097</v>
      </c>
      <c r="D37" s="56">
        <v>0</v>
      </c>
      <c r="E37" s="56">
        <v>256187508.06512913</v>
      </c>
      <c r="F37" s="56">
        <f>E37</f>
        <v>256187508.06512913</v>
      </c>
      <c r="G37" s="57">
        <f t="shared" si="0"/>
        <v>0</v>
      </c>
      <c r="H37" s="56">
        <v>20257703976.756699</v>
      </c>
      <c r="I37" s="58">
        <f t="shared" si="1"/>
        <v>28797287578.92767</v>
      </c>
    </row>
    <row r="38" spans="1:10">
      <c r="A38" s="54">
        <v>33</v>
      </c>
      <c r="B38" s="55" t="s">
        <v>107</v>
      </c>
      <c r="C38" s="56">
        <v>8600682409.4183483</v>
      </c>
      <c r="D38" s="56">
        <v>0</v>
      </c>
      <c r="E38" s="56">
        <v>258020472.28255045</v>
      </c>
      <c r="F38" s="56">
        <v>0</v>
      </c>
      <c r="G38" s="57">
        <f t="shared" si="0"/>
        <v>258020472.28255045</v>
      </c>
      <c r="H38" s="56">
        <v>5121298937.3857002</v>
      </c>
      <c r="I38" s="58">
        <f t="shared" si="1"/>
        <v>13980001819.086599</v>
      </c>
    </row>
    <row r="39" spans="1:10">
      <c r="A39" s="54">
        <v>34</v>
      </c>
      <c r="B39" s="55" t="s">
        <v>108</v>
      </c>
      <c r="C39" s="56">
        <v>6446240239.9696121</v>
      </c>
      <c r="D39" s="56">
        <v>0</v>
      </c>
      <c r="E39" s="56">
        <v>193387207.19908836</v>
      </c>
      <c r="F39" s="57">
        <f>E39/2</f>
        <v>96693603.599544182</v>
      </c>
      <c r="G39" s="57">
        <f t="shared" si="0"/>
        <v>96693603.599544182</v>
      </c>
      <c r="H39" s="56">
        <v>4467679254.7164001</v>
      </c>
      <c r="I39" s="58">
        <f t="shared" si="1"/>
        <v>11010613098.285557</v>
      </c>
    </row>
    <row r="40" spans="1:10">
      <c r="A40" s="54">
        <v>35</v>
      </c>
      <c r="B40" s="55" t="s">
        <v>109</v>
      </c>
      <c r="C40" s="56">
        <v>6481129629.6599026</v>
      </c>
      <c r="D40" s="56">
        <v>0</v>
      </c>
      <c r="E40" s="56">
        <v>194433888.88979709</v>
      </c>
      <c r="F40" s="56">
        <v>0</v>
      </c>
      <c r="G40" s="57">
        <f t="shared" si="0"/>
        <v>194433888.88979709</v>
      </c>
      <c r="H40" s="56">
        <v>3744733106.9338002</v>
      </c>
      <c r="I40" s="58">
        <f t="shared" si="1"/>
        <v>10420296625.4835</v>
      </c>
    </row>
    <row r="41" spans="1:10">
      <c r="A41" s="54">
        <v>36</v>
      </c>
      <c r="B41" s="55" t="s">
        <v>110</v>
      </c>
      <c r="C41" s="56">
        <v>5856133871.8374758</v>
      </c>
      <c r="D41" s="56">
        <v>0</v>
      </c>
      <c r="E41" s="56">
        <v>175684016.15512425</v>
      </c>
      <c r="F41" s="56">
        <v>0</v>
      </c>
      <c r="G41" s="57">
        <f t="shared" si="0"/>
        <v>175684016.15512425</v>
      </c>
      <c r="H41" s="56">
        <v>3823436998.7515001</v>
      </c>
      <c r="I41" s="58">
        <f t="shared" si="1"/>
        <v>9855254886.7441006</v>
      </c>
    </row>
    <row r="42" spans="1:10">
      <c r="A42" s="54">
        <v>37</v>
      </c>
      <c r="B42" s="55" t="s">
        <v>917</v>
      </c>
      <c r="C42" s="56">
        <v>2586474442.7672815</v>
      </c>
      <c r="D42" s="56">
        <v>0</v>
      </c>
      <c r="E42" s="56">
        <v>77594233.28301844</v>
      </c>
      <c r="F42" s="56">
        <v>0</v>
      </c>
      <c r="G42" s="57">
        <f t="shared" si="0"/>
        <v>77594233.28301844</v>
      </c>
      <c r="H42" s="56">
        <v>8246559901.3240004</v>
      </c>
      <c r="I42" s="58">
        <f t="shared" si="1"/>
        <v>10910628577.3743</v>
      </c>
    </row>
    <row r="43" spans="1:10">
      <c r="A43" s="20"/>
      <c r="B43" s="20"/>
      <c r="C43" s="45">
        <f>SUM(C6:C42)</f>
        <v>284662713245.99951</v>
      </c>
      <c r="D43" s="45">
        <f t="shared" ref="D43:I43" si="2">SUM(D6:D42)</f>
        <v>-49360399.039999999</v>
      </c>
      <c r="E43" s="45">
        <f t="shared" si="2"/>
        <v>8539881397.3799877</v>
      </c>
      <c r="F43" s="45">
        <f t="shared" si="2"/>
        <v>3022223257.1318302</v>
      </c>
      <c r="G43" s="45">
        <f t="shared" si="2"/>
        <v>5517658140.2481594</v>
      </c>
      <c r="H43" s="45">
        <f t="shared" si="2"/>
        <v>241074745399.57834</v>
      </c>
      <c r="I43" s="45">
        <f t="shared" si="2"/>
        <v>531205756386.78619</v>
      </c>
      <c r="J43" s="44"/>
    </row>
    <row r="45" spans="1:10">
      <c r="G45" s="43"/>
      <c r="I45" s="44"/>
    </row>
    <row r="46" spans="1:10">
      <c r="C46" s="43"/>
      <c r="D46" s="43"/>
      <c r="I46" s="44"/>
    </row>
    <row r="47" spans="1:10">
      <c r="J47" s="44"/>
    </row>
  </sheetData>
  <mergeCells count="3">
    <mergeCell ref="A1:I1"/>
    <mergeCell ref="A2:I2"/>
    <mergeCell ref="A3:I3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6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"/>
  <sheetViews>
    <sheetView topLeftCell="A24" zoomScale="96" zoomScaleNormal="96" workbookViewId="0">
      <selection activeCell="A48" sqref="A48"/>
    </sheetView>
  </sheetViews>
  <sheetFormatPr defaultColWidth="8.86328125" defaultRowHeight="17.649999999999999"/>
  <cols>
    <col min="1" max="1" width="8.86328125" style="29"/>
    <col min="2" max="2" width="20.1328125" style="29" customWidth="1"/>
    <col min="3" max="3" width="26.265625" style="29" customWidth="1"/>
    <col min="4" max="5" width="24.86328125" style="29" customWidth="1"/>
    <col min="6" max="6" width="19.59765625" style="29" customWidth="1"/>
    <col min="7" max="7" width="23" style="29" customWidth="1"/>
    <col min="8" max="8" width="21.73046875" style="29" customWidth="1"/>
    <col min="9" max="9" width="22.73046875" style="29" customWidth="1"/>
    <col min="10" max="16384" width="8.86328125" style="29"/>
  </cols>
  <sheetData>
    <row r="1" spans="1:9" ht="19.899999999999999">
      <c r="A1" s="194" t="s">
        <v>111</v>
      </c>
      <c r="B1" s="195"/>
      <c r="C1" s="195"/>
      <c r="D1" s="196"/>
      <c r="E1" s="30"/>
    </row>
    <row r="2" spans="1:9" ht="19.899999999999999">
      <c r="A2" s="157" t="s">
        <v>55</v>
      </c>
      <c r="B2" s="157"/>
      <c r="C2" s="157"/>
      <c r="D2" s="157"/>
      <c r="E2" s="30"/>
    </row>
    <row r="3" spans="1:9" ht="54" customHeight="1">
      <c r="A3" s="197" t="s">
        <v>984</v>
      </c>
      <c r="B3" s="198"/>
      <c r="C3" s="198"/>
      <c r="D3" s="199"/>
      <c r="E3" s="31"/>
    </row>
    <row r="4" spans="1:9" ht="45" customHeight="1">
      <c r="A4" s="32" t="s">
        <v>936</v>
      </c>
      <c r="B4" s="33" t="s">
        <v>112</v>
      </c>
      <c r="C4" s="8" t="s">
        <v>937</v>
      </c>
      <c r="D4" s="33" t="s">
        <v>934</v>
      </c>
      <c r="E4" s="34"/>
      <c r="F4" s="35"/>
      <c r="G4" s="36"/>
      <c r="H4" s="36"/>
    </row>
    <row r="5" spans="1:9">
      <c r="A5" s="37"/>
      <c r="B5" s="37"/>
      <c r="C5" s="141" t="s">
        <v>25</v>
      </c>
      <c r="D5" s="141" t="s">
        <v>25</v>
      </c>
      <c r="E5" s="38"/>
    </row>
    <row r="6" spans="1:9">
      <c r="A6" s="39">
        <v>1</v>
      </c>
      <c r="B6" s="40" t="s">
        <v>75</v>
      </c>
      <c r="C6" s="41">
        <v>253053785.27610001</v>
      </c>
      <c r="D6" s="42">
        <f>C6</f>
        <v>253053785.27610001</v>
      </c>
      <c r="E6" s="43"/>
      <c r="F6" s="44"/>
      <c r="G6" s="44"/>
      <c r="H6" s="44"/>
      <c r="I6" s="44"/>
    </row>
    <row r="7" spans="1:9">
      <c r="A7" s="39">
        <v>2</v>
      </c>
      <c r="B7" s="40" t="s">
        <v>76</v>
      </c>
      <c r="C7" s="41">
        <v>269205710.78939998</v>
      </c>
      <c r="D7" s="42">
        <f t="shared" ref="D7:D41" si="0">C7</f>
        <v>269205710.78939998</v>
      </c>
      <c r="E7" s="43"/>
      <c r="F7" s="44"/>
      <c r="G7" s="44"/>
      <c r="H7" s="44"/>
      <c r="I7" s="44"/>
    </row>
    <row r="8" spans="1:9">
      <c r="A8" s="39">
        <v>3</v>
      </c>
      <c r="B8" s="40" t="s">
        <v>77</v>
      </c>
      <c r="C8" s="41">
        <v>271707418.30320001</v>
      </c>
      <c r="D8" s="42">
        <f t="shared" si="0"/>
        <v>271707418.30320001</v>
      </c>
      <c r="E8" s="43"/>
      <c r="F8" s="44"/>
      <c r="G8" s="44"/>
      <c r="H8" s="44"/>
      <c r="I8" s="44"/>
    </row>
    <row r="9" spans="1:9">
      <c r="A9" s="39">
        <v>4</v>
      </c>
      <c r="B9" s="40" t="s">
        <v>78</v>
      </c>
      <c r="C9" s="41">
        <v>268701385.58350003</v>
      </c>
      <c r="D9" s="42">
        <f t="shared" si="0"/>
        <v>268701385.58350003</v>
      </c>
      <c r="E9" s="43"/>
      <c r="F9" s="44"/>
      <c r="G9" s="44"/>
      <c r="H9" s="44"/>
      <c r="I9" s="44"/>
    </row>
    <row r="10" spans="1:9">
      <c r="A10" s="39">
        <v>5</v>
      </c>
      <c r="B10" s="40" t="s">
        <v>79</v>
      </c>
      <c r="C10" s="41">
        <v>323256769.4095</v>
      </c>
      <c r="D10" s="42">
        <f t="shared" si="0"/>
        <v>323256769.4095</v>
      </c>
      <c r="E10" s="43"/>
      <c r="F10" s="44"/>
      <c r="G10" s="44"/>
      <c r="H10" s="44"/>
      <c r="I10" s="44"/>
    </row>
    <row r="11" spans="1:9">
      <c r="A11" s="39">
        <v>6</v>
      </c>
      <c r="B11" s="40" t="s">
        <v>80</v>
      </c>
      <c r="C11" s="41">
        <v>239118129.3655</v>
      </c>
      <c r="D11" s="42">
        <f t="shared" si="0"/>
        <v>239118129.3655</v>
      </c>
      <c r="E11" s="43"/>
      <c r="F11" s="44"/>
      <c r="G11" s="44"/>
      <c r="H11" s="44"/>
      <c r="I11" s="44"/>
    </row>
    <row r="12" spans="1:9" ht="30" customHeight="1">
      <c r="A12" s="39">
        <v>7</v>
      </c>
      <c r="B12" s="40" t="s">
        <v>81</v>
      </c>
      <c r="C12" s="41">
        <v>303074117.9425</v>
      </c>
      <c r="D12" s="42">
        <f t="shared" si="0"/>
        <v>303074117.9425</v>
      </c>
      <c r="E12" s="43"/>
      <c r="F12" s="44"/>
      <c r="G12" s="44"/>
      <c r="H12" s="44"/>
      <c r="I12" s="44"/>
    </row>
    <row r="13" spans="1:9">
      <c r="A13" s="39">
        <v>8</v>
      </c>
      <c r="B13" s="40" t="s">
        <v>82</v>
      </c>
      <c r="C13" s="41">
        <v>335762687.91140002</v>
      </c>
      <c r="D13" s="42">
        <f t="shared" si="0"/>
        <v>335762687.91140002</v>
      </c>
      <c r="E13" s="43"/>
      <c r="F13" s="44"/>
      <c r="G13" s="44"/>
      <c r="H13" s="44"/>
      <c r="I13" s="44"/>
    </row>
    <row r="14" spans="1:9">
      <c r="A14" s="39">
        <v>9</v>
      </c>
      <c r="B14" s="40" t="s">
        <v>83</v>
      </c>
      <c r="C14" s="41">
        <v>271753755.65780002</v>
      </c>
      <c r="D14" s="42">
        <f t="shared" si="0"/>
        <v>271753755.65780002</v>
      </c>
      <c r="E14" s="43"/>
      <c r="F14" s="44"/>
      <c r="G14" s="44"/>
      <c r="H14" s="44"/>
      <c r="I14" s="44"/>
    </row>
    <row r="15" spans="1:9">
      <c r="A15" s="39">
        <v>10</v>
      </c>
      <c r="B15" s="40" t="s">
        <v>84</v>
      </c>
      <c r="C15" s="41">
        <v>274395465.60790002</v>
      </c>
      <c r="D15" s="42">
        <f t="shared" si="0"/>
        <v>274395465.60790002</v>
      </c>
      <c r="E15" s="43"/>
      <c r="F15" s="44"/>
      <c r="G15" s="44"/>
      <c r="H15" s="44"/>
      <c r="I15" s="44"/>
    </row>
    <row r="16" spans="1:9">
      <c r="A16" s="39">
        <v>11</v>
      </c>
      <c r="B16" s="40" t="s">
        <v>85</v>
      </c>
      <c r="C16" s="41">
        <v>241773077.0663</v>
      </c>
      <c r="D16" s="42">
        <f t="shared" si="0"/>
        <v>241773077.0663</v>
      </c>
      <c r="E16" s="43"/>
      <c r="F16" s="44"/>
      <c r="G16" s="44"/>
      <c r="H16" s="44"/>
      <c r="I16" s="44"/>
    </row>
    <row r="17" spans="1:9">
      <c r="A17" s="39">
        <v>12</v>
      </c>
      <c r="B17" s="40" t="s">
        <v>86</v>
      </c>
      <c r="C17" s="41">
        <v>252691614.3628</v>
      </c>
      <c r="D17" s="42">
        <f t="shared" si="0"/>
        <v>252691614.3628</v>
      </c>
      <c r="E17" s="43"/>
      <c r="F17" s="44"/>
      <c r="G17" s="44"/>
      <c r="H17" s="44"/>
      <c r="I17" s="44"/>
    </row>
    <row r="18" spans="1:9">
      <c r="A18" s="39">
        <v>13</v>
      </c>
      <c r="B18" s="40" t="s">
        <v>87</v>
      </c>
      <c r="C18" s="41">
        <v>241636645.92789999</v>
      </c>
      <c r="D18" s="42">
        <f t="shared" si="0"/>
        <v>241636645.92789999</v>
      </c>
      <c r="E18" s="43"/>
      <c r="F18" s="44"/>
      <c r="G18" s="44"/>
      <c r="H18" s="44"/>
      <c r="I18" s="44"/>
    </row>
    <row r="19" spans="1:9">
      <c r="A19" s="39">
        <v>14</v>
      </c>
      <c r="B19" s="40" t="s">
        <v>88</v>
      </c>
      <c r="C19" s="41">
        <v>271777209.84170002</v>
      </c>
      <c r="D19" s="42">
        <f t="shared" si="0"/>
        <v>271777209.84170002</v>
      </c>
      <c r="E19" s="43"/>
      <c r="F19" s="44"/>
      <c r="G19" s="44"/>
      <c r="H19" s="44"/>
      <c r="I19" s="44"/>
    </row>
    <row r="20" spans="1:9">
      <c r="A20" s="39">
        <v>15</v>
      </c>
      <c r="B20" s="40" t="s">
        <v>89</v>
      </c>
      <c r="C20" s="41">
        <v>254549205.1875</v>
      </c>
      <c r="D20" s="42">
        <f t="shared" si="0"/>
        <v>254549205.1875</v>
      </c>
      <c r="E20" s="43"/>
      <c r="F20" s="44"/>
      <c r="G20" s="44"/>
      <c r="H20" s="44"/>
      <c r="I20" s="44"/>
    </row>
    <row r="21" spans="1:9">
      <c r="A21" s="39">
        <v>16</v>
      </c>
      <c r="B21" s="40" t="s">
        <v>90</v>
      </c>
      <c r="C21" s="41">
        <v>280977621.48540002</v>
      </c>
      <c r="D21" s="42">
        <f t="shared" si="0"/>
        <v>280977621.48540002</v>
      </c>
      <c r="E21" s="43"/>
      <c r="F21" s="44"/>
      <c r="G21" s="44"/>
      <c r="H21" s="44"/>
      <c r="I21" s="44"/>
    </row>
    <row r="22" spans="1:9">
      <c r="A22" s="39">
        <v>17</v>
      </c>
      <c r="B22" s="40" t="s">
        <v>91</v>
      </c>
      <c r="C22" s="41">
        <v>302217496.57450002</v>
      </c>
      <c r="D22" s="42">
        <f t="shared" si="0"/>
        <v>302217496.57450002</v>
      </c>
      <c r="E22" s="43"/>
      <c r="F22" s="44"/>
      <c r="G22" s="44"/>
      <c r="H22" s="44"/>
      <c r="I22" s="44"/>
    </row>
    <row r="23" spans="1:9">
      <c r="A23" s="39">
        <v>18</v>
      </c>
      <c r="B23" s="40" t="s">
        <v>92</v>
      </c>
      <c r="C23" s="41">
        <v>354082948.28740001</v>
      </c>
      <c r="D23" s="42">
        <f t="shared" si="0"/>
        <v>354082948.28740001</v>
      </c>
      <c r="E23" s="43"/>
      <c r="F23" s="44"/>
      <c r="G23" s="44"/>
      <c r="H23" s="44"/>
      <c r="I23" s="44"/>
    </row>
    <row r="24" spans="1:9">
      <c r="A24" s="39">
        <v>19</v>
      </c>
      <c r="B24" s="40" t="s">
        <v>93</v>
      </c>
      <c r="C24" s="41">
        <v>428656828.91329998</v>
      </c>
      <c r="D24" s="42">
        <f t="shared" si="0"/>
        <v>428656828.91329998</v>
      </c>
      <c r="E24" s="43"/>
      <c r="F24" s="44"/>
      <c r="G24" s="44"/>
      <c r="H24" s="44"/>
      <c r="I24" s="44"/>
    </row>
    <row r="25" spans="1:9">
      <c r="A25" s="39">
        <v>20</v>
      </c>
      <c r="B25" s="40" t="s">
        <v>94</v>
      </c>
      <c r="C25" s="41">
        <v>332196842.85460001</v>
      </c>
      <c r="D25" s="42">
        <f t="shared" si="0"/>
        <v>332196842.85460001</v>
      </c>
      <c r="E25" s="43"/>
      <c r="F25" s="44"/>
      <c r="G25" s="44"/>
      <c r="H25" s="44"/>
      <c r="I25" s="44"/>
    </row>
    <row r="26" spans="1:9">
      <c r="A26" s="39">
        <v>21</v>
      </c>
      <c r="B26" s="40" t="s">
        <v>95</v>
      </c>
      <c r="C26" s="41">
        <v>285358745.35890001</v>
      </c>
      <c r="D26" s="42">
        <f t="shared" si="0"/>
        <v>285358745.35890001</v>
      </c>
      <c r="E26" s="43"/>
      <c r="F26" s="44"/>
      <c r="G26" s="44"/>
      <c r="H26" s="44"/>
      <c r="I26" s="44"/>
    </row>
    <row r="27" spans="1:9">
      <c r="A27" s="39">
        <v>22</v>
      </c>
      <c r="B27" s="40" t="s">
        <v>96</v>
      </c>
      <c r="C27" s="41">
        <v>298684459.32340002</v>
      </c>
      <c r="D27" s="42">
        <f t="shared" si="0"/>
        <v>298684459.32340002</v>
      </c>
      <c r="E27" s="43"/>
      <c r="F27" s="44"/>
      <c r="G27" s="44"/>
      <c r="H27" s="44"/>
      <c r="I27" s="44"/>
    </row>
    <row r="28" spans="1:9">
      <c r="A28" s="39">
        <v>23</v>
      </c>
      <c r="B28" s="40" t="s">
        <v>97</v>
      </c>
      <c r="C28" s="41">
        <v>240559336.37509999</v>
      </c>
      <c r="D28" s="42">
        <f t="shared" si="0"/>
        <v>240559336.37509999</v>
      </c>
      <c r="E28" s="43"/>
      <c r="F28" s="44"/>
      <c r="G28" s="44"/>
      <c r="H28" s="44"/>
      <c r="I28" s="44"/>
    </row>
    <row r="29" spans="1:9">
      <c r="A29" s="39">
        <v>24</v>
      </c>
      <c r="B29" s="40" t="s">
        <v>98</v>
      </c>
      <c r="C29" s="41">
        <v>362028500.2374</v>
      </c>
      <c r="D29" s="42">
        <f t="shared" si="0"/>
        <v>362028500.2374</v>
      </c>
      <c r="E29" s="43"/>
      <c r="F29" s="44"/>
      <c r="G29" s="44"/>
      <c r="H29" s="44"/>
      <c r="I29" s="44"/>
    </row>
    <row r="30" spans="1:9">
      <c r="A30" s="39">
        <v>25</v>
      </c>
      <c r="B30" s="40" t="s">
        <v>99</v>
      </c>
      <c r="C30" s="41">
        <v>249219989.3876</v>
      </c>
      <c r="D30" s="42">
        <f t="shared" si="0"/>
        <v>249219989.3876</v>
      </c>
      <c r="E30" s="43"/>
      <c r="F30" s="44"/>
      <c r="G30" s="44"/>
      <c r="H30" s="44"/>
      <c r="I30" s="44"/>
    </row>
    <row r="31" spans="1:9">
      <c r="A31" s="39">
        <v>26</v>
      </c>
      <c r="B31" s="40" t="s">
        <v>100</v>
      </c>
      <c r="C31" s="41">
        <v>320111980.0934</v>
      </c>
      <c r="D31" s="42">
        <f t="shared" si="0"/>
        <v>320111980.0934</v>
      </c>
      <c r="E31" s="43"/>
      <c r="F31" s="44"/>
      <c r="G31" s="44"/>
      <c r="H31" s="44"/>
      <c r="I31" s="44"/>
    </row>
    <row r="32" spans="1:9">
      <c r="A32" s="39">
        <v>27</v>
      </c>
      <c r="B32" s="40" t="s">
        <v>101</v>
      </c>
      <c r="C32" s="41">
        <v>251070946.68849999</v>
      </c>
      <c r="D32" s="42">
        <f t="shared" si="0"/>
        <v>251070946.68849999</v>
      </c>
      <c r="E32" s="43"/>
      <c r="F32" s="44"/>
      <c r="G32" s="44"/>
      <c r="H32" s="44"/>
      <c r="I32" s="44"/>
    </row>
    <row r="33" spans="1:9">
      <c r="A33" s="39">
        <v>28</v>
      </c>
      <c r="B33" s="40" t="s">
        <v>102</v>
      </c>
      <c r="C33" s="41">
        <v>251568346.3522</v>
      </c>
      <c r="D33" s="42">
        <f t="shared" si="0"/>
        <v>251568346.3522</v>
      </c>
      <c r="E33" s="43"/>
      <c r="F33" s="44"/>
      <c r="G33" s="44"/>
      <c r="H33" s="44"/>
      <c r="I33" s="44"/>
    </row>
    <row r="34" spans="1:9">
      <c r="A34" s="39">
        <v>29</v>
      </c>
      <c r="B34" s="40" t="s">
        <v>103</v>
      </c>
      <c r="C34" s="41">
        <v>246468317.1866</v>
      </c>
      <c r="D34" s="42">
        <f t="shared" si="0"/>
        <v>246468317.1866</v>
      </c>
      <c r="E34" s="43"/>
      <c r="F34" s="44"/>
      <c r="G34" s="44"/>
      <c r="H34" s="44"/>
      <c r="I34" s="44"/>
    </row>
    <row r="35" spans="1:9">
      <c r="A35" s="39">
        <v>30</v>
      </c>
      <c r="B35" s="40" t="s">
        <v>104</v>
      </c>
      <c r="C35" s="41">
        <v>303107604.02329999</v>
      </c>
      <c r="D35" s="42">
        <f t="shared" si="0"/>
        <v>303107604.02329999</v>
      </c>
      <c r="E35" s="43"/>
      <c r="F35" s="44"/>
      <c r="G35" s="44"/>
      <c r="H35" s="44"/>
      <c r="I35" s="44"/>
    </row>
    <row r="36" spans="1:9">
      <c r="A36" s="39">
        <v>31</v>
      </c>
      <c r="B36" s="40" t="s">
        <v>105</v>
      </c>
      <c r="C36" s="41">
        <v>282203167.91960001</v>
      </c>
      <c r="D36" s="42">
        <f t="shared" si="0"/>
        <v>282203167.91960001</v>
      </c>
      <c r="E36" s="43"/>
      <c r="F36" s="44"/>
      <c r="G36" s="44"/>
      <c r="H36" s="44"/>
      <c r="I36" s="44"/>
    </row>
    <row r="37" spans="1:9">
      <c r="A37" s="39">
        <v>32</v>
      </c>
      <c r="B37" s="40" t="s">
        <v>106</v>
      </c>
      <c r="C37" s="41">
        <v>291449096.59539998</v>
      </c>
      <c r="D37" s="42">
        <f t="shared" si="0"/>
        <v>291449096.59539998</v>
      </c>
      <c r="E37" s="43"/>
      <c r="F37" s="44"/>
      <c r="G37" s="44"/>
      <c r="H37" s="44"/>
      <c r="I37" s="44"/>
    </row>
    <row r="38" spans="1:9">
      <c r="A38" s="39">
        <v>33</v>
      </c>
      <c r="B38" s="40" t="s">
        <v>107</v>
      </c>
      <c r="C38" s="41">
        <v>297834518.17919999</v>
      </c>
      <c r="D38" s="42">
        <f t="shared" si="0"/>
        <v>297834518.17919999</v>
      </c>
      <c r="E38" s="43"/>
      <c r="F38" s="44"/>
      <c r="G38" s="44"/>
      <c r="H38" s="44"/>
      <c r="I38" s="44"/>
    </row>
    <row r="39" spans="1:9">
      <c r="A39" s="39">
        <v>34</v>
      </c>
      <c r="B39" s="40" t="s">
        <v>108</v>
      </c>
      <c r="C39" s="41">
        <v>260319812.68740001</v>
      </c>
      <c r="D39" s="42">
        <f t="shared" si="0"/>
        <v>260319812.68740001</v>
      </c>
      <c r="E39" s="43"/>
      <c r="F39" s="44"/>
      <c r="G39" s="44"/>
      <c r="H39" s="44"/>
      <c r="I39" s="44"/>
    </row>
    <row r="40" spans="1:9">
      <c r="A40" s="39">
        <v>35</v>
      </c>
      <c r="B40" s="40" t="s">
        <v>109</v>
      </c>
      <c r="C40" s="41">
        <v>268356309.75929999</v>
      </c>
      <c r="D40" s="42">
        <f t="shared" si="0"/>
        <v>268356309.75929999</v>
      </c>
      <c r="E40" s="43"/>
      <c r="F40" s="44"/>
      <c r="G40" s="44"/>
      <c r="H40" s="44"/>
      <c r="I40" s="44"/>
    </row>
    <row r="41" spans="1:9">
      <c r="A41" s="39">
        <v>36</v>
      </c>
      <c r="B41" s="40" t="s">
        <v>110</v>
      </c>
      <c r="C41" s="41">
        <v>268927830.3405</v>
      </c>
      <c r="D41" s="42">
        <f t="shared" si="0"/>
        <v>268927830.3405</v>
      </c>
      <c r="E41" s="43"/>
      <c r="F41" s="44"/>
      <c r="G41" s="44"/>
      <c r="H41" s="44"/>
      <c r="I41" s="44"/>
    </row>
    <row r="42" spans="1:9">
      <c r="A42" s="200" t="s">
        <v>24</v>
      </c>
      <c r="B42" s="201"/>
      <c r="C42" s="45">
        <f>SUM(C6:C41)</f>
        <v>10247857676.856001</v>
      </c>
      <c r="D42" s="45">
        <f t="shared" ref="D42" si="1">SUM(D6:D41)</f>
        <v>10247857676.856001</v>
      </c>
      <c r="E42" s="46"/>
    </row>
    <row r="44" spans="1:9">
      <c r="D44" s="44"/>
    </row>
    <row r="47" spans="1:9">
      <c r="C47" s="47"/>
    </row>
    <row r="49" spans="3:3">
      <c r="C49" s="44"/>
    </row>
  </sheetData>
  <mergeCells count="4">
    <mergeCell ref="A1:D1"/>
    <mergeCell ref="A2:D2"/>
    <mergeCell ref="A3:D3"/>
    <mergeCell ref="A42:B4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"/>
  <sheetViews>
    <sheetView topLeftCell="A23" workbookViewId="0">
      <selection activeCell="A45" sqref="A45"/>
    </sheetView>
  </sheetViews>
  <sheetFormatPr defaultColWidth="9" defaultRowHeight="12.75"/>
  <cols>
    <col min="1" max="1" width="5" customWidth="1"/>
    <col min="2" max="2" width="25.3984375" customWidth="1"/>
    <col min="3" max="4" width="22" customWidth="1"/>
  </cols>
  <sheetData>
    <row r="1" spans="1:4" ht="19.899999999999999">
      <c r="A1" s="157" t="s">
        <v>17</v>
      </c>
      <c r="B1" s="157"/>
      <c r="C1" s="157"/>
      <c r="D1" s="157"/>
    </row>
    <row r="2" spans="1:4" ht="19.899999999999999">
      <c r="A2" s="157" t="s">
        <v>55</v>
      </c>
      <c r="B2" s="157"/>
      <c r="C2" s="157"/>
      <c r="D2" s="157"/>
    </row>
    <row r="3" spans="1:4" ht="51.75" customHeight="1">
      <c r="A3" s="202" t="s">
        <v>988</v>
      </c>
      <c r="B3" s="202"/>
      <c r="C3" s="202"/>
      <c r="D3" s="202"/>
    </row>
    <row r="4" spans="1:4" ht="51.75">
      <c r="A4" s="22" t="s">
        <v>936</v>
      </c>
      <c r="B4" s="22" t="s">
        <v>938</v>
      </c>
      <c r="C4" s="23" t="s">
        <v>937</v>
      </c>
      <c r="D4" s="4" t="s">
        <v>934</v>
      </c>
    </row>
    <row r="5" spans="1:4" ht="15">
      <c r="A5" s="24"/>
      <c r="B5" s="24"/>
      <c r="C5" s="141" t="s">
        <v>25</v>
      </c>
      <c r="D5" s="141" t="s">
        <v>25</v>
      </c>
    </row>
    <row r="6" spans="1:4" ht="17.649999999999999">
      <c r="A6" s="25">
        <v>1</v>
      </c>
      <c r="B6" s="26" t="s">
        <v>939</v>
      </c>
      <c r="C6" s="27">
        <v>177255222.56050193</v>
      </c>
      <c r="D6" s="28">
        <f>C6</f>
        <v>177255222.56050193</v>
      </c>
    </row>
    <row r="7" spans="1:4" ht="17.649999999999999">
      <c r="A7" s="25">
        <v>2</v>
      </c>
      <c r="B7" s="26" t="s">
        <v>940</v>
      </c>
      <c r="C7" s="27">
        <v>223582022.99058348</v>
      </c>
      <c r="D7" s="28">
        <f t="shared" ref="D7:D42" si="0">C7</f>
        <v>223582022.99058348</v>
      </c>
    </row>
    <row r="8" spans="1:4" ht="17.649999999999999">
      <c r="A8" s="25">
        <v>3</v>
      </c>
      <c r="B8" s="26" t="s">
        <v>941</v>
      </c>
      <c r="C8" s="27">
        <v>297798116.32837862</v>
      </c>
      <c r="D8" s="28">
        <f t="shared" si="0"/>
        <v>297798116.32837862</v>
      </c>
    </row>
    <row r="9" spans="1:4" ht="17.649999999999999">
      <c r="A9" s="25">
        <v>4</v>
      </c>
      <c r="B9" s="26" t="s">
        <v>942</v>
      </c>
      <c r="C9" s="27">
        <v>224790283.94690967</v>
      </c>
      <c r="D9" s="28">
        <f t="shared" si="0"/>
        <v>224790283.94690967</v>
      </c>
    </row>
    <row r="10" spans="1:4" ht="17.649999999999999">
      <c r="A10" s="25">
        <v>5</v>
      </c>
      <c r="B10" s="26" t="s">
        <v>943</v>
      </c>
      <c r="C10" s="27">
        <v>255181455.47394758</v>
      </c>
      <c r="D10" s="28">
        <f t="shared" si="0"/>
        <v>255181455.47394758</v>
      </c>
    </row>
    <row r="11" spans="1:4" ht="17.649999999999999">
      <c r="A11" s="25">
        <v>6</v>
      </c>
      <c r="B11" s="26" t="s">
        <v>944</v>
      </c>
      <c r="C11" s="27">
        <v>103868192.86968641</v>
      </c>
      <c r="D11" s="28">
        <f t="shared" si="0"/>
        <v>103868192.86968641</v>
      </c>
    </row>
    <row r="12" spans="1:4" ht="17.649999999999999">
      <c r="A12" s="25">
        <v>7</v>
      </c>
      <c r="B12" s="26" t="s">
        <v>945</v>
      </c>
      <c r="C12" s="27">
        <v>277676917.66665721</v>
      </c>
      <c r="D12" s="28">
        <f t="shared" si="0"/>
        <v>277676917.66665721</v>
      </c>
    </row>
    <row r="13" spans="1:4" ht="17.649999999999999">
      <c r="A13" s="25">
        <v>8</v>
      </c>
      <c r="B13" s="26" t="s">
        <v>946</v>
      </c>
      <c r="C13" s="27">
        <v>301473919.45031363</v>
      </c>
      <c r="D13" s="28">
        <f t="shared" si="0"/>
        <v>301473919.45031363</v>
      </c>
    </row>
    <row r="14" spans="1:4" ht="17.649999999999999">
      <c r="A14" s="25">
        <v>9</v>
      </c>
      <c r="B14" s="26" t="s">
        <v>947</v>
      </c>
      <c r="C14" s="27">
        <v>194350740.67541063</v>
      </c>
      <c r="D14" s="28">
        <f t="shared" si="0"/>
        <v>194350740.67541063</v>
      </c>
    </row>
    <row r="15" spans="1:4" ht="17.649999999999999">
      <c r="A15" s="25">
        <v>10</v>
      </c>
      <c r="B15" s="26" t="s">
        <v>948</v>
      </c>
      <c r="C15" s="27">
        <v>249032600.01019803</v>
      </c>
      <c r="D15" s="28">
        <f t="shared" si="0"/>
        <v>249032600.01019803</v>
      </c>
    </row>
    <row r="16" spans="1:4" ht="17.649999999999999">
      <c r="A16" s="25">
        <v>11</v>
      </c>
      <c r="B16" s="26" t="s">
        <v>949</v>
      </c>
      <c r="C16" s="27">
        <v>143768152.5586369</v>
      </c>
      <c r="D16" s="28">
        <f t="shared" si="0"/>
        <v>143768152.5586369</v>
      </c>
    </row>
    <row r="17" spans="1:4" ht="17.649999999999999">
      <c r="A17" s="25">
        <v>12</v>
      </c>
      <c r="B17" s="26" t="s">
        <v>950</v>
      </c>
      <c r="C17" s="27">
        <v>190543645.76967087</v>
      </c>
      <c r="D17" s="28">
        <f t="shared" si="0"/>
        <v>190543645.76967087</v>
      </c>
    </row>
    <row r="18" spans="1:4" ht="17.649999999999999">
      <c r="A18" s="25">
        <v>13</v>
      </c>
      <c r="B18" s="26" t="s">
        <v>951</v>
      </c>
      <c r="C18" s="27">
        <v>151298564.68246019</v>
      </c>
      <c r="D18" s="28">
        <f t="shared" si="0"/>
        <v>151298564.68246019</v>
      </c>
    </row>
    <row r="19" spans="1:4" ht="17.649999999999999">
      <c r="A19" s="25">
        <v>14</v>
      </c>
      <c r="B19" s="26" t="s">
        <v>952</v>
      </c>
      <c r="C19" s="27">
        <v>193595176.91475728</v>
      </c>
      <c r="D19" s="28">
        <f t="shared" si="0"/>
        <v>193595176.91475728</v>
      </c>
    </row>
    <row r="20" spans="1:4" ht="17.649999999999999">
      <c r="A20" s="25">
        <v>15</v>
      </c>
      <c r="B20" s="26" t="s">
        <v>953</v>
      </c>
      <c r="C20" s="27">
        <v>132651550.43400581</v>
      </c>
      <c r="D20" s="28">
        <f t="shared" si="0"/>
        <v>132651550.43400581</v>
      </c>
    </row>
    <row r="21" spans="1:4" ht="17.649999999999999">
      <c r="A21" s="25">
        <v>16</v>
      </c>
      <c r="B21" s="26" t="s">
        <v>954</v>
      </c>
      <c r="C21" s="27">
        <v>259460601.95325437</v>
      </c>
      <c r="D21" s="28">
        <f t="shared" si="0"/>
        <v>259460601.95325437</v>
      </c>
    </row>
    <row r="22" spans="1:4" ht="17.649999999999999">
      <c r="A22" s="25">
        <v>17</v>
      </c>
      <c r="B22" s="26" t="s">
        <v>955</v>
      </c>
      <c r="C22" s="27">
        <v>272587791.39364654</v>
      </c>
      <c r="D22" s="28">
        <f t="shared" si="0"/>
        <v>272587791.39364654</v>
      </c>
    </row>
    <row r="23" spans="1:4" ht="17.649999999999999">
      <c r="A23" s="25">
        <v>18</v>
      </c>
      <c r="B23" s="26" t="s">
        <v>956</v>
      </c>
      <c r="C23" s="27">
        <v>306550782.77016401</v>
      </c>
      <c r="D23" s="28">
        <f t="shared" si="0"/>
        <v>306550782.77016401</v>
      </c>
    </row>
    <row r="24" spans="1:4" ht="17.649999999999999">
      <c r="A24" s="25">
        <v>19</v>
      </c>
      <c r="B24" s="26" t="s">
        <v>957</v>
      </c>
      <c r="C24" s="27">
        <v>488055119.32839012</v>
      </c>
      <c r="D24" s="28">
        <f t="shared" si="0"/>
        <v>488055119.32839012</v>
      </c>
    </row>
    <row r="25" spans="1:4" ht="17.649999999999999">
      <c r="A25" s="25">
        <v>20</v>
      </c>
      <c r="B25" s="26" t="s">
        <v>958</v>
      </c>
      <c r="C25" s="27">
        <v>371564669.74151933</v>
      </c>
      <c r="D25" s="28">
        <f t="shared" si="0"/>
        <v>371564669.74151933</v>
      </c>
    </row>
    <row r="26" spans="1:4" ht="17.649999999999999">
      <c r="A26" s="25">
        <v>21</v>
      </c>
      <c r="B26" s="26" t="s">
        <v>959</v>
      </c>
      <c r="C26" s="27">
        <v>234497190.03751743</v>
      </c>
      <c r="D26" s="28">
        <f t="shared" si="0"/>
        <v>234497190.03751743</v>
      </c>
    </row>
    <row r="27" spans="1:4" ht="17.649999999999999">
      <c r="A27" s="25">
        <v>22</v>
      </c>
      <c r="B27" s="26" t="s">
        <v>960</v>
      </c>
      <c r="C27" s="27">
        <v>242370022.47466308</v>
      </c>
      <c r="D27" s="28">
        <f t="shared" si="0"/>
        <v>242370022.47466308</v>
      </c>
    </row>
    <row r="28" spans="1:4" ht="17.649999999999999">
      <c r="A28" s="25">
        <v>23</v>
      </c>
      <c r="B28" s="26" t="s">
        <v>961</v>
      </c>
      <c r="C28" s="27">
        <v>171502177.92948347</v>
      </c>
      <c r="D28" s="28">
        <f t="shared" si="0"/>
        <v>171502177.92948347</v>
      </c>
    </row>
    <row r="29" spans="1:4" ht="17.649999999999999">
      <c r="A29" s="25">
        <v>24</v>
      </c>
      <c r="B29" s="26" t="s">
        <v>962</v>
      </c>
      <c r="C29" s="27">
        <v>292153306.35652423</v>
      </c>
      <c r="D29" s="28">
        <f t="shared" si="0"/>
        <v>292153306.35652423</v>
      </c>
    </row>
    <row r="30" spans="1:4" ht="17.649999999999999">
      <c r="A30" s="25">
        <v>25</v>
      </c>
      <c r="B30" s="26" t="s">
        <v>963</v>
      </c>
      <c r="C30" s="27">
        <v>153009501.86352229</v>
      </c>
      <c r="D30" s="28">
        <f t="shared" si="0"/>
        <v>153009501.86352229</v>
      </c>
    </row>
    <row r="31" spans="1:4" ht="17.649999999999999">
      <c r="A31" s="25">
        <v>26</v>
      </c>
      <c r="B31" s="26" t="s">
        <v>964</v>
      </c>
      <c r="C31" s="27">
        <v>283208785.23498058</v>
      </c>
      <c r="D31" s="28">
        <f t="shared" si="0"/>
        <v>283208785.23498058</v>
      </c>
    </row>
    <row r="32" spans="1:4" ht="17.649999999999999">
      <c r="A32" s="25">
        <v>27</v>
      </c>
      <c r="B32" s="26" t="s">
        <v>965</v>
      </c>
      <c r="C32" s="27">
        <v>202040123.40680099</v>
      </c>
      <c r="D32" s="28">
        <f t="shared" si="0"/>
        <v>202040123.40680099</v>
      </c>
    </row>
    <row r="33" spans="1:4" ht="17.649999999999999">
      <c r="A33" s="25">
        <v>28</v>
      </c>
      <c r="B33" s="26" t="s">
        <v>966</v>
      </c>
      <c r="C33" s="27">
        <v>192961097.78794366</v>
      </c>
      <c r="D33" s="28">
        <f t="shared" si="0"/>
        <v>192961097.78794366</v>
      </c>
    </row>
    <row r="34" spans="1:4" ht="17.649999999999999">
      <c r="A34" s="25">
        <v>29</v>
      </c>
      <c r="B34" s="26" t="s">
        <v>967</v>
      </c>
      <c r="C34" s="27">
        <v>261370685.63116306</v>
      </c>
      <c r="D34" s="28">
        <f t="shared" si="0"/>
        <v>261370685.63116306</v>
      </c>
    </row>
    <row r="35" spans="1:4" ht="17.649999999999999">
      <c r="A35" s="25">
        <v>30</v>
      </c>
      <c r="B35" s="26" t="s">
        <v>968</v>
      </c>
      <c r="C35" s="27">
        <v>329698726.65035826</v>
      </c>
      <c r="D35" s="28">
        <f t="shared" si="0"/>
        <v>329698726.65035826</v>
      </c>
    </row>
    <row r="36" spans="1:4" ht="17.649999999999999">
      <c r="A36" s="25">
        <v>31</v>
      </c>
      <c r="B36" s="26" t="s">
        <v>969</v>
      </c>
      <c r="C36" s="27">
        <v>206676926.61323008</v>
      </c>
      <c r="D36" s="28">
        <f t="shared" si="0"/>
        <v>206676926.61323008</v>
      </c>
    </row>
    <row r="37" spans="1:4" ht="17.649999999999999">
      <c r="A37" s="25">
        <v>32</v>
      </c>
      <c r="B37" s="26" t="s">
        <v>970</v>
      </c>
      <c r="C37" s="27">
        <v>256187508.06512913</v>
      </c>
      <c r="D37" s="28">
        <f t="shared" si="0"/>
        <v>256187508.06512913</v>
      </c>
    </row>
    <row r="38" spans="1:4" ht="17.649999999999999">
      <c r="A38" s="25">
        <v>33</v>
      </c>
      <c r="B38" s="26" t="s">
        <v>971</v>
      </c>
      <c r="C38" s="27">
        <v>258020472.28255045</v>
      </c>
      <c r="D38" s="28">
        <f t="shared" si="0"/>
        <v>258020472.28255045</v>
      </c>
    </row>
    <row r="39" spans="1:4" ht="17.649999999999999">
      <c r="A39" s="25">
        <v>34</v>
      </c>
      <c r="B39" s="26" t="s">
        <v>972</v>
      </c>
      <c r="C39" s="27">
        <v>193387207.19908836</v>
      </c>
      <c r="D39" s="28">
        <f t="shared" si="0"/>
        <v>193387207.19908836</v>
      </c>
    </row>
    <row r="40" spans="1:4" ht="17.649999999999999">
      <c r="A40" s="25">
        <v>35</v>
      </c>
      <c r="B40" s="26" t="s">
        <v>973</v>
      </c>
      <c r="C40" s="27">
        <v>194433888.88979709</v>
      </c>
      <c r="D40" s="28">
        <f t="shared" si="0"/>
        <v>194433888.88979709</v>
      </c>
    </row>
    <row r="41" spans="1:4" ht="17.649999999999999">
      <c r="A41" s="25">
        <v>36</v>
      </c>
      <c r="B41" s="26" t="s">
        <v>974</v>
      </c>
      <c r="C41" s="27">
        <v>175684016.15512425</v>
      </c>
      <c r="D41" s="28">
        <f t="shared" si="0"/>
        <v>175684016.15512425</v>
      </c>
    </row>
    <row r="42" spans="1:4" ht="17.649999999999999">
      <c r="A42" s="25">
        <v>37</v>
      </c>
      <c r="B42" s="26" t="s">
        <v>975</v>
      </c>
      <c r="C42" s="27">
        <v>77594233.28301844</v>
      </c>
      <c r="D42" s="28">
        <f t="shared" si="0"/>
        <v>77594233.28301844</v>
      </c>
    </row>
    <row r="43" spans="1:4" ht="17.25">
      <c r="A43" s="203" t="s">
        <v>38</v>
      </c>
      <c r="B43" s="203"/>
      <c r="C43" s="21">
        <f>SUM(C6:C42)</f>
        <v>8539881397.3799877</v>
      </c>
      <c r="D43" s="21">
        <f>SUM(D6:D42)</f>
        <v>8539881397.3799877</v>
      </c>
    </row>
  </sheetData>
  <mergeCells count="4">
    <mergeCell ref="A1:D1"/>
    <mergeCell ref="A2:D2"/>
    <mergeCell ref="A3:D3"/>
    <mergeCell ref="A43:B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80"/>
  <sheetViews>
    <sheetView topLeftCell="A761" zoomScale="98" zoomScaleNormal="98" workbookViewId="0">
      <selection activeCell="E782" sqref="E782"/>
    </sheetView>
  </sheetViews>
  <sheetFormatPr defaultColWidth="9.1328125" defaultRowHeight="13.15"/>
  <cols>
    <col min="1" max="1" width="5.86328125" style="1" customWidth="1"/>
    <col min="2" max="2" width="16" style="1" customWidth="1"/>
    <col min="3" max="3" width="22.265625" style="1" customWidth="1"/>
    <col min="4" max="4" width="22.73046875" style="1" customWidth="1"/>
    <col min="5" max="5" width="22.265625" style="1" customWidth="1"/>
    <col min="6" max="7" width="17.3984375" style="1" customWidth="1"/>
    <col min="8" max="9" width="14.3984375" style="1" customWidth="1"/>
    <col min="10" max="11" width="13.265625" style="1" customWidth="1"/>
    <col min="12" max="13" width="15.265625" style="1" customWidth="1"/>
    <col min="14" max="14" width="14.3984375" style="1" customWidth="1"/>
    <col min="15" max="15" width="14" style="1" customWidth="1"/>
    <col min="16" max="16" width="12.86328125" style="1" customWidth="1"/>
    <col min="17" max="16384" width="9.1328125" style="1"/>
  </cols>
  <sheetData>
    <row r="1" spans="1:16" ht="19.899999999999999">
      <c r="A1" s="204" t="s">
        <v>17</v>
      </c>
      <c r="B1" s="205"/>
      <c r="C1" s="205"/>
      <c r="D1" s="205"/>
      <c r="E1" s="206"/>
    </row>
    <row r="2" spans="1:16" ht="17.25">
      <c r="A2" s="203" t="s">
        <v>55</v>
      </c>
      <c r="B2" s="203"/>
      <c r="C2" s="203"/>
      <c r="D2" s="203"/>
      <c r="E2" s="203"/>
    </row>
    <row r="3" spans="1:16" ht="38.450000000000003" customHeight="1">
      <c r="A3" s="207" t="s">
        <v>989</v>
      </c>
      <c r="B3" s="207"/>
      <c r="C3" s="207"/>
      <c r="D3" s="207"/>
      <c r="E3" s="207"/>
    </row>
    <row r="4" spans="1:16" ht="51.75">
      <c r="A4" s="5" t="s">
        <v>976</v>
      </c>
      <c r="B4" s="5" t="s">
        <v>938</v>
      </c>
      <c r="C4" s="6" t="s">
        <v>977</v>
      </c>
      <c r="D4" s="7" t="s">
        <v>937</v>
      </c>
      <c r="E4" s="9" t="s">
        <v>978</v>
      </c>
    </row>
    <row r="5" spans="1:16" ht="15">
      <c r="A5" s="10"/>
      <c r="B5" s="10"/>
      <c r="C5" s="11"/>
      <c r="D5" s="141" t="s">
        <v>25</v>
      </c>
      <c r="E5" s="141" t="s">
        <v>25</v>
      </c>
      <c r="O5" s="13"/>
      <c r="P5" s="13"/>
    </row>
    <row r="6" spans="1:16" ht="17.649999999999999">
      <c r="A6" s="14">
        <v>1</v>
      </c>
      <c r="B6" s="15" t="s">
        <v>75</v>
      </c>
      <c r="C6" s="15" t="s">
        <v>117</v>
      </c>
      <c r="D6" s="16">
        <v>9080930.0979999993</v>
      </c>
      <c r="E6" s="17">
        <f>D6</f>
        <v>9080930.0979999993</v>
      </c>
      <c r="F6" s="18"/>
      <c r="G6" s="18"/>
      <c r="H6" s="19"/>
      <c r="I6" s="19"/>
      <c r="J6" s="19"/>
      <c r="K6" s="19"/>
      <c r="L6" s="18"/>
      <c r="M6" s="18"/>
      <c r="N6" s="19"/>
      <c r="O6" s="19"/>
      <c r="P6" s="19"/>
    </row>
    <row r="7" spans="1:16" ht="17.649999999999999">
      <c r="A7" s="14">
        <v>2</v>
      </c>
      <c r="B7" s="15" t="s">
        <v>75</v>
      </c>
      <c r="C7" s="15" t="s">
        <v>119</v>
      </c>
      <c r="D7" s="16">
        <v>15150348.8882</v>
      </c>
      <c r="E7" s="17">
        <f t="shared" ref="E7:E70" si="0">D7</f>
        <v>15150348.8882</v>
      </c>
      <c r="F7" s="18"/>
      <c r="G7" s="18"/>
      <c r="H7" s="19"/>
      <c r="I7" s="19"/>
      <c r="J7" s="19"/>
      <c r="K7" s="19"/>
      <c r="L7" s="18"/>
      <c r="M7" s="18"/>
      <c r="N7" s="19"/>
      <c r="O7" s="19"/>
      <c r="P7" s="19"/>
    </row>
    <row r="8" spans="1:16" ht="17.649999999999999">
      <c r="A8" s="14">
        <v>3</v>
      </c>
      <c r="B8" s="15" t="s">
        <v>75</v>
      </c>
      <c r="C8" s="15" t="s">
        <v>121</v>
      </c>
      <c r="D8" s="16">
        <v>10659938.494100001</v>
      </c>
      <c r="E8" s="17">
        <f t="shared" si="0"/>
        <v>10659938.494100001</v>
      </c>
      <c r="F8" s="18"/>
      <c r="G8" s="18"/>
      <c r="H8" s="19"/>
      <c r="I8" s="19"/>
      <c r="J8" s="19"/>
      <c r="K8" s="19"/>
      <c r="L8" s="18"/>
      <c r="M8" s="18"/>
      <c r="N8" s="19"/>
      <c r="O8" s="19"/>
      <c r="P8" s="19"/>
    </row>
    <row r="9" spans="1:16" ht="17.649999999999999">
      <c r="A9" s="14">
        <v>4</v>
      </c>
      <c r="B9" s="15" t="s">
        <v>75</v>
      </c>
      <c r="C9" s="15" t="s">
        <v>123</v>
      </c>
      <c r="D9" s="16">
        <v>10861322.7917</v>
      </c>
      <c r="E9" s="17">
        <f t="shared" si="0"/>
        <v>10861322.7917</v>
      </c>
      <c r="F9" s="18"/>
      <c r="G9" s="18"/>
      <c r="H9" s="19"/>
      <c r="I9" s="19"/>
      <c r="J9" s="19"/>
      <c r="K9" s="19"/>
      <c r="L9" s="18"/>
      <c r="M9" s="18"/>
      <c r="N9" s="19"/>
      <c r="O9" s="19"/>
      <c r="P9" s="19"/>
    </row>
    <row r="10" spans="1:16" ht="17.649999999999999">
      <c r="A10" s="14">
        <v>5</v>
      </c>
      <c r="B10" s="15" t="s">
        <v>75</v>
      </c>
      <c r="C10" s="15" t="s">
        <v>125</v>
      </c>
      <c r="D10" s="16">
        <v>9885930.9421999995</v>
      </c>
      <c r="E10" s="17">
        <f t="shared" si="0"/>
        <v>9885930.9421999995</v>
      </c>
      <c r="F10" s="18"/>
      <c r="G10" s="18"/>
      <c r="H10" s="19"/>
      <c r="I10" s="19"/>
      <c r="J10" s="19"/>
      <c r="K10" s="19"/>
      <c r="L10" s="18"/>
      <c r="M10" s="18"/>
      <c r="N10" s="19"/>
      <c r="O10" s="19"/>
      <c r="P10" s="19"/>
    </row>
    <row r="11" spans="1:16" ht="35.25">
      <c r="A11" s="14">
        <v>6</v>
      </c>
      <c r="B11" s="15" t="s">
        <v>75</v>
      </c>
      <c r="C11" s="15" t="s">
        <v>127</v>
      </c>
      <c r="D11" s="16">
        <v>10209611.351199999</v>
      </c>
      <c r="E11" s="17">
        <f t="shared" si="0"/>
        <v>10209611.351199999</v>
      </c>
      <c r="F11" s="18"/>
      <c r="G11" s="18"/>
      <c r="H11" s="19"/>
      <c r="I11" s="19"/>
      <c r="J11" s="19"/>
      <c r="K11" s="19"/>
      <c r="L11" s="18"/>
      <c r="M11" s="18"/>
      <c r="N11" s="19"/>
      <c r="O11" s="19"/>
      <c r="P11" s="19"/>
    </row>
    <row r="12" spans="1:16" ht="35.25">
      <c r="A12" s="14">
        <v>7</v>
      </c>
      <c r="B12" s="15" t="s">
        <v>75</v>
      </c>
      <c r="C12" s="15" t="s">
        <v>128</v>
      </c>
      <c r="D12" s="16">
        <v>9906057.6085000001</v>
      </c>
      <c r="E12" s="17">
        <f t="shared" si="0"/>
        <v>9906057.6085000001</v>
      </c>
      <c r="F12" s="18"/>
      <c r="G12" s="18"/>
      <c r="H12" s="19"/>
      <c r="I12" s="19"/>
      <c r="J12" s="19"/>
      <c r="K12" s="19"/>
      <c r="L12" s="18"/>
      <c r="M12" s="18"/>
      <c r="N12" s="19"/>
      <c r="O12" s="19"/>
      <c r="P12" s="19"/>
    </row>
    <row r="13" spans="1:16" ht="17.649999999999999">
      <c r="A13" s="14">
        <v>8</v>
      </c>
      <c r="B13" s="15" t="s">
        <v>75</v>
      </c>
      <c r="C13" s="15" t="s">
        <v>130</v>
      </c>
      <c r="D13" s="16">
        <v>9659023.8694000002</v>
      </c>
      <c r="E13" s="17">
        <f t="shared" si="0"/>
        <v>9659023.8694000002</v>
      </c>
      <c r="F13" s="18"/>
      <c r="G13" s="18"/>
      <c r="H13" s="19"/>
      <c r="I13" s="19"/>
      <c r="J13" s="19"/>
      <c r="K13" s="19"/>
      <c r="L13" s="18"/>
      <c r="M13" s="18"/>
      <c r="N13" s="19"/>
      <c r="O13" s="19"/>
      <c r="P13" s="19"/>
    </row>
    <row r="14" spans="1:16" ht="17.649999999999999">
      <c r="A14" s="14">
        <v>9</v>
      </c>
      <c r="B14" s="15" t="s">
        <v>75</v>
      </c>
      <c r="C14" s="15" t="s">
        <v>132</v>
      </c>
      <c r="D14" s="16">
        <v>10420711.2579</v>
      </c>
      <c r="E14" s="17">
        <f t="shared" si="0"/>
        <v>10420711.2579</v>
      </c>
      <c r="F14" s="18"/>
      <c r="G14" s="18"/>
      <c r="H14" s="19"/>
      <c r="I14" s="19"/>
      <c r="J14" s="19"/>
      <c r="K14" s="19"/>
      <c r="L14" s="18"/>
      <c r="M14" s="18"/>
      <c r="N14" s="19"/>
      <c r="O14" s="19"/>
      <c r="P14" s="19"/>
    </row>
    <row r="15" spans="1:16" ht="17.649999999999999">
      <c r="A15" s="14">
        <v>10</v>
      </c>
      <c r="B15" s="15" t="s">
        <v>75</v>
      </c>
      <c r="C15" s="15" t="s">
        <v>134</v>
      </c>
      <c r="D15" s="16">
        <v>10574913.384400001</v>
      </c>
      <c r="E15" s="17">
        <f t="shared" si="0"/>
        <v>10574913.384400001</v>
      </c>
      <c r="F15" s="18"/>
      <c r="G15" s="18"/>
      <c r="H15" s="19"/>
      <c r="I15" s="19"/>
      <c r="J15" s="19"/>
      <c r="K15" s="19"/>
      <c r="L15" s="18"/>
      <c r="M15" s="18"/>
      <c r="N15" s="19"/>
      <c r="O15" s="19"/>
      <c r="P15" s="19"/>
    </row>
    <row r="16" spans="1:16" ht="17.649999999999999">
      <c r="A16" s="14">
        <v>11</v>
      </c>
      <c r="B16" s="15" t="s">
        <v>75</v>
      </c>
      <c r="C16" s="15" t="s">
        <v>136</v>
      </c>
      <c r="D16" s="16">
        <v>11564513.658199999</v>
      </c>
      <c r="E16" s="17">
        <f t="shared" si="0"/>
        <v>11564513.658199999</v>
      </c>
      <c r="F16" s="18"/>
      <c r="G16" s="18"/>
      <c r="H16" s="19"/>
      <c r="I16" s="19"/>
      <c r="J16" s="19"/>
      <c r="K16" s="19"/>
      <c r="L16" s="18"/>
      <c r="M16" s="18"/>
      <c r="N16" s="19"/>
      <c r="O16" s="19"/>
      <c r="P16" s="19"/>
    </row>
    <row r="17" spans="1:16" ht="17.649999999999999">
      <c r="A17" s="14">
        <v>12</v>
      </c>
      <c r="B17" s="15" t="s">
        <v>75</v>
      </c>
      <c r="C17" s="15" t="s">
        <v>138</v>
      </c>
      <c r="D17" s="16">
        <v>11134570.8466</v>
      </c>
      <c r="E17" s="17">
        <f t="shared" si="0"/>
        <v>11134570.8466</v>
      </c>
      <c r="F17" s="18"/>
      <c r="G17" s="18"/>
      <c r="H17" s="19"/>
      <c r="I17" s="19"/>
      <c r="J17" s="19"/>
      <c r="K17" s="19"/>
      <c r="L17" s="18"/>
      <c r="M17" s="18"/>
      <c r="N17" s="19"/>
      <c r="O17" s="19"/>
      <c r="P17" s="19"/>
    </row>
    <row r="18" spans="1:16" ht="17.649999999999999">
      <c r="A18" s="14">
        <v>13</v>
      </c>
      <c r="B18" s="15" t="s">
        <v>75</v>
      </c>
      <c r="C18" s="15" t="s">
        <v>140</v>
      </c>
      <c r="D18" s="16">
        <v>8502603.9005999994</v>
      </c>
      <c r="E18" s="17">
        <f t="shared" si="0"/>
        <v>8502603.9005999994</v>
      </c>
      <c r="F18" s="18"/>
      <c r="G18" s="18"/>
      <c r="H18" s="19"/>
      <c r="I18" s="19"/>
      <c r="J18" s="19"/>
      <c r="K18" s="19"/>
      <c r="L18" s="18"/>
      <c r="M18" s="18"/>
      <c r="N18" s="19"/>
      <c r="O18" s="19"/>
      <c r="P18" s="19"/>
    </row>
    <row r="19" spans="1:16" ht="17.649999999999999">
      <c r="A19" s="14">
        <v>14</v>
      </c>
      <c r="B19" s="15" t="s">
        <v>75</v>
      </c>
      <c r="C19" s="15" t="s">
        <v>142</v>
      </c>
      <c r="D19" s="16">
        <v>8033799.3123000003</v>
      </c>
      <c r="E19" s="17">
        <f t="shared" si="0"/>
        <v>8033799.3123000003</v>
      </c>
      <c r="F19" s="18"/>
      <c r="G19" s="18"/>
      <c r="H19" s="19"/>
      <c r="I19" s="19"/>
      <c r="J19" s="19"/>
      <c r="K19" s="19"/>
      <c r="L19" s="18"/>
      <c r="M19" s="18"/>
      <c r="N19" s="19"/>
      <c r="O19" s="19"/>
      <c r="P19" s="19"/>
    </row>
    <row r="20" spans="1:16" ht="17.649999999999999">
      <c r="A20" s="14">
        <v>15</v>
      </c>
      <c r="B20" s="15" t="s">
        <v>75</v>
      </c>
      <c r="C20" s="15" t="s">
        <v>144</v>
      </c>
      <c r="D20" s="16">
        <v>8365538.2993000001</v>
      </c>
      <c r="E20" s="17">
        <f t="shared" si="0"/>
        <v>8365538.2993000001</v>
      </c>
      <c r="F20" s="18"/>
      <c r="G20" s="18"/>
      <c r="H20" s="19"/>
      <c r="I20" s="19"/>
      <c r="J20" s="19"/>
      <c r="K20" s="19"/>
      <c r="L20" s="18"/>
      <c r="M20" s="18"/>
      <c r="N20" s="19"/>
      <c r="O20" s="19"/>
      <c r="P20" s="19"/>
    </row>
    <row r="21" spans="1:16" ht="17.649999999999999">
      <c r="A21" s="14">
        <v>16</v>
      </c>
      <c r="B21" s="15" t="s">
        <v>75</v>
      </c>
      <c r="C21" s="15" t="s">
        <v>146</v>
      </c>
      <c r="D21" s="16">
        <v>12470319.9146</v>
      </c>
      <c r="E21" s="17">
        <f t="shared" si="0"/>
        <v>12470319.9146</v>
      </c>
      <c r="F21" s="18"/>
      <c r="G21" s="18"/>
      <c r="H21" s="19"/>
      <c r="I21" s="19"/>
      <c r="J21" s="19"/>
      <c r="K21" s="19"/>
      <c r="L21" s="18"/>
      <c r="M21" s="18"/>
      <c r="N21" s="19"/>
      <c r="O21" s="19"/>
      <c r="P21" s="19"/>
    </row>
    <row r="22" spans="1:16" ht="17.649999999999999">
      <c r="A22" s="14">
        <v>17</v>
      </c>
      <c r="B22" s="15" t="s">
        <v>75</v>
      </c>
      <c r="C22" s="15" t="s">
        <v>148</v>
      </c>
      <c r="D22" s="16">
        <v>10775087.943299999</v>
      </c>
      <c r="E22" s="17">
        <f t="shared" si="0"/>
        <v>10775087.943299999</v>
      </c>
      <c r="F22" s="18"/>
      <c r="G22" s="18"/>
      <c r="H22" s="19"/>
      <c r="I22" s="19"/>
      <c r="J22" s="19"/>
      <c r="K22" s="19"/>
      <c r="L22" s="18"/>
      <c r="M22" s="18"/>
      <c r="N22" s="19"/>
      <c r="O22" s="19"/>
      <c r="P22" s="19"/>
    </row>
    <row r="23" spans="1:16" ht="17.649999999999999">
      <c r="A23" s="14">
        <v>18</v>
      </c>
      <c r="B23" s="15" t="s">
        <v>76</v>
      </c>
      <c r="C23" s="15" t="s">
        <v>153</v>
      </c>
      <c r="D23" s="16">
        <v>11050204.2829</v>
      </c>
      <c r="E23" s="17">
        <f t="shared" si="0"/>
        <v>11050204.2829</v>
      </c>
      <c r="F23" s="18"/>
      <c r="G23" s="18"/>
      <c r="H23" s="19"/>
      <c r="I23" s="19"/>
      <c r="J23" s="19"/>
      <c r="K23" s="19"/>
      <c r="L23" s="18"/>
      <c r="M23" s="18"/>
      <c r="N23" s="19"/>
      <c r="O23" s="19"/>
      <c r="P23" s="19"/>
    </row>
    <row r="24" spans="1:16" ht="17.649999999999999">
      <c r="A24" s="14">
        <v>19</v>
      </c>
      <c r="B24" s="15" t="s">
        <v>76</v>
      </c>
      <c r="C24" s="15" t="s">
        <v>155</v>
      </c>
      <c r="D24" s="16">
        <v>13499453.2081</v>
      </c>
      <c r="E24" s="17">
        <f t="shared" si="0"/>
        <v>13499453.2081</v>
      </c>
      <c r="F24" s="18"/>
      <c r="G24" s="18"/>
      <c r="H24" s="19"/>
      <c r="I24" s="19"/>
      <c r="J24" s="19"/>
      <c r="K24" s="19"/>
      <c r="L24" s="18"/>
      <c r="M24" s="18"/>
      <c r="N24" s="19"/>
      <c r="O24" s="19"/>
      <c r="P24" s="19"/>
    </row>
    <row r="25" spans="1:16" ht="17.649999999999999">
      <c r="A25" s="14">
        <v>20</v>
      </c>
      <c r="B25" s="15" t="s">
        <v>76</v>
      </c>
      <c r="C25" s="15" t="s">
        <v>157</v>
      </c>
      <c r="D25" s="16">
        <v>11494788.2741</v>
      </c>
      <c r="E25" s="17">
        <f t="shared" si="0"/>
        <v>11494788.2741</v>
      </c>
      <c r="F25" s="18"/>
      <c r="G25" s="18"/>
      <c r="H25" s="19"/>
      <c r="I25" s="19"/>
      <c r="J25" s="19"/>
      <c r="K25" s="19"/>
      <c r="L25" s="18"/>
      <c r="M25" s="18"/>
      <c r="N25" s="19"/>
      <c r="O25" s="19"/>
      <c r="P25" s="19"/>
    </row>
    <row r="26" spans="1:16" ht="17.649999999999999">
      <c r="A26" s="14">
        <v>21</v>
      </c>
      <c r="B26" s="15" t="s">
        <v>76</v>
      </c>
      <c r="C26" s="15" t="s">
        <v>159</v>
      </c>
      <c r="D26" s="16">
        <v>10063852.7575</v>
      </c>
      <c r="E26" s="17">
        <f t="shared" si="0"/>
        <v>10063852.7575</v>
      </c>
      <c r="F26" s="18"/>
      <c r="G26" s="18"/>
      <c r="H26" s="19"/>
      <c r="I26" s="19"/>
      <c r="J26" s="19"/>
      <c r="K26" s="19"/>
      <c r="L26" s="18"/>
      <c r="M26" s="18"/>
      <c r="N26" s="19"/>
      <c r="O26" s="19"/>
      <c r="P26" s="19"/>
    </row>
    <row r="27" spans="1:16" ht="17.649999999999999">
      <c r="A27" s="14">
        <v>22</v>
      </c>
      <c r="B27" s="15" t="s">
        <v>76</v>
      </c>
      <c r="C27" s="15" t="s">
        <v>161</v>
      </c>
      <c r="D27" s="16">
        <v>9958542.9390999991</v>
      </c>
      <c r="E27" s="17">
        <f t="shared" si="0"/>
        <v>9958542.9390999991</v>
      </c>
      <c r="F27" s="18"/>
      <c r="G27" s="18"/>
      <c r="H27" s="19"/>
      <c r="I27" s="19"/>
      <c r="J27" s="19"/>
      <c r="K27" s="19"/>
      <c r="L27" s="18"/>
      <c r="M27" s="18"/>
      <c r="N27" s="19"/>
      <c r="O27" s="19"/>
      <c r="P27" s="19"/>
    </row>
    <row r="28" spans="1:16" ht="17.649999999999999">
      <c r="A28" s="14">
        <v>23</v>
      </c>
      <c r="B28" s="15" t="s">
        <v>76</v>
      </c>
      <c r="C28" s="15" t="s">
        <v>163</v>
      </c>
      <c r="D28" s="16">
        <v>10647117.4366</v>
      </c>
      <c r="E28" s="17">
        <f t="shared" si="0"/>
        <v>10647117.4366</v>
      </c>
      <c r="F28" s="18"/>
      <c r="G28" s="18"/>
      <c r="H28" s="19"/>
      <c r="I28" s="19"/>
      <c r="J28" s="19"/>
      <c r="K28" s="19"/>
      <c r="L28" s="18"/>
      <c r="M28" s="18"/>
      <c r="N28" s="19"/>
      <c r="O28" s="19"/>
      <c r="P28" s="19"/>
    </row>
    <row r="29" spans="1:16" ht="17.649999999999999">
      <c r="A29" s="14">
        <v>24</v>
      </c>
      <c r="B29" s="15" t="s">
        <v>76</v>
      </c>
      <c r="C29" s="15" t="s">
        <v>165</v>
      </c>
      <c r="D29" s="16">
        <v>11597263.6471</v>
      </c>
      <c r="E29" s="17">
        <f t="shared" si="0"/>
        <v>11597263.6471</v>
      </c>
      <c r="F29" s="18"/>
      <c r="G29" s="18"/>
      <c r="H29" s="19"/>
      <c r="I29" s="19"/>
      <c r="J29" s="19"/>
      <c r="K29" s="19"/>
      <c r="L29" s="18"/>
      <c r="M29" s="18"/>
      <c r="N29" s="19"/>
      <c r="O29" s="19"/>
      <c r="P29" s="19"/>
    </row>
    <row r="30" spans="1:16" ht="17.649999999999999">
      <c r="A30" s="14">
        <v>25</v>
      </c>
      <c r="B30" s="15" t="s">
        <v>76</v>
      </c>
      <c r="C30" s="15" t="s">
        <v>167</v>
      </c>
      <c r="D30" s="16">
        <v>12131705.2106</v>
      </c>
      <c r="E30" s="17">
        <f t="shared" si="0"/>
        <v>12131705.2106</v>
      </c>
      <c r="F30" s="18"/>
      <c r="G30" s="18"/>
      <c r="H30" s="19"/>
      <c r="I30" s="19"/>
      <c r="J30" s="19"/>
      <c r="K30" s="19"/>
      <c r="L30" s="18"/>
      <c r="M30" s="18"/>
      <c r="N30" s="19"/>
      <c r="O30" s="19"/>
      <c r="P30" s="19"/>
    </row>
    <row r="31" spans="1:16" ht="17.649999999999999">
      <c r="A31" s="14">
        <v>26</v>
      </c>
      <c r="B31" s="15" t="s">
        <v>76</v>
      </c>
      <c r="C31" s="15" t="s">
        <v>169</v>
      </c>
      <c r="D31" s="16">
        <v>10547914.0712</v>
      </c>
      <c r="E31" s="17">
        <f t="shared" si="0"/>
        <v>10547914.0712</v>
      </c>
      <c r="F31" s="18"/>
      <c r="G31" s="18"/>
      <c r="H31" s="19"/>
      <c r="I31" s="19"/>
      <c r="J31" s="19"/>
      <c r="K31" s="19"/>
      <c r="L31" s="18"/>
      <c r="M31" s="18"/>
      <c r="N31" s="19"/>
      <c r="O31" s="19"/>
      <c r="P31" s="19"/>
    </row>
    <row r="32" spans="1:16" ht="17.649999999999999">
      <c r="A32" s="14">
        <v>27</v>
      </c>
      <c r="B32" s="15" t="s">
        <v>76</v>
      </c>
      <c r="C32" s="15" t="s">
        <v>171</v>
      </c>
      <c r="D32" s="16">
        <v>9444269.9039999992</v>
      </c>
      <c r="E32" s="17">
        <f t="shared" si="0"/>
        <v>9444269.9039999992</v>
      </c>
      <c r="F32" s="18"/>
      <c r="G32" s="18"/>
      <c r="H32" s="19"/>
      <c r="I32" s="19"/>
      <c r="J32" s="19"/>
      <c r="K32" s="19"/>
      <c r="L32" s="18"/>
      <c r="M32" s="18"/>
      <c r="N32" s="19"/>
      <c r="O32" s="19"/>
      <c r="P32" s="19"/>
    </row>
    <row r="33" spans="1:16" ht="17.649999999999999">
      <c r="A33" s="14">
        <v>28</v>
      </c>
      <c r="B33" s="15" t="s">
        <v>76</v>
      </c>
      <c r="C33" s="15" t="s">
        <v>173</v>
      </c>
      <c r="D33" s="16">
        <v>9597489.9552999996</v>
      </c>
      <c r="E33" s="17">
        <f t="shared" si="0"/>
        <v>9597489.9552999996</v>
      </c>
      <c r="F33" s="18"/>
      <c r="G33" s="18"/>
      <c r="H33" s="19"/>
      <c r="I33" s="19"/>
      <c r="J33" s="19"/>
      <c r="K33" s="19"/>
      <c r="L33" s="18"/>
      <c r="M33" s="18"/>
      <c r="N33" s="19"/>
      <c r="O33" s="19"/>
      <c r="P33" s="19"/>
    </row>
    <row r="34" spans="1:16" ht="17.649999999999999">
      <c r="A34" s="14">
        <v>29</v>
      </c>
      <c r="B34" s="15" t="s">
        <v>76</v>
      </c>
      <c r="C34" s="15" t="s">
        <v>175</v>
      </c>
      <c r="D34" s="16">
        <v>9396560.5194000006</v>
      </c>
      <c r="E34" s="17">
        <f t="shared" si="0"/>
        <v>9396560.5194000006</v>
      </c>
      <c r="F34" s="18"/>
      <c r="G34" s="18"/>
      <c r="H34" s="19"/>
      <c r="I34" s="19"/>
      <c r="J34" s="19"/>
      <c r="K34" s="19"/>
      <c r="L34" s="18"/>
      <c r="M34" s="18"/>
      <c r="N34" s="19"/>
      <c r="O34" s="19"/>
      <c r="P34" s="19"/>
    </row>
    <row r="35" spans="1:16" ht="17.649999999999999">
      <c r="A35" s="14">
        <v>30</v>
      </c>
      <c r="B35" s="15" t="s">
        <v>76</v>
      </c>
      <c r="C35" s="15" t="s">
        <v>177</v>
      </c>
      <c r="D35" s="16">
        <v>10895513.936799999</v>
      </c>
      <c r="E35" s="17">
        <f t="shared" si="0"/>
        <v>10895513.936799999</v>
      </c>
      <c r="F35" s="18"/>
      <c r="G35" s="18"/>
      <c r="H35" s="19"/>
      <c r="I35" s="19"/>
      <c r="J35" s="19"/>
      <c r="K35" s="19"/>
      <c r="L35" s="18"/>
      <c r="M35" s="18"/>
      <c r="N35" s="19"/>
      <c r="O35" s="19"/>
      <c r="P35" s="19"/>
    </row>
    <row r="36" spans="1:16" ht="17.649999999999999">
      <c r="A36" s="14">
        <v>31</v>
      </c>
      <c r="B36" s="15" t="s">
        <v>76</v>
      </c>
      <c r="C36" s="15" t="s">
        <v>179</v>
      </c>
      <c r="D36" s="16">
        <v>10562555.493799999</v>
      </c>
      <c r="E36" s="17">
        <f t="shared" si="0"/>
        <v>10562555.493799999</v>
      </c>
      <c r="F36" s="18"/>
      <c r="G36" s="18"/>
      <c r="H36" s="19"/>
      <c r="I36" s="19"/>
      <c r="J36" s="19"/>
      <c r="K36" s="19"/>
      <c r="L36" s="18"/>
      <c r="M36" s="18"/>
      <c r="N36" s="19"/>
      <c r="O36" s="19"/>
      <c r="P36" s="19"/>
    </row>
    <row r="37" spans="1:16" ht="17.649999999999999">
      <c r="A37" s="14">
        <v>32</v>
      </c>
      <c r="B37" s="15" t="s">
        <v>76</v>
      </c>
      <c r="C37" s="15" t="s">
        <v>181</v>
      </c>
      <c r="D37" s="16">
        <v>10079219.3883</v>
      </c>
      <c r="E37" s="17">
        <f t="shared" si="0"/>
        <v>10079219.3883</v>
      </c>
      <c r="F37" s="18"/>
      <c r="G37" s="18"/>
      <c r="H37" s="19"/>
      <c r="I37" s="19"/>
      <c r="J37" s="19"/>
      <c r="K37" s="19"/>
      <c r="L37" s="18"/>
      <c r="M37" s="18"/>
      <c r="N37" s="19"/>
      <c r="O37" s="19"/>
      <c r="P37" s="19"/>
    </row>
    <row r="38" spans="1:16" ht="17.649999999999999">
      <c r="A38" s="14">
        <v>33</v>
      </c>
      <c r="B38" s="15" t="s">
        <v>76</v>
      </c>
      <c r="C38" s="15" t="s">
        <v>183</v>
      </c>
      <c r="D38" s="16">
        <v>9390052.5313000008</v>
      </c>
      <c r="E38" s="17">
        <f t="shared" si="0"/>
        <v>9390052.5313000008</v>
      </c>
      <c r="F38" s="18"/>
      <c r="G38" s="18"/>
      <c r="H38" s="19"/>
      <c r="I38" s="19"/>
      <c r="J38" s="19"/>
      <c r="K38" s="19"/>
      <c r="L38" s="18"/>
      <c r="M38" s="18"/>
      <c r="N38" s="19"/>
      <c r="O38" s="19"/>
      <c r="P38" s="19"/>
    </row>
    <row r="39" spans="1:16" ht="17.649999999999999">
      <c r="A39" s="14">
        <v>34</v>
      </c>
      <c r="B39" s="15" t="s">
        <v>76</v>
      </c>
      <c r="C39" s="15" t="s">
        <v>185</v>
      </c>
      <c r="D39" s="16">
        <v>8923902.2905999999</v>
      </c>
      <c r="E39" s="17">
        <f t="shared" si="0"/>
        <v>8923902.2905999999</v>
      </c>
      <c r="F39" s="18"/>
      <c r="G39" s="18"/>
      <c r="H39" s="19"/>
      <c r="I39" s="19"/>
      <c r="J39" s="19"/>
      <c r="K39" s="19"/>
      <c r="L39" s="18"/>
      <c r="M39" s="18"/>
      <c r="N39" s="19"/>
      <c r="O39" s="19"/>
      <c r="P39" s="19"/>
    </row>
    <row r="40" spans="1:16" ht="17.649999999999999">
      <c r="A40" s="14">
        <v>35</v>
      </c>
      <c r="B40" s="15" t="s">
        <v>76</v>
      </c>
      <c r="C40" s="15" t="s">
        <v>187</v>
      </c>
      <c r="D40" s="16">
        <v>10109312.181600001</v>
      </c>
      <c r="E40" s="17">
        <f t="shared" si="0"/>
        <v>10109312.181600001</v>
      </c>
      <c r="F40" s="18"/>
      <c r="G40" s="18"/>
      <c r="H40" s="19"/>
      <c r="I40" s="19"/>
      <c r="J40" s="19"/>
      <c r="K40" s="19"/>
      <c r="L40" s="18"/>
      <c r="M40" s="18"/>
      <c r="N40" s="19"/>
      <c r="O40" s="19"/>
      <c r="P40" s="19"/>
    </row>
    <row r="41" spans="1:16" ht="17.649999999999999">
      <c r="A41" s="14">
        <v>36</v>
      </c>
      <c r="B41" s="15" t="s">
        <v>76</v>
      </c>
      <c r="C41" s="15" t="s">
        <v>189</v>
      </c>
      <c r="D41" s="16">
        <v>12724772.275900001</v>
      </c>
      <c r="E41" s="17">
        <f t="shared" si="0"/>
        <v>12724772.275900001</v>
      </c>
      <c r="F41" s="18"/>
      <c r="G41" s="18"/>
      <c r="H41" s="19"/>
      <c r="I41" s="19"/>
      <c r="J41" s="19"/>
      <c r="K41" s="19"/>
      <c r="L41" s="18"/>
      <c r="M41" s="18"/>
      <c r="N41" s="19"/>
      <c r="O41" s="19"/>
      <c r="P41" s="19"/>
    </row>
    <row r="42" spans="1:16" ht="17.649999999999999">
      <c r="A42" s="14">
        <v>37</v>
      </c>
      <c r="B42" s="15" t="s">
        <v>76</v>
      </c>
      <c r="C42" s="15" t="s">
        <v>191</v>
      </c>
      <c r="D42" s="16">
        <v>10902341.3661</v>
      </c>
      <c r="E42" s="17">
        <f t="shared" si="0"/>
        <v>10902341.3661</v>
      </c>
      <c r="F42" s="18"/>
      <c r="G42" s="18"/>
      <c r="H42" s="19"/>
      <c r="I42" s="19"/>
      <c r="J42" s="19"/>
      <c r="K42" s="19"/>
      <c r="L42" s="18"/>
      <c r="M42" s="18"/>
      <c r="N42" s="19"/>
      <c r="O42" s="19"/>
      <c r="P42" s="19"/>
    </row>
    <row r="43" spans="1:16" ht="17.649999999999999">
      <c r="A43" s="14">
        <v>38</v>
      </c>
      <c r="B43" s="15" t="s">
        <v>76</v>
      </c>
      <c r="C43" s="15" t="s">
        <v>193</v>
      </c>
      <c r="D43" s="16">
        <v>10565191.3202</v>
      </c>
      <c r="E43" s="17">
        <f t="shared" si="0"/>
        <v>10565191.3202</v>
      </c>
      <c r="F43" s="18"/>
      <c r="G43" s="18"/>
      <c r="H43" s="19"/>
      <c r="I43" s="19"/>
      <c r="J43" s="19"/>
      <c r="K43" s="19"/>
      <c r="L43" s="18"/>
      <c r="M43" s="18"/>
      <c r="N43" s="19"/>
      <c r="O43" s="19"/>
      <c r="P43" s="19"/>
    </row>
    <row r="44" spans="1:16" ht="17.649999999999999">
      <c r="A44" s="14">
        <v>39</v>
      </c>
      <c r="B44" s="15" t="s">
        <v>77</v>
      </c>
      <c r="C44" s="15" t="s">
        <v>198</v>
      </c>
      <c r="D44" s="16">
        <v>10145081.3047</v>
      </c>
      <c r="E44" s="17">
        <f t="shared" si="0"/>
        <v>10145081.3047</v>
      </c>
      <c r="F44" s="18"/>
      <c r="G44" s="18"/>
      <c r="H44" s="19"/>
      <c r="I44" s="19"/>
      <c r="J44" s="19"/>
      <c r="K44" s="19"/>
      <c r="L44" s="18"/>
      <c r="M44" s="18"/>
      <c r="N44" s="19"/>
      <c r="O44" s="19"/>
      <c r="P44" s="19"/>
    </row>
    <row r="45" spans="1:16" ht="17.649999999999999">
      <c r="A45" s="14">
        <v>40</v>
      </c>
      <c r="B45" s="15" t="s">
        <v>77</v>
      </c>
      <c r="C45" s="15" t="s">
        <v>199</v>
      </c>
      <c r="D45" s="16">
        <v>7921264.0575999999</v>
      </c>
      <c r="E45" s="17">
        <f t="shared" si="0"/>
        <v>7921264.0575999999</v>
      </c>
      <c r="F45" s="18"/>
      <c r="G45" s="18"/>
      <c r="H45" s="19"/>
      <c r="I45" s="19"/>
      <c r="J45" s="19"/>
      <c r="K45" s="19"/>
      <c r="L45" s="18"/>
      <c r="M45" s="18"/>
      <c r="N45" s="19"/>
      <c r="O45" s="19"/>
      <c r="P45" s="19"/>
    </row>
    <row r="46" spans="1:16" ht="17.649999999999999">
      <c r="A46" s="14">
        <v>41</v>
      </c>
      <c r="B46" s="15" t="s">
        <v>77</v>
      </c>
      <c r="C46" s="15" t="s">
        <v>201</v>
      </c>
      <c r="D46" s="16">
        <v>10458312.6216</v>
      </c>
      <c r="E46" s="17">
        <f t="shared" si="0"/>
        <v>10458312.6216</v>
      </c>
      <c r="F46" s="18"/>
      <c r="G46" s="18"/>
      <c r="H46" s="19"/>
      <c r="I46" s="19"/>
      <c r="J46" s="19"/>
      <c r="K46" s="19"/>
      <c r="L46" s="18"/>
      <c r="M46" s="18"/>
      <c r="N46" s="19"/>
      <c r="O46" s="19"/>
      <c r="P46" s="19"/>
    </row>
    <row r="47" spans="1:16" ht="17.649999999999999">
      <c r="A47" s="14">
        <v>42</v>
      </c>
      <c r="B47" s="15" t="s">
        <v>77</v>
      </c>
      <c r="C47" s="15" t="s">
        <v>203</v>
      </c>
      <c r="D47" s="16">
        <v>8017484.5129000004</v>
      </c>
      <c r="E47" s="17">
        <f t="shared" si="0"/>
        <v>8017484.5129000004</v>
      </c>
      <c r="F47" s="18"/>
      <c r="G47" s="18"/>
      <c r="H47" s="19"/>
      <c r="I47" s="19"/>
      <c r="J47" s="19"/>
      <c r="K47" s="19"/>
      <c r="L47" s="18"/>
      <c r="M47" s="18"/>
      <c r="N47" s="19"/>
      <c r="O47" s="19"/>
      <c r="P47" s="19"/>
    </row>
    <row r="48" spans="1:16" ht="17.649999999999999">
      <c r="A48" s="14">
        <v>43</v>
      </c>
      <c r="B48" s="15" t="s">
        <v>77</v>
      </c>
      <c r="C48" s="15" t="s">
        <v>205</v>
      </c>
      <c r="D48" s="16">
        <v>10774182.6722</v>
      </c>
      <c r="E48" s="17">
        <f t="shared" si="0"/>
        <v>10774182.6722</v>
      </c>
      <c r="F48" s="18"/>
      <c r="G48" s="18"/>
      <c r="H48" s="19"/>
      <c r="I48" s="19"/>
      <c r="J48" s="19"/>
      <c r="K48" s="19"/>
      <c r="L48" s="18"/>
      <c r="M48" s="18"/>
      <c r="N48" s="19"/>
      <c r="O48" s="19"/>
      <c r="P48" s="19"/>
    </row>
    <row r="49" spans="1:16" ht="17.649999999999999">
      <c r="A49" s="14">
        <v>44</v>
      </c>
      <c r="B49" s="15" t="s">
        <v>77</v>
      </c>
      <c r="C49" s="15" t="s">
        <v>207</v>
      </c>
      <c r="D49" s="16">
        <v>9390913.8779000007</v>
      </c>
      <c r="E49" s="17">
        <f t="shared" si="0"/>
        <v>9390913.8779000007</v>
      </c>
      <c r="F49" s="18"/>
      <c r="G49" s="18"/>
      <c r="H49" s="19"/>
      <c r="I49" s="19"/>
      <c r="J49" s="19"/>
      <c r="K49" s="19"/>
      <c r="L49" s="18"/>
      <c r="M49" s="18"/>
      <c r="N49" s="19"/>
      <c r="O49" s="19"/>
      <c r="P49" s="19"/>
    </row>
    <row r="50" spans="1:16" ht="17.649999999999999">
      <c r="A50" s="14">
        <v>45</v>
      </c>
      <c r="B50" s="15" t="s">
        <v>77</v>
      </c>
      <c r="C50" s="15" t="s">
        <v>209</v>
      </c>
      <c r="D50" s="16">
        <v>10650931.9057</v>
      </c>
      <c r="E50" s="17">
        <f t="shared" si="0"/>
        <v>10650931.9057</v>
      </c>
      <c r="F50" s="18"/>
      <c r="G50" s="18"/>
      <c r="H50" s="19"/>
      <c r="I50" s="19"/>
      <c r="J50" s="19"/>
      <c r="K50" s="19"/>
      <c r="L50" s="18"/>
      <c r="M50" s="18"/>
      <c r="N50" s="19"/>
      <c r="O50" s="19"/>
      <c r="P50" s="19"/>
    </row>
    <row r="51" spans="1:16" ht="17.649999999999999">
      <c r="A51" s="14">
        <v>46</v>
      </c>
      <c r="B51" s="15" t="s">
        <v>77</v>
      </c>
      <c r="C51" s="15" t="s">
        <v>211</v>
      </c>
      <c r="D51" s="16">
        <v>8534049.1593999993</v>
      </c>
      <c r="E51" s="17">
        <f t="shared" si="0"/>
        <v>8534049.1593999993</v>
      </c>
      <c r="F51" s="18"/>
      <c r="G51" s="18"/>
      <c r="H51" s="19"/>
      <c r="I51" s="19"/>
      <c r="J51" s="19"/>
      <c r="K51" s="19"/>
      <c r="L51" s="18"/>
      <c r="M51" s="18"/>
      <c r="N51" s="19"/>
      <c r="O51" s="19"/>
      <c r="P51" s="19"/>
    </row>
    <row r="52" spans="1:16" ht="35.25">
      <c r="A52" s="14">
        <v>47</v>
      </c>
      <c r="B52" s="15" t="s">
        <v>77</v>
      </c>
      <c r="C52" s="15" t="s">
        <v>213</v>
      </c>
      <c r="D52" s="16">
        <v>9904059.3339000009</v>
      </c>
      <c r="E52" s="17">
        <f t="shared" si="0"/>
        <v>9904059.3339000009</v>
      </c>
      <c r="F52" s="18"/>
      <c r="G52" s="18"/>
      <c r="H52" s="19"/>
      <c r="I52" s="19"/>
      <c r="J52" s="19"/>
      <c r="K52" s="19"/>
      <c r="L52" s="18"/>
      <c r="M52" s="18"/>
      <c r="N52" s="19"/>
      <c r="O52" s="19"/>
      <c r="P52" s="19"/>
    </row>
    <row r="53" spans="1:16" ht="17.649999999999999">
      <c r="A53" s="14">
        <v>48</v>
      </c>
      <c r="B53" s="15" t="s">
        <v>77</v>
      </c>
      <c r="C53" s="15" t="s">
        <v>215</v>
      </c>
      <c r="D53" s="16">
        <v>10775158.0482</v>
      </c>
      <c r="E53" s="17">
        <f t="shared" si="0"/>
        <v>10775158.0482</v>
      </c>
      <c r="F53" s="18"/>
      <c r="G53" s="18"/>
      <c r="H53" s="19"/>
      <c r="I53" s="19"/>
      <c r="J53" s="19"/>
      <c r="K53" s="19"/>
      <c r="L53" s="18"/>
      <c r="M53" s="18"/>
      <c r="N53" s="19"/>
      <c r="O53" s="19"/>
      <c r="P53" s="19"/>
    </row>
    <row r="54" spans="1:16" ht="17.649999999999999">
      <c r="A54" s="14">
        <v>49</v>
      </c>
      <c r="B54" s="15" t="s">
        <v>77</v>
      </c>
      <c r="C54" s="15" t="s">
        <v>217</v>
      </c>
      <c r="D54" s="16">
        <v>8292860.0053000003</v>
      </c>
      <c r="E54" s="17">
        <f t="shared" si="0"/>
        <v>8292860.0053000003</v>
      </c>
      <c r="F54" s="18"/>
      <c r="G54" s="18"/>
      <c r="H54" s="19"/>
      <c r="I54" s="19"/>
      <c r="J54" s="19"/>
      <c r="K54" s="19"/>
      <c r="L54" s="18"/>
      <c r="M54" s="18"/>
      <c r="N54" s="19"/>
      <c r="O54" s="19"/>
      <c r="P54" s="19"/>
    </row>
    <row r="55" spans="1:16" ht="17.649999999999999">
      <c r="A55" s="14">
        <v>50</v>
      </c>
      <c r="B55" s="15" t="s">
        <v>77</v>
      </c>
      <c r="C55" s="15" t="s">
        <v>219</v>
      </c>
      <c r="D55" s="16">
        <v>9808963.2128999997</v>
      </c>
      <c r="E55" s="17">
        <f t="shared" si="0"/>
        <v>9808963.2128999997</v>
      </c>
      <c r="F55" s="18"/>
      <c r="G55" s="18"/>
      <c r="H55" s="19"/>
      <c r="I55" s="19"/>
      <c r="J55" s="19"/>
      <c r="K55" s="19"/>
      <c r="L55" s="18"/>
      <c r="M55" s="18"/>
      <c r="N55" s="19"/>
      <c r="O55" s="19"/>
      <c r="P55" s="19"/>
    </row>
    <row r="56" spans="1:16" ht="17.649999999999999">
      <c r="A56" s="14">
        <v>51</v>
      </c>
      <c r="B56" s="15" t="s">
        <v>77</v>
      </c>
      <c r="C56" s="15" t="s">
        <v>221</v>
      </c>
      <c r="D56" s="16">
        <v>9811728.7826000005</v>
      </c>
      <c r="E56" s="17">
        <f t="shared" si="0"/>
        <v>9811728.7826000005</v>
      </c>
      <c r="F56" s="18"/>
      <c r="G56" s="18"/>
      <c r="H56" s="19"/>
      <c r="I56" s="19"/>
      <c r="J56" s="19"/>
      <c r="K56" s="19"/>
      <c r="L56" s="18"/>
      <c r="M56" s="18"/>
      <c r="N56" s="19"/>
      <c r="O56" s="19"/>
      <c r="P56" s="19"/>
    </row>
    <row r="57" spans="1:16" ht="17.649999999999999">
      <c r="A57" s="14">
        <v>52</v>
      </c>
      <c r="B57" s="15" t="s">
        <v>77</v>
      </c>
      <c r="C57" s="15" t="s">
        <v>223</v>
      </c>
      <c r="D57" s="16">
        <v>10119338.638800001</v>
      </c>
      <c r="E57" s="17">
        <f t="shared" si="0"/>
        <v>10119338.638800001</v>
      </c>
      <c r="F57" s="18"/>
      <c r="G57" s="18"/>
      <c r="H57" s="19"/>
      <c r="I57" s="19"/>
      <c r="J57" s="19"/>
      <c r="K57" s="19"/>
      <c r="L57" s="18"/>
      <c r="M57" s="18"/>
      <c r="N57" s="19"/>
      <c r="O57" s="19"/>
      <c r="P57" s="19"/>
    </row>
    <row r="58" spans="1:16" ht="17.649999999999999">
      <c r="A58" s="14">
        <v>53</v>
      </c>
      <c r="B58" s="15" t="s">
        <v>77</v>
      </c>
      <c r="C58" s="15" t="s">
        <v>225</v>
      </c>
      <c r="D58" s="16">
        <v>9245007.5304000005</v>
      </c>
      <c r="E58" s="17">
        <f t="shared" si="0"/>
        <v>9245007.5304000005</v>
      </c>
      <c r="F58" s="18"/>
      <c r="G58" s="18"/>
      <c r="H58" s="19"/>
      <c r="I58" s="19"/>
      <c r="J58" s="19"/>
      <c r="K58" s="19"/>
      <c r="L58" s="18"/>
      <c r="M58" s="18"/>
      <c r="N58" s="19"/>
      <c r="O58" s="19"/>
      <c r="P58" s="19"/>
    </row>
    <row r="59" spans="1:16" ht="17.649999999999999">
      <c r="A59" s="14">
        <v>54</v>
      </c>
      <c r="B59" s="15" t="s">
        <v>77</v>
      </c>
      <c r="C59" s="15" t="s">
        <v>227</v>
      </c>
      <c r="D59" s="16">
        <v>9439618.4131000005</v>
      </c>
      <c r="E59" s="17">
        <f t="shared" si="0"/>
        <v>9439618.4131000005</v>
      </c>
      <c r="F59" s="18"/>
      <c r="G59" s="18"/>
      <c r="H59" s="19"/>
      <c r="I59" s="19"/>
      <c r="J59" s="19"/>
      <c r="K59" s="19"/>
      <c r="L59" s="18"/>
      <c r="M59" s="18"/>
      <c r="N59" s="19"/>
      <c r="O59" s="19"/>
      <c r="P59" s="19"/>
    </row>
    <row r="60" spans="1:16" ht="17.649999999999999">
      <c r="A60" s="14">
        <v>55</v>
      </c>
      <c r="B60" s="15" t="s">
        <v>77</v>
      </c>
      <c r="C60" s="15" t="s">
        <v>229</v>
      </c>
      <c r="D60" s="16">
        <v>8811322.6721999999</v>
      </c>
      <c r="E60" s="17">
        <f t="shared" si="0"/>
        <v>8811322.6721999999</v>
      </c>
      <c r="F60" s="18"/>
      <c r="G60" s="18"/>
      <c r="H60" s="19"/>
      <c r="I60" s="19"/>
      <c r="J60" s="19"/>
      <c r="K60" s="19"/>
      <c r="L60" s="18"/>
      <c r="M60" s="18"/>
      <c r="N60" s="19"/>
      <c r="O60" s="19"/>
      <c r="P60" s="19"/>
    </row>
    <row r="61" spans="1:16" ht="17.649999999999999">
      <c r="A61" s="14">
        <v>56</v>
      </c>
      <c r="B61" s="15" t="s">
        <v>77</v>
      </c>
      <c r="C61" s="15" t="s">
        <v>231</v>
      </c>
      <c r="D61" s="16">
        <v>10947227.8103</v>
      </c>
      <c r="E61" s="17">
        <f t="shared" si="0"/>
        <v>10947227.8103</v>
      </c>
      <c r="F61" s="18"/>
      <c r="G61" s="18"/>
      <c r="H61" s="19"/>
      <c r="I61" s="19"/>
      <c r="J61" s="19"/>
      <c r="K61" s="19"/>
      <c r="L61" s="18"/>
      <c r="M61" s="18"/>
      <c r="N61" s="19"/>
      <c r="O61" s="19"/>
      <c r="P61" s="19"/>
    </row>
    <row r="62" spans="1:16" ht="17.649999999999999">
      <c r="A62" s="14">
        <v>57</v>
      </c>
      <c r="B62" s="15" t="s">
        <v>77</v>
      </c>
      <c r="C62" s="15" t="s">
        <v>233</v>
      </c>
      <c r="D62" s="16">
        <v>9134651.0782999992</v>
      </c>
      <c r="E62" s="17">
        <f t="shared" si="0"/>
        <v>9134651.0782999992</v>
      </c>
      <c r="F62" s="18"/>
      <c r="G62" s="18"/>
      <c r="H62" s="19"/>
      <c r="I62" s="19"/>
      <c r="J62" s="19"/>
      <c r="K62" s="19"/>
      <c r="L62" s="18"/>
      <c r="M62" s="18"/>
      <c r="N62" s="19"/>
      <c r="O62" s="19"/>
      <c r="P62" s="19"/>
    </row>
    <row r="63" spans="1:16" ht="17.649999999999999">
      <c r="A63" s="14">
        <v>58</v>
      </c>
      <c r="B63" s="15" t="s">
        <v>77</v>
      </c>
      <c r="C63" s="15" t="s">
        <v>235</v>
      </c>
      <c r="D63" s="16">
        <v>9611175.9779000003</v>
      </c>
      <c r="E63" s="17">
        <f t="shared" si="0"/>
        <v>9611175.9779000003</v>
      </c>
      <c r="F63" s="18"/>
      <c r="G63" s="18"/>
      <c r="H63" s="19"/>
      <c r="I63" s="19"/>
      <c r="J63" s="19"/>
      <c r="K63" s="19"/>
      <c r="L63" s="18"/>
      <c r="M63" s="18"/>
      <c r="N63" s="19"/>
      <c r="O63" s="19"/>
      <c r="P63" s="19"/>
    </row>
    <row r="64" spans="1:16" ht="17.649999999999999">
      <c r="A64" s="14">
        <v>59</v>
      </c>
      <c r="B64" s="15" t="s">
        <v>77</v>
      </c>
      <c r="C64" s="15" t="s">
        <v>237</v>
      </c>
      <c r="D64" s="16">
        <v>9997018.9817999993</v>
      </c>
      <c r="E64" s="17">
        <f t="shared" si="0"/>
        <v>9997018.9817999993</v>
      </c>
      <c r="F64" s="18"/>
      <c r="G64" s="18"/>
      <c r="H64" s="19"/>
      <c r="I64" s="19"/>
      <c r="J64" s="19"/>
      <c r="K64" s="19"/>
      <c r="L64" s="18"/>
      <c r="M64" s="18"/>
      <c r="N64" s="19"/>
      <c r="O64" s="19"/>
      <c r="P64" s="19"/>
    </row>
    <row r="65" spans="1:16" ht="17.649999999999999">
      <c r="A65" s="14">
        <v>60</v>
      </c>
      <c r="B65" s="15" t="s">
        <v>77</v>
      </c>
      <c r="C65" s="15" t="s">
        <v>239</v>
      </c>
      <c r="D65" s="16">
        <v>8592699.4682</v>
      </c>
      <c r="E65" s="17">
        <f t="shared" si="0"/>
        <v>8592699.4682</v>
      </c>
      <c r="F65" s="18"/>
      <c r="G65" s="18"/>
      <c r="H65" s="19"/>
      <c r="I65" s="19"/>
      <c r="J65" s="19"/>
      <c r="K65" s="19"/>
      <c r="L65" s="18"/>
      <c r="M65" s="18"/>
      <c r="N65" s="19"/>
      <c r="O65" s="19"/>
      <c r="P65" s="19"/>
    </row>
    <row r="66" spans="1:16" ht="17.649999999999999">
      <c r="A66" s="14">
        <v>61</v>
      </c>
      <c r="B66" s="15" t="s">
        <v>77</v>
      </c>
      <c r="C66" s="15" t="s">
        <v>241</v>
      </c>
      <c r="D66" s="16">
        <v>8972449.8030999992</v>
      </c>
      <c r="E66" s="17">
        <f t="shared" si="0"/>
        <v>8972449.8030999992</v>
      </c>
      <c r="F66" s="18"/>
      <c r="G66" s="18"/>
      <c r="H66" s="19"/>
      <c r="I66" s="19"/>
      <c r="J66" s="19"/>
      <c r="K66" s="19"/>
      <c r="L66" s="18"/>
      <c r="M66" s="18"/>
      <c r="N66" s="19"/>
      <c r="O66" s="19"/>
      <c r="P66" s="19"/>
    </row>
    <row r="67" spans="1:16" ht="17.649999999999999">
      <c r="A67" s="14">
        <v>62</v>
      </c>
      <c r="B67" s="15" t="s">
        <v>77</v>
      </c>
      <c r="C67" s="15" t="s">
        <v>243</v>
      </c>
      <c r="D67" s="16">
        <v>9190312.0582999997</v>
      </c>
      <c r="E67" s="17">
        <f t="shared" si="0"/>
        <v>9190312.0582999997</v>
      </c>
      <c r="F67" s="18"/>
      <c r="G67" s="18"/>
      <c r="H67" s="19"/>
      <c r="I67" s="19"/>
      <c r="J67" s="19"/>
      <c r="K67" s="19"/>
      <c r="L67" s="18"/>
      <c r="M67" s="18"/>
      <c r="N67" s="19"/>
      <c r="O67" s="19"/>
      <c r="P67" s="19"/>
    </row>
    <row r="68" spans="1:16" ht="17.649999999999999">
      <c r="A68" s="14">
        <v>63</v>
      </c>
      <c r="B68" s="15" t="s">
        <v>77</v>
      </c>
      <c r="C68" s="15" t="s">
        <v>245</v>
      </c>
      <c r="D68" s="16">
        <v>10828223.4991</v>
      </c>
      <c r="E68" s="17">
        <f t="shared" si="0"/>
        <v>10828223.4991</v>
      </c>
      <c r="F68" s="18"/>
      <c r="G68" s="18"/>
      <c r="H68" s="19"/>
      <c r="I68" s="19"/>
      <c r="J68" s="19"/>
      <c r="K68" s="19"/>
      <c r="L68" s="18"/>
      <c r="M68" s="18"/>
      <c r="N68" s="19"/>
      <c r="O68" s="19"/>
      <c r="P68" s="19"/>
    </row>
    <row r="69" spans="1:16" ht="17.649999999999999">
      <c r="A69" s="14">
        <v>64</v>
      </c>
      <c r="B69" s="15" t="s">
        <v>77</v>
      </c>
      <c r="C69" s="15" t="s">
        <v>247</v>
      </c>
      <c r="D69" s="16">
        <v>8066016.3229999999</v>
      </c>
      <c r="E69" s="17">
        <f t="shared" si="0"/>
        <v>8066016.3229999999</v>
      </c>
      <c r="F69" s="18"/>
      <c r="G69" s="18"/>
      <c r="H69" s="19"/>
      <c r="I69" s="19"/>
      <c r="J69" s="19"/>
      <c r="K69" s="19"/>
      <c r="L69" s="18"/>
      <c r="M69" s="18"/>
      <c r="N69" s="19"/>
      <c r="O69" s="19"/>
      <c r="P69" s="19"/>
    </row>
    <row r="70" spans="1:16" ht="17.649999999999999">
      <c r="A70" s="14">
        <v>65</v>
      </c>
      <c r="B70" s="15" t="s">
        <v>77</v>
      </c>
      <c r="C70" s="15" t="s">
        <v>249</v>
      </c>
      <c r="D70" s="16">
        <v>9897067.8982999995</v>
      </c>
      <c r="E70" s="17">
        <f t="shared" si="0"/>
        <v>9897067.8982999995</v>
      </c>
      <c r="F70" s="18"/>
      <c r="G70" s="18"/>
      <c r="H70" s="19"/>
      <c r="I70" s="19"/>
      <c r="J70" s="19"/>
      <c r="K70" s="19"/>
      <c r="L70" s="18"/>
      <c r="M70" s="18"/>
      <c r="N70" s="19"/>
      <c r="O70" s="19"/>
      <c r="P70" s="19"/>
    </row>
    <row r="71" spans="1:16" ht="17.649999999999999">
      <c r="A71" s="14">
        <v>66</v>
      </c>
      <c r="B71" s="15" t="s">
        <v>77</v>
      </c>
      <c r="C71" s="15" t="s">
        <v>251</v>
      </c>
      <c r="D71" s="16">
        <v>8068888.7300000004</v>
      </c>
      <c r="E71" s="17">
        <f t="shared" ref="E71:E134" si="1">D71</f>
        <v>8068888.7300000004</v>
      </c>
      <c r="F71" s="18"/>
      <c r="G71" s="18"/>
      <c r="H71" s="19"/>
      <c r="I71" s="19"/>
      <c r="J71" s="19"/>
      <c r="K71" s="19"/>
      <c r="L71" s="18"/>
      <c r="M71" s="18"/>
      <c r="N71" s="19"/>
      <c r="O71" s="19"/>
      <c r="P71" s="19"/>
    </row>
    <row r="72" spans="1:16" ht="17.649999999999999">
      <c r="A72" s="14">
        <v>67</v>
      </c>
      <c r="B72" s="15" t="s">
        <v>77</v>
      </c>
      <c r="C72" s="15" t="s">
        <v>253</v>
      </c>
      <c r="D72" s="16">
        <v>10523126.2601</v>
      </c>
      <c r="E72" s="17">
        <f t="shared" si="1"/>
        <v>10523126.2601</v>
      </c>
      <c r="F72" s="18"/>
      <c r="G72" s="18"/>
      <c r="H72" s="19"/>
      <c r="I72" s="19"/>
      <c r="J72" s="19"/>
      <c r="K72" s="19"/>
      <c r="L72" s="18"/>
      <c r="M72" s="18"/>
      <c r="N72" s="19"/>
      <c r="O72" s="19"/>
      <c r="P72" s="19"/>
    </row>
    <row r="73" spans="1:16" ht="35.25">
      <c r="A73" s="14">
        <v>68</v>
      </c>
      <c r="B73" s="15" t="s">
        <v>77</v>
      </c>
      <c r="C73" s="15" t="s">
        <v>255</v>
      </c>
      <c r="D73" s="16">
        <v>8707368.9379999992</v>
      </c>
      <c r="E73" s="17">
        <f t="shared" si="1"/>
        <v>8707368.9379999992</v>
      </c>
      <c r="F73" s="18"/>
      <c r="G73" s="18"/>
      <c r="H73" s="19"/>
      <c r="I73" s="19"/>
      <c r="J73" s="19"/>
      <c r="K73" s="19"/>
      <c r="L73" s="18"/>
      <c r="M73" s="18"/>
      <c r="N73" s="19"/>
      <c r="O73" s="19"/>
      <c r="P73" s="19"/>
    </row>
    <row r="74" spans="1:16" ht="17.649999999999999">
      <c r="A74" s="14">
        <v>69</v>
      </c>
      <c r="B74" s="15" t="s">
        <v>77</v>
      </c>
      <c r="C74" s="15" t="s">
        <v>257</v>
      </c>
      <c r="D74" s="16">
        <v>13161612.752599999</v>
      </c>
      <c r="E74" s="17">
        <f t="shared" si="1"/>
        <v>13161612.752599999</v>
      </c>
      <c r="F74" s="18"/>
      <c r="G74" s="18"/>
      <c r="H74" s="19"/>
      <c r="I74" s="19"/>
      <c r="J74" s="19"/>
      <c r="K74" s="19"/>
      <c r="L74" s="18"/>
      <c r="M74" s="18"/>
      <c r="N74" s="19"/>
      <c r="O74" s="19"/>
      <c r="P74" s="19"/>
    </row>
    <row r="75" spans="1:16" ht="17.649999999999999">
      <c r="A75" s="14">
        <v>70</v>
      </c>
      <c r="B75" s="15" t="s">
        <v>78</v>
      </c>
      <c r="C75" s="15" t="s">
        <v>262</v>
      </c>
      <c r="D75" s="16">
        <v>14803888.7119</v>
      </c>
      <c r="E75" s="17">
        <f t="shared" si="1"/>
        <v>14803888.7119</v>
      </c>
      <c r="F75" s="18"/>
      <c r="G75" s="18"/>
      <c r="H75" s="19"/>
      <c r="I75" s="19"/>
      <c r="J75" s="19"/>
      <c r="K75" s="19"/>
      <c r="L75" s="18"/>
      <c r="M75" s="18"/>
      <c r="N75" s="19"/>
      <c r="O75" s="19"/>
      <c r="P75" s="19"/>
    </row>
    <row r="76" spans="1:16" ht="17.649999999999999">
      <c r="A76" s="14">
        <v>71</v>
      </c>
      <c r="B76" s="15" t="s">
        <v>78</v>
      </c>
      <c r="C76" s="15" t="s">
        <v>264</v>
      </c>
      <c r="D76" s="16">
        <v>9735879.7686000001</v>
      </c>
      <c r="E76" s="17">
        <f t="shared" si="1"/>
        <v>9735879.7686000001</v>
      </c>
      <c r="F76" s="18"/>
      <c r="G76" s="18"/>
      <c r="H76" s="19"/>
      <c r="I76" s="19"/>
      <c r="J76" s="19"/>
      <c r="K76" s="19"/>
      <c r="L76" s="18"/>
      <c r="M76" s="18"/>
      <c r="N76" s="19"/>
      <c r="O76" s="19"/>
      <c r="P76" s="19"/>
    </row>
    <row r="77" spans="1:16" ht="17.649999999999999">
      <c r="A77" s="14">
        <v>72</v>
      </c>
      <c r="B77" s="15" t="s">
        <v>78</v>
      </c>
      <c r="C77" s="15" t="s">
        <v>266</v>
      </c>
      <c r="D77" s="16">
        <v>10015467.0528</v>
      </c>
      <c r="E77" s="17">
        <f t="shared" si="1"/>
        <v>10015467.0528</v>
      </c>
      <c r="F77" s="18"/>
      <c r="G77" s="18"/>
      <c r="H77" s="19"/>
      <c r="I77" s="19"/>
      <c r="J77" s="19"/>
      <c r="K77" s="19"/>
      <c r="L77" s="18"/>
      <c r="M77" s="18"/>
      <c r="N77" s="19"/>
      <c r="O77" s="19"/>
      <c r="P77" s="19"/>
    </row>
    <row r="78" spans="1:16" ht="17.649999999999999">
      <c r="A78" s="14">
        <v>73</v>
      </c>
      <c r="B78" s="15" t="s">
        <v>78</v>
      </c>
      <c r="C78" s="15" t="s">
        <v>268</v>
      </c>
      <c r="D78" s="16">
        <v>12105645.817399999</v>
      </c>
      <c r="E78" s="17">
        <f t="shared" si="1"/>
        <v>12105645.817399999</v>
      </c>
      <c r="F78" s="18"/>
      <c r="G78" s="18"/>
      <c r="H78" s="19"/>
      <c r="I78" s="19"/>
      <c r="J78" s="19"/>
      <c r="K78" s="19"/>
      <c r="L78" s="18"/>
      <c r="M78" s="18"/>
      <c r="N78" s="19"/>
      <c r="O78" s="19"/>
      <c r="P78" s="19"/>
    </row>
    <row r="79" spans="1:16" ht="17.649999999999999">
      <c r="A79" s="14">
        <v>74</v>
      </c>
      <c r="B79" s="15" t="s">
        <v>78</v>
      </c>
      <c r="C79" s="15" t="s">
        <v>270</v>
      </c>
      <c r="D79" s="16">
        <v>9193844.1576000005</v>
      </c>
      <c r="E79" s="17">
        <f t="shared" si="1"/>
        <v>9193844.1576000005</v>
      </c>
      <c r="F79" s="18"/>
      <c r="G79" s="18"/>
      <c r="H79" s="19"/>
      <c r="I79" s="19"/>
      <c r="J79" s="19"/>
      <c r="K79" s="19"/>
      <c r="L79" s="18"/>
      <c r="M79" s="18"/>
      <c r="N79" s="19"/>
      <c r="O79" s="19"/>
      <c r="P79" s="19"/>
    </row>
    <row r="80" spans="1:16" ht="17.649999999999999">
      <c r="A80" s="14">
        <v>75</v>
      </c>
      <c r="B80" s="15" t="s">
        <v>78</v>
      </c>
      <c r="C80" s="15" t="s">
        <v>272</v>
      </c>
      <c r="D80" s="16">
        <v>10584164.744000001</v>
      </c>
      <c r="E80" s="17">
        <f t="shared" si="1"/>
        <v>10584164.744000001</v>
      </c>
      <c r="F80" s="18"/>
      <c r="G80" s="18"/>
      <c r="H80" s="19"/>
      <c r="I80" s="19"/>
      <c r="J80" s="19"/>
      <c r="K80" s="19"/>
      <c r="L80" s="18"/>
      <c r="M80" s="18"/>
      <c r="N80" s="19"/>
      <c r="O80" s="19"/>
      <c r="P80" s="19"/>
    </row>
    <row r="81" spans="1:16" ht="17.649999999999999">
      <c r="A81" s="14">
        <v>76</v>
      </c>
      <c r="B81" s="15" t="s">
        <v>78</v>
      </c>
      <c r="C81" s="15" t="s">
        <v>274</v>
      </c>
      <c r="D81" s="16">
        <v>9809133.0611000005</v>
      </c>
      <c r="E81" s="17">
        <f t="shared" si="1"/>
        <v>9809133.0611000005</v>
      </c>
      <c r="F81" s="18"/>
      <c r="G81" s="18"/>
      <c r="H81" s="19"/>
      <c r="I81" s="19"/>
      <c r="J81" s="19"/>
      <c r="K81" s="19"/>
      <c r="L81" s="18"/>
      <c r="M81" s="18"/>
      <c r="N81" s="19"/>
      <c r="O81" s="19"/>
      <c r="P81" s="19"/>
    </row>
    <row r="82" spans="1:16" ht="17.649999999999999">
      <c r="A82" s="14">
        <v>77</v>
      </c>
      <c r="B82" s="15" t="s">
        <v>78</v>
      </c>
      <c r="C82" s="15" t="s">
        <v>276</v>
      </c>
      <c r="D82" s="16">
        <v>8770583.7765999995</v>
      </c>
      <c r="E82" s="17">
        <f t="shared" si="1"/>
        <v>8770583.7765999995</v>
      </c>
      <c r="F82" s="18"/>
      <c r="G82" s="18"/>
      <c r="H82" s="19"/>
      <c r="I82" s="19"/>
      <c r="J82" s="19"/>
      <c r="K82" s="19"/>
      <c r="L82" s="18"/>
      <c r="M82" s="18"/>
      <c r="N82" s="19"/>
      <c r="O82" s="19"/>
      <c r="P82" s="19"/>
    </row>
    <row r="83" spans="1:16" ht="17.649999999999999">
      <c r="A83" s="14">
        <v>78</v>
      </c>
      <c r="B83" s="15" t="s">
        <v>78</v>
      </c>
      <c r="C83" s="15" t="s">
        <v>278</v>
      </c>
      <c r="D83" s="16">
        <v>9741377.3585000001</v>
      </c>
      <c r="E83" s="17">
        <f t="shared" si="1"/>
        <v>9741377.3585000001</v>
      </c>
      <c r="F83" s="18"/>
      <c r="G83" s="18"/>
      <c r="H83" s="19"/>
      <c r="I83" s="19"/>
      <c r="J83" s="19"/>
      <c r="K83" s="19"/>
      <c r="L83" s="18"/>
      <c r="M83" s="18"/>
      <c r="N83" s="19"/>
      <c r="O83" s="19"/>
      <c r="P83" s="19"/>
    </row>
    <row r="84" spans="1:16" ht="17.649999999999999">
      <c r="A84" s="14">
        <v>79</v>
      </c>
      <c r="B84" s="15" t="s">
        <v>78</v>
      </c>
      <c r="C84" s="15" t="s">
        <v>280</v>
      </c>
      <c r="D84" s="16">
        <v>15411210.1426</v>
      </c>
      <c r="E84" s="17">
        <f t="shared" si="1"/>
        <v>15411210.1426</v>
      </c>
      <c r="F84" s="18"/>
      <c r="G84" s="18"/>
      <c r="H84" s="19"/>
      <c r="I84" s="19"/>
      <c r="J84" s="19"/>
      <c r="K84" s="19"/>
      <c r="L84" s="18"/>
      <c r="M84" s="18"/>
      <c r="N84" s="19"/>
      <c r="O84" s="19"/>
      <c r="P84" s="19"/>
    </row>
    <row r="85" spans="1:16" ht="17.649999999999999">
      <c r="A85" s="14">
        <v>80</v>
      </c>
      <c r="B85" s="15" t="s">
        <v>78</v>
      </c>
      <c r="C85" s="15" t="s">
        <v>282</v>
      </c>
      <c r="D85" s="16">
        <v>10710809.6602</v>
      </c>
      <c r="E85" s="17">
        <f t="shared" si="1"/>
        <v>10710809.6602</v>
      </c>
      <c r="F85" s="18"/>
      <c r="G85" s="18"/>
      <c r="H85" s="19"/>
      <c r="I85" s="19"/>
      <c r="J85" s="19"/>
      <c r="K85" s="19"/>
      <c r="L85" s="18"/>
      <c r="M85" s="18"/>
      <c r="N85" s="19"/>
      <c r="O85" s="19"/>
      <c r="P85" s="19"/>
    </row>
    <row r="86" spans="1:16" ht="17.649999999999999">
      <c r="A86" s="14">
        <v>81</v>
      </c>
      <c r="B86" s="15" t="s">
        <v>78</v>
      </c>
      <c r="C86" s="15" t="s">
        <v>284</v>
      </c>
      <c r="D86" s="16">
        <v>13095040.1873</v>
      </c>
      <c r="E86" s="17">
        <f t="shared" si="1"/>
        <v>13095040.1873</v>
      </c>
      <c r="F86" s="18"/>
      <c r="G86" s="18"/>
      <c r="H86" s="19"/>
      <c r="I86" s="19"/>
      <c r="J86" s="19"/>
      <c r="K86" s="19"/>
      <c r="L86" s="18"/>
      <c r="M86" s="18"/>
      <c r="N86" s="19"/>
      <c r="O86" s="19"/>
      <c r="P86" s="19"/>
    </row>
    <row r="87" spans="1:16" ht="17.649999999999999">
      <c r="A87" s="14">
        <v>82</v>
      </c>
      <c r="B87" s="15" t="s">
        <v>78</v>
      </c>
      <c r="C87" s="15" t="s">
        <v>286</v>
      </c>
      <c r="D87" s="16">
        <v>9621512.1159000006</v>
      </c>
      <c r="E87" s="17">
        <f t="shared" si="1"/>
        <v>9621512.1159000006</v>
      </c>
      <c r="F87" s="18"/>
      <c r="G87" s="18"/>
      <c r="H87" s="19"/>
      <c r="I87" s="19"/>
      <c r="J87" s="19"/>
      <c r="K87" s="19"/>
      <c r="L87" s="18"/>
      <c r="M87" s="18"/>
      <c r="N87" s="19"/>
      <c r="O87" s="19"/>
      <c r="P87" s="19"/>
    </row>
    <row r="88" spans="1:16" ht="17.649999999999999">
      <c r="A88" s="14">
        <v>83</v>
      </c>
      <c r="B88" s="15" t="s">
        <v>78</v>
      </c>
      <c r="C88" s="15" t="s">
        <v>288</v>
      </c>
      <c r="D88" s="16">
        <v>9539786.5150000006</v>
      </c>
      <c r="E88" s="17">
        <f t="shared" si="1"/>
        <v>9539786.5150000006</v>
      </c>
      <c r="F88" s="18"/>
      <c r="G88" s="18"/>
      <c r="H88" s="19"/>
      <c r="I88" s="19"/>
      <c r="J88" s="19"/>
      <c r="K88" s="19"/>
      <c r="L88" s="18"/>
      <c r="M88" s="18"/>
      <c r="N88" s="19"/>
      <c r="O88" s="19"/>
      <c r="P88" s="19"/>
    </row>
    <row r="89" spans="1:16" ht="17.649999999999999">
      <c r="A89" s="14">
        <v>84</v>
      </c>
      <c r="B89" s="15" t="s">
        <v>78</v>
      </c>
      <c r="C89" s="15" t="s">
        <v>290</v>
      </c>
      <c r="D89" s="16">
        <v>11449832.755799999</v>
      </c>
      <c r="E89" s="17">
        <f t="shared" si="1"/>
        <v>11449832.755799999</v>
      </c>
      <c r="F89" s="18"/>
      <c r="G89" s="18"/>
      <c r="H89" s="19"/>
      <c r="I89" s="19"/>
      <c r="J89" s="19"/>
      <c r="K89" s="19"/>
      <c r="L89" s="18"/>
      <c r="M89" s="18"/>
      <c r="N89" s="19"/>
      <c r="O89" s="19"/>
      <c r="P89" s="19"/>
    </row>
    <row r="90" spans="1:16" ht="17.649999999999999">
      <c r="A90" s="14">
        <v>85</v>
      </c>
      <c r="B90" s="15" t="s">
        <v>78</v>
      </c>
      <c r="C90" s="15" t="s">
        <v>292</v>
      </c>
      <c r="D90" s="16">
        <v>10940639.198100001</v>
      </c>
      <c r="E90" s="17">
        <f t="shared" si="1"/>
        <v>10940639.198100001</v>
      </c>
      <c r="F90" s="18"/>
      <c r="G90" s="18"/>
      <c r="H90" s="19"/>
      <c r="I90" s="19"/>
      <c r="J90" s="19"/>
      <c r="K90" s="19"/>
      <c r="L90" s="18"/>
      <c r="M90" s="18"/>
      <c r="N90" s="19"/>
      <c r="O90" s="19"/>
      <c r="P90" s="19"/>
    </row>
    <row r="91" spans="1:16" ht="17.649999999999999">
      <c r="A91" s="14">
        <v>86</v>
      </c>
      <c r="B91" s="15" t="s">
        <v>78</v>
      </c>
      <c r="C91" s="15" t="s">
        <v>293</v>
      </c>
      <c r="D91" s="16">
        <v>9165233.6745999996</v>
      </c>
      <c r="E91" s="17">
        <f t="shared" si="1"/>
        <v>9165233.6745999996</v>
      </c>
      <c r="F91" s="18"/>
      <c r="G91" s="18"/>
      <c r="H91" s="19"/>
      <c r="I91" s="19"/>
      <c r="J91" s="19"/>
      <c r="K91" s="19"/>
      <c r="L91" s="18"/>
      <c r="M91" s="18"/>
      <c r="N91" s="19"/>
      <c r="O91" s="19"/>
      <c r="P91" s="19"/>
    </row>
    <row r="92" spans="1:16" ht="17.649999999999999">
      <c r="A92" s="14">
        <v>87</v>
      </c>
      <c r="B92" s="15" t="s">
        <v>78</v>
      </c>
      <c r="C92" s="15" t="s">
        <v>295</v>
      </c>
      <c r="D92" s="16">
        <v>9496851.3466999996</v>
      </c>
      <c r="E92" s="17">
        <f t="shared" si="1"/>
        <v>9496851.3466999996</v>
      </c>
      <c r="F92" s="18"/>
      <c r="G92" s="18"/>
      <c r="H92" s="19"/>
      <c r="I92" s="19"/>
      <c r="J92" s="19"/>
      <c r="K92" s="19"/>
      <c r="L92" s="18"/>
      <c r="M92" s="18"/>
      <c r="N92" s="19"/>
      <c r="O92" s="19"/>
      <c r="P92" s="19"/>
    </row>
    <row r="93" spans="1:16" ht="17.649999999999999">
      <c r="A93" s="14">
        <v>88</v>
      </c>
      <c r="B93" s="15" t="s">
        <v>78</v>
      </c>
      <c r="C93" s="15" t="s">
        <v>297</v>
      </c>
      <c r="D93" s="16">
        <v>10255793.0923</v>
      </c>
      <c r="E93" s="17">
        <f t="shared" si="1"/>
        <v>10255793.0923</v>
      </c>
      <c r="F93" s="18"/>
      <c r="G93" s="18"/>
      <c r="H93" s="19"/>
      <c r="I93" s="19"/>
      <c r="J93" s="19"/>
      <c r="K93" s="19"/>
      <c r="L93" s="18"/>
      <c r="M93" s="18"/>
      <c r="N93" s="19"/>
      <c r="O93" s="19"/>
      <c r="P93" s="19"/>
    </row>
    <row r="94" spans="1:16" ht="17.649999999999999">
      <c r="A94" s="14">
        <v>89</v>
      </c>
      <c r="B94" s="15" t="s">
        <v>78</v>
      </c>
      <c r="C94" s="15" t="s">
        <v>299</v>
      </c>
      <c r="D94" s="16">
        <v>10378603.2939</v>
      </c>
      <c r="E94" s="17">
        <f t="shared" si="1"/>
        <v>10378603.2939</v>
      </c>
      <c r="F94" s="18"/>
      <c r="G94" s="18"/>
      <c r="H94" s="19"/>
      <c r="I94" s="19"/>
      <c r="J94" s="19"/>
      <c r="K94" s="19"/>
      <c r="L94" s="18"/>
      <c r="M94" s="18"/>
      <c r="N94" s="19"/>
      <c r="O94" s="19"/>
      <c r="P94" s="19"/>
    </row>
    <row r="95" spans="1:16" ht="17.649999999999999">
      <c r="A95" s="14">
        <v>90</v>
      </c>
      <c r="B95" s="15" t="s">
        <v>78</v>
      </c>
      <c r="C95" s="15" t="s">
        <v>301</v>
      </c>
      <c r="D95" s="16">
        <v>9964987.5162000004</v>
      </c>
      <c r="E95" s="17">
        <f t="shared" si="1"/>
        <v>9964987.5162000004</v>
      </c>
      <c r="F95" s="18"/>
      <c r="G95" s="18"/>
      <c r="H95" s="19"/>
      <c r="I95" s="19"/>
      <c r="J95" s="19"/>
      <c r="K95" s="19"/>
      <c r="L95" s="18"/>
      <c r="M95" s="18"/>
      <c r="N95" s="19"/>
      <c r="O95" s="19"/>
      <c r="P95" s="19"/>
    </row>
    <row r="96" spans="1:16" ht="17.649999999999999">
      <c r="A96" s="14">
        <v>91</v>
      </c>
      <c r="B96" s="15" t="s">
        <v>79</v>
      </c>
      <c r="C96" s="15" t="s">
        <v>306</v>
      </c>
      <c r="D96" s="16">
        <v>16802046.2674</v>
      </c>
      <c r="E96" s="17">
        <f t="shared" si="1"/>
        <v>16802046.2674</v>
      </c>
      <c r="F96" s="18"/>
      <c r="G96" s="18"/>
      <c r="H96" s="19"/>
      <c r="I96" s="19"/>
      <c r="J96" s="19"/>
      <c r="K96" s="19"/>
      <c r="L96" s="18"/>
      <c r="M96" s="18"/>
      <c r="N96" s="19"/>
      <c r="O96" s="19"/>
      <c r="P96" s="19"/>
    </row>
    <row r="97" spans="1:16" ht="17.649999999999999">
      <c r="A97" s="14">
        <v>92</v>
      </c>
      <c r="B97" s="15" t="s">
        <v>79</v>
      </c>
      <c r="C97" s="15" t="s">
        <v>79</v>
      </c>
      <c r="D97" s="16">
        <v>20290240.482500002</v>
      </c>
      <c r="E97" s="17">
        <f t="shared" si="1"/>
        <v>20290240.482500002</v>
      </c>
      <c r="F97" s="18"/>
      <c r="G97" s="18"/>
      <c r="H97" s="19"/>
      <c r="I97" s="19"/>
      <c r="J97" s="19"/>
      <c r="K97" s="19"/>
      <c r="L97" s="18"/>
      <c r="M97" s="18"/>
      <c r="N97" s="19"/>
      <c r="O97" s="19"/>
      <c r="P97" s="19"/>
    </row>
    <row r="98" spans="1:16" ht="17.649999999999999">
      <c r="A98" s="14">
        <v>93</v>
      </c>
      <c r="B98" s="15" t="s">
        <v>79</v>
      </c>
      <c r="C98" s="15" t="s">
        <v>309</v>
      </c>
      <c r="D98" s="16">
        <v>8873864.9803999998</v>
      </c>
      <c r="E98" s="17">
        <f t="shared" si="1"/>
        <v>8873864.9803999998</v>
      </c>
      <c r="F98" s="18"/>
      <c r="G98" s="18"/>
      <c r="H98" s="19"/>
      <c r="I98" s="19"/>
      <c r="J98" s="19"/>
      <c r="K98" s="19"/>
      <c r="L98" s="18"/>
      <c r="M98" s="18"/>
      <c r="N98" s="19"/>
      <c r="O98" s="19"/>
      <c r="P98" s="19"/>
    </row>
    <row r="99" spans="1:16" ht="17.649999999999999">
      <c r="A99" s="14">
        <v>94</v>
      </c>
      <c r="B99" s="15" t="s">
        <v>79</v>
      </c>
      <c r="C99" s="15" t="s">
        <v>311</v>
      </c>
      <c r="D99" s="16">
        <v>10487458.538000001</v>
      </c>
      <c r="E99" s="17">
        <f t="shared" si="1"/>
        <v>10487458.538000001</v>
      </c>
      <c r="F99" s="18"/>
      <c r="G99" s="18"/>
      <c r="H99" s="19"/>
      <c r="I99" s="19"/>
      <c r="J99" s="19"/>
      <c r="K99" s="19"/>
      <c r="L99" s="18"/>
      <c r="M99" s="18"/>
      <c r="N99" s="19"/>
      <c r="O99" s="19"/>
      <c r="P99" s="19"/>
    </row>
    <row r="100" spans="1:16" ht="17.649999999999999">
      <c r="A100" s="14">
        <v>95</v>
      </c>
      <c r="B100" s="15" t="s">
        <v>79</v>
      </c>
      <c r="C100" s="15" t="s">
        <v>313</v>
      </c>
      <c r="D100" s="16">
        <v>13303773.059599999</v>
      </c>
      <c r="E100" s="17">
        <f t="shared" si="1"/>
        <v>13303773.059599999</v>
      </c>
      <c r="F100" s="18"/>
      <c r="G100" s="18"/>
      <c r="H100" s="19"/>
      <c r="I100" s="19"/>
      <c r="J100" s="19"/>
      <c r="K100" s="19"/>
      <c r="L100" s="18"/>
      <c r="M100" s="18"/>
      <c r="N100" s="19"/>
      <c r="O100" s="19"/>
      <c r="P100" s="19"/>
    </row>
    <row r="101" spans="1:16" ht="17.649999999999999">
      <c r="A101" s="14">
        <v>96</v>
      </c>
      <c r="B101" s="15" t="s">
        <v>79</v>
      </c>
      <c r="C101" s="15" t="s">
        <v>315</v>
      </c>
      <c r="D101" s="16">
        <v>8809555.7986999992</v>
      </c>
      <c r="E101" s="17">
        <f t="shared" si="1"/>
        <v>8809555.7986999992</v>
      </c>
      <c r="F101" s="18"/>
      <c r="G101" s="18"/>
      <c r="H101" s="19"/>
      <c r="I101" s="19"/>
      <c r="J101" s="19"/>
      <c r="K101" s="19"/>
      <c r="L101" s="18"/>
      <c r="M101" s="18"/>
      <c r="N101" s="19"/>
      <c r="O101" s="19"/>
      <c r="P101" s="19"/>
    </row>
    <row r="102" spans="1:16" ht="17.649999999999999">
      <c r="A102" s="14">
        <v>97</v>
      </c>
      <c r="B102" s="15" t="s">
        <v>79</v>
      </c>
      <c r="C102" s="15" t="s">
        <v>317</v>
      </c>
      <c r="D102" s="16">
        <v>14054517.9476</v>
      </c>
      <c r="E102" s="17">
        <f t="shared" si="1"/>
        <v>14054517.9476</v>
      </c>
      <c r="F102" s="18"/>
      <c r="G102" s="18"/>
      <c r="H102" s="19"/>
      <c r="I102" s="19"/>
      <c r="J102" s="19"/>
      <c r="K102" s="19"/>
      <c r="L102" s="18"/>
      <c r="M102" s="18"/>
      <c r="N102" s="19"/>
      <c r="O102" s="19"/>
      <c r="P102" s="19"/>
    </row>
    <row r="103" spans="1:16" ht="17.649999999999999">
      <c r="A103" s="14">
        <v>98</v>
      </c>
      <c r="B103" s="15" t="s">
        <v>79</v>
      </c>
      <c r="C103" s="15" t="s">
        <v>319</v>
      </c>
      <c r="D103" s="16">
        <v>14187626.261299999</v>
      </c>
      <c r="E103" s="17">
        <f t="shared" si="1"/>
        <v>14187626.261299999</v>
      </c>
      <c r="F103" s="18"/>
      <c r="G103" s="18"/>
      <c r="H103" s="19"/>
      <c r="I103" s="19"/>
      <c r="J103" s="19"/>
      <c r="K103" s="19"/>
      <c r="L103" s="18"/>
      <c r="M103" s="18"/>
      <c r="N103" s="19"/>
      <c r="O103" s="19"/>
      <c r="P103" s="19"/>
    </row>
    <row r="104" spans="1:16" ht="17.649999999999999">
      <c r="A104" s="14">
        <v>99</v>
      </c>
      <c r="B104" s="15" t="s">
        <v>79</v>
      </c>
      <c r="C104" s="15" t="s">
        <v>321</v>
      </c>
      <c r="D104" s="16">
        <v>9979424.7309000008</v>
      </c>
      <c r="E104" s="17">
        <f t="shared" si="1"/>
        <v>9979424.7309000008</v>
      </c>
      <c r="F104" s="18"/>
      <c r="G104" s="18"/>
      <c r="H104" s="19"/>
      <c r="I104" s="19"/>
      <c r="J104" s="19"/>
      <c r="K104" s="19"/>
      <c r="L104" s="18"/>
      <c r="M104" s="18"/>
      <c r="N104" s="19"/>
      <c r="O104" s="19"/>
      <c r="P104" s="19"/>
    </row>
    <row r="105" spans="1:16" ht="17.649999999999999">
      <c r="A105" s="14">
        <v>100</v>
      </c>
      <c r="B105" s="15" t="s">
        <v>79</v>
      </c>
      <c r="C105" s="15" t="s">
        <v>322</v>
      </c>
      <c r="D105" s="16">
        <v>11429353.782299999</v>
      </c>
      <c r="E105" s="17">
        <f t="shared" si="1"/>
        <v>11429353.782299999</v>
      </c>
      <c r="F105" s="18"/>
      <c r="G105" s="18"/>
      <c r="H105" s="19"/>
      <c r="I105" s="19"/>
      <c r="J105" s="19"/>
      <c r="K105" s="19"/>
      <c r="L105" s="18"/>
      <c r="M105" s="18"/>
      <c r="N105" s="19"/>
      <c r="O105" s="19"/>
      <c r="P105" s="19"/>
    </row>
    <row r="106" spans="1:16" ht="17.649999999999999">
      <c r="A106" s="14">
        <v>101</v>
      </c>
      <c r="B106" s="15" t="s">
        <v>79</v>
      </c>
      <c r="C106" s="15" t="s">
        <v>324</v>
      </c>
      <c r="D106" s="16">
        <v>8843672.5699000005</v>
      </c>
      <c r="E106" s="17">
        <f t="shared" si="1"/>
        <v>8843672.5699000005</v>
      </c>
      <c r="F106" s="18"/>
      <c r="G106" s="18"/>
      <c r="H106" s="19"/>
      <c r="I106" s="19"/>
      <c r="J106" s="19"/>
      <c r="K106" s="19"/>
      <c r="L106" s="18"/>
      <c r="M106" s="18"/>
      <c r="N106" s="19"/>
      <c r="O106" s="19"/>
      <c r="P106" s="19"/>
    </row>
    <row r="107" spans="1:16" ht="17.649999999999999">
      <c r="A107" s="14">
        <v>102</v>
      </c>
      <c r="B107" s="15" t="s">
        <v>79</v>
      </c>
      <c r="C107" s="15" t="s">
        <v>326</v>
      </c>
      <c r="D107" s="16">
        <v>13695348.524499999</v>
      </c>
      <c r="E107" s="17">
        <f t="shared" si="1"/>
        <v>13695348.524499999</v>
      </c>
      <c r="F107" s="18"/>
      <c r="G107" s="18"/>
      <c r="H107" s="19"/>
      <c r="I107" s="19"/>
      <c r="J107" s="19"/>
      <c r="K107" s="19"/>
      <c r="L107" s="18"/>
      <c r="M107" s="18"/>
      <c r="N107" s="19"/>
      <c r="O107" s="19"/>
      <c r="P107" s="19"/>
    </row>
    <row r="108" spans="1:16" ht="17.649999999999999">
      <c r="A108" s="14">
        <v>103</v>
      </c>
      <c r="B108" s="15" t="s">
        <v>79</v>
      </c>
      <c r="C108" s="15" t="s">
        <v>328</v>
      </c>
      <c r="D108" s="16">
        <v>11263770.5704</v>
      </c>
      <c r="E108" s="17">
        <f t="shared" si="1"/>
        <v>11263770.5704</v>
      </c>
      <c r="F108" s="18"/>
      <c r="G108" s="18"/>
      <c r="H108" s="19"/>
      <c r="I108" s="19"/>
      <c r="J108" s="19"/>
      <c r="K108" s="19"/>
      <c r="L108" s="18"/>
      <c r="M108" s="18"/>
      <c r="N108" s="19"/>
      <c r="O108" s="19"/>
      <c r="P108" s="19"/>
    </row>
    <row r="109" spans="1:16" ht="17.649999999999999">
      <c r="A109" s="14">
        <v>104</v>
      </c>
      <c r="B109" s="15" t="s">
        <v>79</v>
      </c>
      <c r="C109" s="15" t="s">
        <v>330</v>
      </c>
      <c r="D109" s="16">
        <v>13152542.2971</v>
      </c>
      <c r="E109" s="17">
        <f t="shared" si="1"/>
        <v>13152542.2971</v>
      </c>
      <c r="F109" s="18"/>
      <c r="G109" s="18"/>
      <c r="H109" s="19"/>
      <c r="I109" s="19"/>
      <c r="J109" s="19"/>
      <c r="K109" s="19"/>
      <c r="L109" s="18"/>
      <c r="M109" s="18"/>
      <c r="N109" s="19"/>
      <c r="O109" s="19"/>
      <c r="P109" s="19"/>
    </row>
    <row r="110" spans="1:16" ht="17.649999999999999">
      <c r="A110" s="14">
        <v>105</v>
      </c>
      <c r="B110" s="15" t="s">
        <v>79</v>
      </c>
      <c r="C110" s="15" t="s">
        <v>332</v>
      </c>
      <c r="D110" s="16">
        <v>16854692.0447</v>
      </c>
      <c r="E110" s="17">
        <f t="shared" si="1"/>
        <v>16854692.0447</v>
      </c>
      <c r="F110" s="18"/>
      <c r="G110" s="18"/>
      <c r="H110" s="19"/>
      <c r="I110" s="19"/>
      <c r="J110" s="19"/>
      <c r="K110" s="19"/>
      <c r="L110" s="18"/>
      <c r="M110" s="18"/>
      <c r="N110" s="19"/>
      <c r="O110" s="19"/>
      <c r="P110" s="19"/>
    </row>
    <row r="111" spans="1:16" ht="17.649999999999999">
      <c r="A111" s="14">
        <v>106</v>
      </c>
      <c r="B111" s="15" t="s">
        <v>79</v>
      </c>
      <c r="C111" s="15" t="s">
        <v>334</v>
      </c>
      <c r="D111" s="16">
        <v>12635627.9134</v>
      </c>
      <c r="E111" s="17">
        <f t="shared" si="1"/>
        <v>12635627.9134</v>
      </c>
      <c r="F111" s="18"/>
      <c r="G111" s="18"/>
      <c r="H111" s="19"/>
      <c r="I111" s="19"/>
      <c r="J111" s="19"/>
      <c r="K111" s="19"/>
      <c r="L111" s="18"/>
      <c r="M111" s="18"/>
      <c r="N111" s="19"/>
      <c r="O111" s="19"/>
      <c r="P111" s="19"/>
    </row>
    <row r="112" spans="1:16" ht="17.649999999999999">
      <c r="A112" s="14">
        <v>107</v>
      </c>
      <c r="B112" s="15" t="s">
        <v>79</v>
      </c>
      <c r="C112" s="15" t="s">
        <v>336</v>
      </c>
      <c r="D112" s="16">
        <v>12428108.910800001</v>
      </c>
      <c r="E112" s="17">
        <f t="shared" si="1"/>
        <v>12428108.910800001</v>
      </c>
      <c r="F112" s="18"/>
      <c r="G112" s="18"/>
      <c r="H112" s="19"/>
      <c r="I112" s="19"/>
      <c r="J112" s="19"/>
      <c r="K112" s="19"/>
      <c r="L112" s="18"/>
      <c r="M112" s="18"/>
      <c r="N112" s="19"/>
      <c r="O112" s="19"/>
      <c r="P112" s="19"/>
    </row>
    <row r="113" spans="1:16" ht="17.649999999999999">
      <c r="A113" s="14">
        <v>108</v>
      </c>
      <c r="B113" s="15" t="s">
        <v>79</v>
      </c>
      <c r="C113" s="15" t="s">
        <v>338</v>
      </c>
      <c r="D113" s="16">
        <v>17477770.340799998</v>
      </c>
      <c r="E113" s="17">
        <f t="shared" si="1"/>
        <v>17477770.340799998</v>
      </c>
      <c r="F113" s="18"/>
      <c r="G113" s="18"/>
      <c r="H113" s="19"/>
      <c r="I113" s="19"/>
      <c r="J113" s="19"/>
      <c r="K113" s="19"/>
      <c r="L113" s="18"/>
      <c r="M113" s="18"/>
      <c r="N113" s="19"/>
      <c r="O113" s="19"/>
      <c r="P113" s="19"/>
    </row>
    <row r="114" spans="1:16" ht="17.649999999999999">
      <c r="A114" s="14">
        <v>109</v>
      </c>
      <c r="B114" s="15" t="s">
        <v>79</v>
      </c>
      <c r="C114" s="15" t="s">
        <v>340</v>
      </c>
      <c r="D114" s="16">
        <v>9727392.7139999997</v>
      </c>
      <c r="E114" s="17">
        <f t="shared" si="1"/>
        <v>9727392.7139999997</v>
      </c>
      <c r="F114" s="18"/>
      <c r="G114" s="18"/>
      <c r="H114" s="19"/>
      <c r="I114" s="19"/>
      <c r="J114" s="19"/>
      <c r="K114" s="19"/>
      <c r="L114" s="18"/>
      <c r="M114" s="18"/>
      <c r="N114" s="19"/>
      <c r="O114" s="19"/>
      <c r="P114" s="19"/>
    </row>
    <row r="115" spans="1:16" ht="17.649999999999999">
      <c r="A115" s="14">
        <v>110</v>
      </c>
      <c r="B115" s="15" t="s">
        <v>79</v>
      </c>
      <c r="C115" s="15" t="s">
        <v>342</v>
      </c>
      <c r="D115" s="16">
        <v>10884667.739600001</v>
      </c>
      <c r="E115" s="17">
        <f t="shared" si="1"/>
        <v>10884667.739600001</v>
      </c>
      <c r="F115" s="18"/>
      <c r="G115" s="18"/>
      <c r="H115" s="19"/>
      <c r="I115" s="19"/>
      <c r="J115" s="19"/>
      <c r="K115" s="19"/>
      <c r="L115" s="18"/>
      <c r="M115" s="18"/>
      <c r="N115" s="19"/>
      <c r="O115" s="19"/>
      <c r="P115" s="19"/>
    </row>
    <row r="116" spans="1:16" ht="17.649999999999999">
      <c r="A116" s="14">
        <v>111</v>
      </c>
      <c r="B116" s="15" t="s">
        <v>80</v>
      </c>
      <c r="C116" s="15" t="s">
        <v>347</v>
      </c>
      <c r="D116" s="16">
        <v>12360348.4606</v>
      </c>
      <c r="E116" s="17">
        <f t="shared" si="1"/>
        <v>12360348.4606</v>
      </c>
      <c r="F116" s="18"/>
      <c r="G116" s="18"/>
      <c r="H116" s="19"/>
      <c r="I116" s="19"/>
      <c r="J116" s="19"/>
      <c r="K116" s="19"/>
      <c r="L116" s="18"/>
      <c r="M116" s="18"/>
      <c r="N116" s="19"/>
      <c r="O116" s="19"/>
      <c r="P116" s="19"/>
    </row>
    <row r="117" spans="1:16" ht="17.649999999999999">
      <c r="A117" s="14">
        <v>112</v>
      </c>
      <c r="B117" s="15" t="s">
        <v>80</v>
      </c>
      <c r="C117" s="15" t="s">
        <v>349</v>
      </c>
      <c r="D117" s="16">
        <v>14189744.117699999</v>
      </c>
      <c r="E117" s="17">
        <f t="shared" si="1"/>
        <v>14189744.117699999</v>
      </c>
      <c r="F117" s="18"/>
      <c r="G117" s="18"/>
      <c r="H117" s="19"/>
      <c r="I117" s="19"/>
      <c r="J117" s="19"/>
      <c r="K117" s="19"/>
      <c r="L117" s="18"/>
      <c r="M117" s="18"/>
      <c r="N117" s="19"/>
      <c r="O117" s="19"/>
      <c r="P117" s="19"/>
    </row>
    <row r="118" spans="1:16" ht="35.25">
      <c r="A118" s="14">
        <v>113</v>
      </c>
      <c r="B118" s="15" t="s">
        <v>80</v>
      </c>
      <c r="C118" s="15" t="s">
        <v>351</v>
      </c>
      <c r="D118" s="16">
        <v>9443289.7826000005</v>
      </c>
      <c r="E118" s="17">
        <f t="shared" si="1"/>
        <v>9443289.7826000005</v>
      </c>
      <c r="F118" s="18"/>
      <c r="G118" s="18"/>
      <c r="H118" s="19"/>
      <c r="I118" s="19"/>
      <c r="J118" s="19"/>
      <c r="K118" s="19"/>
      <c r="L118" s="18"/>
      <c r="M118" s="18"/>
      <c r="N118" s="19"/>
      <c r="O118" s="19"/>
      <c r="P118" s="19"/>
    </row>
    <row r="119" spans="1:16" ht="17.649999999999999">
      <c r="A119" s="14">
        <v>114</v>
      </c>
      <c r="B119" s="15" t="s">
        <v>80</v>
      </c>
      <c r="C119" s="15" t="s">
        <v>353</v>
      </c>
      <c r="D119" s="16">
        <v>11644002.9246</v>
      </c>
      <c r="E119" s="17">
        <f t="shared" si="1"/>
        <v>11644002.9246</v>
      </c>
      <c r="F119" s="18"/>
      <c r="G119" s="18"/>
      <c r="H119" s="19"/>
      <c r="I119" s="19"/>
      <c r="J119" s="19"/>
      <c r="K119" s="19"/>
      <c r="L119" s="18"/>
      <c r="M119" s="18"/>
      <c r="N119" s="19"/>
      <c r="O119" s="19"/>
      <c r="P119" s="19"/>
    </row>
    <row r="120" spans="1:16" ht="17.649999999999999">
      <c r="A120" s="14">
        <v>115</v>
      </c>
      <c r="B120" s="15" t="s">
        <v>80</v>
      </c>
      <c r="C120" s="15" t="s">
        <v>355</v>
      </c>
      <c r="D120" s="16">
        <v>12236831.901799999</v>
      </c>
      <c r="E120" s="17">
        <f t="shared" si="1"/>
        <v>12236831.901799999</v>
      </c>
      <c r="F120" s="18"/>
      <c r="G120" s="18"/>
      <c r="H120" s="19"/>
      <c r="I120" s="19"/>
      <c r="J120" s="19"/>
      <c r="K120" s="19"/>
      <c r="L120" s="18"/>
      <c r="M120" s="18"/>
      <c r="N120" s="19"/>
      <c r="O120" s="19"/>
      <c r="P120" s="19"/>
    </row>
    <row r="121" spans="1:16" ht="17.649999999999999">
      <c r="A121" s="14">
        <v>116</v>
      </c>
      <c r="B121" s="15" t="s">
        <v>80</v>
      </c>
      <c r="C121" s="15" t="s">
        <v>357</v>
      </c>
      <c r="D121" s="16">
        <v>12030705.3357</v>
      </c>
      <c r="E121" s="17">
        <f t="shared" si="1"/>
        <v>12030705.3357</v>
      </c>
      <c r="F121" s="18"/>
      <c r="G121" s="18"/>
      <c r="H121" s="19"/>
      <c r="I121" s="19"/>
      <c r="J121" s="19"/>
      <c r="K121" s="19"/>
      <c r="L121" s="18"/>
      <c r="M121" s="18"/>
      <c r="N121" s="19"/>
      <c r="O121" s="19"/>
      <c r="P121" s="19"/>
    </row>
    <row r="122" spans="1:16" ht="17.649999999999999">
      <c r="A122" s="14">
        <v>117</v>
      </c>
      <c r="B122" s="15" t="s">
        <v>80</v>
      </c>
      <c r="C122" s="15" t="s">
        <v>359</v>
      </c>
      <c r="D122" s="16">
        <v>16621242.350199999</v>
      </c>
      <c r="E122" s="17">
        <f t="shared" si="1"/>
        <v>16621242.350199999</v>
      </c>
      <c r="F122" s="18"/>
      <c r="G122" s="18"/>
      <c r="H122" s="19"/>
      <c r="I122" s="19"/>
      <c r="J122" s="19"/>
      <c r="K122" s="19"/>
      <c r="L122" s="18"/>
      <c r="M122" s="18"/>
      <c r="N122" s="19"/>
      <c r="O122" s="19"/>
      <c r="P122" s="19"/>
    </row>
    <row r="123" spans="1:16" ht="17.649999999999999">
      <c r="A123" s="14">
        <v>118</v>
      </c>
      <c r="B123" s="15" t="s">
        <v>80</v>
      </c>
      <c r="C123" s="15" t="s">
        <v>361</v>
      </c>
      <c r="D123" s="16">
        <v>15342027.9965</v>
      </c>
      <c r="E123" s="17">
        <f t="shared" si="1"/>
        <v>15342027.9965</v>
      </c>
      <c r="F123" s="18"/>
      <c r="G123" s="18"/>
      <c r="H123" s="19"/>
      <c r="I123" s="19"/>
      <c r="J123" s="19"/>
      <c r="K123" s="19"/>
      <c r="L123" s="18"/>
      <c r="M123" s="18"/>
      <c r="N123" s="19"/>
      <c r="O123" s="19"/>
      <c r="P123" s="19"/>
    </row>
    <row r="124" spans="1:16" ht="17.649999999999999">
      <c r="A124" s="14">
        <v>119</v>
      </c>
      <c r="B124" s="15" t="s">
        <v>81</v>
      </c>
      <c r="C124" s="15" t="s">
        <v>366</v>
      </c>
      <c r="D124" s="16">
        <v>12224811.446699999</v>
      </c>
      <c r="E124" s="17">
        <f t="shared" si="1"/>
        <v>12224811.446699999</v>
      </c>
      <c r="F124" s="18"/>
      <c r="G124" s="18"/>
      <c r="H124" s="19"/>
      <c r="I124" s="19"/>
      <c r="J124" s="19"/>
      <c r="K124" s="19"/>
      <c r="L124" s="18"/>
      <c r="M124" s="18"/>
      <c r="N124" s="19"/>
      <c r="O124" s="19"/>
      <c r="P124" s="19"/>
    </row>
    <row r="125" spans="1:16" ht="17.649999999999999">
      <c r="A125" s="14">
        <v>120</v>
      </c>
      <c r="B125" s="15" t="s">
        <v>81</v>
      </c>
      <c r="C125" s="15" t="s">
        <v>368</v>
      </c>
      <c r="D125" s="16">
        <v>10786546.392000001</v>
      </c>
      <c r="E125" s="17">
        <f t="shared" si="1"/>
        <v>10786546.392000001</v>
      </c>
      <c r="F125" s="18"/>
      <c r="G125" s="18"/>
      <c r="H125" s="19"/>
      <c r="I125" s="19"/>
      <c r="J125" s="19"/>
      <c r="K125" s="19"/>
      <c r="L125" s="18"/>
      <c r="M125" s="18"/>
      <c r="N125" s="19"/>
      <c r="O125" s="19"/>
      <c r="P125" s="19"/>
    </row>
    <row r="126" spans="1:16" ht="17.649999999999999">
      <c r="A126" s="14">
        <v>121</v>
      </c>
      <c r="B126" s="15" t="s">
        <v>81</v>
      </c>
      <c r="C126" s="15" t="s">
        <v>370</v>
      </c>
      <c r="D126" s="16">
        <v>10444583.824100001</v>
      </c>
      <c r="E126" s="17">
        <f t="shared" si="1"/>
        <v>10444583.824100001</v>
      </c>
      <c r="F126" s="18"/>
      <c r="G126" s="18"/>
      <c r="H126" s="19"/>
      <c r="I126" s="19"/>
      <c r="J126" s="19"/>
      <c r="K126" s="19"/>
      <c r="L126" s="18"/>
      <c r="M126" s="18"/>
      <c r="N126" s="19"/>
      <c r="O126" s="19"/>
      <c r="P126" s="19"/>
    </row>
    <row r="127" spans="1:16" ht="17.649999999999999">
      <c r="A127" s="14">
        <v>122</v>
      </c>
      <c r="B127" s="15" t="s">
        <v>81</v>
      </c>
      <c r="C127" s="15" t="s">
        <v>372</v>
      </c>
      <c r="D127" s="16">
        <v>12381917.600299999</v>
      </c>
      <c r="E127" s="17">
        <f t="shared" si="1"/>
        <v>12381917.600299999</v>
      </c>
      <c r="F127" s="18"/>
      <c r="G127" s="18"/>
      <c r="H127" s="19"/>
      <c r="I127" s="19"/>
      <c r="J127" s="19"/>
      <c r="K127" s="19"/>
      <c r="L127" s="18"/>
      <c r="M127" s="18"/>
      <c r="N127" s="19"/>
      <c r="O127" s="19"/>
      <c r="P127" s="19"/>
    </row>
    <row r="128" spans="1:16" ht="17.649999999999999">
      <c r="A128" s="14">
        <v>123</v>
      </c>
      <c r="B128" s="15" t="s">
        <v>81</v>
      </c>
      <c r="C128" s="15" t="s">
        <v>374</v>
      </c>
      <c r="D128" s="16">
        <v>16069801.2388</v>
      </c>
      <c r="E128" s="17">
        <f t="shared" si="1"/>
        <v>16069801.2388</v>
      </c>
      <c r="F128" s="18"/>
      <c r="G128" s="18"/>
      <c r="H128" s="19"/>
      <c r="I128" s="19"/>
      <c r="J128" s="19"/>
      <c r="K128" s="19"/>
      <c r="L128" s="18"/>
      <c r="M128" s="18"/>
      <c r="N128" s="19"/>
      <c r="O128" s="19"/>
      <c r="P128" s="19"/>
    </row>
    <row r="129" spans="1:16" ht="17.649999999999999">
      <c r="A129" s="14">
        <v>124</v>
      </c>
      <c r="B129" s="15" t="s">
        <v>81</v>
      </c>
      <c r="C129" s="15" t="s">
        <v>376</v>
      </c>
      <c r="D129" s="16">
        <v>13129229.024599999</v>
      </c>
      <c r="E129" s="17">
        <f t="shared" si="1"/>
        <v>13129229.024599999</v>
      </c>
      <c r="F129" s="18"/>
      <c r="G129" s="18"/>
      <c r="H129" s="19"/>
      <c r="I129" s="19"/>
      <c r="J129" s="19"/>
      <c r="K129" s="19"/>
      <c r="L129" s="18"/>
      <c r="M129" s="18"/>
      <c r="N129" s="19"/>
      <c r="O129" s="19"/>
      <c r="P129" s="19"/>
    </row>
    <row r="130" spans="1:16" ht="17.649999999999999">
      <c r="A130" s="14">
        <v>125</v>
      </c>
      <c r="B130" s="15" t="s">
        <v>81</v>
      </c>
      <c r="C130" s="15" t="s">
        <v>378</v>
      </c>
      <c r="D130" s="16">
        <v>12454299.3233</v>
      </c>
      <c r="E130" s="17">
        <f t="shared" si="1"/>
        <v>12454299.3233</v>
      </c>
      <c r="F130" s="18"/>
      <c r="G130" s="18"/>
      <c r="H130" s="19"/>
      <c r="I130" s="19"/>
      <c r="J130" s="19"/>
      <c r="K130" s="19"/>
      <c r="L130" s="18"/>
      <c r="M130" s="18"/>
      <c r="N130" s="19"/>
      <c r="O130" s="19"/>
      <c r="P130" s="19"/>
    </row>
    <row r="131" spans="1:16" ht="17.649999999999999">
      <c r="A131" s="14">
        <v>126</v>
      </c>
      <c r="B131" s="15" t="s">
        <v>81</v>
      </c>
      <c r="C131" s="15" t="s">
        <v>380</v>
      </c>
      <c r="D131" s="16">
        <v>10702633.283299999</v>
      </c>
      <c r="E131" s="17">
        <f t="shared" si="1"/>
        <v>10702633.283299999</v>
      </c>
      <c r="F131" s="18"/>
      <c r="G131" s="18"/>
      <c r="H131" s="19"/>
      <c r="I131" s="19"/>
      <c r="J131" s="19"/>
      <c r="K131" s="19"/>
      <c r="L131" s="18"/>
      <c r="M131" s="18"/>
      <c r="N131" s="19"/>
      <c r="O131" s="19"/>
      <c r="P131" s="19"/>
    </row>
    <row r="132" spans="1:16" ht="17.649999999999999">
      <c r="A132" s="14">
        <v>127</v>
      </c>
      <c r="B132" s="15" t="s">
        <v>81</v>
      </c>
      <c r="C132" s="15" t="s">
        <v>382</v>
      </c>
      <c r="D132" s="16">
        <v>13520186.244200001</v>
      </c>
      <c r="E132" s="17">
        <f t="shared" si="1"/>
        <v>13520186.244200001</v>
      </c>
      <c r="F132" s="18"/>
      <c r="G132" s="18"/>
      <c r="H132" s="19"/>
      <c r="I132" s="19"/>
      <c r="J132" s="19"/>
      <c r="K132" s="19"/>
      <c r="L132" s="18"/>
      <c r="M132" s="18"/>
      <c r="N132" s="19"/>
      <c r="O132" s="19"/>
      <c r="P132" s="19"/>
    </row>
    <row r="133" spans="1:16" ht="17.649999999999999">
      <c r="A133" s="14">
        <v>128</v>
      </c>
      <c r="B133" s="15" t="s">
        <v>81</v>
      </c>
      <c r="C133" s="15" t="s">
        <v>384</v>
      </c>
      <c r="D133" s="16">
        <v>12791628.8969</v>
      </c>
      <c r="E133" s="17">
        <f t="shared" si="1"/>
        <v>12791628.8969</v>
      </c>
      <c r="F133" s="18"/>
      <c r="G133" s="18"/>
      <c r="H133" s="19"/>
      <c r="I133" s="19"/>
      <c r="J133" s="19"/>
      <c r="K133" s="19"/>
      <c r="L133" s="18"/>
      <c r="M133" s="18"/>
      <c r="N133" s="19"/>
      <c r="O133" s="19"/>
      <c r="P133" s="19"/>
    </row>
    <row r="134" spans="1:16" ht="17.649999999999999">
      <c r="A134" s="14">
        <v>129</v>
      </c>
      <c r="B134" s="15" t="s">
        <v>81</v>
      </c>
      <c r="C134" s="15" t="s">
        <v>386</v>
      </c>
      <c r="D134" s="16">
        <v>14645561.3784</v>
      </c>
      <c r="E134" s="17">
        <f t="shared" si="1"/>
        <v>14645561.3784</v>
      </c>
      <c r="F134" s="18"/>
      <c r="G134" s="18"/>
      <c r="H134" s="19"/>
      <c r="I134" s="19"/>
      <c r="J134" s="19"/>
      <c r="K134" s="19"/>
      <c r="L134" s="18"/>
      <c r="M134" s="18"/>
      <c r="N134" s="19"/>
      <c r="O134" s="19"/>
      <c r="P134" s="19"/>
    </row>
    <row r="135" spans="1:16" ht="17.649999999999999">
      <c r="A135" s="14">
        <v>130</v>
      </c>
      <c r="B135" s="15" t="s">
        <v>81</v>
      </c>
      <c r="C135" s="15" t="s">
        <v>388</v>
      </c>
      <c r="D135" s="16">
        <v>11246928.500399999</v>
      </c>
      <c r="E135" s="17">
        <f t="shared" ref="E135:E198" si="2">D135</f>
        <v>11246928.500399999</v>
      </c>
      <c r="F135" s="18"/>
      <c r="G135" s="18"/>
      <c r="H135" s="19"/>
      <c r="I135" s="19"/>
      <c r="J135" s="19"/>
      <c r="K135" s="19"/>
      <c r="L135" s="18"/>
      <c r="M135" s="18"/>
      <c r="N135" s="19"/>
      <c r="O135" s="19"/>
      <c r="P135" s="19"/>
    </row>
    <row r="136" spans="1:16" ht="17.649999999999999">
      <c r="A136" s="14">
        <v>131</v>
      </c>
      <c r="B136" s="15" t="s">
        <v>81</v>
      </c>
      <c r="C136" s="15" t="s">
        <v>390</v>
      </c>
      <c r="D136" s="16">
        <v>13510204.639799999</v>
      </c>
      <c r="E136" s="17">
        <f t="shared" si="2"/>
        <v>13510204.639799999</v>
      </c>
      <c r="F136" s="18"/>
      <c r="G136" s="18"/>
      <c r="H136" s="19"/>
      <c r="I136" s="19"/>
      <c r="J136" s="19"/>
      <c r="K136" s="19"/>
      <c r="L136" s="18"/>
      <c r="M136" s="18"/>
      <c r="N136" s="19"/>
      <c r="O136" s="19"/>
      <c r="P136" s="19"/>
    </row>
    <row r="137" spans="1:16" ht="17.649999999999999">
      <c r="A137" s="14">
        <v>132</v>
      </c>
      <c r="B137" s="15" t="s">
        <v>81</v>
      </c>
      <c r="C137" s="15" t="s">
        <v>392</v>
      </c>
      <c r="D137" s="16">
        <v>9980042.2271999996</v>
      </c>
      <c r="E137" s="17">
        <f t="shared" si="2"/>
        <v>9980042.2271999996</v>
      </c>
      <c r="F137" s="18"/>
      <c r="G137" s="18"/>
      <c r="H137" s="19"/>
      <c r="I137" s="19"/>
      <c r="J137" s="19"/>
      <c r="K137" s="19"/>
      <c r="L137" s="18"/>
      <c r="M137" s="18"/>
      <c r="N137" s="19"/>
      <c r="O137" s="19"/>
      <c r="P137" s="19"/>
    </row>
    <row r="138" spans="1:16" ht="17.649999999999999">
      <c r="A138" s="14">
        <v>133</v>
      </c>
      <c r="B138" s="15" t="s">
        <v>81</v>
      </c>
      <c r="C138" s="15" t="s">
        <v>394</v>
      </c>
      <c r="D138" s="16">
        <v>10484245.535399999</v>
      </c>
      <c r="E138" s="17">
        <f t="shared" si="2"/>
        <v>10484245.535399999</v>
      </c>
      <c r="F138" s="18"/>
      <c r="G138" s="18"/>
      <c r="H138" s="19"/>
      <c r="I138" s="19"/>
      <c r="J138" s="19"/>
      <c r="K138" s="19"/>
      <c r="L138" s="18"/>
      <c r="M138" s="18"/>
      <c r="N138" s="19"/>
      <c r="O138" s="19"/>
      <c r="P138" s="19"/>
    </row>
    <row r="139" spans="1:16" ht="17.649999999999999">
      <c r="A139" s="14">
        <v>134</v>
      </c>
      <c r="B139" s="15" t="s">
        <v>81</v>
      </c>
      <c r="C139" s="15" t="s">
        <v>396</v>
      </c>
      <c r="D139" s="16">
        <v>9562910.5138000008</v>
      </c>
      <c r="E139" s="17">
        <f t="shared" si="2"/>
        <v>9562910.5138000008</v>
      </c>
      <c r="F139" s="18"/>
      <c r="G139" s="18"/>
      <c r="H139" s="19"/>
      <c r="I139" s="19"/>
      <c r="J139" s="19"/>
      <c r="K139" s="19"/>
      <c r="L139" s="18"/>
      <c r="M139" s="18"/>
      <c r="N139" s="19"/>
      <c r="O139" s="19"/>
      <c r="P139" s="19"/>
    </row>
    <row r="140" spans="1:16" ht="17.649999999999999">
      <c r="A140" s="14">
        <v>135</v>
      </c>
      <c r="B140" s="15" t="s">
        <v>81</v>
      </c>
      <c r="C140" s="15" t="s">
        <v>398</v>
      </c>
      <c r="D140" s="16">
        <v>12100003.1512</v>
      </c>
      <c r="E140" s="17">
        <f t="shared" si="2"/>
        <v>12100003.1512</v>
      </c>
      <c r="F140" s="18"/>
      <c r="G140" s="18"/>
      <c r="H140" s="19"/>
      <c r="I140" s="19"/>
      <c r="J140" s="19"/>
      <c r="K140" s="19"/>
      <c r="L140" s="18"/>
      <c r="M140" s="18"/>
      <c r="N140" s="19"/>
      <c r="O140" s="19"/>
      <c r="P140" s="19"/>
    </row>
    <row r="141" spans="1:16" ht="17.649999999999999">
      <c r="A141" s="14">
        <v>136</v>
      </c>
      <c r="B141" s="15" t="s">
        <v>81</v>
      </c>
      <c r="C141" s="15" t="s">
        <v>400</v>
      </c>
      <c r="D141" s="16">
        <v>11338932.5012</v>
      </c>
      <c r="E141" s="17">
        <f t="shared" si="2"/>
        <v>11338932.5012</v>
      </c>
      <c r="F141" s="18"/>
      <c r="G141" s="18"/>
      <c r="H141" s="19"/>
      <c r="I141" s="19"/>
      <c r="J141" s="19"/>
      <c r="K141" s="19"/>
      <c r="L141" s="18"/>
      <c r="M141" s="18"/>
      <c r="N141" s="19"/>
      <c r="O141" s="19"/>
      <c r="P141" s="19"/>
    </row>
    <row r="142" spans="1:16" ht="17.649999999999999">
      <c r="A142" s="14">
        <v>137</v>
      </c>
      <c r="B142" s="15" t="s">
        <v>81</v>
      </c>
      <c r="C142" s="15" t="s">
        <v>402</v>
      </c>
      <c r="D142" s="16">
        <v>13279977.1445</v>
      </c>
      <c r="E142" s="17">
        <f t="shared" si="2"/>
        <v>13279977.1445</v>
      </c>
      <c r="F142" s="18"/>
      <c r="G142" s="18"/>
      <c r="H142" s="19"/>
      <c r="I142" s="19"/>
      <c r="J142" s="19"/>
      <c r="K142" s="19"/>
      <c r="L142" s="18"/>
      <c r="M142" s="18"/>
      <c r="N142" s="19"/>
      <c r="O142" s="19"/>
      <c r="P142" s="19"/>
    </row>
    <row r="143" spans="1:16" ht="17.649999999999999">
      <c r="A143" s="14">
        <v>138</v>
      </c>
      <c r="B143" s="15" t="s">
        <v>81</v>
      </c>
      <c r="C143" s="15" t="s">
        <v>404</v>
      </c>
      <c r="D143" s="16">
        <v>9204056.6857999992</v>
      </c>
      <c r="E143" s="17">
        <f t="shared" si="2"/>
        <v>9204056.6857999992</v>
      </c>
      <c r="F143" s="18"/>
      <c r="G143" s="18"/>
      <c r="H143" s="19"/>
      <c r="I143" s="19"/>
      <c r="J143" s="19"/>
      <c r="K143" s="19"/>
      <c r="L143" s="18"/>
      <c r="M143" s="18"/>
      <c r="N143" s="19"/>
      <c r="O143" s="19"/>
      <c r="P143" s="19"/>
    </row>
    <row r="144" spans="1:16" ht="17.649999999999999">
      <c r="A144" s="14">
        <v>139</v>
      </c>
      <c r="B144" s="15" t="s">
        <v>81</v>
      </c>
      <c r="C144" s="15" t="s">
        <v>406</v>
      </c>
      <c r="D144" s="16">
        <v>12584921.5042</v>
      </c>
      <c r="E144" s="17">
        <f t="shared" si="2"/>
        <v>12584921.5042</v>
      </c>
      <c r="F144" s="18"/>
      <c r="G144" s="18"/>
      <c r="H144" s="19"/>
      <c r="I144" s="19"/>
      <c r="J144" s="19"/>
      <c r="K144" s="19"/>
      <c r="L144" s="18"/>
      <c r="M144" s="18"/>
      <c r="N144" s="19"/>
      <c r="O144" s="19"/>
      <c r="P144" s="19"/>
    </row>
    <row r="145" spans="1:16" ht="17.649999999999999">
      <c r="A145" s="14">
        <v>140</v>
      </c>
      <c r="B145" s="15" t="s">
        <v>81</v>
      </c>
      <c r="C145" s="15" t="s">
        <v>408</v>
      </c>
      <c r="D145" s="16">
        <v>12254166.2522</v>
      </c>
      <c r="E145" s="17">
        <f t="shared" si="2"/>
        <v>12254166.2522</v>
      </c>
      <c r="F145" s="18"/>
      <c r="G145" s="18"/>
      <c r="H145" s="19"/>
      <c r="I145" s="19"/>
      <c r="J145" s="19"/>
      <c r="K145" s="19"/>
      <c r="L145" s="18"/>
      <c r="M145" s="18"/>
      <c r="N145" s="19"/>
      <c r="O145" s="19"/>
      <c r="P145" s="19"/>
    </row>
    <row r="146" spans="1:16" ht="17.649999999999999">
      <c r="A146" s="14">
        <v>141</v>
      </c>
      <c r="B146" s="15" t="s">
        <v>81</v>
      </c>
      <c r="C146" s="15" t="s">
        <v>410</v>
      </c>
      <c r="D146" s="16">
        <v>12979330.3584</v>
      </c>
      <c r="E146" s="17">
        <f t="shared" si="2"/>
        <v>12979330.3584</v>
      </c>
      <c r="F146" s="18"/>
      <c r="G146" s="18"/>
      <c r="H146" s="19"/>
      <c r="I146" s="19"/>
      <c r="J146" s="19"/>
      <c r="K146" s="19"/>
      <c r="L146" s="18"/>
      <c r="M146" s="18"/>
      <c r="N146" s="19"/>
      <c r="O146" s="19"/>
      <c r="P146" s="19"/>
    </row>
    <row r="147" spans="1:16" ht="17.649999999999999">
      <c r="A147" s="14">
        <v>142</v>
      </c>
      <c r="B147" s="15" t="s">
        <v>82</v>
      </c>
      <c r="C147" s="15" t="s">
        <v>414</v>
      </c>
      <c r="D147" s="16">
        <v>10900038.186100001</v>
      </c>
      <c r="E147" s="17">
        <f t="shared" si="2"/>
        <v>10900038.186100001</v>
      </c>
      <c r="F147" s="18"/>
      <c r="G147" s="18"/>
      <c r="H147" s="19"/>
      <c r="I147" s="19"/>
      <c r="J147" s="19"/>
      <c r="K147" s="19"/>
      <c r="L147" s="18"/>
      <c r="M147" s="18"/>
      <c r="N147" s="19"/>
      <c r="O147" s="19"/>
      <c r="P147" s="19"/>
    </row>
    <row r="148" spans="1:16" ht="17.649999999999999">
      <c r="A148" s="14">
        <v>143</v>
      </c>
      <c r="B148" s="15" t="s">
        <v>82</v>
      </c>
      <c r="C148" s="15" t="s">
        <v>416</v>
      </c>
      <c r="D148" s="16">
        <v>10539938.727299999</v>
      </c>
      <c r="E148" s="17">
        <f t="shared" si="2"/>
        <v>10539938.727299999</v>
      </c>
      <c r="F148" s="18"/>
      <c r="G148" s="18"/>
      <c r="H148" s="19"/>
      <c r="I148" s="19"/>
      <c r="J148" s="19"/>
      <c r="K148" s="19"/>
      <c r="L148" s="18"/>
      <c r="M148" s="18"/>
      <c r="N148" s="19"/>
      <c r="O148" s="19"/>
      <c r="P148" s="19"/>
    </row>
    <row r="149" spans="1:16" ht="17.649999999999999">
      <c r="A149" s="14">
        <v>144</v>
      </c>
      <c r="B149" s="15" t="s">
        <v>82</v>
      </c>
      <c r="C149" s="15" t="s">
        <v>418</v>
      </c>
      <c r="D149" s="16">
        <v>14787077.4312</v>
      </c>
      <c r="E149" s="17">
        <f t="shared" si="2"/>
        <v>14787077.4312</v>
      </c>
      <c r="F149" s="18"/>
      <c r="G149" s="18"/>
      <c r="H149" s="19"/>
      <c r="I149" s="19"/>
      <c r="J149" s="19"/>
      <c r="K149" s="19"/>
      <c r="L149" s="18"/>
      <c r="M149" s="18"/>
      <c r="N149" s="19"/>
      <c r="O149" s="19"/>
      <c r="P149" s="19"/>
    </row>
    <row r="150" spans="1:16" ht="17.649999999999999">
      <c r="A150" s="14">
        <v>145</v>
      </c>
      <c r="B150" s="15" t="s">
        <v>82</v>
      </c>
      <c r="C150" s="15" t="s">
        <v>420</v>
      </c>
      <c r="D150" s="16">
        <v>8517803.7166000009</v>
      </c>
      <c r="E150" s="17">
        <f t="shared" si="2"/>
        <v>8517803.7166000009</v>
      </c>
      <c r="F150" s="18"/>
      <c r="G150" s="18"/>
      <c r="H150" s="19"/>
      <c r="I150" s="19"/>
      <c r="J150" s="19"/>
      <c r="K150" s="19"/>
      <c r="L150" s="18"/>
      <c r="M150" s="18"/>
      <c r="N150" s="19"/>
      <c r="O150" s="19"/>
      <c r="P150" s="19"/>
    </row>
    <row r="151" spans="1:16" ht="17.649999999999999">
      <c r="A151" s="14">
        <v>146</v>
      </c>
      <c r="B151" s="15" t="s">
        <v>82</v>
      </c>
      <c r="C151" s="15" t="s">
        <v>422</v>
      </c>
      <c r="D151" s="16">
        <v>11789332.359200001</v>
      </c>
      <c r="E151" s="17">
        <f t="shared" si="2"/>
        <v>11789332.359200001</v>
      </c>
      <c r="F151" s="18"/>
      <c r="G151" s="18"/>
      <c r="H151" s="19"/>
      <c r="I151" s="19"/>
      <c r="J151" s="19"/>
      <c r="K151" s="19"/>
      <c r="L151" s="18"/>
      <c r="M151" s="18"/>
      <c r="N151" s="19"/>
      <c r="O151" s="19"/>
      <c r="P151" s="19"/>
    </row>
    <row r="152" spans="1:16" ht="17.649999999999999">
      <c r="A152" s="14">
        <v>147</v>
      </c>
      <c r="B152" s="15" t="s">
        <v>82</v>
      </c>
      <c r="C152" s="15" t="s">
        <v>424</v>
      </c>
      <c r="D152" s="16">
        <v>8492981.1004000008</v>
      </c>
      <c r="E152" s="17">
        <f t="shared" si="2"/>
        <v>8492981.1004000008</v>
      </c>
      <c r="F152" s="18"/>
      <c r="G152" s="18"/>
      <c r="H152" s="19"/>
      <c r="I152" s="19"/>
      <c r="J152" s="19"/>
      <c r="K152" s="19"/>
      <c r="L152" s="18"/>
      <c r="M152" s="18"/>
      <c r="N152" s="19"/>
      <c r="O152" s="19"/>
      <c r="P152" s="19"/>
    </row>
    <row r="153" spans="1:16" ht="17.649999999999999">
      <c r="A153" s="14">
        <v>148</v>
      </c>
      <c r="B153" s="15" t="s">
        <v>82</v>
      </c>
      <c r="C153" s="15" t="s">
        <v>426</v>
      </c>
      <c r="D153" s="16">
        <v>14236991.762499999</v>
      </c>
      <c r="E153" s="17">
        <f t="shared" si="2"/>
        <v>14236991.762499999</v>
      </c>
      <c r="F153" s="18"/>
      <c r="G153" s="18"/>
      <c r="H153" s="19"/>
      <c r="I153" s="19"/>
      <c r="J153" s="19"/>
      <c r="K153" s="19"/>
      <c r="L153" s="18"/>
      <c r="M153" s="18"/>
      <c r="N153" s="19"/>
      <c r="O153" s="19"/>
      <c r="P153" s="19"/>
    </row>
    <row r="154" spans="1:16" ht="17.649999999999999">
      <c r="A154" s="14">
        <v>149</v>
      </c>
      <c r="B154" s="15" t="s">
        <v>82</v>
      </c>
      <c r="C154" s="15" t="s">
        <v>428</v>
      </c>
      <c r="D154" s="16">
        <v>9421550.4509999994</v>
      </c>
      <c r="E154" s="17">
        <f t="shared" si="2"/>
        <v>9421550.4509999994</v>
      </c>
      <c r="F154" s="18"/>
      <c r="G154" s="18"/>
      <c r="H154" s="19"/>
      <c r="I154" s="19"/>
      <c r="J154" s="19"/>
      <c r="K154" s="19"/>
      <c r="L154" s="18"/>
      <c r="M154" s="18"/>
      <c r="N154" s="19"/>
      <c r="O154" s="19"/>
      <c r="P154" s="19"/>
    </row>
    <row r="155" spans="1:16" ht="17.649999999999999">
      <c r="A155" s="14">
        <v>150</v>
      </c>
      <c r="B155" s="15" t="s">
        <v>82</v>
      </c>
      <c r="C155" s="15" t="s">
        <v>430</v>
      </c>
      <c r="D155" s="16">
        <v>11189519.807600001</v>
      </c>
      <c r="E155" s="17">
        <f t="shared" si="2"/>
        <v>11189519.807600001</v>
      </c>
      <c r="F155" s="18"/>
      <c r="G155" s="18"/>
      <c r="H155" s="19"/>
      <c r="I155" s="19"/>
      <c r="J155" s="19"/>
      <c r="K155" s="19"/>
      <c r="L155" s="18"/>
      <c r="M155" s="18"/>
      <c r="N155" s="19"/>
      <c r="O155" s="19"/>
      <c r="P155" s="19"/>
    </row>
    <row r="156" spans="1:16" ht="17.649999999999999">
      <c r="A156" s="14">
        <v>151</v>
      </c>
      <c r="B156" s="15" t="s">
        <v>82</v>
      </c>
      <c r="C156" s="15" t="s">
        <v>432</v>
      </c>
      <c r="D156" s="16">
        <v>9537522.0927000009</v>
      </c>
      <c r="E156" s="17">
        <f t="shared" si="2"/>
        <v>9537522.0927000009</v>
      </c>
      <c r="F156" s="18"/>
      <c r="G156" s="18"/>
      <c r="H156" s="19"/>
      <c r="I156" s="19"/>
      <c r="J156" s="19"/>
      <c r="K156" s="19"/>
      <c r="L156" s="18"/>
      <c r="M156" s="18"/>
      <c r="N156" s="19"/>
      <c r="O156" s="19"/>
      <c r="P156" s="19"/>
    </row>
    <row r="157" spans="1:16" ht="17.649999999999999">
      <c r="A157" s="14">
        <v>152</v>
      </c>
      <c r="B157" s="15" t="s">
        <v>82</v>
      </c>
      <c r="C157" s="15" t="s">
        <v>434</v>
      </c>
      <c r="D157" s="16">
        <v>13741638.650699999</v>
      </c>
      <c r="E157" s="17">
        <f t="shared" si="2"/>
        <v>13741638.650699999</v>
      </c>
      <c r="F157" s="18"/>
      <c r="G157" s="18"/>
      <c r="H157" s="19"/>
      <c r="I157" s="19"/>
      <c r="J157" s="19"/>
      <c r="K157" s="19"/>
      <c r="L157" s="18"/>
      <c r="M157" s="18"/>
      <c r="N157" s="19"/>
      <c r="O157" s="19"/>
      <c r="P157" s="19"/>
    </row>
    <row r="158" spans="1:16" ht="17.649999999999999">
      <c r="A158" s="14">
        <v>153</v>
      </c>
      <c r="B158" s="15" t="s">
        <v>82</v>
      </c>
      <c r="C158" s="15" t="s">
        <v>436</v>
      </c>
      <c r="D158" s="16">
        <v>9732047.9428000003</v>
      </c>
      <c r="E158" s="17">
        <f t="shared" si="2"/>
        <v>9732047.9428000003</v>
      </c>
      <c r="F158" s="18"/>
      <c r="G158" s="18"/>
      <c r="H158" s="19"/>
      <c r="I158" s="19"/>
      <c r="J158" s="19"/>
      <c r="K158" s="19"/>
      <c r="L158" s="18"/>
      <c r="M158" s="18"/>
      <c r="N158" s="19"/>
      <c r="O158" s="19"/>
      <c r="P158" s="19"/>
    </row>
    <row r="159" spans="1:16" ht="17.649999999999999">
      <c r="A159" s="14">
        <v>154</v>
      </c>
      <c r="B159" s="15" t="s">
        <v>82</v>
      </c>
      <c r="C159" s="15" t="s">
        <v>438</v>
      </c>
      <c r="D159" s="16">
        <v>11228516.549699999</v>
      </c>
      <c r="E159" s="17">
        <f t="shared" si="2"/>
        <v>11228516.549699999</v>
      </c>
      <c r="F159" s="18"/>
      <c r="G159" s="18"/>
      <c r="H159" s="19"/>
      <c r="I159" s="19"/>
      <c r="J159" s="19"/>
      <c r="K159" s="19"/>
      <c r="L159" s="18"/>
      <c r="M159" s="18"/>
      <c r="N159" s="19"/>
      <c r="O159" s="19"/>
      <c r="P159" s="19"/>
    </row>
    <row r="160" spans="1:16" ht="17.649999999999999">
      <c r="A160" s="14">
        <v>155</v>
      </c>
      <c r="B160" s="15" t="s">
        <v>82</v>
      </c>
      <c r="C160" s="15" t="s">
        <v>440</v>
      </c>
      <c r="D160" s="16">
        <v>9925423.5899999999</v>
      </c>
      <c r="E160" s="17">
        <f t="shared" si="2"/>
        <v>9925423.5899999999</v>
      </c>
      <c r="F160" s="18"/>
      <c r="G160" s="18"/>
      <c r="H160" s="19"/>
      <c r="I160" s="19"/>
      <c r="J160" s="19"/>
      <c r="K160" s="19"/>
      <c r="L160" s="18"/>
      <c r="M160" s="18"/>
      <c r="N160" s="19"/>
      <c r="O160" s="19"/>
      <c r="P160" s="19"/>
    </row>
    <row r="161" spans="1:16" ht="17.649999999999999">
      <c r="A161" s="14">
        <v>156</v>
      </c>
      <c r="B161" s="15" t="s">
        <v>82</v>
      </c>
      <c r="C161" s="15" t="s">
        <v>442</v>
      </c>
      <c r="D161" s="16">
        <v>9134164.3571000006</v>
      </c>
      <c r="E161" s="17">
        <f t="shared" si="2"/>
        <v>9134164.3571000006</v>
      </c>
      <c r="F161" s="18"/>
      <c r="G161" s="18"/>
      <c r="H161" s="19"/>
      <c r="I161" s="19"/>
      <c r="J161" s="19"/>
      <c r="K161" s="19"/>
      <c r="L161" s="18"/>
      <c r="M161" s="18"/>
      <c r="N161" s="19"/>
      <c r="O161" s="19"/>
      <c r="P161" s="19"/>
    </row>
    <row r="162" spans="1:16" ht="17.649999999999999">
      <c r="A162" s="14">
        <v>157</v>
      </c>
      <c r="B162" s="15" t="s">
        <v>82</v>
      </c>
      <c r="C162" s="15" t="s">
        <v>444</v>
      </c>
      <c r="D162" s="16">
        <v>13384107.4186</v>
      </c>
      <c r="E162" s="17">
        <f t="shared" si="2"/>
        <v>13384107.4186</v>
      </c>
      <c r="F162" s="18"/>
      <c r="G162" s="18"/>
      <c r="H162" s="19"/>
      <c r="I162" s="19"/>
      <c r="J162" s="19"/>
      <c r="K162" s="19"/>
      <c r="L162" s="18"/>
      <c r="M162" s="18"/>
      <c r="N162" s="19"/>
      <c r="O162" s="19"/>
      <c r="P162" s="19"/>
    </row>
    <row r="163" spans="1:16" ht="17.649999999999999">
      <c r="A163" s="14">
        <v>158</v>
      </c>
      <c r="B163" s="15" t="s">
        <v>82</v>
      </c>
      <c r="C163" s="15" t="s">
        <v>446</v>
      </c>
      <c r="D163" s="16">
        <v>13793683.247099999</v>
      </c>
      <c r="E163" s="17">
        <f t="shared" si="2"/>
        <v>13793683.247099999</v>
      </c>
      <c r="F163" s="18"/>
      <c r="G163" s="18"/>
      <c r="H163" s="19"/>
      <c r="I163" s="19"/>
      <c r="J163" s="19"/>
      <c r="K163" s="19"/>
      <c r="L163" s="18"/>
      <c r="M163" s="18"/>
      <c r="N163" s="19"/>
      <c r="O163" s="19"/>
      <c r="P163" s="19"/>
    </row>
    <row r="164" spans="1:16" ht="17.649999999999999">
      <c r="A164" s="14">
        <v>159</v>
      </c>
      <c r="B164" s="15" t="s">
        <v>82</v>
      </c>
      <c r="C164" s="15" t="s">
        <v>448</v>
      </c>
      <c r="D164" s="16">
        <v>7680329.5848000003</v>
      </c>
      <c r="E164" s="17">
        <f t="shared" si="2"/>
        <v>7680329.5848000003</v>
      </c>
      <c r="F164" s="18"/>
      <c r="G164" s="18"/>
      <c r="H164" s="19"/>
      <c r="I164" s="19"/>
      <c r="J164" s="19"/>
      <c r="K164" s="19"/>
      <c r="L164" s="18"/>
      <c r="M164" s="18"/>
      <c r="N164" s="19"/>
      <c r="O164" s="19"/>
      <c r="P164" s="19"/>
    </row>
    <row r="165" spans="1:16" ht="17.649999999999999">
      <c r="A165" s="14">
        <v>160</v>
      </c>
      <c r="B165" s="15" t="s">
        <v>82</v>
      </c>
      <c r="C165" s="15" t="s">
        <v>450</v>
      </c>
      <c r="D165" s="16">
        <v>10346897.8474</v>
      </c>
      <c r="E165" s="17">
        <f t="shared" si="2"/>
        <v>10346897.8474</v>
      </c>
      <c r="F165" s="18"/>
      <c r="G165" s="18"/>
      <c r="H165" s="19"/>
      <c r="I165" s="19"/>
      <c r="J165" s="19"/>
      <c r="K165" s="19"/>
      <c r="L165" s="18"/>
      <c r="M165" s="18"/>
      <c r="N165" s="19"/>
      <c r="O165" s="19"/>
      <c r="P165" s="19"/>
    </row>
    <row r="166" spans="1:16" ht="17.649999999999999">
      <c r="A166" s="14">
        <v>161</v>
      </c>
      <c r="B166" s="15" t="s">
        <v>82</v>
      </c>
      <c r="C166" s="15" t="s">
        <v>452</v>
      </c>
      <c r="D166" s="16">
        <v>12244432.3506</v>
      </c>
      <c r="E166" s="17">
        <f t="shared" si="2"/>
        <v>12244432.3506</v>
      </c>
      <c r="F166" s="18"/>
      <c r="G166" s="18"/>
      <c r="H166" s="19"/>
      <c r="I166" s="19"/>
      <c r="J166" s="19"/>
      <c r="K166" s="19"/>
      <c r="L166" s="18"/>
      <c r="M166" s="18"/>
      <c r="N166" s="19"/>
      <c r="O166" s="19"/>
      <c r="P166" s="19"/>
    </row>
    <row r="167" spans="1:16" ht="35.25">
      <c r="A167" s="14">
        <v>162</v>
      </c>
      <c r="B167" s="15" t="s">
        <v>82</v>
      </c>
      <c r="C167" s="15" t="s">
        <v>454</v>
      </c>
      <c r="D167" s="16">
        <v>17830819.390099999</v>
      </c>
      <c r="E167" s="17">
        <f t="shared" si="2"/>
        <v>17830819.390099999</v>
      </c>
      <c r="F167" s="18"/>
      <c r="G167" s="18"/>
      <c r="H167" s="19"/>
      <c r="I167" s="19"/>
      <c r="J167" s="19"/>
      <c r="K167" s="19"/>
      <c r="L167" s="18"/>
      <c r="M167" s="18"/>
      <c r="N167" s="19"/>
      <c r="O167" s="19"/>
      <c r="P167" s="19"/>
    </row>
    <row r="168" spans="1:16" ht="17.649999999999999">
      <c r="A168" s="14">
        <v>163</v>
      </c>
      <c r="B168" s="15" t="s">
        <v>82</v>
      </c>
      <c r="C168" s="15" t="s">
        <v>456</v>
      </c>
      <c r="D168" s="16">
        <v>11134617.3643</v>
      </c>
      <c r="E168" s="17">
        <f t="shared" si="2"/>
        <v>11134617.3643</v>
      </c>
      <c r="F168" s="18"/>
      <c r="G168" s="18"/>
      <c r="H168" s="19"/>
      <c r="I168" s="19"/>
      <c r="J168" s="19"/>
      <c r="K168" s="19"/>
      <c r="L168" s="18"/>
      <c r="M168" s="18"/>
      <c r="N168" s="19"/>
      <c r="O168" s="19"/>
      <c r="P168" s="19"/>
    </row>
    <row r="169" spans="1:16" ht="17.649999999999999">
      <c r="A169" s="14">
        <v>164</v>
      </c>
      <c r="B169" s="15" t="s">
        <v>82</v>
      </c>
      <c r="C169" s="15" t="s">
        <v>458</v>
      </c>
      <c r="D169" s="16">
        <v>10368770.341700001</v>
      </c>
      <c r="E169" s="17">
        <f t="shared" si="2"/>
        <v>10368770.341700001</v>
      </c>
      <c r="F169" s="18"/>
      <c r="G169" s="18"/>
      <c r="H169" s="19"/>
      <c r="I169" s="19"/>
      <c r="J169" s="19"/>
      <c r="K169" s="19"/>
      <c r="L169" s="18"/>
      <c r="M169" s="18"/>
      <c r="N169" s="19"/>
      <c r="O169" s="19"/>
      <c r="P169" s="19"/>
    </row>
    <row r="170" spans="1:16" ht="17.649999999999999">
      <c r="A170" s="14">
        <v>165</v>
      </c>
      <c r="B170" s="15" t="s">
        <v>82</v>
      </c>
      <c r="C170" s="15" t="s">
        <v>460</v>
      </c>
      <c r="D170" s="16">
        <v>10120902.9537</v>
      </c>
      <c r="E170" s="17">
        <f t="shared" si="2"/>
        <v>10120902.9537</v>
      </c>
      <c r="F170" s="18"/>
      <c r="G170" s="18"/>
      <c r="H170" s="19"/>
      <c r="I170" s="19"/>
      <c r="J170" s="19"/>
      <c r="K170" s="19"/>
      <c r="L170" s="18"/>
      <c r="M170" s="18"/>
      <c r="N170" s="19"/>
      <c r="O170" s="19"/>
      <c r="P170" s="19"/>
    </row>
    <row r="171" spans="1:16" ht="17.649999999999999">
      <c r="A171" s="14">
        <v>166</v>
      </c>
      <c r="B171" s="15" t="s">
        <v>82</v>
      </c>
      <c r="C171" s="15" t="s">
        <v>462</v>
      </c>
      <c r="D171" s="16">
        <v>11574960.9142</v>
      </c>
      <c r="E171" s="17">
        <f t="shared" si="2"/>
        <v>11574960.9142</v>
      </c>
      <c r="F171" s="18"/>
      <c r="G171" s="18"/>
      <c r="H171" s="19"/>
      <c r="I171" s="19"/>
      <c r="J171" s="19"/>
      <c r="K171" s="19"/>
      <c r="L171" s="18"/>
      <c r="M171" s="18"/>
      <c r="N171" s="19"/>
      <c r="O171" s="19"/>
      <c r="P171" s="19"/>
    </row>
    <row r="172" spans="1:16" ht="17.649999999999999">
      <c r="A172" s="14">
        <v>167</v>
      </c>
      <c r="B172" s="15" t="s">
        <v>82</v>
      </c>
      <c r="C172" s="15" t="s">
        <v>464</v>
      </c>
      <c r="D172" s="16">
        <v>10061523.5912</v>
      </c>
      <c r="E172" s="17">
        <f t="shared" si="2"/>
        <v>10061523.5912</v>
      </c>
      <c r="F172" s="18"/>
      <c r="G172" s="18"/>
      <c r="H172" s="19"/>
      <c r="I172" s="19"/>
      <c r="J172" s="19"/>
      <c r="K172" s="19"/>
      <c r="L172" s="18"/>
      <c r="M172" s="18"/>
      <c r="N172" s="19"/>
      <c r="O172" s="19"/>
      <c r="P172" s="19"/>
    </row>
    <row r="173" spans="1:16" ht="17.649999999999999">
      <c r="A173" s="14">
        <v>168</v>
      </c>
      <c r="B173" s="15" t="s">
        <v>82</v>
      </c>
      <c r="C173" s="15" t="s">
        <v>466</v>
      </c>
      <c r="D173" s="16">
        <v>9758327.7215999998</v>
      </c>
      <c r="E173" s="17">
        <f t="shared" si="2"/>
        <v>9758327.7215999998</v>
      </c>
      <c r="F173" s="18"/>
      <c r="G173" s="18"/>
      <c r="H173" s="19"/>
      <c r="I173" s="19"/>
      <c r="J173" s="19"/>
      <c r="K173" s="19"/>
      <c r="L173" s="18"/>
      <c r="M173" s="18"/>
      <c r="N173" s="19"/>
      <c r="O173" s="19"/>
      <c r="P173" s="19"/>
    </row>
    <row r="174" spans="1:16" ht="35.25">
      <c r="A174" s="14">
        <v>169</v>
      </c>
      <c r="B174" s="15" t="s">
        <v>83</v>
      </c>
      <c r="C174" s="15" t="s">
        <v>471</v>
      </c>
      <c r="D174" s="16">
        <v>10345123.4407</v>
      </c>
      <c r="E174" s="17">
        <f t="shared" si="2"/>
        <v>10345123.4407</v>
      </c>
      <c r="F174" s="18"/>
      <c r="G174" s="18"/>
      <c r="H174" s="19"/>
      <c r="I174" s="19"/>
      <c r="J174" s="19"/>
      <c r="K174" s="19"/>
      <c r="L174" s="18"/>
      <c r="M174" s="18"/>
      <c r="N174" s="19"/>
      <c r="O174" s="19"/>
      <c r="P174" s="19"/>
    </row>
    <row r="175" spans="1:16" ht="35.25">
      <c r="A175" s="14">
        <v>170</v>
      </c>
      <c r="B175" s="15" t="s">
        <v>83</v>
      </c>
      <c r="C175" s="15" t="s">
        <v>473</v>
      </c>
      <c r="D175" s="16">
        <v>13003694.663699999</v>
      </c>
      <c r="E175" s="17">
        <f t="shared" si="2"/>
        <v>13003694.663699999</v>
      </c>
      <c r="F175" s="18"/>
      <c r="G175" s="18"/>
      <c r="H175" s="19"/>
      <c r="I175" s="19"/>
      <c r="J175" s="19"/>
      <c r="K175" s="19"/>
      <c r="L175" s="18"/>
      <c r="M175" s="18"/>
      <c r="N175" s="19"/>
      <c r="O175" s="19"/>
      <c r="P175" s="19"/>
    </row>
    <row r="176" spans="1:16" ht="35.25">
      <c r="A176" s="14">
        <v>171</v>
      </c>
      <c r="B176" s="15" t="s">
        <v>83</v>
      </c>
      <c r="C176" s="15" t="s">
        <v>475</v>
      </c>
      <c r="D176" s="16">
        <v>12448364.985200001</v>
      </c>
      <c r="E176" s="17">
        <f t="shared" si="2"/>
        <v>12448364.985200001</v>
      </c>
      <c r="F176" s="18"/>
      <c r="G176" s="18"/>
      <c r="H176" s="19"/>
      <c r="I176" s="19"/>
      <c r="J176" s="19"/>
      <c r="K176" s="19"/>
      <c r="L176" s="18"/>
      <c r="M176" s="18"/>
      <c r="N176" s="19"/>
      <c r="O176" s="19"/>
      <c r="P176" s="19"/>
    </row>
    <row r="177" spans="1:16" ht="35.25">
      <c r="A177" s="14">
        <v>172</v>
      </c>
      <c r="B177" s="15" t="s">
        <v>83</v>
      </c>
      <c r="C177" s="15" t="s">
        <v>477</v>
      </c>
      <c r="D177" s="16">
        <v>8031903.0690000001</v>
      </c>
      <c r="E177" s="17">
        <f t="shared" si="2"/>
        <v>8031903.0690000001</v>
      </c>
      <c r="F177" s="18"/>
      <c r="G177" s="18"/>
      <c r="H177" s="19"/>
      <c r="I177" s="19"/>
      <c r="J177" s="19"/>
      <c r="K177" s="19"/>
      <c r="L177" s="18"/>
      <c r="M177" s="18"/>
      <c r="N177" s="19"/>
      <c r="O177" s="19"/>
      <c r="P177" s="19"/>
    </row>
    <row r="178" spans="1:16" ht="35.25">
      <c r="A178" s="14">
        <v>173</v>
      </c>
      <c r="B178" s="15" t="s">
        <v>83</v>
      </c>
      <c r="C178" s="15" t="s">
        <v>479</v>
      </c>
      <c r="D178" s="16">
        <v>9594683.2429000009</v>
      </c>
      <c r="E178" s="17">
        <f t="shared" si="2"/>
        <v>9594683.2429000009</v>
      </c>
      <c r="F178" s="18"/>
      <c r="G178" s="18"/>
      <c r="H178" s="19"/>
      <c r="I178" s="19"/>
      <c r="J178" s="19"/>
      <c r="K178" s="19"/>
      <c r="L178" s="18"/>
      <c r="M178" s="18"/>
      <c r="N178" s="19"/>
      <c r="O178" s="19"/>
      <c r="P178" s="19"/>
    </row>
    <row r="179" spans="1:16" ht="35.25">
      <c r="A179" s="14">
        <v>174</v>
      </c>
      <c r="B179" s="15" t="s">
        <v>83</v>
      </c>
      <c r="C179" s="15" t="s">
        <v>481</v>
      </c>
      <c r="D179" s="16">
        <v>11037971.396299999</v>
      </c>
      <c r="E179" s="17">
        <f t="shared" si="2"/>
        <v>11037971.396299999</v>
      </c>
      <c r="F179" s="18"/>
      <c r="G179" s="18"/>
      <c r="H179" s="19"/>
      <c r="I179" s="19"/>
      <c r="J179" s="19"/>
      <c r="K179" s="19"/>
      <c r="L179" s="18"/>
      <c r="M179" s="18"/>
      <c r="N179" s="19"/>
      <c r="O179" s="19"/>
      <c r="P179" s="19"/>
    </row>
    <row r="180" spans="1:16" ht="35.25">
      <c r="A180" s="14">
        <v>175</v>
      </c>
      <c r="B180" s="15" t="s">
        <v>83</v>
      </c>
      <c r="C180" s="15" t="s">
        <v>483</v>
      </c>
      <c r="D180" s="16">
        <v>12654452.1688</v>
      </c>
      <c r="E180" s="17">
        <f t="shared" si="2"/>
        <v>12654452.1688</v>
      </c>
      <c r="F180" s="18"/>
      <c r="G180" s="18"/>
      <c r="H180" s="19"/>
      <c r="I180" s="19"/>
      <c r="J180" s="19"/>
      <c r="K180" s="19"/>
      <c r="L180" s="18"/>
      <c r="M180" s="18"/>
      <c r="N180" s="19"/>
      <c r="O180" s="19"/>
      <c r="P180" s="19"/>
    </row>
    <row r="181" spans="1:16" ht="35.25">
      <c r="A181" s="14">
        <v>176</v>
      </c>
      <c r="B181" s="15" t="s">
        <v>83</v>
      </c>
      <c r="C181" s="15" t="s">
        <v>485</v>
      </c>
      <c r="D181" s="16">
        <v>10024274.1447</v>
      </c>
      <c r="E181" s="17">
        <f t="shared" si="2"/>
        <v>10024274.1447</v>
      </c>
      <c r="F181" s="18"/>
      <c r="G181" s="18"/>
      <c r="H181" s="19"/>
      <c r="I181" s="19"/>
      <c r="J181" s="19"/>
      <c r="K181" s="19"/>
      <c r="L181" s="18"/>
      <c r="M181" s="18"/>
      <c r="N181" s="19"/>
      <c r="O181" s="19"/>
      <c r="P181" s="19"/>
    </row>
    <row r="182" spans="1:16" ht="35.25">
      <c r="A182" s="14">
        <v>177</v>
      </c>
      <c r="B182" s="15" t="s">
        <v>83</v>
      </c>
      <c r="C182" s="15" t="s">
        <v>487</v>
      </c>
      <c r="D182" s="16">
        <v>10684640.6436</v>
      </c>
      <c r="E182" s="17">
        <f t="shared" si="2"/>
        <v>10684640.6436</v>
      </c>
      <c r="F182" s="18"/>
      <c r="G182" s="18"/>
      <c r="H182" s="19"/>
      <c r="I182" s="19"/>
      <c r="J182" s="19"/>
      <c r="K182" s="19"/>
      <c r="L182" s="18"/>
      <c r="M182" s="18"/>
      <c r="N182" s="19"/>
      <c r="O182" s="19"/>
      <c r="P182" s="19"/>
    </row>
    <row r="183" spans="1:16" ht="35.25">
      <c r="A183" s="14">
        <v>178</v>
      </c>
      <c r="B183" s="15" t="s">
        <v>83</v>
      </c>
      <c r="C183" s="15" t="s">
        <v>489</v>
      </c>
      <c r="D183" s="16">
        <v>8366490.0188999996</v>
      </c>
      <c r="E183" s="17">
        <f t="shared" si="2"/>
        <v>8366490.0188999996</v>
      </c>
      <c r="F183" s="18"/>
      <c r="G183" s="18"/>
      <c r="H183" s="19"/>
      <c r="I183" s="19"/>
      <c r="J183" s="19"/>
      <c r="K183" s="19"/>
      <c r="L183" s="18"/>
      <c r="M183" s="18"/>
      <c r="N183" s="19"/>
      <c r="O183" s="19"/>
      <c r="P183" s="19"/>
    </row>
    <row r="184" spans="1:16" ht="35.25">
      <c r="A184" s="14">
        <v>179</v>
      </c>
      <c r="B184" s="15" t="s">
        <v>83</v>
      </c>
      <c r="C184" s="15" t="s">
        <v>491</v>
      </c>
      <c r="D184" s="16">
        <v>11415957.659399999</v>
      </c>
      <c r="E184" s="17">
        <f t="shared" si="2"/>
        <v>11415957.659399999</v>
      </c>
      <c r="F184" s="18"/>
      <c r="G184" s="18"/>
      <c r="H184" s="19"/>
      <c r="I184" s="19"/>
      <c r="J184" s="19"/>
      <c r="K184" s="19"/>
      <c r="L184" s="18"/>
      <c r="M184" s="18"/>
      <c r="N184" s="19"/>
      <c r="O184" s="19"/>
      <c r="P184" s="19"/>
    </row>
    <row r="185" spans="1:16" ht="35.25">
      <c r="A185" s="14">
        <v>180</v>
      </c>
      <c r="B185" s="15" t="s">
        <v>83</v>
      </c>
      <c r="C185" s="15" t="s">
        <v>493</v>
      </c>
      <c r="D185" s="16">
        <v>9851741.0742000006</v>
      </c>
      <c r="E185" s="17">
        <f t="shared" si="2"/>
        <v>9851741.0742000006</v>
      </c>
      <c r="F185" s="18"/>
      <c r="G185" s="18"/>
      <c r="H185" s="19"/>
      <c r="I185" s="19"/>
      <c r="J185" s="19"/>
      <c r="K185" s="19"/>
      <c r="L185" s="18"/>
      <c r="M185" s="18"/>
      <c r="N185" s="19"/>
      <c r="O185" s="19"/>
      <c r="P185" s="19"/>
    </row>
    <row r="186" spans="1:16" ht="35.25">
      <c r="A186" s="14">
        <v>181</v>
      </c>
      <c r="B186" s="15" t="s">
        <v>83</v>
      </c>
      <c r="C186" s="15" t="s">
        <v>495</v>
      </c>
      <c r="D186" s="16">
        <v>10858107.248500001</v>
      </c>
      <c r="E186" s="17">
        <f t="shared" si="2"/>
        <v>10858107.248500001</v>
      </c>
      <c r="F186" s="18"/>
      <c r="G186" s="18"/>
      <c r="H186" s="19"/>
      <c r="I186" s="19"/>
      <c r="J186" s="19"/>
      <c r="K186" s="19"/>
      <c r="L186" s="18"/>
      <c r="M186" s="18"/>
      <c r="N186" s="19"/>
      <c r="O186" s="19"/>
      <c r="P186" s="19"/>
    </row>
    <row r="187" spans="1:16" ht="35.25">
      <c r="A187" s="14">
        <v>182</v>
      </c>
      <c r="B187" s="15" t="s">
        <v>83</v>
      </c>
      <c r="C187" s="15" t="s">
        <v>497</v>
      </c>
      <c r="D187" s="16">
        <v>10279765.5701</v>
      </c>
      <c r="E187" s="17">
        <f t="shared" si="2"/>
        <v>10279765.5701</v>
      </c>
      <c r="F187" s="18"/>
      <c r="G187" s="18"/>
      <c r="H187" s="19"/>
      <c r="I187" s="19"/>
      <c r="J187" s="19"/>
      <c r="K187" s="19"/>
      <c r="L187" s="18"/>
      <c r="M187" s="18"/>
      <c r="N187" s="19"/>
      <c r="O187" s="19"/>
      <c r="P187" s="19"/>
    </row>
    <row r="188" spans="1:16" ht="35.25">
      <c r="A188" s="14">
        <v>183</v>
      </c>
      <c r="B188" s="15" t="s">
        <v>83</v>
      </c>
      <c r="C188" s="15" t="s">
        <v>499</v>
      </c>
      <c r="D188" s="16">
        <v>11660288.694399999</v>
      </c>
      <c r="E188" s="17">
        <f t="shared" si="2"/>
        <v>11660288.694399999</v>
      </c>
      <c r="F188" s="18"/>
      <c r="G188" s="18"/>
      <c r="H188" s="19"/>
      <c r="I188" s="19"/>
      <c r="J188" s="19"/>
      <c r="K188" s="19"/>
      <c r="L188" s="18"/>
      <c r="M188" s="18"/>
      <c r="N188" s="19"/>
      <c r="O188" s="19"/>
      <c r="P188" s="19"/>
    </row>
    <row r="189" spans="1:16" ht="35.25">
      <c r="A189" s="14">
        <v>184</v>
      </c>
      <c r="B189" s="15" t="s">
        <v>83</v>
      </c>
      <c r="C189" s="15" t="s">
        <v>501</v>
      </c>
      <c r="D189" s="16">
        <v>10958671.058700001</v>
      </c>
      <c r="E189" s="17">
        <f t="shared" si="2"/>
        <v>10958671.058700001</v>
      </c>
      <c r="F189" s="18"/>
      <c r="G189" s="18"/>
      <c r="H189" s="19"/>
      <c r="I189" s="19"/>
      <c r="J189" s="19"/>
      <c r="K189" s="19"/>
      <c r="L189" s="18"/>
      <c r="M189" s="18"/>
      <c r="N189" s="19"/>
      <c r="O189" s="19"/>
      <c r="P189" s="19"/>
    </row>
    <row r="190" spans="1:16" ht="35.25">
      <c r="A190" s="14">
        <v>185</v>
      </c>
      <c r="B190" s="15" t="s">
        <v>83</v>
      </c>
      <c r="C190" s="15" t="s">
        <v>503</v>
      </c>
      <c r="D190" s="16">
        <v>11001872.623500001</v>
      </c>
      <c r="E190" s="17">
        <f t="shared" si="2"/>
        <v>11001872.623500001</v>
      </c>
      <c r="F190" s="18"/>
      <c r="G190" s="18"/>
      <c r="H190" s="19"/>
      <c r="I190" s="19"/>
      <c r="J190" s="19"/>
      <c r="K190" s="19"/>
      <c r="L190" s="18"/>
      <c r="M190" s="18"/>
      <c r="N190" s="19"/>
      <c r="O190" s="19"/>
      <c r="P190" s="19"/>
    </row>
    <row r="191" spans="1:16" ht="35.25">
      <c r="A191" s="14">
        <v>186</v>
      </c>
      <c r="B191" s="15" t="s">
        <v>83</v>
      </c>
      <c r="C191" s="15" t="s">
        <v>505</v>
      </c>
      <c r="D191" s="16">
        <v>12132738.972999999</v>
      </c>
      <c r="E191" s="17">
        <f t="shared" si="2"/>
        <v>12132738.972999999</v>
      </c>
      <c r="F191" s="18"/>
      <c r="G191" s="18"/>
      <c r="H191" s="19"/>
      <c r="I191" s="19"/>
      <c r="J191" s="19"/>
      <c r="K191" s="19"/>
      <c r="L191" s="18"/>
      <c r="M191" s="18"/>
      <c r="N191" s="19"/>
      <c r="O191" s="19"/>
      <c r="P191" s="19"/>
    </row>
    <row r="192" spans="1:16" ht="17.649999999999999">
      <c r="A192" s="14">
        <v>187</v>
      </c>
      <c r="B192" s="15" t="s">
        <v>84</v>
      </c>
      <c r="C192" s="15" t="s">
        <v>510</v>
      </c>
      <c r="D192" s="16">
        <v>8496086.1911999993</v>
      </c>
      <c r="E192" s="17">
        <f t="shared" si="2"/>
        <v>8496086.1911999993</v>
      </c>
      <c r="F192" s="18"/>
      <c r="G192" s="18"/>
      <c r="H192" s="19"/>
      <c r="I192" s="19"/>
      <c r="J192" s="19"/>
      <c r="K192" s="19"/>
      <c r="L192" s="18"/>
      <c r="M192" s="18"/>
      <c r="N192" s="19"/>
      <c r="O192" s="19"/>
      <c r="P192" s="19"/>
    </row>
    <row r="193" spans="1:16" ht="17.649999999999999">
      <c r="A193" s="14">
        <v>188</v>
      </c>
      <c r="B193" s="15" t="s">
        <v>84</v>
      </c>
      <c r="C193" s="15" t="s">
        <v>512</v>
      </c>
      <c r="D193" s="16">
        <v>9260396.8485000003</v>
      </c>
      <c r="E193" s="17">
        <f t="shared" si="2"/>
        <v>9260396.8485000003</v>
      </c>
      <c r="F193" s="18"/>
      <c r="G193" s="18"/>
      <c r="H193" s="19"/>
      <c r="I193" s="19"/>
      <c r="J193" s="19"/>
      <c r="K193" s="19"/>
      <c r="L193" s="18"/>
      <c r="M193" s="18"/>
      <c r="N193" s="19"/>
      <c r="O193" s="19"/>
      <c r="P193" s="19"/>
    </row>
    <row r="194" spans="1:16" ht="17.649999999999999">
      <c r="A194" s="14">
        <v>189</v>
      </c>
      <c r="B194" s="15" t="s">
        <v>84</v>
      </c>
      <c r="C194" s="15" t="s">
        <v>514</v>
      </c>
      <c r="D194" s="16">
        <v>7916113.267</v>
      </c>
      <c r="E194" s="17">
        <f t="shared" si="2"/>
        <v>7916113.267</v>
      </c>
      <c r="F194" s="18"/>
      <c r="G194" s="18"/>
      <c r="H194" s="19"/>
      <c r="I194" s="19"/>
      <c r="J194" s="19"/>
      <c r="K194" s="19"/>
      <c r="L194" s="18"/>
      <c r="M194" s="18"/>
      <c r="N194" s="19"/>
      <c r="O194" s="19"/>
      <c r="P194" s="19"/>
    </row>
    <row r="195" spans="1:16" ht="17.649999999999999">
      <c r="A195" s="14">
        <v>190</v>
      </c>
      <c r="B195" s="15" t="s">
        <v>84</v>
      </c>
      <c r="C195" s="15" t="s">
        <v>516</v>
      </c>
      <c r="D195" s="16">
        <v>11376886.153100001</v>
      </c>
      <c r="E195" s="17">
        <f t="shared" si="2"/>
        <v>11376886.153100001</v>
      </c>
      <c r="F195" s="18"/>
      <c r="G195" s="18"/>
      <c r="H195" s="19"/>
      <c r="I195" s="19"/>
      <c r="J195" s="19"/>
      <c r="K195" s="19"/>
      <c r="L195" s="18"/>
      <c r="M195" s="18"/>
      <c r="N195" s="19"/>
      <c r="O195" s="19"/>
      <c r="P195" s="19"/>
    </row>
    <row r="196" spans="1:16" ht="17.649999999999999">
      <c r="A196" s="14">
        <v>191</v>
      </c>
      <c r="B196" s="15" t="s">
        <v>84</v>
      </c>
      <c r="C196" s="15" t="s">
        <v>518</v>
      </c>
      <c r="D196" s="16">
        <v>10351198.5636</v>
      </c>
      <c r="E196" s="17">
        <f t="shared" si="2"/>
        <v>10351198.5636</v>
      </c>
      <c r="F196" s="18"/>
      <c r="G196" s="18"/>
      <c r="H196" s="19"/>
      <c r="I196" s="19"/>
      <c r="J196" s="19"/>
      <c r="K196" s="19"/>
      <c r="L196" s="18"/>
      <c r="M196" s="18"/>
      <c r="N196" s="19"/>
      <c r="O196" s="19"/>
      <c r="P196" s="19"/>
    </row>
    <row r="197" spans="1:16" ht="17.649999999999999">
      <c r="A197" s="14">
        <v>192</v>
      </c>
      <c r="B197" s="15" t="s">
        <v>84</v>
      </c>
      <c r="C197" s="15" t="s">
        <v>520</v>
      </c>
      <c r="D197" s="16">
        <v>10603154.251399999</v>
      </c>
      <c r="E197" s="17">
        <f t="shared" si="2"/>
        <v>10603154.251399999</v>
      </c>
      <c r="F197" s="18"/>
      <c r="G197" s="18"/>
      <c r="H197" s="19"/>
      <c r="I197" s="19"/>
      <c r="J197" s="19"/>
      <c r="K197" s="19"/>
      <c r="L197" s="18"/>
      <c r="M197" s="18"/>
      <c r="N197" s="19"/>
      <c r="O197" s="19"/>
      <c r="P197" s="19"/>
    </row>
    <row r="198" spans="1:16" ht="17.649999999999999">
      <c r="A198" s="14">
        <v>193</v>
      </c>
      <c r="B198" s="15" t="s">
        <v>84</v>
      </c>
      <c r="C198" s="15" t="s">
        <v>522</v>
      </c>
      <c r="D198" s="16">
        <v>11241300.0383</v>
      </c>
      <c r="E198" s="17">
        <f t="shared" si="2"/>
        <v>11241300.0383</v>
      </c>
      <c r="F198" s="18"/>
      <c r="G198" s="18"/>
      <c r="H198" s="19"/>
      <c r="I198" s="19"/>
      <c r="J198" s="19"/>
      <c r="K198" s="19"/>
      <c r="L198" s="18"/>
      <c r="M198" s="18"/>
      <c r="N198" s="19"/>
      <c r="O198" s="19"/>
      <c r="P198" s="19"/>
    </row>
    <row r="199" spans="1:16" ht="17.649999999999999">
      <c r="A199" s="14">
        <v>194</v>
      </c>
      <c r="B199" s="15" t="s">
        <v>84</v>
      </c>
      <c r="C199" s="15" t="s">
        <v>524</v>
      </c>
      <c r="D199" s="16">
        <v>10572607.143999999</v>
      </c>
      <c r="E199" s="17">
        <f t="shared" ref="E199:E262" si="3">D199</f>
        <v>10572607.143999999</v>
      </c>
      <c r="F199" s="18"/>
      <c r="G199" s="18"/>
      <c r="H199" s="19"/>
      <c r="I199" s="19"/>
      <c r="J199" s="19"/>
      <c r="K199" s="19"/>
      <c r="L199" s="18"/>
      <c r="M199" s="18"/>
      <c r="N199" s="19"/>
      <c r="O199" s="19"/>
      <c r="P199" s="19"/>
    </row>
    <row r="200" spans="1:16" ht="17.649999999999999">
      <c r="A200" s="14">
        <v>195</v>
      </c>
      <c r="B200" s="15" t="s">
        <v>84</v>
      </c>
      <c r="C200" s="15" t="s">
        <v>526</v>
      </c>
      <c r="D200" s="16">
        <v>9948044.1885000002</v>
      </c>
      <c r="E200" s="17">
        <f t="shared" si="3"/>
        <v>9948044.1885000002</v>
      </c>
      <c r="F200" s="18"/>
      <c r="G200" s="18"/>
      <c r="H200" s="19"/>
      <c r="I200" s="19"/>
      <c r="J200" s="19"/>
      <c r="K200" s="19"/>
      <c r="L200" s="18"/>
      <c r="M200" s="18"/>
      <c r="N200" s="19"/>
      <c r="O200" s="19"/>
      <c r="P200" s="19"/>
    </row>
    <row r="201" spans="1:16" ht="17.649999999999999">
      <c r="A201" s="14">
        <v>196</v>
      </c>
      <c r="B201" s="15" t="s">
        <v>84</v>
      </c>
      <c r="C201" s="15" t="s">
        <v>528</v>
      </c>
      <c r="D201" s="16">
        <v>11124133.7621</v>
      </c>
      <c r="E201" s="17">
        <f t="shared" si="3"/>
        <v>11124133.7621</v>
      </c>
      <c r="F201" s="18"/>
      <c r="G201" s="18"/>
      <c r="H201" s="19"/>
      <c r="I201" s="19"/>
      <c r="J201" s="19"/>
      <c r="K201" s="19"/>
      <c r="L201" s="18"/>
      <c r="M201" s="18"/>
      <c r="N201" s="19"/>
      <c r="O201" s="19"/>
      <c r="P201" s="19"/>
    </row>
    <row r="202" spans="1:16" ht="17.649999999999999">
      <c r="A202" s="14">
        <v>197</v>
      </c>
      <c r="B202" s="15" t="s">
        <v>84</v>
      </c>
      <c r="C202" s="15" t="s">
        <v>530</v>
      </c>
      <c r="D202" s="16">
        <v>9347700.9408</v>
      </c>
      <c r="E202" s="17">
        <f t="shared" si="3"/>
        <v>9347700.9408</v>
      </c>
      <c r="F202" s="18"/>
      <c r="G202" s="18"/>
      <c r="H202" s="19"/>
      <c r="I202" s="19"/>
      <c r="J202" s="19"/>
      <c r="K202" s="19"/>
      <c r="L202" s="18"/>
      <c r="M202" s="18"/>
      <c r="N202" s="19"/>
      <c r="O202" s="19"/>
      <c r="P202" s="19"/>
    </row>
    <row r="203" spans="1:16" ht="17.649999999999999">
      <c r="A203" s="14">
        <v>198</v>
      </c>
      <c r="B203" s="15" t="s">
        <v>84</v>
      </c>
      <c r="C203" s="15" t="s">
        <v>532</v>
      </c>
      <c r="D203" s="16">
        <v>9640739.8188000005</v>
      </c>
      <c r="E203" s="17">
        <f t="shared" si="3"/>
        <v>9640739.8188000005</v>
      </c>
      <c r="F203" s="18"/>
      <c r="G203" s="18"/>
      <c r="H203" s="19"/>
      <c r="I203" s="19"/>
      <c r="J203" s="19"/>
      <c r="K203" s="19"/>
      <c r="L203" s="18"/>
      <c r="M203" s="18"/>
      <c r="N203" s="19"/>
      <c r="O203" s="19"/>
      <c r="P203" s="19"/>
    </row>
    <row r="204" spans="1:16" ht="17.649999999999999">
      <c r="A204" s="14">
        <v>199</v>
      </c>
      <c r="B204" s="15" t="s">
        <v>84</v>
      </c>
      <c r="C204" s="15" t="s">
        <v>534</v>
      </c>
      <c r="D204" s="16">
        <v>8830709.6172000002</v>
      </c>
      <c r="E204" s="17">
        <f t="shared" si="3"/>
        <v>8830709.6172000002</v>
      </c>
      <c r="F204" s="18"/>
      <c r="G204" s="18"/>
      <c r="H204" s="19"/>
      <c r="I204" s="19"/>
      <c r="J204" s="19"/>
      <c r="K204" s="19"/>
      <c r="L204" s="18"/>
      <c r="M204" s="18"/>
      <c r="N204" s="19"/>
      <c r="O204" s="19"/>
      <c r="P204" s="19"/>
    </row>
    <row r="205" spans="1:16" ht="17.649999999999999">
      <c r="A205" s="14">
        <v>200</v>
      </c>
      <c r="B205" s="15" t="s">
        <v>84</v>
      </c>
      <c r="C205" s="15" t="s">
        <v>536</v>
      </c>
      <c r="D205" s="16">
        <v>8648488.3666999992</v>
      </c>
      <c r="E205" s="17">
        <f t="shared" si="3"/>
        <v>8648488.3666999992</v>
      </c>
      <c r="F205" s="18"/>
      <c r="G205" s="18"/>
      <c r="H205" s="19"/>
      <c r="I205" s="19"/>
      <c r="J205" s="19"/>
      <c r="K205" s="19"/>
      <c r="L205" s="18"/>
      <c r="M205" s="18"/>
      <c r="N205" s="19"/>
      <c r="O205" s="19"/>
      <c r="P205" s="19"/>
    </row>
    <row r="206" spans="1:16" ht="17.649999999999999">
      <c r="A206" s="14">
        <v>201</v>
      </c>
      <c r="B206" s="15" t="s">
        <v>84</v>
      </c>
      <c r="C206" s="15" t="s">
        <v>538</v>
      </c>
      <c r="D206" s="16">
        <v>9384607.4027999993</v>
      </c>
      <c r="E206" s="17">
        <f t="shared" si="3"/>
        <v>9384607.4027999993</v>
      </c>
      <c r="F206" s="18"/>
      <c r="G206" s="18"/>
      <c r="H206" s="19"/>
      <c r="I206" s="19"/>
      <c r="J206" s="19"/>
      <c r="K206" s="19"/>
      <c r="L206" s="18"/>
      <c r="M206" s="18"/>
      <c r="N206" s="19"/>
      <c r="O206" s="19"/>
      <c r="P206" s="19"/>
    </row>
    <row r="207" spans="1:16" ht="17.649999999999999">
      <c r="A207" s="14">
        <v>202</v>
      </c>
      <c r="B207" s="15" t="s">
        <v>84</v>
      </c>
      <c r="C207" s="15" t="s">
        <v>540</v>
      </c>
      <c r="D207" s="16">
        <v>7750208.5066</v>
      </c>
      <c r="E207" s="17">
        <f t="shared" si="3"/>
        <v>7750208.5066</v>
      </c>
      <c r="F207" s="18"/>
      <c r="G207" s="18"/>
      <c r="H207" s="19"/>
      <c r="I207" s="19"/>
      <c r="J207" s="19"/>
      <c r="K207" s="19"/>
      <c r="L207" s="18"/>
      <c r="M207" s="18"/>
      <c r="N207" s="19"/>
      <c r="O207" s="19"/>
      <c r="P207" s="19"/>
    </row>
    <row r="208" spans="1:16" ht="17.649999999999999">
      <c r="A208" s="14">
        <v>203</v>
      </c>
      <c r="B208" s="15" t="s">
        <v>84</v>
      </c>
      <c r="C208" s="15" t="s">
        <v>542</v>
      </c>
      <c r="D208" s="16">
        <v>9761986.7649000008</v>
      </c>
      <c r="E208" s="17">
        <f t="shared" si="3"/>
        <v>9761986.7649000008</v>
      </c>
      <c r="F208" s="18"/>
      <c r="G208" s="18"/>
      <c r="H208" s="19"/>
      <c r="I208" s="19"/>
      <c r="J208" s="19"/>
      <c r="K208" s="19"/>
      <c r="L208" s="18"/>
      <c r="M208" s="18"/>
      <c r="N208" s="19"/>
      <c r="O208" s="19"/>
      <c r="P208" s="19"/>
    </row>
    <row r="209" spans="1:16" ht="17.649999999999999">
      <c r="A209" s="14">
        <v>204</v>
      </c>
      <c r="B209" s="15" t="s">
        <v>84</v>
      </c>
      <c r="C209" s="15" t="s">
        <v>544</v>
      </c>
      <c r="D209" s="16">
        <v>10263718.071699999</v>
      </c>
      <c r="E209" s="17">
        <f t="shared" si="3"/>
        <v>10263718.071699999</v>
      </c>
      <c r="F209" s="18"/>
      <c r="G209" s="18"/>
      <c r="H209" s="19"/>
      <c r="I209" s="19"/>
      <c r="J209" s="19"/>
      <c r="K209" s="19"/>
      <c r="L209" s="18"/>
      <c r="M209" s="18"/>
      <c r="N209" s="19"/>
      <c r="O209" s="19"/>
      <c r="P209" s="19"/>
    </row>
    <row r="210" spans="1:16" ht="17.649999999999999">
      <c r="A210" s="14">
        <v>205</v>
      </c>
      <c r="B210" s="15" t="s">
        <v>84</v>
      </c>
      <c r="C210" s="15" t="s">
        <v>546</v>
      </c>
      <c r="D210" s="16">
        <v>13404117.061899999</v>
      </c>
      <c r="E210" s="17">
        <f t="shared" si="3"/>
        <v>13404117.061899999</v>
      </c>
      <c r="F210" s="18"/>
      <c r="G210" s="18"/>
      <c r="H210" s="19"/>
      <c r="I210" s="19"/>
      <c r="J210" s="19"/>
      <c r="K210" s="19"/>
      <c r="L210" s="18"/>
      <c r="M210" s="18"/>
      <c r="N210" s="19"/>
      <c r="O210" s="19"/>
      <c r="P210" s="19"/>
    </row>
    <row r="211" spans="1:16" ht="17.649999999999999">
      <c r="A211" s="14">
        <v>206</v>
      </c>
      <c r="B211" s="15" t="s">
        <v>84</v>
      </c>
      <c r="C211" s="15" t="s">
        <v>548</v>
      </c>
      <c r="D211" s="16">
        <v>10625650.7203</v>
      </c>
      <c r="E211" s="17">
        <f t="shared" si="3"/>
        <v>10625650.7203</v>
      </c>
      <c r="F211" s="18"/>
      <c r="G211" s="18"/>
      <c r="H211" s="19"/>
      <c r="I211" s="19"/>
      <c r="J211" s="19"/>
      <c r="K211" s="19"/>
      <c r="L211" s="18"/>
      <c r="M211" s="18"/>
      <c r="N211" s="19"/>
      <c r="O211" s="19"/>
      <c r="P211" s="19"/>
    </row>
    <row r="212" spans="1:16" ht="17.649999999999999">
      <c r="A212" s="14">
        <v>207</v>
      </c>
      <c r="B212" s="15" t="s">
        <v>84</v>
      </c>
      <c r="C212" s="15" t="s">
        <v>550</v>
      </c>
      <c r="D212" s="16">
        <v>8427084.6246000007</v>
      </c>
      <c r="E212" s="17">
        <f t="shared" si="3"/>
        <v>8427084.6246000007</v>
      </c>
      <c r="F212" s="18"/>
      <c r="G212" s="18"/>
      <c r="H212" s="19"/>
      <c r="I212" s="19"/>
      <c r="J212" s="19"/>
      <c r="K212" s="19"/>
      <c r="L212" s="18"/>
      <c r="M212" s="18"/>
      <c r="N212" s="19"/>
      <c r="O212" s="19"/>
      <c r="P212" s="19"/>
    </row>
    <row r="213" spans="1:16" ht="17.649999999999999">
      <c r="A213" s="14">
        <v>208</v>
      </c>
      <c r="B213" s="15" t="s">
        <v>84</v>
      </c>
      <c r="C213" s="15" t="s">
        <v>552</v>
      </c>
      <c r="D213" s="16">
        <v>9901712.2250999995</v>
      </c>
      <c r="E213" s="17">
        <f t="shared" si="3"/>
        <v>9901712.2250999995</v>
      </c>
      <c r="F213" s="18"/>
      <c r="G213" s="18"/>
      <c r="H213" s="19"/>
      <c r="I213" s="19"/>
      <c r="J213" s="19"/>
      <c r="K213" s="19"/>
      <c r="L213" s="18"/>
      <c r="M213" s="18"/>
      <c r="N213" s="19"/>
      <c r="O213" s="19"/>
      <c r="P213" s="19"/>
    </row>
    <row r="214" spans="1:16" ht="17.649999999999999">
      <c r="A214" s="14">
        <v>209</v>
      </c>
      <c r="B214" s="15" t="s">
        <v>84</v>
      </c>
      <c r="C214" s="15" t="s">
        <v>554</v>
      </c>
      <c r="D214" s="16">
        <v>12304981.1744</v>
      </c>
      <c r="E214" s="17">
        <f t="shared" si="3"/>
        <v>12304981.1744</v>
      </c>
      <c r="F214" s="18"/>
      <c r="G214" s="18"/>
      <c r="H214" s="19"/>
      <c r="I214" s="19"/>
      <c r="J214" s="19"/>
      <c r="K214" s="19"/>
      <c r="L214" s="18"/>
      <c r="M214" s="18"/>
      <c r="N214" s="19"/>
      <c r="O214" s="19"/>
      <c r="P214" s="19"/>
    </row>
    <row r="215" spans="1:16" ht="17.649999999999999">
      <c r="A215" s="14">
        <v>210</v>
      </c>
      <c r="B215" s="15" t="s">
        <v>84</v>
      </c>
      <c r="C215" s="15" t="s">
        <v>556</v>
      </c>
      <c r="D215" s="16">
        <v>10126278.4278</v>
      </c>
      <c r="E215" s="17">
        <f t="shared" si="3"/>
        <v>10126278.4278</v>
      </c>
      <c r="F215" s="18"/>
      <c r="G215" s="18"/>
      <c r="H215" s="19"/>
      <c r="I215" s="19"/>
      <c r="J215" s="19"/>
      <c r="K215" s="19"/>
      <c r="L215" s="18"/>
      <c r="M215" s="18"/>
      <c r="N215" s="19"/>
      <c r="O215" s="19"/>
      <c r="P215" s="19"/>
    </row>
    <row r="216" spans="1:16" ht="35.25">
      <c r="A216" s="14">
        <v>211</v>
      </c>
      <c r="B216" s="15" t="s">
        <v>84</v>
      </c>
      <c r="C216" s="15" t="s">
        <v>558</v>
      </c>
      <c r="D216" s="16">
        <v>9724695.8791000005</v>
      </c>
      <c r="E216" s="17">
        <f t="shared" si="3"/>
        <v>9724695.8791000005</v>
      </c>
      <c r="F216" s="18"/>
      <c r="G216" s="18"/>
      <c r="H216" s="19"/>
      <c r="I216" s="19"/>
      <c r="J216" s="19"/>
      <c r="K216" s="19"/>
      <c r="L216" s="18"/>
      <c r="M216" s="18"/>
      <c r="N216" s="19"/>
      <c r="O216" s="19"/>
      <c r="P216" s="19"/>
    </row>
    <row r="217" spans="1:16" ht="17.649999999999999">
      <c r="A217" s="14">
        <v>212</v>
      </c>
      <c r="B217" s="15" t="s">
        <v>85</v>
      </c>
      <c r="C217" s="15" t="s">
        <v>563</v>
      </c>
      <c r="D217" s="16">
        <v>11043043.4515</v>
      </c>
      <c r="E217" s="17">
        <f t="shared" si="3"/>
        <v>11043043.4515</v>
      </c>
      <c r="F217" s="18"/>
      <c r="G217" s="18"/>
      <c r="H217" s="19"/>
      <c r="I217" s="19"/>
      <c r="J217" s="19"/>
      <c r="K217" s="19"/>
      <c r="L217" s="18"/>
      <c r="M217" s="18"/>
      <c r="N217" s="19"/>
      <c r="O217" s="19"/>
      <c r="P217" s="19"/>
    </row>
    <row r="218" spans="1:16" ht="17.649999999999999">
      <c r="A218" s="14">
        <v>213</v>
      </c>
      <c r="B218" s="15" t="s">
        <v>85</v>
      </c>
      <c r="C218" s="15" t="s">
        <v>565</v>
      </c>
      <c r="D218" s="16">
        <v>10369400.448999999</v>
      </c>
      <c r="E218" s="17">
        <f t="shared" si="3"/>
        <v>10369400.448999999</v>
      </c>
      <c r="F218" s="18"/>
      <c r="G218" s="18"/>
      <c r="H218" s="19"/>
      <c r="I218" s="19"/>
      <c r="J218" s="19"/>
      <c r="K218" s="19"/>
      <c r="L218" s="18"/>
      <c r="M218" s="18"/>
      <c r="N218" s="19"/>
      <c r="O218" s="19"/>
      <c r="P218" s="19"/>
    </row>
    <row r="219" spans="1:16" ht="17.649999999999999">
      <c r="A219" s="14">
        <v>214</v>
      </c>
      <c r="B219" s="15" t="s">
        <v>85</v>
      </c>
      <c r="C219" s="15" t="s">
        <v>567</v>
      </c>
      <c r="D219" s="16">
        <v>10458666.6083</v>
      </c>
      <c r="E219" s="17">
        <f t="shared" si="3"/>
        <v>10458666.6083</v>
      </c>
      <c r="F219" s="18"/>
      <c r="G219" s="18"/>
      <c r="H219" s="19"/>
      <c r="I219" s="19"/>
      <c r="J219" s="19"/>
      <c r="K219" s="19"/>
      <c r="L219" s="18"/>
      <c r="M219" s="18"/>
      <c r="N219" s="19"/>
      <c r="O219" s="19"/>
      <c r="P219" s="19"/>
    </row>
    <row r="220" spans="1:16" ht="17.649999999999999">
      <c r="A220" s="14">
        <v>215</v>
      </c>
      <c r="B220" s="15" t="s">
        <v>85</v>
      </c>
      <c r="C220" s="15" t="s">
        <v>85</v>
      </c>
      <c r="D220" s="16">
        <v>10085077.0451</v>
      </c>
      <c r="E220" s="17">
        <f t="shared" si="3"/>
        <v>10085077.0451</v>
      </c>
      <c r="F220" s="18"/>
      <c r="G220" s="18"/>
      <c r="H220" s="19"/>
      <c r="I220" s="19"/>
      <c r="J220" s="19"/>
      <c r="K220" s="19"/>
      <c r="L220" s="18"/>
      <c r="M220" s="18"/>
      <c r="N220" s="19"/>
      <c r="O220" s="19"/>
      <c r="P220" s="19"/>
    </row>
    <row r="221" spans="1:16" ht="17.649999999999999">
      <c r="A221" s="14">
        <v>216</v>
      </c>
      <c r="B221" s="15" t="s">
        <v>85</v>
      </c>
      <c r="C221" s="15" t="s">
        <v>570</v>
      </c>
      <c r="D221" s="16">
        <v>10052350.414899999</v>
      </c>
      <c r="E221" s="17">
        <f t="shared" si="3"/>
        <v>10052350.414899999</v>
      </c>
      <c r="F221" s="18"/>
      <c r="G221" s="18"/>
      <c r="H221" s="19"/>
      <c r="I221" s="19"/>
      <c r="J221" s="19"/>
      <c r="K221" s="19"/>
      <c r="L221" s="18"/>
      <c r="M221" s="18"/>
      <c r="N221" s="19"/>
      <c r="O221" s="19"/>
      <c r="P221" s="19"/>
    </row>
    <row r="222" spans="1:16" ht="17.649999999999999">
      <c r="A222" s="14">
        <v>217</v>
      </c>
      <c r="B222" s="15" t="s">
        <v>85</v>
      </c>
      <c r="C222" s="15" t="s">
        <v>572</v>
      </c>
      <c r="D222" s="16">
        <v>10448332.359300001</v>
      </c>
      <c r="E222" s="17">
        <f t="shared" si="3"/>
        <v>10448332.359300001</v>
      </c>
      <c r="F222" s="18"/>
      <c r="G222" s="18"/>
      <c r="H222" s="19"/>
      <c r="I222" s="19"/>
      <c r="J222" s="19"/>
      <c r="K222" s="19"/>
      <c r="L222" s="18"/>
      <c r="M222" s="18"/>
      <c r="N222" s="19"/>
      <c r="O222" s="19"/>
      <c r="P222" s="19"/>
    </row>
    <row r="223" spans="1:16" ht="17.649999999999999">
      <c r="A223" s="14">
        <v>218</v>
      </c>
      <c r="B223" s="15" t="s">
        <v>85</v>
      </c>
      <c r="C223" s="15" t="s">
        <v>574</v>
      </c>
      <c r="D223" s="16">
        <v>12208080.4101</v>
      </c>
      <c r="E223" s="17">
        <f t="shared" si="3"/>
        <v>12208080.4101</v>
      </c>
      <c r="F223" s="18"/>
      <c r="G223" s="18"/>
      <c r="H223" s="19"/>
      <c r="I223" s="19"/>
      <c r="J223" s="19"/>
      <c r="K223" s="19"/>
      <c r="L223" s="18"/>
      <c r="M223" s="18"/>
      <c r="N223" s="19"/>
      <c r="O223" s="19"/>
      <c r="P223" s="19"/>
    </row>
    <row r="224" spans="1:16" ht="17.649999999999999">
      <c r="A224" s="14">
        <v>219</v>
      </c>
      <c r="B224" s="15" t="s">
        <v>85</v>
      </c>
      <c r="C224" s="15" t="s">
        <v>576</v>
      </c>
      <c r="D224" s="16">
        <v>10813592.3717</v>
      </c>
      <c r="E224" s="17">
        <f t="shared" si="3"/>
        <v>10813592.3717</v>
      </c>
      <c r="F224" s="18"/>
      <c r="G224" s="18"/>
      <c r="H224" s="19"/>
      <c r="I224" s="19"/>
      <c r="J224" s="19"/>
      <c r="K224" s="19"/>
      <c r="L224" s="18"/>
      <c r="M224" s="18"/>
      <c r="N224" s="19"/>
      <c r="O224" s="19"/>
      <c r="P224" s="19"/>
    </row>
    <row r="225" spans="1:16" ht="17.649999999999999">
      <c r="A225" s="14">
        <v>220</v>
      </c>
      <c r="B225" s="15" t="s">
        <v>85</v>
      </c>
      <c r="C225" s="15" t="s">
        <v>578</v>
      </c>
      <c r="D225" s="16">
        <v>9783710.3498999998</v>
      </c>
      <c r="E225" s="17">
        <f t="shared" si="3"/>
        <v>9783710.3498999998</v>
      </c>
      <c r="F225" s="18"/>
      <c r="G225" s="18"/>
      <c r="H225" s="19"/>
      <c r="I225" s="19"/>
      <c r="J225" s="19"/>
      <c r="K225" s="19"/>
      <c r="L225" s="18"/>
      <c r="M225" s="18"/>
      <c r="N225" s="19"/>
      <c r="O225" s="19"/>
      <c r="P225" s="19"/>
    </row>
    <row r="226" spans="1:16" ht="17.649999999999999">
      <c r="A226" s="14">
        <v>221</v>
      </c>
      <c r="B226" s="15" t="s">
        <v>85</v>
      </c>
      <c r="C226" s="15" t="s">
        <v>580</v>
      </c>
      <c r="D226" s="16">
        <v>13589531.352700001</v>
      </c>
      <c r="E226" s="17">
        <f t="shared" si="3"/>
        <v>13589531.352700001</v>
      </c>
      <c r="F226" s="18"/>
      <c r="G226" s="18"/>
      <c r="H226" s="19"/>
      <c r="I226" s="19"/>
      <c r="J226" s="19"/>
      <c r="K226" s="19"/>
      <c r="L226" s="18"/>
      <c r="M226" s="18"/>
      <c r="N226" s="19"/>
      <c r="O226" s="19"/>
      <c r="P226" s="19"/>
    </row>
    <row r="227" spans="1:16" ht="17.649999999999999">
      <c r="A227" s="14">
        <v>222</v>
      </c>
      <c r="B227" s="15" t="s">
        <v>85</v>
      </c>
      <c r="C227" s="15" t="s">
        <v>582</v>
      </c>
      <c r="D227" s="16">
        <v>10542555.4967</v>
      </c>
      <c r="E227" s="17">
        <f t="shared" si="3"/>
        <v>10542555.4967</v>
      </c>
      <c r="F227" s="18"/>
      <c r="G227" s="18"/>
      <c r="H227" s="19"/>
      <c r="I227" s="19"/>
      <c r="J227" s="19"/>
      <c r="K227" s="19"/>
      <c r="L227" s="18"/>
      <c r="M227" s="18"/>
      <c r="N227" s="19"/>
      <c r="O227" s="19"/>
      <c r="P227" s="19"/>
    </row>
    <row r="228" spans="1:16" ht="17.649999999999999">
      <c r="A228" s="14">
        <v>223</v>
      </c>
      <c r="B228" s="15" t="s">
        <v>85</v>
      </c>
      <c r="C228" s="15" t="s">
        <v>584</v>
      </c>
      <c r="D228" s="16">
        <v>11632900.161699999</v>
      </c>
      <c r="E228" s="17">
        <f t="shared" si="3"/>
        <v>11632900.161699999</v>
      </c>
      <c r="F228" s="18"/>
      <c r="G228" s="18"/>
      <c r="H228" s="19"/>
      <c r="I228" s="19"/>
      <c r="J228" s="19"/>
      <c r="K228" s="19"/>
      <c r="L228" s="18"/>
      <c r="M228" s="18"/>
      <c r="N228" s="19"/>
      <c r="O228" s="19"/>
      <c r="P228" s="19"/>
    </row>
    <row r="229" spans="1:16" ht="17.649999999999999">
      <c r="A229" s="14">
        <v>224</v>
      </c>
      <c r="B229" s="15" t="s">
        <v>85</v>
      </c>
      <c r="C229" s="15" t="s">
        <v>585</v>
      </c>
      <c r="D229" s="16">
        <v>12740912.0878</v>
      </c>
      <c r="E229" s="17">
        <f t="shared" si="3"/>
        <v>12740912.0878</v>
      </c>
      <c r="F229" s="18"/>
      <c r="G229" s="18"/>
      <c r="H229" s="19"/>
      <c r="I229" s="19"/>
      <c r="J229" s="19"/>
      <c r="K229" s="19"/>
      <c r="L229" s="18"/>
      <c r="M229" s="18"/>
      <c r="N229" s="19"/>
      <c r="O229" s="19"/>
      <c r="P229" s="19"/>
    </row>
    <row r="230" spans="1:16" ht="17.649999999999999">
      <c r="A230" s="14">
        <v>225</v>
      </c>
      <c r="B230" s="15" t="s">
        <v>86</v>
      </c>
      <c r="C230" s="15" t="s">
        <v>590</v>
      </c>
      <c r="D230" s="16">
        <v>13227774.5222</v>
      </c>
      <c r="E230" s="17">
        <f t="shared" si="3"/>
        <v>13227774.5222</v>
      </c>
      <c r="F230" s="18"/>
      <c r="G230" s="18"/>
      <c r="H230" s="19"/>
      <c r="I230" s="19"/>
      <c r="J230" s="19"/>
      <c r="K230" s="19"/>
      <c r="L230" s="18"/>
      <c r="M230" s="18"/>
      <c r="N230" s="19"/>
      <c r="O230" s="19"/>
      <c r="P230" s="19"/>
    </row>
    <row r="231" spans="1:16" ht="17.649999999999999">
      <c r="A231" s="14">
        <v>226</v>
      </c>
      <c r="B231" s="15" t="s">
        <v>86</v>
      </c>
      <c r="C231" s="15" t="s">
        <v>592</v>
      </c>
      <c r="D231" s="16">
        <v>12563507.4531</v>
      </c>
      <c r="E231" s="17">
        <f t="shared" si="3"/>
        <v>12563507.4531</v>
      </c>
      <c r="F231" s="18"/>
      <c r="G231" s="18"/>
      <c r="H231" s="19"/>
      <c r="I231" s="19"/>
      <c r="J231" s="19"/>
      <c r="K231" s="19"/>
      <c r="L231" s="18"/>
      <c r="M231" s="18"/>
      <c r="N231" s="19"/>
      <c r="O231" s="19"/>
      <c r="P231" s="19"/>
    </row>
    <row r="232" spans="1:16" ht="17.649999999999999">
      <c r="A232" s="14">
        <v>227</v>
      </c>
      <c r="B232" s="15" t="s">
        <v>86</v>
      </c>
      <c r="C232" s="15" t="s">
        <v>593</v>
      </c>
      <c r="D232" s="16">
        <v>8313502.9941999996</v>
      </c>
      <c r="E232" s="17">
        <f t="shared" si="3"/>
        <v>8313502.9941999996</v>
      </c>
      <c r="F232" s="18"/>
      <c r="G232" s="18"/>
      <c r="H232" s="19"/>
      <c r="I232" s="19"/>
      <c r="J232" s="19"/>
      <c r="K232" s="19"/>
      <c r="L232" s="18"/>
      <c r="M232" s="18"/>
      <c r="N232" s="19"/>
      <c r="O232" s="19"/>
      <c r="P232" s="19"/>
    </row>
    <row r="233" spans="1:16" ht="35.25">
      <c r="A233" s="14">
        <v>228</v>
      </c>
      <c r="B233" s="15" t="s">
        <v>86</v>
      </c>
      <c r="C233" s="15" t="s">
        <v>595</v>
      </c>
      <c r="D233" s="16">
        <v>8558996.2767999992</v>
      </c>
      <c r="E233" s="17">
        <f t="shared" si="3"/>
        <v>8558996.2767999992</v>
      </c>
      <c r="F233" s="18"/>
      <c r="G233" s="18"/>
      <c r="H233" s="19"/>
      <c r="I233" s="19"/>
      <c r="J233" s="19"/>
      <c r="K233" s="19"/>
      <c r="L233" s="18"/>
      <c r="M233" s="18"/>
      <c r="N233" s="19"/>
      <c r="O233" s="19"/>
      <c r="P233" s="19"/>
    </row>
    <row r="234" spans="1:16" ht="35.25">
      <c r="A234" s="14">
        <v>229</v>
      </c>
      <c r="B234" s="15" t="s">
        <v>86</v>
      </c>
      <c r="C234" s="15" t="s">
        <v>597</v>
      </c>
      <c r="D234" s="16">
        <v>10248070.5723</v>
      </c>
      <c r="E234" s="17">
        <f t="shared" si="3"/>
        <v>10248070.5723</v>
      </c>
      <c r="F234" s="18"/>
      <c r="G234" s="18"/>
      <c r="H234" s="19"/>
      <c r="I234" s="19"/>
      <c r="J234" s="19"/>
      <c r="K234" s="19"/>
      <c r="L234" s="18"/>
      <c r="M234" s="18"/>
      <c r="N234" s="19"/>
      <c r="O234" s="19"/>
      <c r="P234" s="19"/>
    </row>
    <row r="235" spans="1:16" ht="17.649999999999999">
      <c r="A235" s="14">
        <v>230</v>
      </c>
      <c r="B235" s="15" t="s">
        <v>86</v>
      </c>
      <c r="C235" s="15" t="s">
        <v>599</v>
      </c>
      <c r="D235" s="16">
        <v>8710489.4971999992</v>
      </c>
      <c r="E235" s="17">
        <f t="shared" si="3"/>
        <v>8710489.4971999992</v>
      </c>
      <c r="F235" s="18"/>
      <c r="G235" s="18"/>
      <c r="H235" s="19"/>
      <c r="I235" s="19"/>
      <c r="J235" s="19"/>
      <c r="K235" s="19"/>
      <c r="L235" s="18"/>
      <c r="M235" s="18"/>
      <c r="N235" s="19"/>
      <c r="O235" s="19"/>
      <c r="P235" s="19"/>
    </row>
    <row r="236" spans="1:16" ht="35.25">
      <c r="A236" s="14">
        <v>231</v>
      </c>
      <c r="B236" s="15" t="s">
        <v>86</v>
      </c>
      <c r="C236" s="15" t="s">
        <v>601</v>
      </c>
      <c r="D236" s="16">
        <v>8718501.2566999998</v>
      </c>
      <c r="E236" s="17">
        <f t="shared" si="3"/>
        <v>8718501.2566999998</v>
      </c>
      <c r="F236" s="18"/>
      <c r="G236" s="18"/>
      <c r="H236" s="19"/>
      <c r="I236" s="19"/>
      <c r="J236" s="19"/>
      <c r="K236" s="19"/>
      <c r="L236" s="18"/>
      <c r="M236" s="18"/>
      <c r="N236" s="19"/>
      <c r="O236" s="19"/>
      <c r="P236" s="19"/>
    </row>
    <row r="237" spans="1:16" ht="17.649999999999999">
      <c r="A237" s="14">
        <v>232</v>
      </c>
      <c r="B237" s="15" t="s">
        <v>86</v>
      </c>
      <c r="C237" s="15" t="s">
        <v>603</v>
      </c>
      <c r="D237" s="16">
        <v>10114188.301200001</v>
      </c>
      <c r="E237" s="17">
        <f t="shared" si="3"/>
        <v>10114188.301200001</v>
      </c>
      <c r="F237" s="18"/>
      <c r="G237" s="18"/>
      <c r="H237" s="19"/>
      <c r="I237" s="19"/>
      <c r="J237" s="19"/>
      <c r="K237" s="19"/>
      <c r="L237" s="18"/>
      <c r="M237" s="18"/>
      <c r="N237" s="19"/>
      <c r="O237" s="19"/>
      <c r="P237" s="19"/>
    </row>
    <row r="238" spans="1:16" ht="17.649999999999999">
      <c r="A238" s="14">
        <v>233</v>
      </c>
      <c r="B238" s="15" t="s">
        <v>86</v>
      </c>
      <c r="C238" s="15" t="s">
        <v>605</v>
      </c>
      <c r="D238" s="16">
        <v>11131905.653899999</v>
      </c>
      <c r="E238" s="17">
        <f t="shared" si="3"/>
        <v>11131905.653899999</v>
      </c>
      <c r="F238" s="18"/>
      <c r="G238" s="18"/>
      <c r="H238" s="19"/>
      <c r="I238" s="19"/>
      <c r="J238" s="19"/>
      <c r="K238" s="19"/>
      <c r="L238" s="18"/>
      <c r="M238" s="18"/>
      <c r="N238" s="19"/>
      <c r="O238" s="19"/>
      <c r="P238" s="19"/>
    </row>
    <row r="239" spans="1:16" ht="17.649999999999999">
      <c r="A239" s="14">
        <v>234</v>
      </c>
      <c r="B239" s="15" t="s">
        <v>86</v>
      </c>
      <c r="C239" s="15" t="s">
        <v>607</v>
      </c>
      <c r="D239" s="16">
        <v>8100094.9082000004</v>
      </c>
      <c r="E239" s="17">
        <f t="shared" si="3"/>
        <v>8100094.9082000004</v>
      </c>
      <c r="F239" s="18"/>
      <c r="G239" s="18"/>
      <c r="H239" s="19"/>
      <c r="I239" s="19"/>
      <c r="J239" s="19"/>
      <c r="K239" s="19"/>
      <c r="L239" s="18"/>
      <c r="M239" s="18"/>
      <c r="N239" s="19"/>
      <c r="O239" s="19"/>
      <c r="P239" s="19"/>
    </row>
    <row r="240" spans="1:16" ht="17.649999999999999">
      <c r="A240" s="14">
        <v>235</v>
      </c>
      <c r="B240" s="15" t="s">
        <v>86</v>
      </c>
      <c r="C240" s="15" t="s">
        <v>609</v>
      </c>
      <c r="D240" s="16">
        <v>13898859.5134</v>
      </c>
      <c r="E240" s="17">
        <f t="shared" si="3"/>
        <v>13898859.5134</v>
      </c>
      <c r="F240" s="18"/>
      <c r="G240" s="18"/>
      <c r="H240" s="19"/>
      <c r="I240" s="19"/>
      <c r="J240" s="19"/>
      <c r="K240" s="19"/>
      <c r="L240" s="18"/>
      <c r="M240" s="18"/>
      <c r="N240" s="19"/>
      <c r="O240" s="19"/>
      <c r="P240" s="19"/>
    </row>
    <row r="241" spans="1:16" ht="17.649999999999999">
      <c r="A241" s="14">
        <v>236</v>
      </c>
      <c r="B241" s="15" t="s">
        <v>86</v>
      </c>
      <c r="C241" s="15" t="s">
        <v>611</v>
      </c>
      <c r="D241" s="16">
        <v>14304137.655200001</v>
      </c>
      <c r="E241" s="17">
        <f t="shared" si="3"/>
        <v>14304137.655200001</v>
      </c>
      <c r="F241" s="18"/>
      <c r="G241" s="18"/>
      <c r="H241" s="19"/>
      <c r="I241" s="19"/>
      <c r="J241" s="19"/>
      <c r="K241" s="19"/>
      <c r="L241" s="18"/>
      <c r="M241" s="18"/>
      <c r="N241" s="19"/>
      <c r="O241" s="19"/>
      <c r="P241" s="19"/>
    </row>
    <row r="242" spans="1:16" ht="17.649999999999999">
      <c r="A242" s="14">
        <v>237</v>
      </c>
      <c r="B242" s="15" t="s">
        <v>86</v>
      </c>
      <c r="C242" s="15" t="s">
        <v>613</v>
      </c>
      <c r="D242" s="16">
        <v>11211687.078500001</v>
      </c>
      <c r="E242" s="17">
        <f t="shared" si="3"/>
        <v>11211687.078500001</v>
      </c>
      <c r="F242" s="18"/>
      <c r="G242" s="18"/>
      <c r="H242" s="19"/>
      <c r="I242" s="19"/>
      <c r="J242" s="19"/>
      <c r="K242" s="19"/>
      <c r="L242" s="18"/>
      <c r="M242" s="18"/>
      <c r="N242" s="19"/>
      <c r="O242" s="19"/>
      <c r="P242" s="19"/>
    </row>
    <row r="243" spans="1:16" ht="35.25">
      <c r="A243" s="14">
        <v>238</v>
      </c>
      <c r="B243" s="15" t="s">
        <v>86</v>
      </c>
      <c r="C243" s="15" t="s">
        <v>615</v>
      </c>
      <c r="D243" s="16">
        <v>10692308.045700001</v>
      </c>
      <c r="E243" s="17">
        <f t="shared" si="3"/>
        <v>10692308.045700001</v>
      </c>
      <c r="F243" s="18"/>
      <c r="G243" s="18"/>
      <c r="H243" s="19"/>
      <c r="I243" s="19"/>
      <c r="J243" s="19"/>
      <c r="K243" s="19"/>
      <c r="L243" s="18"/>
      <c r="M243" s="18"/>
      <c r="N243" s="19"/>
      <c r="O243" s="19"/>
      <c r="P243" s="19"/>
    </row>
    <row r="244" spans="1:16" ht="35.25">
      <c r="A244" s="14">
        <v>239</v>
      </c>
      <c r="B244" s="15" t="s">
        <v>86</v>
      </c>
      <c r="C244" s="15" t="s">
        <v>617</v>
      </c>
      <c r="D244" s="16">
        <v>11669774.4669</v>
      </c>
      <c r="E244" s="17">
        <f t="shared" si="3"/>
        <v>11669774.4669</v>
      </c>
      <c r="F244" s="18"/>
      <c r="G244" s="18"/>
      <c r="H244" s="19"/>
      <c r="I244" s="19"/>
      <c r="J244" s="19"/>
      <c r="K244" s="19"/>
      <c r="L244" s="18"/>
      <c r="M244" s="18"/>
      <c r="N244" s="19"/>
      <c r="O244" s="19"/>
      <c r="P244" s="19"/>
    </row>
    <row r="245" spans="1:16" ht="17.649999999999999">
      <c r="A245" s="14">
        <v>240</v>
      </c>
      <c r="B245" s="15" t="s">
        <v>86</v>
      </c>
      <c r="C245" s="15" t="s">
        <v>619</v>
      </c>
      <c r="D245" s="16">
        <v>10236816.4136</v>
      </c>
      <c r="E245" s="17">
        <f t="shared" si="3"/>
        <v>10236816.4136</v>
      </c>
      <c r="F245" s="18"/>
      <c r="G245" s="18"/>
      <c r="H245" s="19"/>
      <c r="I245" s="19"/>
      <c r="J245" s="19"/>
      <c r="K245" s="19"/>
      <c r="L245" s="18"/>
      <c r="M245" s="18"/>
      <c r="N245" s="19"/>
      <c r="O245" s="19"/>
      <c r="P245" s="19"/>
    </row>
    <row r="246" spans="1:16" ht="17.649999999999999">
      <c r="A246" s="14">
        <v>241</v>
      </c>
      <c r="B246" s="15" t="s">
        <v>86</v>
      </c>
      <c r="C246" s="15" t="s">
        <v>621</v>
      </c>
      <c r="D246" s="16">
        <v>8395579.4871999994</v>
      </c>
      <c r="E246" s="17">
        <f t="shared" si="3"/>
        <v>8395579.4871999994</v>
      </c>
      <c r="F246" s="18"/>
      <c r="G246" s="18"/>
      <c r="H246" s="19"/>
      <c r="I246" s="19"/>
      <c r="J246" s="19"/>
      <c r="K246" s="19"/>
      <c r="L246" s="18"/>
      <c r="M246" s="18"/>
      <c r="N246" s="19"/>
      <c r="O246" s="19"/>
      <c r="P246" s="19"/>
    </row>
    <row r="247" spans="1:16" ht="17.649999999999999">
      <c r="A247" s="14">
        <v>242</v>
      </c>
      <c r="B247" s="15" t="s">
        <v>86</v>
      </c>
      <c r="C247" s="15" t="s">
        <v>623</v>
      </c>
      <c r="D247" s="16">
        <v>10447451.673599999</v>
      </c>
      <c r="E247" s="17">
        <f t="shared" si="3"/>
        <v>10447451.673599999</v>
      </c>
      <c r="F247" s="18"/>
      <c r="G247" s="18"/>
      <c r="H247" s="19"/>
      <c r="I247" s="19"/>
      <c r="J247" s="19"/>
      <c r="K247" s="19"/>
      <c r="L247" s="18"/>
      <c r="M247" s="18"/>
      <c r="N247" s="19"/>
      <c r="O247" s="19"/>
      <c r="P247" s="19"/>
    </row>
    <row r="248" spans="1:16" ht="17.649999999999999">
      <c r="A248" s="14">
        <v>243</v>
      </c>
      <c r="B248" s="15" t="s">
        <v>87</v>
      </c>
      <c r="C248" s="15" t="s">
        <v>627</v>
      </c>
      <c r="D248" s="16">
        <v>12275978.019099999</v>
      </c>
      <c r="E248" s="17">
        <f t="shared" si="3"/>
        <v>12275978.019099999</v>
      </c>
      <c r="F248" s="18"/>
      <c r="G248" s="18"/>
      <c r="H248" s="19"/>
      <c r="I248" s="19"/>
      <c r="J248" s="19"/>
      <c r="K248" s="19"/>
      <c r="L248" s="18"/>
      <c r="M248" s="18"/>
      <c r="N248" s="19"/>
      <c r="O248" s="19"/>
      <c r="P248" s="19"/>
    </row>
    <row r="249" spans="1:16" ht="17.649999999999999">
      <c r="A249" s="14">
        <v>244</v>
      </c>
      <c r="B249" s="15" t="s">
        <v>87</v>
      </c>
      <c r="C249" s="15" t="s">
        <v>629</v>
      </c>
      <c r="D249" s="16">
        <v>9341189.7414999995</v>
      </c>
      <c r="E249" s="17">
        <f t="shared" si="3"/>
        <v>9341189.7414999995</v>
      </c>
      <c r="F249" s="18"/>
      <c r="G249" s="18"/>
      <c r="H249" s="19"/>
      <c r="I249" s="19"/>
      <c r="J249" s="19"/>
      <c r="K249" s="19"/>
      <c r="L249" s="18"/>
      <c r="M249" s="18"/>
      <c r="N249" s="19"/>
      <c r="O249" s="19"/>
      <c r="P249" s="19"/>
    </row>
    <row r="250" spans="1:16" ht="17.649999999999999">
      <c r="A250" s="14">
        <v>245</v>
      </c>
      <c r="B250" s="15" t="s">
        <v>87</v>
      </c>
      <c r="C250" s="15" t="s">
        <v>631</v>
      </c>
      <c r="D250" s="16">
        <v>8906693.0759999994</v>
      </c>
      <c r="E250" s="17">
        <f t="shared" si="3"/>
        <v>8906693.0759999994</v>
      </c>
      <c r="F250" s="18"/>
      <c r="G250" s="18"/>
      <c r="H250" s="19"/>
      <c r="I250" s="19"/>
      <c r="J250" s="19"/>
      <c r="K250" s="19"/>
      <c r="L250" s="18"/>
      <c r="M250" s="18"/>
      <c r="N250" s="19"/>
      <c r="O250" s="19"/>
      <c r="P250" s="19"/>
    </row>
    <row r="251" spans="1:16" ht="17.649999999999999">
      <c r="A251" s="14">
        <v>246</v>
      </c>
      <c r="B251" s="15" t="s">
        <v>87</v>
      </c>
      <c r="C251" s="15" t="s">
        <v>633</v>
      </c>
      <c r="D251" s="16">
        <v>9196644.1335000005</v>
      </c>
      <c r="E251" s="17">
        <f t="shared" si="3"/>
        <v>9196644.1335000005</v>
      </c>
      <c r="F251" s="18"/>
      <c r="G251" s="18"/>
      <c r="H251" s="19"/>
      <c r="I251" s="19"/>
      <c r="J251" s="19"/>
      <c r="K251" s="19"/>
      <c r="L251" s="18"/>
      <c r="M251" s="18"/>
      <c r="N251" s="19"/>
      <c r="O251" s="19"/>
      <c r="P251" s="19"/>
    </row>
    <row r="252" spans="1:16" ht="35.25">
      <c r="A252" s="14">
        <v>247</v>
      </c>
      <c r="B252" s="15" t="s">
        <v>87</v>
      </c>
      <c r="C252" s="15" t="s">
        <v>635</v>
      </c>
      <c r="D252" s="16">
        <v>9741038.2959000003</v>
      </c>
      <c r="E252" s="17">
        <f t="shared" si="3"/>
        <v>9741038.2959000003</v>
      </c>
      <c r="F252" s="18"/>
      <c r="G252" s="18"/>
      <c r="H252" s="19"/>
      <c r="I252" s="19"/>
      <c r="J252" s="19"/>
      <c r="K252" s="19"/>
      <c r="L252" s="18"/>
      <c r="M252" s="18"/>
      <c r="N252" s="19"/>
      <c r="O252" s="19"/>
      <c r="P252" s="19"/>
    </row>
    <row r="253" spans="1:16" ht="17.649999999999999">
      <c r="A253" s="14">
        <v>248</v>
      </c>
      <c r="B253" s="15" t="s">
        <v>87</v>
      </c>
      <c r="C253" s="15" t="s">
        <v>637</v>
      </c>
      <c r="D253" s="16">
        <v>9930094.9436000008</v>
      </c>
      <c r="E253" s="17">
        <f t="shared" si="3"/>
        <v>9930094.9436000008</v>
      </c>
      <c r="F253" s="18"/>
      <c r="G253" s="18"/>
      <c r="H253" s="19"/>
      <c r="I253" s="19"/>
      <c r="J253" s="19"/>
      <c r="K253" s="19"/>
      <c r="L253" s="18"/>
      <c r="M253" s="18"/>
      <c r="N253" s="19"/>
      <c r="O253" s="19"/>
      <c r="P253" s="19"/>
    </row>
    <row r="254" spans="1:16" ht="17.649999999999999">
      <c r="A254" s="14">
        <v>249</v>
      </c>
      <c r="B254" s="15" t="s">
        <v>87</v>
      </c>
      <c r="C254" s="15" t="s">
        <v>639</v>
      </c>
      <c r="D254" s="16">
        <v>8182459.8948999997</v>
      </c>
      <c r="E254" s="17">
        <f t="shared" si="3"/>
        <v>8182459.8948999997</v>
      </c>
      <c r="F254" s="18"/>
      <c r="G254" s="18"/>
      <c r="H254" s="19"/>
      <c r="I254" s="19"/>
      <c r="J254" s="19"/>
      <c r="K254" s="19"/>
      <c r="L254" s="18"/>
      <c r="M254" s="18"/>
      <c r="N254" s="19"/>
      <c r="O254" s="19"/>
      <c r="P254" s="19"/>
    </row>
    <row r="255" spans="1:16" ht="17.649999999999999">
      <c r="A255" s="14">
        <v>250</v>
      </c>
      <c r="B255" s="15" t="s">
        <v>87</v>
      </c>
      <c r="C255" s="15" t="s">
        <v>641</v>
      </c>
      <c r="D255" s="16">
        <v>10080136.024700001</v>
      </c>
      <c r="E255" s="17">
        <f t="shared" si="3"/>
        <v>10080136.024700001</v>
      </c>
      <c r="F255" s="18"/>
      <c r="G255" s="18"/>
      <c r="H255" s="19"/>
      <c r="I255" s="19"/>
      <c r="J255" s="19"/>
      <c r="K255" s="19"/>
      <c r="L255" s="18"/>
      <c r="M255" s="18"/>
      <c r="N255" s="19"/>
      <c r="O255" s="19"/>
      <c r="P255" s="19"/>
    </row>
    <row r="256" spans="1:16" ht="17.649999999999999">
      <c r="A256" s="14">
        <v>251</v>
      </c>
      <c r="B256" s="15" t="s">
        <v>87</v>
      </c>
      <c r="C256" s="15" t="s">
        <v>643</v>
      </c>
      <c r="D256" s="16">
        <v>10785344.880999999</v>
      </c>
      <c r="E256" s="17">
        <f t="shared" si="3"/>
        <v>10785344.880999999</v>
      </c>
      <c r="F256" s="18"/>
      <c r="G256" s="18"/>
      <c r="H256" s="19"/>
      <c r="I256" s="19"/>
      <c r="J256" s="19"/>
      <c r="K256" s="19"/>
      <c r="L256" s="18"/>
      <c r="M256" s="18"/>
      <c r="N256" s="19"/>
      <c r="O256" s="19"/>
      <c r="P256" s="19"/>
    </row>
    <row r="257" spans="1:16" ht="17.649999999999999">
      <c r="A257" s="14">
        <v>252</v>
      </c>
      <c r="B257" s="15" t="s">
        <v>87</v>
      </c>
      <c r="C257" s="15" t="s">
        <v>645</v>
      </c>
      <c r="D257" s="16">
        <v>9417974.5588000007</v>
      </c>
      <c r="E257" s="17">
        <f t="shared" si="3"/>
        <v>9417974.5588000007</v>
      </c>
      <c r="F257" s="18"/>
      <c r="G257" s="18"/>
      <c r="H257" s="19"/>
      <c r="I257" s="19"/>
      <c r="J257" s="19"/>
      <c r="K257" s="19"/>
      <c r="L257" s="18"/>
      <c r="M257" s="18"/>
      <c r="N257" s="19"/>
      <c r="O257" s="19"/>
      <c r="P257" s="19"/>
    </row>
    <row r="258" spans="1:16" ht="17.649999999999999">
      <c r="A258" s="14">
        <v>253</v>
      </c>
      <c r="B258" s="15" t="s">
        <v>87</v>
      </c>
      <c r="C258" s="15" t="s">
        <v>647</v>
      </c>
      <c r="D258" s="16">
        <v>10092912.596799999</v>
      </c>
      <c r="E258" s="17">
        <f t="shared" si="3"/>
        <v>10092912.596799999</v>
      </c>
      <c r="F258" s="18"/>
      <c r="G258" s="18"/>
      <c r="H258" s="19"/>
      <c r="I258" s="19"/>
      <c r="J258" s="19"/>
      <c r="K258" s="19"/>
      <c r="L258" s="18"/>
      <c r="M258" s="18"/>
      <c r="N258" s="19"/>
      <c r="O258" s="19"/>
      <c r="P258" s="19"/>
    </row>
    <row r="259" spans="1:16" ht="17.649999999999999">
      <c r="A259" s="14">
        <v>254</v>
      </c>
      <c r="B259" s="15" t="s">
        <v>87</v>
      </c>
      <c r="C259" s="15" t="s">
        <v>649</v>
      </c>
      <c r="D259" s="16">
        <v>7082805.2374999998</v>
      </c>
      <c r="E259" s="17">
        <f t="shared" si="3"/>
        <v>7082805.2374999998</v>
      </c>
      <c r="F259" s="18"/>
      <c r="G259" s="18"/>
      <c r="H259" s="19"/>
      <c r="I259" s="19"/>
      <c r="J259" s="19"/>
      <c r="K259" s="19"/>
      <c r="L259" s="18"/>
      <c r="M259" s="18"/>
      <c r="N259" s="19"/>
      <c r="O259" s="19"/>
      <c r="P259" s="19"/>
    </row>
    <row r="260" spans="1:16" ht="35.25">
      <c r="A260" s="14">
        <v>255</v>
      </c>
      <c r="B260" s="15" t="s">
        <v>87</v>
      </c>
      <c r="C260" s="15" t="s">
        <v>651</v>
      </c>
      <c r="D260" s="16">
        <v>8976977.6950000003</v>
      </c>
      <c r="E260" s="17">
        <f t="shared" si="3"/>
        <v>8976977.6950000003</v>
      </c>
      <c r="F260" s="18"/>
      <c r="G260" s="18"/>
      <c r="H260" s="19"/>
      <c r="I260" s="19"/>
      <c r="J260" s="19"/>
      <c r="K260" s="19"/>
      <c r="L260" s="18"/>
      <c r="M260" s="18"/>
      <c r="N260" s="19"/>
      <c r="O260" s="19"/>
      <c r="P260" s="19"/>
    </row>
    <row r="261" spans="1:16" ht="17.649999999999999">
      <c r="A261" s="14">
        <v>256</v>
      </c>
      <c r="B261" s="15" t="s">
        <v>87</v>
      </c>
      <c r="C261" s="15" t="s">
        <v>653</v>
      </c>
      <c r="D261" s="16">
        <v>8760068.2390999999</v>
      </c>
      <c r="E261" s="17">
        <f t="shared" si="3"/>
        <v>8760068.2390999999</v>
      </c>
      <c r="F261" s="18"/>
      <c r="G261" s="18"/>
      <c r="H261" s="19"/>
      <c r="I261" s="19"/>
      <c r="J261" s="19"/>
      <c r="K261" s="19"/>
      <c r="L261" s="18"/>
      <c r="M261" s="18"/>
      <c r="N261" s="19"/>
      <c r="O261" s="19"/>
      <c r="P261" s="19"/>
    </row>
    <row r="262" spans="1:16" ht="17.649999999999999">
      <c r="A262" s="14">
        <v>257</v>
      </c>
      <c r="B262" s="15" t="s">
        <v>87</v>
      </c>
      <c r="C262" s="15" t="s">
        <v>655</v>
      </c>
      <c r="D262" s="16">
        <v>9395291.3509</v>
      </c>
      <c r="E262" s="17">
        <f t="shared" si="3"/>
        <v>9395291.3509</v>
      </c>
      <c r="F262" s="18"/>
      <c r="G262" s="18"/>
      <c r="H262" s="19"/>
      <c r="I262" s="19"/>
      <c r="J262" s="19"/>
      <c r="K262" s="19"/>
      <c r="L262" s="18"/>
      <c r="M262" s="18"/>
      <c r="N262" s="19"/>
      <c r="O262" s="19"/>
      <c r="P262" s="19"/>
    </row>
    <row r="263" spans="1:16" ht="17.649999999999999">
      <c r="A263" s="14">
        <v>258</v>
      </c>
      <c r="B263" s="15" t="s">
        <v>87</v>
      </c>
      <c r="C263" s="15" t="s">
        <v>657</v>
      </c>
      <c r="D263" s="16">
        <v>9132955.9942000005</v>
      </c>
      <c r="E263" s="17">
        <f t="shared" ref="E263:E326" si="4">D263</f>
        <v>9132955.9942000005</v>
      </c>
      <c r="F263" s="18"/>
      <c r="G263" s="18"/>
      <c r="H263" s="19"/>
      <c r="I263" s="19"/>
      <c r="J263" s="19"/>
      <c r="K263" s="19"/>
      <c r="L263" s="18"/>
      <c r="M263" s="18"/>
      <c r="N263" s="19"/>
      <c r="O263" s="19"/>
      <c r="P263" s="19"/>
    </row>
    <row r="264" spans="1:16" ht="17.649999999999999">
      <c r="A264" s="14">
        <v>259</v>
      </c>
      <c r="B264" s="15" t="s">
        <v>88</v>
      </c>
      <c r="C264" s="15" t="s">
        <v>661</v>
      </c>
      <c r="D264" s="16">
        <v>11440600.1489</v>
      </c>
      <c r="E264" s="17">
        <f t="shared" si="4"/>
        <v>11440600.1489</v>
      </c>
      <c r="F264" s="18"/>
      <c r="G264" s="18"/>
      <c r="H264" s="19"/>
      <c r="I264" s="19"/>
      <c r="J264" s="19"/>
      <c r="K264" s="19"/>
      <c r="L264" s="18"/>
      <c r="M264" s="18"/>
      <c r="N264" s="19"/>
      <c r="O264" s="19"/>
      <c r="P264" s="19"/>
    </row>
    <row r="265" spans="1:16" ht="17.649999999999999">
      <c r="A265" s="14">
        <v>260</v>
      </c>
      <c r="B265" s="15" t="s">
        <v>88</v>
      </c>
      <c r="C265" s="15" t="s">
        <v>663</v>
      </c>
      <c r="D265" s="16">
        <v>9639527.8281999994</v>
      </c>
      <c r="E265" s="17">
        <f t="shared" si="4"/>
        <v>9639527.8281999994</v>
      </c>
      <c r="F265" s="18"/>
      <c r="G265" s="18"/>
      <c r="H265" s="19"/>
      <c r="I265" s="19"/>
      <c r="J265" s="19"/>
      <c r="K265" s="19"/>
      <c r="L265" s="18"/>
      <c r="M265" s="18"/>
      <c r="N265" s="19"/>
      <c r="O265" s="19"/>
      <c r="P265" s="19"/>
    </row>
    <row r="266" spans="1:16" ht="17.649999999999999">
      <c r="A266" s="14">
        <v>261</v>
      </c>
      <c r="B266" s="15" t="s">
        <v>88</v>
      </c>
      <c r="C266" s="15" t="s">
        <v>665</v>
      </c>
      <c r="D266" s="16">
        <v>13048122.601500001</v>
      </c>
      <c r="E266" s="17">
        <f t="shared" si="4"/>
        <v>13048122.601500001</v>
      </c>
      <c r="F266" s="18"/>
      <c r="G266" s="18"/>
      <c r="H266" s="19"/>
      <c r="I266" s="19"/>
      <c r="J266" s="19"/>
      <c r="K266" s="19"/>
      <c r="L266" s="18"/>
      <c r="M266" s="18"/>
      <c r="N266" s="19"/>
      <c r="O266" s="19"/>
      <c r="P266" s="19"/>
    </row>
    <row r="267" spans="1:16" ht="17.649999999999999">
      <c r="A267" s="14">
        <v>262</v>
      </c>
      <c r="B267" s="15" t="s">
        <v>88</v>
      </c>
      <c r="C267" s="15" t="s">
        <v>667</v>
      </c>
      <c r="D267" s="16">
        <v>12265714.557800001</v>
      </c>
      <c r="E267" s="17">
        <f t="shared" si="4"/>
        <v>12265714.557800001</v>
      </c>
      <c r="F267" s="18"/>
      <c r="G267" s="18"/>
      <c r="H267" s="19"/>
      <c r="I267" s="19"/>
      <c r="J267" s="19"/>
      <c r="K267" s="19"/>
      <c r="L267" s="18"/>
      <c r="M267" s="18"/>
      <c r="N267" s="19"/>
      <c r="O267" s="19"/>
      <c r="P267" s="19"/>
    </row>
    <row r="268" spans="1:16" ht="17.649999999999999">
      <c r="A268" s="14">
        <v>263</v>
      </c>
      <c r="B268" s="15" t="s">
        <v>88</v>
      </c>
      <c r="C268" s="15" t="s">
        <v>669</v>
      </c>
      <c r="D268" s="16">
        <v>11859533.4246</v>
      </c>
      <c r="E268" s="17">
        <f t="shared" si="4"/>
        <v>11859533.4246</v>
      </c>
      <c r="F268" s="18"/>
      <c r="G268" s="18"/>
      <c r="H268" s="19"/>
      <c r="I268" s="19"/>
      <c r="J268" s="19"/>
      <c r="K268" s="19"/>
      <c r="L268" s="18"/>
      <c r="M268" s="18"/>
      <c r="N268" s="19"/>
      <c r="O268" s="19"/>
      <c r="P268" s="19"/>
    </row>
    <row r="269" spans="1:16" ht="17.649999999999999">
      <c r="A269" s="14">
        <v>264</v>
      </c>
      <c r="B269" s="15" t="s">
        <v>88</v>
      </c>
      <c r="C269" s="15" t="s">
        <v>671</v>
      </c>
      <c r="D269" s="16">
        <v>11402565.2086</v>
      </c>
      <c r="E269" s="17">
        <f t="shared" si="4"/>
        <v>11402565.2086</v>
      </c>
      <c r="F269" s="18"/>
      <c r="G269" s="18"/>
      <c r="H269" s="19"/>
      <c r="I269" s="19"/>
      <c r="J269" s="19"/>
      <c r="K269" s="19"/>
      <c r="L269" s="18"/>
      <c r="M269" s="18"/>
      <c r="N269" s="19"/>
      <c r="O269" s="19"/>
      <c r="P269" s="19"/>
    </row>
    <row r="270" spans="1:16" ht="17.649999999999999">
      <c r="A270" s="14">
        <v>265</v>
      </c>
      <c r="B270" s="15" t="s">
        <v>88</v>
      </c>
      <c r="C270" s="15" t="s">
        <v>673</v>
      </c>
      <c r="D270" s="16">
        <v>11513009.489499999</v>
      </c>
      <c r="E270" s="17">
        <f t="shared" si="4"/>
        <v>11513009.489499999</v>
      </c>
      <c r="F270" s="18"/>
      <c r="G270" s="18"/>
      <c r="H270" s="19"/>
      <c r="I270" s="19"/>
      <c r="J270" s="19"/>
      <c r="K270" s="19"/>
      <c r="L270" s="18"/>
      <c r="M270" s="18"/>
      <c r="N270" s="19"/>
      <c r="O270" s="19"/>
      <c r="P270" s="19"/>
    </row>
    <row r="271" spans="1:16" ht="17.649999999999999">
      <c r="A271" s="14">
        <v>266</v>
      </c>
      <c r="B271" s="15" t="s">
        <v>88</v>
      </c>
      <c r="C271" s="15" t="s">
        <v>675</v>
      </c>
      <c r="D271" s="16">
        <v>12460729.090700001</v>
      </c>
      <c r="E271" s="17">
        <f t="shared" si="4"/>
        <v>12460729.090700001</v>
      </c>
      <c r="F271" s="18"/>
      <c r="G271" s="18"/>
      <c r="H271" s="19"/>
      <c r="I271" s="19"/>
      <c r="J271" s="19"/>
      <c r="K271" s="19"/>
      <c r="L271" s="18"/>
      <c r="M271" s="18"/>
      <c r="N271" s="19"/>
      <c r="O271" s="19"/>
      <c r="P271" s="19"/>
    </row>
    <row r="272" spans="1:16" ht="17.649999999999999">
      <c r="A272" s="14">
        <v>267</v>
      </c>
      <c r="B272" s="15" t="s">
        <v>88</v>
      </c>
      <c r="C272" s="15" t="s">
        <v>677</v>
      </c>
      <c r="D272" s="16">
        <v>11338345.684</v>
      </c>
      <c r="E272" s="17">
        <f t="shared" si="4"/>
        <v>11338345.684</v>
      </c>
      <c r="F272" s="18"/>
      <c r="G272" s="18"/>
      <c r="H272" s="19"/>
      <c r="I272" s="19"/>
      <c r="J272" s="19"/>
      <c r="K272" s="19"/>
      <c r="L272" s="18"/>
      <c r="M272" s="18"/>
      <c r="N272" s="19"/>
      <c r="O272" s="19"/>
      <c r="P272" s="19"/>
    </row>
    <row r="273" spans="1:16" ht="17.649999999999999">
      <c r="A273" s="14">
        <v>268</v>
      </c>
      <c r="B273" s="15" t="s">
        <v>88</v>
      </c>
      <c r="C273" s="15" t="s">
        <v>679</v>
      </c>
      <c r="D273" s="16">
        <v>10603252.4911</v>
      </c>
      <c r="E273" s="17">
        <f t="shared" si="4"/>
        <v>10603252.4911</v>
      </c>
      <c r="F273" s="18"/>
      <c r="G273" s="18"/>
      <c r="H273" s="19"/>
      <c r="I273" s="19"/>
      <c r="J273" s="19"/>
      <c r="K273" s="19"/>
      <c r="L273" s="18"/>
      <c r="M273" s="18"/>
      <c r="N273" s="19"/>
      <c r="O273" s="19"/>
      <c r="P273" s="19"/>
    </row>
    <row r="274" spans="1:16" ht="17.649999999999999">
      <c r="A274" s="14">
        <v>269</v>
      </c>
      <c r="B274" s="15" t="s">
        <v>88</v>
      </c>
      <c r="C274" s="15" t="s">
        <v>681</v>
      </c>
      <c r="D274" s="16">
        <v>11100892.609999999</v>
      </c>
      <c r="E274" s="17">
        <f t="shared" si="4"/>
        <v>11100892.609999999</v>
      </c>
      <c r="F274" s="18"/>
      <c r="G274" s="18"/>
      <c r="H274" s="19"/>
      <c r="I274" s="19"/>
      <c r="J274" s="19"/>
      <c r="K274" s="19"/>
      <c r="L274" s="18"/>
      <c r="M274" s="18"/>
      <c r="N274" s="19"/>
      <c r="O274" s="19"/>
      <c r="P274" s="19"/>
    </row>
    <row r="275" spans="1:16" ht="17.649999999999999">
      <c r="A275" s="14">
        <v>270</v>
      </c>
      <c r="B275" s="15" t="s">
        <v>88</v>
      </c>
      <c r="C275" s="15" t="s">
        <v>683</v>
      </c>
      <c r="D275" s="16">
        <v>10778188.5164</v>
      </c>
      <c r="E275" s="17">
        <f t="shared" si="4"/>
        <v>10778188.5164</v>
      </c>
      <c r="F275" s="18"/>
      <c r="G275" s="18"/>
      <c r="H275" s="19"/>
      <c r="I275" s="19"/>
      <c r="J275" s="19"/>
      <c r="K275" s="19"/>
      <c r="L275" s="18"/>
      <c r="M275" s="18"/>
      <c r="N275" s="19"/>
      <c r="O275" s="19"/>
      <c r="P275" s="19"/>
    </row>
    <row r="276" spans="1:16" ht="17.649999999999999">
      <c r="A276" s="14">
        <v>271</v>
      </c>
      <c r="B276" s="15" t="s">
        <v>88</v>
      </c>
      <c r="C276" s="15" t="s">
        <v>685</v>
      </c>
      <c r="D276" s="16">
        <v>13959164.107799999</v>
      </c>
      <c r="E276" s="17">
        <f t="shared" si="4"/>
        <v>13959164.107799999</v>
      </c>
      <c r="F276" s="18"/>
      <c r="G276" s="18"/>
      <c r="H276" s="19"/>
      <c r="I276" s="19"/>
      <c r="J276" s="19"/>
      <c r="K276" s="19"/>
      <c r="L276" s="18"/>
      <c r="M276" s="18"/>
      <c r="N276" s="19"/>
      <c r="O276" s="19"/>
      <c r="P276" s="19"/>
    </row>
    <row r="277" spans="1:16" ht="17.649999999999999">
      <c r="A277" s="14">
        <v>272</v>
      </c>
      <c r="B277" s="15" t="s">
        <v>88</v>
      </c>
      <c r="C277" s="15" t="s">
        <v>686</v>
      </c>
      <c r="D277" s="16">
        <v>9577950.0734999999</v>
      </c>
      <c r="E277" s="17">
        <f t="shared" si="4"/>
        <v>9577950.0734999999</v>
      </c>
      <c r="F277" s="18"/>
      <c r="G277" s="18"/>
      <c r="H277" s="19"/>
      <c r="I277" s="19"/>
      <c r="J277" s="19"/>
      <c r="K277" s="19"/>
      <c r="L277" s="18"/>
      <c r="M277" s="18"/>
      <c r="N277" s="19"/>
      <c r="O277" s="19"/>
      <c r="P277" s="19"/>
    </row>
    <row r="278" spans="1:16" ht="17.649999999999999">
      <c r="A278" s="14">
        <v>273</v>
      </c>
      <c r="B278" s="15" t="s">
        <v>88</v>
      </c>
      <c r="C278" s="15" t="s">
        <v>688</v>
      </c>
      <c r="D278" s="16">
        <v>10601241.803400001</v>
      </c>
      <c r="E278" s="17">
        <f t="shared" si="4"/>
        <v>10601241.803400001</v>
      </c>
      <c r="F278" s="18"/>
      <c r="G278" s="18"/>
      <c r="H278" s="19"/>
      <c r="I278" s="19"/>
      <c r="J278" s="19"/>
      <c r="K278" s="19"/>
      <c r="L278" s="18"/>
      <c r="M278" s="18"/>
      <c r="N278" s="19"/>
      <c r="O278" s="19"/>
      <c r="P278" s="19"/>
    </row>
    <row r="279" spans="1:16" ht="17.649999999999999">
      <c r="A279" s="14">
        <v>274</v>
      </c>
      <c r="B279" s="15" t="s">
        <v>88</v>
      </c>
      <c r="C279" s="15" t="s">
        <v>690</v>
      </c>
      <c r="D279" s="16">
        <v>12037568.7141</v>
      </c>
      <c r="E279" s="17">
        <f t="shared" si="4"/>
        <v>12037568.7141</v>
      </c>
      <c r="F279" s="18"/>
      <c r="G279" s="18"/>
      <c r="H279" s="19"/>
      <c r="I279" s="19"/>
      <c r="J279" s="19"/>
      <c r="K279" s="19"/>
      <c r="L279" s="18"/>
      <c r="M279" s="18"/>
      <c r="N279" s="19"/>
      <c r="O279" s="19"/>
      <c r="P279" s="19"/>
    </row>
    <row r="280" spans="1:16" ht="17.649999999999999">
      <c r="A280" s="14">
        <v>275</v>
      </c>
      <c r="B280" s="15" t="s">
        <v>88</v>
      </c>
      <c r="C280" s="15" t="s">
        <v>692</v>
      </c>
      <c r="D280" s="16">
        <v>9968770.5647</v>
      </c>
      <c r="E280" s="17">
        <f t="shared" si="4"/>
        <v>9968770.5647</v>
      </c>
      <c r="F280" s="18"/>
      <c r="G280" s="18"/>
      <c r="H280" s="19"/>
      <c r="I280" s="19"/>
      <c r="J280" s="19"/>
      <c r="K280" s="19"/>
      <c r="L280" s="18"/>
      <c r="M280" s="18"/>
      <c r="N280" s="19"/>
      <c r="O280" s="19"/>
      <c r="P280" s="19"/>
    </row>
    <row r="281" spans="1:16" ht="17.649999999999999">
      <c r="A281" s="14">
        <v>276</v>
      </c>
      <c r="B281" s="15" t="s">
        <v>89</v>
      </c>
      <c r="C281" s="15" t="s">
        <v>697</v>
      </c>
      <c r="D281" s="16">
        <v>15905348.9866</v>
      </c>
      <c r="E281" s="17">
        <f t="shared" si="4"/>
        <v>15905348.9866</v>
      </c>
      <c r="F281" s="18"/>
      <c r="G281" s="18"/>
      <c r="H281" s="19"/>
      <c r="I281" s="19"/>
      <c r="J281" s="19"/>
      <c r="K281" s="19"/>
      <c r="L281" s="18"/>
      <c r="M281" s="18"/>
      <c r="N281" s="19"/>
      <c r="O281" s="19"/>
      <c r="P281" s="19"/>
    </row>
    <row r="282" spans="1:16" ht="17.649999999999999">
      <c r="A282" s="14">
        <v>277</v>
      </c>
      <c r="B282" s="15" t="s">
        <v>89</v>
      </c>
      <c r="C282" s="15" t="s">
        <v>699</v>
      </c>
      <c r="D282" s="16">
        <v>11550981.2728</v>
      </c>
      <c r="E282" s="17">
        <f t="shared" si="4"/>
        <v>11550981.2728</v>
      </c>
      <c r="F282" s="18"/>
      <c r="G282" s="18"/>
      <c r="H282" s="19"/>
      <c r="I282" s="19"/>
      <c r="J282" s="19"/>
      <c r="K282" s="19"/>
      <c r="L282" s="18"/>
      <c r="M282" s="18"/>
      <c r="N282" s="19"/>
      <c r="O282" s="19"/>
      <c r="P282" s="19"/>
    </row>
    <row r="283" spans="1:16" ht="17.649999999999999">
      <c r="A283" s="14">
        <v>278</v>
      </c>
      <c r="B283" s="15" t="s">
        <v>89</v>
      </c>
      <c r="C283" s="15" t="s">
        <v>701</v>
      </c>
      <c r="D283" s="16">
        <v>11625808.866699999</v>
      </c>
      <c r="E283" s="17">
        <f t="shared" si="4"/>
        <v>11625808.866699999</v>
      </c>
      <c r="F283" s="18"/>
      <c r="G283" s="18"/>
      <c r="H283" s="19"/>
      <c r="I283" s="19"/>
      <c r="J283" s="19"/>
      <c r="K283" s="19"/>
      <c r="L283" s="18"/>
      <c r="M283" s="18"/>
      <c r="N283" s="19"/>
      <c r="O283" s="19"/>
      <c r="P283" s="19"/>
    </row>
    <row r="284" spans="1:16" ht="17.649999999999999">
      <c r="A284" s="14">
        <v>279</v>
      </c>
      <c r="B284" s="15" t="s">
        <v>89</v>
      </c>
      <c r="C284" s="15" t="s">
        <v>703</v>
      </c>
      <c r="D284" s="16">
        <v>12667887.5286</v>
      </c>
      <c r="E284" s="17">
        <f t="shared" si="4"/>
        <v>12667887.5286</v>
      </c>
      <c r="F284" s="18"/>
      <c r="G284" s="18"/>
      <c r="H284" s="19"/>
      <c r="I284" s="19"/>
      <c r="J284" s="19"/>
      <c r="K284" s="19"/>
      <c r="L284" s="18"/>
      <c r="M284" s="18"/>
      <c r="N284" s="19"/>
      <c r="O284" s="19"/>
      <c r="P284" s="19"/>
    </row>
    <row r="285" spans="1:16" ht="17.649999999999999">
      <c r="A285" s="14">
        <v>280</v>
      </c>
      <c r="B285" s="15" t="s">
        <v>89</v>
      </c>
      <c r="C285" s="15" t="s">
        <v>705</v>
      </c>
      <c r="D285" s="16">
        <v>12321254.322000001</v>
      </c>
      <c r="E285" s="17">
        <f t="shared" si="4"/>
        <v>12321254.322000001</v>
      </c>
      <c r="F285" s="18"/>
      <c r="G285" s="18"/>
      <c r="H285" s="19"/>
      <c r="I285" s="19"/>
      <c r="J285" s="19"/>
      <c r="K285" s="19"/>
      <c r="L285" s="18"/>
      <c r="M285" s="18"/>
      <c r="N285" s="19"/>
      <c r="O285" s="19"/>
      <c r="P285" s="19"/>
    </row>
    <row r="286" spans="1:16" ht="17.649999999999999">
      <c r="A286" s="14">
        <v>281</v>
      </c>
      <c r="B286" s="15" t="s">
        <v>89</v>
      </c>
      <c r="C286" s="15" t="s">
        <v>89</v>
      </c>
      <c r="D286" s="16">
        <v>13416280.799699999</v>
      </c>
      <c r="E286" s="17">
        <f t="shared" si="4"/>
        <v>13416280.799699999</v>
      </c>
      <c r="F286" s="18"/>
      <c r="G286" s="18"/>
      <c r="H286" s="19"/>
      <c r="I286" s="19"/>
      <c r="J286" s="19"/>
      <c r="K286" s="19"/>
      <c r="L286" s="18"/>
      <c r="M286" s="18"/>
      <c r="N286" s="19"/>
      <c r="O286" s="19"/>
      <c r="P286" s="19"/>
    </row>
    <row r="287" spans="1:16" ht="17.649999999999999">
      <c r="A287" s="14">
        <v>282</v>
      </c>
      <c r="B287" s="15" t="s">
        <v>89</v>
      </c>
      <c r="C287" s="15" t="s">
        <v>708</v>
      </c>
      <c r="D287" s="16">
        <v>10519603.908399999</v>
      </c>
      <c r="E287" s="17">
        <f t="shared" si="4"/>
        <v>10519603.908399999</v>
      </c>
      <c r="F287" s="18"/>
      <c r="G287" s="18"/>
      <c r="H287" s="19"/>
      <c r="I287" s="19"/>
      <c r="J287" s="19"/>
      <c r="K287" s="19"/>
      <c r="L287" s="18"/>
      <c r="M287" s="18"/>
      <c r="N287" s="19"/>
      <c r="O287" s="19"/>
      <c r="P287" s="19"/>
    </row>
    <row r="288" spans="1:16" ht="17.649999999999999">
      <c r="A288" s="14">
        <v>283</v>
      </c>
      <c r="B288" s="15" t="s">
        <v>89</v>
      </c>
      <c r="C288" s="15" t="s">
        <v>710</v>
      </c>
      <c r="D288" s="16">
        <v>11284212.918299999</v>
      </c>
      <c r="E288" s="17">
        <f t="shared" si="4"/>
        <v>11284212.918299999</v>
      </c>
      <c r="F288" s="18"/>
      <c r="G288" s="18"/>
      <c r="H288" s="19"/>
      <c r="I288" s="19"/>
      <c r="J288" s="19"/>
      <c r="K288" s="19"/>
      <c r="L288" s="18"/>
      <c r="M288" s="18"/>
      <c r="N288" s="19"/>
      <c r="O288" s="19"/>
      <c r="P288" s="19"/>
    </row>
    <row r="289" spans="1:16" ht="17.649999999999999">
      <c r="A289" s="14">
        <v>284</v>
      </c>
      <c r="B289" s="15" t="s">
        <v>89</v>
      </c>
      <c r="C289" s="15" t="s">
        <v>712</v>
      </c>
      <c r="D289" s="16">
        <v>10287619.773499999</v>
      </c>
      <c r="E289" s="17">
        <f t="shared" si="4"/>
        <v>10287619.773499999</v>
      </c>
      <c r="F289" s="18"/>
      <c r="G289" s="18"/>
      <c r="H289" s="19"/>
      <c r="I289" s="19"/>
      <c r="J289" s="19"/>
      <c r="K289" s="19"/>
      <c r="L289" s="18"/>
      <c r="M289" s="18"/>
      <c r="N289" s="19"/>
      <c r="O289" s="19"/>
      <c r="P289" s="19"/>
    </row>
    <row r="290" spans="1:16" ht="17.649999999999999">
      <c r="A290" s="14">
        <v>285</v>
      </c>
      <c r="B290" s="15" t="s">
        <v>89</v>
      </c>
      <c r="C290" s="15" t="s">
        <v>714</v>
      </c>
      <c r="D290" s="16">
        <v>9756505.0070999991</v>
      </c>
      <c r="E290" s="17">
        <f t="shared" si="4"/>
        <v>9756505.0070999991</v>
      </c>
      <c r="F290" s="18"/>
      <c r="G290" s="18"/>
      <c r="H290" s="19"/>
      <c r="I290" s="19"/>
      <c r="J290" s="19"/>
      <c r="K290" s="19"/>
      <c r="L290" s="18"/>
      <c r="M290" s="18"/>
      <c r="N290" s="19"/>
      <c r="O290" s="19"/>
      <c r="P290" s="19"/>
    </row>
    <row r="291" spans="1:16" ht="17.649999999999999">
      <c r="A291" s="14">
        <v>286</v>
      </c>
      <c r="B291" s="15" t="s">
        <v>89</v>
      </c>
      <c r="C291" s="15" t="s">
        <v>716</v>
      </c>
      <c r="D291" s="16">
        <v>13316047.0503</v>
      </c>
      <c r="E291" s="17">
        <f t="shared" si="4"/>
        <v>13316047.0503</v>
      </c>
      <c r="F291" s="18"/>
      <c r="G291" s="18"/>
      <c r="H291" s="19"/>
      <c r="I291" s="19"/>
      <c r="J291" s="19"/>
      <c r="K291" s="19"/>
      <c r="L291" s="18"/>
      <c r="M291" s="18"/>
      <c r="N291" s="19"/>
      <c r="O291" s="19"/>
      <c r="P291" s="19"/>
    </row>
    <row r="292" spans="1:16" ht="17.649999999999999">
      <c r="A292" s="14">
        <v>287</v>
      </c>
      <c r="B292" s="15" t="s">
        <v>90</v>
      </c>
      <c r="C292" s="15" t="s">
        <v>721</v>
      </c>
      <c r="D292" s="16">
        <v>10409103.0474</v>
      </c>
      <c r="E292" s="17">
        <f t="shared" si="4"/>
        <v>10409103.0474</v>
      </c>
      <c r="F292" s="18"/>
      <c r="G292" s="18"/>
      <c r="H292" s="19"/>
      <c r="I292" s="19"/>
      <c r="J292" s="19"/>
      <c r="K292" s="19"/>
      <c r="L292" s="18"/>
      <c r="M292" s="18"/>
      <c r="N292" s="19"/>
      <c r="O292" s="19"/>
      <c r="P292" s="19"/>
    </row>
    <row r="293" spans="1:16" ht="17.649999999999999">
      <c r="A293" s="14">
        <v>288</v>
      </c>
      <c r="B293" s="15" t="s">
        <v>90</v>
      </c>
      <c r="C293" s="15" t="s">
        <v>723</v>
      </c>
      <c r="D293" s="16">
        <v>9795490.6530000009</v>
      </c>
      <c r="E293" s="17">
        <f t="shared" si="4"/>
        <v>9795490.6530000009</v>
      </c>
      <c r="F293" s="18"/>
      <c r="G293" s="18"/>
      <c r="H293" s="19"/>
      <c r="I293" s="19"/>
      <c r="J293" s="19"/>
      <c r="K293" s="19"/>
      <c r="L293" s="18"/>
      <c r="M293" s="18"/>
      <c r="N293" s="19"/>
      <c r="O293" s="19"/>
      <c r="P293" s="19"/>
    </row>
    <row r="294" spans="1:16" ht="17.649999999999999">
      <c r="A294" s="14">
        <v>289</v>
      </c>
      <c r="B294" s="15" t="s">
        <v>90</v>
      </c>
      <c r="C294" s="15" t="s">
        <v>725</v>
      </c>
      <c r="D294" s="16">
        <v>8999015.1721000001</v>
      </c>
      <c r="E294" s="17">
        <f t="shared" si="4"/>
        <v>8999015.1721000001</v>
      </c>
      <c r="F294" s="18"/>
      <c r="G294" s="18"/>
      <c r="H294" s="19"/>
      <c r="I294" s="19"/>
      <c r="J294" s="19"/>
      <c r="K294" s="19"/>
      <c r="L294" s="18"/>
      <c r="M294" s="18"/>
      <c r="N294" s="19"/>
      <c r="O294" s="19"/>
      <c r="P294" s="19"/>
    </row>
    <row r="295" spans="1:16" ht="35.25">
      <c r="A295" s="14">
        <v>290</v>
      </c>
      <c r="B295" s="15" t="s">
        <v>90</v>
      </c>
      <c r="C295" s="15" t="s">
        <v>727</v>
      </c>
      <c r="D295" s="16">
        <v>9571146.8314999994</v>
      </c>
      <c r="E295" s="17">
        <f t="shared" si="4"/>
        <v>9571146.8314999994</v>
      </c>
      <c r="F295" s="18"/>
      <c r="G295" s="18"/>
      <c r="H295" s="19"/>
      <c r="I295" s="19"/>
      <c r="J295" s="19"/>
      <c r="K295" s="19"/>
      <c r="L295" s="18"/>
      <c r="M295" s="18"/>
      <c r="N295" s="19"/>
      <c r="O295" s="19"/>
      <c r="P295" s="19"/>
    </row>
    <row r="296" spans="1:16" ht="17.649999999999999">
      <c r="A296" s="14">
        <v>291</v>
      </c>
      <c r="B296" s="15" t="s">
        <v>90</v>
      </c>
      <c r="C296" s="15" t="s">
        <v>729</v>
      </c>
      <c r="D296" s="16">
        <v>10263201.134299999</v>
      </c>
      <c r="E296" s="17">
        <f t="shared" si="4"/>
        <v>10263201.134299999</v>
      </c>
      <c r="F296" s="18"/>
      <c r="G296" s="18"/>
      <c r="H296" s="19"/>
      <c r="I296" s="19"/>
      <c r="J296" s="19"/>
      <c r="K296" s="19"/>
      <c r="L296" s="18"/>
      <c r="M296" s="18"/>
      <c r="N296" s="19"/>
      <c r="O296" s="19"/>
      <c r="P296" s="19"/>
    </row>
    <row r="297" spans="1:16" ht="17.649999999999999">
      <c r="A297" s="14">
        <v>292</v>
      </c>
      <c r="B297" s="15" t="s">
        <v>90</v>
      </c>
      <c r="C297" s="15" t="s">
        <v>731</v>
      </c>
      <c r="D297" s="16">
        <v>10297567.1885</v>
      </c>
      <c r="E297" s="17">
        <f t="shared" si="4"/>
        <v>10297567.1885</v>
      </c>
      <c r="F297" s="18"/>
      <c r="G297" s="18"/>
      <c r="H297" s="19"/>
      <c r="I297" s="19"/>
      <c r="J297" s="19"/>
      <c r="K297" s="19"/>
      <c r="L297" s="18"/>
      <c r="M297" s="18"/>
      <c r="N297" s="19"/>
      <c r="O297" s="19"/>
      <c r="P297" s="19"/>
    </row>
    <row r="298" spans="1:16" ht="17.649999999999999">
      <c r="A298" s="14">
        <v>293</v>
      </c>
      <c r="B298" s="15" t="s">
        <v>90</v>
      </c>
      <c r="C298" s="15" t="s">
        <v>733</v>
      </c>
      <c r="D298" s="16">
        <v>9216865.7489999998</v>
      </c>
      <c r="E298" s="17">
        <f t="shared" si="4"/>
        <v>9216865.7489999998</v>
      </c>
      <c r="F298" s="18"/>
      <c r="G298" s="18"/>
      <c r="H298" s="19"/>
      <c r="I298" s="19"/>
      <c r="J298" s="19"/>
      <c r="K298" s="19"/>
      <c r="L298" s="18"/>
      <c r="M298" s="18"/>
      <c r="N298" s="19"/>
      <c r="O298" s="19"/>
      <c r="P298" s="19"/>
    </row>
    <row r="299" spans="1:16" ht="17.649999999999999">
      <c r="A299" s="14">
        <v>294</v>
      </c>
      <c r="B299" s="15" t="s">
        <v>90</v>
      </c>
      <c r="C299" s="15" t="s">
        <v>735</v>
      </c>
      <c r="D299" s="16">
        <v>9762569.7290000003</v>
      </c>
      <c r="E299" s="17">
        <f t="shared" si="4"/>
        <v>9762569.7290000003</v>
      </c>
      <c r="F299" s="18"/>
      <c r="G299" s="18"/>
      <c r="H299" s="19"/>
      <c r="I299" s="19"/>
      <c r="J299" s="19"/>
      <c r="K299" s="19"/>
      <c r="L299" s="18"/>
      <c r="M299" s="18"/>
      <c r="N299" s="19"/>
      <c r="O299" s="19"/>
      <c r="P299" s="19"/>
    </row>
    <row r="300" spans="1:16" ht="17.649999999999999">
      <c r="A300" s="14">
        <v>295</v>
      </c>
      <c r="B300" s="15" t="s">
        <v>90</v>
      </c>
      <c r="C300" s="15" t="s">
        <v>737</v>
      </c>
      <c r="D300" s="16">
        <v>10983680.5153</v>
      </c>
      <c r="E300" s="17">
        <f t="shared" si="4"/>
        <v>10983680.5153</v>
      </c>
      <c r="F300" s="18"/>
      <c r="G300" s="18"/>
      <c r="H300" s="19"/>
      <c r="I300" s="19"/>
      <c r="J300" s="19"/>
      <c r="K300" s="19"/>
      <c r="L300" s="18"/>
      <c r="M300" s="18"/>
      <c r="N300" s="19"/>
      <c r="O300" s="19"/>
      <c r="P300" s="19"/>
    </row>
    <row r="301" spans="1:16" ht="17.649999999999999">
      <c r="A301" s="14">
        <v>296</v>
      </c>
      <c r="B301" s="15" t="s">
        <v>90</v>
      </c>
      <c r="C301" s="15" t="s">
        <v>739</v>
      </c>
      <c r="D301" s="16">
        <v>9708036.3428000007</v>
      </c>
      <c r="E301" s="17">
        <f t="shared" si="4"/>
        <v>9708036.3428000007</v>
      </c>
      <c r="F301" s="18"/>
      <c r="G301" s="18"/>
      <c r="H301" s="19"/>
      <c r="I301" s="19"/>
      <c r="J301" s="19"/>
      <c r="K301" s="19"/>
      <c r="L301" s="18"/>
      <c r="M301" s="18"/>
      <c r="N301" s="19"/>
      <c r="O301" s="19"/>
      <c r="P301" s="19"/>
    </row>
    <row r="302" spans="1:16" ht="17.649999999999999">
      <c r="A302" s="14">
        <v>297</v>
      </c>
      <c r="B302" s="15" t="s">
        <v>90</v>
      </c>
      <c r="C302" s="15" t="s">
        <v>741</v>
      </c>
      <c r="D302" s="16">
        <v>11974455.387399999</v>
      </c>
      <c r="E302" s="17">
        <f t="shared" si="4"/>
        <v>11974455.387399999</v>
      </c>
      <c r="F302" s="18"/>
      <c r="G302" s="18"/>
      <c r="H302" s="19"/>
      <c r="I302" s="19"/>
      <c r="J302" s="19"/>
      <c r="K302" s="19"/>
      <c r="L302" s="18"/>
      <c r="M302" s="18"/>
      <c r="N302" s="19"/>
      <c r="O302" s="19"/>
      <c r="P302" s="19"/>
    </row>
    <row r="303" spans="1:16" ht="17.649999999999999">
      <c r="A303" s="14">
        <v>298</v>
      </c>
      <c r="B303" s="15" t="s">
        <v>90</v>
      </c>
      <c r="C303" s="15" t="s">
        <v>743</v>
      </c>
      <c r="D303" s="16">
        <v>10169849.6733</v>
      </c>
      <c r="E303" s="17">
        <f t="shared" si="4"/>
        <v>10169849.6733</v>
      </c>
      <c r="F303" s="18"/>
      <c r="G303" s="18"/>
      <c r="H303" s="19"/>
      <c r="I303" s="19"/>
      <c r="J303" s="19"/>
      <c r="K303" s="19"/>
      <c r="L303" s="18"/>
      <c r="M303" s="18"/>
      <c r="N303" s="19"/>
      <c r="O303" s="19"/>
      <c r="P303" s="19"/>
    </row>
    <row r="304" spans="1:16" ht="17.649999999999999">
      <c r="A304" s="14">
        <v>299</v>
      </c>
      <c r="B304" s="15" t="s">
        <v>90</v>
      </c>
      <c r="C304" s="15" t="s">
        <v>745</v>
      </c>
      <c r="D304" s="16">
        <v>9187178.8827999998</v>
      </c>
      <c r="E304" s="17">
        <f t="shared" si="4"/>
        <v>9187178.8827999998</v>
      </c>
      <c r="F304" s="18"/>
      <c r="G304" s="18"/>
      <c r="H304" s="19"/>
      <c r="I304" s="19"/>
      <c r="J304" s="19"/>
      <c r="K304" s="19"/>
      <c r="L304" s="18"/>
      <c r="M304" s="18"/>
      <c r="N304" s="19"/>
      <c r="O304" s="19"/>
      <c r="P304" s="19"/>
    </row>
    <row r="305" spans="1:16" ht="17.649999999999999">
      <c r="A305" s="14">
        <v>300</v>
      </c>
      <c r="B305" s="15" t="s">
        <v>90</v>
      </c>
      <c r="C305" s="15" t="s">
        <v>747</v>
      </c>
      <c r="D305" s="16">
        <v>8940621.4823000003</v>
      </c>
      <c r="E305" s="17">
        <f t="shared" si="4"/>
        <v>8940621.4823000003</v>
      </c>
      <c r="F305" s="18"/>
      <c r="G305" s="18"/>
      <c r="H305" s="19"/>
      <c r="I305" s="19"/>
      <c r="J305" s="19"/>
      <c r="K305" s="19"/>
      <c r="L305" s="18"/>
      <c r="M305" s="18"/>
      <c r="N305" s="19"/>
      <c r="O305" s="19"/>
      <c r="P305" s="19"/>
    </row>
    <row r="306" spans="1:16" ht="17.649999999999999">
      <c r="A306" s="14">
        <v>301</v>
      </c>
      <c r="B306" s="15" t="s">
        <v>90</v>
      </c>
      <c r="C306" s="15" t="s">
        <v>749</v>
      </c>
      <c r="D306" s="16">
        <v>7964676.5091000004</v>
      </c>
      <c r="E306" s="17">
        <f t="shared" si="4"/>
        <v>7964676.5091000004</v>
      </c>
      <c r="F306" s="18"/>
      <c r="G306" s="18"/>
      <c r="H306" s="19"/>
      <c r="I306" s="19"/>
      <c r="J306" s="19"/>
      <c r="K306" s="19"/>
      <c r="L306" s="18"/>
      <c r="M306" s="18"/>
      <c r="N306" s="19"/>
      <c r="O306" s="19"/>
      <c r="P306" s="19"/>
    </row>
    <row r="307" spans="1:16" ht="17.649999999999999">
      <c r="A307" s="14">
        <v>302</v>
      </c>
      <c r="B307" s="15" t="s">
        <v>90</v>
      </c>
      <c r="C307" s="15" t="s">
        <v>751</v>
      </c>
      <c r="D307" s="16">
        <v>8633605.3135000002</v>
      </c>
      <c r="E307" s="17">
        <f t="shared" si="4"/>
        <v>8633605.3135000002</v>
      </c>
      <c r="F307" s="18"/>
      <c r="G307" s="18"/>
      <c r="H307" s="19"/>
      <c r="I307" s="19"/>
      <c r="J307" s="19"/>
      <c r="K307" s="19"/>
      <c r="L307" s="18"/>
      <c r="M307" s="18"/>
      <c r="N307" s="19"/>
      <c r="O307" s="19"/>
      <c r="P307" s="19"/>
    </row>
    <row r="308" spans="1:16" ht="17.649999999999999">
      <c r="A308" s="14">
        <v>303</v>
      </c>
      <c r="B308" s="15" t="s">
        <v>90</v>
      </c>
      <c r="C308" s="15" t="s">
        <v>753</v>
      </c>
      <c r="D308" s="16">
        <v>10135542.9482</v>
      </c>
      <c r="E308" s="17">
        <f t="shared" si="4"/>
        <v>10135542.9482</v>
      </c>
      <c r="F308" s="18"/>
      <c r="G308" s="18"/>
      <c r="H308" s="19"/>
      <c r="I308" s="19"/>
      <c r="J308" s="19"/>
      <c r="K308" s="19"/>
      <c r="L308" s="18"/>
      <c r="M308" s="18"/>
      <c r="N308" s="19"/>
      <c r="O308" s="19"/>
      <c r="P308" s="19"/>
    </row>
    <row r="309" spans="1:16" ht="17.649999999999999">
      <c r="A309" s="14">
        <v>304</v>
      </c>
      <c r="B309" s="15" t="s">
        <v>90</v>
      </c>
      <c r="C309" s="15" t="s">
        <v>755</v>
      </c>
      <c r="D309" s="16">
        <v>10970532.5855</v>
      </c>
      <c r="E309" s="17">
        <f t="shared" si="4"/>
        <v>10970532.5855</v>
      </c>
      <c r="F309" s="18"/>
      <c r="G309" s="18"/>
      <c r="H309" s="19"/>
      <c r="I309" s="19"/>
      <c r="J309" s="19"/>
      <c r="K309" s="19"/>
      <c r="L309" s="18"/>
      <c r="M309" s="18"/>
      <c r="N309" s="19"/>
      <c r="O309" s="19"/>
      <c r="P309" s="19"/>
    </row>
    <row r="310" spans="1:16" ht="17.649999999999999">
      <c r="A310" s="14">
        <v>305</v>
      </c>
      <c r="B310" s="15" t="s">
        <v>90</v>
      </c>
      <c r="C310" s="15" t="s">
        <v>757</v>
      </c>
      <c r="D310" s="16">
        <v>9611791.8369999994</v>
      </c>
      <c r="E310" s="17">
        <f t="shared" si="4"/>
        <v>9611791.8369999994</v>
      </c>
      <c r="F310" s="18"/>
      <c r="G310" s="18"/>
      <c r="H310" s="19"/>
      <c r="I310" s="19"/>
      <c r="J310" s="19"/>
      <c r="K310" s="19"/>
      <c r="L310" s="18"/>
      <c r="M310" s="18"/>
      <c r="N310" s="19"/>
      <c r="O310" s="19"/>
      <c r="P310" s="19"/>
    </row>
    <row r="311" spans="1:16" ht="17.649999999999999">
      <c r="A311" s="14">
        <v>306</v>
      </c>
      <c r="B311" s="15" t="s">
        <v>90</v>
      </c>
      <c r="C311" s="15" t="s">
        <v>759</v>
      </c>
      <c r="D311" s="16">
        <v>8539070.2647999991</v>
      </c>
      <c r="E311" s="17">
        <f t="shared" si="4"/>
        <v>8539070.2647999991</v>
      </c>
      <c r="F311" s="18"/>
      <c r="G311" s="18"/>
      <c r="H311" s="19"/>
      <c r="I311" s="19"/>
      <c r="J311" s="19"/>
      <c r="K311" s="19"/>
      <c r="L311" s="18"/>
      <c r="M311" s="18"/>
      <c r="N311" s="19"/>
      <c r="O311" s="19"/>
      <c r="P311" s="19"/>
    </row>
    <row r="312" spans="1:16" ht="17.649999999999999">
      <c r="A312" s="14">
        <v>307</v>
      </c>
      <c r="B312" s="15" t="s">
        <v>90</v>
      </c>
      <c r="C312" s="15" t="s">
        <v>761</v>
      </c>
      <c r="D312" s="16">
        <v>9391803.9213999994</v>
      </c>
      <c r="E312" s="17">
        <f t="shared" si="4"/>
        <v>9391803.9213999994</v>
      </c>
      <c r="F312" s="18"/>
      <c r="G312" s="18"/>
      <c r="H312" s="19"/>
      <c r="I312" s="19"/>
      <c r="J312" s="19"/>
      <c r="K312" s="19"/>
      <c r="L312" s="18"/>
      <c r="M312" s="18"/>
      <c r="N312" s="19"/>
      <c r="O312" s="19"/>
      <c r="P312" s="19"/>
    </row>
    <row r="313" spans="1:16" ht="17.649999999999999">
      <c r="A313" s="14">
        <v>308</v>
      </c>
      <c r="B313" s="15" t="s">
        <v>90</v>
      </c>
      <c r="C313" s="15" t="s">
        <v>763</v>
      </c>
      <c r="D313" s="16">
        <v>9136188.2440000009</v>
      </c>
      <c r="E313" s="17">
        <f t="shared" si="4"/>
        <v>9136188.2440000009</v>
      </c>
      <c r="F313" s="18"/>
      <c r="G313" s="18"/>
      <c r="H313" s="19"/>
      <c r="I313" s="19"/>
      <c r="J313" s="19"/>
      <c r="K313" s="19"/>
      <c r="L313" s="18"/>
      <c r="M313" s="18"/>
      <c r="N313" s="19"/>
      <c r="O313" s="19"/>
      <c r="P313" s="19"/>
    </row>
    <row r="314" spans="1:16" ht="17.649999999999999">
      <c r="A314" s="14">
        <v>309</v>
      </c>
      <c r="B314" s="15" t="s">
        <v>90</v>
      </c>
      <c r="C314" s="15" t="s">
        <v>765</v>
      </c>
      <c r="D314" s="16">
        <v>8837051.6907000002</v>
      </c>
      <c r="E314" s="17">
        <f t="shared" si="4"/>
        <v>8837051.6907000002</v>
      </c>
      <c r="F314" s="18"/>
      <c r="G314" s="18"/>
      <c r="H314" s="19"/>
      <c r="I314" s="19"/>
      <c r="J314" s="19"/>
      <c r="K314" s="19"/>
      <c r="L314" s="18"/>
      <c r="M314" s="18"/>
      <c r="N314" s="19"/>
      <c r="O314" s="19"/>
      <c r="P314" s="19"/>
    </row>
    <row r="315" spans="1:16" ht="17.649999999999999">
      <c r="A315" s="14">
        <v>310</v>
      </c>
      <c r="B315" s="15" t="s">
        <v>90</v>
      </c>
      <c r="C315" s="15" t="s">
        <v>767</v>
      </c>
      <c r="D315" s="16">
        <v>9141813.6216000002</v>
      </c>
      <c r="E315" s="17">
        <f t="shared" si="4"/>
        <v>9141813.6216000002</v>
      </c>
      <c r="F315" s="18"/>
      <c r="G315" s="18"/>
      <c r="H315" s="19"/>
      <c r="I315" s="19"/>
      <c r="J315" s="19"/>
      <c r="K315" s="19"/>
      <c r="L315" s="18"/>
      <c r="M315" s="18"/>
      <c r="N315" s="19"/>
      <c r="O315" s="19"/>
      <c r="P315" s="19"/>
    </row>
    <row r="316" spans="1:16" ht="35.25">
      <c r="A316" s="14">
        <v>311</v>
      </c>
      <c r="B316" s="15" t="s">
        <v>90</v>
      </c>
      <c r="C316" s="15" t="s">
        <v>769</v>
      </c>
      <c r="D316" s="16">
        <v>9225533.2285999991</v>
      </c>
      <c r="E316" s="17">
        <f t="shared" si="4"/>
        <v>9225533.2285999991</v>
      </c>
      <c r="F316" s="18"/>
      <c r="G316" s="18"/>
      <c r="H316" s="19"/>
      <c r="I316" s="19"/>
      <c r="J316" s="19"/>
      <c r="K316" s="19"/>
      <c r="L316" s="18"/>
      <c r="M316" s="18"/>
      <c r="N316" s="19"/>
      <c r="O316" s="19"/>
      <c r="P316" s="19"/>
    </row>
    <row r="317" spans="1:16" ht="17.649999999999999">
      <c r="A317" s="14">
        <v>312</v>
      </c>
      <c r="B317" s="15" t="s">
        <v>90</v>
      </c>
      <c r="C317" s="15" t="s">
        <v>771</v>
      </c>
      <c r="D317" s="16">
        <v>9814399.1674000006</v>
      </c>
      <c r="E317" s="17">
        <f t="shared" si="4"/>
        <v>9814399.1674000006</v>
      </c>
      <c r="F317" s="18"/>
      <c r="G317" s="18"/>
      <c r="H317" s="19"/>
      <c r="I317" s="19"/>
      <c r="J317" s="19"/>
      <c r="K317" s="19"/>
      <c r="L317" s="18"/>
      <c r="M317" s="18"/>
      <c r="N317" s="19"/>
      <c r="O317" s="19"/>
      <c r="P317" s="19"/>
    </row>
    <row r="318" spans="1:16" ht="17.649999999999999">
      <c r="A318" s="14">
        <v>313</v>
      </c>
      <c r="B318" s="15" t="s">
        <v>90</v>
      </c>
      <c r="C318" s="15" t="s">
        <v>773</v>
      </c>
      <c r="D318" s="16">
        <v>8779810.8325999994</v>
      </c>
      <c r="E318" s="17">
        <f t="shared" si="4"/>
        <v>8779810.8325999994</v>
      </c>
      <c r="F318" s="18"/>
      <c r="G318" s="18"/>
      <c r="H318" s="19"/>
      <c r="I318" s="19"/>
      <c r="J318" s="19"/>
      <c r="K318" s="19"/>
      <c r="L318" s="18"/>
      <c r="M318" s="18"/>
      <c r="N318" s="19"/>
      <c r="O318" s="19"/>
      <c r="P318" s="19"/>
    </row>
    <row r="319" spans="1:16" ht="17.649999999999999">
      <c r="A319" s="14">
        <v>314</v>
      </c>
      <c r="B319" s="15" t="s">
        <v>91</v>
      </c>
      <c r="C319" s="15" t="s">
        <v>778</v>
      </c>
      <c r="D319" s="16">
        <v>9168564.8491999991</v>
      </c>
      <c r="E319" s="17">
        <f t="shared" si="4"/>
        <v>9168564.8491999991</v>
      </c>
      <c r="F319" s="18"/>
      <c r="G319" s="18"/>
      <c r="H319" s="19"/>
      <c r="I319" s="19"/>
      <c r="J319" s="19"/>
      <c r="K319" s="19"/>
      <c r="L319" s="18"/>
      <c r="M319" s="18"/>
      <c r="N319" s="19"/>
      <c r="O319" s="19"/>
      <c r="P319" s="19"/>
    </row>
    <row r="320" spans="1:16" ht="17.649999999999999">
      <c r="A320" s="14">
        <v>315</v>
      </c>
      <c r="B320" s="15" t="s">
        <v>91</v>
      </c>
      <c r="C320" s="15" t="s">
        <v>780</v>
      </c>
      <c r="D320" s="16">
        <v>10843764.646400001</v>
      </c>
      <c r="E320" s="17">
        <f t="shared" si="4"/>
        <v>10843764.646400001</v>
      </c>
      <c r="F320" s="18"/>
      <c r="G320" s="18"/>
      <c r="H320" s="19"/>
      <c r="I320" s="19"/>
      <c r="J320" s="19"/>
      <c r="K320" s="19"/>
      <c r="L320" s="18"/>
      <c r="M320" s="18"/>
      <c r="N320" s="19"/>
      <c r="O320" s="19"/>
      <c r="P320" s="19"/>
    </row>
    <row r="321" spans="1:16" ht="17.649999999999999">
      <c r="A321" s="14">
        <v>316</v>
      </c>
      <c r="B321" s="15" t="s">
        <v>91</v>
      </c>
      <c r="C321" s="15" t="s">
        <v>782</v>
      </c>
      <c r="D321" s="16">
        <v>13457407.658</v>
      </c>
      <c r="E321" s="17">
        <f t="shared" si="4"/>
        <v>13457407.658</v>
      </c>
      <c r="F321" s="18"/>
      <c r="G321" s="18"/>
      <c r="H321" s="19"/>
      <c r="I321" s="19"/>
      <c r="J321" s="19"/>
      <c r="K321" s="19"/>
      <c r="L321" s="18"/>
      <c r="M321" s="18"/>
      <c r="N321" s="19"/>
      <c r="O321" s="19"/>
      <c r="P321" s="19"/>
    </row>
    <row r="322" spans="1:16" ht="17.649999999999999">
      <c r="A322" s="14">
        <v>317</v>
      </c>
      <c r="B322" s="15" t="s">
        <v>91</v>
      </c>
      <c r="C322" s="15" t="s">
        <v>784</v>
      </c>
      <c r="D322" s="16">
        <v>10178955.7448</v>
      </c>
      <c r="E322" s="17">
        <f t="shared" si="4"/>
        <v>10178955.7448</v>
      </c>
      <c r="F322" s="18"/>
      <c r="G322" s="18"/>
      <c r="H322" s="19"/>
      <c r="I322" s="19"/>
      <c r="J322" s="19"/>
      <c r="K322" s="19"/>
      <c r="L322" s="18"/>
      <c r="M322" s="18"/>
      <c r="N322" s="19"/>
      <c r="O322" s="19"/>
      <c r="P322" s="19"/>
    </row>
    <row r="323" spans="1:16" ht="17.649999999999999">
      <c r="A323" s="14">
        <v>318</v>
      </c>
      <c r="B323" s="15" t="s">
        <v>91</v>
      </c>
      <c r="C323" s="15" t="s">
        <v>786</v>
      </c>
      <c r="D323" s="16">
        <v>8734431.9768000003</v>
      </c>
      <c r="E323" s="17">
        <f t="shared" si="4"/>
        <v>8734431.9768000003</v>
      </c>
      <c r="F323" s="18"/>
      <c r="G323" s="18"/>
      <c r="H323" s="19"/>
      <c r="I323" s="19"/>
      <c r="J323" s="19"/>
      <c r="K323" s="19"/>
      <c r="L323" s="18"/>
      <c r="M323" s="18"/>
      <c r="N323" s="19"/>
      <c r="O323" s="19"/>
      <c r="P323" s="19"/>
    </row>
    <row r="324" spans="1:16" ht="17.649999999999999">
      <c r="A324" s="14">
        <v>319</v>
      </c>
      <c r="B324" s="15" t="s">
        <v>91</v>
      </c>
      <c r="C324" s="15" t="s">
        <v>788</v>
      </c>
      <c r="D324" s="16">
        <v>8568245.8210000005</v>
      </c>
      <c r="E324" s="17">
        <f t="shared" si="4"/>
        <v>8568245.8210000005</v>
      </c>
      <c r="F324" s="18"/>
      <c r="G324" s="18"/>
      <c r="H324" s="19"/>
      <c r="I324" s="19"/>
      <c r="J324" s="19"/>
      <c r="K324" s="19"/>
      <c r="L324" s="18"/>
      <c r="M324" s="18"/>
      <c r="N324" s="19"/>
      <c r="O324" s="19"/>
      <c r="P324" s="19"/>
    </row>
    <row r="325" spans="1:16" ht="17.649999999999999">
      <c r="A325" s="14">
        <v>320</v>
      </c>
      <c r="B325" s="15" t="s">
        <v>91</v>
      </c>
      <c r="C325" s="15" t="s">
        <v>790</v>
      </c>
      <c r="D325" s="16">
        <v>12027464.824899999</v>
      </c>
      <c r="E325" s="17">
        <f t="shared" si="4"/>
        <v>12027464.824899999</v>
      </c>
      <c r="F325" s="18"/>
      <c r="G325" s="18"/>
      <c r="H325" s="19"/>
      <c r="I325" s="19"/>
      <c r="J325" s="19"/>
      <c r="K325" s="19"/>
      <c r="L325" s="18"/>
      <c r="M325" s="18"/>
      <c r="N325" s="19"/>
      <c r="O325" s="19"/>
      <c r="P325" s="19"/>
    </row>
    <row r="326" spans="1:16" ht="17.649999999999999">
      <c r="A326" s="14">
        <v>321</v>
      </c>
      <c r="B326" s="15" t="s">
        <v>91</v>
      </c>
      <c r="C326" s="15" t="s">
        <v>792</v>
      </c>
      <c r="D326" s="16">
        <v>10094278.419299999</v>
      </c>
      <c r="E326" s="17">
        <f t="shared" si="4"/>
        <v>10094278.419299999</v>
      </c>
      <c r="F326" s="18"/>
      <c r="G326" s="18"/>
      <c r="H326" s="19"/>
      <c r="I326" s="19"/>
      <c r="J326" s="19"/>
      <c r="K326" s="19"/>
      <c r="L326" s="18"/>
      <c r="M326" s="18"/>
      <c r="N326" s="19"/>
      <c r="O326" s="19"/>
      <c r="P326" s="19"/>
    </row>
    <row r="327" spans="1:16" ht="17.649999999999999">
      <c r="A327" s="14">
        <v>322</v>
      </c>
      <c r="B327" s="15" t="s">
        <v>91</v>
      </c>
      <c r="C327" s="15" t="s">
        <v>794</v>
      </c>
      <c r="D327" s="16">
        <v>8841917.9947999995</v>
      </c>
      <c r="E327" s="17">
        <f t="shared" ref="E327:E390" si="5">D327</f>
        <v>8841917.9947999995</v>
      </c>
      <c r="F327" s="18"/>
      <c r="G327" s="18"/>
      <c r="H327" s="19"/>
      <c r="I327" s="19"/>
      <c r="J327" s="19"/>
      <c r="K327" s="19"/>
      <c r="L327" s="18"/>
      <c r="M327" s="18"/>
      <c r="N327" s="19"/>
      <c r="O327" s="19"/>
      <c r="P327" s="19"/>
    </row>
    <row r="328" spans="1:16" ht="17.649999999999999">
      <c r="A328" s="14">
        <v>323</v>
      </c>
      <c r="B328" s="15" t="s">
        <v>91</v>
      </c>
      <c r="C328" s="15" t="s">
        <v>796</v>
      </c>
      <c r="D328" s="16">
        <v>9341005.0774000008</v>
      </c>
      <c r="E328" s="17">
        <f t="shared" si="5"/>
        <v>9341005.0774000008</v>
      </c>
      <c r="F328" s="18"/>
      <c r="G328" s="18"/>
      <c r="H328" s="19"/>
      <c r="I328" s="19"/>
      <c r="J328" s="19"/>
      <c r="K328" s="19"/>
      <c r="L328" s="18"/>
      <c r="M328" s="18"/>
      <c r="N328" s="19"/>
      <c r="O328" s="19"/>
      <c r="P328" s="19"/>
    </row>
    <row r="329" spans="1:16" ht="17.649999999999999">
      <c r="A329" s="14">
        <v>324</v>
      </c>
      <c r="B329" s="15" t="s">
        <v>91</v>
      </c>
      <c r="C329" s="15" t="s">
        <v>798</v>
      </c>
      <c r="D329" s="16">
        <v>12993880.050000001</v>
      </c>
      <c r="E329" s="17">
        <f t="shared" si="5"/>
        <v>12993880.050000001</v>
      </c>
      <c r="F329" s="18"/>
      <c r="G329" s="18"/>
      <c r="H329" s="19"/>
      <c r="I329" s="19"/>
      <c r="J329" s="19"/>
      <c r="K329" s="19"/>
      <c r="L329" s="18"/>
      <c r="M329" s="18"/>
      <c r="N329" s="19"/>
      <c r="O329" s="19"/>
      <c r="P329" s="19"/>
    </row>
    <row r="330" spans="1:16" ht="17.649999999999999">
      <c r="A330" s="14">
        <v>325</v>
      </c>
      <c r="B330" s="15" t="s">
        <v>91</v>
      </c>
      <c r="C330" s="15" t="s">
        <v>800</v>
      </c>
      <c r="D330" s="16">
        <v>9607201.2335000001</v>
      </c>
      <c r="E330" s="17">
        <f t="shared" si="5"/>
        <v>9607201.2335000001</v>
      </c>
      <c r="F330" s="18"/>
      <c r="G330" s="18"/>
      <c r="H330" s="19"/>
      <c r="I330" s="19"/>
      <c r="J330" s="19"/>
      <c r="K330" s="19"/>
      <c r="L330" s="18"/>
      <c r="M330" s="18"/>
      <c r="N330" s="19"/>
      <c r="O330" s="19"/>
      <c r="P330" s="19"/>
    </row>
    <row r="331" spans="1:16" ht="17.649999999999999">
      <c r="A331" s="14">
        <v>326</v>
      </c>
      <c r="B331" s="15" t="s">
        <v>91</v>
      </c>
      <c r="C331" s="15" t="s">
        <v>802</v>
      </c>
      <c r="D331" s="16">
        <v>8110043.8395999996</v>
      </c>
      <c r="E331" s="17">
        <f t="shared" si="5"/>
        <v>8110043.8395999996</v>
      </c>
      <c r="F331" s="18"/>
      <c r="G331" s="18"/>
      <c r="H331" s="19"/>
      <c r="I331" s="19"/>
      <c r="J331" s="19"/>
      <c r="K331" s="19"/>
      <c r="L331" s="18"/>
      <c r="M331" s="18"/>
      <c r="N331" s="19"/>
      <c r="O331" s="19"/>
      <c r="P331" s="19"/>
    </row>
    <row r="332" spans="1:16" ht="17.649999999999999">
      <c r="A332" s="14">
        <v>327</v>
      </c>
      <c r="B332" s="15" t="s">
        <v>91</v>
      </c>
      <c r="C332" s="15" t="s">
        <v>804</v>
      </c>
      <c r="D332" s="16">
        <v>11146996.462300001</v>
      </c>
      <c r="E332" s="17">
        <f t="shared" si="5"/>
        <v>11146996.462300001</v>
      </c>
      <c r="F332" s="18"/>
      <c r="G332" s="18"/>
      <c r="H332" s="19"/>
      <c r="I332" s="19"/>
      <c r="J332" s="19"/>
      <c r="K332" s="19"/>
      <c r="L332" s="18"/>
      <c r="M332" s="18"/>
      <c r="N332" s="19"/>
      <c r="O332" s="19"/>
      <c r="P332" s="19"/>
    </row>
    <row r="333" spans="1:16" ht="17.649999999999999">
      <c r="A333" s="14">
        <v>328</v>
      </c>
      <c r="B333" s="15" t="s">
        <v>91</v>
      </c>
      <c r="C333" s="15" t="s">
        <v>806</v>
      </c>
      <c r="D333" s="16">
        <v>12537517.3522</v>
      </c>
      <c r="E333" s="17">
        <f t="shared" si="5"/>
        <v>12537517.3522</v>
      </c>
      <c r="F333" s="18"/>
      <c r="G333" s="18"/>
      <c r="H333" s="19"/>
      <c r="I333" s="19"/>
      <c r="J333" s="19"/>
      <c r="K333" s="19"/>
      <c r="L333" s="18"/>
      <c r="M333" s="18"/>
      <c r="N333" s="19"/>
      <c r="O333" s="19"/>
      <c r="P333" s="19"/>
    </row>
    <row r="334" spans="1:16" ht="17.649999999999999">
      <c r="A334" s="14">
        <v>329</v>
      </c>
      <c r="B334" s="15" t="s">
        <v>91</v>
      </c>
      <c r="C334" s="15" t="s">
        <v>808</v>
      </c>
      <c r="D334" s="16">
        <v>9188792.9342999998</v>
      </c>
      <c r="E334" s="17">
        <f t="shared" si="5"/>
        <v>9188792.9342999998</v>
      </c>
      <c r="F334" s="18"/>
      <c r="G334" s="18"/>
      <c r="H334" s="19"/>
      <c r="I334" s="19"/>
      <c r="J334" s="19"/>
      <c r="K334" s="19"/>
      <c r="L334" s="18"/>
      <c r="M334" s="18"/>
      <c r="N334" s="19"/>
      <c r="O334" s="19"/>
      <c r="P334" s="19"/>
    </row>
    <row r="335" spans="1:16" ht="17.649999999999999">
      <c r="A335" s="14">
        <v>330</v>
      </c>
      <c r="B335" s="15" t="s">
        <v>91</v>
      </c>
      <c r="C335" s="15" t="s">
        <v>810</v>
      </c>
      <c r="D335" s="16">
        <v>9723484.7633999996</v>
      </c>
      <c r="E335" s="17">
        <f t="shared" si="5"/>
        <v>9723484.7633999996</v>
      </c>
      <c r="F335" s="18"/>
      <c r="G335" s="18"/>
      <c r="H335" s="19"/>
      <c r="I335" s="19"/>
      <c r="J335" s="19"/>
      <c r="K335" s="19"/>
      <c r="L335" s="18"/>
      <c r="M335" s="18"/>
      <c r="N335" s="19"/>
      <c r="O335" s="19"/>
      <c r="P335" s="19"/>
    </row>
    <row r="336" spans="1:16" ht="17.649999999999999">
      <c r="A336" s="14">
        <v>331</v>
      </c>
      <c r="B336" s="15" t="s">
        <v>91</v>
      </c>
      <c r="C336" s="15" t="s">
        <v>812</v>
      </c>
      <c r="D336" s="16">
        <v>10141424.625</v>
      </c>
      <c r="E336" s="17">
        <f t="shared" si="5"/>
        <v>10141424.625</v>
      </c>
      <c r="F336" s="18"/>
      <c r="G336" s="18"/>
      <c r="H336" s="19"/>
      <c r="I336" s="19"/>
      <c r="J336" s="19"/>
      <c r="K336" s="19"/>
      <c r="L336" s="18"/>
      <c r="M336" s="18"/>
      <c r="N336" s="19"/>
      <c r="O336" s="19"/>
      <c r="P336" s="19"/>
    </row>
    <row r="337" spans="1:16" ht="17.649999999999999">
      <c r="A337" s="14">
        <v>332</v>
      </c>
      <c r="B337" s="15" t="s">
        <v>91</v>
      </c>
      <c r="C337" s="15" t="s">
        <v>814</v>
      </c>
      <c r="D337" s="16">
        <v>10477578.2829</v>
      </c>
      <c r="E337" s="17">
        <f t="shared" si="5"/>
        <v>10477578.2829</v>
      </c>
      <c r="F337" s="18"/>
      <c r="G337" s="18"/>
      <c r="H337" s="19"/>
      <c r="I337" s="19"/>
      <c r="J337" s="19"/>
      <c r="K337" s="19"/>
      <c r="L337" s="18"/>
      <c r="M337" s="18"/>
      <c r="N337" s="19"/>
      <c r="O337" s="19"/>
      <c r="P337" s="19"/>
    </row>
    <row r="338" spans="1:16" ht="17.649999999999999">
      <c r="A338" s="14">
        <v>333</v>
      </c>
      <c r="B338" s="15" t="s">
        <v>91</v>
      </c>
      <c r="C338" s="15" t="s">
        <v>816</v>
      </c>
      <c r="D338" s="16">
        <v>10568174.6053</v>
      </c>
      <c r="E338" s="17">
        <f t="shared" si="5"/>
        <v>10568174.6053</v>
      </c>
      <c r="F338" s="18"/>
      <c r="G338" s="18"/>
      <c r="H338" s="19"/>
      <c r="I338" s="19"/>
      <c r="J338" s="19"/>
      <c r="K338" s="19"/>
      <c r="L338" s="18"/>
      <c r="M338" s="18"/>
      <c r="N338" s="19"/>
      <c r="O338" s="19"/>
      <c r="P338" s="19"/>
    </row>
    <row r="339" spans="1:16" ht="17.649999999999999">
      <c r="A339" s="14">
        <v>334</v>
      </c>
      <c r="B339" s="15" t="s">
        <v>91</v>
      </c>
      <c r="C339" s="15" t="s">
        <v>818</v>
      </c>
      <c r="D339" s="16">
        <v>9900260.5702</v>
      </c>
      <c r="E339" s="17">
        <f t="shared" si="5"/>
        <v>9900260.5702</v>
      </c>
      <c r="F339" s="18"/>
      <c r="G339" s="18"/>
      <c r="H339" s="19"/>
      <c r="I339" s="19"/>
      <c r="J339" s="19"/>
      <c r="K339" s="19"/>
      <c r="L339" s="18"/>
      <c r="M339" s="18"/>
      <c r="N339" s="19"/>
      <c r="O339" s="19"/>
      <c r="P339" s="19"/>
    </row>
    <row r="340" spans="1:16" ht="17.649999999999999">
      <c r="A340" s="14">
        <v>335</v>
      </c>
      <c r="B340" s="15" t="s">
        <v>91</v>
      </c>
      <c r="C340" s="15" t="s">
        <v>820</v>
      </c>
      <c r="D340" s="16">
        <v>9081104.2866999991</v>
      </c>
      <c r="E340" s="17">
        <f t="shared" si="5"/>
        <v>9081104.2866999991</v>
      </c>
      <c r="F340" s="18"/>
      <c r="G340" s="18"/>
      <c r="H340" s="19"/>
      <c r="I340" s="19"/>
      <c r="J340" s="19"/>
      <c r="K340" s="19"/>
      <c r="L340" s="18"/>
      <c r="M340" s="18"/>
      <c r="N340" s="19"/>
      <c r="O340" s="19"/>
      <c r="P340" s="19"/>
    </row>
    <row r="341" spans="1:16" ht="17.649999999999999">
      <c r="A341" s="14">
        <v>336</v>
      </c>
      <c r="B341" s="15" t="s">
        <v>91</v>
      </c>
      <c r="C341" s="15" t="s">
        <v>822</v>
      </c>
      <c r="D341" s="16">
        <v>11144499.1656</v>
      </c>
      <c r="E341" s="17">
        <f t="shared" si="5"/>
        <v>11144499.1656</v>
      </c>
      <c r="F341" s="18"/>
      <c r="G341" s="18"/>
      <c r="H341" s="19"/>
      <c r="I341" s="19"/>
      <c r="J341" s="19"/>
      <c r="K341" s="19"/>
      <c r="L341" s="18"/>
      <c r="M341" s="18"/>
      <c r="N341" s="19"/>
      <c r="O341" s="19"/>
      <c r="P341" s="19"/>
    </row>
    <row r="342" spans="1:16" ht="17.649999999999999">
      <c r="A342" s="14">
        <v>337</v>
      </c>
      <c r="B342" s="15" t="s">
        <v>91</v>
      </c>
      <c r="C342" s="15" t="s">
        <v>824</v>
      </c>
      <c r="D342" s="16">
        <v>8241451.3766999999</v>
      </c>
      <c r="E342" s="17">
        <f t="shared" si="5"/>
        <v>8241451.3766999999</v>
      </c>
      <c r="F342" s="18"/>
      <c r="G342" s="18"/>
      <c r="H342" s="19"/>
      <c r="I342" s="19"/>
      <c r="J342" s="19"/>
      <c r="K342" s="19"/>
      <c r="L342" s="18"/>
      <c r="M342" s="18"/>
      <c r="N342" s="19"/>
      <c r="O342" s="19"/>
      <c r="P342" s="19"/>
    </row>
    <row r="343" spans="1:16" ht="17.649999999999999">
      <c r="A343" s="14">
        <v>338</v>
      </c>
      <c r="B343" s="15" t="s">
        <v>91</v>
      </c>
      <c r="C343" s="15" t="s">
        <v>826</v>
      </c>
      <c r="D343" s="16">
        <v>10344005.618100001</v>
      </c>
      <c r="E343" s="17">
        <f t="shared" si="5"/>
        <v>10344005.618100001</v>
      </c>
      <c r="F343" s="18"/>
      <c r="G343" s="18"/>
      <c r="H343" s="19"/>
      <c r="I343" s="19"/>
      <c r="J343" s="19"/>
      <c r="K343" s="19"/>
      <c r="L343" s="18"/>
      <c r="M343" s="18"/>
      <c r="N343" s="19"/>
      <c r="O343" s="19"/>
      <c r="P343" s="19"/>
    </row>
    <row r="344" spans="1:16" ht="17.649999999999999">
      <c r="A344" s="14">
        <v>339</v>
      </c>
      <c r="B344" s="15" t="s">
        <v>91</v>
      </c>
      <c r="C344" s="15" t="s">
        <v>828</v>
      </c>
      <c r="D344" s="16">
        <v>9407820.6838000007</v>
      </c>
      <c r="E344" s="17">
        <f t="shared" si="5"/>
        <v>9407820.6838000007</v>
      </c>
      <c r="F344" s="18"/>
      <c r="G344" s="18"/>
      <c r="H344" s="19"/>
      <c r="I344" s="19"/>
      <c r="J344" s="19"/>
      <c r="K344" s="19"/>
      <c r="L344" s="18"/>
      <c r="M344" s="18"/>
      <c r="N344" s="19"/>
      <c r="O344" s="19"/>
      <c r="P344" s="19"/>
    </row>
    <row r="345" spans="1:16" ht="17.649999999999999">
      <c r="A345" s="14">
        <v>340</v>
      </c>
      <c r="B345" s="15" t="s">
        <v>91</v>
      </c>
      <c r="C345" s="15" t="s">
        <v>830</v>
      </c>
      <c r="D345" s="16">
        <v>8717518.5316000003</v>
      </c>
      <c r="E345" s="17">
        <f t="shared" si="5"/>
        <v>8717518.5316000003</v>
      </c>
      <c r="F345" s="18"/>
      <c r="G345" s="18"/>
      <c r="H345" s="19"/>
      <c r="I345" s="19"/>
      <c r="J345" s="19"/>
      <c r="K345" s="19"/>
      <c r="L345" s="18"/>
      <c r="M345" s="18"/>
      <c r="N345" s="19"/>
      <c r="O345" s="19"/>
      <c r="P345" s="19"/>
    </row>
    <row r="346" spans="1:16" ht="17.649999999999999">
      <c r="A346" s="14">
        <v>341</v>
      </c>
      <c r="B346" s="15" t="s">
        <v>92</v>
      </c>
      <c r="C346" s="15" t="s">
        <v>835</v>
      </c>
      <c r="D346" s="16">
        <v>16321707.965500001</v>
      </c>
      <c r="E346" s="17">
        <f t="shared" si="5"/>
        <v>16321707.965500001</v>
      </c>
      <c r="F346" s="18"/>
      <c r="G346" s="18"/>
      <c r="H346" s="19"/>
      <c r="I346" s="19"/>
      <c r="J346" s="19"/>
      <c r="K346" s="19"/>
      <c r="L346" s="18"/>
      <c r="M346" s="18"/>
      <c r="N346" s="19"/>
      <c r="O346" s="19"/>
      <c r="P346" s="19"/>
    </row>
    <row r="347" spans="1:16" ht="17.649999999999999">
      <c r="A347" s="14">
        <v>342</v>
      </c>
      <c r="B347" s="15" t="s">
        <v>92</v>
      </c>
      <c r="C347" s="15" t="s">
        <v>837</v>
      </c>
      <c r="D347" s="16">
        <v>16596342.5648</v>
      </c>
      <c r="E347" s="17">
        <f t="shared" si="5"/>
        <v>16596342.5648</v>
      </c>
      <c r="F347" s="18"/>
      <c r="G347" s="18"/>
      <c r="H347" s="19"/>
      <c r="I347" s="19"/>
      <c r="J347" s="19"/>
      <c r="K347" s="19"/>
      <c r="L347" s="18"/>
      <c r="M347" s="18"/>
      <c r="N347" s="19"/>
      <c r="O347" s="19"/>
      <c r="P347" s="19"/>
    </row>
    <row r="348" spans="1:16" ht="17.649999999999999">
      <c r="A348" s="14">
        <v>343</v>
      </c>
      <c r="B348" s="15" t="s">
        <v>92</v>
      </c>
      <c r="C348" s="15" t="s">
        <v>839</v>
      </c>
      <c r="D348" s="16">
        <v>13734798.822000001</v>
      </c>
      <c r="E348" s="17">
        <f t="shared" si="5"/>
        <v>13734798.822000001</v>
      </c>
      <c r="F348" s="18"/>
      <c r="G348" s="18"/>
      <c r="H348" s="19"/>
      <c r="I348" s="19"/>
      <c r="J348" s="19"/>
      <c r="K348" s="19"/>
      <c r="L348" s="18"/>
      <c r="M348" s="18"/>
      <c r="N348" s="19"/>
      <c r="O348" s="19"/>
      <c r="P348" s="19"/>
    </row>
    <row r="349" spans="1:16" ht="17.649999999999999">
      <c r="A349" s="14">
        <v>344</v>
      </c>
      <c r="B349" s="15" t="s">
        <v>92</v>
      </c>
      <c r="C349" s="15" t="s">
        <v>841</v>
      </c>
      <c r="D349" s="16">
        <v>10575598.602</v>
      </c>
      <c r="E349" s="17">
        <f t="shared" si="5"/>
        <v>10575598.602</v>
      </c>
      <c r="F349" s="18"/>
      <c r="G349" s="18"/>
      <c r="H349" s="19"/>
      <c r="I349" s="19"/>
      <c r="J349" s="19"/>
      <c r="K349" s="19"/>
      <c r="L349" s="18"/>
      <c r="M349" s="18"/>
      <c r="N349" s="19"/>
      <c r="O349" s="19"/>
      <c r="P349" s="19"/>
    </row>
    <row r="350" spans="1:16" ht="17.649999999999999">
      <c r="A350" s="14">
        <v>345</v>
      </c>
      <c r="B350" s="15" t="s">
        <v>92</v>
      </c>
      <c r="C350" s="15" t="s">
        <v>843</v>
      </c>
      <c r="D350" s="16">
        <v>17385806.681400001</v>
      </c>
      <c r="E350" s="17">
        <f t="shared" si="5"/>
        <v>17385806.681400001</v>
      </c>
      <c r="F350" s="18"/>
      <c r="G350" s="18"/>
      <c r="H350" s="19"/>
      <c r="I350" s="19"/>
      <c r="J350" s="19"/>
      <c r="K350" s="19"/>
      <c r="L350" s="18"/>
      <c r="M350" s="18"/>
      <c r="N350" s="19"/>
      <c r="O350" s="19"/>
      <c r="P350" s="19"/>
    </row>
    <row r="351" spans="1:16" ht="17.649999999999999">
      <c r="A351" s="14">
        <v>346</v>
      </c>
      <c r="B351" s="15" t="s">
        <v>92</v>
      </c>
      <c r="C351" s="15" t="s">
        <v>845</v>
      </c>
      <c r="D351" s="16">
        <v>11646922.189999999</v>
      </c>
      <c r="E351" s="17">
        <f t="shared" si="5"/>
        <v>11646922.189999999</v>
      </c>
      <c r="F351" s="18"/>
      <c r="G351" s="18"/>
      <c r="H351" s="19"/>
      <c r="I351" s="19"/>
      <c r="J351" s="19"/>
      <c r="K351" s="19"/>
      <c r="L351" s="18"/>
      <c r="M351" s="18"/>
      <c r="N351" s="19"/>
      <c r="O351" s="19"/>
      <c r="P351" s="19"/>
    </row>
    <row r="352" spans="1:16" ht="17.649999999999999">
      <c r="A352" s="14">
        <v>347</v>
      </c>
      <c r="B352" s="15" t="s">
        <v>92</v>
      </c>
      <c r="C352" s="15" t="s">
        <v>847</v>
      </c>
      <c r="D352" s="16">
        <v>10156093.241599999</v>
      </c>
      <c r="E352" s="17">
        <f t="shared" si="5"/>
        <v>10156093.241599999</v>
      </c>
      <c r="F352" s="18"/>
      <c r="G352" s="18"/>
      <c r="H352" s="19"/>
      <c r="I352" s="19"/>
      <c r="J352" s="19"/>
      <c r="K352" s="19"/>
      <c r="L352" s="18"/>
      <c r="M352" s="18"/>
      <c r="N352" s="19"/>
      <c r="O352" s="19"/>
      <c r="P352" s="19"/>
    </row>
    <row r="353" spans="1:16" ht="17.649999999999999">
      <c r="A353" s="14">
        <v>348</v>
      </c>
      <c r="B353" s="15" t="s">
        <v>92</v>
      </c>
      <c r="C353" s="15" t="s">
        <v>849</v>
      </c>
      <c r="D353" s="16">
        <v>13532328.348200001</v>
      </c>
      <c r="E353" s="17">
        <f t="shared" si="5"/>
        <v>13532328.348200001</v>
      </c>
      <c r="F353" s="18"/>
      <c r="G353" s="18"/>
      <c r="H353" s="19"/>
      <c r="I353" s="19"/>
      <c r="J353" s="19"/>
      <c r="K353" s="19"/>
      <c r="L353" s="18"/>
      <c r="M353" s="18"/>
      <c r="N353" s="19"/>
      <c r="O353" s="19"/>
      <c r="P353" s="19"/>
    </row>
    <row r="354" spans="1:16" ht="17.649999999999999">
      <c r="A354" s="14">
        <v>349</v>
      </c>
      <c r="B354" s="15" t="s">
        <v>92</v>
      </c>
      <c r="C354" s="15" t="s">
        <v>851</v>
      </c>
      <c r="D354" s="16">
        <v>14927565.831599999</v>
      </c>
      <c r="E354" s="17">
        <f t="shared" si="5"/>
        <v>14927565.831599999</v>
      </c>
      <c r="F354" s="18"/>
      <c r="G354" s="18"/>
      <c r="H354" s="19"/>
      <c r="I354" s="19"/>
      <c r="J354" s="19"/>
      <c r="K354" s="19"/>
      <c r="L354" s="18"/>
      <c r="M354" s="18"/>
      <c r="N354" s="19"/>
      <c r="O354" s="19"/>
      <c r="P354" s="19"/>
    </row>
    <row r="355" spans="1:16" ht="17.649999999999999">
      <c r="A355" s="14">
        <v>350</v>
      </c>
      <c r="B355" s="15" t="s">
        <v>92</v>
      </c>
      <c r="C355" s="15" t="s">
        <v>853</v>
      </c>
      <c r="D355" s="16">
        <v>14102084.7686</v>
      </c>
      <c r="E355" s="17">
        <f t="shared" si="5"/>
        <v>14102084.7686</v>
      </c>
      <c r="F355" s="18"/>
      <c r="G355" s="18"/>
      <c r="H355" s="19"/>
      <c r="I355" s="19"/>
      <c r="J355" s="19"/>
      <c r="K355" s="19"/>
      <c r="L355" s="18"/>
      <c r="M355" s="18"/>
      <c r="N355" s="19"/>
      <c r="O355" s="19"/>
      <c r="P355" s="19"/>
    </row>
    <row r="356" spans="1:16" ht="17.649999999999999">
      <c r="A356" s="14">
        <v>351</v>
      </c>
      <c r="B356" s="15" t="s">
        <v>92</v>
      </c>
      <c r="C356" s="15" t="s">
        <v>855</v>
      </c>
      <c r="D356" s="16">
        <v>15056181.450300001</v>
      </c>
      <c r="E356" s="17">
        <f t="shared" si="5"/>
        <v>15056181.450300001</v>
      </c>
      <c r="F356" s="18"/>
      <c r="G356" s="18"/>
      <c r="H356" s="19"/>
      <c r="I356" s="19"/>
      <c r="J356" s="19"/>
      <c r="K356" s="19"/>
      <c r="L356" s="18"/>
      <c r="M356" s="18"/>
      <c r="N356" s="19"/>
      <c r="O356" s="19"/>
      <c r="P356" s="19"/>
    </row>
    <row r="357" spans="1:16" ht="17.649999999999999">
      <c r="A357" s="14">
        <v>352</v>
      </c>
      <c r="B357" s="15" t="s">
        <v>92</v>
      </c>
      <c r="C357" s="15" t="s">
        <v>857</v>
      </c>
      <c r="D357" s="16">
        <v>13011161.524700001</v>
      </c>
      <c r="E357" s="17">
        <f t="shared" si="5"/>
        <v>13011161.524700001</v>
      </c>
      <c r="F357" s="18"/>
      <c r="G357" s="18"/>
      <c r="H357" s="19"/>
      <c r="I357" s="19"/>
      <c r="J357" s="19"/>
      <c r="K357" s="19"/>
      <c r="L357" s="18"/>
      <c r="M357" s="18"/>
      <c r="N357" s="19"/>
      <c r="O357" s="19"/>
      <c r="P357" s="19"/>
    </row>
    <row r="358" spans="1:16" ht="17.649999999999999">
      <c r="A358" s="14">
        <v>353</v>
      </c>
      <c r="B358" s="15" t="s">
        <v>92</v>
      </c>
      <c r="C358" s="15" t="s">
        <v>859</v>
      </c>
      <c r="D358" s="16">
        <v>11272450.057499999</v>
      </c>
      <c r="E358" s="17">
        <f t="shared" si="5"/>
        <v>11272450.057499999</v>
      </c>
      <c r="F358" s="18"/>
      <c r="G358" s="18"/>
      <c r="H358" s="19"/>
      <c r="I358" s="19"/>
      <c r="J358" s="19"/>
      <c r="K358" s="19"/>
      <c r="L358" s="18"/>
      <c r="M358" s="18"/>
      <c r="N358" s="19"/>
      <c r="O358" s="19"/>
      <c r="P358" s="19"/>
    </row>
    <row r="359" spans="1:16" ht="17.649999999999999">
      <c r="A359" s="14">
        <v>354</v>
      </c>
      <c r="B359" s="15" t="s">
        <v>92</v>
      </c>
      <c r="C359" s="15" t="s">
        <v>861</v>
      </c>
      <c r="D359" s="16">
        <v>11606923.5942</v>
      </c>
      <c r="E359" s="17">
        <f t="shared" si="5"/>
        <v>11606923.5942</v>
      </c>
      <c r="F359" s="18"/>
      <c r="G359" s="18"/>
      <c r="H359" s="19"/>
      <c r="I359" s="19"/>
      <c r="J359" s="19"/>
      <c r="K359" s="19"/>
      <c r="L359" s="18"/>
      <c r="M359" s="18"/>
      <c r="N359" s="19"/>
      <c r="O359" s="19"/>
      <c r="P359" s="19"/>
    </row>
    <row r="360" spans="1:16" ht="17.649999999999999">
      <c r="A360" s="14">
        <v>355</v>
      </c>
      <c r="B360" s="15" t="s">
        <v>92</v>
      </c>
      <c r="C360" s="15" t="s">
        <v>863</v>
      </c>
      <c r="D360" s="16">
        <v>13436150.307399999</v>
      </c>
      <c r="E360" s="17">
        <f t="shared" si="5"/>
        <v>13436150.307399999</v>
      </c>
      <c r="F360" s="18"/>
      <c r="G360" s="18"/>
      <c r="H360" s="19"/>
      <c r="I360" s="19"/>
      <c r="J360" s="19"/>
      <c r="K360" s="19"/>
      <c r="L360" s="18"/>
      <c r="M360" s="18"/>
      <c r="N360" s="19"/>
      <c r="O360" s="19"/>
      <c r="P360" s="19"/>
    </row>
    <row r="361" spans="1:16" ht="17.649999999999999">
      <c r="A361" s="14">
        <v>356</v>
      </c>
      <c r="B361" s="15" t="s">
        <v>92</v>
      </c>
      <c r="C361" s="15" t="s">
        <v>865</v>
      </c>
      <c r="D361" s="16">
        <v>10421529.011</v>
      </c>
      <c r="E361" s="17">
        <f t="shared" si="5"/>
        <v>10421529.011</v>
      </c>
      <c r="F361" s="18"/>
      <c r="G361" s="18"/>
      <c r="H361" s="19"/>
      <c r="I361" s="19"/>
      <c r="J361" s="19"/>
      <c r="K361" s="19"/>
      <c r="L361" s="18"/>
      <c r="M361" s="18"/>
      <c r="N361" s="19"/>
      <c r="O361" s="19"/>
      <c r="P361" s="19"/>
    </row>
    <row r="362" spans="1:16" ht="17.649999999999999">
      <c r="A362" s="14">
        <v>357</v>
      </c>
      <c r="B362" s="15" t="s">
        <v>92</v>
      </c>
      <c r="C362" s="15" t="s">
        <v>867</v>
      </c>
      <c r="D362" s="16">
        <v>14500755.579399999</v>
      </c>
      <c r="E362" s="17">
        <f t="shared" si="5"/>
        <v>14500755.579399999</v>
      </c>
      <c r="F362" s="18"/>
      <c r="G362" s="18"/>
      <c r="H362" s="19"/>
      <c r="I362" s="19"/>
      <c r="J362" s="19"/>
      <c r="K362" s="19"/>
      <c r="L362" s="18"/>
      <c r="M362" s="18"/>
      <c r="N362" s="19"/>
      <c r="O362" s="19"/>
      <c r="P362" s="19"/>
    </row>
    <row r="363" spans="1:16" ht="17.649999999999999">
      <c r="A363" s="14">
        <v>358</v>
      </c>
      <c r="B363" s="15" t="s">
        <v>92</v>
      </c>
      <c r="C363" s="15" t="s">
        <v>869</v>
      </c>
      <c r="D363" s="16">
        <v>9753412.9350000005</v>
      </c>
      <c r="E363" s="17">
        <f t="shared" si="5"/>
        <v>9753412.9350000005</v>
      </c>
      <c r="F363" s="18"/>
      <c r="G363" s="18"/>
      <c r="H363" s="19"/>
      <c r="I363" s="19"/>
      <c r="J363" s="19"/>
      <c r="K363" s="19"/>
      <c r="L363" s="18"/>
      <c r="M363" s="18"/>
      <c r="N363" s="19"/>
      <c r="O363" s="19"/>
      <c r="P363" s="19"/>
    </row>
    <row r="364" spans="1:16" ht="17.649999999999999">
      <c r="A364" s="14">
        <v>359</v>
      </c>
      <c r="B364" s="15" t="s">
        <v>92</v>
      </c>
      <c r="C364" s="15" t="s">
        <v>871</v>
      </c>
      <c r="D364" s="16">
        <v>12869615.9275</v>
      </c>
      <c r="E364" s="17">
        <f t="shared" si="5"/>
        <v>12869615.9275</v>
      </c>
      <c r="F364" s="18"/>
      <c r="G364" s="18"/>
      <c r="H364" s="19"/>
      <c r="I364" s="19"/>
      <c r="J364" s="19"/>
      <c r="K364" s="19"/>
      <c r="L364" s="18"/>
      <c r="M364" s="18"/>
      <c r="N364" s="19"/>
      <c r="O364" s="19"/>
      <c r="P364" s="19"/>
    </row>
    <row r="365" spans="1:16" ht="17.649999999999999">
      <c r="A365" s="14">
        <v>360</v>
      </c>
      <c r="B365" s="15" t="s">
        <v>92</v>
      </c>
      <c r="C365" s="15" t="s">
        <v>873</v>
      </c>
      <c r="D365" s="16">
        <v>10790234.318299999</v>
      </c>
      <c r="E365" s="17">
        <f t="shared" si="5"/>
        <v>10790234.318299999</v>
      </c>
      <c r="F365" s="18"/>
      <c r="G365" s="18"/>
      <c r="H365" s="19"/>
      <c r="I365" s="19"/>
      <c r="J365" s="19"/>
      <c r="K365" s="19"/>
      <c r="L365" s="18"/>
      <c r="M365" s="18"/>
      <c r="N365" s="19"/>
      <c r="O365" s="19"/>
      <c r="P365" s="19"/>
    </row>
    <row r="366" spans="1:16" ht="17.649999999999999">
      <c r="A366" s="14">
        <v>361</v>
      </c>
      <c r="B366" s="15" t="s">
        <v>92</v>
      </c>
      <c r="C366" s="15" t="s">
        <v>875</v>
      </c>
      <c r="D366" s="16">
        <v>13753612.5097</v>
      </c>
      <c r="E366" s="17">
        <f t="shared" si="5"/>
        <v>13753612.5097</v>
      </c>
      <c r="F366" s="18"/>
      <c r="G366" s="18"/>
      <c r="H366" s="19"/>
      <c r="I366" s="19"/>
      <c r="J366" s="19"/>
      <c r="K366" s="19"/>
      <c r="L366" s="18"/>
      <c r="M366" s="18"/>
      <c r="N366" s="19"/>
      <c r="O366" s="19"/>
      <c r="P366" s="19"/>
    </row>
    <row r="367" spans="1:16" ht="17.649999999999999">
      <c r="A367" s="14">
        <v>362</v>
      </c>
      <c r="B367" s="15" t="s">
        <v>92</v>
      </c>
      <c r="C367" s="15" t="s">
        <v>877</v>
      </c>
      <c r="D367" s="16">
        <v>15387519.5923</v>
      </c>
      <c r="E367" s="17">
        <f t="shared" si="5"/>
        <v>15387519.5923</v>
      </c>
      <c r="F367" s="18"/>
      <c r="G367" s="18"/>
      <c r="H367" s="19"/>
      <c r="I367" s="19"/>
      <c r="J367" s="19"/>
      <c r="K367" s="19"/>
      <c r="L367" s="18"/>
      <c r="M367" s="18"/>
      <c r="N367" s="19"/>
      <c r="O367" s="19"/>
      <c r="P367" s="19"/>
    </row>
    <row r="368" spans="1:16" ht="17.649999999999999">
      <c r="A368" s="14">
        <v>363</v>
      </c>
      <c r="B368" s="15" t="s">
        <v>92</v>
      </c>
      <c r="C368" s="15" t="s">
        <v>879</v>
      </c>
      <c r="D368" s="16">
        <v>15711986.9472</v>
      </c>
      <c r="E368" s="17">
        <f t="shared" si="5"/>
        <v>15711986.9472</v>
      </c>
      <c r="F368" s="18"/>
      <c r="G368" s="18"/>
      <c r="H368" s="19"/>
      <c r="I368" s="19"/>
      <c r="J368" s="19"/>
      <c r="K368" s="19"/>
      <c r="L368" s="18"/>
      <c r="M368" s="18"/>
      <c r="N368" s="19"/>
      <c r="O368" s="19"/>
      <c r="P368" s="19"/>
    </row>
    <row r="369" spans="1:16" ht="17.649999999999999">
      <c r="A369" s="14">
        <v>364</v>
      </c>
      <c r="B369" s="15" t="s">
        <v>93</v>
      </c>
      <c r="C369" s="15" t="s">
        <v>883</v>
      </c>
      <c r="D369" s="16">
        <v>10082698.1592</v>
      </c>
      <c r="E369" s="17">
        <f t="shared" si="5"/>
        <v>10082698.1592</v>
      </c>
      <c r="F369" s="18"/>
      <c r="G369" s="18"/>
      <c r="H369" s="19"/>
      <c r="I369" s="19"/>
      <c r="J369" s="19"/>
      <c r="K369" s="19"/>
      <c r="L369" s="18"/>
      <c r="M369" s="18"/>
      <c r="N369" s="19"/>
      <c r="O369" s="19"/>
      <c r="P369" s="19"/>
    </row>
    <row r="370" spans="1:16" ht="17.649999999999999">
      <c r="A370" s="14">
        <v>365</v>
      </c>
      <c r="B370" s="15" t="s">
        <v>93</v>
      </c>
      <c r="C370" s="15" t="s">
        <v>885</v>
      </c>
      <c r="D370" s="16">
        <v>10327332.6972</v>
      </c>
      <c r="E370" s="17">
        <f t="shared" si="5"/>
        <v>10327332.6972</v>
      </c>
      <c r="F370" s="18"/>
      <c r="G370" s="18"/>
      <c r="H370" s="19"/>
      <c r="I370" s="19"/>
      <c r="J370" s="19"/>
      <c r="K370" s="19"/>
      <c r="L370" s="18"/>
      <c r="M370" s="18"/>
      <c r="N370" s="19"/>
      <c r="O370" s="19"/>
      <c r="P370" s="19"/>
    </row>
    <row r="371" spans="1:16" ht="17.649999999999999">
      <c r="A371" s="14">
        <v>366</v>
      </c>
      <c r="B371" s="15" t="s">
        <v>93</v>
      </c>
      <c r="C371" s="15" t="s">
        <v>887</v>
      </c>
      <c r="D371" s="16">
        <v>9416492.7751000002</v>
      </c>
      <c r="E371" s="17">
        <f t="shared" si="5"/>
        <v>9416492.7751000002</v>
      </c>
      <c r="F371" s="18"/>
      <c r="G371" s="18"/>
      <c r="H371" s="19"/>
      <c r="I371" s="19"/>
      <c r="J371" s="19"/>
      <c r="K371" s="19"/>
      <c r="L371" s="18"/>
      <c r="M371" s="18"/>
      <c r="N371" s="19"/>
      <c r="O371" s="19"/>
      <c r="P371" s="19"/>
    </row>
    <row r="372" spans="1:16" ht="17.649999999999999">
      <c r="A372" s="14">
        <v>367</v>
      </c>
      <c r="B372" s="15" t="s">
        <v>93</v>
      </c>
      <c r="C372" s="15" t="s">
        <v>889</v>
      </c>
      <c r="D372" s="16">
        <v>10215592.8379</v>
      </c>
      <c r="E372" s="17">
        <f t="shared" si="5"/>
        <v>10215592.8379</v>
      </c>
      <c r="F372" s="18"/>
      <c r="G372" s="18"/>
      <c r="H372" s="19"/>
      <c r="I372" s="19"/>
      <c r="J372" s="19"/>
      <c r="K372" s="19"/>
      <c r="L372" s="18"/>
      <c r="M372" s="18"/>
      <c r="N372" s="19"/>
      <c r="O372" s="19"/>
      <c r="P372" s="19"/>
    </row>
    <row r="373" spans="1:16" ht="17.649999999999999">
      <c r="A373" s="14">
        <v>368</v>
      </c>
      <c r="B373" s="15" t="s">
        <v>93</v>
      </c>
      <c r="C373" s="15" t="s">
        <v>891</v>
      </c>
      <c r="D373" s="16">
        <v>12381634.8082</v>
      </c>
      <c r="E373" s="17">
        <f t="shared" si="5"/>
        <v>12381634.8082</v>
      </c>
      <c r="F373" s="18"/>
      <c r="G373" s="18"/>
      <c r="H373" s="19"/>
      <c r="I373" s="19"/>
      <c r="J373" s="19"/>
      <c r="K373" s="19"/>
      <c r="L373" s="18"/>
      <c r="M373" s="18"/>
      <c r="N373" s="19"/>
      <c r="O373" s="19"/>
      <c r="P373" s="19"/>
    </row>
    <row r="374" spans="1:16" ht="17.649999999999999">
      <c r="A374" s="14">
        <v>369</v>
      </c>
      <c r="B374" s="15" t="s">
        <v>93</v>
      </c>
      <c r="C374" s="15" t="s">
        <v>893</v>
      </c>
      <c r="D374" s="16">
        <v>9864509.3592000008</v>
      </c>
      <c r="E374" s="17">
        <f t="shared" si="5"/>
        <v>9864509.3592000008</v>
      </c>
      <c r="F374" s="18"/>
      <c r="G374" s="18"/>
      <c r="H374" s="19"/>
      <c r="I374" s="19"/>
      <c r="J374" s="19"/>
      <c r="K374" s="19"/>
      <c r="L374" s="18"/>
      <c r="M374" s="18"/>
      <c r="N374" s="19"/>
      <c r="O374" s="19"/>
      <c r="P374" s="19"/>
    </row>
    <row r="375" spans="1:16" ht="17.649999999999999">
      <c r="A375" s="14">
        <v>370</v>
      </c>
      <c r="B375" s="15" t="s">
        <v>93</v>
      </c>
      <c r="C375" s="15" t="s">
        <v>895</v>
      </c>
      <c r="D375" s="16">
        <v>15922391.0636</v>
      </c>
      <c r="E375" s="17">
        <f t="shared" si="5"/>
        <v>15922391.0636</v>
      </c>
      <c r="F375" s="18"/>
      <c r="G375" s="18"/>
      <c r="H375" s="19"/>
      <c r="I375" s="19"/>
      <c r="J375" s="19"/>
      <c r="K375" s="19"/>
      <c r="L375" s="18"/>
      <c r="M375" s="18"/>
      <c r="N375" s="19"/>
      <c r="O375" s="19"/>
      <c r="P375" s="19"/>
    </row>
    <row r="376" spans="1:16" ht="17.649999999999999">
      <c r="A376" s="14">
        <v>371</v>
      </c>
      <c r="B376" s="15" t="s">
        <v>93</v>
      </c>
      <c r="C376" s="15" t="s">
        <v>897</v>
      </c>
      <c r="D376" s="16">
        <v>10848176.392999999</v>
      </c>
      <c r="E376" s="17">
        <f t="shared" si="5"/>
        <v>10848176.392999999</v>
      </c>
      <c r="F376" s="18"/>
      <c r="G376" s="18"/>
      <c r="H376" s="19"/>
      <c r="I376" s="19"/>
      <c r="J376" s="19"/>
      <c r="K376" s="19"/>
      <c r="L376" s="18"/>
      <c r="M376" s="18"/>
      <c r="N376" s="19"/>
      <c r="O376" s="19"/>
      <c r="P376" s="19"/>
    </row>
    <row r="377" spans="1:16" ht="17.649999999999999">
      <c r="A377" s="14">
        <v>372</v>
      </c>
      <c r="B377" s="15" t="s">
        <v>93</v>
      </c>
      <c r="C377" s="15" t="s">
        <v>899</v>
      </c>
      <c r="D377" s="16">
        <v>11661368.525900001</v>
      </c>
      <c r="E377" s="17">
        <f t="shared" si="5"/>
        <v>11661368.525900001</v>
      </c>
      <c r="F377" s="18"/>
      <c r="G377" s="18"/>
      <c r="H377" s="19"/>
      <c r="I377" s="19"/>
      <c r="J377" s="19"/>
      <c r="K377" s="19"/>
      <c r="L377" s="18"/>
      <c r="M377" s="18"/>
      <c r="N377" s="19"/>
      <c r="O377" s="19"/>
      <c r="P377" s="19"/>
    </row>
    <row r="378" spans="1:16" ht="17.649999999999999">
      <c r="A378" s="14">
        <v>373</v>
      </c>
      <c r="B378" s="15" t="s">
        <v>93</v>
      </c>
      <c r="C378" s="15" t="s">
        <v>901</v>
      </c>
      <c r="D378" s="16">
        <v>11743041.4472</v>
      </c>
      <c r="E378" s="17">
        <f t="shared" si="5"/>
        <v>11743041.4472</v>
      </c>
      <c r="F378" s="18"/>
      <c r="G378" s="18"/>
      <c r="H378" s="19"/>
      <c r="I378" s="19"/>
      <c r="J378" s="19"/>
      <c r="K378" s="19"/>
      <c r="L378" s="18"/>
      <c r="M378" s="18"/>
      <c r="N378" s="19"/>
      <c r="O378" s="19"/>
      <c r="P378" s="19"/>
    </row>
    <row r="379" spans="1:16" ht="17.649999999999999">
      <c r="A379" s="14">
        <v>374</v>
      </c>
      <c r="B379" s="15" t="s">
        <v>93</v>
      </c>
      <c r="C379" s="15" t="s">
        <v>902</v>
      </c>
      <c r="D379" s="16">
        <v>10884176.467</v>
      </c>
      <c r="E379" s="17">
        <f t="shared" si="5"/>
        <v>10884176.467</v>
      </c>
      <c r="F379" s="18"/>
      <c r="G379" s="18"/>
      <c r="H379" s="19"/>
      <c r="I379" s="19"/>
      <c r="J379" s="19"/>
      <c r="K379" s="19"/>
      <c r="L379" s="18"/>
      <c r="M379" s="18"/>
      <c r="N379" s="19"/>
      <c r="O379" s="19"/>
      <c r="P379" s="19"/>
    </row>
    <row r="380" spans="1:16" ht="17.649999999999999">
      <c r="A380" s="14">
        <v>375</v>
      </c>
      <c r="B380" s="15" t="s">
        <v>93</v>
      </c>
      <c r="C380" s="15" t="s">
        <v>904</v>
      </c>
      <c r="D380" s="16">
        <v>10663052.5678</v>
      </c>
      <c r="E380" s="17">
        <f t="shared" si="5"/>
        <v>10663052.5678</v>
      </c>
      <c r="F380" s="18"/>
      <c r="G380" s="18"/>
      <c r="H380" s="19"/>
      <c r="I380" s="19"/>
      <c r="J380" s="19"/>
      <c r="K380" s="19"/>
      <c r="L380" s="18"/>
      <c r="M380" s="18"/>
      <c r="N380" s="19"/>
      <c r="O380" s="19"/>
      <c r="P380" s="19"/>
    </row>
    <row r="381" spans="1:16" ht="17.649999999999999">
      <c r="A381" s="14">
        <v>376</v>
      </c>
      <c r="B381" s="15" t="s">
        <v>93</v>
      </c>
      <c r="C381" s="15" t="s">
        <v>906</v>
      </c>
      <c r="D381" s="16">
        <v>11141382.355699999</v>
      </c>
      <c r="E381" s="17">
        <f t="shared" si="5"/>
        <v>11141382.355699999</v>
      </c>
      <c r="F381" s="18"/>
      <c r="G381" s="18"/>
      <c r="H381" s="19"/>
      <c r="I381" s="19"/>
      <c r="J381" s="19"/>
      <c r="K381" s="19"/>
      <c r="L381" s="18"/>
      <c r="M381" s="18"/>
      <c r="N381" s="19"/>
      <c r="O381" s="19"/>
      <c r="P381" s="19"/>
    </row>
    <row r="382" spans="1:16" ht="17.649999999999999">
      <c r="A382" s="14">
        <v>377</v>
      </c>
      <c r="B382" s="15" t="s">
        <v>93</v>
      </c>
      <c r="C382" s="15" t="s">
        <v>908</v>
      </c>
      <c r="D382" s="16">
        <v>9938163.0567000005</v>
      </c>
      <c r="E382" s="17">
        <f t="shared" si="5"/>
        <v>9938163.0567000005</v>
      </c>
      <c r="F382" s="18"/>
      <c r="G382" s="18"/>
      <c r="H382" s="19"/>
      <c r="I382" s="19"/>
      <c r="J382" s="19"/>
      <c r="K382" s="19"/>
      <c r="L382" s="18"/>
      <c r="M382" s="18"/>
      <c r="N382" s="19"/>
      <c r="O382" s="19"/>
      <c r="P382" s="19"/>
    </row>
    <row r="383" spans="1:16" ht="17.649999999999999">
      <c r="A383" s="14">
        <v>378</v>
      </c>
      <c r="B383" s="15" t="s">
        <v>93</v>
      </c>
      <c r="C383" s="15" t="s">
        <v>910</v>
      </c>
      <c r="D383" s="16">
        <v>9886303.318</v>
      </c>
      <c r="E383" s="17">
        <f t="shared" si="5"/>
        <v>9886303.318</v>
      </c>
      <c r="F383" s="18"/>
      <c r="G383" s="18"/>
      <c r="H383" s="19"/>
      <c r="I383" s="19"/>
      <c r="J383" s="19"/>
      <c r="K383" s="19"/>
      <c r="L383" s="18"/>
      <c r="M383" s="18"/>
      <c r="N383" s="19"/>
      <c r="O383" s="19"/>
      <c r="P383" s="19"/>
    </row>
    <row r="384" spans="1:16" ht="17.649999999999999">
      <c r="A384" s="14">
        <v>379</v>
      </c>
      <c r="B384" s="15" t="s">
        <v>93</v>
      </c>
      <c r="C384" s="15" t="s">
        <v>912</v>
      </c>
      <c r="D384" s="16">
        <v>10684828.576099999</v>
      </c>
      <c r="E384" s="17">
        <f t="shared" si="5"/>
        <v>10684828.576099999</v>
      </c>
      <c r="F384" s="18"/>
      <c r="G384" s="18"/>
      <c r="H384" s="19"/>
      <c r="I384" s="19"/>
      <c r="J384" s="19"/>
      <c r="K384" s="19"/>
      <c r="L384" s="18"/>
      <c r="M384" s="18"/>
      <c r="N384" s="19"/>
      <c r="O384" s="19"/>
      <c r="P384" s="19"/>
    </row>
    <row r="385" spans="1:16" ht="17.649999999999999">
      <c r="A385" s="14">
        <v>380</v>
      </c>
      <c r="B385" s="15" t="s">
        <v>93</v>
      </c>
      <c r="C385" s="15" t="s">
        <v>914</v>
      </c>
      <c r="D385" s="16">
        <v>12201333.5349</v>
      </c>
      <c r="E385" s="17">
        <f t="shared" si="5"/>
        <v>12201333.5349</v>
      </c>
      <c r="F385" s="18"/>
      <c r="G385" s="18"/>
      <c r="H385" s="19"/>
      <c r="I385" s="19"/>
      <c r="J385" s="19"/>
      <c r="K385" s="19"/>
      <c r="L385" s="18"/>
      <c r="M385" s="18"/>
      <c r="N385" s="19"/>
      <c r="O385" s="19"/>
      <c r="P385" s="19"/>
    </row>
    <row r="386" spans="1:16" ht="17.649999999999999">
      <c r="A386" s="14">
        <v>381</v>
      </c>
      <c r="B386" s="15" t="s">
        <v>93</v>
      </c>
      <c r="C386" s="15" t="s">
        <v>916</v>
      </c>
      <c r="D386" s="16">
        <v>14669317.6511</v>
      </c>
      <c r="E386" s="17">
        <f t="shared" si="5"/>
        <v>14669317.6511</v>
      </c>
      <c r="F386" s="18"/>
      <c r="G386" s="18"/>
      <c r="H386" s="19"/>
      <c r="I386" s="19"/>
      <c r="J386" s="19"/>
      <c r="K386" s="19"/>
      <c r="L386" s="18"/>
      <c r="M386" s="18"/>
      <c r="N386" s="19"/>
      <c r="O386" s="19"/>
      <c r="P386" s="19"/>
    </row>
    <row r="387" spans="1:16" ht="17.649999999999999">
      <c r="A387" s="14">
        <v>382</v>
      </c>
      <c r="B387" s="15" t="s">
        <v>93</v>
      </c>
      <c r="C387" s="15" t="s">
        <v>919</v>
      </c>
      <c r="D387" s="16">
        <v>10085518.2622</v>
      </c>
      <c r="E387" s="17">
        <f t="shared" si="5"/>
        <v>10085518.2622</v>
      </c>
      <c r="F387" s="18"/>
      <c r="G387" s="18"/>
      <c r="H387" s="19"/>
      <c r="I387" s="19"/>
      <c r="J387" s="19"/>
      <c r="K387" s="19"/>
      <c r="L387" s="18"/>
      <c r="M387" s="18"/>
      <c r="N387" s="19"/>
      <c r="O387" s="19"/>
      <c r="P387" s="19"/>
    </row>
    <row r="388" spans="1:16" ht="17.649999999999999">
      <c r="A388" s="14">
        <v>383</v>
      </c>
      <c r="B388" s="15" t="s">
        <v>93</v>
      </c>
      <c r="C388" s="15" t="s">
        <v>921</v>
      </c>
      <c r="D388" s="16">
        <v>9718068.5578000005</v>
      </c>
      <c r="E388" s="17">
        <f t="shared" si="5"/>
        <v>9718068.5578000005</v>
      </c>
      <c r="F388" s="18"/>
      <c r="G388" s="18"/>
      <c r="H388" s="19"/>
      <c r="I388" s="19"/>
      <c r="J388" s="19"/>
      <c r="K388" s="19"/>
      <c r="L388" s="18"/>
      <c r="M388" s="18"/>
      <c r="N388" s="19"/>
      <c r="O388" s="19"/>
      <c r="P388" s="19"/>
    </row>
    <row r="389" spans="1:16" ht="17.649999999999999">
      <c r="A389" s="14">
        <v>384</v>
      </c>
      <c r="B389" s="15" t="s">
        <v>93</v>
      </c>
      <c r="C389" s="15" t="s">
        <v>923</v>
      </c>
      <c r="D389" s="16">
        <v>14159326.3048</v>
      </c>
      <c r="E389" s="17">
        <f t="shared" si="5"/>
        <v>14159326.3048</v>
      </c>
      <c r="F389" s="18"/>
      <c r="G389" s="18"/>
      <c r="H389" s="19"/>
      <c r="I389" s="19"/>
      <c r="J389" s="19"/>
      <c r="K389" s="19"/>
      <c r="L389" s="18"/>
      <c r="M389" s="18"/>
      <c r="N389" s="19"/>
      <c r="O389" s="19"/>
      <c r="P389" s="19"/>
    </row>
    <row r="390" spans="1:16" ht="17.649999999999999">
      <c r="A390" s="14">
        <v>385</v>
      </c>
      <c r="B390" s="15" t="s">
        <v>93</v>
      </c>
      <c r="C390" s="15" t="s">
        <v>925</v>
      </c>
      <c r="D390" s="16">
        <v>9423581.7743999995</v>
      </c>
      <c r="E390" s="17">
        <f t="shared" si="5"/>
        <v>9423581.7743999995</v>
      </c>
      <c r="F390" s="18"/>
      <c r="G390" s="18"/>
      <c r="H390" s="19"/>
      <c r="I390" s="19"/>
      <c r="J390" s="19"/>
      <c r="K390" s="19"/>
      <c r="L390" s="18"/>
      <c r="M390" s="18"/>
      <c r="N390" s="19"/>
      <c r="O390" s="19"/>
      <c r="P390" s="19"/>
    </row>
    <row r="391" spans="1:16" ht="17.649999999999999">
      <c r="A391" s="14">
        <v>386</v>
      </c>
      <c r="B391" s="15" t="s">
        <v>93</v>
      </c>
      <c r="C391" s="15" t="s">
        <v>927</v>
      </c>
      <c r="D391" s="16">
        <v>9510324.3977000006</v>
      </c>
      <c r="E391" s="17">
        <f t="shared" ref="E391:E454" si="6">D391</f>
        <v>9510324.3977000006</v>
      </c>
      <c r="F391" s="18"/>
      <c r="G391" s="18"/>
      <c r="H391" s="19"/>
      <c r="I391" s="19"/>
      <c r="J391" s="19"/>
      <c r="K391" s="19"/>
      <c r="L391" s="18"/>
      <c r="M391" s="18"/>
      <c r="N391" s="19"/>
      <c r="O391" s="19"/>
      <c r="P391" s="19"/>
    </row>
    <row r="392" spans="1:16" ht="17.649999999999999">
      <c r="A392" s="14">
        <v>387</v>
      </c>
      <c r="B392" s="15" t="s">
        <v>93</v>
      </c>
      <c r="C392" s="15" t="s">
        <v>929</v>
      </c>
      <c r="D392" s="16">
        <v>12269462.7687</v>
      </c>
      <c r="E392" s="17">
        <f t="shared" si="6"/>
        <v>12269462.7687</v>
      </c>
      <c r="F392" s="18"/>
      <c r="G392" s="18"/>
      <c r="H392" s="19"/>
      <c r="I392" s="19"/>
      <c r="J392" s="19"/>
      <c r="K392" s="19"/>
      <c r="L392" s="18"/>
      <c r="M392" s="18"/>
      <c r="N392" s="19"/>
      <c r="O392" s="19"/>
      <c r="P392" s="19"/>
    </row>
    <row r="393" spans="1:16" ht="17.649999999999999">
      <c r="A393" s="14">
        <v>388</v>
      </c>
      <c r="B393" s="15" t="s">
        <v>93</v>
      </c>
      <c r="C393" s="15" t="s">
        <v>931</v>
      </c>
      <c r="D393" s="16">
        <v>12536670.3608</v>
      </c>
      <c r="E393" s="17">
        <f t="shared" si="6"/>
        <v>12536670.3608</v>
      </c>
      <c r="F393" s="18"/>
      <c r="G393" s="18"/>
      <c r="H393" s="19"/>
      <c r="I393" s="19"/>
      <c r="J393" s="19"/>
      <c r="K393" s="19"/>
      <c r="L393" s="18"/>
      <c r="M393" s="18"/>
      <c r="N393" s="19"/>
      <c r="O393" s="19"/>
      <c r="P393" s="19"/>
    </row>
    <row r="394" spans="1:16" ht="17.649999999999999">
      <c r="A394" s="14">
        <v>389</v>
      </c>
      <c r="B394" s="15" t="s">
        <v>93</v>
      </c>
      <c r="C394" s="15" t="s">
        <v>118</v>
      </c>
      <c r="D394" s="16">
        <v>9613367.3791000005</v>
      </c>
      <c r="E394" s="17">
        <f t="shared" si="6"/>
        <v>9613367.3791000005</v>
      </c>
      <c r="F394" s="18"/>
      <c r="G394" s="18"/>
      <c r="H394" s="19"/>
      <c r="I394" s="19"/>
      <c r="J394" s="19"/>
      <c r="K394" s="19"/>
      <c r="L394" s="18"/>
      <c r="M394" s="18"/>
      <c r="N394" s="19"/>
      <c r="O394" s="19"/>
      <c r="P394" s="19"/>
    </row>
    <row r="395" spans="1:16" ht="17.649999999999999">
      <c r="A395" s="14">
        <v>390</v>
      </c>
      <c r="B395" s="15" t="s">
        <v>93</v>
      </c>
      <c r="C395" s="15" t="s">
        <v>120</v>
      </c>
      <c r="D395" s="16">
        <v>9414694.6225000005</v>
      </c>
      <c r="E395" s="17">
        <f t="shared" si="6"/>
        <v>9414694.6225000005</v>
      </c>
      <c r="F395" s="18"/>
      <c r="G395" s="18"/>
      <c r="H395" s="19"/>
      <c r="I395" s="19"/>
      <c r="J395" s="19"/>
      <c r="K395" s="19"/>
      <c r="L395" s="18"/>
      <c r="M395" s="18"/>
      <c r="N395" s="19"/>
      <c r="O395" s="19"/>
      <c r="P395" s="19"/>
    </row>
    <row r="396" spans="1:16" ht="17.649999999999999">
      <c r="A396" s="14">
        <v>391</v>
      </c>
      <c r="B396" s="15" t="s">
        <v>93</v>
      </c>
      <c r="C396" s="15" t="s">
        <v>122</v>
      </c>
      <c r="D396" s="16">
        <v>9423217.0157999992</v>
      </c>
      <c r="E396" s="17">
        <f t="shared" si="6"/>
        <v>9423217.0157999992</v>
      </c>
      <c r="F396" s="18"/>
      <c r="G396" s="18"/>
      <c r="H396" s="19"/>
      <c r="I396" s="19"/>
      <c r="J396" s="19"/>
      <c r="K396" s="19"/>
      <c r="L396" s="18"/>
      <c r="M396" s="18"/>
      <c r="N396" s="19"/>
      <c r="O396" s="19"/>
      <c r="P396" s="19"/>
    </row>
    <row r="397" spans="1:16" ht="17.649999999999999">
      <c r="A397" s="14">
        <v>392</v>
      </c>
      <c r="B397" s="15" t="s">
        <v>93</v>
      </c>
      <c r="C397" s="15" t="s">
        <v>124</v>
      </c>
      <c r="D397" s="16">
        <v>11168075.959100001</v>
      </c>
      <c r="E397" s="17">
        <f t="shared" si="6"/>
        <v>11168075.959100001</v>
      </c>
      <c r="F397" s="18"/>
      <c r="G397" s="18"/>
      <c r="H397" s="19"/>
      <c r="I397" s="19"/>
      <c r="J397" s="19"/>
      <c r="K397" s="19"/>
      <c r="L397" s="18"/>
      <c r="M397" s="18"/>
      <c r="N397" s="19"/>
      <c r="O397" s="19"/>
      <c r="P397" s="19"/>
    </row>
    <row r="398" spans="1:16" ht="17.649999999999999">
      <c r="A398" s="14">
        <v>393</v>
      </c>
      <c r="B398" s="15" t="s">
        <v>93</v>
      </c>
      <c r="C398" s="15" t="s">
        <v>126</v>
      </c>
      <c r="D398" s="16">
        <v>11255443.568299999</v>
      </c>
      <c r="E398" s="17">
        <f t="shared" si="6"/>
        <v>11255443.568299999</v>
      </c>
      <c r="F398" s="18"/>
      <c r="G398" s="18"/>
      <c r="H398" s="19"/>
      <c r="I398" s="19"/>
      <c r="J398" s="19"/>
      <c r="K398" s="19"/>
      <c r="L398" s="18"/>
      <c r="M398" s="18"/>
      <c r="N398" s="19"/>
      <c r="O398" s="19"/>
      <c r="P398" s="19"/>
    </row>
    <row r="399" spans="1:16" ht="17.649999999999999">
      <c r="A399" s="14">
        <v>394</v>
      </c>
      <c r="B399" s="15" t="s">
        <v>93</v>
      </c>
      <c r="C399" s="15" t="s">
        <v>99</v>
      </c>
      <c r="D399" s="16">
        <v>19460363.645</v>
      </c>
      <c r="E399" s="17">
        <f t="shared" si="6"/>
        <v>19460363.645</v>
      </c>
      <c r="F399" s="18"/>
      <c r="G399" s="18"/>
      <c r="H399" s="19"/>
      <c r="I399" s="19"/>
      <c r="J399" s="19"/>
      <c r="K399" s="19"/>
      <c r="L399" s="18"/>
      <c r="M399" s="18"/>
      <c r="N399" s="19"/>
      <c r="O399" s="19"/>
      <c r="P399" s="19"/>
    </row>
    <row r="400" spans="1:16" ht="17.649999999999999">
      <c r="A400" s="14">
        <v>395</v>
      </c>
      <c r="B400" s="15" t="s">
        <v>93</v>
      </c>
      <c r="C400" s="15" t="s">
        <v>129</v>
      </c>
      <c r="D400" s="16">
        <v>9747266.4612000007</v>
      </c>
      <c r="E400" s="17">
        <f t="shared" si="6"/>
        <v>9747266.4612000007</v>
      </c>
      <c r="F400" s="18"/>
      <c r="G400" s="18"/>
      <c r="H400" s="19"/>
      <c r="I400" s="19"/>
      <c r="J400" s="19"/>
      <c r="K400" s="19"/>
      <c r="L400" s="18"/>
      <c r="M400" s="18"/>
      <c r="N400" s="19"/>
      <c r="O400" s="19"/>
      <c r="P400" s="19"/>
    </row>
    <row r="401" spans="1:16" ht="17.649999999999999">
      <c r="A401" s="14">
        <v>396</v>
      </c>
      <c r="B401" s="15" t="s">
        <v>93</v>
      </c>
      <c r="C401" s="15" t="s">
        <v>131</v>
      </c>
      <c r="D401" s="16">
        <v>9646587.4157999996</v>
      </c>
      <c r="E401" s="17">
        <f t="shared" si="6"/>
        <v>9646587.4157999996</v>
      </c>
      <c r="F401" s="18"/>
      <c r="G401" s="18"/>
      <c r="H401" s="19"/>
      <c r="I401" s="19"/>
      <c r="J401" s="19"/>
      <c r="K401" s="19"/>
      <c r="L401" s="18"/>
      <c r="M401" s="18"/>
      <c r="N401" s="19"/>
      <c r="O401" s="19"/>
      <c r="P401" s="19"/>
    </row>
    <row r="402" spans="1:16" ht="17.649999999999999">
      <c r="A402" s="14">
        <v>397</v>
      </c>
      <c r="B402" s="15" t="s">
        <v>93</v>
      </c>
      <c r="C402" s="15" t="s">
        <v>133</v>
      </c>
      <c r="D402" s="16">
        <v>11547209.455399999</v>
      </c>
      <c r="E402" s="17">
        <f t="shared" si="6"/>
        <v>11547209.455399999</v>
      </c>
      <c r="F402" s="18"/>
      <c r="G402" s="18"/>
      <c r="H402" s="19"/>
      <c r="I402" s="19"/>
      <c r="J402" s="19"/>
      <c r="K402" s="19"/>
      <c r="L402" s="18"/>
      <c r="M402" s="18"/>
      <c r="N402" s="19"/>
      <c r="O402" s="19"/>
      <c r="P402" s="19"/>
    </row>
    <row r="403" spans="1:16" ht="17.649999999999999">
      <c r="A403" s="14">
        <v>398</v>
      </c>
      <c r="B403" s="15" t="s">
        <v>93</v>
      </c>
      <c r="C403" s="15" t="s">
        <v>135</v>
      </c>
      <c r="D403" s="16">
        <v>9527560.7890000008</v>
      </c>
      <c r="E403" s="17">
        <f t="shared" si="6"/>
        <v>9527560.7890000008</v>
      </c>
      <c r="F403" s="18"/>
      <c r="G403" s="18"/>
      <c r="H403" s="19"/>
      <c r="I403" s="19"/>
      <c r="J403" s="19"/>
      <c r="K403" s="19"/>
      <c r="L403" s="18"/>
      <c r="M403" s="18"/>
      <c r="N403" s="19"/>
      <c r="O403" s="19"/>
      <c r="P403" s="19"/>
    </row>
    <row r="404" spans="1:16" ht="17.649999999999999">
      <c r="A404" s="14">
        <v>399</v>
      </c>
      <c r="B404" s="15" t="s">
        <v>93</v>
      </c>
      <c r="C404" s="15" t="s">
        <v>137</v>
      </c>
      <c r="D404" s="16">
        <v>12058869.8606</v>
      </c>
      <c r="E404" s="17">
        <f t="shared" si="6"/>
        <v>12058869.8606</v>
      </c>
      <c r="F404" s="18"/>
      <c r="G404" s="18"/>
      <c r="H404" s="19"/>
      <c r="I404" s="19"/>
      <c r="J404" s="19"/>
      <c r="K404" s="19"/>
      <c r="L404" s="18"/>
      <c r="M404" s="18"/>
      <c r="N404" s="19"/>
      <c r="O404" s="19"/>
      <c r="P404" s="19"/>
    </row>
    <row r="405" spans="1:16" ht="17.649999999999999">
      <c r="A405" s="14">
        <v>400</v>
      </c>
      <c r="B405" s="15" t="s">
        <v>93</v>
      </c>
      <c r="C405" s="15" t="s">
        <v>139</v>
      </c>
      <c r="D405" s="16">
        <v>10589620.920600001</v>
      </c>
      <c r="E405" s="17">
        <f t="shared" si="6"/>
        <v>10589620.920600001</v>
      </c>
      <c r="F405" s="18"/>
      <c r="G405" s="18"/>
      <c r="H405" s="19"/>
      <c r="I405" s="19"/>
      <c r="J405" s="19"/>
      <c r="K405" s="19"/>
      <c r="L405" s="18"/>
      <c r="M405" s="18"/>
      <c r="N405" s="19"/>
      <c r="O405" s="19"/>
      <c r="P405" s="19"/>
    </row>
    <row r="406" spans="1:16" ht="17.649999999999999">
      <c r="A406" s="14">
        <v>401</v>
      </c>
      <c r="B406" s="15" t="s">
        <v>93</v>
      </c>
      <c r="C406" s="15" t="s">
        <v>141</v>
      </c>
      <c r="D406" s="16">
        <v>11011655.779999999</v>
      </c>
      <c r="E406" s="17">
        <f t="shared" si="6"/>
        <v>11011655.779999999</v>
      </c>
      <c r="F406" s="18"/>
      <c r="G406" s="18"/>
      <c r="H406" s="19"/>
      <c r="I406" s="19"/>
      <c r="J406" s="19"/>
      <c r="K406" s="19"/>
      <c r="L406" s="18"/>
      <c r="M406" s="18"/>
      <c r="N406" s="19"/>
      <c r="O406" s="19"/>
      <c r="P406" s="19"/>
    </row>
    <row r="407" spans="1:16" ht="17.649999999999999">
      <c r="A407" s="14">
        <v>402</v>
      </c>
      <c r="B407" s="15" t="s">
        <v>93</v>
      </c>
      <c r="C407" s="15" t="s">
        <v>143</v>
      </c>
      <c r="D407" s="16">
        <v>8668964.7913000006</v>
      </c>
      <c r="E407" s="17">
        <f t="shared" si="6"/>
        <v>8668964.7913000006</v>
      </c>
      <c r="F407" s="18"/>
      <c r="G407" s="18"/>
      <c r="H407" s="19"/>
      <c r="I407" s="19"/>
      <c r="J407" s="19"/>
      <c r="K407" s="19"/>
      <c r="L407" s="18"/>
      <c r="M407" s="18"/>
      <c r="N407" s="19"/>
      <c r="O407" s="19"/>
      <c r="P407" s="19"/>
    </row>
    <row r="408" spans="1:16" ht="17.649999999999999">
      <c r="A408" s="14">
        <v>403</v>
      </c>
      <c r="B408" s="15" t="s">
        <v>93</v>
      </c>
      <c r="C408" s="15" t="s">
        <v>145</v>
      </c>
      <c r="D408" s="16">
        <v>9557841.5431999993</v>
      </c>
      <c r="E408" s="17">
        <f t="shared" si="6"/>
        <v>9557841.5431999993</v>
      </c>
      <c r="F408" s="18"/>
      <c r="G408" s="18"/>
      <c r="H408" s="19"/>
      <c r="I408" s="19"/>
      <c r="J408" s="19"/>
      <c r="K408" s="19"/>
      <c r="L408" s="18"/>
      <c r="M408" s="18"/>
      <c r="N408" s="19"/>
      <c r="O408" s="19"/>
      <c r="P408" s="19"/>
    </row>
    <row r="409" spans="1:16" ht="17.649999999999999">
      <c r="A409" s="14">
        <v>404</v>
      </c>
      <c r="B409" s="15" t="s">
        <v>93</v>
      </c>
      <c r="C409" s="15" t="s">
        <v>147</v>
      </c>
      <c r="D409" s="16">
        <v>11785158.0612</v>
      </c>
      <c r="E409" s="17">
        <f t="shared" si="6"/>
        <v>11785158.0612</v>
      </c>
      <c r="F409" s="18"/>
      <c r="G409" s="18"/>
      <c r="H409" s="19"/>
      <c r="I409" s="19"/>
      <c r="J409" s="19"/>
      <c r="K409" s="19"/>
      <c r="L409" s="18"/>
      <c r="M409" s="18"/>
      <c r="N409" s="19"/>
      <c r="O409" s="19"/>
      <c r="P409" s="19"/>
    </row>
    <row r="410" spans="1:16" ht="17.649999999999999">
      <c r="A410" s="14">
        <v>405</v>
      </c>
      <c r="B410" s="15" t="s">
        <v>93</v>
      </c>
      <c r="C410" s="15" t="s">
        <v>149</v>
      </c>
      <c r="D410" s="16">
        <v>13778873.1395</v>
      </c>
      <c r="E410" s="17">
        <f t="shared" si="6"/>
        <v>13778873.1395</v>
      </c>
      <c r="F410" s="18"/>
      <c r="G410" s="18"/>
      <c r="H410" s="19"/>
      <c r="I410" s="19"/>
      <c r="J410" s="19"/>
      <c r="K410" s="19"/>
      <c r="L410" s="18"/>
      <c r="M410" s="18"/>
      <c r="N410" s="19"/>
      <c r="O410" s="19"/>
      <c r="P410" s="19"/>
    </row>
    <row r="411" spans="1:16" ht="17.649999999999999">
      <c r="A411" s="14">
        <v>406</v>
      </c>
      <c r="B411" s="15" t="s">
        <v>93</v>
      </c>
      <c r="C411" s="15" t="s">
        <v>151</v>
      </c>
      <c r="D411" s="16">
        <v>8992119.7776999995</v>
      </c>
      <c r="E411" s="17">
        <f t="shared" si="6"/>
        <v>8992119.7776999995</v>
      </c>
      <c r="F411" s="18"/>
      <c r="G411" s="18"/>
      <c r="H411" s="19"/>
      <c r="I411" s="19"/>
      <c r="J411" s="19"/>
      <c r="K411" s="19"/>
      <c r="L411" s="18"/>
      <c r="M411" s="18"/>
      <c r="N411" s="19"/>
      <c r="O411" s="19"/>
      <c r="P411" s="19"/>
    </row>
    <row r="412" spans="1:16" ht="17.649999999999999">
      <c r="A412" s="14">
        <v>407</v>
      </c>
      <c r="B412" s="15" t="s">
        <v>93</v>
      </c>
      <c r="C412" s="15" t="s">
        <v>154</v>
      </c>
      <c r="D412" s="16">
        <v>10573481.1228</v>
      </c>
      <c r="E412" s="17">
        <f t="shared" si="6"/>
        <v>10573481.1228</v>
      </c>
      <c r="F412" s="18"/>
      <c r="G412" s="18"/>
      <c r="H412" s="19"/>
      <c r="I412" s="19"/>
      <c r="J412" s="19"/>
      <c r="K412" s="19"/>
      <c r="L412" s="18"/>
      <c r="M412" s="18"/>
      <c r="N412" s="19"/>
      <c r="O412" s="19"/>
      <c r="P412" s="19"/>
    </row>
    <row r="413" spans="1:16" ht="17.649999999999999">
      <c r="A413" s="14">
        <v>408</v>
      </c>
      <c r="B413" s="15" t="s">
        <v>94</v>
      </c>
      <c r="C413" s="15" t="s">
        <v>158</v>
      </c>
      <c r="D413" s="16">
        <v>10744204.0888</v>
      </c>
      <c r="E413" s="17">
        <f t="shared" si="6"/>
        <v>10744204.0888</v>
      </c>
      <c r="F413" s="18"/>
      <c r="G413" s="18"/>
      <c r="H413" s="19"/>
      <c r="I413" s="19"/>
      <c r="J413" s="19"/>
      <c r="K413" s="19"/>
      <c r="L413" s="18"/>
      <c r="M413" s="18"/>
      <c r="N413" s="19"/>
      <c r="O413" s="19"/>
      <c r="P413" s="19"/>
    </row>
    <row r="414" spans="1:16" ht="17.649999999999999">
      <c r="A414" s="14">
        <v>409</v>
      </c>
      <c r="B414" s="15" t="s">
        <v>94</v>
      </c>
      <c r="C414" s="15" t="s">
        <v>160</v>
      </c>
      <c r="D414" s="16">
        <v>11071272.415999999</v>
      </c>
      <c r="E414" s="17">
        <f t="shared" si="6"/>
        <v>11071272.415999999</v>
      </c>
      <c r="F414" s="18"/>
      <c r="G414" s="18"/>
      <c r="H414" s="19"/>
      <c r="I414" s="19"/>
      <c r="J414" s="19"/>
      <c r="K414" s="19"/>
      <c r="L414" s="18"/>
      <c r="M414" s="18"/>
      <c r="N414" s="19"/>
      <c r="O414" s="19"/>
      <c r="P414" s="19"/>
    </row>
    <row r="415" spans="1:16" ht="17.649999999999999">
      <c r="A415" s="14">
        <v>410</v>
      </c>
      <c r="B415" s="15" t="s">
        <v>94</v>
      </c>
      <c r="C415" s="15" t="s">
        <v>162</v>
      </c>
      <c r="D415" s="16">
        <v>12044498.456900001</v>
      </c>
      <c r="E415" s="17">
        <f t="shared" si="6"/>
        <v>12044498.456900001</v>
      </c>
      <c r="F415" s="18"/>
      <c r="G415" s="18"/>
      <c r="H415" s="19"/>
      <c r="I415" s="19"/>
      <c r="J415" s="19"/>
      <c r="K415" s="19"/>
      <c r="L415" s="18"/>
      <c r="M415" s="18"/>
      <c r="N415" s="19"/>
      <c r="O415" s="19"/>
      <c r="P415" s="19"/>
    </row>
    <row r="416" spans="1:16" ht="17.649999999999999">
      <c r="A416" s="14">
        <v>411</v>
      </c>
      <c r="B416" s="15" t="s">
        <v>94</v>
      </c>
      <c r="C416" s="15" t="s">
        <v>164</v>
      </c>
      <c r="D416" s="16">
        <v>11292915.164799999</v>
      </c>
      <c r="E416" s="17">
        <f t="shared" si="6"/>
        <v>11292915.164799999</v>
      </c>
      <c r="F416" s="18"/>
      <c r="G416" s="18"/>
      <c r="H416" s="19"/>
      <c r="I416" s="19"/>
      <c r="J416" s="19"/>
      <c r="K416" s="19"/>
      <c r="L416" s="18"/>
      <c r="M416" s="18"/>
      <c r="N416" s="19"/>
      <c r="O416" s="19"/>
      <c r="P416" s="19"/>
    </row>
    <row r="417" spans="1:16" ht="17.649999999999999">
      <c r="A417" s="14">
        <v>412</v>
      </c>
      <c r="B417" s="15" t="s">
        <v>94</v>
      </c>
      <c r="C417" s="15" t="s">
        <v>166</v>
      </c>
      <c r="D417" s="16">
        <v>10561339.756200001</v>
      </c>
      <c r="E417" s="17">
        <f t="shared" si="6"/>
        <v>10561339.756200001</v>
      </c>
      <c r="F417" s="18"/>
      <c r="G417" s="18"/>
      <c r="H417" s="19"/>
      <c r="I417" s="19"/>
      <c r="J417" s="19"/>
      <c r="K417" s="19"/>
      <c r="L417" s="18"/>
      <c r="M417" s="18"/>
      <c r="N417" s="19"/>
      <c r="O417" s="19"/>
      <c r="P417" s="19"/>
    </row>
    <row r="418" spans="1:16" ht="17.649999999999999">
      <c r="A418" s="14">
        <v>413</v>
      </c>
      <c r="B418" s="15" t="s">
        <v>94</v>
      </c>
      <c r="C418" s="15" t="s">
        <v>168</v>
      </c>
      <c r="D418" s="16">
        <v>9878915.8585000001</v>
      </c>
      <c r="E418" s="17">
        <f t="shared" si="6"/>
        <v>9878915.8585000001</v>
      </c>
      <c r="F418" s="18"/>
      <c r="G418" s="18"/>
      <c r="H418" s="19"/>
      <c r="I418" s="19"/>
      <c r="J418" s="19"/>
      <c r="K418" s="19"/>
      <c r="L418" s="18"/>
      <c r="M418" s="18"/>
      <c r="N418" s="19"/>
      <c r="O418" s="19"/>
      <c r="P418" s="19"/>
    </row>
    <row r="419" spans="1:16" ht="17.649999999999999">
      <c r="A419" s="14">
        <v>414</v>
      </c>
      <c r="B419" s="15" t="s">
        <v>94</v>
      </c>
      <c r="C419" s="15" t="s">
        <v>170</v>
      </c>
      <c r="D419" s="16">
        <v>9911244.9309999999</v>
      </c>
      <c r="E419" s="17">
        <f t="shared" si="6"/>
        <v>9911244.9309999999</v>
      </c>
      <c r="F419" s="18"/>
      <c r="G419" s="18"/>
      <c r="H419" s="19"/>
      <c r="I419" s="19"/>
      <c r="J419" s="19"/>
      <c r="K419" s="19"/>
      <c r="L419" s="18"/>
      <c r="M419" s="18"/>
      <c r="N419" s="19"/>
      <c r="O419" s="19"/>
      <c r="P419" s="19"/>
    </row>
    <row r="420" spans="1:16" ht="17.649999999999999">
      <c r="A420" s="14">
        <v>415</v>
      </c>
      <c r="B420" s="15" t="s">
        <v>94</v>
      </c>
      <c r="C420" s="15" t="s">
        <v>172</v>
      </c>
      <c r="D420" s="16">
        <v>10611968.5419</v>
      </c>
      <c r="E420" s="17">
        <f t="shared" si="6"/>
        <v>10611968.5419</v>
      </c>
      <c r="F420" s="18"/>
      <c r="G420" s="18"/>
      <c r="H420" s="19"/>
      <c r="I420" s="19"/>
      <c r="J420" s="19"/>
      <c r="K420" s="19"/>
      <c r="L420" s="18"/>
      <c r="M420" s="18"/>
      <c r="N420" s="19"/>
      <c r="O420" s="19"/>
      <c r="P420" s="19"/>
    </row>
    <row r="421" spans="1:16" ht="17.649999999999999">
      <c r="A421" s="14">
        <v>416</v>
      </c>
      <c r="B421" s="15" t="s">
        <v>94</v>
      </c>
      <c r="C421" s="15" t="s">
        <v>174</v>
      </c>
      <c r="D421" s="16">
        <v>9953521.9487999994</v>
      </c>
      <c r="E421" s="17">
        <f t="shared" si="6"/>
        <v>9953521.9487999994</v>
      </c>
      <c r="F421" s="18"/>
      <c r="G421" s="18"/>
      <c r="H421" s="19"/>
      <c r="I421" s="19"/>
      <c r="J421" s="19"/>
      <c r="K421" s="19"/>
      <c r="L421" s="18"/>
      <c r="M421" s="18"/>
      <c r="N421" s="19"/>
      <c r="O421" s="19"/>
      <c r="P421" s="19"/>
    </row>
    <row r="422" spans="1:16" ht="17.649999999999999">
      <c r="A422" s="14">
        <v>417</v>
      </c>
      <c r="B422" s="15" t="s">
        <v>94</v>
      </c>
      <c r="C422" s="15" t="s">
        <v>176</v>
      </c>
      <c r="D422" s="16">
        <v>12000897.209000001</v>
      </c>
      <c r="E422" s="17">
        <f t="shared" si="6"/>
        <v>12000897.209000001</v>
      </c>
      <c r="F422" s="18"/>
      <c r="G422" s="18"/>
      <c r="H422" s="19"/>
      <c r="I422" s="19"/>
      <c r="J422" s="19"/>
      <c r="K422" s="19"/>
      <c r="L422" s="18"/>
      <c r="M422" s="18"/>
      <c r="N422" s="19"/>
      <c r="O422" s="19"/>
      <c r="P422" s="19"/>
    </row>
    <row r="423" spans="1:16" ht="17.649999999999999">
      <c r="A423" s="14">
        <v>418</v>
      </c>
      <c r="B423" s="15" t="s">
        <v>94</v>
      </c>
      <c r="C423" s="15" t="s">
        <v>178</v>
      </c>
      <c r="D423" s="16">
        <v>9904545.7621999998</v>
      </c>
      <c r="E423" s="17">
        <f t="shared" si="6"/>
        <v>9904545.7621999998</v>
      </c>
      <c r="F423" s="18"/>
      <c r="G423" s="18"/>
      <c r="H423" s="19"/>
      <c r="I423" s="19"/>
      <c r="J423" s="19"/>
      <c r="K423" s="19"/>
      <c r="L423" s="18"/>
      <c r="M423" s="18"/>
      <c r="N423" s="19"/>
      <c r="O423" s="19"/>
      <c r="P423" s="19"/>
    </row>
    <row r="424" spans="1:16" ht="17.649999999999999">
      <c r="A424" s="14">
        <v>419</v>
      </c>
      <c r="B424" s="15" t="s">
        <v>94</v>
      </c>
      <c r="C424" s="15" t="s">
        <v>180</v>
      </c>
      <c r="D424" s="16">
        <v>11000701.005799999</v>
      </c>
      <c r="E424" s="17">
        <f t="shared" si="6"/>
        <v>11000701.005799999</v>
      </c>
      <c r="F424" s="18"/>
      <c r="G424" s="18"/>
      <c r="H424" s="19"/>
      <c r="I424" s="19"/>
      <c r="J424" s="19"/>
      <c r="K424" s="19"/>
      <c r="L424" s="18"/>
      <c r="M424" s="18"/>
      <c r="N424" s="19"/>
      <c r="O424" s="19"/>
      <c r="P424" s="19"/>
    </row>
    <row r="425" spans="1:16" ht="17.649999999999999">
      <c r="A425" s="14">
        <v>420</v>
      </c>
      <c r="B425" s="15" t="s">
        <v>94</v>
      </c>
      <c r="C425" s="15" t="s">
        <v>182</v>
      </c>
      <c r="D425" s="16">
        <v>11988270.201400001</v>
      </c>
      <c r="E425" s="17">
        <f t="shared" si="6"/>
        <v>11988270.201400001</v>
      </c>
      <c r="F425" s="18"/>
      <c r="G425" s="18"/>
      <c r="H425" s="19"/>
      <c r="I425" s="19"/>
      <c r="J425" s="19"/>
      <c r="K425" s="19"/>
      <c r="L425" s="18"/>
      <c r="M425" s="18"/>
      <c r="N425" s="19"/>
      <c r="O425" s="19"/>
      <c r="P425" s="19"/>
    </row>
    <row r="426" spans="1:16" ht="17.649999999999999">
      <c r="A426" s="14">
        <v>421</v>
      </c>
      <c r="B426" s="15" t="s">
        <v>94</v>
      </c>
      <c r="C426" s="15" t="s">
        <v>184</v>
      </c>
      <c r="D426" s="16">
        <v>11960239.1527</v>
      </c>
      <c r="E426" s="17">
        <f t="shared" si="6"/>
        <v>11960239.1527</v>
      </c>
      <c r="F426" s="18"/>
      <c r="G426" s="18"/>
      <c r="H426" s="19"/>
      <c r="I426" s="19"/>
      <c r="J426" s="19"/>
      <c r="K426" s="19"/>
      <c r="L426" s="18"/>
      <c r="M426" s="18"/>
      <c r="N426" s="19"/>
      <c r="O426" s="19"/>
      <c r="P426" s="19"/>
    </row>
    <row r="427" spans="1:16" ht="17.649999999999999">
      <c r="A427" s="14">
        <v>422</v>
      </c>
      <c r="B427" s="15" t="s">
        <v>94</v>
      </c>
      <c r="C427" s="15" t="s">
        <v>186</v>
      </c>
      <c r="D427" s="16">
        <v>10444343.3323</v>
      </c>
      <c r="E427" s="17">
        <f t="shared" si="6"/>
        <v>10444343.3323</v>
      </c>
      <c r="F427" s="18"/>
      <c r="G427" s="18"/>
      <c r="H427" s="19"/>
      <c r="I427" s="19"/>
      <c r="J427" s="19"/>
      <c r="K427" s="19"/>
      <c r="L427" s="18"/>
      <c r="M427" s="18"/>
      <c r="N427" s="19"/>
      <c r="O427" s="19"/>
      <c r="P427" s="19"/>
    </row>
    <row r="428" spans="1:16" ht="17.649999999999999">
      <c r="A428" s="14">
        <v>423</v>
      </c>
      <c r="B428" s="15" t="s">
        <v>94</v>
      </c>
      <c r="C428" s="15" t="s">
        <v>188</v>
      </c>
      <c r="D428" s="16">
        <v>11766339.2456</v>
      </c>
      <c r="E428" s="17">
        <f t="shared" si="6"/>
        <v>11766339.2456</v>
      </c>
      <c r="F428" s="18"/>
      <c r="G428" s="18"/>
      <c r="H428" s="19"/>
      <c r="I428" s="19"/>
      <c r="J428" s="19"/>
      <c r="K428" s="19"/>
      <c r="L428" s="18"/>
      <c r="M428" s="18"/>
      <c r="N428" s="19"/>
      <c r="O428" s="19"/>
      <c r="P428" s="19"/>
    </row>
    <row r="429" spans="1:16" ht="17.649999999999999">
      <c r="A429" s="14">
        <v>424</v>
      </c>
      <c r="B429" s="15" t="s">
        <v>94</v>
      </c>
      <c r="C429" s="15" t="s">
        <v>190</v>
      </c>
      <c r="D429" s="16">
        <v>12146229.353</v>
      </c>
      <c r="E429" s="17">
        <f t="shared" si="6"/>
        <v>12146229.353</v>
      </c>
      <c r="F429" s="18"/>
      <c r="G429" s="18"/>
      <c r="H429" s="19"/>
      <c r="I429" s="19"/>
      <c r="J429" s="19"/>
      <c r="K429" s="19"/>
      <c r="L429" s="18"/>
      <c r="M429" s="18"/>
      <c r="N429" s="19"/>
      <c r="O429" s="19"/>
      <c r="P429" s="19"/>
    </row>
    <row r="430" spans="1:16" ht="17.649999999999999">
      <c r="A430" s="14">
        <v>425</v>
      </c>
      <c r="B430" s="15" t="s">
        <v>94</v>
      </c>
      <c r="C430" s="15" t="s">
        <v>192</v>
      </c>
      <c r="D430" s="16">
        <v>11627280.9044</v>
      </c>
      <c r="E430" s="17">
        <f t="shared" si="6"/>
        <v>11627280.9044</v>
      </c>
      <c r="F430" s="18"/>
      <c r="G430" s="18"/>
      <c r="H430" s="19"/>
      <c r="I430" s="19"/>
      <c r="J430" s="19"/>
      <c r="K430" s="19"/>
      <c r="L430" s="18"/>
      <c r="M430" s="18"/>
      <c r="N430" s="19"/>
      <c r="O430" s="19"/>
      <c r="P430" s="19"/>
    </row>
    <row r="431" spans="1:16" ht="17.649999999999999">
      <c r="A431" s="14">
        <v>426</v>
      </c>
      <c r="B431" s="15" t="s">
        <v>94</v>
      </c>
      <c r="C431" s="15" t="s">
        <v>194</v>
      </c>
      <c r="D431" s="16">
        <v>12750639.718699999</v>
      </c>
      <c r="E431" s="17">
        <f t="shared" si="6"/>
        <v>12750639.718699999</v>
      </c>
      <c r="F431" s="18"/>
      <c r="G431" s="18"/>
      <c r="H431" s="19"/>
      <c r="I431" s="19"/>
      <c r="J431" s="19"/>
      <c r="K431" s="19"/>
      <c r="L431" s="18"/>
      <c r="M431" s="18"/>
      <c r="N431" s="19"/>
      <c r="O431" s="19"/>
      <c r="P431" s="19"/>
    </row>
    <row r="432" spans="1:16" ht="17.649999999999999">
      <c r="A432" s="14">
        <v>427</v>
      </c>
      <c r="B432" s="15" t="s">
        <v>94</v>
      </c>
      <c r="C432" s="15" t="s">
        <v>196</v>
      </c>
      <c r="D432" s="16">
        <v>10153621.195900001</v>
      </c>
      <c r="E432" s="17">
        <f t="shared" si="6"/>
        <v>10153621.195900001</v>
      </c>
      <c r="F432" s="18"/>
      <c r="G432" s="18"/>
      <c r="H432" s="19"/>
      <c r="I432" s="19"/>
      <c r="J432" s="19"/>
      <c r="K432" s="19"/>
      <c r="L432" s="18"/>
      <c r="M432" s="18"/>
      <c r="N432" s="19"/>
      <c r="O432" s="19"/>
      <c r="P432" s="19"/>
    </row>
    <row r="433" spans="1:16" ht="17.649999999999999">
      <c r="A433" s="14">
        <v>428</v>
      </c>
      <c r="B433" s="15" t="s">
        <v>94</v>
      </c>
      <c r="C433" s="15" t="s">
        <v>94</v>
      </c>
      <c r="D433" s="16">
        <v>13984219.8661</v>
      </c>
      <c r="E433" s="17">
        <f t="shared" si="6"/>
        <v>13984219.8661</v>
      </c>
      <c r="F433" s="18"/>
      <c r="G433" s="18"/>
      <c r="H433" s="19"/>
      <c r="I433" s="19"/>
      <c r="J433" s="19"/>
      <c r="K433" s="19"/>
      <c r="L433" s="18"/>
      <c r="M433" s="18"/>
      <c r="N433" s="19"/>
      <c r="O433" s="19"/>
      <c r="P433" s="19"/>
    </row>
    <row r="434" spans="1:16" ht="17.649999999999999">
      <c r="A434" s="14">
        <v>429</v>
      </c>
      <c r="B434" s="15" t="s">
        <v>94</v>
      </c>
      <c r="C434" s="15" t="s">
        <v>200</v>
      </c>
      <c r="D434" s="16">
        <v>9839898.1679999996</v>
      </c>
      <c r="E434" s="17">
        <f t="shared" si="6"/>
        <v>9839898.1679999996</v>
      </c>
      <c r="F434" s="18"/>
      <c r="G434" s="18"/>
      <c r="H434" s="19"/>
      <c r="I434" s="19"/>
      <c r="J434" s="19"/>
      <c r="K434" s="19"/>
      <c r="L434" s="18"/>
      <c r="M434" s="18"/>
      <c r="N434" s="19"/>
      <c r="O434" s="19"/>
      <c r="P434" s="19"/>
    </row>
    <row r="435" spans="1:16" ht="17.649999999999999">
      <c r="A435" s="14">
        <v>430</v>
      </c>
      <c r="B435" s="15" t="s">
        <v>94</v>
      </c>
      <c r="C435" s="15" t="s">
        <v>202</v>
      </c>
      <c r="D435" s="16">
        <v>9296095.3306000009</v>
      </c>
      <c r="E435" s="17">
        <f t="shared" si="6"/>
        <v>9296095.3306000009</v>
      </c>
      <c r="F435" s="18"/>
      <c r="G435" s="18"/>
      <c r="H435" s="19"/>
      <c r="I435" s="19"/>
      <c r="J435" s="19"/>
      <c r="K435" s="19"/>
      <c r="L435" s="18"/>
      <c r="M435" s="18"/>
      <c r="N435" s="19"/>
      <c r="O435" s="19"/>
      <c r="P435" s="19"/>
    </row>
    <row r="436" spans="1:16" ht="17.649999999999999">
      <c r="A436" s="14">
        <v>431</v>
      </c>
      <c r="B436" s="15" t="s">
        <v>94</v>
      </c>
      <c r="C436" s="15" t="s">
        <v>204</v>
      </c>
      <c r="D436" s="16">
        <v>11308560.6316</v>
      </c>
      <c r="E436" s="17">
        <f t="shared" si="6"/>
        <v>11308560.6316</v>
      </c>
      <c r="F436" s="18"/>
      <c r="G436" s="18"/>
      <c r="H436" s="19"/>
      <c r="I436" s="19"/>
      <c r="J436" s="19"/>
      <c r="K436" s="19"/>
      <c r="L436" s="18"/>
      <c r="M436" s="18"/>
      <c r="N436" s="19"/>
      <c r="O436" s="19"/>
      <c r="P436" s="19"/>
    </row>
    <row r="437" spans="1:16" ht="17.649999999999999">
      <c r="A437" s="14">
        <v>432</v>
      </c>
      <c r="B437" s="15" t="s">
        <v>94</v>
      </c>
      <c r="C437" s="15" t="s">
        <v>206</v>
      </c>
      <c r="D437" s="16">
        <v>11253375.7936</v>
      </c>
      <c r="E437" s="17">
        <f t="shared" si="6"/>
        <v>11253375.7936</v>
      </c>
      <c r="F437" s="18"/>
      <c r="G437" s="18"/>
      <c r="H437" s="19"/>
      <c r="I437" s="19"/>
      <c r="J437" s="19"/>
      <c r="K437" s="19"/>
      <c r="L437" s="18"/>
      <c r="M437" s="18"/>
      <c r="N437" s="19"/>
      <c r="O437" s="19"/>
      <c r="P437" s="19"/>
    </row>
    <row r="438" spans="1:16" ht="17.649999999999999">
      <c r="A438" s="14">
        <v>433</v>
      </c>
      <c r="B438" s="15" t="s">
        <v>94</v>
      </c>
      <c r="C438" s="15" t="s">
        <v>208</v>
      </c>
      <c r="D438" s="16">
        <v>10674635.654100001</v>
      </c>
      <c r="E438" s="17">
        <f t="shared" si="6"/>
        <v>10674635.654100001</v>
      </c>
      <c r="F438" s="18"/>
      <c r="G438" s="18"/>
      <c r="H438" s="19"/>
      <c r="I438" s="19"/>
      <c r="J438" s="19"/>
      <c r="K438" s="19"/>
      <c r="L438" s="18"/>
      <c r="M438" s="18"/>
      <c r="N438" s="19"/>
      <c r="O438" s="19"/>
      <c r="P438" s="19"/>
    </row>
    <row r="439" spans="1:16" ht="17.649999999999999">
      <c r="A439" s="14">
        <v>434</v>
      </c>
      <c r="B439" s="15" t="s">
        <v>94</v>
      </c>
      <c r="C439" s="15" t="s">
        <v>210</v>
      </c>
      <c r="D439" s="16">
        <v>10898827.267899999</v>
      </c>
      <c r="E439" s="17">
        <f t="shared" si="6"/>
        <v>10898827.267899999</v>
      </c>
      <c r="F439" s="18"/>
      <c r="G439" s="18"/>
      <c r="H439" s="19"/>
      <c r="I439" s="19"/>
      <c r="J439" s="19"/>
      <c r="K439" s="19"/>
      <c r="L439" s="18"/>
      <c r="M439" s="18"/>
      <c r="N439" s="19"/>
      <c r="O439" s="19"/>
      <c r="P439" s="19"/>
    </row>
    <row r="440" spans="1:16" ht="17.649999999999999">
      <c r="A440" s="14">
        <v>435</v>
      </c>
      <c r="B440" s="15" t="s">
        <v>94</v>
      </c>
      <c r="C440" s="15" t="s">
        <v>212</v>
      </c>
      <c r="D440" s="16">
        <v>9180241.1271000002</v>
      </c>
      <c r="E440" s="17">
        <f t="shared" si="6"/>
        <v>9180241.1271000002</v>
      </c>
      <c r="F440" s="18"/>
      <c r="G440" s="18"/>
      <c r="H440" s="19"/>
      <c r="I440" s="19"/>
      <c r="J440" s="19"/>
      <c r="K440" s="19"/>
      <c r="L440" s="18"/>
      <c r="M440" s="18"/>
      <c r="N440" s="19"/>
      <c r="O440" s="19"/>
      <c r="P440" s="19"/>
    </row>
    <row r="441" spans="1:16" ht="17.649999999999999">
      <c r="A441" s="14">
        <v>436</v>
      </c>
      <c r="B441" s="15" t="s">
        <v>94</v>
      </c>
      <c r="C441" s="15" t="s">
        <v>214</v>
      </c>
      <c r="D441" s="16">
        <v>10984739.3192</v>
      </c>
      <c r="E441" s="17">
        <f t="shared" si="6"/>
        <v>10984739.3192</v>
      </c>
      <c r="F441" s="18"/>
      <c r="G441" s="18"/>
      <c r="H441" s="19"/>
      <c r="I441" s="19"/>
      <c r="J441" s="19"/>
      <c r="K441" s="19"/>
      <c r="L441" s="18"/>
      <c r="M441" s="18"/>
      <c r="N441" s="19"/>
      <c r="O441" s="19"/>
      <c r="P441" s="19"/>
    </row>
    <row r="442" spans="1:16" ht="17.649999999999999">
      <c r="A442" s="14">
        <v>437</v>
      </c>
      <c r="B442" s="15" t="s">
        <v>94</v>
      </c>
      <c r="C442" s="15" t="s">
        <v>216</v>
      </c>
      <c r="D442" s="16">
        <v>9908896.0280000009</v>
      </c>
      <c r="E442" s="17">
        <f t="shared" si="6"/>
        <v>9908896.0280000009</v>
      </c>
      <c r="F442" s="18"/>
      <c r="G442" s="18"/>
      <c r="H442" s="19"/>
      <c r="I442" s="19"/>
      <c r="J442" s="19"/>
      <c r="K442" s="19"/>
      <c r="L442" s="18"/>
      <c r="M442" s="18"/>
      <c r="N442" s="19"/>
      <c r="O442" s="19"/>
      <c r="P442" s="19"/>
    </row>
    <row r="443" spans="1:16" ht="17.649999999999999">
      <c r="A443" s="14">
        <v>438</v>
      </c>
      <c r="B443" s="15" t="s">
        <v>94</v>
      </c>
      <c r="C443" s="15" t="s">
        <v>218</v>
      </c>
      <c r="D443" s="16">
        <v>10266484.911</v>
      </c>
      <c r="E443" s="17">
        <f t="shared" si="6"/>
        <v>10266484.911</v>
      </c>
      <c r="F443" s="18"/>
      <c r="G443" s="18"/>
      <c r="H443" s="19"/>
      <c r="I443" s="19"/>
      <c r="J443" s="19"/>
      <c r="K443" s="19"/>
      <c r="L443" s="18"/>
      <c r="M443" s="18"/>
      <c r="N443" s="19"/>
      <c r="O443" s="19"/>
      <c r="P443" s="19"/>
    </row>
    <row r="444" spans="1:16" ht="17.649999999999999">
      <c r="A444" s="14">
        <v>439</v>
      </c>
      <c r="B444" s="15" t="s">
        <v>94</v>
      </c>
      <c r="C444" s="15" t="s">
        <v>220</v>
      </c>
      <c r="D444" s="16">
        <v>11015727.554300001</v>
      </c>
      <c r="E444" s="17">
        <f t="shared" si="6"/>
        <v>11015727.554300001</v>
      </c>
      <c r="F444" s="18"/>
      <c r="G444" s="18"/>
      <c r="H444" s="19"/>
      <c r="I444" s="19"/>
      <c r="J444" s="19"/>
      <c r="K444" s="19"/>
      <c r="L444" s="18"/>
      <c r="M444" s="18"/>
      <c r="N444" s="19"/>
      <c r="O444" s="19"/>
      <c r="P444" s="19"/>
    </row>
    <row r="445" spans="1:16" ht="17.649999999999999">
      <c r="A445" s="14">
        <v>440</v>
      </c>
      <c r="B445" s="15" t="s">
        <v>94</v>
      </c>
      <c r="C445" s="15" t="s">
        <v>222</v>
      </c>
      <c r="D445" s="16">
        <v>10676315.0901</v>
      </c>
      <c r="E445" s="17">
        <f t="shared" si="6"/>
        <v>10676315.0901</v>
      </c>
      <c r="F445" s="18"/>
      <c r="G445" s="18"/>
      <c r="H445" s="19"/>
      <c r="I445" s="19"/>
      <c r="J445" s="19"/>
      <c r="K445" s="19"/>
      <c r="L445" s="18"/>
      <c r="M445" s="18"/>
      <c r="N445" s="19"/>
      <c r="O445" s="19"/>
      <c r="P445" s="19"/>
    </row>
    <row r="446" spans="1:16" ht="17.649999999999999">
      <c r="A446" s="14">
        <v>441</v>
      </c>
      <c r="B446" s="15" t="s">
        <v>94</v>
      </c>
      <c r="C446" s="15" t="s">
        <v>224</v>
      </c>
      <c r="D446" s="16">
        <v>10463664.755799999</v>
      </c>
      <c r="E446" s="17">
        <f t="shared" si="6"/>
        <v>10463664.755799999</v>
      </c>
      <c r="F446" s="18"/>
      <c r="G446" s="18"/>
      <c r="H446" s="19"/>
      <c r="I446" s="19"/>
      <c r="J446" s="19"/>
      <c r="K446" s="19"/>
      <c r="L446" s="18"/>
      <c r="M446" s="18"/>
      <c r="N446" s="19"/>
      <c r="O446" s="19"/>
      <c r="P446" s="19"/>
    </row>
    <row r="447" spans="1:16" ht="17.649999999999999">
      <c r="A447" s="14">
        <v>442</v>
      </c>
      <c r="B447" s="15" t="s">
        <v>95</v>
      </c>
      <c r="C447" s="15" t="s">
        <v>228</v>
      </c>
      <c r="D447" s="16">
        <v>8377878.0345999999</v>
      </c>
      <c r="E447" s="17">
        <f t="shared" si="6"/>
        <v>8377878.0345999999</v>
      </c>
      <c r="F447" s="18"/>
      <c r="G447" s="18"/>
      <c r="H447" s="19"/>
      <c r="I447" s="19"/>
      <c r="J447" s="19"/>
      <c r="K447" s="19"/>
      <c r="L447" s="18"/>
      <c r="M447" s="18"/>
      <c r="N447" s="19"/>
      <c r="O447" s="19"/>
      <c r="P447" s="19"/>
    </row>
    <row r="448" spans="1:16" ht="17.649999999999999">
      <c r="A448" s="14">
        <v>443</v>
      </c>
      <c r="B448" s="15" t="s">
        <v>95</v>
      </c>
      <c r="C448" s="15" t="s">
        <v>230</v>
      </c>
      <c r="D448" s="16">
        <v>13689120.949100001</v>
      </c>
      <c r="E448" s="17">
        <f t="shared" si="6"/>
        <v>13689120.949100001</v>
      </c>
      <c r="F448" s="18"/>
      <c r="G448" s="18"/>
      <c r="H448" s="19"/>
      <c r="I448" s="19"/>
      <c r="J448" s="19"/>
      <c r="K448" s="19"/>
      <c r="L448" s="18"/>
      <c r="M448" s="18"/>
      <c r="N448" s="19"/>
      <c r="O448" s="19"/>
      <c r="P448" s="19"/>
    </row>
    <row r="449" spans="1:16" ht="17.649999999999999">
      <c r="A449" s="14">
        <v>444</v>
      </c>
      <c r="B449" s="15" t="s">
        <v>95</v>
      </c>
      <c r="C449" s="15" t="s">
        <v>232</v>
      </c>
      <c r="D449" s="16">
        <v>11530233.700300001</v>
      </c>
      <c r="E449" s="17">
        <f t="shared" si="6"/>
        <v>11530233.700300001</v>
      </c>
      <c r="F449" s="18"/>
      <c r="G449" s="18"/>
      <c r="H449" s="19"/>
      <c r="I449" s="19"/>
      <c r="J449" s="19"/>
      <c r="K449" s="19"/>
      <c r="L449" s="18"/>
      <c r="M449" s="18"/>
      <c r="N449" s="19"/>
      <c r="O449" s="19"/>
      <c r="P449" s="19"/>
    </row>
    <row r="450" spans="1:16" ht="17.649999999999999">
      <c r="A450" s="14">
        <v>445</v>
      </c>
      <c r="B450" s="15" t="s">
        <v>95</v>
      </c>
      <c r="C450" s="15" t="s">
        <v>234</v>
      </c>
      <c r="D450" s="16">
        <v>9520149.6861000005</v>
      </c>
      <c r="E450" s="17">
        <f t="shared" si="6"/>
        <v>9520149.6861000005</v>
      </c>
      <c r="F450" s="18"/>
      <c r="G450" s="18"/>
      <c r="H450" s="19"/>
      <c r="I450" s="19"/>
      <c r="J450" s="19"/>
      <c r="K450" s="19"/>
      <c r="L450" s="18"/>
      <c r="M450" s="18"/>
      <c r="N450" s="19"/>
      <c r="O450" s="19"/>
      <c r="P450" s="19"/>
    </row>
    <row r="451" spans="1:16" ht="17.649999999999999">
      <c r="A451" s="14">
        <v>446</v>
      </c>
      <c r="B451" s="15" t="s">
        <v>95</v>
      </c>
      <c r="C451" s="15" t="s">
        <v>236</v>
      </c>
      <c r="D451" s="16">
        <v>12678983.5743</v>
      </c>
      <c r="E451" s="17">
        <f t="shared" si="6"/>
        <v>12678983.5743</v>
      </c>
      <c r="F451" s="18"/>
      <c r="G451" s="18"/>
      <c r="H451" s="19"/>
      <c r="I451" s="19"/>
      <c r="J451" s="19"/>
      <c r="K451" s="19"/>
      <c r="L451" s="18"/>
      <c r="M451" s="18"/>
      <c r="N451" s="19"/>
      <c r="O451" s="19"/>
      <c r="P451" s="19"/>
    </row>
    <row r="452" spans="1:16" ht="17.649999999999999">
      <c r="A452" s="14">
        <v>447</v>
      </c>
      <c r="B452" s="15" t="s">
        <v>95</v>
      </c>
      <c r="C452" s="15" t="s">
        <v>238</v>
      </c>
      <c r="D452" s="16">
        <v>15511969.419600001</v>
      </c>
      <c r="E452" s="17">
        <f t="shared" si="6"/>
        <v>15511969.419600001</v>
      </c>
      <c r="F452" s="18"/>
      <c r="G452" s="18"/>
      <c r="H452" s="19"/>
      <c r="I452" s="19"/>
      <c r="J452" s="19"/>
      <c r="K452" s="19"/>
      <c r="L452" s="18"/>
      <c r="M452" s="18"/>
      <c r="N452" s="19"/>
      <c r="O452" s="19"/>
      <c r="P452" s="19"/>
    </row>
    <row r="453" spans="1:16" ht="17.649999999999999">
      <c r="A453" s="14">
        <v>448</v>
      </c>
      <c r="B453" s="15" t="s">
        <v>95</v>
      </c>
      <c r="C453" s="15" t="s">
        <v>240</v>
      </c>
      <c r="D453" s="16">
        <v>10567875.5009</v>
      </c>
      <c r="E453" s="17">
        <f t="shared" si="6"/>
        <v>10567875.5009</v>
      </c>
      <c r="F453" s="18"/>
      <c r="G453" s="18"/>
      <c r="H453" s="19"/>
      <c r="I453" s="19"/>
      <c r="J453" s="19"/>
      <c r="K453" s="19"/>
      <c r="L453" s="18"/>
      <c r="M453" s="18"/>
      <c r="N453" s="19"/>
      <c r="O453" s="19"/>
      <c r="P453" s="19"/>
    </row>
    <row r="454" spans="1:16" ht="17.649999999999999">
      <c r="A454" s="14">
        <v>449</v>
      </c>
      <c r="B454" s="15" t="s">
        <v>95</v>
      </c>
      <c r="C454" s="15" t="s">
        <v>242</v>
      </c>
      <c r="D454" s="16">
        <v>11226832.9034</v>
      </c>
      <c r="E454" s="17">
        <f t="shared" si="6"/>
        <v>11226832.9034</v>
      </c>
      <c r="F454" s="18"/>
      <c r="G454" s="18"/>
      <c r="H454" s="19"/>
      <c r="I454" s="19"/>
      <c r="J454" s="19"/>
      <c r="K454" s="19"/>
      <c r="L454" s="18"/>
      <c r="M454" s="18"/>
      <c r="N454" s="19"/>
      <c r="O454" s="19"/>
      <c r="P454" s="19"/>
    </row>
    <row r="455" spans="1:16" ht="17.649999999999999">
      <c r="A455" s="14">
        <v>450</v>
      </c>
      <c r="B455" s="15" t="s">
        <v>95</v>
      </c>
      <c r="C455" s="15" t="s">
        <v>244</v>
      </c>
      <c r="D455" s="16">
        <v>13947250.6304</v>
      </c>
      <c r="E455" s="17">
        <f t="shared" ref="E455:E518" si="7">D455</f>
        <v>13947250.6304</v>
      </c>
      <c r="F455" s="18"/>
      <c r="G455" s="18"/>
      <c r="H455" s="19"/>
      <c r="I455" s="19"/>
      <c r="J455" s="19"/>
      <c r="K455" s="19"/>
      <c r="L455" s="18"/>
      <c r="M455" s="18"/>
      <c r="N455" s="19"/>
      <c r="O455" s="19"/>
      <c r="P455" s="19"/>
    </row>
    <row r="456" spans="1:16" ht="17.649999999999999">
      <c r="A456" s="14">
        <v>451</v>
      </c>
      <c r="B456" s="15" t="s">
        <v>95</v>
      </c>
      <c r="C456" s="15" t="s">
        <v>246</v>
      </c>
      <c r="D456" s="16">
        <v>9711573.2981000002</v>
      </c>
      <c r="E456" s="17">
        <f t="shared" si="7"/>
        <v>9711573.2981000002</v>
      </c>
      <c r="F456" s="18"/>
      <c r="G456" s="18"/>
      <c r="H456" s="19"/>
      <c r="I456" s="19"/>
      <c r="J456" s="19"/>
      <c r="K456" s="19"/>
      <c r="L456" s="18"/>
      <c r="M456" s="18"/>
      <c r="N456" s="19"/>
      <c r="O456" s="19"/>
      <c r="P456" s="19"/>
    </row>
    <row r="457" spans="1:16" ht="17.649999999999999">
      <c r="A457" s="14">
        <v>452</v>
      </c>
      <c r="B457" s="15" t="s">
        <v>95</v>
      </c>
      <c r="C457" s="15" t="s">
        <v>248</v>
      </c>
      <c r="D457" s="16">
        <v>10257955.977399999</v>
      </c>
      <c r="E457" s="17">
        <f t="shared" si="7"/>
        <v>10257955.977399999</v>
      </c>
      <c r="F457" s="18"/>
      <c r="G457" s="18"/>
      <c r="H457" s="19"/>
      <c r="I457" s="19"/>
      <c r="J457" s="19"/>
      <c r="K457" s="19"/>
      <c r="L457" s="18"/>
      <c r="M457" s="18"/>
      <c r="N457" s="19"/>
      <c r="O457" s="19"/>
      <c r="P457" s="19"/>
    </row>
    <row r="458" spans="1:16" ht="17.649999999999999">
      <c r="A458" s="14">
        <v>453</v>
      </c>
      <c r="B458" s="15" t="s">
        <v>95</v>
      </c>
      <c r="C458" s="15" t="s">
        <v>250</v>
      </c>
      <c r="D458" s="16">
        <v>11316755.1472</v>
      </c>
      <c r="E458" s="17">
        <f t="shared" si="7"/>
        <v>11316755.1472</v>
      </c>
      <c r="F458" s="18"/>
      <c r="G458" s="18"/>
      <c r="H458" s="19"/>
      <c r="I458" s="19"/>
      <c r="J458" s="19"/>
      <c r="K458" s="19"/>
      <c r="L458" s="18"/>
      <c r="M458" s="18"/>
      <c r="N458" s="19"/>
      <c r="O458" s="19"/>
      <c r="P458" s="19"/>
    </row>
    <row r="459" spans="1:16" ht="17.649999999999999">
      <c r="A459" s="14">
        <v>454</v>
      </c>
      <c r="B459" s="15" t="s">
        <v>95</v>
      </c>
      <c r="C459" s="15" t="s">
        <v>252</v>
      </c>
      <c r="D459" s="16">
        <v>9418012.2223000005</v>
      </c>
      <c r="E459" s="17">
        <f t="shared" si="7"/>
        <v>9418012.2223000005</v>
      </c>
      <c r="F459" s="18"/>
      <c r="G459" s="18"/>
      <c r="H459" s="19"/>
      <c r="I459" s="19"/>
      <c r="J459" s="19"/>
      <c r="K459" s="19"/>
      <c r="L459" s="18"/>
      <c r="M459" s="18"/>
      <c r="N459" s="19"/>
      <c r="O459" s="19"/>
      <c r="P459" s="19"/>
    </row>
    <row r="460" spans="1:16" ht="17.649999999999999">
      <c r="A460" s="14">
        <v>455</v>
      </c>
      <c r="B460" s="15" t="s">
        <v>95</v>
      </c>
      <c r="C460" s="15" t="s">
        <v>254</v>
      </c>
      <c r="D460" s="16">
        <v>10807784.5207</v>
      </c>
      <c r="E460" s="17">
        <f t="shared" si="7"/>
        <v>10807784.5207</v>
      </c>
      <c r="F460" s="18"/>
      <c r="G460" s="18"/>
      <c r="H460" s="19"/>
      <c r="I460" s="19"/>
      <c r="J460" s="19"/>
      <c r="K460" s="19"/>
      <c r="L460" s="18"/>
      <c r="M460" s="18"/>
      <c r="N460" s="19"/>
      <c r="O460" s="19"/>
      <c r="P460" s="19"/>
    </row>
    <row r="461" spans="1:16" ht="17.649999999999999">
      <c r="A461" s="14">
        <v>456</v>
      </c>
      <c r="B461" s="15" t="s">
        <v>95</v>
      </c>
      <c r="C461" s="15" t="s">
        <v>256</v>
      </c>
      <c r="D461" s="16">
        <v>12503583.3237</v>
      </c>
      <c r="E461" s="17">
        <f t="shared" si="7"/>
        <v>12503583.3237</v>
      </c>
      <c r="F461" s="18"/>
      <c r="G461" s="18"/>
      <c r="H461" s="19"/>
      <c r="I461" s="19"/>
      <c r="J461" s="19"/>
      <c r="K461" s="19"/>
      <c r="L461" s="18"/>
      <c r="M461" s="18"/>
      <c r="N461" s="19"/>
      <c r="O461" s="19"/>
      <c r="P461" s="19"/>
    </row>
    <row r="462" spans="1:16" ht="17.649999999999999">
      <c r="A462" s="14">
        <v>457</v>
      </c>
      <c r="B462" s="15" t="s">
        <v>95</v>
      </c>
      <c r="C462" s="15" t="s">
        <v>258</v>
      </c>
      <c r="D462" s="16">
        <v>10017793.3146</v>
      </c>
      <c r="E462" s="17">
        <f t="shared" si="7"/>
        <v>10017793.3146</v>
      </c>
      <c r="F462" s="18"/>
      <c r="G462" s="18"/>
      <c r="H462" s="19"/>
      <c r="I462" s="19"/>
      <c r="J462" s="19"/>
      <c r="K462" s="19"/>
      <c r="L462" s="18"/>
      <c r="M462" s="18"/>
      <c r="N462" s="19"/>
      <c r="O462" s="19"/>
      <c r="P462" s="19"/>
    </row>
    <row r="463" spans="1:16" ht="17.649999999999999">
      <c r="A463" s="14">
        <v>458</v>
      </c>
      <c r="B463" s="15" t="s">
        <v>95</v>
      </c>
      <c r="C463" s="15" t="s">
        <v>260</v>
      </c>
      <c r="D463" s="16">
        <v>9872222.9125999995</v>
      </c>
      <c r="E463" s="17">
        <f t="shared" si="7"/>
        <v>9872222.9125999995</v>
      </c>
      <c r="F463" s="18"/>
      <c r="G463" s="18"/>
      <c r="H463" s="19"/>
      <c r="I463" s="19"/>
      <c r="J463" s="19"/>
      <c r="K463" s="19"/>
      <c r="L463" s="18"/>
      <c r="M463" s="18"/>
      <c r="N463" s="19"/>
      <c r="O463" s="19"/>
      <c r="P463" s="19"/>
    </row>
    <row r="464" spans="1:16" ht="17.649999999999999">
      <c r="A464" s="14">
        <v>459</v>
      </c>
      <c r="B464" s="15" t="s">
        <v>95</v>
      </c>
      <c r="C464" s="15" t="s">
        <v>263</v>
      </c>
      <c r="D464" s="16">
        <v>10244892.3905</v>
      </c>
      <c r="E464" s="17">
        <f t="shared" si="7"/>
        <v>10244892.3905</v>
      </c>
      <c r="F464" s="18"/>
      <c r="G464" s="18"/>
      <c r="H464" s="19"/>
      <c r="I464" s="19"/>
      <c r="J464" s="19"/>
      <c r="K464" s="19"/>
      <c r="L464" s="18"/>
      <c r="M464" s="18"/>
      <c r="N464" s="19"/>
      <c r="O464" s="19"/>
      <c r="P464" s="19"/>
    </row>
    <row r="465" spans="1:16" ht="17.649999999999999">
      <c r="A465" s="14">
        <v>460</v>
      </c>
      <c r="B465" s="15" t="s">
        <v>95</v>
      </c>
      <c r="C465" s="15" t="s">
        <v>265</v>
      </c>
      <c r="D465" s="16">
        <v>12394949.2426</v>
      </c>
      <c r="E465" s="17">
        <f t="shared" si="7"/>
        <v>12394949.2426</v>
      </c>
      <c r="F465" s="18"/>
      <c r="G465" s="18"/>
      <c r="H465" s="19"/>
      <c r="I465" s="19"/>
      <c r="J465" s="19"/>
      <c r="K465" s="19"/>
      <c r="L465" s="18"/>
      <c r="M465" s="18"/>
      <c r="N465" s="19"/>
      <c r="O465" s="19"/>
      <c r="P465" s="19"/>
    </row>
    <row r="466" spans="1:16" ht="17.649999999999999">
      <c r="A466" s="14">
        <v>461</v>
      </c>
      <c r="B466" s="15" t="s">
        <v>95</v>
      </c>
      <c r="C466" s="15" t="s">
        <v>267</v>
      </c>
      <c r="D466" s="16">
        <v>9524661.5785000008</v>
      </c>
      <c r="E466" s="17">
        <f t="shared" si="7"/>
        <v>9524661.5785000008</v>
      </c>
      <c r="F466" s="18"/>
      <c r="G466" s="18"/>
      <c r="H466" s="19"/>
      <c r="I466" s="19"/>
      <c r="J466" s="19"/>
      <c r="K466" s="19"/>
      <c r="L466" s="18"/>
      <c r="M466" s="18"/>
      <c r="N466" s="19"/>
      <c r="O466" s="19"/>
      <c r="P466" s="19"/>
    </row>
    <row r="467" spans="1:16" ht="17.649999999999999">
      <c r="A467" s="14">
        <v>462</v>
      </c>
      <c r="B467" s="15" t="s">
        <v>95</v>
      </c>
      <c r="C467" s="15" t="s">
        <v>269</v>
      </c>
      <c r="D467" s="16">
        <v>11376711.7106</v>
      </c>
      <c r="E467" s="17">
        <f t="shared" si="7"/>
        <v>11376711.7106</v>
      </c>
      <c r="F467" s="18"/>
      <c r="G467" s="18"/>
      <c r="H467" s="19"/>
      <c r="I467" s="19"/>
      <c r="J467" s="19"/>
      <c r="K467" s="19"/>
      <c r="L467" s="18"/>
      <c r="M467" s="18"/>
      <c r="N467" s="19"/>
      <c r="O467" s="19"/>
      <c r="P467" s="19"/>
    </row>
    <row r="468" spans="1:16" ht="17.649999999999999">
      <c r="A468" s="14">
        <v>463</v>
      </c>
      <c r="B468" s="15" t="s">
        <v>96</v>
      </c>
      <c r="C468" s="15" t="s">
        <v>273</v>
      </c>
      <c r="D468" s="16">
        <v>12151961.2907</v>
      </c>
      <c r="E468" s="17">
        <f t="shared" si="7"/>
        <v>12151961.2907</v>
      </c>
      <c r="F468" s="18"/>
      <c r="G468" s="18"/>
      <c r="H468" s="19"/>
      <c r="I468" s="19"/>
      <c r="J468" s="19"/>
      <c r="K468" s="19"/>
      <c r="L468" s="18"/>
      <c r="M468" s="18"/>
      <c r="N468" s="19"/>
      <c r="O468" s="19"/>
      <c r="P468" s="19"/>
    </row>
    <row r="469" spans="1:16" ht="17.649999999999999">
      <c r="A469" s="14">
        <v>464</v>
      </c>
      <c r="B469" s="15" t="s">
        <v>96</v>
      </c>
      <c r="C469" s="15" t="s">
        <v>275</v>
      </c>
      <c r="D469" s="16">
        <v>10745076.057700001</v>
      </c>
      <c r="E469" s="17">
        <f t="shared" si="7"/>
        <v>10745076.057700001</v>
      </c>
      <c r="F469" s="18"/>
      <c r="G469" s="18"/>
      <c r="H469" s="19"/>
      <c r="I469" s="19"/>
      <c r="J469" s="19"/>
      <c r="K469" s="19"/>
      <c r="L469" s="18"/>
      <c r="M469" s="18"/>
      <c r="N469" s="19"/>
      <c r="O469" s="19"/>
      <c r="P469" s="19"/>
    </row>
    <row r="470" spans="1:16" ht="17.649999999999999">
      <c r="A470" s="14">
        <v>465</v>
      </c>
      <c r="B470" s="15" t="s">
        <v>96</v>
      </c>
      <c r="C470" s="15" t="s">
        <v>277</v>
      </c>
      <c r="D470" s="16">
        <v>13560806.7117</v>
      </c>
      <c r="E470" s="17">
        <f t="shared" si="7"/>
        <v>13560806.7117</v>
      </c>
      <c r="F470" s="18"/>
      <c r="G470" s="18"/>
      <c r="H470" s="19"/>
      <c r="I470" s="19"/>
      <c r="J470" s="19"/>
      <c r="K470" s="19"/>
      <c r="L470" s="18"/>
      <c r="M470" s="18"/>
      <c r="N470" s="19"/>
      <c r="O470" s="19"/>
      <c r="P470" s="19"/>
    </row>
    <row r="471" spans="1:16" ht="17.649999999999999">
      <c r="A471" s="14">
        <v>466</v>
      </c>
      <c r="B471" s="15" t="s">
        <v>96</v>
      </c>
      <c r="C471" s="15" t="s">
        <v>279</v>
      </c>
      <c r="D471" s="16">
        <v>10737307.8683</v>
      </c>
      <c r="E471" s="17">
        <f t="shared" si="7"/>
        <v>10737307.8683</v>
      </c>
      <c r="F471" s="18"/>
      <c r="G471" s="18"/>
      <c r="H471" s="19"/>
      <c r="I471" s="19"/>
      <c r="J471" s="19"/>
      <c r="K471" s="19"/>
      <c r="L471" s="18"/>
      <c r="M471" s="18"/>
      <c r="N471" s="19"/>
      <c r="O471" s="19"/>
      <c r="P471" s="19"/>
    </row>
    <row r="472" spans="1:16" ht="17.649999999999999">
      <c r="A472" s="14">
        <v>467</v>
      </c>
      <c r="B472" s="15" t="s">
        <v>96</v>
      </c>
      <c r="C472" s="15" t="s">
        <v>281</v>
      </c>
      <c r="D472" s="16">
        <v>14681234.9531</v>
      </c>
      <c r="E472" s="17">
        <f t="shared" si="7"/>
        <v>14681234.9531</v>
      </c>
      <c r="F472" s="18"/>
      <c r="G472" s="18"/>
      <c r="H472" s="19"/>
      <c r="I472" s="19"/>
      <c r="J472" s="19"/>
      <c r="K472" s="19"/>
      <c r="L472" s="18"/>
      <c r="M472" s="18"/>
      <c r="N472" s="19"/>
      <c r="O472" s="19"/>
      <c r="P472" s="19"/>
    </row>
    <row r="473" spans="1:16" ht="17.649999999999999">
      <c r="A473" s="14">
        <v>468</v>
      </c>
      <c r="B473" s="15" t="s">
        <v>96</v>
      </c>
      <c r="C473" s="15" t="s">
        <v>283</v>
      </c>
      <c r="D473" s="16">
        <v>11414767.6219</v>
      </c>
      <c r="E473" s="17">
        <f t="shared" si="7"/>
        <v>11414767.6219</v>
      </c>
      <c r="F473" s="18"/>
      <c r="G473" s="18"/>
      <c r="H473" s="19"/>
      <c r="I473" s="19"/>
      <c r="J473" s="19"/>
      <c r="K473" s="19"/>
      <c r="L473" s="18"/>
      <c r="M473" s="18"/>
      <c r="N473" s="19"/>
      <c r="O473" s="19"/>
      <c r="P473" s="19"/>
    </row>
    <row r="474" spans="1:16" ht="17.649999999999999">
      <c r="A474" s="14">
        <v>469</v>
      </c>
      <c r="B474" s="15" t="s">
        <v>96</v>
      </c>
      <c r="C474" s="15" t="s">
        <v>285</v>
      </c>
      <c r="D474" s="16">
        <v>9578026.6899999995</v>
      </c>
      <c r="E474" s="17">
        <f t="shared" si="7"/>
        <v>9578026.6899999995</v>
      </c>
      <c r="F474" s="18"/>
      <c r="G474" s="18"/>
      <c r="H474" s="19"/>
      <c r="I474" s="19"/>
      <c r="J474" s="19"/>
      <c r="K474" s="19"/>
      <c r="L474" s="18"/>
      <c r="M474" s="18"/>
      <c r="N474" s="19"/>
      <c r="O474" s="19"/>
      <c r="P474" s="19"/>
    </row>
    <row r="475" spans="1:16" ht="17.649999999999999">
      <c r="A475" s="14">
        <v>470</v>
      </c>
      <c r="B475" s="15" t="s">
        <v>96</v>
      </c>
      <c r="C475" s="15" t="s">
        <v>287</v>
      </c>
      <c r="D475" s="16">
        <v>11223547.442500001</v>
      </c>
      <c r="E475" s="17">
        <f t="shared" si="7"/>
        <v>11223547.442500001</v>
      </c>
      <c r="F475" s="18"/>
      <c r="G475" s="18"/>
      <c r="H475" s="19"/>
      <c r="I475" s="19"/>
      <c r="J475" s="19"/>
      <c r="K475" s="19"/>
      <c r="L475" s="18"/>
      <c r="M475" s="18"/>
      <c r="N475" s="19"/>
      <c r="O475" s="19"/>
      <c r="P475" s="19"/>
    </row>
    <row r="476" spans="1:16" ht="17.649999999999999">
      <c r="A476" s="14">
        <v>471</v>
      </c>
      <c r="B476" s="15" t="s">
        <v>96</v>
      </c>
      <c r="C476" s="15" t="s">
        <v>289</v>
      </c>
      <c r="D476" s="16">
        <v>11006976.5572</v>
      </c>
      <c r="E476" s="17">
        <f t="shared" si="7"/>
        <v>11006976.5572</v>
      </c>
      <c r="F476" s="18"/>
      <c r="G476" s="18"/>
      <c r="H476" s="19"/>
      <c r="I476" s="19"/>
      <c r="J476" s="19"/>
      <c r="K476" s="19"/>
      <c r="L476" s="18"/>
      <c r="M476" s="18"/>
      <c r="N476" s="19"/>
      <c r="O476" s="19"/>
      <c r="P476" s="19"/>
    </row>
    <row r="477" spans="1:16" ht="17.649999999999999">
      <c r="A477" s="14">
        <v>472</v>
      </c>
      <c r="B477" s="15" t="s">
        <v>96</v>
      </c>
      <c r="C477" s="15" t="s">
        <v>291</v>
      </c>
      <c r="D477" s="16">
        <v>11636871.4548</v>
      </c>
      <c r="E477" s="17">
        <f t="shared" si="7"/>
        <v>11636871.4548</v>
      </c>
      <c r="F477" s="18"/>
      <c r="G477" s="18"/>
      <c r="H477" s="19"/>
      <c r="I477" s="19"/>
      <c r="J477" s="19"/>
      <c r="K477" s="19"/>
      <c r="L477" s="18"/>
      <c r="M477" s="18"/>
      <c r="N477" s="19"/>
      <c r="O477" s="19"/>
      <c r="P477" s="19"/>
    </row>
    <row r="478" spans="1:16" ht="17.649999999999999">
      <c r="A478" s="14">
        <v>473</v>
      </c>
      <c r="B478" s="15" t="s">
        <v>96</v>
      </c>
      <c r="C478" s="15" t="s">
        <v>96</v>
      </c>
      <c r="D478" s="16">
        <v>10243805.5459</v>
      </c>
      <c r="E478" s="17">
        <f t="shared" si="7"/>
        <v>10243805.5459</v>
      </c>
      <c r="F478" s="18"/>
      <c r="G478" s="18"/>
      <c r="H478" s="19"/>
      <c r="I478" s="19"/>
      <c r="J478" s="19"/>
      <c r="K478" s="19"/>
      <c r="L478" s="18"/>
      <c r="M478" s="18"/>
      <c r="N478" s="19"/>
      <c r="O478" s="19"/>
      <c r="P478" s="19"/>
    </row>
    <row r="479" spans="1:16" ht="17.649999999999999">
      <c r="A479" s="14">
        <v>474</v>
      </c>
      <c r="B479" s="15" t="s">
        <v>96</v>
      </c>
      <c r="C479" s="15" t="s">
        <v>294</v>
      </c>
      <c r="D479" s="16">
        <v>13078341.1162</v>
      </c>
      <c r="E479" s="17">
        <f t="shared" si="7"/>
        <v>13078341.1162</v>
      </c>
      <c r="F479" s="18"/>
      <c r="G479" s="18"/>
      <c r="H479" s="19"/>
      <c r="I479" s="19"/>
      <c r="J479" s="19"/>
      <c r="K479" s="19"/>
      <c r="L479" s="18"/>
      <c r="M479" s="18"/>
      <c r="N479" s="19"/>
      <c r="O479" s="19"/>
      <c r="P479" s="19"/>
    </row>
    <row r="480" spans="1:16" ht="17.649999999999999">
      <c r="A480" s="14">
        <v>475</v>
      </c>
      <c r="B480" s="15" t="s">
        <v>96</v>
      </c>
      <c r="C480" s="15" t="s">
        <v>296</v>
      </c>
      <c r="D480" s="16">
        <v>8632485.6720000003</v>
      </c>
      <c r="E480" s="17">
        <f t="shared" si="7"/>
        <v>8632485.6720000003</v>
      </c>
      <c r="F480" s="18"/>
      <c r="G480" s="18"/>
      <c r="H480" s="19"/>
      <c r="I480" s="19"/>
      <c r="J480" s="19"/>
      <c r="K480" s="19"/>
      <c r="L480" s="18"/>
      <c r="M480" s="18"/>
      <c r="N480" s="19"/>
      <c r="O480" s="19"/>
      <c r="P480" s="19"/>
    </row>
    <row r="481" spans="1:16" ht="17.649999999999999">
      <c r="A481" s="14">
        <v>476</v>
      </c>
      <c r="B481" s="15" t="s">
        <v>96</v>
      </c>
      <c r="C481" s="15" t="s">
        <v>298</v>
      </c>
      <c r="D481" s="16">
        <v>12550337.992900001</v>
      </c>
      <c r="E481" s="17">
        <f t="shared" si="7"/>
        <v>12550337.992900001</v>
      </c>
      <c r="F481" s="18"/>
      <c r="G481" s="18"/>
      <c r="H481" s="19"/>
      <c r="I481" s="19"/>
      <c r="J481" s="19"/>
      <c r="K481" s="19"/>
      <c r="L481" s="18"/>
      <c r="M481" s="18"/>
      <c r="N481" s="19"/>
      <c r="O481" s="19"/>
      <c r="P481" s="19"/>
    </row>
    <row r="482" spans="1:16" ht="17.649999999999999">
      <c r="A482" s="14">
        <v>477</v>
      </c>
      <c r="B482" s="15" t="s">
        <v>96</v>
      </c>
      <c r="C482" s="15" t="s">
        <v>300</v>
      </c>
      <c r="D482" s="16">
        <v>8380618.3454999998</v>
      </c>
      <c r="E482" s="17">
        <f t="shared" si="7"/>
        <v>8380618.3454999998</v>
      </c>
      <c r="F482" s="18"/>
      <c r="G482" s="18"/>
      <c r="H482" s="19"/>
      <c r="I482" s="19"/>
      <c r="J482" s="19"/>
      <c r="K482" s="19"/>
      <c r="L482" s="18"/>
      <c r="M482" s="18"/>
      <c r="N482" s="19"/>
      <c r="O482" s="19"/>
      <c r="P482" s="19"/>
    </row>
    <row r="483" spans="1:16" ht="17.649999999999999">
      <c r="A483" s="14">
        <v>478</v>
      </c>
      <c r="B483" s="15" t="s">
        <v>96</v>
      </c>
      <c r="C483" s="15" t="s">
        <v>302</v>
      </c>
      <c r="D483" s="16">
        <v>12149986.638599999</v>
      </c>
      <c r="E483" s="17">
        <f t="shared" si="7"/>
        <v>12149986.638599999</v>
      </c>
      <c r="F483" s="18"/>
      <c r="G483" s="18"/>
      <c r="H483" s="19"/>
      <c r="I483" s="19"/>
      <c r="J483" s="19"/>
      <c r="K483" s="19"/>
      <c r="L483" s="18"/>
      <c r="M483" s="18"/>
      <c r="N483" s="19"/>
      <c r="O483" s="19"/>
      <c r="P483" s="19"/>
    </row>
    <row r="484" spans="1:16" ht="17.649999999999999">
      <c r="A484" s="14">
        <v>479</v>
      </c>
      <c r="B484" s="15" t="s">
        <v>96</v>
      </c>
      <c r="C484" s="15" t="s">
        <v>304</v>
      </c>
      <c r="D484" s="16">
        <v>15195526.765699999</v>
      </c>
      <c r="E484" s="17">
        <f t="shared" si="7"/>
        <v>15195526.765699999</v>
      </c>
      <c r="F484" s="18"/>
      <c r="G484" s="18"/>
      <c r="H484" s="19"/>
      <c r="I484" s="19"/>
      <c r="J484" s="19"/>
      <c r="K484" s="19"/>
      <c r="L484" s="18"/>
      <c r="M484" s="18"/>
      <c r="N484" s="19"/>
      <c r="O484" s="19"/>
      <c r="P484" s="19"/>
    </row>
    <row r="485" spans="1:16" ht="17.649999999999999">
      <c r="A485" s="14">
        <v>480</v>
      </c>
      <c r="B485" s="15" t="s">
        <v>96</v>
      </c>
      <c r="C485" s="15" t="s">
        <v>307</v>
      </c>
      <c r="D485" s="16">
        <v>11478343.949200001</v>
      </c>
      <c r="E485" s="17">
        <f t="shared" si="7"/>
        <v>11478343.949200001</v>
      </c>
      <c r="F485" s="18"/>
      <c r="G485" s="18"/>
      <c r="H485" s="19"/>
      <c r="I485" s="19"/>
      <c r="J485" s="19"/>
      <c r="K485" s="19"/>
      <c r="L485" s="18"/>
      <c r="M485" s="18"/>
      <c r="N485" s="19"/>
      <c r="O485" s="19"/>
      <c r="P485" s="19"/>
    </row>
    <row r="486" spans="1:16" ht="17.649999999999999">
      <c r="A486" s="14">
        <v>481</v>
      </c>
      <c r="B486" s="15" t="s">
        <v>96</v>
      </c>
      <c r="C486" s="15" t="s">
        <v>308</v>
      </c>
      <c r="D486" s="16">
        <v>10868223.411900001</v>
      </c>
      <c r="E486" s="17">
        <f t="shared" si="7"/>
        <v>10868223.411900001</v>
      </c>
      <c r="F486" s="18"/>
      <c r="G486" s="18"/>
      <c r="H486" s="19"/>
      <c r="I486" s="19"/>
      <c r="J486" s="19"/>
      <c r="K486" s="19"/>
      <c r="L486" s="18"/>
      <c r="M486" s="18"/>
      <c r="N486" s="19"/>
      <c r="O486" s="19"/>
      <c r="P486" s="19"/>
    </row>
    <row r="487" spans="1:16" ht="17.649999999999999">
      <c r="A487" s="14">
        <v>482</v>
      </c>
      <c r="B487" s="15" t="s">
        <v>96</v>
      </c>
      <c r="C487" s="15" t="s">
        <v>310</v>
      </c>
      <c r="D487" s="16">
        <v>11653363.0812</v>
      </c>
      <c r="E487" s="17">
        <f t="shared" si="7"/>
        <v>11653363.0812</v>
      </c>
      <c r="F487" s="18"/>
      <c r="G487" s="18"/>
      <c r="H487" s="19"/>
      <c r="I487" s="19"/>
      <c r="J487" s="19"/>
      <c r="K487" s="19"/>
      <c r="L487" s="18"/>
      <c r="M487" s="18"/>
      <c r="N487" s="19"/>
      <c r="O487" s="19"/>
      <c r="P487" s="19"/>
    </row>
    <row r="488" spans="1:16" ht="17.649999999999999">
      <c r="A488" s="14">
        <v>483</v>
      </c>
      <c r="B488" s="15" t="s">
        <v>96</v>
      </c>
      <c r="C488" s="15" t="s">
        <v>312</v>
      </c>
      <c r="D488" s="16">
        <v>11402413.307800001</v>
      </c>
      <c r="E488" s="17">
        <f t="shared" si="7"/>
        <v>11402413.307800001</v>
      </c>
      <c r="F488" s="18"/>
      <c r="G488" s="18"/>
      <c r="H488" s="19"/>
      <c r="I488" s="19"/>
      <c r="J488" s="19"/>
      <c r="K488" s="19"/>
      <c r="L488" s="18"/>
      <c r="M488" s="18"/>
      <c r="N488" s="19"/>
      <c r="O488" s="19"/>
      <c r="P488" s="19"/>
    </row>
    <row r="489" spans="1:16" ht="17.649999999999999">
      <c r="A489" s="14">
        <v>484</v>
      </c>
      <c r="B489" s="15" t="s">
        <v>97</v>
      </c>
      <c r="C489" s="15" t="s">
        <v>316</v>
      </c>
      <c r="D489" s="16">
        <v>9847722.8202999998</v>
      </c>
      <c r="E489" s="17">
        <f t="shared" si="7"/>
        <v>9847722.8202999998</v>
      </c>
      <c r="F489" s="18"/>
      <c r="G489" s="18"/>
      <c r="H489" s="19"/>
      <c r="I489" s="19"/>
      <c r="J489" s="19"/>
      <c r="K489" s="19"/>
      <c r="L489" s="18"/>
      <c r="M489" s="18"/>
      <c r="N489" s="19"/>
      <c r="O489" s="19"/>
      <c r="P489" s="19"/>
    </row>
    <row r="490" spans="1:16" ht="17.649999999999999">
      <c r="A490" s="14">
        <v>485</v>
      </c>
      <c r="B490" s="15" t="s">
        <v>97</v>
      </c>
      <c r="C490" s="15" t="s">
        <v>318</v>
      </c>
      <c r="D490" s="16">
        <v>16194009.291099999</v>
      </c>
      <c r="E490" s="17">
        <f t="shared" si="7"/>
        <v>16194009.291099999</v>
      </c>
      <c r="F490" s="18"/>
      <c r="G490" s="18"/>
      <c r="H490" s="19"/>
      <c r="I490" s="19"/>
      <c r="J490" s="19"/>
      <c r="K490" s="19"/>
      <c r="L490" s="18"/>
      <c r="M490" s="18"/>
      <c r="N490" s="19"/>
      <c r="O490" s="19"/>
      <c r="P490" s="19"/>
    </row>
    <row r="491" spans="1:16" ht="17.649999999999999">
      <c r="A491" s="14">
        <v>486</v>
      </c>
      <c r="B491" s="15" t="s">
        <v>97</v>
      </c>
      <c r="C491" s="15" t="s">
        <v>320</v>
      </c>
      <c r="D491" s="16">
        <v>12411691.6098</v>
      </c>
      <c r="E491" s="17">
        <f t="shared" si="7"/>
        <v>12411691.6098</v>
      </c>
      <c r="F491" s="18"/>
      <c r="G491" s="18"/>
      <c r="H491" s="19"/>
      <c r="I491" s="19"/>
      <c r="J491" s="19"/>
      <c r="K491" s="19"/>
      <c r="L491" s="18"/>
      <c r="M491" s="18"/>
      <c r="N491" s="19"/>
      <c r="O491" s="19"/>
      <c r="P491" s="19"/>
    </row>
    <row r="492" spans="1:16" ht="17.649999999999999">
      <c r="A492" s="14">
        <v>487</v>
      </c>
      <c r="B492" s="15" t="s">
        <v>97</v>
      </c>
      <c r="C492" s="15" t="s">
        <v>87</v>
      </c>
      <c r="D492" s="16">
        <v>7558444.0756999999</v>
      </c>
      <c r="E492" s="17">
        <f t="shared" si="7"/>
        <v>7558444.0756999999</v>
      </c>
      <c r="F492" s="18"/>
      <c r="G492" s="18"/>
      <c r="H492" s="19"/>
      <c r="I492" s="19"/>
      <c r="J492" s="19"/>
      <c r="K492" s="19"/>
      <c r="L492" s="18"/>
      <c r="M492" s="18"/>
      <c r="N492" s="19"/>
      <c r="O492" s="19"/>
      <c r="P492" s="19"/>
    </row>
    <row r="493" spans="1:16" ht="17.649999999999999">
      <c r="A493" s="14">
        <v>488</v>
      </c>
      <c r="B493" s="15" t="s">
        <v>97</v>
      </c>
      <c r="C493" s="15" t="s">
        <v>323</v>
      </c>
      <c r="D493" s="16">
        <v>13114689.2565</v>
      </c>
      <c r="E493" s="17">
        <f t="shared" si="7"/>
        <v>13114689.2565</v>
      </c>
      <c r="F493" s="18"/>
      <c r="G493" s="18"/>
      <c r="H493" s="19"/>
      <c r="I493" s="19"/>
      <c r="J493" s="19"/>
      <c r="K493" s="19"/>
      <c r="L493" s="18"/>
      <c r="M493" s="18"/>
      <c r="N493" s="19"/>
      <c r="O493" s="19"/>
      <c r="P493" s="19"/>
    </row>
    <row r="494" spans="1:16" ht="17.649999999999999">
      <c r="A494" s="14">
        <v>489</v>
      </c>
      <c r="B494" s="15" t="s">
        <v>97</v>
      </c>
      <c r="C494" s="15" t="s">
        <v>325</v>
      </c>
      <c r="D494" s="16">
        <v>11271908.621099999</v>
      </c>
      <c r="E494" s="17">
        <f t="shared" si="7"/>
        <v>11271908.621099999</v>
      </c>
      <c r="F494" s="18"/>
      <c r="G494" s="18"/>
      <c r="H494" s="19"/>
      <c r="I494" s="19"/>
      <c r="J494" s="19"/>
      <c r="K494" s="19"/>
      <c r="L494" s="18"/>
      <c r="M494" s="18"/>
      <c r="N494" s="19"/>
      <c r="O494" s="19"/>
      <c r="P494" s="19"/>
    </row>
    <row r="495" spans="1:16" ht="17.649999999999999">
      <c r="A495" s="14">
        <v>490</v>
      </c>
      <c r="B495" s="15" t="s">
        <v>97</v>
      </c>
      <c r="C495" s="15" t="s">
        <v>327</v>
      </c>
      <c r="D495" s="16">
        <v>11393388.445800001</v>
      </c>
      <c r="E495" s="17">
        <f t="shared" si="7"/>
        <v>11393388.445800001</v>
      </c>
      <c r="F495" s="18"/>
      <c r="G495" s="18"/>
      <c r="H495" s="19"/>
      <c r="I495" s="19"/>
      <c r="J495" s="19"/>
      <c r="K495" s="19"/>
      <c r="L495" s="18"/>
      <c r="M495" s="18"/>
      <c r="N495" s="19"/>
      <c r="O495" s="19"/>
      <c r="P495" s="19"/>
    </row>
    <row r="496" spans="1:16" ht="17.649999999999999">
      <c r="A496" s="14">
        <v>491</v>
      </c>
      <c r="B496" s="15" t="s">
        <v>97</v>
      </c>
      <c r="C496" s="15" t="s">
        <v>329</v>
      </c>
      <c r="D496" s="16">
        <v>13435304.6491</v>
      </c>
      <c r="E496" s="17">
        <f t="shared" si="7"/>
        <v>13435304.6491</v>
      </c>
      <c r="F496" s="18"/>
      <c r="G496" s="18"/>
      <c r="H496" s="19"/>
      <c r="I496" s="19"/>
      <c r="J496" s="19"/>
      <c r="K496" s="19"/>
      <c r="L496" s="18"/>
      <c r="M496" s="18"/>
      <c r="N496" s="19"/>
      <c r="O496" s="19"/>
      <c r="P496" s="19"/>
    </row>
    <row r="497" spans="1:16" ht="17.649999999999999">
      <c r="A497" s="14">
        <v>492</v>
      </c>
      <c r="B497" s="15" t="s">
        <v>97</v>
      </c>
      <c r="C497" s="15" t="s">
        <v>331</v>
      </c>
      <c r="D497" s="16">
        <v>9712844.4280999992</v>
      </c>
      <c r="E497" s="17">
        <f t="shared" si="7"/>
        <v>9712844.4280999992</v>
      </c>
      <c r="F497" s="18"/>
      <c r="G497" s="18"/>
      <c r="H497" s="19"/>
      <c r="I497" s="19"/>
      <c r="J497" s="19"/>
      <c r="K497" s="19"/>
      <c r="L497" s="18"/>
      <c r="M497" s="18"/>
      <c r="N497" s="19"/>
      <c r="O497" s="19"/>
      <c r="P497" s="19"/>
    </row>
    <row r="498" spans="1:16" ht="17.649999999999999">
      <c r="A498" s="14">
        <v>493</v>
      </c>
      <c r="B498" s="15" t="s">
        <v>97</v>
      </c>
      <c r="C498" s="15" t="s">
        <v>333</v>
      </c>
      <c r="D498" s="16">
        <v>12916403.579</v>
      </c>
      <c r="E498" s="17">
        <f t="shared" si="7"/>
        <v>12916403.579</v>
      </c>
      <c r="F498" s="18"/>
      <c r="G498" s="18"/>
      <c r="H498" s="19"/>
      <c r="I498" s="19"/>
      <c r="J498" s="19"/>
      <c r="K498" s="19"/>
      <c r="L498" s="18"/>
      <c r="M498" s="18"/>
      <c r="N498" s="19"/>
      <c r="O498" s="19"/>
      <c r="P498" s="19"/>
    </row>
    <row r="499" spans="1:16" ht="17.649999999999999">
      <c r="A499" s="14">
        <v>494</v>
      </c>
      <c r="B499" s="15" t="s">
        <v>97</v>
      </c>
      <c r="C499" s="15" t="s">
        <v>335</v>
      </c>
      <c r="D499" s="16">
        <v>10239212.263800001</v>
      </c>
      <c r="E499" s="17">
        <f t="shared" si="7"/>
        <v>10239212.263800001</v>
      </c>
      <c r="F499" s="18"/>
      <c r="G499" s="18"/>
      <c r="H499" s="19"/>
      <c r="I499" s="19"/>
      <c r="J499" s="19"/>
      <c r="K499" s="19"/>
      <c r="L499" s="18"/>
      <c r="M499" s="18"/>
      <c r="N499" s="19"/>
      <c r="O499" s="19"/>
      <c r="P499" s="19"/>
    </row>
    <row r="500" spans="1:16" ht="17.649999999999999">
      <c r="A500" s="14">
        <v>495</v>
      </c>
      <c r="B500" s="15" t="s">
        <v>97</v>
      </c>
      <c r="C500" s="15" t="s">
        <v>337</v>
      </c>
      <c r="D500" s="16">
        <v>9094804.4563999996</v>
      </c>
      <c r="E500" s="17">
        <f t="shared" si="7"/>
        <v>9094804.4563999996</v>
      </c>
      <c r="F500" s="18"/>
      <c r="G500" s="18"/>
      <c r="H500" s="19"/>
      <c r="I500" s="19"/>
      <c r="J500" s="19"/>
      <c r="K500" s="19"/>
      <c r="L500" s="18"/>
      <c r="M500" s="18"/>
      <c r="N500" s="19"/>
      <c r="O500" s="19"/>
      <c r="P500" s="19"/>
    </row>
    <row r="501" spans="1:16" ht="17.649999999999999">
      <c r="A501" s="14">
        <v>496</v>
      </c>
      <c r="B501" s="15" t="s">
        <v>97</v>
      </c>
      <c r="C501" s="15" t="s">
        <v>339</v>
      </c>
      <c r="D501" s="16">
        <v>7609775.9872000003</v>
      </c>
      <c r="E501" s="17">
        <f t="shared" si="7"/>
        <v>7609775.9872000003</v>
      </c>
      <c r="F501" s="18"/>
      <c r="G501" s="18"/>
      <c r="H501" s="19"/>
      <c r="I501" s="19"/>
      <c r="J501" s="19"/>
      <c r="K501" s="19"/>
      <c r="L501" s="18"/>
      <c r="M501" s="18"/>
      <c r="N501" s="19"/>
      <c r="O501" s="19"/>
      <c r="P501" s="19"/>
    </row>
    <row r="502" spans="1:16" ht="17.649999999999999">
      <c r="A502" s="14">
        <v>497</v>
      </c>
      <c r="B502" s="15" t="s">
        <v>97</v>
      </c>
      <c r="C502" s="15" t="s">
        <v>341</v>
      </c>
      <c r="D502" s="16">
        <v>7577506.8751999997</v>
      </c>
      <c r="E502" s="17">
        <f t="shared" si="7"/>
        <v>7577506.8751999997</v>
      </c>
      <c r="F502" s="18"/>
      <c r="G502" s="18"/>
      <c r="H502" s="19"/>
      <c r="I502" s="19"/>
      <c r="J502" s="19"/>
      <c r="K502" s="19"/>
      <c r="L502" s="18"/>
      <c r="M502" s="18"/>
      <c r="N502" s="19"/>
      <c r="O502" s="19"/>
      <c r="P502" s="19"/>
    </row>
    <row r="503" spans="1:16" ht="17.649999999999999">
      <c r="A503" s="14">
        <v>498</v>
      </c>
      <c r="B503" s="15" t="s">
        <v>97</v>
      </c>
      <c r="C503" s="15" t="s">
        <v>343</v>
      </c>
      <c r="D503" s="16">
        <v>8652252.2836000007</v>
      </c>
      <c r="E503" s="17">
        <f t="shared" si="7"/>
        <v>8652252.2836000007</v>
      </c>
      <c r="F503" s="18"/>
      <c r="G503" s="18"/>
      <c r="H503" s="19"/>
      <c r="I503" s="19"/>
      <c r="J503" s="19"/>
      <c r="K503" s="19"/>
      <c r="L503" s="18"/>
      <c r="M503" s="18"/>
      <c r="N503" s="19"/>
      <c r="O503" s="19"/>
      <c r="P503" s="19"/>
    </row>
    <row r="504" spans="1:16" ht="17.649999999999999">
      <c r="A504" s="14">
        <v>499</v>
      </c>
      <c r="B504" s="15" t="s">
        <v>97</v>
      </c>
      <c r="C504" s="15" t="s">
        <v>345</v>
      </c>
      <c r="D504" s="16">
        <v>10472219.286499999</v>
      </c>
      <c r="E504" s="17">
        <f t="shared" si="7"/>
        <v>10472219.286499999</v>
      </c>
      <c r="F504" s="18"/>
      <c r="G504" s="18"/>
      <c r="H504" s="19"/>
      <c r="I504" s="19"/>
      <c r="J504" s="19"/>
      <c r="K504" s="19"/>
      <c r="L504" s="18"/>
      <c r="M504" s="18"/>
      <c r="N504" s="19"/>
      <c r="O504" s="19"/>
      <c r="P504" s="19"/>
    </row>
    <row r="505" spans="1:16" ht="17.649999999999999">
      <c r="A505" s="14">
        <v>500</v>
      </c>
      <c r="B505" s="15" t="s">
        <v>98</v>
      </c>
      <c r="C505" s="15" t="s">
        <v>350</v>
      </c>
      <c r="D505" s="16">
        <v>14695794.9034</v>
      </c>
      <c r="E505" s="17">
        <f t="shared" si="7"/>
        <v>14695794.9034</v>
      </c>
      <c r="F505" s="18"/>
      <c r="G505" s="18"/>
      <c r="H505" s="19"/>
      <c r="I505" s="19"/>
      <c r="J505" s="19"/>
      <c r="K505" s="19"/>
      <c r="L505" s="18"/>
      <c r="M505" s="18"/>
      <c r="N505" s="19"/>
      <c r="O505" s="19"/>
      <c r="P505" s="19"/>
    </row>
    <row r="506" spans="1:16" ht="35.25">
      <c r="A506" s="14">
        <v>501</v>
      </c>
      <c r="B506" s="15" t="s">
        <v>98</v>
      </c>
      <c r="C506" s="15" t="s">
        <v>352</v>
      </c>
      <c r="D506" s="16">
        <v>18889502.0207</v>
      </c>
      <c r="E506" s="17">
        <f t="shared" si="7"/>
        <v>18889502.0207</v>
      </c>
      <c r="F506" s="18"/>
      <c r="G506" s="18"/>
      <c r="H506" s="19"/>
      <c r="I506" s="19"/>
      <c r="J506" s="19"/>
      <c r="K506" s="19"/>
      <c r="L506" s="18"/>
      <c r="M506" s="18"/>
      <c r="N506" s="19"/>
      <c r="O506" s="19"/>
      <c r="P506" s="19"/>
    </row>
    <row r="507" spans="1:16" ht="17.649999999999999">
      <c r="A507" s="14">
        <v>502</v>
      </c>
      <c r="B507" s="15" t="s">
        <v>98</v>
      </c>
      <c r="C507" s="15" t="s">
        <v>354</v>
      </c>
      <c r="D507" s="16">
        <v>30462924.155499998</v>
      </c>
      <c r="E507" s="17">
        <f t="shared" si="7"/>
        <v>30462924.155499998</v>
      </c>
      <c r="F507" s="18"/>
      <c r="G507" s="18"/>
      <c r="H507" s="19"/>
      <c r="I507" s="19"/>
      <c r="J507" s="19"/>
      <c r="K507" s="19"/>
      <c r="L507" s="18"/>
      <c r="M507" s="18"/>
      <c r="N507" s="19"/>
      <c r="O507" s="19"/>
      <c r="P507" s="19"/>
    </row>
    <row r="508" spans="1:16" ht="17.649999999999999">
      <c r="A508" s="14">
        <v>503</v>
      </c>
      <c r="B508" s="15" t="s">
        <v>98</v>
      </c>
      <c r="C508" s="15" t="s">
        <v>356</v>
      </c>
      <c r="D508" s="16">
        <v>11906236.074999999</v>
      </c>
      <c r="E508" s="17">
        <f t="shared" si="7"/>
        <v>11906236.074999999</v>
      </c>
      <c r="F508" s="18"/>
      <c r="G508" s="18"/>
      <c r="H508" s="19"/>
      <c r="I508" s="19"/>
      <c r="J508" s="19"/>
      <c r="K508" s="19"/>
      <c r="L508" s="18"/>
      <c r="M508" s="18"/>
      <c r="N508" s="19"/>
      <c r="O508" s="19"/>
      <c r="P508" s="19"/>
    </row>
    <row r="509" spans="1:16" ht="17.649999999999999">
      <c r="A509" s="14">
        <v>504</v>
      </c>
      <c r="B509" s="15" t="s">
        <v>98</v>
      </c>
      <c r="C509" s="15" t="s">
        <v>358</v>
      </c>
      <c r="D509" s="16">
        <v>10010121.134400001</v>
      </c>
      <c r="E509" s="17">
        <f t="shared" si="7"/>
        <v>10010121.134400001</v>
      </c>
      <c r="F509" s="18"/>
      <c r="G509" s="18"/>
      <c r="H509" s="19"/>
      <c r="I509" s="19"/>
      <c r="J509" s="19"/>
      <c r="K509" s="19"/>
      <c r="L509" s="18"/>
      <c r="M509" s="18"/>
      <c r="N509" s="19"/>
      <c r="O509" s="19"/>
      <c r="P509" s="19"/>
    </row>
    <row r="510" spans="1:16" ht="17.649999999999999">
      <c r="A510" s="14">
        <v>505</v>
      </c>
      <c r="B510" s="15" t="s">
        <v>98</v>
      </c>
      <c r="C510" s="15" t="s">
        <v>360</v>
      </c>
      <c r="D510" s="16">
        <v>11190946.120999999</v>
      </c>
      <c r="E510" s="17">
        <f t="shared" si="7"/>
        <v>11190946.120999999</v>
      </c>
      <c r="F510" s="18"/>
      <c r="G510" s="18"/>
      <c r="H510" s="19"/>
      <c r="I510" s="19"/>
      <c r="J510" s="19"/>
      <c r="K510" s="19"/>
      <c r="L510" s="18"/>
      <c r="M510" s="18"/>
      <c r="N510" s="19"/>
      <c r="O510" s="19"/>
      <c r="P510" s="19"/>
    </row>
    <row r="511" spans="1:16" ht="17.649999999999999">
      <c r="A511" s="14">
        <v>506</v>
      </c>
      <c r="B511" s="15" t="s">
        <v>98</v>
      </c>
      <c r="C511" s="15" t="s">
        <v>362</v>
      </c>
      <c r="D511" s="16">
        <v>10274998.267000001</v>
      </c>
      <c r="E511" s="17">
        <f t="shared" si="7"/>
        <v>10274998.267000001</v>
      </c>
      <c r="F511" s="18"/>
      <c r="G511" s="18"/>
      <c r="H511" s="19"/>
      <c r="I511" s="19"/>
      <c r="J511" s="19"/>
      <c r="K511" s="19"/>
      <c r="L511" s="18"/>
      <c r="M511" s="18"/>
      <c r="N511" s="19"/>
      <c r="O511" s="19"/>
      <c r="P511" s="19"/>
    </row>
    <row r="512" spans="1:16" ht="17.649999999999999">
      <c r="A512" s="14">
        <v>507</v>
      </c>
      <c r="B512" s="15" t="s">
        <v>98</v>
      </c>
      <c r="C512" s="15" t="s">
        <v>364</v>
      </c>
      <c r="D512" s="16">
        <v>12395692.306399999</v>
      </c>
      <c r="E512" s="17">
        <f t="shared" si="7"/>
        <v>12395692.306399999</v>
      </c>
      <c r="F512" s="18"/>
      <c r="G512" s="18"/>
      <c r="H512" s="19"/>
      <c r="I512" s="19"/>
      <c r="J512" s="19"/>
      <c r="K512" s="19"/>
      <c r="L512" s="18"/>
      <c r="M512" s="18"/>
      <c r="N512" s="19"/>
      <c r="O512" s="19"/>
      <c r="P512" s="19"/>
    </row>
    <row r="513" spans="1:16" ht="17.649999999999999">
      <c r="A513" s="14">
        <v>508</v>
      </c>
      <c r="B513" s="15" t="s">
        <v>98</v>
      </c>
      <c r="C513" s="15" t="s">
        <v>367</v>
      </c>
      <c r="D513" s="16">
        <v>8277057.0987999998</v>
      </c>
      <c r="E513" s="17">
        <f t="shared" si="7"/>
        <v>8277057.0987999998</v>
      </c>
      <c r="F513" s="18"/>
      <c r="G513" s="18"/>
      <c r="H513" s="19"/>
      <c r="I513" s="19"/>
      <c r="J513" s="19"/>
      <c r="K513" s="19"/>
      <c r="L513" s="18"/>
      <c r="M513" s="18"/>
      <c r="N513" s="19"/>
      <c r="O513" s="19"/>
      <c r="P513" s="19"/>
    </row>
    <row r="514" spans="1:16" ht="17.649999999999999">
      <c r="A514" s="14">
        <v>509</v>
      </c>
      <c r="B514" s="15" t="s">
        <v>98</v>
      </c>
      <c r="C514" s="15" t="s">
        <v>369</v>
      </c>
      <c r="D514" s="16">
        <v>14113215.708799999</v>
      </c>
      <c r="E514" s="17">
        <f t="shared" si="7"/>
        <v>14113215.708799999</v>
      </c>
      <c r="F514" s="18"/>
      <c r="G514" s="18"/>
      <c r="H514" s="19"/>
      <c r="I514" s="19"/>
      <c r="J514" s="19"/>
      <c r="K514" s="19"/>
      <c r="L514" s="18"/>
      <c r="M514" s="18"/>
      <c r="N514" s="19"/>
      <c r="O514" s="19"/>
      <c r="P514" s="19"/>
    </row>
    <row r="515" spans="1:16" ht="17.649999999999999">
      <c r="A515" s="14">
        <v>510</v>
      </c>
      <c r="B515" s="15" t="s">
        <v>98</v>
      </c>
      <c r="C515" s="15" t="s">
        <v>371</v>
      </c>
      <c r="D515" s="16">
        <v>12200176.8007</v>
      </c>
      <c r="E515" s="17">
        <f t="shared" si="7"/>
        <v>12200176.8007</v>
      </c>
      <c r="F515" s="18"/>
      <c r="G515" s="18"/>
      <c r="H515" s="19"/>
      <c r="I515" s="19"/>
      <c r="J515" s="19"/>
      <c r="K515" s="19"/>
      <c r="L515" s="18"/>
      <c r="M515" s="18"/>
      <c r="N515" s="19"/>
      <c r="O515" s="19"/>
      <c r="P515" s="19"/>
    </row>
    <row r="516" spans="1:16" ht="17.649999999999999">
      <c r="A516" s="14">
        <v>511</v>
      </c>
      <c r="B516" s="15" t="s">
        <v>98</v>
      </c>
      <c r="C516" s="15" t="s">
        <v>373</v>
      </c>
      <c r="D516" s="16">
        <v>16774637.9816</v>
      </c>
      <c r="E516" s="17">
        <f t="shared" si="7"/>
        <v>16774637.9816</v>
      </c>
      <c r="F516" s="18"/>
      <c r="G516" s="18"/>
      <c r="H516" s="19"/>
      <c r="I516" s="19"/>
      <c r="J516" s="19"/>
      <c r="K516" s="19"/>
      <c r="L516" s="18"/>
      <c r="M516" s="18"/>
      <c r="N516" s="19"/>
      <c r="O516" s="19"/>
      <c r="P516" s="19"/>
    </row>
    <row r="517" spans="1:16" ht="17.649999999999999">
      <c r="A517" s="14">
        <v>512</v>
      </c>
      <c r="B517" s="15" t="s">
        <v>98</v>
      </c>
      <c r="C517" s="15" t="s">
        <v>375</v>
      </c>
      <c r="D517" s="16">
        <v>18149074.410100002</v>
      </c>
      <c r="E517" s="17">
        <f t="shared" si="7"/>
        <v>18149074.410100002</v>
      </c>
      <c r="F517" s="18"/>
      <c r="G517" s="18"/>
      <c r="H517" s="19"/>
      <c r="I517" s="19"/>
      <c r="J517" s="19"/>
      <c r="K517" s="19"/>
      <c r="L517" s="18"/>
      <c r="M517" s="18"/>
      <c r="N517" s="19"/>
      <c r="O517" s="19"/>
      <c r="P517" s="19"/>
    </row>
    <row r="518" spans="1:16" ht="17.649999999999999">
      <c r="A518" s="14">
        <v>513</v>
      </c>
      <c r="B518" s="15" t="s">
        <v>98</v>
      </c>
      <c r="C518" s="15" t="s">
        <v>377</v>
      </c>
      <c r="D518" s="16">
        <v>9769927.3743999992</v>
      </c>
      <c r="E518" s="17">
        <f t="shared" si="7"/>
        <v>9769927.3743999992</v>
      </c>
      <c r="F518" s="18"/>
      <c r="G518" s="18"/>
      <c r="H518" s="19"/>
      <c r="I518" s="19"/>
      <c r="J518" s="19"/>
      <c r="K518" s="19"/>
      <c r="L518" s="18"/>
      <c r="M518" s="18"/>
      <c r="N518" s="19"/>
      <c r="O518" s="19"/>
      <c r="P518" s="19"/>
    </row>
    <row r="519" spans="1:16" ht="35.25">
      <c r="A519" s="14">
        <v>514</v>
      </c>
      <c r="B519" s="15" t="s">
        <v>98</v>
      </c>
      <c r="C519" s="15" t="s">
        <v>379</v>
      </c>
      <c r="D519" s="16">
        <v>11788986.448899999</v>
      </c>
      <c r="E519" s="17">
        <f t="shared" ref="E519:E582" si="8">D519</f>
        <v>11788986.448899999</v>
      </c>
      <c r="F519" s="18"/>
      <c r="G519" s="18"/>
      <c r="H519" s="19"/>
      <c r="I519" s="19"/>
      <c r="J519" s="19"/>
      <c r="K519" s="19"/>
      <c r="L519" s="18"/>
      <c r="M519" s="18"/>
      <c r="N519" s="19"/>
      <c r="O519" s="19"/>
      <c r="P519" s="19"/>
    </row>
    <row r="520" spans="1:16" ht="17.649999999999999">
      <c r="A520" s="14">
        <v>515</v>
      </c>
      <c r="B520" s="15" t="s">
        <v>98</v>
      </c>
      <c r="C520" s="15" t="s">
        <v>381</v>
      </c>
      <c r="D520" s="16">
        <v>17648998.419</v>
      </c>
      <c r="E520" s="17">
        <f t="shared" si="8"/>
        <v>17648998.419</v>
      </c>
      <c r="F520" s="18"/>
      <c r="G520" s="18"/>
      <c r="H520" s="19"/>
      <c r="I520" s="19"/>
      <c r="J520" s="19"/>
      <c r="K520" s="19"/>
      <c r="L520" s="18"/>
      <c r="M520" s="18"/>
      <c r="N520" s="19"/>
      <c r="O520" s="19"/>
      <c r="P520" s="19"/>
    </row>
    <row r="521" spans="1:16" ht="17.649999999999999">
      <c r="A521" s="14">
        <v>516</v>
      </c>
      <c r="B521" s="15" t="s">
        <v>98</v>
      </c>
      <c r="C521" s="15" t="s">
        <v>383</v>
      </c>
      <c r="D521" s="16">
        <v>17125158.567200001</v>
      </c>
      <c r="E521" s="17">
        <f t="shared" si="8"/>
        <v>17125158.567200001</v>
      </c>
      <c r="F521" s="18"/>
      <c r="G521" s="18"/>
      <c r="H521" s="19"/>
      <c r="I521" s="19"/>
      <c r="J521" s="19"/>
      <c r="K521" s="19"/>
      <c r="L521" s="18"/>
      <c r="M521" s="18"/>
      <c r="N521" s="19"/>
      <c r="O521" s="19"/>
      <c r="P521" s="19"/>
    </row>
    <row r="522" spans="1:16" ht="17.649999999999999">
      <c r="A522" s="14">
        <v>517</v>
      </c>
      <c r="B522" s="15" t="s">
        <v>98</v>
      </c>
      <c r="C522" s="15" t="s">
        <v>385</v>
      </c>
      <c r="D522" s="16">
        <v>17486219.043299999</v>
      </c>
      <c r="E522" s="17">
        <f t="shared" si="8"/>
        <v>17486219.043299999</v>
      </c>
      <c r="F522" s="18"/>
      <c r="G522" s="18"/>
      <c r="H522" s="19"/>
      <c r="I522" s="19"/>
      <c r="J522" s="19"/>
      <c r="K522" s="19"/>
      <c r="L522" s="18"/>
      <c r="M522" s="18"/>
      <c r="N522" s="19"/>
      <c r="O522" s="19"/>
      <c r="P522" s="19"/>
    </row>
    <row r="523" spans="1:16" ht="17.649999999999999">
      <c r="A523" s="14">
        <v>518</v>
      </c>
      <c r="B523" s="15" t="s">
        <v>98</v>
      </c>
      <c r="C523" s="15" t="s">
        <v>387</v>
      </c>
      <c r="D523" s="16">
        <v>13523955.3873</v>
      </c>
      <c r="E523" s="17">
        <f t="shared" si="8"/>
        <v>13523955.3873</v>
      </c>
      <c r="F523" s="18"/>
      <c r="G523" s="18"/>
      <c r="H523" s="19"/>
      <c r="I523" s="19"/>
      <c r="J523" s="19"/>
      <c r="K523" s="19"/>
      <c r="L523" s="18"/>
      <c r="M523" s="18"/>
      <c r="N523" s="19"/>
      <c r="O523" s="19"/>
      <c r="P523" s="19"/>
    </row>
    <row r="524" spans="1:16" ht="17.649999999999999">
      <c r="A524" s="14">
        <v>519</v>
      </c>
      <c r="B524" s="15" t="s">
        <v>98</v>
      </c>
      <c r="C524" s="15" t="s">
        <v>389</v>
      </c>
      <c r="D524" s="16">
        <v>15469684.132999999</v>
      </c>
      <c r="E524" s="17">
        <f t="shared" si="8"/>
        <v>15469684.132999999</v>
      </c>
      <c r="F524" s="18"/>
      <c r="G524" s="18"/>
      <c r="H524" s="19"/>
      <c r="I524" s="19"/>
      <c r="J524" s="19"/>
      <c r="K524" s="19"/>
      <c r="L524" s="18"/>
      <c r="M524" s="18"/>
      <c r="N524" s="19"/>
      <c r="O524" s="19"/>
      <c r="P524" s="19"/>
    </row>
    <row r="525" spans="1:16" ht="35.25">
      <c r="A525" s="14">
        <v>520</v>
      </c>
      <c r="B525" s="15" t="s">
        <v>99</v>
      </c>
      <c r="C525" s="15" t="s">
        <v>393</v>
      </c>
      <c r="D525" s="16">
        <v>10121834.3039</v>
      </c>
      <c r="E525" s="17">
        <f t="shared" si="8"/>
        <v>10121834.3039</v>
      </c>
      <c r="F525" s="18"/>
      <c r="G525" s="18"/>
      <c r="H525" s="19"/>
      <c r="I525" s="19"/>
      <c r="J525" s="19"/>
      <c r="K525" s="19"/>
      <c r="L525" s="18"/>
      <c r="M525" s="18"/>
      <c r="N525" s="19"/>
      <c r="O525" s="19"/>
      <c r="P525" s="19"/>
    </row>
    <row r="526" spans="1:16" ht="35.25">
      <c r="A526" s="14">
        <v>521</v>
      </c>
      <c r="B526" s="15" t="s">
        <v>99</v>
      </c>
      <c r="C526" s="15" t="s">
        <v>395</v>
      </c>
      <c r="D526" s="16">
        <v>11409134.8608</v>
      </c>
      <c r="E526" s="17">
        <f t="shared" si="8"/>
        <v>11409134.8608</v>
      </c>
      <c r="F526" s="18"/>
      <c r="G526" s="18"/>
      <c r="H526" s="19"/>
      <c r="I526" s="19"/>
      <c r="J526" s="19"/>
      <c r="K526" s="19"/>
      <c r="L526" s="18"/>
      <c r="M526" s="18"/>
      <c r="N526" s="19"/>
      <c r="O526" s="19"/>
      <c r="P526" s="19"/>
    </row>
    <row r="527" spans="1:16" ht="35.25">
      <c r="A527" s="14">
        <v>522</v>
      </c>
      <c r="B527" s="15" t="s">
        <v>99</v>
      </c>
      <c r="C527" s="15" t="s">
        <v>397</v>
      </c>
      <c r="D527" s="16">
        <v>11681941.312100001</v>
      </c>
      <c r="E527" s="17">
        <f t="shared" si="8"/>
        <v>11681941.312100001</v>
      </c>
      <c r="F527" s="18"/>
      <c r="G527" s="18"/>
      <c r="H527" s="19"/>
      <c r="I527" s="19"/>
      <c r="J527" s="19"/>
      <c r="K527" s="19"/>
      <c r="L527" s="18"/>
      <c r="M527" s="18"/>
      <c r="N527" s="19"/>
      <c r="O527" s="19"/>
      <c r="P527" s="19"/>
    </row>
    <row r="528" spans="1:16" ht="35.25">
      <c r="A528" s="14">
        <v>523</v>
      </c>
      <c r="B528" s="15" t="s">
        <v>99</v>
      </c>
      <c r="C528" s="15" t="s">
        <v>399</v>
      </c>
      <c r="D528" s="16">
        <v>13783098.7939</v>
      </c>
      <c r="E528" s="17">
        <f t="shared" si="8"/>
        <v>13783098.7939</v>
      </c>
      <c r="F528" s="18"/>
      <c r="G528" s="18"/>
      <c r="H528" s="19"/>
      <c r="I528" s="19"/>
      <c r="J528" s="19"/>
      <c r="K528" s="19"/>
      <c r="L528" s="18"/>
      <c r="M528" s="18"/>
      <c r="N528" s="19"/>
      <c r="O528" s="19"/>
      <c r="P528" s="19"/>
    </row>
    <row r="529" spans="1:16" ht="35.25">
      <c r="A529" s="14">
        <v>524</v>
      </c>
      <c r="B529" s="15" t="s">
        <v>99</v>
      </c>
      <c r="C529" s="15" t="s">
        <v>401</v>
      </c>
      <c r="D529" s="16">
        <v>9841725.6852000002</v>
      </c>
      <c r="E529" s="17">
        <f t="shared" si="8"/>
        <v>9841725.6852000002</v>
      </c>
      <c r="F529" s="18"/>
      <c r="G529" s="18"/>
      <c r="H529" s="19"/>
      <c r="I529" s="19"/>
      <c r="J529" s="19"/>
      <c r="K529" s="19"/>
      <c r="L529" s="18"/>
      <c r="M529" s="18"/>
      <c r="N529" s="19"/>
      <c r="O529" s="19"/>
      <c r="P529" s="19"/>
    </row>
    <row r="530" spans="1:16" ht="35.25">
      <c r="A530" s="14">
        <v>525</v>
      </c>
      <c r="B530" s="15" t="s">
        <v>99</v>
      </c>
      <c r="C530" s="15" t="s">
        <v>403</v>
      </c>
      <c r="D530" s="16">
        <v>9254512.3372000009</v>
      </c>
      <c r="E530" s="17">
        <f t="shared" si="8"/>
        <v>9254512.3372000009</v>
      </c>
      <c r="F530" s="18"/>
      <c r="G530" s="18"/>
      <c r="H530" s="19"/>
      <c r="I530" s="19"/>
      <c r="J530" s="19"/>
      <c r="K530" s="19"/>
      <c r="L530" s="18"/>
      <c r="M530" s="18"/>
      <c r="N530" s="19"/>
      <c r="O530" s="19"/>
      <c r="P530" s="19"/>
    </row>
    <row r="531" spans="1:16" ht="35.25">
      <c r="A531" s="14">
        <v>526</v>
      </c>
      <c r="B531" s="15" t="s">
        <v>99</v>
      </c>
      <c r="C531" s="15" t="s">
        <v>405</v>
      </c>
      <c r="D531" s="16">
        <v>10574111.5612</v>
      </c>
      <c r="E531" s="17">
        <f t="shared" si="8"/>
        <v>10574111.5612</v>
      </c>
      <c r="F531" s="18"/>
      <c r="G531" s="18"/>
      <c r="H531" s="19"/>
      <c r="I531" s="19"/>
      <c r="J531" s="19"/>
      <c r="K531" s="19"/>
      <c r="L531" s="18"/>
      <c r="M531" s="18"/>
      <c r="N531" s="19"/>
      <c r="O531" s="19"/>
      <c r="P531" s="19"/>
    </row>
    <row r="532" spans="1:16" ht="35.25">
      <c r="A532" s="14">
        <v>527</v>
      </c>
      <c r="B532" s="15" t="s">
        <v>99</v>
      </c>
      <c r="C532" s="15" t="s">
        <v>407</v>
      </c>
      <c r="D532" s="16">
        <v>16545934.717599999</v>
      </c>
      <c r="E532" s="17">
        <f t="shared" si="8"/>
        <v>16545934.717599999</v>
      </c>
      <c r="F532" s="18"/>
      <c r="G532" s="18"/>
      <c r="H532" s="19"/>
      <c r="I532" s="19"/>
      <c r="J532" s="19"/>
      <c r="K532" s="19"/>
      <c r="L532" s="18"/>
      <c r="M532" s="18"/>
      <c r="N532" s="19"/>
      <c r="O532" s="19"/>
      <c r="P532" s="19"/>
    </row>
    <row r="533" spans="1:16" ht="35.25">
      <c r="A533" s="14">
        <v>528</v>
      </c>
      <c r="B533" s="15" t="s">
        <v>99</v>
      </c>
      <c r="C533" s="15" t="s">
        <v>409</v>
      </c>
      <c r="D533" s="16">
        <v>15333854.8029</v>
      </c>
      <c r="E533" s="17">
        <f t="shared" si="8"/>
        <v>15333854.8029</v>
      </c>
      <c r="F533" s="18"/>
      <c r="G533" s="18"/>
      <c r="H533" s="19"/>
      <c r="I533" s="19"/>
      <c r="J533" s="19"/>
      <c r="K533" s="19"/>
      <c r="L533" s="18"/>
      <c r="M533" s="18"/>
      <c r="N533" s="19"/>
      <c r="O533" s="19"/>
      <c r="P533" s="19"/>
    </row>
    <row r="534" spans="1:16" ht="35.25">
      <c r="A534" s="14">
        <v>529</v>
      </c>
      <c r="B534" s="15" t="s">
        <v>99</v>
      </c>
      <c r="C534" s="15" t="s">
        <v>411</v>
      </c>
      <c r="D534" s="16">
        <v>11730165.465500001</v>
      </c>
      <c r="E534" s="17">
        <f t="shared" si="8"/>
        <v>11730165.465500001</v>
      </c>
      <c r="F534" s="18"/>
      <c r="G534" s="18"/>
      <c r="H534" s="19"/>
      <c r="I534" s="19"/>
      <c r="J534" s="19"/>
      <c r="K534" s="19"/>
      <c r="L534" s="18"/>
      <c r="M534" s="18"/>
      <c r="N534" s="19"/>
      <c r="O534" s="19"/>
      <c r="P534" s="19"/>
    </row>
    <row r="535" spans="1:16" ht="35.25">
      <c r="A535" s="14">
        <v>530</v>
      </c>
      <c r="B535" s="15" t="s">
        <v>99</v>
      </c>
      <c r="C535" s="15" t="s">
        <v>392</v>
      </c>
      <c r="D535" s="16">
        <v>11228035.166200001</v>
      </c>
      <c r="E535" s="17">
        <f t="shared" si="8"/>
        <v>11228035.166200001</v>
      </c>
      <c r="F535" s="18"/>
      <c r="G535" s="18"/>
      <c r="H535" s="19"/>
      <c r="I535" s="19"/>
      <c r="J535" s="19"/>
      <c r="K535" s="19"/>
      <c r="L535" s="18"/>
      <c r="M535" s="18"/>
      <c r="N535" s="19"/>
      <c r="O535" s="19"/>
      <c r="P535" s="19"/>
    </row>
    <row r="536" spans="1:16" ht="35.25">
      <c r="A536" s="14">
        <v>531</v>
      </c>
      <c r="B536" s="15" t="s">
        <v>99</v>
      </c>
      <c r="C536" s="15" t="s">
        <v>415</v>
      </c>
      <c r="D536" s="16">
        <v>11928981.461999999</v>
      </c>
      <c r="E536" s="17">
        <f t="shared" si="8"/>
        <v>11928981.461999999</v>
      </c>
      <c r="F536" s="18"/>
      <c r="G536" s="18"/>
      <c r="H536" s="19"/>
      <c r="I536" s="19"/>
      <c r="J536" s="19"/>
      <c r="K536" s="19"/>
      <c r="L536" s="18"/>
      <c r="M536" s="18"/>
      <c r="N536" s="19"/>
      <c r="O536" s="19"/>
      <c r="P536" s="19"/>
    </row>
    <row r="537" spans="1:16" ht="35.25">
      <c r="A537" s="14">
        <v>532</v>
      </c>
      <c r="B537" s="15" t="s">
        <v>99</v>
      </c>
      <c r="C537" s="15" t="s">
        <v>417</v>
      </c>
      <c r="D537" s="16">
        <v>9576171.3947999999</v>
      </c>
      <c r="E537" s="17">
        <f t="shared" si="8"/>
        <v>9576171.3947999999</v>
      </c>
      <c r="F537" s="18"/>
      <c r="G537" s="18"/>
      <c r="H537" s="19"/>
      <c r="I537" s="19"/>
      <c r="J537" s="19"/>
      <c r="K537" s="19"/>
      <c r="L537" s="18"/>
      <c r="M537" s="18"/>
      <c r="N537" s="19"/>
      <c r="O537" s="19"/>
      <c r="P537" s="19"/>
    </row>
    <row r="538" spans="1:16" ht="17.649999999999999">
      <c r="A538" s="14">
        <v>533</v>
      </c>
      <c r="B538" s="15" t="s">
        <v>100</v>
      </c>
      <c r="C538" s="15" t="s">
        <v>421</v>
      </c>
      <c r="D538" s="16">
        <v>10529712.1272</v>
      </c>
      <c r="E538" s="17">
        <f t="shared" si="8"/>
        <v>10529712.1272</v>
      </c>
      <c r="F538" s="18"/>
      <c r="G538" s="18"/>
      <c r="H538" s="19"/>
      <c r="I538" s="19"/>
      <c r="J538" s="19"/>
      <c r="K538" s="19"/>
      <c r="L538" s="18"/>
      <c r="M538" s="18"/>
      <c r="N538" s="19"/>
      <c r="O538" s="19"/>
      <c r="P538" s="19"/>
    </row>
    <row r="539" spans="1:16" ht="17.649999999999999">
      <c r="A539" s="14">
        <v>534</v>
      </c>
      <c r="B539" s="15" t="s">
        <v>100</v>
      </c>
      <c r="C539" s="15" t="s">
        <v>423</v>
      </c>
      <c r="D539" s="16">
        <v>9040475.8134000003</v>
      </c>
      <c r="E539" s="17">
        <f t="shared" si="8"/>
        <v>9040475.8134000003</v>
      </c>
      <c r="F539" s="18"/>
      <c r="G539" s="18"/>
      <c r="H539" s="19"/>
      <c r="I539" s="19"/>
      <c r="J539" s="19"/>
      <c r="K539" s="19"/>
      <c r="L539" s="18"/>
      <c r="M539" s="18"/>
      <c r="N539" s="19"/>
      <c r="O539" s="19"/>
      <c r="P539" s="19"/>
    </row>
    <row r="540" spans="1:16" ht="17.649999999999999">
      <c r="A540" s="14">
        <v>535</v>
      </c>
      <c r="B540" s="15" t="s">
        <v>100</v>
      </c>
      <c r="C540" s="15" t="s">
        <v>425</v>
      </c>
      <c r="D540" s="16">
        <v>10353221.65</v>
      </c>
      <c r="E540" s="17">
        <f t="shared" si="8"/>
        <v>10353221.65</v>
      </c>
      <c r="F540" s="18"/>
      <c r="G540" s="18"/>
      <c r="H540" s="19"/>
      <c r="I540" s="19"/>
      <c r="J540" s="19"/>
      <c r="K540" s="19"/>
      <c r="L540" s="18"/>
      <c r="M540" s="18"/>
      <c r="N540" s="19"/>
      <c r="O540" s="19"/>
      <c r="P540" s="19"/>
    </row>
    <row r="541" spans="1:16" ht="17.649999999999999">
      <c r="A541" s="14">
        <v>536</v>
      </c>
      <c r="B541" s="15" t="s">
        <v>100</v>
      </c>
      <c r="C541" s="15" t="s">
        <v>427</v>
      </c>
      <c r="D541" s="16">
        <v>16853523.989300001</v>
      </c>
      <c r="E541" s="17">
        <f t="shared" si="8"/>
        <v>16853523.989300001</v>
      </c>
      <c r="F541" s="18"/>
      <c r="G541" s="18"/>
      <c r="H541" s="19"/>
      <c r="I541" s="19"/>
      <c r="J541" s="19"/>
      <c r="K541" s="19"/>
      <c r="L541" s="18"/>
      <c r="M541" s="18"/>
      <c r="N541" s="19"/>
      <c r="O541" s="19"/>
      <c r="P541" s="19"/>
    </row>
    <row r="542" spans="1:16" ht="17.649999999999999">
      <c r="A542" s="14">
        <v>537</v>
      </c>
      <c r="B542" s="15" t="s">
        <v>100</v>
      </c>
      <c r="C542" s="15" t="s">
        <v>429</v>
      </c>
      <c r="D542" s="16">
        <v>10116423.878699999</v>
      </c>
      <c r="E542" s="17">
        <f t="shared" si="8"/>
        <v>10116423.878699999</v>
      </c>
      <c r="F542" s="18"/>
      <c r="G542" s="18"/>
      <c r="H542" s="19"/>
      <c r="I542" s="19"/>
      <c r="J542" s="19"/>
      <c r="K542" s="19"/>
      <c r="L542" s="18"/>
      <c r="M542" s="18"/>
      <c r="N542" s="19"/>
      <c r="O542" s="19"/>
      <c r="P542" s="19"/>
    </row>
    <row r="543" spans="1:16" ht="17.649999999999999">
      <c r="A543" s="14">
        <v>538</v>
      </c>
      <c r="B543" s="15" t="s">
        <v>100</v>
      </c>
      <c r="C543" s="15" t="s">
        <v>431</v>
      </c>
      <c r="D543" s="16">
        <v>10654738.435000001</v>
      </c>
      <c r="E543" s="17">
        <f t="shared" si="8"/>
        <v>10654738.435000001</v>
      </c>
      <c r="F543" s="18"/>
      <c r="G543" s="18"/>
      <c r="H543" s="19"/>
      <c r="I543" s="19"/>
      <c r="J543" s="19"/>
      <c r="K543" s="19"/>
      <c r="L543" s="18"/>
      <c r="M543" s="18"/>
      <c r="N543" s="19"/>
      <c r="O543" s="19"/>
      <c r="P543" s="19"/>
    </row>
    <row r="544" spans="1:16" ht="17.649999999999999">
      <c r="A544" s="14">
        <v>539</v>
      </c>
      <c r="B544" s="15" t="s">
        <v>100</v>
      </c>
      <c r="C544" s="15" t="s">
        <v>433</v>
      </c>
      <c r="D544" s="16">
        <v>10092036.978599999</v>
      </c>
      <c r="E544" s="17">
        <f t="shared" si="8"/>
        <v>10092036.978599999</v>
      </c>
      <c r="F544" s="18"/>
      <c r="G544" s="18"/>
      <c r="H544" s="19"/>
      <c r="I544" s="19"/>
      <c r="J544" s="19"/>
      <c r="K544" s="19"/>
      <c r="L544" s="18"/>
      <c r="M544" s="18"/>
      <c r="N544" s="19"/>
      <c r="O544" s="19"/>
      <c r="P544" s="19"/>
    </row>
    <row r="545" spans="1:16" ht="17.649999999999999">
      <c r="A545" s="14">
        <v>540</v>
      </c>
      <c r="B545" s="15" t="s">
        <v>100</v>
      </c>
      <c r="C545" s="15" t="s">
        <v>435</v>
      </c>
      <c r="D545" s="16">
        <v>9017874.4475999996</v>
      </c>
      <c r="E545" s="17">
        <f t="shared" si="8"/>
        <v>9017874.4475999996</v>
      </c>
      <c r="F545" s="18"/>
      <c r="G545" s="18"/>
      <c r="H545" s="19"/>
      <c r="I545" s="19"/>
      <c r="J545" s="19"/>
      <c r="K545" s="19"/>
      <c r="L545" s="18"/>
      <c r="M545" s="18"/>
      <c r="N545" s="19"/>
      <c r="O545" s="19"/>
      <c r="P545" s="19"/>
    </row>
    <row r="546" spans="1:16" ht="17.649999999999999">
      <c r="A546" s="14">
        <v>541</v>
      </c>
      <c r="B546" s="15" t="s">
        <v>100</v>
      </c>
      <c r="C546" s="15" t="s">
        <v>437</v>
      </c>
      <c r="D546" s="16">
        <v>9730805.6592999995</v>
      </c>
      <c r="E546" s="17">
        <f t="shared" si="8"/>
        <v>9730805.6592999995</v>
      </c>
      <c r="F546" s="18"/>
      <c r="G546" s="18"/>
      <c r="H546" s="19"/>
      <c r="I546" s="19"/>
      <c r="J546" s="19"/>
      <c r="K546" s="19"/>
      <c r="L546" s="18"/>
      <c r="M546" s="18"/>
      <c r="N546" s="19"/>
      <c r="O546" s="19"/>
      <c r="P546" s="19"/>
    </row>
    <row r="547" spans="1:16" ht="17.649999999999999">
      <c r="A547" s="14">
        <v>542</v>
      </c>
      <c r="B547" s="15" t="s">
        <v>100</v>
      </c>
      <c r="C547" s="15" t="s">
        <v>439</v>
      </c>
      <c r="D547" s="16">
        <v>10716350.4847</v>
      </c>
      <c r="E547" s="17">
        <f t="shared" si="8"/>
        <v>10716350.4847</v>
      </c>
      <c r="F547" s="18"/>
      <c r="G547" s="18"/>
      <c r="H547" s="19"/>
      <c r="I547" s="19"/>
      <c r="J547" s="19"/>
      <c r="K547" s="19"/>
      <c r="L547" s="18"/>
      <c r="M547" s="18"/>
      <c r="N547" s="19"/>
      <c r="O547" s="19"/>
      <c r="P547" s="19"/>
    </row>
    <row r="548" spans="1:16" ht="17.649999999999999">
      <c r="A548" s="14">
        <v>543</v>
      </c>
      <c r="B548" s="15" t="s">
        <v>100</v>
      </c>
      <c r="C548" s="15" t="s">
        <v>441</v>
      </c>
      <c r="D548" s="16">
        <v>10467674.4219</v>
      </c>
      <c r="E548" s="17">
        <f t="shared" si="8"/>
        <v>10467674.4219</v>
      </c>
      <c r="F548" s="18"/>
      <c r="G548" s="18"/>
      <c r="H548" s="19"/>
      <c r="I548" s="19"/>
      <c r="J548" s="19"/>
      <c r="K548" s="19"/>
      <c r="L548" s="18"/>
      <c r="M548" s="18"/>
      <c r="N548" s="19"/>
      <c r="O548" s="19"/>
      <c r="P548" s="19"/>
    </row>
    <row r="549" spans="1:16" ht="17.649999999999999">
      <c r="A549" s="14">
        <v>544</v>
      </c>
      <c r="B549" s="15" t="s">
        <v>100</v>
      </c>
      <c r="C549" s="15" t="s">
        <v>443</v>
      </c>
      <c r="D549" s="16">
        <v>12180403.965500001</v>
      </c>
      <c r="E549" s="17">
        <f t="shared" si="8"/>
        <v>12180403.965500001</v>
      </c>
      <c r="F549" s="18"/>
      <c r="G549" s="18"/>
      <c r="H549" s="19"/>
      <c r="I549" s="19"/>
      <c r="J549" s="19"/>
      <c r="K549" s="19"/>
      <c r="L549" s="18"/>
      <c r="M549" s="18"/>
      <c r="N549" s="19"/>
      <c r="O549" s="19"/>
      <c r="P549" s="19"/>
    </row>
    <row r="550" spans="1:16" ht="17.649999999999999">
      <c r="A550" s="14">
        <v>545</v>
      </c>
      <c r="B550" s="15" t="s">
        <v>100</v>
      </c>
      <c r="C550" s="15" t="s">
        <v>445</v>
      </c>
      <c r="D550" s="16">
        <v>12477253.3653</v>
      </c>
      <c r="E550" s="17">
        <f t="shared" si="8"/>
        <v>12477253.3653</v>
      </c>
      <c r="F550" s="18"/>
      <c r="G550" s="18"/>
      <c r="H550" s="19"/>
      <c r="I550" s="19"/>
      <c r="J550" s="19"/>
      <c r="K550" s="19"/>
      <c r="L550" s="18"/>
      <c r="M550" s="18"/>
      <c r="N550" s="19"/>
      <c r="O550" s="19"/>
      <c r="P550" s="19"/>
    </row>
    <row r="551" spans="1:16" ht="17.649999999999999">
      <c r="A551" s="14">
        <v>546</v>
      </c>
      <c r="B551" s="15" t="s">
        <v>100</v>
      </c>
      <c r="C551" s="15" t="s">
        <v>447</v>
      </c>
      <c r="D551" s="16">
        <v>13815630.927100001</v>
      </c>
      <c r="E551" s="17">
        <f t="shared" si="8"/>
        <v>13815630.927100001</v>
      </c>
      <c r="F551" s="18"/>
      <c r="G551" s="18"/>
      <c r="H551" s="19"/>
      <c r="I551" s="19"/>
      <c r="J551" s="19"/>
      <c r="K551" s="19"/>
      <c r="L551" s="18"/>
      <c r="M551" s="18"/>
      <c r="N551" s="19"/>
      <c r="O551" s="19"/>
      <c r="P551" s="19"/>
    </row>
    <row r="552" spans="1:16" ht="17.649999999999999">
      <c r="A552" s="14">
        <v>547</v>
      </c>
      <c r="B552" s="15" t="s">
        <v>100</v>
      </c>
      <c r="C552" s="15" t="s">
        <v>449</v>
      </c>
      <c r="D552" s="16">
        <v>16301585.5041</v>
      </c>
      <c r="E552" s="17">
        <f t="shared" si="8"/>
        <v>16301585.5041</v>
      </c>
      <c r="F552" s="18"/>
      <c r="G552" s="18"/>
      <c r="H552" s="19"/>
      <c r="I552" s="19"/>
      <c r="J552" s="19"/>
      <c r="K552" s="19"/>
      <c r="L552" s="18"/>
      <c r="M552" s="18"/>
      <c r="N552" s="19"/>
      <c r="O552" s="19"/>
      <c r="P552" s="19"/>
    </row>
    <row r="553" spans="1:16" ht="17.649999999999999">
      <c r="A553" s="14">
        <v>548</v>
      </c>
      <c r="B553" s="15" t="s">
        <v>100</v>
      </c>
      <c r="C553" s="15" t="s">
        <v>451</v>
      </c>
      <c r="D553" s="16">
        <v>10324319.1029</v>
      </c>
      <c r="E553" s="17">
        <f t="shared" si="8"/>
        <v>10324319.1029</v>
      </c>
      <c r="F553" s="18"/>
      <c r="G553" s="18"/>
      <c r="H553" s="19"/>
      <c r="I553" s="19"/>
      <c r="J553" s="19"/>
      <c r="K553" s="19"/>
      <c r="L553" s="18"/>
      <c r="M553" s="18"/>
      <c r="N553" s="19"/>
      <c r="O553" s="19"/>
      <c r="P553" s="19"/>
    </row>
    <row r="554" spans="1:16" ht="17.649999999999999">
      <c r="A554" s="14">
        <v>549</v>
      </c>
      <c r="B554" s="15" t="s">
        <v>100</v>
      </c>
      <c r="C554" s="15" t="s">
        <v>453</v>
      </c>
      <c r="D554" s="16">
        <v>14013207.475299999</v>
      </c>
      <c r="E554" s="17">
        <f t="shared" si="8"/>
        <v>14013207.475299999</v>
      </c>
      <c r="F554" s="18"/>
      <c r="G554" s="18"/>
      <c r="H554" s="19"/>
      <c r="I554" s="19"/>
      <c r="J554" s="19"/>
      <c r="K554" s="19"/>
      <c r="L554" s="18"/>
      <c r="M554" s="18"/>
      <c r="N554" s="19"/>
      <c r="O554" s="19"/>
      <c r="P554" s="19"/>
    </row>
    <row r="555" spans="1:16" ht="17.649999999999999">
      <c r="A555" s="14">
        <v>550</v>
      </c>
      <c r="B555" s="15" t="s">
        <v>100</v>
      </c>
      <c r="C555" s="15" t="s">
        <v>455</v>
      </c>
      <c r="D555" s="16">
        <v>9465620.5651999991</v>
      </c>
      <c r="E555" s="17">
        <f t="shared" si="8"/>
        <v>9465620.5651999991</v>
      </c>
      <c r="F555" s="18"/>
      <c r="G555" s="18"/>
      <c r="H555" s="19"/>
      <c r="I555" s="19"/>
      <c r="J555" s="19"/>
      <c r="K555" s="19"/>
      <c r="L555" s="18"/>
      <c r="M555" s="18"/>
      <c r="N555" s="19"/>
      <c r="O555" s="19"/>
      <c r="P555" s="19"/>
    </row>
    <row r="556" spans="1:16" ht="17.649999999999999">
      <c r="A556" s="14">
        <v>551</v>
      </c>
      <c r="B556" s="15" t="s">
        <v>100</v>
      </c>
      <c r="C556" s="15" t="s">
        <v>457</v>
      </c>
      <c r="D556" s="16">
        <v>10893839.057499999</v>
      </c>
      <c r="E556" s="17">
        <f t="shared" si="8"/>
        <v>10893839.057499999</v>
      </c>
      <c r="F556" s="18"/>
      <c r="G556" s="18"/>
      <c r="H556" s="19"/>
      <c r="I556" s="19"/>
      <c r="J556" s="19"/>
      <c r="K556" s="19"/>
      <c r="L556" s="18"/>
      <c r="M556" s="18"/>
      <c r="N556" s="19"/>
      <c r="O556" s="19"/>
      <c r="P556" s="19"/>
    </row>
    <row r="557" spans="1:16" ht="17.649999999999999">
      <c r="A557" s="14">
        <v>552</v>
      </c>
      <c r="B557" s="15" t="s">
        <v>100</v>
      </c>
      <c r="C557" s="15" t="s">
        <v>459</v>
      </c>
      <c r="D557" s="16">
        <v>12564823.3144</v>
      </c>
      <c r="E557" s="17">
        <f t="shared" si="8"/>
        <v>12564823.3144</v>
      </c>
      <c r="F557" s="18"/>
      <c r="G557" s="18"/>
      <c r="H557" s="19"/>
      <c r="I557" s="19"/>
      <c r="J557" s="19"/>
      <c r="K557" s="19"/>
      <c r="L557" s="18"/>
      <c r="M557" s="18"/>
      <c r="N557" s="19"/>
      <c r="O557" s="19"/>
      <c r="P557" s="19"/>
    </row>
    <row r="558" spans="1:16" ht="17.649999999999999">
      <c r="A558" s="14">
        <v>553</v>
      </c>
      <c r="B558" s="15" t="s">
        <v>100</v>
      </c>
      <c r="C558" s="15" t="s">
        <v>461</v>
      </c>
      <c r="D558" s="16">
        <v>11820112.546800001</v>
      </c>
      <c r="E558" s="17">
        <f t="shared" si="8"/>
        <v>11820112.546800001</v>
      </c>
      <c r="F558" s="18"/>
      <c r="G558" s="18"/>
      <c r="H558" s="19"/>
      <c r="I558" s="19"/>
      <c r="J558" s="19"/>
      <c r="K558" s="19"/>
      <c r="L558" s="18"/>
      <c r="M558" s="18"/>
      <c r="N558" s="19"/>
      <c r="O558" s="19"/>
      <c r="P558" s="19"/>
    </row>
    <row r="559" spans="1:16" ht="17.649999999999999">
      <c r="A559" s="14">
        <v>554</v>
      </c>
      <c r="B559" s="15" t="s">
        <v>100</v>
      </c>
      <c r="C559" s="15" t="s">
        <v>463</v>
      </c>
      <c r="D559" s="16">
        <v>13973184.0869</v>
      </c>
      <c r="E559" s="17">
        <f t="shared" si="8"/>
        <v>13973184.0869</v>
      </c>
      <c r="F559" s="18"/>
      <c r="G559" s="18"/>
      <c r="H559" s="19"/>
      <c r="I559" s="19"/>
      <c r="J559" s="19"/>
      <c r="K559" s="19"/>
      <c r="L559" s="18"/>
      <c r="M559" s="18"/>
      <c r="N559" s="19"/>
      <c r="O559" s="19"/>
      <c r="P559" s="19"/>
    </row>
    <row r="560" spans="1:16" ht="17.649999999999999">
      <c r="A560" s="14">
        <v>555</v>
      </c>
      <c r="B560" s="15" t="s">
        <v>100</v>
      </c>
      <c r="C560" s="15" t="s">
        <v>465</v>
      </c>
      <c r="D560" s="16">
        <v>10218940.398399999</v>
      </c>
      <c r="E560" s="17">
        <f t="shared" si="8"/>
        <v>10218940.398399999</v>
      </c>
      <c r="F560" s="18"/>
      <c r="G560" s="18"/>
      <c r="H560" s="19"/>
      <c r="I560" s="19"/>
      <c r="J560" s="19"/>
      <c r="K560" s="19"/>
      <c r="L560" s="18"/>
      <c r="M560" s="18"/>
      <c r="N560" s="19"/>
      <c r="O560" s="19"/>
      <c r="P560" s="19"/>
    </row>
    <row r="561" spans="1:16" ht="17.649999999999999">
      <c r="A561" s="14">
        <v>556</v>
      </c>
      <c r="B561" s="15" t="s">
        <v>100</v>
      </c>
      <c r="C561" s="15" t="s">
        <v>467</v>
      </c>
      <c r="D561" s="16">
        <v>8316595.4587000003</v>
      </c>
      <c r="E561" s="17">
        <f t="shared" si="8"/>
        <v>8316595.4587000003</v>
      </c>
      <c r="F561" s="18"/>
      <c r="G561" s="18"/>
      <c r="H561" s="19"/>
      <c r="I561" s="19"/>
      <c r="J561" s="19"/>
      <c r="K561" s="19"/>
      <c r="L561" s="18"/>
      <c r="M561" s="18"/>
      <c r="N561" s="19"/>
      <c r="O561" s="19"/>
      <c r="P561" s="19"/>
    </row>
    <row r="562" spans="1:16" ht="17.649999999999999">
      <c r="A562" s="14">
        <v>557</v>
      </c>
      <c r="B562" s="15" t="s">
        <v>100</v>
      </c>
      <c r="C562" s="15" t="s">
        <v>469</v>
      </c>
      <c r="D562" s="16">
        <v>9270431.5815999992</v>
      </c>
      <c r="E562" s="17">
        <f t="shared" si="8"/>
        <v>9270431.5815999992</v>
      </c>
      <c r="F562" s="18"/>
      <c r="G562" s="18"/>
      <c r="H562" s="19"/>
      <c r="I562" s="19"/>
      <c r="J562" s="19"/>
      <c r="K562" s="19"/>
      <c r="L562" s="18"/>
      <c r="M562" s="18"/>
      <c r="N562" s="19"/>
      <c r="O562" s="19"/>
      <c r="P562" s="19"/>
    </row>
    <row r="563" spans="1:16" ht="35.25">
      <c r="A563" s="14">
        <v>558</v>
      </c>
      <c r="B563" s="15" t="s">
        <v>101</v>
      </c>
      <c r="C563" s="15" t="s">
        <v>474</v>
      </c>
      <c r="D563" s="16">
        <v>10408050.272399999</v>
      </c>
      <c r="E563" s="17">
        <f t="shared" si="8"/>
        <v>10408050.272399999</v>
      </c>
      <c r="F563" s="18"/>
      <c r="G563" s="18"/>
      <c r="H563" s="19"/>
      <c r="I563" s="19"/>
      <c r="J563" s="19"/>
      <c r="K563" s="19"/>
      <c r="L563" s="18"/>
      <c r="M563" s="18"/>
      <c r="N563" s="19"/>
      <c r="O563" s="19"/>
      <c r="P563" s="19"/>
    </row>
    <row r="564" spans="1:16" ht="35.25">
      <c r="A564" s="14">
        <v>559</v>
      </c>
      <c r="B564" s="15" t="s">
        <v>101</v>
      </c>
      <c r="C564" s="15" t="s">
        <v>476</v>
      </c>
      <c r="D564" s="16">
        <v>10744719.3607</v>
      </c>
      <c r="E564" s="17">
        <f t="shared" si="8"/>
        <v>10744719.3607</v>
      </c>
      <c r="F564" s="18"/>
      <c r="G564" s="18"/>
      <c r="H564" s="19"/>
      <c r="I564" s="19"/>
      <c r="J564" s="19"/>
      <c r="K564" s="19"/>
      <c r="L564" s="18"/>
      <c r="M564" s="18"/>
      <c r="N564" s="19"/>
      <c r="O564" s="19"/>
      <c r="P564" s="19"/>
    </row>
    <row r="565" spans="1:16" ht="17.649999999999999">
      <c r="A565" s="14">
        <v>560</v>
      </c>
      <c r="B565" s="15" t="s">
        <v>101</v>
      </c>
      <c r="C565" s="15" t="s">
        <v>478</v>
      </c>
      <c r="D565" s="16">
        <v>16514989.3562</v>
      </c>
      <c r="E565" s="17">
        <f t="shared" si="8"/>
        <v>16514989.3562</v>
      </c>
      <c r="F565" s="18"/>
      <c r="G565" s="18"/>
      <c r="H565" s="19"/>
      <c r="I565" s="19"/>
      <c r="J565" s="19"/>
      <c r="K565" s="19"/>
      <c r="L565" s="18"/>
      <c r="M565" s="18"/>
      <c r="N565" s="19"/>
      <c r="O565" s="19"/>
      <c r="P565" s="19"/>
    </row>
    <row r="566" spans="1:16" ht="17.649999999999999">
      <c r="A566" s="14">
        <v>561</v>
      </c>
      <c r="B566" s="15" t="s">
        <v>101</v>
      </c>
      <c r="C566" s="15" t="s">
        <v>480</v>
      </c>
      <c r="D566" s="16">
        <v>10858744.1415</v>
      </c>
      <c r="E566" s="17">
        <f t="shared" si="8"/>
        <v>10858744.1415</v>
      </c>
      <c r="F566" s="18"/>
      <c r="G566" s="18"/>
      <c r="H566" s="19"/>
      <c r="I566" s="19"/>
      <c r="J566" s="19"/>
      <c r="K566" s="19"/>
      <c r="L566" s="18"/>
      <c r="M566" s="18"/>
      <c r="N566" s="19"/>
      <c r="O566" s="19"/>
      <c r="P566" s="19"/>
    </row>
    <row r="567" spans="1:16" ht="17.649999999999999">
      <c r="A567" s="14">
        <v>562</v>
      </c>
      <c r="B567" s="15" t="s">
        <v>101</v>
      </c>
      <c r="C567" s="15" t="s">
        <v>482</v>
      </c>
      <c r="D567" s="16">
        <v>9731374.8193999995</v>
      </c>
      <c r="E567" s="17">
        <f t="shared" si="8"/>
        <v>9731374.8193999995</v>
      </c>
      <c r="F567" s="18"/>
      <c r="G567" s="18"/>
      <c r="H567" s="19"/>
      <c r="I567" s="19"/>
      <c r="J567" s="19"/>
      <c r="K567" s="19"/>
      <c r="L567" s="18"/>
      <c r="M567" s="18"/>
      <c r="N567" s="19"/>
      <c r="O567" s="19"/>
      <c r="P567" s="19"/>
    </row>
    <row r="568" spans="1:16" ht="17.649999999999999">
      <c r="A568" s="14">
        <v>563</v>
      </c>
      <c r="B568" s="15" t="s">
        <v>101</v>
      </c>
      <c r="C568" s="15" t="s">
        <v>484</v>
      </c>
      <c r="D568" s="16">
        <v>7402411.5056999996</v>
      </c>
      <c r="E568" s="17">
        <f t="shared" si="8"/>
        <v>7402411.5056999996</v>
      </c>
      <c r="F568" s="18"/>
      <c r="G568" s="18"/>
      <c r="H568" s="19"/>
      <c r="I568" s="19"/>
      <c r="J568" s="19"/>
      <c r="K568" s="19"/>
      <c r="L568" s="18"/>
      <c r="M568" s="18"/>
      <c r="N568" s="19"/>
      <c r="O568" s="19"/>
      <c r="P568" s="19"/>
    </row>
    <row r="569" spans="1:16" ht="17.649999999999999">
      <c r="A569" s="14">
        <v>564</v>
      </c>
      <c r="B569" s="15" t="s">
        <v>101</v>
      </c>
      <c r="C569" s="15" t="s">
        <v>486</v>
      </c>
      <c r="D569" s="16">
        <v>7211256.9040000001</v>
      </c>
      <c r="E569" s="17">
        <f t="shared" si="8"/>
        <v>7211256.9040000001</v>
      </c>
      <c r="F569" s="18"/>
      <c r="G569" s="18"/>
      <c r="H569" s="19"/>
      <c r="I569" s="19"/>
      <c r="J569" s="19"/>
      <c r="K569" s="19"/>
      <c r="L569" s="18"/>
      <c r="M569" s="18"/>
      <c r="N569" s="19"/>
      <c r="O569" s="19"/>
      <c r="P569" s="19"/>
    </row>
    <row r="570" spans="1:16" ht="17.649999999999999">
      <c r="A570" s="14">
        <v>565</v>
      </c>
      <c r="B570" s="15" t="s">
        <v>101</v>
      </c>
      <c r="C570" s="15" t="s">
        <v>488</v>
      </c>
      <c r="D570" s="16">
        <v>16192571.7733</v>
      </c>
      <c r="E570" s="17">
        <f t="shared" si="8"/>
        <v>16192571.7733</v>
      </c>
      <c r="F570" s="18"/>
      <c r="G570" s="18"/>
      <c r="H570" s="19"/>
      <c r="I570" s="19"/>
      <c r="J570" s="19"/>
      <c r="K570" s="19"/>
      <c r="L570" s="18"/>
      <c r="M570" s="18"/>
      <c r="N570" s="19"/>
      <c r="O570" s="19"/>
      <c r="P570" s="19"/>
    </row>
    <row r="571" spans="1:16" ht="17.649999999999999">
      <c r="A571" s="14">
        <v>566</v>
      </c>
      <c r="B571" s="15" t="s">
        <v>101</v>
      </c>
      <c r="C571" s="15" t="s">
        <v>490</v>
      </c>
      <c r="D571" s="16">
        <v>9636593.7177000009</v>
      </c>
      <c r="E571" s="17">
        <f t="shared" si="8"/>
        <v>9636593.7177000009</v>
      </c>
      <c r="F571" s="18"/>
      <c r="G571" s="18"/>
      <c r="H571" s="19"/>
      <c r="I571" s="19"/>
      <c r="J571" s="19"/>
      <c r="K571" s="19"/>
      <c r="L571" s="18"/>
      <c r="M571" s="18"/>
      <c r="N571" s="19"/>
      <c r="O571" s="19"/>
      <c r="P571" s="19"/>
    </row>
    <row r="572" spans="1:16" ht="17.649999999999999">
      <c r="A572" s="14">
        <v>567</v>
      </c>
      <c r="B572" s="15" t="s">
        <v>101</v>
      </c>
      <c r="C572" s="15" t="s">
        <v>492</v>
      </c>
      <c r="D572" s="16">
        <v>12039981.5736</v>
      </c>
      <c r="E572" s="17">
        <f t="shared" si="8"/>
        <v>12039981.5736</v>
      </c>
      <c r="F572" s="18"/>
      <c r="G572" s="18"/>
      <c r="H572" s="19"/>
      <c r="I572" s="19"/>
      <c r="J572" s="19"/>
      <c r="K572" s="19"/>
      <c r="L572" s="18"/>
      <c r="M572" s="18"/>
      <c r="N572" s="19"/>
      <c r="O572" s="19"/>
      <c r="P572" s="19"/>
    </row>
    <row r="573" spans="1:16" ht="17.649999999999999">
      <c r="A573" s="14">
        <v>568</v>
      </c>
      <c r="B573" s="15" t="s">
        <v>101</v>
      </c>
      <c r="C573" s="15" t="s">
        <v>494</v>
      </c>
      <c r="D573" s="16">
        <v>9288851.0527999997</v>
      </c>
      <c r="E573" s="17">
        <f t="shared" si="8"/>
        <v>9288851.0527999997</v>
      </c>
      <c r="F573" s="18"/>
      <c r="G573" s="18"/>
      <c r="H573" s="19"/>
      <c r="I573" s="19"/>
      <c r="J573" s="19"/>
      <c r="K573" s="19"/>
      <c r="L573" s="18"/>
      <c r="M573" s="18"/>
      <c r="N573" s="19"/>
      <c r="O573" s="19"/>
      <c r="P573" s="19"/>
    </row>
    <row r="574" spans="1:16" ht="17.649999999999999">
      <c r="A574" s="14">
        <v>569</v>
      </c>
      <c r="B574" s="15" t="s">
        <v>101</v>
      </c>
      <c r="C574" s="15" t="s">
        <v>496</v>
      </c>
      <c r="D574" s="16">
        <v>8392070.6038000006</v>
      </c>
      <c r="E574" s="17">
        <f t="shared" si="8"/>
        <v>8392070.6038000006</v>
      </c>
      <c r="F574" s="18"/>
      <c r="G574" s="18"/>
      <c r="H574" s="19"/>
      <c r="I574" s="19"/>
      <c r="J574" s="19"/>
      <c r="K574" s="19"/>
      <c r="L574" s="18"/>
      <c r="M574" s="18"/>
      <c r="N574" s="19"/>
      <c r="O574" s="19"/>
      <c r="P574" s="19"/>
    </row>
    <row r="575" spans="1:16" ht="35.25">
      <c r="A575" s="14">
        <v>570</v>
      </c>
      <c r="B575" s="15" t="s">
        <v>101</v>
      </c>
      <c r="C575" s="15" t="s">
        <v>498</v>
      </c>
      <c r="D575" s="16">
        <v>7567616.6331000002</v>
      </c>
      <c r="E575" s="17">
        <f t="shared" si="8"/>
        <v>7567616.6331000002</v>
      </c>
      <c r="F575" s="18"/>
      <c r="G575" s="18"/>
      <c r="H575" s="19"/>
      <c r="I575" s="19"/>
      <c r="J575" s="19"/>
      <c r="K575" s="19"/>
      <c r="L575" s="18"/>
      <c r="M575" s="18"/>
      <c r="N575" s="19"/>
      <c r="O575" s="19"/>
      <c r="P575" s="19"/>
    </row>
    <row r="576" spans="1:16" ht="17.649999999999999">
      <c r="A576" s="14">
        <v>571</v>
      </c>
      <c r="B576" s="15" t="s">
        <v>101</v>
      </c>
      <c r="C576" s="15" t="s">
        <v>500</v>
      </c>
      <c r="D576" s="16">
        <v>8699936.3636000007</v>
      </c>
      <c r="E576" s="17">
        <f t="shared" si="8"/>
        <v>8699936.3636000007</v>
      </c>
      <c r="F576" s="18"/>
      <c r="G576" s="18"/>
      <c r="H576" s="19"/>
      <c r="I576" s="19"/>
      <c r="J576" s="19"/>
      <c r="K576" s="19"/>
      <c r="L576" s="18"/>
      <c r="M576" s="18"/>
      <c r="N576" s="19"/>
      <c r="O576" s="19"/>
      <c r="P576" s="19"/>
    </row>
    <row r="577" spans="1:16" ht="17.649999999999999">
      <c r="A577" s="14">
        <v>572</v>
      </c>
      <c r="B577" s="15" t="s">
        <v>101</v>
      </c>
      <c r="C577" s="15" t="s">
        <v>502</v>
      </c>
      <c r="D577" s="16">
        <v>9112471.1499000005</v>
      </c>
      <c r="E577" s="17">
        <f t="shared" si="8"/>
        <v>9112471.1499000005</v>
      </c>
      <c r="F577" s="18"/>
      <c r="G577" s="18"/>
      <c r="H577" s="19"/>
      <c r="I577" s="19"/>
      <c r="J577" s="19"/>
      <c r="K577" s="19"/>
      <c r="L577" s="18"/>
      <c r="M577" s="18"/>
      <c r="N577" s="19"/>
      <c r="O577" s="19"/>
      <c r="P577" s="19"/>
    </row>
    <row r="578" spans="1:16" ht="17.649999999999999">
      <c r="A578" s="14">
        <v>573</v>
      </c>
      <c r="B578" s="15" t="s">
        <v>101</v>
      </c>
      <c r="C578" s="15" t="s">
        <v>504</v>
      </c>
      <c r="D578" s="16">
        <v>11048898.679</v>
      </c>
      <c r="E578" s="17">
        <f t="shared" si="8"/>
        <v>11048898.679</v>
      </c>
      <c r="F578" s="18"/>
      <c r="G578" s="18"/>
      <c r="H578" s="19"/>
      <c r="I578" s="19"/>
      <c r="J578" s="19"/>
      <c r="K578" s="19"/>
      <c r="L578" s="18"/>
      <c r="M578" s="18"/>
      <c r="N578" s="19"/>
      <c r="O578" s="19"/>
      <c r="P578" s="19"/>
    </row>
    <row r="579" spans="1:16" ht="17.649999999999999">
      <c r="A579" s="14">
        <v>574</v>
      </c>
      <c r="B579" s="15" t="s">
        <v>101</v>
      </c>
      <c r="C579" s="15" t="s">
        <v>506</v>
      </c>
      <c r="D579" s="16">
        <v>9275329.7851</v>
      </c>
      <c r="E579" s="17">
        <f t="shared" si="8"/>
        <v>9275329.7851</v>
      </c>
      <c r="F579" s="18"/>
      <c r="G579" s="18"/>
      <c r="H579" s="19"/>
      <c r="I579" s="19"/>
      <c r="J579" s="19"/>
      <c r="K579" s="19"/>
      <c r="L579" s="18"/>
      <c r="M579" s="18"/>
      <c r="N579" s="19"/>
      <c r="O579" s="19"/>
      <c r="P579" s="19"/>
    </row>
    <row r="580" spans="1:16" ht="17.649999999999999">
      <c r="A580" s="14">
        <v>575</v>
      </c>
      <c r="B580" s="15" t="s">
        <v>101</v>
      </c>
      <c r="C580" s="15" t="s">
        <v>508</v>
      </c>
      <c r="D580" s="16">
        <v>8620454.1481999997</v>
      </c>
      <c r="E580" s="17">
        <f t="shared" si="8"/>
        <v>8620454.1481999997</v>
      </c>
      <c r="F580" s="18"/>
      <c r="G580" s="18"/>
      <c r="H580" s="19"/>
      <c r="I580" s="19"/>
      <c r="J580" s="19"/>
      <c r="K580" s="19"/>
      <c r="L580" s="18"/>
      <c r="M580" s="18"/>
      <c r="N580" s="19"/>
      <c r="O580" s="19"/>
      <c r="P580" s="19"/>
    </row>
    <row r="581" spans="1:16" ht="35.25">
      <c r="A581" s="14">
        <v>576</v>
      </c>
      <c r="B581" s="15" t="s">
        <v>101</v>
      </c>
      <c r="C581" s="15" t="s">
        <v>511</v>
      </c>
      <c r="D581" s="16">
        <v>8188071.1223999998</v>
      </c>
      <c r="E581" s="17">
        <f t="shared" si="8"/>
        <v>8188071.1223999998</v>
      </c>
      <c r="F581" s="18"/>
      <c r="G581" s="18"/>
      <c r="H581" s="19"/>
      <c r="I581" s="19"/>
      <c r="J581" s="19"/>
      <c r="K581" s="19"/>
      <c r="L581" s="18"/>
      <c r="M581" s="18"/>
      <c r="N581" s="19"/>
      <c r="O581" s="19"/>
      <c r="P581" s="19"/>
    </row>
    <row r="582" spans="1:16" ht="17.649999999999999">
      <c r="A582" s="14">
        <v>577</v>
      </c>
      <c r="B582" s="15" t="s">
        <v>101</v>
      </c>
      <c r="C582" s="15" t="s">
        <v>513</v>
      </c>
      <c r="D582" s="16">
        <v>11105730.444399999</v>
      </c>
      <c r="E582" s="17">
        <f t="shared" si="8"/>
        <v>11105730.444399999</v>
      </c>
      <c r="F582" s="18"/>
      <c r="G582" s="18"/>
      <c r="H582" s="19"/>
      <c r="I582" s="19"/>
      <c r="J582" s="19"/>
      <c r="K582" s="19"/>
      <c r="L582" s="18"/>
      <c r="M582" s="18"/>
      <c r="N582" s="19"/>
      <c r="O582" s="19"/>
      <c r="P582" s="19"/>
    </row>
    <row r="583" spans="1:16" ht="35.25">
      <c r="A583" s="14">
        <v>578</v>
      </c>
      <c r="B583" s="15" t="s">
        <v>102</v>
      </c>
      <c r="C583" s="15" t="s">
        <v>517</v>
      </c>
      <c r="D583" s="16">
        <v>10705031.319700001</v>
      </c>
      <c r="E583" s="17">
        <f t="shared" ref="E583:E646" si="9">D583</f>
        <v>10705031.319700001</v>
      </c>
      <c r="F583" s="18"/>
      <c r="G583" s="18"/>
      <c r="H583" s="19"/>
      <c r="I583" s="19"/>
      <c r="J583" s="19"/>
      <c r="K583" s="19"/>
      <c r="L583" s="18"/>
      <c r="M583" s="18"/>
      <c r="N583" s="19"/>
      <c r="O583" s="19"/>
      <c r="P583" s="19"/>
    </row>
    <row r="584" spans="1:16" ht="35.25">
      <c r="A584" s="14">
        <v>579</v>
      </c>
      <c r="B584" s="15" t="s">
        <v>102</v>
      </c>
      <c r="C584" s="15" t="s">
        <v>519</v>
      </c>
      <c r="D584" s="16">
        <v>11324206.2996</v>
      </c>
      <c r="E584" s="17">
        <f t="shared" si="9"/>
        <v>11324206.2996</v>
      </c>
      <c r="F584" s="18"/>
      <c r="G584" s="18"/>
      <c r="H584" s="19"/>
      <c r="I584" s="19"/>
      <c r="J584" s="19"/>
      <c r="K584" s="19"/>
      <c r="L584" s="18"/>
      <c r="M584" s="18"/>
      <c r="N584" s="19"/>
      <c r="O584" s="19"/>
      <c r="P584" s="19"/>
    </row>
    <row r="585" spans="1:16" ht="35.25">
      <c r="A585" s="14">
        <v>580</v>
      </c>
      <c r="B585" s="15" t="s">
        <v>102</v>
      </c>
      <c r="C585" s="15" t="s">
        <v>521</v>
      </c>
      <c r="D585" s="16">
        <v>11528974.1228</v>
      </c>
      <c r="E585" s="17">
        <f t="shared" si="9"/>
        <v>11528974.1228</v>
      </c>
      <c r="F585" s="18"/>
      <c r="G585" s="18"/>
      <c r="H585" s="19"/>
      <c r="I585" s="19"/>
      <c r="J585" s="19"/>
      <c r="K585" s="19"/>
      <c r="L585" s="18"/>
      <c r="M585" s="18"/>
      <c r="N585" s="19"/>
      <c r="O585" s="19"/>
      <c r="P585" s="19"/>
    </row>
    <row r="586" spans="1:16" ht="35.25">
      <c r="A586" s="14">
        <v>581</v>
      </c>
      <c r="B586" s="15" t="s">
        <v>102</v>
      </c>
      <c r="C586" s="15" t="s">
        <v>523</v>
      </c>
      <c r="D586" s="16">
        <v>8551237.9166999999</v>
      </c>
      <c r="E586" s="17">
        <f t="shared" si="9"/>
        <v>8551237.9166999999</v>
      </c>
      <c r="F586" s="18"/>
      <c r="G586" s="18"/>
      <c r="H586" s="19"/>
      <c r="I586" s="19"/>
      <c r="J586" s="19"/>
      <c r="K586" s="19"/>
      <c r="L586" s="18"/>
      <c r="M586" s="18"/>
      <c r="N586" s="19"/>
      <c r="O586" s="19"/>
      <c r="P586" s="19"/>
    </row>
    <row r="587" spans="1:16" ht="17.649999999999999">
      <c r="A587" s="14">
        <v>582</v>
      </c>
      <c r="B587" s="15" t="s">
        <v>102</v>
      </c>
      <c r="C587" s="15" t="s">
        <v>525</v>
      </c>
      <c r="D587" s="16">
        <v>8960662.4476999994</v>
      </c>
      <c r="E587" s="17">
        <f t="shared" si="9"/>
        <v>8960662.4476999994</v>
      </c>
      <c r="F587" s="18"/>
      <c r="G587" s="18"/>
      <c r="H587" s="19"/>
      <c r="I587" s="19"/>
      <c r="J587" s="19"/>
      <c r="K587" s="19"/>
      <c r="L587" s="18"/>
      <c r="M587" s="18"/>
      <c r="N587" s="19"/>
      <c r="O587" s="19"/>
      <c r="P587" s="19"/>
    </row>
    <row r="588" spans="1:16" ht="17.649999999999999">
      <c r="A588" s="14">
        <v>583</v>
      </c>
      <c r="B588" s="15" t="s">
        <v>102</v>
      </c>
      <c r="C588" s="15" t="s">
        <v>527</v>
      </c>
      <c r="D588" s="16">
        <v>13770430.9693</v>
      </c>
      <c r="E588" s="17">
        <f t="shared" si="9"/>
        <v>13770430.9693</v>
      </c>
      <c r="F588" s="18"/>
      <c r="G588" s="18"/>
      <c r="H588" s="19"/>
      <c r="I588" s="19"/>
      <c r="J588" s="19"/>
      <c r="K588" s="19"/>
      <c r="L588" s="18"/>
      <c r="M588" s="18"/>
      <c r="N588" s="19"/>
      <c r="O588" s="19"/>
      <c r="P588" s="19"/>
    </row>
    <row r="589" spans="1:16" ht="17.649999999999999">
      <c r="A589" s="14">
        <v>584</v>
      </c>
      <c r="B589" s="15" t="s">
        <v>102</v>
      </c>
      <c r="C589" s="15" t="s">
        <v>529</v>
      </c>
      <c r="D589" s="16">
        <v>9698260.7499000002</v>
      </c>
      <c r="E589" s="17">
        <f t="shared" si="9"/>
        <v>9698260.7499000002</v>
      </c>
      <c r="F589" s="18"/>
      <c r="G589" s="18"/>
      <c r="H589" s="19"/>
      <c r="I589" s="19"/>
      <c r="J589" s="19"/>
      <c r="K589" s="19"/>
      <c r="L589" s="18"/>
      <c r="M589" s="18"/>
      <c r="N589" s="19"/>
      <c r="O589" s="19"/>
      <c r="P589" s="19"/>
    </row>
    <row r="590" spans="1:16" ht="17.649999999999999">
      <c r="A590" s="14">
        <v>585</v>
      </c>
      <c r="B590" s="15" t="s">
        <v>102</v>
      </c>
      <c r="C590" s="15" t="s">
        <v>531</v>
      </c>
      <c r="D590" s="16">
        <v>9771042.1225000005</v>
      </c>
      <c r="E590" s="17">
        <f t="shared" si="9"/>
        <v>9771042.1225000005</v>
      </c>
      <c r="F590" s="18"/>
      <c r="G590" s="18"/>
      <c r="H590" s="19"/>
      <c r="I590" s="19"/>
      <c r="J590" s="19"/>
      <c r="K590" s="19"/>
      <c r="L590" s="18"/>
      <c r="M590" s="18"/>
      <c r="N590" s="19"/>
      <c r="O590" s="19"/>
      <c r="P590" s="19"/>
    </row>
    <row r="591" spans="1:16" ht="17.649999999999999">
      <c r="A591" s="14">
        <v>586</v>
      </c>
      <c r="B591" s="15" t="s">
        <v>102</v>
      </c>
      <c r="C591" s="15" t="s">
        <v>533</v>
      </c>
      <c r="D591" s="16">
        <v>11747178.5417</v>
      </c>
      <c r="E591" s="17">
        <f t="shared" si="9"/>
        <v>11747178.5417</v>
      </c>
      <c r="F591" s="18"/>
      <c r="G591" s="18"/>
      <c r="H591" s="19"/>
      <c r="I591" s="19"/>
      <c r="J591" s="19"/>
      <c r="K591" s="19"/>
      <c r="L591" s="18"/>
      <c r="M591" s="18"/>
      <c r="N591" s="19"/>
      <c r="O591" s="19"/>
      <c r="P591" s="19"/>
    </row>
    <row r="592" spans="1:16" ht="17.649999999999999">
      <c r="A592" s="14">
        <v>587</v>
      </c>
      <c r="B592" s="15" t="s">
        <v>102</v>
      </c>
      <c r="C592" s="15" t="s">
        <v>535</v>
      </c>
      <c r="D592" s="16">
        <v>12747130.2852</v>
      </c>
      <c r="E592" s="17">
        <f t="shared" si="9"/>
        <v>12747130.2852</v>
      </c>
      <c r="F592" s="18"/>
      <c r="G592" s="18"/>
      <c r="H592" s="19"/>
      <c r="I592" s="19"/>
      <c r="J592" s="19"/>
      <c r="K592" s="19"/>
      <c r="L592" s="18"/>
      <c r="M592" s="18"/>
      <c r="N592" s="19"/>
      <c r="O592" s="19"/>
      <c r="P592" s="19"/>
    </row>
    <row r="593" spans="1:16" ht="17.649999999999999">
      <c r="A593" s="14">
        <v>588</v>
      </c>
      <c r="B593" s="15" t="s">
        <v>102</v>
      </c>
      <c r="C593" s="15" t="s">
        <v>537</v>
      </c>
      <c r="D593" s="16">
        <v>9753457.5208000001</v>
      </c>
      <c r="E593" s="17">
        <f t="shared" si="9"/>
        <v>9753457.5208000001</v>
      </c>
      <c r="F593" s="18"/>
      <c r="G593" s="18"/>
      <c r="H593" s="19"/>
      <c r="I593" s="19"/>
      <c r="J593" s="19"/>
      <c r="K593" s="19"/>
      <c r="L593" s="18"/>
      <c r="M593" s="18"/>
      <c r="N593" s="19"/>
      <c r="O593" s="19"/>
      <c r="P593" s="19"/>
    </row>
    <row r="594" spans="1:16" ht="35.25">
      <c r="A594" s="14">
        <v>589</v>
      </c>
      <c r="B594" s="15" t="s">
        <v>102</v>
      </c>
      <c r="C594" s="15" t="s">
        <v>539</v>
      </c>
      <c r="D594" s="16">
        <v>10095467.856899999</v>
      </c>
      <c r="E594" s="17">
        <f t="shared" si="9"/>
        <v>10095467.856899999</v>
      </c>
      <c r="F594" s="18"/>
      <c r="G594" s="18"/>
      <c r="H594" s="19"/>
      <c r="I594" s="19"/>
      <c r="J594" s="19"/>
      <c r="K594" s="19"/>
      <c r="L594" s="18"/>
      <c r="M594" s="18"/>
      <c r="N594" s="19"/>
      <c r="O594" s="19"/>
      <c r="P594" s="19"/>
    </row>
    <row r="595" spans="1:16" ht="17.649999999999999">
      <c r="A595" s="14">
        <v>590</v>
      </c>
      <c r="B595" s="15" t="s">
        <v>102</v>
      </c>
      <c r="C595" s="15" t="s">
        <v>541</v>
      </c>
      <c r="D595" s="16">
        <v>9381883.7580999993</v>
      </c>
      <c r="E595" s="17">
        <f t="shared" si="9"/>
        <v>9381883.7580999993</v>
      </c>
      <c r="F595" s="18"/>
      <c r="G595" s="18"/>
      <c r="H595" s="19"/>
      <c r="I595" s="19"/>
      <c r="J595" s="19"/>
      <c r="K595" s="19"/>
      <c r="L595" s="18"/>
      <c r="M595" s="18"/>
      <c r="N595" s="19"/>
      <c r="O595" s="19"/>
      <c r="P595" s="19"/>
    </row>
    <row r="596" spans="1:16" ht="17.649999999999999">
      <c r="A596" s="14">
        <v>591</v>
      </c>
      <c r="B596" s="15" t="s">
        <v>102</v>
      </c>
      <c r="C596" s="15" t="s">
        <v>543</v>
      </c>
      <c r="D596" s="16">
        <v>11733325.8894</v>
      </c>
      <c r="E596" s="17">
        <f t="shared" si="9"/>
        <v>11733325.8894</v>
      </c>
      <c r="F596" s="18"/>
      <c r="G596" s="18"/>
      <c r="H596" s="19"/>
      <c r="I596" s="19"/>
      <c r="J596" s="19"/>
      <c r="K596" s="19"/>
      <c r="L596" s="18"/>
      <c r="M596" s="18"/>
      <c r="N596" s="19"/>
      <c r="O596" s="19"/>
      <c r="P596" s="19"/>
    </row>
    <row r="597" spans="1:16" ht="17.649999999999999">
      <c r="A597" s="14">
        <v>592</v>
      </c>
      <c r="B597" s="15" t="s">
        <v>102</v>
      </c>
      <c r="C597" s="15" t="s">
        <v>545</v>
      </c>
      <c r="D597" s="16">
        <v>7787038.6376999998</v>
      </c>
      <c r="E597" s="17">
        <f t="shared" si="9"/>
        <v>7787038.6376999998</v>
      </c>
      <c r="F597" s="18"/>
      <c r="G597" s="18"/>
      <c r="H597" s="19"/>
      <c r="I597" s="19"/>
      <c r="J597" s="19"/>
      <c r="K597" s="19"/>
      <c r="L597" s="18"/>
      <c r="M597" s="18"/>
      <c r="N597" s="19"/>
      <c r="O597" s="19"/>
      <c r="P597" s="19"/>
    </row>
    <row r="598" spans="1:16" ht="17.649999999999999">
      <c r="A598" s="14">
        <v>593</v>
      </c>
      <c r="B598" s="15" t="s">
        <v>102</v>
      </c>
      <c r="C598" s="15" t="s">
        <v>547</v>
      </c>
      <c r="D598" s="16">
        <v>12869855.328</v>
      </c>
      <c r="E598" s="17">
        <f t="shared" si="9"/>
        <v>12869855.328</v>
      </c>
      <c r="F598" s="18"/>
      <c r="G598" s="18"/>
      <c r="H598" s="19"/>
      <c r="I598" s="19"/>
      <c r="J598" s="19"/>
      <c r="K598" s="19"/>
      <c r="L598" s="18"/>
      <c r="M598" s="18"/>
      <c r="N598" s="19"/>
      <c r="O598" s="19"/>
      <c r="P598" s="19"/>
    </row>
    <row r="599" spans="1:16" ht="17.649999999999999">
      <c r="A599" s="14">
        <v>594</v>
      </c>
      <c r="B599" s="15" t="s">
        <v>102</v>
      </c>
      <c r="C599" s="15" t="s">
        <v>549</v>
      </c>
      <c r="D599" s="16">
        <v>10369611.899800001</v>
      </c>
      <c r="E599" s="17">
        <f t="shared" si="9"/>
        <v>10369611.899800001</v>
      </c>
      <c r="F599" s="18"/>
      <c r="G599" s="18"/>
      <c r="H599" s="19"/>
      <c r="I599" s="19"/>
      <c r="J599" s="19"/>
      <c r="K599" s="19"/>
      <c r="L599" s="18"/>
      <c r="M599" s="18"/>
      <c r="N599" s="19"/>
      <c r="O599" s="19"/>
      <c r="P599" s="19"/>
    </row>
    <row r="600" spans="1:16" ht="17.649999999999999">
      <c r="A600" s="14">
        <v>595</v>
      </c>
      <c r="B600" s="15" t="s">
        <v>102</v>
      </c>
      <c r="C600" s="15" t="s">
        <v>551</v>
      </c>
      <c r="D600" s="16">
        <v>12166302.122500001</v>
      </c>
      <c r="E600" s="17">
        <f t="shared" si="9"/>
        <v>12166302.122500001</v>
      </c>
      <c r="F600" s="18"/>
      <c r="G600" s="18"/>
      <c r="H600" s="19"/>
      <c r="I600" s="19"/>
      <c r="J600" s="19"/>
      <c r="K600" s="19"/>
      <c r="L600" s="18"/>
      <c r="M600" s="18"/>
      <c r="N600" s="19"/>
      <c r="O600" s="19"/>
      <c r="P600" s="19"/>
    </row>
    <row r="601" spans="1:16" ht="35.25">
      <c r="A601" s="14">
        <v>596</v>
      </c>
      <c r="B601" s="15" t="s">
        <v>103</v>
      </c>
      <c r="C601" s="15" t="s">
        <v>555</v>
      </c>
      <c r="D601" s="16">
        <v>7603369.7295000004</v>
      </c>
      <c r="E601" s="17">
        <f t="shared" si="9"/>
        <v>7603369.7295000004</v>
      </c>
      <c r="F601" s="18"/>
      <c r="G601" s="18"/>
      <c r="H601" s="19"/>
      <c r="I601" s="19"/>
      <c r="J601" s="19"/>
      <c r="K601" s="19"/>
      <c r="L601" s="18"/>
      <c r="M601" s="18"/>
      <c r="N601" s="19"/>
      <c r="O601" s="19"/>
      <c r="P601" s="19"/>
    </row>
    <row r="602" spans="1:16" ht="35.25">
      <c r="A602" s="14">
        <v>597</v>
      </c>
      <c r="B602" s="15" t="s">
        <v>103</v>
      </c>
      <c r="C602" s="15" t="s">
        <v>557</v>
      </c>
      <c r="D602" s="16">
        <v>7624698.2339000003</v>
      </c>
      <c r="E602" s="17">
        <f t="shared" si="9"/>
        <v>7624698.2339000003</v>
      </c>
      <c r="F602" s="18"/>
      <c r="G602" s="18"/>
      <c r="H602" s="19"/>
      <c r="I602" s="19"/>
      <c r="J602" s="19"/>
      <c r="K602" s="19"/>
      <c r="L602" s="18"/>
      <c r="M602" s="18"/>
      <c r="N602" s="19"/>
      <c r="O602" s="19"/>
      <c r="P602" s="19"/>
    </row>
    <row r="603" spans="1:16" ht="17.649999999999999">
      <c r="A603" s="14">
        <v>598</v>
      </c>
      <c r="B603" s="15" t="s">
        <v>103</v>
      </c>
      <c r="C603" s="15" t="s">
        <v>559</v>
      </c>
      <c r="D603" s="16">
        <v>9499093.2486000005</v>
      </c>
      <c r="E603" s="17">
        <f t="shared" si="9"/>
        <v>9499093.2486000005</v>
      </c>
      <c r="F603" s="18"/>
      <c r="G603" s="18"/>
      <c r="H603" s="19"/>
      <c r="I603" s="19"/>
      <c r="J603" s="19"/>
      <c r="K603" s="19"/>
      <c r="L603" s="18"/>
      <c r="M603" s="18"/>
      <c r="N603" s="19"/>
      <c r="O603" s="19"/>
      <c r="P603" s="19"/>
    </row>
    <row r="604" spans="1:16" ht="17.649999999999999">
      <c r="A604" s="14">
        <v>599</v>
      </c>
      <c r="B604" s="15" t="s">
        <v>103</v>
      </c>
      <c r="C604" s="15" t="s">
        <v>561</v>
      </c>
      <c r="D604" s="16">
        <v>8396988.4712000005</v>
      </c>
      <c r="E604" s="17">
        <f t="shared" si="9"/>
        <v>8396988.4712000005</v>
      </c>
      <c r="F604" s="18"/>
      <c r="G604" s="18"/>
      <c r="H604" s="19"/>
      <c r="I604" s="19"/>
      <c r="J604" s="19"/>
      <c r="K604" s="19"/>
      <c r="L604" s="18"/>
      <c r="M604" s="18"/>
      <c r="N604" s="19"/>
      <c r="O604" s="19"/>
      <c r="P604" s="19"/>
    </row>
    <row r="605" spans="1:16" ht="17.649999999999999">
      <c r="A605" s="14">
        <v>600</v>
      </c>
      <c r="B605" s="15" t="s">
        <v>103</v>
      </c>
      <c r="C605" s="15" t="s">
        <v>564</v>
      </c>
      <c r="D605" s="16">
        <v>7946185.7692999998</v>
      </c>
      <c r="E605" s="17">
        <f t="shared" si="9"/>
        <v>7946185.7692999998</v>
      </c>
      <c r="F605" s="18"/>
      <c r="G605" s="18"/>
      <c r="H605" s="19"/>
      <c r="I605" s="19"/>
      <c r="J605" s="19"/>
      <c r="K605" s="19"/>
      <c r="L605" s="18"/>
      <c r="M605" s="18"/>
      <c r="N605" s="19"/>
      <c r="O605" s="19"/>
      <c r="P605" s="19"/>
    </row>
    <row r="606" spans="1:16" ht="17.649999999999999">
      <c r="A606" s="14">
        <v>601</v>
      </c>
      <c r="B606" s="15" t="s">
        <v>103</v>
      </c>
      <c r="C606" s="15" t="s">
        <v>566</v>
      </c>
      <c r="D606" s="16">
        <v>9050315.2974999994</v>
      </c>
      <c r="E606" s="17">
        <f t="shared" si="9"/>
        <v>9050315.2974999994</v>
      </c>
      <c r="F606" s="18"/>
      <c r="G606" s="18"/>
      <c r="H606" s="19"/>
      <c r="I606" s="19"/>
      <c r="J606" s="19"/>
      <c r="K606" s="19"/>
      <c r="L606" s="18"/>
      <c r="M606" s="18"/>
      <c r="N606" s="19"/>
      <c r="O606" s="19"/>
      <c r="P606" s="19"/>
    </row>
    <row r="607" spans="1:16" ht="17.649999999999999">
      <c r="A607" s="14">
        <v>602</v>
      </c>
      <c r="B607" s="15" t="s">
        <v>103</v>
      </c>
      <c r="C607" s="15" t="s">
        <v>568</v>
      </c>
      <c r="D607" s="16">
        <v>7585508.8835000005</v>
      </c>
      <c r="E607" s="17">
        <f t="shared" si="9"/>
        <v>7585508.8835000005</v>
      </c>
      <c r="F607" s="18"/>
      <c r="G607" s="18"/>
      <c r="H607" s="19"/>
      <c r="I607" s="19"/>
      <c r="J607" s="19"/>
      <c r="K607" s="19"/>
      <c r="L607" s="18"/>
      <c r="M607" s="18"/>
      <c r="N607" s="19"/>
      <c r="O607" s="19"/>
      <c r="P607" s="19"/>
    </row>
    <row r="608" spans="1:16" ht="17.649999999999999">
      <c r="A608" s="14">
        <v>603</v>
      </c>
      <c r="B608" s="15" t="s">
        <v>103</v>
      </c>
      <c r="C608" s="15" t="s">
        <v>569</v>
      </c>
      <c r="D608" s="16">
        <v>7877940.4007999999</v>
      </c>
      <c r="E608" s="17">
        <f t="shared" si="9"/>
        <v>7877940.4007999999</v>
      </c>
      <c r="F608" s="18"/>
      <c r="G608" s="18"/>
      <c r="H608" s="19"/>
      <c r="I608" s="19"/>
      <c r="J608" s="19"/>
      <c r="K608" s="19"/>
      <c r="L608" s="18"/>
      <c r="M608" s="18"/>
      <c r="N608" s="19"/>
      <c r="O608" s="19"/>
      <c r="P608" s="19"/>
    </row>
    <row r="609" spans="1:16" ht="17.649999999999999">
      <c r="A609" s="14">
        <v>604</v>
      </c>
      <c r="B609" s="15" t="s">
        <v>103</v>
      </c>
      <c r="C609" s="15" t="s">
        <v>571</v>
      </c>
      <c r="D609" s="16">
        <v>7748345.2767000003</v>
      </c>
      <c r="E609" s="17">
        <f t="shared" si="9"/>
        <v>7748345.2767000003</v>
      </c>
      <c r="F609" s="18"/>
      <c r="G609" s="18"/>
      <c r="H609" s="19"/>
      <c r="I609" s="19"/>
      <c r="J609" s="19"/>
      <c r="K609" s="19"/>
      <c r="L609" s="18"/>
      <c r="M609" s="18"/>
      <c r="N609" s="19"/>
      <c r="O609" s="19"/>
      <c r="P609" s="19"/>
    </row>
    <row r="610" spans="1:16" ht="17.649999999999999">
      <c r="A610" s="14">
        <v>605</v>
      </c>
      <c r="B610" s="15" t="s">
        <v>103</v>
      </c>
      <c r="C610" s="15" t="s">
        <v>573</v>
      </c>
      <c r="D610" s="16">
        <v>8795903.0186000001</v>
      </c>
      <c r="E610" s="17">
        <f t="shared" si="9"/>
        <v>8795903.0186000001</v>
      </c>
      <c r="F610" s="18"/>
      <c r="G610" s="18"/>
      <c r="H610" s="19"/>
      <c r="I610" s="19"/>
      <c r="J610" s="19"/>
      <c r="K610" s="19"/>
      <c r="L610" s="18"/>
      <c r="M610" s="18"/>
      <c r="N610" s="19"/>
      <c r="O610" s="19"/>
      <c r="P610" s="19"/>
    </row>
    <row r="611" spans="1:16" ht="17.649999999999999">
      <c r="A611" s="14">
        <v>606</v>
      </c>
      <c r="B611" s="15" t="s">
        <v>103</v>
      </c>
      <c r="C611" s="15" t="s">
        <v>575</v>
      </c>
      <c r="D611" s="16">
        <v>9313371.4171999991</v>
      </c>
      <c r="E611" s="17">
        <f t="shared" si="9"/>
        <v>9313371.4171999991</v>
      </c>
      <c r="F611" s="18"/>
      <c r="G611" s="18"/>
      <c r="H611" s="19"/>
      <c r="I611" s="19"/>
      <c r="J611" s="19"/>
      <c r="K611" s="19"/>
      <c r="L611" s="18"/>
      <c r="M611" s="18"/>
      <c r="N611" s="19"/>
      <c r="O611" s="19"/>
      <c r="P611" s="19"/>
    </row>
    <row r="612" spans="1:16" ht="17.649999999999999">
      <c r="A612" s="14">
        <v>607</v>
      </c>
      <c r="B612" s="15" t="s">
        <v>103</v>
      </c>
      <c r="C612" s="15" t="s">
        <v>577</v>
      </c>
      <c r="D612" s="16">
        <v>10764111.1187</v>
      </c>
      <c r="E612" s="17">
        <f t="shared" si="9"/>
        <v>10764111.1187</v>
      </c>
      <c r="F612" s="18"/>
      <c r="G612" s="18"/>
      <c r="H612" s="19"/>
      <c r="I612" s="19"/>
      <c r="J612" s="19"/>
      <c r="K612" s="19"/>
      <c r="L612" s="18"/>
      <c r="M612" s="18"/>
      <c r="N612" s="19"/>
      <c r="O612" s="19"/>
      <c r="P612" s="19"/>
    </row>
    <row r="613" spans="1:16" ht="17.649999999999999">
      <c r="A613" s="14">
        <v>608</v>
      </c>
      <c r="B613" s="15" t="s">
        <v>103</v>
      </c>
      <c r="C613" s="15" t="s">
        <v>579</v>
      </c>
      <c r="D613" s="16">
        <v>10033704.1928</v>
      </c>
      <c r="E613" s="17">
        <f t="shared" si="9"/>
        <v>10033704.1928</v>
      </c>
      <c r="F613" s="18"/>
      <c r="G613" s="18"/>
      <c r="H613" s="19"/>
      <c r="I613" s="19"/>
      <c r="J613" s="19"/>
      <c r="K613" s="19"/>
      <c r="L613" s="18"/>
      <c r="M613" s="18"/>
      <c r="N613" s="19"/>
      <c r="O613" s="19"/>
      <c r="P613" s="19"/>
    </row>
    <row r="614" spans="1:16" ht="17.649999999999999">
      <c r="A614" s="14">
        <v>609</v>
      </c>
      <c r="B614" s="15" t="s">
        <v>103</v>
      </c>
      <c r="C614" s="15" t="s">
        <v>581</v>
      </c>
      <c r="D614" s="16">
        <v>8746282.4779000003</v>
      </c>
      <c r="E614" s="17">
        <f t="shared" si="9"/>
        <v>8746282.4779000003</v>
      </c>
      <c r="F614" s="18"/>
      <c r="G614" s="18"/>
      <c r="H614" s="19"/>
      <c r="I614" s="19"/>
      <c r="J614" s="19"/>
      <c r="K614" s="19"/>
      <c r="L614" s="18"/>
      <c r="M614" s="18"/>
      <c r="N614" s="19"/>
      <c r="O614" s="19"/>
      <c r="P614" s="19"/>
    </row>
    <row r="615" spans="1:16" ht="17.649999999999999">
      <c r="A615" s="14">
        <v>610</v>
      </c>
      <c r="B615" s="15" t="s">
        <v>103</v>
      </c>
      <c r="C615" s="15" t="s">
        <v>583</v>
      </c>
      <c r="D615" s="16">
        <v>6873014.6792000001</v>
      </c>
      <c r="E615" s="17">
        <f t="shared" si="9"/>
        <v>6873014.6792000001</v>
      </c>
      <c r="F615" s="18"/>
      <c r="G615" s="18"/>
      <c r="H615" s="19"/>
      <c r="I615" s="19"/>
      <c r="J615" s="19"/>
      <c r="K615" s="19"/>
      <c r="L615" s="18"/>
      <c r="M615" s="18"/>
      <c r="N615" s="19"/>
      <c r="O615" s="19"/>
      <c r="P615" s="19"/>
    </row>
    <row r="616" spans="1:16" ht="17.649999999999999">
      <c r="A616" s="14">
        <v>611</v>
      </c>
      <c r="B616" s="15" t="s">
        <v>103</v>
      </c>
      <c r="C616" s="15" t="s">
        <v>323</v>
      </c>
      <c r="D616" s="16">
        <v>8856529.8904999997</v>
      </c>
      <c r="E616" s="17">
        <f t="shared" si="9"/>
        <v>8856529.8904999997</v>
      </c>
      <c r="F616" s="18"/>
      <c r="G616" s="18"/>
      <c r="H616" s="19"/>
      <c r="I616" s="19"/>
      <c r="J616" s="19"/>
      <c r="K616" s="19"/>
      <c r="L616" s="18"/>
      <c r="M616" s="18"/>
      <c r="N616" s="19"/>
      <c r="O616" s="19"/>
      <c r="P616" s="19"/>
    </row>
    <row r="617" spans="1:16" ht="17.649999999999999">
      <c r="A617" s="14">
        <v>612</v>
      </c>
      <c r="B617" s="15" t="s">
        <v>103</v>
      </c>
      <c r="C617" s="15" t="s">
        <v>586</v>
      </c>
      <c r="D617" s="16">
        <v>7808242.0082999999</v>
      </c>
      <c r="E617" s="17">
        <f t="shared" si="9"/>
        <v>7808242.0082999999</v>
      </c>
      <c r="F617" s="18"/>
      <c r="G617" s="18"/>
      <c r="H617" s="19"/>
      <c r="I617" s="19"/>
      <c r="J617" s="19"/>
      <c r="K617" s="19"/>
      <c r="L617" s="18"/>
      <c r="M617" s="18"/>
      <c r="N617" s="19"/>
      <c r="O617" s="19"/>
      <c r="P617" s="19"/>
    </row>
    <row r="618" spans="1:16" ht="17.649999999999999">
      <c r="A618" s="14">
        <v>613</v>
      </c>
      <c r="B618" s="15" t="s">
        <v>103</v>
      </c>
      <c r="C618" s="15" t="s">
        <v>588</v>
      </c>
      <c r="D618" s="16">
        <v>8140176.8262999998</v>
      </c>
      <c r="E618" s="17">
        <f t="shared" si="9"/>
        <v>8140176.8262999998</v>
      </c>
      <c r="F618" s="18"/>
      <c r="G618" s="18"/>
      <c r="H618" s="19"/>
      <c r="I618" s="19"/>
      <c r="J618" s="19"/>
      <c r="K618" s="19"/>
      <c r="L618" s="18"/>
      <c r="M618" s="18"/>
      <c r="N618" s="19"/>
      <c r="O618" s="19"/>
      <c r="P618" s="19"/>
    </row>
    <row r="619" spans="1:16" ht="17.649999999999999">
      <c r="A619" s="14">
        <v>614</v>
      </c>
      <c r="B619" s="15" t="s">
        <v>103</v>
      </c>
      <c r="C619" s="15" t="s">
        <v>591</v>
      </c>
      <c r="D619" s="16">
        <v>8626099.7202000003</v>
      </c>
      <c r="E619" s="17">
        <f t="shared" si="9"/>
        <v>8626099.7202000003</v>
      </c>
      <c r="F619" s="18"/>
      <c r="G619" s="18"/>
      <c r="H619" s="19"/>
      <c r="I619" s="19"/>
      <c r="J619" s="19"/>
      <c r="K619" s="19"/>
      <c r="L619" s="18"/>
      <c r="M619" s="18"/>
      <c r="N619" s="19"/>
      <c r="O619" s="19"/>
      <c r="P619" s="19"/>
    </row>
    <row r="620" spans="1:16" ht="17.649999999999999">
      <c r="A620" s="14">
        <v>615</v>
      </c>
      <c r="B620" s="15" t="s">
        <v>103</v>
      </c>
      <c r="C620" s="15" t="s">
        <v>331</v>
      </c>
      <c r="D620" s="16">
        <v>8536800.4044000003</v>
      </c>
      <c r="E620" s="17">
        <f t="shared" si="9"/>
        <v>8536800.4044000003</v>
      </c>
      <c r="F620" s="18"/>
      <c r="G620" s="18"/>
      <c r="H620" s="19"/>
      <c r="I620" s="19"/>
      <c r="J620" s="19"/>
      <c r="K620" s="19"/>
      <c r="L620" s="18"/>
      <c r="M620" s="18"/>
      <c r="N620" s="19"/>
      <c r="O620" s="19"/>
      <c r="P620" s="19"/>
    </row>
    <row r="621" spans="1:16" ht="17.649999999999999">
      <c r="A621" s="14">
        <v>616</v>
      </c>
      <c r="B621" s="15" t="s">
        <v>103</v>
      </c>
      <c r="C621" s="15" t="s">
        <v>594</v>
      </c>
      <c r="D621" s="16">
        <v>9236496.3023000006</v>
      </c>
      <c r="E621" s="17">
        <f t="shared" si="9"/>
        <v>9236496.3023000006</v>
      </c>
      <c r="F621" s="18"/>
      <c r="G621" s="18"/>
      <c r="H621" s="19"/>
      <c r="I621" s="19"/>
      <c r="J621" s="19"/>
      <c r="K621" s="19"/>
      <c r="L621" s="18"/>
      <c r="M621" s="18"/>
      <c r="N621" s="19"/>
      <c r="O621" s="19"/>
      <c r="P621" s="19"/>
    </row>
    <row r="622" spans="1:16" ht="17.649999999999999">
      <c r="A622" s="14">
        <v>617</v>
      </c>
      <c r="B622" s="15" t="s">
        <v>103</v>
      </c>
      <c r="C622" s="15" t="s">
        <v>596</v>
      </c>
      <c r="D622" s="16">
        <v>8383652.3125</v>
      </c>
      <c r="E622" s="17">
        <f t="shared" si="9"/>
        <v>8383652.3125</v>
      </c>
      <c r="F622" s="18"/>
      <c r="G622" s="18"/>
      <c r="H622" s="19"/>
      <c r="I622" s="19"/>
      <c r="J622" s="19"/>
      <c r="K622" s="19"/>
      <c r="L622" s="18"/>
      <c r="M622" s="18"/>
      <c r="N622" s="19"/>
      <c r="O622" s="19"/>
      <c r="P622" s="19"/>
    </row>
    <row r="623" spans="1:16" ht="17.649999999999999">
      <c r="A623" s="14">
        <v>618</v>
      </c>
      <c r="B623" s="15" t="s">
        <v>103</v>
      </c>
      <c r="C623" s="15" t="s">
        <v>598</v>
      </c>
      <c r="D623" s="16">
        <v>10308877.0021</v>
      </c>
      <c r="E623" s="17">
        <f t="shared" si="9"/>
        <v>10308877.0021</v>
      </c>
      <c r="F623" s="18"/>
      <c r="G623" s="18"/>
      <c r="H623" s="19"/>
      <c r="I623" s="19"/>
      <c r="J623" s="19"/>
      <c r="K623" s="19"/>
      <c r="L623" s="18"/>
      <c r="M623" s="18"/>
      <c r="N623" s="19"/>
      <c r="O623" s="19"/>
      <c r="P623" s="19"/>
    </row>
    <row r="624" spans="1:16" ht="17.649999999999999">
      <c r="A624" s="14">
        <v>619</v>
      </c>
      <c r="B624" s="15" t="s">
        <v>103</v>
      </c>
      <c r="C624" s="15" t="s">
        <v>600</v>
      </c>
      <c r="D624" s="16">
        <v>8548775.4803999998</v>
      </c>
      <c r="E624" s="17">
        <f t="shared" si="9"/>
        <v>8548775.4803999998</v>
      </c>
      <c r="F624" s="18"/>
      <c r="G624" s="18"/>
      <c r="H624" s="19"/>
      <c r="I624" s="19"/>
      <c r="J624" s="19"/>
      <c r="K624" s="19"/>
      <c r="L624" s="18"/>
      <c r="M624" s="18"/>
      <c r="N624" s="19"/>
      <c r="O624" s="19"/>
      <c r="P624" s="19"/>
    </row>
    <row r="625" spans="1:16" ht="17.649999999999999">
      <c r="A625" s="14">
        <v>620</v>
      </c>
      <c r="B625" s="15" t="s">
        <v>103</v>
      </c>
      <c r="C625" s="15" t="s">
        <v>602</v>
      </c>
      <c r="D625" s="16">
        <v>11262905.317600001</v>
      </c>
      <c r="E625" s="17">
        <f t="shared" si="9"/>
        <v>11262905.317600001</v>
      </c>
      <c r="F625" s="18"/>
      <c r="G625" s="18"/>
      <c r="H625" s="19"/>
      <c r="I625" s="19"/>
      <c r="J625" s="19"/>
      <c r="K625" s="19"/>
      <c r="L625" s="18"/>
      <c r="M625" s="18"/>
      <c r="N625" s="19"/>
      <c r="O625" s="19"/>
      <c r="P625" s="19"/>
    </row>
    <row r="626" spans="1:16" ht="17.649999999999999">
      <c r="A626" s="14">
        <v>621</v>
      </c>
      <c r="B626" s="15" t="s">
        <v>103</v>
      </c>
      <c r="C626" s="15" t="s">
        <v>604</v>
      </c>
      <c r="D626" s="16">
        <v>7709196.0778000001</v>
      </c>
      <c r="E626" s="17">
        <f t="shared" si="9"/>
        <v>7709196.0778000001</v>
      </c>
      <c r="F626" s="18"/>
      <c r="G626" s="18"/>
      <c r="H626" s="19"/>
      <c r="I626" s="19"/>
      <c r="J626" s="19"/>
      <c r="K626" s="19"/>
      <c r="L626" s="18"/>
      <c r="M626" s="18"/>
      <c r="N626" s="19"/>
      <c r="O626" s="19"/>
      <c r="P626" s="19"/>
    </row>
    <row r="627" spans="1:16" ht="17.649999999999999">
      <c r="A627" s="14">
        <v>622</v>
      </c>
      <c r="B627" s="15" t="s">
        <v>103</v>
      </c>
      <c r="C627" s="15" t="s">
        <v>606</v>
      </c>
      <c r="D627" s="16">
        <v>9324640.2370999996</v>
      </c>
      <c r="E627" s="17">
        <f t="shared" si="9"/>
        <v>9324640.2370999996</v>
      </c>
      <c r="F627" s="18"/>
      <c r="G627" s="18"/>
      <c r="H627" s="19"/>
      <c r="I627" s="19"/>
      <c r="J627" s="19"/>
      <c r="K627" s="19"/>
      <c r="L627" s="18"/>
      <c r="M627" s="18"/>
      <c r="N627" s="19"/>
      <c r="O627" s="19"/>
      <c r="P627" s="19"/>
    </row>
    <row r="628" spans="1:16" ht="17.649999999999999">
      <c r="A628" s="14">
        <v>623</v>
      </c>
      <c r="B628" s="15" t="s">
        <v>103</v>
      </c>
      <c r="C628" s="15" t="s">
        <v>608</v>
      </c>
      <c r="D628" s="16">
        <v>9354538.3430000003</v>
      </c>
      <c r="E628" s="17">
        <f t="shared" si="9"/>
        <v>9354538.3430000003</v>
      </c>
      <c r="F628" s="18"/>
      <c r="G628" s="18"/>
      <c r="H628" s="19"/>
      <c r="I628" s="19"/>
      <c r="J628" s="19"/>
      <c r="K628" s="19"/>
      <c r="L628" s="18"/>
      <c r="M628" s="18"/>
      <c r="N628" s="19"/>
      <c r="O628" s="19"/>
      <c r="P628" s="19"/>
    </row>
    <row r="629" spans="1:16" ht="17.649999999999999">
      <c r="A629" s="14">
        <v>624</v>
      </c>
      <c r="B629" s="15" t="s">
        <v>103</v>
      </c>
      <c r="C629" s="15" t="s">
        <v>610</v>
      </c>
      <c r="D629" s="16">
        <v>8243458.5968000004</v>
      </c>
      <c r="E629" s="17">
        <f t="shared" si="9"/>
        <v>8243458.5968000004</v>
      </c>
      <c r="F629" s="18"/>
      <c r="G629" s="18"/>
      <c r="H629" s="19"/>
      <c r="I629" s="19"/>
      <c r="J629" s="19"/>
      <c r="K629" s="19"/>
      <c r="L629" s="18"/>
      <c r="M629" s="18"/>
      <c r="N629" s="19"/>
      <c r="O629" s="19"/>
      <c r="P629" s="19"/>
    </row>
    <row r="630" spans="1:16" ht="17.649999999999999">
      <c r="A630" s="14">
        <v>625</v>
      </c>
      <c r="B630" s="15" t="s">
        <v>103</v>
      </c>
      <c r="C630" s="15" t="s">
        <v>612</v>
      </c>
      <c r="D630" s="16">
        <v>9171464.8961999994</v>
      </c>
      <c r="E630" s="17">
        <f t="shared" si="9"/>
        <v>9171464.8961999994</v>
      </c>
      <c r="F630" s="18"/>
      <c r="G630" s="18"/>
      <c r="H630" s="19"/>
      <c r="I630" s="19"/>
      <c r="J630" s="19"/>
      <c r="K630" s="19"/>
      <c r="L630" s="18"/>
      <c r="M630" s="18"/>
      <c r="N630" s="19"/>
      <c r="O630" s="19"/>
      <c r="P630" s="19"/>
    </row>
    <row r="631" spans="1:16" ht="17.649999999999999">
      <c r="A631" s="14">
        <v>626</v>
      </c>
      <c r="B631" s="15" t="s">
        <v>104</v>
      </c>
      <c r="C631" s="15" t="s">
        <v>616</v>
      </c>
      <c r="D631" s="16">
        <v>9026464.9913999997</v>
      </c>
      <c r="E631" s="17">
        <f t="shared" si="9"/>
        <v>9026464.9913999997</v>
      </c>
      <c r="F631" s="18"/>
      <c r="G631" s="18"/>
      <c r="H631" s="19"/>
      <c r="I631" s="19"/>
      <c r="J631" s="19"/>
      <c r="K631" s="19"/>
      <c r="L631" s="18"/>
      <c r="M631" s="18"/>
      <c r="N631" s="19"/>
      <c r="O631" s="19"/>
      <c r="P631" s="19"/>
    </row>
    <row r="632" spans="1:16" ht="17.649999999999999">
      <c r="A632" s="14">
        <v>627</v>
      </c>
      <c r="B632" s="15" t="s">
        <v>104</v>
      </c>
      <c r="C632" s="15" t="s">
        <v>618</v>
      </c>
      <c r="D632" s="16">
        <v>10482418.626</v>
      </c>
      <c r="E632" s="17">
        <f t="shared" si="9"/>
        <v>10482418.626</v>
      </c>
      <c r="F632" s="18"/>
      <c r="G632" s="18"/>
      <c r="H632" s="19"/>
      <c r="I632" s="19"/>
      <c r="J632" s="19"/>
      <c r="K632" s="19"/>
      <c r="L632" s="18"/>
      <c r="M632" s="18"/>
      <c r="N632" s="19"/>
      <c r="O632" s="19"/>
      <c r="P632" s="19"/>
    </row>
    <row r="633" spans="1:16" ht="17.649999999999999">
      <c r="A633" s="14">
        <v>628</v>
      </c>
      <c r="B633" s="15" t="s">
        <v>104</v>
      </c>
      <c r="C633" s="15" t="s">
        <v>620</v>
      </c>
      <c r="D633" s="16">
        <v>10441634.357999999</v>
      </c>
      <c r="E633" s="17">
        <f t="shared" si="9"/>
        <v>10441634.357999999</v>
      </c>
      <c r="F633" s="18"/>
      <c r="G633" s="18"/>
      <c r="H633" s="19"/>
      <c r="I633" s="19"/>
      <c r="J633" s="19"/>
      <c r="K633" s="19"/>
      <c r="L633" s="18"/>
      <c r="M633" s="18"/>
      <c r="N633" s="19"/>
      <c r="O633" s="19"/>
      <c r="P633" s="19"/>
    </row>
    <row r="634" spans="1:16" ht="17.649999999999999">
      <c r="A634" s="14">
        <v>629</v>
      </c>
      <c r="B634" s="15" t="s">
        <v>104</v>
      </c>
      <c r="C634" s="15" t="s">
        <v>622</v>
      </c>
      <c r="D634" s="16">
        <v>11186982.699100001</v>
      </c>
      <c r="E634" s="17">
        <f t="shared" si="9"/>
        <v>11186982.699100001</v>
      </c>
      <c r="F634" s="18"/>
      <c r="G634" s="18"/>
      <c r="H634" s="19"/>
      <c r="I634" s="19"/>
      <c r="J634" s="19"/>
      <c r="K634" s="19"/>
      <c r="L634" s="18"/>
      <c r="M634" s="18"/>
      <c r="N634" s="19"/>
      <c r="O634" s="19"/>
      <c r="P634" s="19"/>
    </row>
    <row r="635" spans="1:16" ht="17.649999999999999">
      <c r="A635" s="14">
        <v>630</v>
      </c>
      <c r="B635" s="15" t="s">
        <v>104</v>
      </c>
      <c r="C635" s="15" t="s">
        <v>624</v>
      </c>
      <c r="D635" s="16">
        <v>11350316.176899999</v>
      </c>
      <c r="E635" s="17">
        <f t="shared" si="9"/>
        <v>11350316.176899999</v>
      </c>
      <c r="F635" s="18"/>
      <c r="G635" s="18"/>
      <c r="H635" s="19"/>
      <c r="I635" s="19"/>
      <c r="J635" s="19"/>
      <c r="K635" s="19"/>
      <c r="L635" s="18"/>
      <c r="M635" s="18"/>
      <c r="N635" s="19"/>
      <c r="O635" s="19"/>
      <c r="P635" s="19"/>
    </row>
    <row r="636" spans="1:16" ht="17.649999999999999">
      <c r="A636" s="14">
        <v>631</v>
      </c>
      <c r="B636" s="15" t="s">
        <v>104</v>
      </c>
      <c r="C636" s="15" t="s">
        <v>625</v>
      </c>
      <c r="D636" s="16">
        <v>11665814.6567</v>
      </c>
      <c r="E636" s="17">
        <f t="shared" si="9"/>
        <v>11665814.6567</v>
      </c>
      <c r="F636" s="18"/>
      <c r="G636" s="18"/>
      <c r="H636" s="19"/>
      <c r="I636" s="19"/>
      <c r="J636" s="19"/>
      <c r="K636" s="19"/>
      <c r="L636" s="18"/>
      <c r="M636" s="18"/>
      <c r="N636" s="19"/>
      <c r="O636" s="19"/>
      <c r="P636" s="19"/>
    </row>
    <row r="637" spans="1:16" ht="35.25">
      <c r="A637" s="14">
        <v>632</v>
      </c>
      <c r="B637" s="15" t="s">
        <v>104</v>
      </c>
      <c r="C637" s="15" t="s">
        <v>628</v>
      </c>
      <c r="D637" s="16">
        <v>12647380.2884</v>
      </c>
      <c r="E637" s="17">
        <f t="shared" si="9"/>
        <v>12647380.2884</v>
      </c>
      <c r="F637" s="18"/>
      <c r="G637" s="18"/>
      <c r="H637" s="19"/>
      <c r="I637" s="19"/>
      <c r="J637" s="19"/>
      <c r="K637" s="19"/>
      <c r="L637" s="18"/>
      <c r="M637" s="18"/>
      <c r="N637" s="19"/>
      <c r="O637" s="19"/>
      <c r="P637" s="19"/>
    </row>
    <row r="638" spans="1:16" ht="35.25">
      <c r="A638" s="14">
        <v>633</v>
      </c>
      <c r="B638" s="15" t="s">
        <v>104</v>
      </c>
      <c r="C638" s="15" t="s">
        <v>630</v>
      </c>
      <c r="D638" s="16">
        <v>9308007.7496000007</v>
      </c>
      <c r="E638" s="17">
        <f t="shared" si="9"/>
        <v>9308007.7496000007</v>
      </c>
      <c r="F638" s="18"/>
      <c r="G638" s="18"/>
      <c r="H638" s="19"/>
      <c r="I638" s="19"/>
      <c r="J638" s="19"/>
      <c r="K638" s="19"/>
      <c r="L638" s="18"/>
      <c r="M638" s="18"/>
      <c r="N638" s="19"/>
      <c r="O638" s="19"/>
      <c r="P638" s="19"/>
    </row>
    <row r="639" spans="1:16" ht="35.25">
      <c r="A639" s="14">
        <v>634</v>
      </c>
      <c r="B639" s="15" t="s">
        <v>104</v>
      </c>
      <c r="C639" s="15" t="s">
        <v>632</v>
      </c>
      <c r="D639" s="16">
        <v>11046640.8324</v>
      </c>
      <c r="E639" s="17">
        <f t="shared" si="9"/>
        <v>11046640.8324</v>
      </c>
      <c r="F639" s="18"/>
      <c r="G639" s="18"/>
      <c r="H639" s="19"/>
      <c r="I639" s="19"/>
      <c r="J639" s="19"/>
      <c r="K639" s="19"/>
      <c r="L639" s="18"/>
      <c r="M639" s="18"/>
      <c r="N639" s="19"/>
      <c r="O639" s="19"/>
      <c r="P639" s="19"/>
    </row>
    <row r="640" spans="1:16" ht="35.25">
      <c r="A640" s="14">
        <v>635</v>
      </c>
      <c r="B640" s="15" t="s">
        <v>104</v>
      </c>
      <c r="C640" s="15" t="s">
        <v>634</v>
      </c>
      <c r="D640" s="16">
        <v>11565325.3347</v>
      </c>
      <c r="E640" s="17">
        <f t="shared" si="9"/>
        <v>11565325.3347</v>
      </c>
      <c r="F640" s="18"/>
      <c r="G640" s="18"/>
      <c r="H640" s="19"/>
      <c r="I640" s="19"/>
      <c r="J640" s="19"/>
      <c r="K640" s="19"/>
      <c r="L640" s="18"/>
      <c r="M640" s="18"/>
      <c r="N640" s="19"/>
      <c r="O640" s="19"/>
      <c r="P640" s="19"/>
    </row>
    <row r="641" spans="1:16" ht="35.25">
      <c r="A641" s="14">
        <v>636</v>
      </c>
      <c r="B641" s="15" t="s">
        <v>104</v>
      </c>
      <c r="C641" s="15" t="s">
        <v>636</v>
      </c>
      <c r="D641" s="16">
        <v>8364457.1819000002</v>
      </c>
      <c r="E641" s="17">
        <f t="shared" si="9"/>
        <v>8364457.1819000002</v>
      </c>
      <c r="F641" s="18"/>
      <c r="G641" s="18"/>
      <c r="H641" s="19"/>
      <c r="I641" s="19"/>
      <c r="J641" s="19"/>
      <c r="K641" s="19"/>
      <c r="L641" s="18"/>
      <c r="M641" s="18"/>
      <c r="N641" s="19"/>
      <c r="O641" s="19"/>
      <c r="P641" s="19"/>
    </row>
    <row r="642" spans="1:16" ht="17.649999999999999">
      <c r="A642" s="14">
        <v>637</v>
      </c>
      <c r="B642" s="15" t="s">
        <v>104</v>
      </c>
      <c r="C642" s="15" t="s">
        <v>638</v>
      </c>
      <c r="D642" s="16">
        <v>8723128.3999000005</v>
      </c>
      <c r="E642" s="17">
        <f t="shared" si="9"/>
        <v>8723128.3999000005</v>
      </c>
      <c r="F642" s="18"/>
      <c r="G642" s="18"/>
      <c r="H642" s="19"/>
      <c r="I642" s="19"/>
      <c r="J642" s="19"/>
      <c r="K642" s="19"/>
      <c r="L642" s="18"/>
      <c r="M642" s="18"/>
      <c r="N642" s="19"/>
      <c r="O642" s="19"/>
      <c r="P642" s="19"/>
    </row>
    <row r="643" spans="1:16" ht="17.649999999999999">
      <c r="A643" s="14">
        <v>638</v>
      </c>
      <c r="B643" s="15" t="s">
        <v>104</v>
      </c>
      <c r="C643" s="15" t="s">
        <v>640</v>
      </c>
      <c r="D643" s="16">
        <v>8551310.5437000003</v>
      </c>
      <c r="E643" s="17">
        <f t="shared" si="9"/>
        <v>8551310.5437000003</v>
      </c>
      <c r="F643" s="18"/>
      <c r="G643" s="18"/>
      <c r="H643" s="19"/>
      <c r="I643" s="19"/>
      <c r="J643" s="19"/>
      <c r="K643" s="19"/>
      <c r="L643" s="18"/>
      <c r="M643" s="18"/>
      <c r="N643" s="19"/>
      <c r="O643" s="19"/>
      <c r="P643" s="19"/>
    </row>
    <row r="644" spans="1:16" ht="17.649999999999999">
      <c r="A644" s="14">
        <v>639</v>
      </c>
      <c r="B644" s="15" t="s">
        <v>104</v>
      </c>
      <c r="C644" s="15" t="s">
        <v>642</v>
      </c>
      <c r="D644" s="16">
        <v>12700953.362400001</v>
      </c>
      <c r="E644" s="17">
        <f t="shared" si="9"/>
        <v>12700953.362400001</v>
      </c>
      <c r="F644" s="18"/>
      <c r="G644" s="18"/>
      <c r="H644" s="19"/>
      <c r="I644" s="19"/>
      <c r="J644" s="19"/>
      <c r="K644" s="19"/>
      <c r="L644" s="18"/>
      <c r="M644" s="18"/>
      <c r="N644" s="19"/>
      <c r="O644" s="19"/>
      <c r="P644" s="19"/>
    </row>
    <row r="645" spans="1:16" ht="17.649999999999999">
      <c r="A645" s="14">
        <v>640</v>
      </c>
      <c r="B645" s="15" t="s">
        <v>104</v>
      </c>
      <c r="C645" s="15" t="s">
        <v>644</v>
      </c>
      <c r="D645" s="16">
        <v>8660863.6344000008</v>
      </c>
      <c r="E645" s="17">
        <f t="shared" si="9"/>
        <v>8660863.6344000008</v>
      </c>
      <c r="F645" s="18"/>
      <c r="G645" s="18"/>
      <c r="H645" s="19"/>
      <c r="I645" s="19"/>
      <c r="J645" s="19"/>
      <c r="K645" s="19"/>
      <c r="L645" s="18"/>
      <c r="M645" s="18"/>
      <c r="N645" s="19"/>
      <c r="O645" s="19"/>
      <c r="P645" s="19"/>
    </row>
    <row r="646" spans="1:16" ht="17.649999999999999">
      <c r="A646" s="14">
        <v>641</v>
      </c>
      <c r="B646" s="15" t="s">
        <v>104</v>
      </c>
      <c r="C646" s="15" t="s">
        <v>646</v>
      </c>
      <c r="D646" s="16">
        <v>9088347.0457000006</v>
      </c>
      <c r="E646" s="17">
        <f t="shared" si="9"/>
        <v>9088347.0457000006</v>
      </c>
      <c r="F646" s="18"/>
      <c r="G646" s="18"/>
      <c r="H646" s="19"/>
      <c r="I646" s="19"/>
      <c r="J646" s="19"/>
      <c r="K646" s="19"/>
      <c r="L646" s="18"/>
      <c r="M646" s="18"/>
      <c r="N646" s="19"/>
      <c r="O646" s="19"/>
      <c r="P646" s="19"/>
    </row>
    <row r="647" spans="1:16" ht="17.649999999999999">
      <c r="A647" s="14">
        <v>642</v>
      </c>
      <c r="B647" s="15" t="s">
        <v>104</v>
      </c>
      <c r="C647" s="15" t="s">
        <v>648</v>
      </c>
      <c r="D647" s="16">
        <v>11874078.7006</v>
      </c>
      <c r="E647" s="17">
        <f t="shared" ref="E647:E710" si="10">D647</f>
        <v>11874078.7006</v>
      </c>
      <c r="F647" s="18"/>
      <c r="G647" s="18"/>
      <c r="H647" s="19"/>
      <c r="I647" s="19"/>
      <c r="J647" s="19"/>
      <c r="K647" s="19"/>
      <c r="L647" s="18"/>
      <c r="M647" s="18"/>
      <c r="N647" s="19"/>
      <c r="O647" s="19"/>
      <c r="P647" s="19"/>
    </row>
    <row r="648" spans="1:16" ht="17.649999999999999">
      <c r="A648" s="14">
        <v>643</v>
      </c>
      <c r="B648" s="15" t="s">
        <v>104</v>
      </c>
      <c r="C648" s="15" t="s">
        <v>650</v>
      </c>
      <c r="D648" s="16">
        <v>10267221.2052</v>
      </c>
      <c r="E648" s="17">
        <f t="shared" si="10"/>
        <v>10267221.2052</v>
      </c>
      <c r="F648" s="18"/>
      <c r="G648" s="18"/>
      <c r="H648" s="19"/>
      <c r="I648" s="19"/>
      <c r="J648" s="19"/>
      <c r="K648" s="19"/>
      <c r="L648" s="18"/>
      <c r="M648" s="18"/>
      <c r="N648" s="19"/>
      <c r="O648" s="19"/>
      <c r="P648" s="19"/>
    </row>
    <row r="649" spans="1:16" ht="17.649999999999999">
      <c r="A649" s="14">
        <v>644</v>
      </c>
      <c r="B649" s="15" t="s">
        <v>104</v>
      </c>
      <c r="C649" s="15" t="s">
        <v>652</v>
      </c>
      <c r="D649" s="16">
        <v>9425459.1835999992</v>
      </c>
      <c r="E649" s="17">
        <f t="shared" si="10"/>
        <v>9425459.1835999992</v>
      </c>
      <c r="F649" s="18"/>
      <c r="G649" s="18"/>
      <c r="H649" s="19"/>
      <c r="I649" s="19"/>
      <c r="J649" s="19"/>
      <c r="K649" s="19"/>
      <c r="L649" s="18"/>
      <c r="M649" s="18"/>
      <c r="N649" s="19"/>
      <c r="O649" s="19"/>
      <c r="P649" s="19"/>
    </row>
    <row r="650" spans="1:16" ht="17.649999999999999">
      <c r="A650" s="14">
        <v>645</v>
      </c>
      <c r="B650" s="15" t="s">
        <v>104</v>
      </c>
      <c r="C650" s="15" t="s">
        <v>654</v>
      </c>
      <c r="D650" s="16">
        <v>8510652.1958000008</v>
      </c>
      <c r="E650" s="17">
        <f t="shared" si="10"/>
        <v>8510652.1958000008</v>
      </c>
      <c r="F650" s="18"/>
      <c r="G650" s="18"/>
      <c r="H650" s="19"/>
      <c r="I650" s="19"/>
      <c r="J650" s="19"/>
      <c r="K650" s="19"/>
      <c r="L650" s="18"/>
      <c r="M650" s="18"/>
      <c r="N650" s="19"/>
      <c r="O650" s="19"/>
      <c r="P650" s="19"/>
    </row>
    <row r="651" spans="1:16" ht="17.649999999999999">
      <c r="A651" s="14">
        <v>646</v>
      </c>
      <c r="B651" s="15" t="s">
        <v>104</v>
      </c>
      <c r="C651" s="15" t="s">
        <v>656</v>
      </c>
      <c r="D651" s="16">
        <v>10510605.338</v>
      </c>
      <c r="E651" s="17">
        <f t="shared" si="10"/>
        <v>10510605.338</v>
      </c>
      <c r="F651" s="18"/>
      <c r="G651" s="18"/>
      <c r="H651" s="19"/>
      <c r="I651" s="19"/>
      <c r="J651" s="19"/>
      <c r="K651" s="19"/>
      <c r="L651" s="18"/>
      <c r="M651" s="18"/>
      <c r="N651" s="19"/>
      <c r="O651" s="19"/>
      <c r="P651" s="19"/>
    </row>
    <row r="652" spans="1:16" ht="17.649999999999999">
      <c r="A652" s="14">
        <v>647</v>
      </c>
      <c r="B652" s="15" t="s">
        <v>104</v>
      </c>
      <c r="C652" s="15" t="s">
        <v>658</v>
      </c>
      <c r="D652" s="16">
        <v>9735601.9510999992</v>
      </c>
      <c r="E652" s="17">
        <f t="shared" si="10"/>
        <v>9735601.9510999992</v>
      </c>
      <c r="F652" s="18"/>
      <c r="G652" s="18"/>
      <c r="H652" s="19"/>
      <c r="I652" s="19"/>
      <c r="J652" s="19"/>
      <c r="K652" s="19"/>
      <c r="L652" s="18"/>
      <c r="M652" s="18"/>
      <c r="N652" s="19"/>
      <c r="O652" s="19"/>
      <c r="P652" s="19"/>
    </row>
    <row r="653" spans="1:16" ht="35.25">
      <c r="A653" s="14">
        <v>648</v>
      </c>
      <c r="B653" s="15" t="s">
        <v>104</v>
      </c>
      <c r="C653" s="15" t="s">
        <v>660</v>
      </c>
      <c r="D653" s="16">
        <v>10078793.731000001</v>
      </c>
      <c r="E653" s="17">
        <f t="shared" si="10"/>
        <v>10078793.731000001</v>
      </c>
      <c r="F653" s="18"/>
      <c r="G653" s="18"/>
      <c r="H653" s="19"/>
      <c r="I653" s="19"/>
      <c r="J653" s="19"/>
      <c r="K653" s="19"/>
      <c r="L653" s="18"/>
      <c r="M653" s="18"/>
      <c r="N653" s="19"/>
      <c r="O653" s="19"/>
      <c r="P653" s="19"/>
    </row>
    <row r="654" spans="1:16" ht="35.25">
      <c r="A654" s="14">
        <v>649</v>
      </c>
      <c r="B654" s="15" t="s">
        <v>104</v>
      </c>
      <c r="C654" s="15" t="s">
        <v>662</v>
      </c>
      <c r="D654" s="16">
        <v>8628182.4587999992</v>
      </c>
      <c r="E654" s="17">
        <f t="shared" si="10"/>
        <v>8628182.4587999992</v>
      </c>
      <c r="F654" s="18"/>
      <c r="G654" s="18"/>
      <c r="H654" s="19"/>
      <c r="I654" s="19"/>
      <c r="J654" s="19"/>
      <c r="K654" s="19"/>
      <c r="L654" s="18"/>
      <c r="M654" s="18"/>
      <c r="N654" s="19"/>
      <c r="O654" s="19"/>
      <c r="P654" s="19"/>
    </row>
    <row r="655" spans="1:16" ht="17.649999999999999">
      <c r="A655" s="14">
        <v>650</v>
      </c>
      <c r="B655" s="15" t="s">
        <v>104</v>
      </c>
      <c r="C655" s="15" t="s">
        <v>664</v>
      </c>
      <c r="D655" s="16">
        <v>7895636.7175000003</v>
      </c>
      <c r="E655" s="17">
        <f t="shared" si="10"/>
        <v>7895636.7175000003</v>
      </c>
      <c r="F655" s="18"/>
      <c r="G655" s="18"/>
      <c r="H655" s="19"/>
      <c r="I655" s="19"/>
      <c r="J655" s="19"/>
      <c r="K655" s="19"/>
      <c r="L655" s="18"/>
      <c r="M655" s="18"/>
      <c r="N655" s="19"/>
      <c r="O655" s="19"/>
      <c r="P655" s="19"/>
    </row>
    <row r="656" spans="1:16" ht="17.649999999999999">
      <c r="A656" s="14">
        <v>651</v>
      </c>
      <c r="B656" s="15" t="s">
        <v>104</v>
      </c>
      <c r="C656" s="15" t="s">
        <v>666</v>
      </c>
      <c r="D656" s="16">
        <v>10466116.187999999</v>
      </c>
      <c r="E656" s="17">
        <f t="shared" si="10"/>
        <v>10466116.187999999</v>
      </c>
      <c r="F656" s="18"/>
      <c r="G656" s="18"/>
      <c r="H656" s="19"/>
      <c r="I656" s="19"/>
      <c r="J656" s="19"/>
      <c r="K656" s="19"/>
      <c r="L656" s="18"/>
      <c r="M656" s="18"/>
      <c r="N656" s="19"/>
      <c r="O656" s="19"/>
      <c r="P656" s="19"/>
    </row>
    <row r="657" spans="1:16" ht="17.649999999999999">
      <c r="A657" s="14">
        <v>652</v>
      </c>
      <c r="B657" s="15" t="s">
        <v>104</v>
      </c>
      <c r="C657" s="15" t="s">
        <v>668</v>
      </c>
      <c r="D657" s="16">
        <v>11403126.1121</v>
      </c>
      <c r="E657" s="17">
        <f t="shared" si="10"/>
        <v>11403126.1121</v>
      </c>
      <c r="F657" s="18"/>
      <c r="G657" s="18"/>
      <c r="H657" s="19"/>
      <c r="I657" s="19"/>
      <c r="J657" s="19"/>
      <c r="K657" s="19"/>
      <c r="L657" s="18"/>
      <c r="M657" s="18"/>
      <c r="N657" s="19"/>
      <c r="O657" s="19"/>
      <c r="P657" s="19"/>
    </row>
    <row r="658" spans="1:16" ht="17.649999999999999">
      <c r="A658" s="14">
        <v>653</v>
      </c>
      <c r="B658" s="15" t="s">
        <v>104</v>
      </c>
      <c r="C658" s="15" t="s">
        <v>670</v>
      </c>
      <c r="D658" s="16">
        <v>8733710.4879999999</v>
      </c>
      <c r="E658" s="17">
        <f t="shared" si="10"/>
        <v>8733710.4879999999</v>
      </c>
      <c r="F658" s="18"/>
      <c r="G658" s="18"/>
      <c r="H658" s="19"/>
      <c r="I658" s="19"/>
      <c r="J658" s="19"/>
      <c r="K658" s="19"/>
      <c r="L658" s="18"/>
      <c r="M658" s="18"/>
      <c r="N658" s="19"/>
      <c r="O658" s="19"/>
      <c r="P658" s="19"/>
    </row>
    <row r="659" spans="1:16" ht="17.649999999999999">
      <c r="A659" s="14">
        <v>654</v>
      </c>
      <c r="B659" s="15" t="s">
        <v>104</v>
      </c>
      <c r="C659" s="15" t="s">
        <v>672</v>
      </c>
      <c r="D659" s="16">
        <v>10503299.0167</v>
      </c>
      <c r="E659" s="17">
        <f t="shared" si="10"/>
        <v>10503299.0167</v>
      </c>
      <c r="F659" s="18"/>
      <c r="G659" s="18"/>
      <c r="H659" s="19"/>
      <c r="I659" s="19"/>
      <c r="J659" s="19"/>
      <c r="K659" s="19"/>
      <c r="L659" s="18"/>
      <c r="M659" s="18"/>
      <c r="N659" s="19"/>
      <c r="O659" s="19"/>
      <c r="P659" s="19"/>
    </row>
    <row r="660" spans="1:16" ht="17.649999999999999">
      <c r="A660" s="14">
        <v>655</v>
      </c>
      <c r="B660" s="15" t="s">
        <v>104</v>
      </c>
      <c r="C660" s="15" t="s">
        <v>674</v>
      </c>
      <c r="D660" s="16">
        <v>8868288.9419</v>
      </c>
      <c r="E660" s="17">
        <f t="shared" si="10"/>
        <v>8868288.9419</v>
      </c>
      <c r="F660" s="18"/>
      <c r="G660" s="18"/>
      <c r="H660" s="19"/>
      <c r="I660" s="19"/>
      <c r="J660" s="19"/>
      <c r="K660" s="19"/>
      <c r="L660" s="18"/>
      <c r="M660" s="18"/>
      <c r="N660" s="19"/>
      <c r="O660" s="19"/>
      <c r="P660" s="19"/>
    </row>
    <row r="661" spans="1:16" ht="17.649999999999999">
      <c r="A661" s="14">
        <v>656</v>
      </c>
      <c r="B661" s="15" t="s">
        <v>104</v>
      </c>
      <c r="C661" s="15" t="s">
        <v>676</v>
      </c>
      <c r="D661" s="16">
        <v>8907002.9853000008</v>
      </c>
      <c r="E661" s="17">
        <f t="shared" si="10"/>
        <v>8907002.9853000008</v>
      </c>
      <c r="F661" s="18"/>
      <c r="G661" s="18"/>
      <c r="H661" s="19"/>
      <c r="I661" s="19"/>
      <c r="J661" s="19"/>
      <c r="K661" s="19"/>
      <c r="L661" s="18"/>
      <c r="M661" s="18"/>
      <c r="N661" s="19"/>
      <c r="O661" s="19"/>
      <c r="P661" s="19"/>
    </row>
    <row r="662" spans="1:16" ht="17.649999999999999">
      <c r="A662" s="14">
        <v>657</v>
      </c>
      <c r="B662" s="15" t="s">
        <v>104</v>
      </c>
      <c r="C662" s="15" t="s">
        <v>678</v>
      </c>
      <c r="D662" s="16">
        <v>8863751.1800999995</v>
      </c>
      <c r="E662" s="17">
        <f t="shared" si="10"/>
        <v>8863751.1800999995</v>
      </c>
      <c r="F662" s="18"/>
      <c r="G662" s="18"/>
      <c r="H662" s="19"/>
      <c r="I662" s="19"/>
      <c r="J662" s="19"/>
      <c r="K662" s="19"/>
      <c r="L662" s="18"/>
      <c r="M662" s="18"/>
      <c r="N662" s="19"/>
      <c r="O662" s="19"/>
      <c r="P662" s="19"/>
    </row>
    <row r="663" spans="1:16" ht="17.649999999999999">
      <c r="A663" s="14">
        <v>658</v>
      </c>
      <c r="B663" s="15" t="s">
        <v>104</v>
      </c>
      <c r="C663" s="15" t="s">
        <v>680</v>
      </c>
      <c r="D663" s="16">
        <v>10217154.375800001</v>
      </c>
      <c r="E663" s="17">
        <f t="shared" si="10"/>
        <v>10217154.375800001</v>
      </c>
      <c r="F663" s="18"/>
      <c r="G663" s="18"/>
      <c r="H663" s="19"/>
      <c r="I663" s="19"/>
      <c r="J663" s="19"/>
      <c r="K663" s="19"/>
      <c r="L663" s="18"/>
      <c r="M663" s="18"/>
      <c r="N663" s="19"/>
      <c r="O663" s="19"/>
      <c r="P663" s="19"/>
    </row>
    <row r="664" spans="1:16" ht="17.649999999999999">
      <c r="A664" s="14">
        <v>659</v>
      </c>
      <c r="B664" s="15" t="s">
        <v>105</v>
      </c>
      <c r="C664" s="15" t="s">
        <v>684</v>
      </c>
      <c r="D664" s="16">
        <v>12052019.799799999</v>
      </c>
      <c r="E664" s="17">
        <f t="shared" si="10"/>
        <v>12052019.799799999</v>
      </c>
      <c r="F664" s="18"/>
      <c r="G664" s="18"/>
      <c r="H664" s="19"/>
      <c r="I664" s="19"/>
      <c r="J664" s="19"/>
      <c r="K664" s="19"/>
      <c r="L664" s="18"/>
      <c r="M664" s="18"/>
      <c r="N664" s="19"/>
      <c r="O664" s="19"/>
      <c r="P664" s="19"/>
    </row>
    <row r="665" spans="1:16" ht="17.649999999999999">
      <c r="A665" s="14">
        <v>660</v>
      </c>
      <c r="B665" s="15" t="s">
        <v>105</v>
      </c>
      <c r="C665" s="15" t="s">
        <v>279</v>
      </c>
      <c r="D665" s="16">
        <v>12157520.654200001</v>
      </c>
      <c r="E665" s="17">
        <f t="shared" si="10"/>
        <v>12157520.654200001</v>
      </c>
      <c r="F665" s="18"/>
      <c r="G665" s="18"/>
      <c r="H665" s="19"/>
      <c r="I665" s="19"/>
      <c r="J665" s="19"/>
      <c r="K665" s="19"/>
      <c r="L665" s="18"/>
      <c r="M665" s="18"/>
      <c r="N665" s="19"/>
      <c r="O665" s="19"/>
      <c r="P665" s="19"/>
    </row>
    <row r="666" spans="1:16" ht="17.649999999999999">
      <c r="A666" s="14">
        <v>661</v>
      </c>
      <c r="B666" s="15" t="s">
        <v>105</v>
      </c>
      <c r="C666" s="15" t="s">
        <v>687</v>
      </c>
      <c r="D666" s="16">
        <v>12104542.9388</v>
      </c>
      <c r="E666" s="17">
        <f t="shared" si="10"/>
        <v>12104542.9388</v>
      </c>
      <c r="F666" s="18"/>
      <c r="G666" s="18"/>
      <c r="H666" s="19"/>
      <c r="I666" s="19"/>
      <c r="J666" s="19"/>
      <c r="K666" s="19"/>
      <c r="L666" s="18"/>
      <c r="M666" s="18"/>
      <c r="N666" s="19"/>
      <c r="O666" s="19"/>
      <c r="P666" s="19"/>
    </row>
    <row r="667" spans="1:16" ht="17.649999999999999">
      <c r="A667" s="14">
        <v>662</v>
      </c>
      <c r="B667" s="15" t="s">
        <v>105</v>
      </c>
      <c r="C667" s="15" t="s">
        <v>689</v>
      </c>
      <c r="D667" s="16">
        <v>9189678.4175000004</v>
      </c>
      <c r="E667" s="17">
        <f t="shared" si="10"/>
        <v>9189678.4175000004</v>
      </c>
      <c r="F667" s="18"/>
      <c r="G667" s="18"/>
      <c r="H667" s="19"/>
      <c r="I667" s="19"/>
      <c r="J667" s="19"/>
      <c r="K667" s="19"/>
      <c r="L667" s="18"/>
      <c r="M667" s="18"/>
      <c r="N667" s="19"/>
      <c r="O667" s="19"/>
      <c r="P667" s="19"/>
    </row>
    <row r="668" spans="1:16" ht="17.649999999999999">
      <c r="A668" s="14">
        <v>663</v>
      </c>
      <c r="B668" s="15" t="s">
        <v>105</v>
      </c>
      <c r="C668" s="15" t="s">
        <v>691</v>
      </c>
      <c r="D668" s="16">
        <v>15988786.267000001</v>
      </c>
      <c r="E668" s="17">
        <f t="shared" si="10"/>
        <v>15988786.267000001</v>
      </c>
      <c r="F668" s="18"/>
      <c r="G668" s="18"/>
      <c r="H668" s="19"/>
      <c r="I668" s="19"/>
      <c r="J668" s="19"/>
      <c r="K668" s="19"/>
      <c r="L668" s="18"/>
      <c r="M668" s="18"/>
      <c r="N668" s="19"/>
      <c r="O668" s="19"/>
      <c r="P668" s="19"/>
    </row>
    <row r="669" spans="1:16" ht="17.649999999999999">
      <c r="A669" s="14">
        <v>664</v>
      </c>
      <c r="B669" s="15" t="s">
        <v>105</v>
      </c>
      <c r="C669" s="15" t="s">
        <v>693</v>
      </c>
      <c r="D669" s="16">
        <v>13826232.181299999</v>
      </c>
      <c r="E669" s="17">
        <f t="shared" si="10"/>
        <v>13826232.181299999</v>
      </c>
      <c r="F669" s="18"/>
      <c r="G669" s="18"/>
      <c r="H669" s="19"/>
      <c r="I669" s="19"/>
      <c r="J669" s="19"/>
      <c r="K669" s="19"/>
      <c r="L669" s="18"/>
      <c r="M669" s="18"/>
      <c r="N669" s="19"/>
      <c r="O669" s="19"/>
      <c r="P669" s="19"/>
    </row>
    <row r="670" spans="1:16" ht="17.649999999999999">
      <c r="A670" s="14">
        <v>665</v>
      </c>
      <c r="B670" s="15" t="s">
        <v>105</v>
      </c>
      <c r="C670" s="15" t="s">
        <v>695</v>
      </c>
      <c r="D670" s="16">
        <v>12137268.052100001</v>
      </c>
      <c r="E670" s="17">
        <f t="shared" si="10"/>
        <v>12137268.052100001</v>
      </c>
      <c r="F670" s="18"/>
      <c r="G670" s="18"/>
      <c r="H670" s="19"/>
      <c r="I670" s="19"/>
      <c r="J670" s="19"/>
      <c r="K670" s="19"/>
      <c r="L670" s="18"/>
      <c r="M670" s="18"/>
      <c r="N670" s="19"/>
      <c r="O670" s="19"/>
      <c r="P670" s="19"/>
    </row>
    <row r="671" spans="1:16" ht="17.649999999999999">
      <c r="A671" s="14">
        <v>666</v>
      </c>
      <c r="B671" s="15" t="s">
        <v>105</v>
      </c>
      <c r="C671" s="15" t="s">
        <v>698</v>
      </c>
      <c r="D671" s="16">
        <v>10719165.5878</v>
      </c>
      <c r="E671" s="17">
        <f t="shared" si="10"/>
        <v>10719165.5878</v>
      </c>
      <c r="F671" s="18"/>
      <c r="G671" s="18"/>
      <c r="H671" s="19"/>
      <c r="I671" s="19"/>
      <c r="J671" s="19"/>
      <c r="K671" s="19"/>
      <c r="L671" s="18"/>
      <c r="M671" s="18"/>
      <c r="N671" s="19"/>
      <c r="O671" s="19"/>
      <c r="P671" s="19"/>
    </row>
    <row r="672" spans="1:16" ht="35.25">
      <c r="A672" s="14">
        <v>667</v>
      </c>
      <c r="B672" s="15" t="s">
        <v>105</v>
      </c>
      <c r="C672" s="15" t="s">
        <v>700</v>
      </c>
      <c r="D672" s="16">
        <v>10994387.918199999</v>
      </c>
      <c r="E672" s="17">
        <f t="shared" si="10"/>
        <v>10994387.918199999</v>
      </c>
      <c r="F672" s="18"/>
      <c r="G672" s="18"/>
      <c r="H672" s="19"/>
      <c r="I672" s="19"/>
      <c r="J672" s="19"/>
      <c r="K672" s="19"/>
      <c r="L672" s="18"/>
      <c r="M672" s="18"/>
      <c r="N672" s="19"/>
      <c r="O672" s="19"/>
      <c r="P672" s="19"/>
    </row>
    <row r="673" spans="1:16" ht="35.25">
      <c r="A673" s="14">
        <v>668</v>
      </c>
      <c r="B673" s="15" t="s">
        <v>105</v>
      </c>
      <c r="C673" s="15" t="s">
        <v>702</v>
      </c>
      <c r="D673" s="16">
        <v>10429770.2809</v>
      </c>
      <c r="E673" s="17">
        <f t="shared" si="10"/>
        <v>10429770.2809</v>
      </c>
      <c r="F673" s="18"/>
      <c r="G673" s="18"/>
      <c r="H673" s="19"/>
      <c r="I673" s="19"/>
      <c r="J673" s="19"/>
      <c r="K673" s="19"/>
      <c r="L673" s="18"/>
      <c r="M673" s="18"/>
      <c r="N673" s="19"/>
      <c r="O673" s="19"/>
      <c r="P673" s="19"/>
    </row>
    <row r="674" spans="1:16" ht="17.649999999999999">
      <c r="A674" s="14">
        <v>669</v>
      </c>
      <c r="B674" s="15" t="s">
        <v>105</v>
      </c>
      <c r="C674" s="15" t="s">
        <v>704</v>
      </c>
      <c r="D674" s="16">
        <v>14410080.304500001</v>
      </c>
      <c r="E674" s="17">
        <f t="shared" si="10"/>
        <v>14410080.304500001</v>
      </c>
      <c r="F674" s="18"/>
      <c r="G674" s="18"/>
      <c r="H674" s="19"/>
      <c r="I674" s="19"/>
      <c r="J674" s="19"/>
      <c r="K674" s="19"/>
      <c r="L674" s="18"/>
      <c r="M674" s="18"/>
      <c r="N674" s="19"/>
      <c r="O674" s="19"/>
      <c r="P674" s="19"/>
    </row>
    <row r="675" spans="1:16" ht="17.649999999999999">
      <c r="A675" s="14">
        <v>670</v>
      </c>
      <c r="B675" s="15" t="s">
        <v>105</v>
      </c>
      <c r="C675" s="15" t="s">
        <v>706</v>
      </c>
      <c r="D675" s="16">
        <v>9701620.2179000005</v>
      </c>
      <c r="E675" s="17">
        <f t="shared" si="10"/>
        <v>9701620.2179000005</v>
      </c>
      <c r="F675" s="18"/>
      <c r="G675" s="18"/>
      <c r="H675" s="19"/>
      <c r="I675" s="19"/>
      <c r="J675" s="19"/>
      <c r="K675" s="19"/>
      <c r="L675" s="18"/>
      <c r="M675" s="18"/>
      <c r="N675" s="19"/>
      <c r="O675" s="19"/>
      <c r="P675" s="19"/>
    </row>
    <row r="676" spans="1:16" ht="17.649999999999999">
      <c r="A676" s="14">
        <v>671</v>
      </c>
      <c r="B676" s="15" t="s">
        <v>105</v>
      </c>
      <c r="C676" s="15" t="s">
        <v>707</v>
      </c>
      <c r="D676" s="16">
        <v>12951850.7212</v>
      </c>
      <c r="E676" s="17">
        <f t="shared" si="10"/>
        <v>12951850.7212</v>
      </c>
      <c r="F676" s="18"/>
      <c r="G676" s="18"/>
      <c r="H676" s="19"/>
      <c r="I676" s="19"/>
      <c r="J676" s="19"/>
      <c r="K676" s="19"/>
      <c r="L676" s="18"/>
      <c r="M676" s="18"/>
      <c r="N676" s="19"/>
      <c r="O676" s="19"/>
      <c r="P676" s="19"/>
    </row>
    <row r="677" spans="1:16" ht="17.649999999999999">
      <c r="A677" s="14">
        <v>672</v>
      </c>
      <c r="B677" s="15" t="s">
        <v>105</v>
      </c>
      <c r="C677" s="15" t="s">
        <v>709</v>
      </c>
      <c r="D677" s="16">
        <v>12933118.061899999</v>
      </c>
      <c r="E677" s="17">
        <f t="shared" si="10"/>
        <v>12933118.061899999</v>
      </c>
      <c r="F677" s="18"/>
      <c r="G677" s="18"/>
      <c r="H677" s="19"/>
      <c r="I677" s="19"/>
      <c r="J677" s="19"/>
      <c r="K677" s="19"/>
      <c r="L677" s="18"/>
      <c r="M677" s="18"/>
      <c r="N677" s="19"/>
      <c r="O677" s="19"/>
      <c r="P677" s="19"/>
    </row>
    <row r="678" spans="1:16" ht="17.649999999999999">
      <c r="A678" s="14">
        <v>673</v>
      </c>
      <c r="B678" s="15" t="s">
        <v>105</v>
      </c>
      <c r="C678" s="15" t="s">
        <v>711</v>
      </c>
      <c r="D678" s="16">
        <v>10220736.289000001</v>
      </c>
      <c r="E678" s="17">
        <f t="shared" si="10"/>
        <v>10220736.289000001</v>
      </c>
      <c r="F678" s="18"/>
      <c r="G678" s="18"/>
      <c r="H678" s="19"/>
      <c r="I678" s="19"/>
      <c r="J678" s="19"/>
      <c r="K678" s="19"/>
      <c r="L678" s="18"/>
      <c r="M678" s="18"/>
      <c r="N678" s="19"/>
      <c r="O678" s="19"/>
      <c r="P678" s="19"/>
    </row>
    <row r="679" spans="1:16" ht="17.649999999999999">
      <c r="A679" s="14">
        <v>674</v>
      </c>
      <c r="B679" s="15" t="s">
        <v>105</v>
      </c>
      <c r="C679" s="15" t="s">
        <v>713</v>
      </c>
      <c r="D679" s="16">
        <v>13023074.3991</v>
      </c>
      <c r="E679" s="17">
        <f t="shared" si="10"/>
        <v>13023074.3991</v>
      </c>
      <c r="F679" s="18"/>
      <c r="G679" s="18"/>
      <c r="H679" s="19"/>
      <c r="I679" s="19"/>
      <c r="J679" s="19"/>
      <c r="K679" s="19"/>
      <c r="L679" s="18"/>
      <c r="M679" s="18"/>
      <c r="N679" s="19"/>
      <c r="O679" s="19"/>
      <c r="P679" s="19"/>
    </row>
    <row r="680" spans="1:16" ht="17.649999999999999">
      <c r="A680" s="14">
        <v>675</v>
      </c>
      <c r="B680" s="15" t="s">
        <v>105</v>
      </c>
      <c r="C680" s="15" t="s">
        <v>715</v>
      </c>
      <c r="D680" s="16">
        <v>13837074.5221</v>
      </c>
      <c r="E680" s="17">
        <f t="shared" si="10"/>
        <v>13837074.5221</v>
      </c>
      <c r="F680" s="18"/>
      <c r="G680" s="18"/>
      <c r="H680" s="19"/>
      <c r="I680" s="19"/>
      <c r="J680" s="19"/>
      <c r="K680" s="19"/>
      <c r="L680" s="18"/>
      <c r="M680" s="18"/>
      <c r="N680" s="19"/>
      <c r="O680" s="19"/>
      <c r="P680" s="19"/>
    </row>
    <row r="681" spans="1:16" ht="17.649999999999999">
      <c r="A681" s="14">
        <v>676</v>
      </c>
      <c r="B681" s="15" t="s">
        <v>106</v>
      </c>
      <c r="C681" s="15" t="s">
        <v>719</v>
      </c>
      <c r="D681" s="16">
        <v>9206588.4845000003</v>
      </c>
      <c r="E681" s="17">
        <f t="shared" si="10"/>
        <v>9206588.4845000003</v>
      </c>
      <c r="F681" s="18"/>
      <c r="G681" s="18"/>
      <c r="H681" s="19"/>
      <c r="I681" s="19"/>
      <c r="J681" s="19"/>
      <c r="K681" s="19"/>
      <c r="L681" s="18"/>
      <c r="M681" s="18"/>
      <c r="N681" s="19"/>
      <c r="O681" s="19"/>
      <c r="P681" s="19"/>
    </row>
    <row r="682" spans="1:16" ht="17.649999999999999">
      <c r="A682" s="14">
        <v>677</v>
      </c>
      <c r="B682" s="15" t="s">
        <v>106</v>
      </c>
      <c r="C682" s="15" t="s">
        <v>722</v>
      </c>
      <c r="D682" s="16">
        <v>11502917.304400001</v>
      </c>
      <c r="E682" s="17">
        <f t="shared" si="10"/>
        <v>11502917.304400001</v>
      </c>
      <c r="F682" s="18"/>
      <c r="G682" s="18"/>
      <c r="H682" s="19"/>
      <c r="I682" s="19"/>
      <c r="J682" s="19"/>
      <c r="K682" s="19"/>
      <c r="L682" s="18"/>
      <c r="M682" s="18"/>
      <c r="N682" s="19"/>
      <c r="O682" s="19"/>
      <c r="P682" s="19"/>
    </row>
    <row r="683" spans="1:16" ht="17.649999999999999">
      <c r="A683" s="14">
        <v>678</v>
      </c>
      <c r="B683" s="15" t="s">
        <v>106</v>
      </c>
      <c r="C683" s="15" t="s">
        <v>724</v>
      </c>
      <c r="D683" s="16">
        <v>10596599.661599999</v>
      </c>
      <c r="E683" s="17">
        <f t="shared" si="10"/>
        <v>10596599.661599999</v>
      </c>
      <c r="F683" s="18"/>
      <c r="G683" s="18"/>
      <c r="H683" s="19"/>
      <c r="I683" s="19"/>
      <c r="J683" s="19"/>
      <c r="K683" s="19"/>
      <c r="L683" s="18"/>
      <c r="M683" s="18"/>
      <c r="N683" s="19"/>
      <c r="O683" s="19"/>
      <c r="P683" s="19"/>
    </row>
    <row r="684" spans="1:16" ht="17.649999999999999">
      <c r="A684" s="14">
        <v>679</v>
      </c>
      <c r="B684" s="15" t="s">
        <v>106</v>
      </c>
      <c r="C684" s="15" t="s">
        <v>726</v>
      </c>
      <c r="D684" s="16">
        <v>11311657.823899999</v>
      </c>
      <c r="E684" s="17">
        <f t="shared" si="10"/>
        <v>11311657.823899999</v>
      </c>
      <c r="F684" s="18"/>
      <c r="G684" s="18"/>
      <c r="H684" s="19"/>
      <c r="I684" s="19"/>
      <c r="J684" s="19"/>
      <c r="K684" s="19"/>
      <c r="L684" s="18"/>
      <c r="M684" s="18"/>
      <c r="N684" s="19"/>
      <c r="O684" s="19"/>
      <c r="P684" s="19"/>
    </row>
    <row r="685" spans="1:16" ht="17.649999999999999">
      <c r="A685" s="14">
        <v>680</v>
      </c>
      <c r="B685" s="15" t="s">
        <v>106</v>
      </c>
      <c r="C685" s="15" t="s">
        <v>728</v>
      </c>
      <c r="D685" s="16">
        <v>10500048.430199999</v>
      </c>
      <c r="E685" s="17">
        <f t="shared" si="10"/>
        <v>10500048.430199999</v>
      </c>
      <c r="F685" s="18"/>
      <c r="G685" s="18"/>
      <c r="H685" s="19"/>
      <c r="I685" s="19"/>
      <c r="J685" s="19"/>
      <c r="K685" s="19"/>
      <c r="L685" s="18"/>
      <c r="M685" s="18"/>
      <c r="N685" s="19"/>
      <c r="O685" s="19"/>
      <c r="P685" s="19"/>
    </row>
    <row r="686" spans="1:16" ht="17.649999999999999">
      <c r="A686" s="14">
        <v>681</v>
      </c>
      <c r="B686" s="15" t="s">
        <v>106</v>
      </c>
      <c r="C686" s="15" t="s">
        <v>730</v>
      </c>
      <c r="D686" s="16">
        <v>10498293.889599999</v>
      </c>
      <c r="E686" s="17">
        <f t="shared" si="10"/>
        <v>10498293.889599999</v>
      </c>
      <c r="F686" s="18"/>
      <c r="G686" s="18"/>
      <c r="H686" s="19"/>
      <c r="I686" s="19"/>
      <c r="J686" s="19"/>
      <c r="K686" s="19"/>
      <c r="L686" s="18"/>
      <c r="M686" s="18"/>
      <c r="N686" s="19"/>
      <c r="O686" s="19"/>
      <c r="P686" s="19"/>
    </row>
    <row r="687" spans="1:16" ht="17.649999999999999">
      <c r="A687" s="14">
        <v>682</v>
      </c>
      <c r="B687" s="15" t="s">
        <v>106</v>
      </c>
      <c r="C687" s="15" t="s">
        <v>732</v>
      </c>
      <c r="D687" s="16">
        <v>11377748.3478</v>
      </c>
      <c r="E687" s="17">
        <f t="shared" si="10"/>
        <v>11377748.3478</v>
      </c>
      <c r="F687" s="18"/>
      <c r="G687" s="18"/>
      <c r="H687" s="19"/>
      <c r="I687" s="19"/>
      <c r="J687" s="19"/>
      <c r="K687" s="19"/>
      <c r="L687" s="18"/>
      <c r="M687" s="18"/>
      <c r="N687" s="19"/>
      <c r="O687" s="19"/>
      <c r="P687" s="19"/>
    </row>
    <row r="688" spans="1:16" ht="17.649999999999999">
      <c r="A688" s="14">
        <v>683</v>
      </c>
      <c r="B688" s="15" t="s">
        <v>106</v>
      </c>
      <c r="C688" s="15" t="s">
        <v>734</v>
      </c>
      <c r="D688" s="16">
        <v>11022885.919</v>
      </c>
      <c r="E688" s="17">
        <f t="shared" si="10"/>
        <v>11022885.919</v>
      </c>
      <c r="F688" s="18"/>
      <c r="G688" s="18"/>
      <c r="H688" s="19"/>
      <c r="I688" s="19"/>
      <c r="J688" s="19"/>
      <c r="K688" s="19"/>
      <c r="L688" s="18"/>
      <c r="M688" s="18"/>
      <c r="N688" s="19"/>
      <c r="O688" s="19"/>
      <c r="P688" s="19"/>
    </row>
    <row r="689" spans="1:16" ht="17.649999999999999">
      <c r="A689" s="14">
        <v>684</v>
      </c>
      <c r="B689" s="15" t="s">
        <v>106</v>
      </c>
      <c r="C689" s="15" t="s">
        <v>736</v>
      </c>
      <c r="D689" s="16">
        <v>10513923.1249</v>
      </c>
      <c r="E689" s="17">
        <f t="shared" si="10"/>
        <v>10513923.1249</v>
      </c>
      <c r="F689" s="18"/>
      <c r="G689" s="18"/>
      <c r="H689" s="19"/>
      <c r="I689" s="19"/>
      <c r="J689" s="19"/>
      <c r="K689" s="19"/>
      <c r="L689" s="18"/>
      <c r="M689" s="18"/>
      <c r="N689" s="19"/>
      <c r="O689" s="19"/>
      <c r="P689" s="19"/>
    </row>
    <row r="690" spans="1:16" ht="17.649999999999999">
      <c r="A690" s="14">
        <v>685</v>
      </c>
      <c r="B690" s="15" t="s">
        <v>106</v>
      </c>
      <c r="C690" s="15" t="s">
        <v>738</v>
      </c>
      <c r="D690" s="16">
        <v>12329267.047</v>
      </c>
      <c r="E690" s="17">
        <f t="shared" si="10"/>
        <v>12329267.047</v>
      </c>
      <c r="F690" s="18"/>
      <c r="G690" s="18"/>
      <c r="H690" s="19"/>
      <c r="I690" s="19"/>
      <c r="J690" s="19"/>
      <c r="K690" s="19"/>
      <c r="L690" s="18"/>
      <c r="M690" s="18"/>
      <c r="N690" s="19"/>
      <c r="O690" s="19"/>
      <c r="P690" s="19"/>
    </row>
    <row r="691" spans="1:16" ht="17.649999999999999">
      <c r="A691" s="14">
        <v>686</v>
      </c>
      <c r="B691" s="15" t="s">
        <v>106</v>
      </c>
      <c r="C691" s="15" t="s">
        <v>740</v>
      </c>
      <c r="D691" s="16">
        <v>10980448.8236</v>
      </c>
      <c r="E691" s="17">
        <f t="shared" si="10"/>
        <v>10980448.8236</v>
      </c>
      <c r="F691" s="18"/>
      <c r="G691" s="18"/>
      <c r="H691" s="19"/>
      <c r="I691" s="19"/>
      <c r="J691" s="19"/>
      <c r="K691" s="19"/>
      <c r="L691" s="18"/>
      <c r="M691" s="18"/>
      <c r="N691" s="19"/>
      <c r="O691" s="19"/>
      <c r="P691" s="19"/>
    </row>
    <row r="692" spans="1:16" ht="17.649999999999999">
      <c r="A692" s="14">
        <v>687</v>
      </c>
      <c r="B692" s="15" t="s">
        <v>106</v>
      </c>
      <c r="C692" s="15" t="s">
        <v>742</v>
      </c>
      <c r="D692" s="16">
        <v>10509231.4781</v>
      </c>
      <c r="E692" s="17">
        <f t="shared" si="10"/>
        <v>10509231.4781</v>
      </c>
      <c r="F692" s="18"/>
      <c r="G692" s="18"/>
      <c r="H692" s="19"/>
      <c r="I692" s="19"/>
      <c r="J692" s="19"/>
      <c r="K692" s="19"/>
      <c r="L692" s="18"/>
      <c r="M692" s="18"/>
      <c r="N692" s="19"/>
      <c r="O692" s="19"/>
      <c r="P692" s="19"/>
    </row>
    <row r="693" spans="1:16" ht="17.649999999999999">
      <c r="A693" s="14">
        <v>688</v>
      </c>
      <c r="B693" s="15" t="s">
        <v>106</v>
      </c>
      <c r="C693" s="15" t="s">
        <v>744</v>
      </c>
      <c r="D693" s="16">
        <v>12476284.413899999</v>
      </c>
      <c r="E693" s="17">
        <f t="shared" si="10"/>
        <v>12476284.413899999</v>
      </c>
      <c r="F693" s="18"/>
      <c r="G693" s="18"/>
      <c r="H693" s="19"/>
      <c r="I693" s="19"/>
      <c r="J693" s="19"/>
      <c r="K693" s="19"/>
      <c r="L693" s="18"/>
      <c r="M693" s="18"/>
      <c r="N693" s="19"/>
      <c r="O693" s="19"/>
      <c r="P693" s="19"/>
    </row>
    <row r="694" spans="1:16" ht="17.649999999999999">
      <c r="A694" s="14">
        <v>689</v>
      </c>
      <c r="B694" s="15" t="s">
        <v>106</v>
      </c>
      <c r="C694" s="15" t="s">
        <v>746</v>
      </c>
      <c r="D694" s="16">
        <v>15278563.4157</v>
      </c>
      <c r="E694" s="17">
        <f t="shared" si="10"/>
        <v>15278563.4157</v>
      </c>
      <c r="F694" s="18"/>
      <c r="G694" s="18"/>
      <c r="H694" s="19"/>
      <c r="I694" s="19"/>
      <c r="J694" s="19"/>
      <c r="K694" s="19"/>
      <c r="L694" s="18"/>
      <c r="M694" s="18"/>
      <c r="N694" s="19"/>
      <c r="O694" s="19"/>
      <c r="P694" s="19"/>
    </row>
    <row r="695" spans="1:16" ht="17.649999999999999">
      <c r="A695" s="14">
        <v>690</v>
      </c>
      <c r="B695" s="15" t="s">
        <v>106</v>
      </c>
      <c r="C695" s="15" t="s">
        <v>748</v>
      </c>
      <c r="D695" s="16">
        <v>12335045.565300001</v>
      </c>
      <c r="E695" s="17">
        <f t="shared" si="10"/>
        <v>12335045.565300001</v>
      </c>
      <c r="F695" s="18"/>
      <c r="G695" s="18"/>
      <c r="H695" s="19"/>
      <c r="I695" s="19"/>
      <c r="J695" s="19"/>
      <c r="K695" s="19"/>
      <c r="L695" s="18"/>
      <c r="M695" s="18"/>
      <c r="N695" s="19"/>
      <c r="O695" s="19"/>
      <c r="P695" s="19"/>
    </row>
    <row r="696" spans="1:16" ht="35.25">
      <c r="A696" s="14">
        <v>691</v>
      </c>
      <c r="B696" s="15" t="s">
        <v>106</v>
      </c>
      <c r="C696" s="15" t="s">
        <v>750</v>
      </c>
      <c r="D696" s="16">
        <v>12447142.5184</v>
      </c>
      <c r="E696" s="17">
        <f t="shared" si="10"/>
        <v>12447142.5184</v>
      </c>
      <c r="F696" s="18"/>
      <c r="G696" s="18"/>
      <c r="H696" s="19"/>
      <c r="I696" s="19"/>
      <c r="J696" s="19"/>
      <c r="K696" s="19"/>
      <c r="L696" s="18"/>
      <c r="M696" s="18"/>
      <c r="N696" s="19"/>
      <c r="O696" s="19"/>
      <c r="P696" s="19"/>
    </row>
    <row r="697" spans="1:16" ht="17.649999999999999">
      <c r="A697" s="14">
        <v>692</v>
      </c>
      <c r="B697" s="15" t="s">
        <v>106</v>
      </c>
      <c r="C697" s="15" t="s">
        <v>752</v>
      </c>
      <c r="D697" s="16">
        <v>8551742.8957000002</v>
      </c>
      <c r="E697" s="17">
        <f t="shared" si="10"/>
        <v>8551742.8957000002</v>
      </c>
      <c r="F697" s="18"/>
      <c r="G697" s="18"/>
      <c r="H697" s="19"/>
      <c r="I697" s="19"/>
      <c r="J697" s="19"/>
      <c r="K697" s="19"/>
      <c r="L697" s="18"/>
      <c r="M697" s="18"/>
      <c r="N697" s="19"/>
      <c r="O697" s="19"/>
      <c r="P697" s="19"/>
    </row>
    <row r="698" spans="1:16" ht="17.649999999999999">
      <c r="A698" s="14">
        <v>693</v>
      </c>
      <c r="B698" s="15" t="s">
        <v>106</v>
      </c>
      <c r="C698" s="15" t="s">
        <v>754</v>
      </c>
      <c r="D698" s="16">
        <v>10522956.161599999</v>
      </c>
      <c r="E698" s="17">
        <f t="shared" si="10"/>
        <v>10522956.161599999</v>
      </c>
      <c r="F698" s="18"/>
      <c r="G698" s="18"/>
      <c r="H698" s="19"/>
      <c r="I698" s="19"/>
      <c r="J698" s="19"/>
      <c r="K698" s="19"/>
      <c r="L698" s="18"/>
      <c r="M698" s="18"/>
      <c r="N698" s="19"/>
      <c r="O698" s="19"/>
      <c r="P698" s="19"/>
    </row>
    <row r="699" spans="1:16" ht="17.649999999999999">
      <c r="A699" s="14">
        <v>694</v>
      </c>
      <c r="B699" s="15" t="s">
        <v>106</v>
      </c>
      <c r="C699" s="15" t="s">
        <v>756</v>
      </c>
      <c r="D699" s="16">
        <v>8340480.2972999997</v>
      </c>
      <c r="E699" s="17">
        <f t="shared" si="10"/>
        <v>8340480.2972999997</v>
      </c>
      <c r="F699" s="18"/>
      <c r="G699" s="18"/>
      <c r="H699" s="19"/>
      <c r="I699" s="19"/>
      <c r="J699" s="19"/>
      <c r="K699" s="19"/>
      <c r="L699" s="18"/>
      <c r="M699" s="18"/>
      <c r="N699" s="19"/>
      <c r="O699" s="19"/>
      <c r="P699" s="19"/>
    </row>
    <row r="700" spans="1:16" ht="17.649999999999999">
      <c r="A700" s="14">
        <v>695</v>
      </c>
      <c r="B700" s="15" t="s">
        <v>106</v>
      </c>
      <c r="C700" s="15" t="s">
        <v>758</v>
      </c>
      <c r="D700" s="16">
        <v>9021642.3092999998</v>
      </c>
      <c r="E700" s="17">
        <f t="shared" si="10"/>
        <v>9021642.3092999998</v>
      </c>
      <c r="F700" s="18"/>
      <c r="G700" s="18"/>
      <c r="H700" s="19"/>
      <c r="I700" s="19"/>
      <c r="J700" s="19"/>
      <c r="K700" s="19"/>
      <c r="L700" s="18"/>
      <c r="M700" s="18"/>
      <c r="N700" s="19"/>
      <c r="O700" s="19"/>
      <c r="P700" s="19"/>
    </row>
    <row r="701" spans="1:16" ht="17.649999999999999">
      <c r="A701" s="14">
        <v>696</v>
      </c>
      <c r="B701" s="15" t="s">
        <v>106</v>
      </c>
      <c r="C701" s="15" t="s">
        <v>760</v>
      </c>
      <c r="D701" s="16">
        <v>9317714.4590000007</v>
      </c>
      <c r="E701" s="17">
        <f t="shared" si="10"/>
        <v>9317714.4590000007</v>
      </c>
      <c r="F701" s="18"/>
      <c r="G701" s="18"/>
      <c r="H701" s="19"/>
      <c r="I701" s="19"/>
      <c r="J701" s="19"/>
      <c r="K701" s="19"/>
      <c r="L701" s="18"/>
      <c r="M701" s="18"/>
      <c r="N701" s="19"/>
      <c r="O701" s="19"/>
      <c r="P701" s="19"/>
    </row>
    <row r="702" spans="1:16" ht="17.649999999999999">
      <c r="A702" s="14">
        <v>697</v>
      </c>
      <c r="B702" s="15" t="s">
        <v>106</v>
      </c>
      <c r="C702" s="15" t="s">
        <v>762</v>
      </c>
      <c r="D702" s="16">
        <v>17304205.5726</v>
      </c>
      <c r="E702" s="17">
        <f t="shared" si="10"/>
        <v>17304205.5726</v>
      </c>
      <c r="F702" s="18"/>
      <c r="G702" s="18"/>
      <c r="H702" s="19"/>
      <c r="I702" s="19"/>
      <c r="J702" s="19"/>
      <c r="K702" s="19"/>
      <c r="L702" s="18"/>
      <c r="M702" s="18"/>
      <c r="N702" s="19"/>
      <c r="O702" s="19"/>
      <c r="P702" s="19"/>
    </row>
    <row r="703" spans="1:16" ht="17.649999999999999">
      <c r="A703" s="14">
        <v>698</v>
      </c>
      <c r="B703" s="15" t="s">
        <v>106</v>
      </c>
      <c r="C703" s="15" t="s">
        <v>764</v>
      </c>
      <c r="D703" s="16">
        <v>10242120.1219</v>
      </c>
      <c r="E703" s="17">
        <f t="shared" si="10"/>
        <v>10242120.1219</v>
      </c>
      <c r="F703" s="18"/>
      <c r="G703" s="18"/>
      <c r="H703" s="19"/>
      <c r="I703" s="19"/>
      <c r="J703" s="19"/>
      <c r="K703" s="19"/>
      <c r="L703" s="18"/>
      <c r="M703" s="18"/>
      <c r="N703" s="19"/>
      <c r="O703" s="19"/>
      <c r="P703" s="19"/>
    </row>
    <row r="704" spans="1:16" ht="17.649999999999999">
      <c r="A704" s="14">
        <v>699</v>
      </c>
      <c r="B704" s="15" t="s">
        <v>107</v>
      </c>
      <c r="C704" s="15" t="s">
        <v>768</v>
      </c>
      <c r="D704" s="16">
        <v>9595975.8537000008</v>
      </c>
      <c r="E704" s="17">
        <f t="shared" si="10"/>
        <v>9595975.8537000008</v>
      </c>
      <c r="F704" s="18"/>
      <c r="G704" s="18"/>
      <c r="H704" s="19"/>
      <c r="I704" s="19"/>
      <c r="J704" s="19"/>
      <c r="K704" s="19"/>
      <c r="L704" s="18"/>
      <c r="M704" s="18"/>
      <c r="N704" s="19"/>
      <c r="O704" s="19"/>
      <c r="P704" s="19"/>
    </row>
    <row r="705" spans="1:16" ht="17.649999999999999">
      <c r="A705" s="14">
        <v>700</v>
      </c>
      <c r="B705" s="15" t="s">
        <v>107</v>
      </c>
      <c r="C705" s="15" t="s">
        <v>770</v>
      </c>
      <c r="D705" s="16">
        <v>10923435.9113</v>
      </c>
      <c r="E705" s="17">
        <f t="shared" si="10"/>
        <v>10923435.9113</v>
      </c>
      <c r="F705" s="18"/>
      <c r="G705" s="18"/>
      <c r="H705" s="19"/>
      <c r="I705" s="19"/>
      <c r="J705" s="19"/>
      <c r="K705" s="19"/>
      <c r="L705" s="18"/>
      <c r="M705" s="18"/>
      <c r="N705" s="19"/>
      <c r="O705" s="19"/>
      <c r="P705" s="19"/>
    </row>
    <row r="706" spans="1:16" ht="17.649999999999999">
      <c r="A706" s="14">
        <v>701</v>
      </c>
      <c r="B706" s="15" t="s">
        <v>107</v>
      </c>
      <c r="C706" s="15" t="s">
        <v>772</v>
      </c>
      <c r="D706" s="16">
        <v>11771817.992000001</v>
      </c>
      <c r="E706" s="17">
        <f t="shared" si="10"/>
        <v>11771817.992000001</v>
      </c>
      <c r="F706" s="18"/>
      <c r="G706" s="18"/>
      <c r="H706" s="19"/>
      <c r="I706" s="19"/>
      <c r="J706" s="19"/>
      <c r="K706" s="19"/>
      <c r="L706" s="18"/>
      <c r="M706" s="18"/>
      <c r="N706" s="19"/>
      <c r="O706" s="19"/>
      <c r="P706" s="19"/>
    </row>
    <row r="707" spans="1:16" ht="17.649999999999999">
      <c r="A707" s="14">
        <v>702</v>
      </c>
      <c r="B707" s="15" t="s">
        <v>107</v>
      </c>
      <c r="C707" s="15" t="s">
        <v>774</v>
      </c>
      <c r="D707" s="16">
        <v>12781396.3508</v>
      </c>
      <c r="E707" s="17">
        <f t="shared" si="10"/>
        <v>12781396.3508</v>
      </c>
      <c r="F707" s="18"/>
      <c r="G707" s="18"/>
      <c r="H707" s="19"/>
      <c r="I707" s="19"/>
      <c r="J707" s="19"/>
      <c r="K707" s="19"/>
      <c r="L707" s="18"/>
      <c r="M707" s="18"/>
      <c r="N707" s="19"/>
      <c r="O707" s="19"/>
      <c r="P707" s="19"/>
    </row>
    <row r="708" spans="1:16" ht="17.649999999999999">
      <c r="A708" s="14">
        <v>703</v>
      </c>
      <c r="B708" s="15" t="s">
        <v>107</v>
      </c>
      <c r="C708" s="15" t="s">
        <v>776</v>
      </c>
      <c r="D708" s="16">
        <v>12023522.371300001</v>
      </c>
      <c r="E708" s="17">
        <f t="shared" si="10"/>
        <v>12023522.371300001</v>
      </c>
      <c r="F708" s="18"/>
      <c r="G708" s="18"/>
      <c r="H708" s="19"/>
      <c r="I708" s="19"/>
      <c r="J708" s="19"/>
      <c r="K708" s="19"/>
      <c r="L708" s="18"/>
      <c r="M708" s="18"/>
      <c r="N708" s="19"/>
      <c r="O708" s="19"/>
      <c r="P708" s="19"/>
    </row>
    <row r="709" spans="1:16" ht="17.649999999999999">
      <c r="A709" s="14">
        <v>704</v>
      </c>
      <c r="B709" s="15" t="s">
        <v>107</v>
      </c>
      <c r="C709" s="15" t="s">
        <v>779</v>
      </c>
      <c r="D709" s="16">
        <v>10894672.2204</v>
      </c>
      <c r="E709" s="17">
        <f t="shared" si="10"/>
        <v>10894672.2204</v>
      </c>
      <c r="F709" s="18"/>
      <c r="G709" s="18"/>
      <c r="H709" s="19"/>
      <c r="I709" s="19"/>
      <c r="J709" s="19"/>
      <c r="K709" s="19"/>
      <c r="L709" s="18"/>
      <c r="M709" s="18"/>
      <c r="N709" s="19"/>
      <c r="O709" s="19"/>
      <c r="P709" s="19"/>
    </row>
    <row r="710" spans="1:16" ht="17.649999999999999">
      <c r="A710" s="14">
        <v>705</v>
      </c>
      <c r="B710" s="15" t="s">
        <v>107</v>
      </c>
      <c r="C710" s="15" t="s">
        <v>781</v>
      </c>
      <c r="D710" s="16">
        <v>12443270.273600001</v>
      </c>
      <c r="E710" s="17">
        <f t="shared" si="10"/>
        <v>12443270.273600001</v>
      </c>
      <c r="F710" s="18"/>
      <c r="G710" s="18"/>
      <c r="H710" s="19"/>
      <c r="I710" s="19"/>
      <c r="J710" s="19"/>
      <c r="K710" s="19"/>
      <c r="L710" s="18"/>
      <c r="M710" s="18"/>
      <c r="N710" s="19"/>
      <c r="O710" s="19"/>
      <c r="P710" s="19"/>
    </row>
    <row r="711" spans="1:16" ht="17.649999999999999">
      <c r="A711" s="14">
        <v>706</v>
      </c>
      <c r="B711" s="15" t="s">
        <v>107</v>
      </c>
      <c r="C711" s="15" t="s">
        <v>783</v>
      </c>
      <c r="D711" s="16">
        <v>10617975.9322</v>
      </c>
      <c r="E711" s="17">
        <f t="shared" ref="E711:E774" si="11">D711</f>
        <v>10617975.9322</v>
      </c>
      <c r="F711" s="18"/>
      <c r="G711" s="18"/>
      <c r="H711" s="19"/>
      <c r="I711" s="19"/>
      <c r="J711" s="19"/>
      <c r="K711" s="19"/>
      <c r="L711" s="18"/>
      <c r="M711" s="18"/>
      <c r="N711" s="19"/>
      <c r="O711" s="19"/>
      <c r="P711" s="19"/>
    </row>
    <row r="712" spans="1:16" ht="17.649999999999999">
      <c r="A712" s="14">
        <v>707</v>
      </c>
      <c r="B712" s="15" t="s">
        <v>107</v>
      </c>
      <c r="C712" s="15" t="s">
        <v>785</v>
      </c>
      <c r="D712" s="16">
        <v>12018757.873400001</v>
      </c>
      <c r="E712" s="17">
        <f t="shared" si="11"/>
        <v>12018757.873400001</v>
      </c>
      <c r="F712" s="18"/>
      <c r="G712" s="18"/>
      <c r="H712" s="19"/>
      <c r="I712" s="19"/>
      <c r="J712" s="19"/>
      <c r="K712" s="19"/>
      <c r="L712" s="18"/>
      <c r="M712" s="18"/>
      <c r="N712" s="19"/>
      <c r="O712" s="19"/>
      <c r="P712" s="19"/>
    </row>
    <row r="713" spans="1:16" ht="17.649999999999999">
      <c r="A713" s="14">
        <v>708</v>
      </c>
      <c r="B713" s="15" t="s">
        <v>107</v>
      </c>
      <c r="C713" s="15" t="s">
        <v>787</v>
      </c>
      <c r="D713" s="16">
        <v>10851265.0931</v>
      </c>
      <c r="E713" s="17">
        <f t="shared" si="11"/>
        <v>10851265.0931</v>
      </c>
      <c r="F713" s="18"/>
      <c r="G713" s="18"/>
      <c r="H713" s="19"/>
      <c r="I713" s="19"/>
      <c r="J713" s="19"/>
      <c r="K713" s="19"/>
      <c r="L713" s="18"/>
      <c r="M713" s="18"/>
      <c r="N713" s="19"/>
      <c r="O713" s="19"/>
      <c r="P713" s="19"/>
    </row>
    <row r="714" spans="1:16" ht="17.649999999999999">
      <c r="A714" s="14">
        <v>709</v>
      </c>
      <c r="B714" s="15" t="s">
        <v>107</v>
      </c>
      <c r="C714" s="15" t="s">
        <v>789</v>
      </c>
      <c r="D714" s="16">
        <v>10062455.3594</v>
      </c>
      <c r="E714" s="17">
        <f t="shared" si="11"/>
        <v>10062455.3594</v>
      </c>
      <c r="F714" s="18"/>
      <c r="G714" s="18"/>
      <c r="H714" s="19"/>
      <c r="I714" s="19"/>
      <c r="J714" s="19"/>
      <c r="K714" s="19"/>
      <c r="L714" s="18"/>
      <c r="M714" s="18"/>
      <c r="N714" s="19"/>
      <c r="O714" s="19"/>
      <c r="P714" s="19"/>
    </row>
    <row r="715" spans="1:16" ht="17.649999999999999">
      <c r="A715" s="14">
        <v>710</v>
      </c>
      <c r="B715" s="15" t="s">
        <v>107</v>
      </c>
      <c r="C715" s="15" t="s">
        <v>791</v>
      </c>
      <c r="D715" s="16">
        <v>11980577.3967</v>
      </c>
      <c r="E715" s="17">
        <f t="shared" si="11"/>
        <v>11980577.3967</v>
      </c>
      <c r="F715" s="18"/>
      <c r="G715" s="18"/>
      <c r="H715" s="19"/>
      <c r="I715" s="19"/>
      <c r="J715" s="19"/>
      <c r="K715" s="19"/>
      <c r="L715" s="18"/>
      <c r="M715" s="18"/>
      <c r="N715" s="19"/>
      <c r="O715" s="19"/>
      <c r="P715" s="19"/>
    </row>
    <row r="716" spans="1:16" ht="17.649999999999999">
      <c r="A716" s="14">
        <v>711</v>
      </c>
      <c r="B716" s="15" t="s">
        <v>107</v>
      </c>
      <c r="C716" s="15" t="s">
        <v>793</v>
      </c>
      <c r="D716" s="16">
        <v>12570043.292199999</v>
      </c>
      <c r="E716" s="17">
        <f t="shared" si="11"/>
        <v>12570043.292199999</v>
      </c>
      <c r="F716" s="18"/>
      <c r="G716" s="18"/>
      <c r="H716" s="19"/>
      <c r="I716" s="19"/>
      <c r="J716" s="19"/>
      <c r="K716" s="19"/>
      <c r="L716" s="18"/>
      <c r="M716" s="18"/>
      <c r="N716" s="19"/>
      <c r="O716" s="19"/>
      <c r="P716" s="19"/>
    </row>
    <row r="717" spans="1:16" ht="17.649999999999999">
      <c r="A717" s="14">
        <v>712</v>
      </c>
      <c r="B717" s="15" t="s">
        <v>107</v>
      </c>
      <c r="C717" s="15" t="s">
        <v>795</v>
      </c>
      <c r="D717" s="16">
        <v>11326274.9252</v>
      </c>
      <c r="E717" s="17">
        <f t="shared" si="11"/>
        <v>11326274.9252</v>
      </c>
      <c r="F717" s="18"/>
      <c r="G717" s="18"/>
      <c r="H717" s="19"/>
      <c r="I717" s="19"/>
      <c r="J717" s="19"/>
      <c r="K717" s="19"/>
      <c r="L717" s="18"/>
      <c r="M717" s="18"/>
      <c r="N717" s="19"/>
      <c r="O717" s="19"/>
      <c r="P717" s="19"/>
    </row>
    <row r="718" spans="1:16" ht="17.649999999999999">
      <c r="A718" s="14">
        <v>713</v>
      </c>
      <c r="B718" s="15" t="s">
        <v>107</v>
      </c>
      <c r="C718" s="15" t="s">
        <v>797</v>
      </c>
      <c r="D718" s="16">
        <v>10141985.354699999</v>
      </c>
      <c r="E718" s="17">
        <f t="shared" si="11"/>
        <v>10141985.354699999</v>
      </c>
      <c r="F718" s="18"/>
      <c r="G718" s="18"/>
      <c r="H718" s="19"/>
      <c r="I718" s="19"/>
      <c r="J718" s="19"/>
      <c r="K718" s="19"/>
      <c r="L718" s="18"/>
      <c r="M718" s="18"/>
      <c r="N718" s="19"/>
      <c r="O718" s="19"/>
      <c r="P718" s="19"/>
    </row>
    <row r="719" spans="1:16" ht="17.649999999999999">
      <c r="A719" s="14">
        <v>714</v>
      </c>
      <c r="B719" s="15" t="s">
        <v>107</v>
      </c>
      <c r="C719" s="15" t="s">
        <v>799</v>
      </c>
      <c r="D719" s="16">
        <v>11270158.4375</v>
      </c>
      <c r="E719" s="17">
        <f t="shared" si="11"/>
        <v>11270158.4375</v>
      </c>
      <c r="F719" s="18"/>
      <c r="G719" s="18"/>
      <c r="H719" s="19"/>
      <c r="I719" s="19"/>
      <c r="J719" s="19"/>
      <c r="K719" s="19"/>
      <c r="L719" s="18"/>
      <c r="M719" s="18"/>
      <c r="N719" s="19"/>
      <c r="O719" s="19"/>
      <c r="P719" s="19"/>
    </row>
    <row r="720" spans="1:16" ht="17.649999999999999">
      <c r="A720" s="14">
        <v>715</v>
      </c>
      <c r="B720" s="15" t="s">
        <v>107</v>
      </c>
      <c r="C720" s="15" t="s">
        <v>801</v>
      </c>
      <c r="D720" s="16">
        <v>11179112.479900001</v>
      </c>
      <c r="E720" s="17">
        <f t="shared" si="11"/>
        <v>11179112.479900001</v>
      </c>
      <c r="F720" s="18"/>
      <c r="G720" s="18"/>
      <c r="H720" s="19"/>
      <c r="I720" s="19"/>
      <c r="J720" s="19"/>
      <c r="K720" s="19"/>
      <c r="L720" s="18"/>
      <c r="M720" s="18"/>
      <c r="N720" s="19"/>
      <c r="O720" s="19"/>
      <c r="P720" s="19"/>
    </row>
    <row r="721" spans="1:16" ht="17.649999999999999">
      <c r="A721" s="14">
        <v>716</v>
      </c>
      <c r="B721" s="15" t="s">
        <v>107</v>
      </c>
      <c r="C721" s="15" t="s">
        <v>803</v>
      </c>
      <c r="D721" s="16">
        <v>12517436.8299</v>
      </c>
      <c r="E721" s="17">
        <f t="shared" si="11"/>
        <v>12517436.8299</v>
      </c>
      <c r="F721" s="18"/>
      <c r="G721" s="18"/>
      <c r="H721" s="19"/>
      <c r="I721" s="19"/>
      <c r="J721" s="19"/>
      <c r="K721" s="19"/>
      <c r="L721" s="18"/>
      <c r="M721" s="18"/>
      <c r="N721" s="19"/>
      <c r="O721" s="19"/>
      <c r="P721" s="19"/>
    </row>
    <row r="722" spans="1:16" ht="17.649999999999999">
      <c r="A722" s="14">
        <v>717</v>
      </c>
      <c r="B722" s="15" t="s">
        <v>107</v>
      </c>
      <c r="C722" s="15" t="s">
        <v>805</v>
      </c>
      <c r="D722" s="16">
        <v>11540572.303099999</v>
      </c>
      <c r="E722" s="17">
        <f t="shared" si="11"/>
        <v>11540572.303099999</v>
      </c>
      <c r="F722" s="18"/>
      <c r="G722" s="18"/>
      <c r="H722" s="19"/>
      <c r="I722" s="19"/>
      <c r="J722" s="19"/>
      <c r="K722" s="19"/>
      <c r="L722" s="18"/>
      <c r="M722" s="18"/>
      <c r="N722" s="19"/>
      <c r="O722" s="19"/>
      <c r="P722" s="19"/>
    </row>
    <row r="723" spans="1:16" ht="17.649999999999999">
      <c r="A723" s="14">
        <v>718</v>
      </c>
      <c r="B723" s="15" t="s">
        <v>107</v>
      </c>
      <c r="C723" s="15" t="s">
        <v>807</v>
      </c>
      <c r="D723" s="16">
        <v>10502089.183</v>
      </c>
      <c r="E723" s="17">
        <f t="shared" si="11"/>
        <v>10502089.183</v>
      </c>
      <c r="F723" s="18"/>
      <c r="G723" s="18"/>
      <c r="H723" s="19"/>
      <c r="I723" s="19"/>
      <c r="J723" s="19"/>
      <c r="K723" s="19"/>
      <c r="L723" s="18"/>
      <c r="M723" s="18"/>
      <c r="N723" s="19"/>
      <c r="O723" s="19"/>
      <c r="P723" s="19"/>
    </row>
    <row r="724" spans="1:16" ht="17.649999999999999">
      <c r="A724" s="14">
        <v>719</v>
      </c>
      <c r="B724" s="15" t="s">
        <v>107</v>
      </c>
      <c r="C724" s="15" t="s">
        <v>809</v>
      </c>
      <c r="D724" s="16">
        <v>10826038.1031</v>
      </c>
      <c r="E724" s="17">
        <f t="shared" si="11"/>
        <v>10826038.1031</v>
      </c>
      <c r="F724" s="18"/>
      <c r="G724" s="18"/>
      <c r="H724" s="19"/>
      <c r="I724" s="19"/>
      <c r="J724" s="19"/>
      <c r="K724" s="19"/>
      <c r="L724" s="18"/>
      <c r="M724" s="18"/>
      <c r="N724" s="19"/>
      <c r="O724" s="19"/>
      <c r="P724" s="19"/>
    </row>
    <row r="725" spans="1:16" ht="17.649999999999999">
      <c r="A725" s="14">
        <v>720</v>
      </c>
      <c r="B725" s="15" t="s">
        <v>107</v>
      </c>
      <c r="C725" s="15" t="s">
        <v>811</v>
      </c>
      <c r="D725" s="16">
        <v>10416330.8587</v>
      </c>
      <c r="E725" s="17">
        <f t="shared" si="11"/>
        <v>10416330.8587</v>
      </c>
      <c r="F725" s="18"/>
      <c r="G725" s="18"/>
      <c r="H725" s="19"/>
      <c r="I725" s="19"/>
      <c r="J725" s="19"/>
      <c r="K725" s="19"/>
      <c r="L725" s="18"/>
      <c r="M725" s="18"/>
      <c r="N725" s="19"/>
      <c r="O725" s="19"/>
      <c r="P725" s="19"/>
    </row>
    <row r="726" spans="1:16" ht="17.649999999999999">
      <c r="A726" s="14">
        <v>721</v>
      </c>
      <c r="B726" s="15" t="s">
        <v>107</v>
      </c>
      <c r="C726" s="15" t="s">
        <v>813</v>
      </c>
      <c r="D726" s="16">
        <v>9765307.8872999996</v>
      </c>
      <c r="E726" s="17">
        <f t="shared" si="11"/>
        <v>9765307.8872999996</v>
      </c>
      <c r="F726" s="18"/>
      <c r="G726" s="18"/>
      <c r="H726" s="19"/>
      <c r="I726" s="19"/>
      <c r="J726" s="19"/>
      <c r="K726" s="19"/>
      <c r="L726" s="18"/>
      <c r="M726" s="18"/>
      <c r="N726" s="19"/>
      <c r="O726" s="19"/>
      <c r="P726" s="19"/>
    </row>
    <row r="727" spans="1:16" ht="17.649999999999999">
      <c r="A727" s="14">
        <v>722</v>
      </c>
      <c r="B727" s="15" t="s">
        <v>108</v>
      </c>
      <c r="C727" s="15" t="s">
        <v>817</v>
      </c>
      <c r="D727" s="16">
        <v>9692775.8981999997</v>
      </c>
      <c r="E727" s="17">
        <f t="shared" si="11"/>
        <v>9692775.8981999997</v>
      </c>
      <c r="F727" s="18"/>
      <c r="G727" s="18"/>
      <c r="H727" s="19"/>
      <c r="I727" s="19"/>
      <c r="J727" s="19"/>
      <c r="K727" s="19"/>
      <c r="L727" s="18"/>
      <c r="M727" s="18"/>
      <c r="N727" s="19"/>
      <c r="O727" s="19"/>
      <c r="P727" s="19"/>
    </row>
    <row r="728" spans="1:16" ht="17.649999999999999">
      <c r="A728" s="14">
        <v>723</v>
      </c>
      <c r="B728" s="15" t="s">
        <v>108</v>
      </c>
      <c r="C728" s="15" t="s">
        <v>819</v>
      </c>
      <c r="D728" s="16">
        <v>16586571.6973</v>
      </c>
      <c r="E728" s="17">
        <f t="shared" si="11"/>
        <v>16586571.6973</v>
      </c>
      <c r="F728" s="18"/>
      <c r="G728" s="18"/>
      <c r="H728" s="19"/>
      <c r="I728" s="19"/>
      <c r="J728" s="19"/>
      <c r="K728" s="19"/>
      <c r="L728" s="18"/>
      <c r="M728" s="18"/>
      <c r="N728" s="19"/>
      <c r="O728" s="19"/>
      <c r="P728" s="19"/>
    </row>
    <row r="729" spans="1:16" ht="17.649999999999999">
      <c r="A729" s="14">
        <v>724</v>
      </c>
      <c r="B729" s="15" t="s">
        <v>108</v>
      </c>
      <c r="C729" s="15" t="s">
        <v>821</v>
      </c>
      <c r="D729" s="16">
        <v>11391923.716399999</v>
      </c>
      <c r="E729" s="17">
        <f t="shared" si="11"/>
        <v>11391923.716399999</v>
      </c>
      <c r="F729" s="18"/>
      <c r="G729" s="18"/>
      <c r="H729" s="19"/>
      <c r="I729" s="19"/>
      <c r="J729" s="19"/>
      <c r="K729" s="19"/>
      <c r="L729" s="18"/>
      <c r="M729" s="18"/>
      <c r="N729" s="19"/>
      <c r="O729" s="19"/>
      <c r="P729" s="19"/>
    </row>
    <row r="730" spans="1:16" ht="17.649999999999999">
      <c r="A730" s="14">
        <v>725</v>
      </c>
      <c r="B730" s="15" t="s">
        <v>108</v>
      </c>
      <c r="C730" s="15" t="s">
        <v>823</v>
      </c>
      <c r="D730" s="16">
        <v>13602025.0447</v>
      </c>
      <c r="E730" s="17">
        <f t="shared" si="11"/>
        <v>13602025.0447</v>
      </c>
      <c r="F730" s="18"/>
      <c r="G730" s="18"/>
      <c r="H730" s="19"/>
      <c r="I730" s="19"/>
      <c r="J730" s="19"/>
      <c r="K730" s="19"/>
      <c r="L730" s="18"/>
      <c r="M730" s="18"/>
      <c r="N730" s="19"/>
      <c r="O730" s="19"/>
      <c r="P730" s="19"/>
    </row>
    <row r="731" spans="1:16" ht="17.649999999999999">
      <c r="A731" s="14">
        <v>726</v>
      </c>
      <c r="B731" s="15" t="s">
        <v>108</v>
      </c>
      <c r="C731" s="15" t="s">
        <v>825</v>
      </c>
      <c r="D731" s="16">
        <v>14694886.0975</v>
      </c>
      <c r="E731" s="17">
        <f t="shared" si="11"/>
        <v>14694886.0975</v>
      </c>
      <c r="F731" s="18"/>
      <c r="G731" s="18"/>
      <c r="H731" s="19"/>
      <c r="I731" s="19"/>
      <c r="J731" s="19"/>
      <c r="K731" s="19"/>
      <c r="L731" s="18"/>
      <c r="M731" s="18"/>
      <c r="N731" s="19"/>
      <c r="O731" s="19"/>
      <c r="P731" s="19"/>
    </row>
    <row r="732" spans="1:16" ht="17.649999999999999">
      <c r="A732" s="14">
        <v>727</v>
      </c>
      <c r="B732" s="15" t="s">
        <v>108</v>
      </c>
      <c r="C732" s="15" t="s">
        <v>827</v>
      </c>
      <c r="D732" s="16">
        <v>10179889.267000001</v>
      </c>
      <c r="E732" s="17">
        <f t="shared" si="11"/>
        <v>10179889.267000001</v>
      </c>
      <c r="F732" s="18"/>
      <c r="G732" s="18"/>
      <c r="H732" s="19"/>
      <c r="I732" s="19"/>
      <c r="J732" s="19"/>
      <c r="K732" s="19"/>
      <c r="L732" s="18"/>
      <c r="M732" s="18"/>
      <c r="N732" s="19"/>
      <c r="O732" s="19"/>
      <c r="P732" s="19"/>
    </row>
    <row r="733" spans="1:16" ht="17.649999999999999">
      <c r="A733" s="14">
        <v>728</v>
      </c>
      <c r="B733" s="15" t="s">
        <v>108</v>
      </c>
      <c r="C733" s="15" t="s">
        <v>829</v>
      </c>
      <c r="D733" s="16">
        <v>9791303.6028000005</v>
      </c>
      <c r="E733" s="17">
        <f t="shared" si="11"/>
        <v>9791303.6028000005</v>
      </c>
      <c r="F733" s="18"/>
      <c r="G733" s="18"/>
      <c r="H733" s="19"/>
      <c r="I733" s="19"/>
      <c r="J733" s="19"/>
      <c r="K733" s="19"/>
      <c r="L733" s="18"/>
      <c r="M733" s="18"/>
      <c r="N733" s="19"/>
      <c r="O733" s="19"/>
      <c r="P733" s="19"/>
    </row>
    <row r="734" spans="1:16" ht="17.649999999999999">
      <c r="A734" s="14">
        <v>729</v>
      </c>
      <c r="B734" s="15" t="s">
        <v>108</v>
      </c>
      <c r="C734" s="15" t="s">
        <v>831</v>
      </c>
      <c r="D734" s="16">
        <v>15197442.239399999</v>
      </c>
      <c r="E734" s="17">
        <f t="shared" si="11"/>
        <v>15197442.239399999</v>
      </c>
      <c r="F734" s="18"/>
      <c r="G734" s="18"/>
      <c r="H734" s="19"/>
      <c r="I734" s="19"/>
      <c r="J734" s="19"/>
      <c r="K734" s="19"/>
      <c r="L734" s="18"/>
      <c r="M734" s="18"/>
      <c r="N734" s="19"/>
      <c r="O734" s="19"/>
      <c r="P734" s="19"/>
    </row>
    <row r="735" spans="1:16" ht="17.649999999999999">
      <c r="A735" s="14">
        <v>730</v>
      </c>
      <c r="B735" s="15" t="s">
        <v>108</v>
      </c>
      <c r="C735" s="15" t="s">
        <v>833</v>
      </c>
      <c r="D735" s="16">
        <v>10818136.268999999</v>
      </c>
      <c r="E735" s="17">
        <f t="shared" si="11"/>
        <v>10818136.268999999</v>
      </c>
      <c r="F735" s="18"/>
      <c r="G735" s="18"/>
      <c r="H735" s="19"/>
      <c r="I735" s="19"/>
      <c r="J735" s="19"/>
      <c r="K735" s="19"/>
      <c r="L735" s="18"/>
      <c r="M735" s="18"/>
      <c r="N735" s="19"/>
      <c r="O735" s="19"/>
      <c r="P735" s="19"/>
    </row>
    <row r="736" spans="1:16" ht="17.649999999999999">
      <c r="A736" s="14">
        <v>731</v>
      </c>
      <c r="B736" s="15" t="s">
        <v>108</v>
      </c>
      <c r="C736" s="15" t="s">
        <v>836</v>
      </c>
      <c r="D736" s="16">
        <v>9988360.5004999992</v>
      </c>
      <c r="E736" s="17">
        <f t="shared" si="11"/>
        <v>9988360.5004999992</v>
      </c>
      <c r="F736" s="18"/>
      <c r="G736" s="18"/>
      <c r="H736" s="19"/>
      <c r="I736" s="19"/>
      <c r="J736" s="19"/>
      <c r="K736" s="19"/>
      <c r="L736" s="18"/>
      <c r="M736" s="18"/>
      <c r="N736" s="19"/>
      <c r="O736" s="19"/>
      <c r="P736" s="19"/>
    </row>
    <row r="737" spans="1:16" ht="17.649999999999999">
      <c r="A737" s="14">
        <v>732</v>
      </c>
      <c r="B737" s="15" t="s">
        <v>108</v>
      </c>
      <c r="C737" s="15" t="s">
        <v>838</v>
      </c>
      <c r="D737" s="16">
        <v>14905810.404899999</v>
      </c>
      <c r="E737" s="17">
        <f t="shared" si="11"/>
        <v>14905810.404899999</v>
      </c>
      <c r="F737" s="18"/>
      <c r="G737" s="18"/>
      <c r="H737" s="19"/>
      <c r="I737" s="19"/>
      <c r="J737" s="19"/>
      <c r="K737" s="19"/>
      <c r="L737" s="18"/>
      <c r="M737" s="18"/>
      <c r="N737" s="19"/>
      <c r="O737" s="19"/>
      <c r="P737" s="19"/>
    </row>
    <row r="738" spans="1:16" ht="17.649999999999999">
      <c r="A738" s="14">
        <v>733</v>
      </c>
      <c r="B738" s="15" t="s">
        <v>108</v>
      </c>
      <c r="C738" s="15" t="s">
        <v>840</v>
      </c>
      <c r="D738" s="16">
        <v>11798430.8365</v>
      </c>
      <c r="E738" s="17">
        <f t="shared" si="11"/>
        <v>11798430.8365</v>
      </c>
      <c r="F738" s="18"/>
      <c r="G738" s="18"/>
      <c r="H738" s="19"/>
      <c r="I738" s="19"/>
      <c r="J738" s="19"/>
      <c r="K738" s="19"/>
      <c r="L738" s="18"/>
      <c r="M738" s="18"/>
      <c r="N738" s="19"/>
      <c r="O738" s="19"/>
      <c r="P738" s="19"/>
    </row>
    <row r="739" spans="1:16" ht="17.649999999999999">
      <c r="A739" s="14">
        <v>734</v>
      </c>
      <c r="B739" s="15" t="s">
        <v>108</v>
      </c>
      <c r="C739" s="15" t="s">
        <v>842</v>
      </c>
      <c r="D739" s="16">
        <v>10140593.8946</v>
      </c>
      <c r="E739" s="17">
        <f t="shared" si="11"/>
        <v>10140593.8946</v>
      </c>
      <c r="F739" s="18"/>
      <c r="G739" s="18"/>
      <c r="H739" s="19"/>
      <c r="I739" s="19"/>
      <c r="J739" s="19"/>
      <c r="K739" s="19"/>
      <c r="L739" s="18"/>
      <c r="M739" s="18"/>
      <c r="N739" s="19"/>
      <c r="O739" s="19"/>
      <c r="P739" s="19"/>
    </row>
    <row r="740" spans="1:16" ht="17.649999999999999">
      <c r="A740" s="14">
        <v>735</v>
      </c>
      <c r="B740" s="15" t="s">
        <v>108</v>
      </c>
      <c r="C740" s="15" t="s">
        <v>844</v>
      </c>
      <c r="D740" s="16">
        <v>14524960.559900001</v>
      </c>
      <c r="E740" s="17">
        <f t="shared" si="11"/>
        <v>14524960.559900001</v>
      </c>
      <c r="F740" s="18"/>
      <c r="G740" s="18"/>
      <c r="H740" s="19"/>
      <c r="I740" s="19"/>
      <c r="J740" s="19"/>
      <c r="K740" s="19"/>
      <c r="L740" s="18"/>
      <c r="M740" s="18"/>
      <c r="N740" s="19"/>
      <c r="O740" s="19"/>
      <c r="P740" s="19"/>
    </row>
    <row r="741" spans="1:16" ht="17.649999999999999">
      <c r="A741" s="14">
        <v>736</v>
      </c>
      <c r="B741" s="15" t="s">
        <v>108</v>
      </c>
      <c r="C741" s="15" t="s">
        <v>846</v>
      </c>
      <c r="D741" s="16">
        <v>9628789.4616</v>
      </c>
      <c r="E741" s="17">
        <f t="shared" si="11"/>
        <v>9628789.4616</v>
      </c>
      <c r="F741" s="18"/>
      <c r="G741" s="18"/>
      <c r="H741" s="19"/>
      <c r="I741" s="19"/>
      <c r="J741" s="19"/>
      <c r="K741" s="19"/>
      <c r="L741" s="18"/>
      <c r="M741" s="18"/>
      <c r="N741" s="19"/>
      <c r="O741" s="19"/>
      <c r="P741" s="19"/>
    </row>
    <row r="742" spans="1:16" ht="17.649999999999999">
      <c r="A742" s="14">
        <v>737</v>
      </c>
      <c r="B742" s="15" t="s">
        <v>108</v>
      </c>
      <c r="C742" s="15" t="s">
        <v>848</v>
      </c>
      <c r="D742" s="16">
        <v>10445307.708900001</v>
      </c>
      <c r="E742" s="17">
        <f t="shared" si="11"/>
        <v>10445307.708900001</v>
      </c>
      <c r="F742" s="18"/>
      <c r="G742" s="18"/>
      <c r="H742" s="19"/>
      <c r="I742" s="19"/>
      <c r="J742" s="19"/>
      <c r="K742" s="19"/>
      <c r="L742" s="18"/>
      <c r="M742" s="18"/>
      <c r="N742" s="19"/>
      <c r="O742" s="19"/>
      <c r="P742" s="19"/>
    </row>
    <row r="743" spans="1:16" ht="17.649999999999999">
      <c r="A743" s="14">
        <v>738</v>
      </c>
      <c r="B743" s="15" t="s">
        <v>109</v>
      </c>
      <c r="C743" s="15" t="s">
        <v>852</v>
      </c>
      <c r="D743" s="16">
        <v>10794604.376700001</v>
      </c>
      <c r="E743" s="17">
        <f t="shared" si="11"/>
        <v>10794604.376700001</v>
      </c>
      <c r="F743" s="18"/>
      <c r="G743" s="18"/>
      <c r="H743" s="19"/>
      <c r="I743" s="19"/>
      <c r="J743" s="19"/>
      <c r="K743" s="19"/>
      <c r="L743" s="18"/>
      <c r="M743" s="18"/>
      <c r="N743" s="19"/>
      <c r="O743" s="19"/>
      <c r="P743" s="19"/>
    </row>
    <row r="744" spans="1:16" ht="17.649999999999999">
      <c r="A744" s="14">
        <v>739</v>
      </c>
      <c r="B744" s="15" t="s">
        <v>109</v>
      </c>
      <c r="C744" s="15" t="s">
        <v>854</v>
      </c>
      <c r="D744" s="16">
        <v>11945298.444499999</v>
      </c>
      <c r="E744" s="17">
        <f t="shared" si="11"/>
        <v>11945298.444499999</v>
      </c>
      <c r="F744" s="18"/>
      <c r="G744" s="18"/>
      <c r="H744" s="19"/>
      <c r="I744" s="19"/>
      <c r="J744" s="19"/>
      <c r="K744" s="19"/>
      <c r="L744" s="18"/>
      <c r="M744" s="18"/>
      <c r="N744" s="19"/>
      <c r="O744" s="19"/>
      <c r="P744" s="19"/>
    </row>
    <row r="745" spans="1:16" ht="17.649999999999999">
      <c r="A745" s="14">
        <v>740</v>
      </c>
      <c r="B745" s="15" t="s">
        <v>109</v>
      </c>
      <c r="C745" s="15" t="s">
        <v>856</v>
      </c>
      <c r="D745" s="16">
        <v>10001677.7784</v>
      </c>
      <c r="E745" s="17">
        <f t="shared" si="11"/>
        <v>10001677.7784</v>
      </c>
      <c r="F745" s="18"/>
      <c r="G745" s="18"/>
      <c r="H745" s="19"/>
      <c r="I745" s="19"/>
      <c r="J745" s="19"/>
      <c r="K745" s="19"/>
      <c r="L745" s="18"/>
      <c r="M745" s="18"/>
      <c r="N745" s="19"/>
      <c r="O745" s="19"/>
      <c r="P745" s="19"/>
    </row>
    <row r="746" spans="1:16" ht="17.649999999999999">
      <c r="A746" s="14">
        <v>741</v>
      </c>
      <c r="B746" s="15" t="s">
        <v>109</v>
      </c>
      <c r="C746" s="15" t="s">
        <v>858</v>
      </c>
      <c r="D746" s="16">
        <v>11198232.685000001</v>
      </c>
      <c r="E746" s="17">
        <f t="shared" si="11"/>
        <v>11198232.685000001</v>
      </c>
      <c r="F746" s="18"/>
      <c r="G746" s="18"/>
      <c r="H746" s="19"/>
      <c r="I746" s="19"/>
      <c r="J746" s="19"/>
      <c r="K746" s="19"/>
      <c r="L746" s="18"/>
      <c r="M746" s="18"/>
      <c r="N746" s="19"/>
      <c r="O746" s="19"/>
      <c r="P746" s="19"/>
    </row>
    <row r="747" spans="1:16" ht="17.649999999999999">
      <c r="A747" s="14">
        <v>742</v>
      </c>
      <c r="B747" s="15" t="s">
        <v>109</v>
      </c>
      <c r="C747" s="15" t="s">
        <v>860</v>
      </c>
      <c r="D747" s="16">
        <v>15706378.010299999</v>
      </c>
      <c r="E747" s="17">
        <f t="shared" si="11"/>
        <v>15706378.010299999</v>
      </c>
      <c r="F747" s="18"/>
      <c r="G747" s="18"/>
      <c r="H747" s="19"/>
      <c r="I747" s="19"/>
      <c r="J747" s="19"/>
      <c r="K747" s="19"/>
      <c r="L747" s="18"/>
      <c r="M747" s="18"/>
      <c r="N747" s="19"/>
      <c r="O747" s="19"/>
      <c r="P747" s="19"/>
    </row>
    <row r="748" spans="1:16" ht="17.649999999999999">
      <c r="A748" s="14">
        <v>743</v>
      </c>
      <c r="B748" s="15" t="s">
        <v>109</v>
      </c>
      <c r="C748" s="15" t="s">
        <v>862</v>
      </c>
      <c r="D748" s="16">
        <v>13016530.7644</v>
      </c>
      <c r="E748" s="17">
        <f t="shared" si="11"/>
        <v>13016530.7644</v>
      </c>
      <c r="F748" s="18"/>
      <c r="G748" s="18"/>
      <c r="H748" s="19"/>
      <c r="I748" s="19"/>
      <c r="J748" s="19"/>
      <c r="K748" s="19"/>
      <c r="L748" s="18"/>
      <c r="M748" s="18"/>
      <c r="N748" s="19"/>
      <c r="O748" s="19"/>
      <c r="P748" s="19"/>
    </row>
    <row r="749" spans="1:16" ht="17.649999999999999">
      <c r="A749" s="14">
        <v>744</v>
      </c>
      <c r="B749" s="15" t="s">
        <v>109</v>
      </c>
      <c r="C749" s="15" t="s">
        <v>864</v>
      </c>
      <c r="D749" s="16">
        <v>11983931.6874</v>
      </c>
      <c r="E749" s="17">
        <f t="shared" si="11"/>
        <v>11983931.6874</v>
      </c>
      <c r="F749" s="18"/>
      <c r="G749" s="18"/>
      <c r="H749" s="19"/>
      <c r="I749" s="19"/>
      <c r="J749" s="19"/>
      <c r="K749" s="19"/>
      <c r="L749" s="18"/>
      <c r="M749" s="18"/>
      <c r="N749" s="19"/>
      <c r="O749" s="19"/>
      <c r="P749" s="19"/>
    </row>
    <row r="750" spans="1:16" ht="17.649999999999999">
      <c r="A750" s="14">
        <v>745</v>
      </c>
      <c r="B750" s="15" t="s">
        <v>109</v>
      </c>
      <c r="C750" s="15" t="s">
        <v>866</v>
      </c>
      <c r="D750" s="16">
        <v>10411578.5711</v>
      </c>
      <c r="E750" s="17">
        <f t="shared" si="11"/>
        <v>10411578.5711</v>
      </c>
      <c r="F750" s="18"/>
      <c r="G750" s="18"/>
      <c r="H750" s="19"/>
      <c r="I750" s="19"/>
      <c r="J750" s="19"/>
      <c r="K750" s="19"/>
      <c r="L750" s="18"/>
      <c r="M750" s="18"/>
      <c r="N750" s="19"/>
      <c r="O750" s="19"/>
      <c r="P750" s="19"/>
    </row>
    <row r="751" spans="1:16" ht="17.649999999999999">
      <c r="A751" s="14">
        <v>746</v>
      </c>
      <c r="B751" s="15" t="s">
        <v>109</v>
      </c>
      <c r="C751" s="15" t="s">
        <v>868</v>
      </c>
      <c r="D751" s="16">
        <v>13731206.192399999</v>
      </c>
      <c r="E751" s="17">
        <f t="shared" si="11"/>
        <v>13731206.192399999</v>
      </c>
      <c r="F751" s="18"/>
      <c r="G751" s="18"/>
      <c r="H751" s="19"/>
      <c r="I751" s="19"/>
      <c r="J751" s="19"/>
      <c r="K751" s="19"/>
      <c r="L751" s="18"/>
      <c r="M751" s="18"/>
      <c r="N751" s="19"/>
      <c r="O751" s="19"/>
      <c r="P751" s="19"/>
    </row>
    <row r="752" spans="1:16" ht="17.649999999999999">
      <c r="A752" s="14">
        <v>747</v>
      </c>
      <c r="B752" s="15" t="s">
        <v>109</v>
      </c>
      <c r="C752" s="15" t="s">
        <v>870</v>
      </c>
      <c r="D752" s="16">
        <v>9683996.2116</v>
      </c>
      <c r="E752" s="17">
        <f t="shared" si="11"/>
        <v>9683996.2116</v>
      </c>
      <c r="F752" s="18"/>
      <c r="G752" s="18"/>
      <c r="H752" s="19"/>
      <c r="I752" s="19"/>
      <c r="J752" s="19"/>
      <c r="K752" s="19"/>
      <c r="L752" s="18"/>
      <c r="M752" s="18"/>
      <c r="N752" s="19"/>
      <c r="O752" s="19"/>
      <c r="P752" s="19"/>
    </row>
    <row r="753" spans="1:16" ht="17.649999999999999">
      <c r="A753" s="14">
        <v>748</v>
      </c>
      <c r="B753" s="15" t="s">
        <v>109</v>
      </c>
      <c r="C753" s="15" t="s">
        <v>872</v>
      </c>
      <c r="D753" s="16">
        <v>9275728.6817000005</v>
      </c>
      <c r="E753" s="17">
        <f t="shared" si="11"/>
        <v>9275728.6817000005</v>
      </c>
      <c r="F753" s="18"/>
      <c r="G753" s="18"/>
      <c r="H753" s="19"/>
      <c r="I753" s="19"/>
      <c r="J753" s="19"/>
      <c r="K753" s="19"/>
      <c r="L753" s="18"/>
      <c r="M753" s="18"/>
      <c r="N753" s="19"/>
      <c r="O753" s="19"/>
      <c r="P753" s="19"/>
    </row>
    <row r="754" spans="1:16" ht="17.649999999999999">
      <c r="A754" s="14">
        <v>749</v>
      </c>
      <c r="B754" s="15" t="s">
        <v>109</v>
      </c>
      <c r="C754" s="15" t="s">
        <v>874</v>
      </c>
      <c r="D754" s="16">
        <v>9944999.6526999995</v>
      </c>
      <c r="E754" s="17">
        <f t="shared" si="11"/>
        <v>9944999.6526999995</v>
      </c>
      <c r="F754" s="18"/>
      <c r="G754" s="18"/>
      <c r="H754" s="19"/>
      <c r="I754" s="19"/>
      <c r="J754" s="19"/>
      <c r="K754" s="19"/>
      <c r="L754" s="18"/>
      <c r="M754" s="18"/>
      <c r="N754" s="19"/>
      <c r="O754" s="19"/>
      <c r="P754" s="19"/>
    </row>
    <row r="755" spans="1:16" ht="17.649999999999999">
      <c r="A755" s="14">
        <v>750</v>
      </c>
      <c r="B755" s="15" t="s">
        <v>109</v>
      </c>
      <c r="C755" s="15" t="s">
        <v>876</v>
      </c>
      <c r="D755" s="16">
        <v>10816363.3487</v>
      </c>
      <c r="E755" s="17">
        <f t="shared" si="11"/>
        <v>10816363.3487</v>
      </c>
      <c r="F755" s="18"/>
      <c r="G755" s="18"/>
      <c r="H755" s="19"/>
      <c r="I755" s="19"/>
      <c r="J755" s="19"/>
      <c r="K755" s="19"/>
      <c r="L755" s="18"/>
      <c r="M755" s="18"/>
      <c r="N755" s="19"/>
      <c r="O755" s="19"/>
      <c r="P755" s="19"/>
    </row>
    <row r="756" spans="1:16" ht="17.649999999999999">
      <c r="A756" s="14">
        <v>751</v>
      </c>
      <c r="B756" s="15" t="s">
        <v>109</v>
      </c>
      <c r="C756" s="15" t="s">
        <v>878</v>
      </c>
      <c r="D756" s="16">
        <v>11902177.410399999</v>
      </c>
      <c r="E756" s="17">
        <f t="shared" si="11"/>
        <v>11902177.410399999</v>
      </c>
      <c r="F756" s="18"/>
      <c r="G756" s="18"/>
      <c r="H756" s="19"/>
      <c r="I756" s="19"/>
      <c r="J756" s="19"/>
      <c r="K756" s="19"/>
      <c r="L756" s="18"/>
      <c r="M756" s="18"/>
      <c r="N756" s="19"/>
      <c r="O756" s="19"/>
      <c r="P756" s="19"/>
    </row>
    <row r="757" spans="1:16" ht="17.649999999999999">
      <c r="A757" s="14">
        <v>752</v>
      </c>
      <c r="B757" s="15" t="s">
        <v>109</v>
      </c>
      <c r="C757" s="15" t="s">
        <v>880</v>
      </c>
      <c r="D757" s="16">
        <v>11039150.5074</v>
      </c>
      <c r="E757" s="17">
        <f t="shared" si="11"/>
        <v>11039150.5074</v>
      </c>
      <c r="F757" s="18"/>
      <c r="G757" s="18"/>
      <c r="H757" s="19"/>
      <c r="I757" s="19"/>
      <c r="J757" s="19"/>
      <c r="K757" s="19"/>
      <c r="L757" s="18"/>
      <c r="M757" s="18"/>
      <c r="N757" s="19"/>
      <c r="O757" s="19"/>
      <c r="P757" s="19"/>
    </row>
    <row r="758" spans="1:16" ht="17.649999999999999">
      <c r="A758" s="14">
        <v>753</v>
      </c>
      <c r="B758" s="15" t="s">
        <v>109</v>
      </c>
      <c r="C758" s="15" t="s">
        <v>882</v>
      </c>
      <c r="D758" s="16">
        <v>11504686.8639</v>
      </c>
      <c r="E758" s="17">
        <f t="shared" si="11"/>
        <v>11504686.8639</v>
      </c>
      <c r="F758" s="18"/>
      <c r="G758" s="18"/>
      <c r="H758" s="19"/>
      <c r="I758" s="19"/>
      <c r="J758" s="19"/>
      <c r="K758" s="19"/>
      <c r="L758" s="18"/>
      <c r="M758" s="18"/>
      <c r="N758" s="19"/>
      <c r="O758" s="19"/>
      <c r="P758" s="19"/>
    </row>
    <row r="759" spans="1:16" ht="17.649999999999999">
      <c r="A759" s="14">
        <v>754</v>
      </c>
      <c r="B759" s="15" t="s">
        <v>109</v>
      </c>
      <c r="C759" s="15" t="s">
        <v>884</v>
      </c>
      <c r="D759" s="16">
        <v>11477347.7031</v>
      </c>
      <c r="E759" s="17">
        <f t="shared" si="11"/>
        <v>11477347.7031</v>
      </c>
      <c r="F759" s="18"/>
      <c r="G759" s="18"/>
      <c r="H759" s="19"/>
      <c r="I759" s="19"/>
      <c r="J759" s="19"/>
      <c r="K759" s="19"/>
      <c r="L759" s="18"/>
      <c r="M759" s="18"/>
      <c r="N759" s="19"/>
      <c r="O759" s="19"/>
      <c r="P759" s="19"/>
    </row>
    <row r="760" spans="1:16" ht="17.649999999999999">
      <c r="A760" s="14">
        <v>755</v>
      </c>
      <c r="B760" s="15" t="s">
        <v>110</v>
      </c>
      <c r="C760" s="15" t="s">
        <v>888</v>
      </c>
      <c r="D760" s="16">
        <v>10803287.9175</v>
      </c>
      <c r="E760" s="17">
        <f t="shared" si="11"/>
        <v>10803287.9175</v>
      </c>
      <c r="F760" s="18"/>
      <c r="G760" s="18"/>
      <c r="H760" s="19"/>
      <c r="I760" s="19"/>
      <c r="J760" s="19"/>
      <c r="K760" s="19"/>
      <c r="L760" s="18"/>
      <c r="M760" s="18"/>
      <c r="N760" s="19"/>
      <c r="O760" s="19"/>
      <c r="P760" s="19"/>
    </row>
    <row r="761" spans="1:16" ht="17.649999999999999">
      <c r="A761" s="14">
        <v>756</v>
      </c>
      <c r="B761" s="15" t="s">
        <v>110</v>
      </c>
      <c r="C761" s="15" t="s">
        <v>890</v>
      </c>
      <c r="D761" s="16">
        <v>10460282.8081</v>
      </c>
      <c r="E761" s="17">
        <f t="shared" si="11"/>
        <v>10460282.8081</v>
      </c>
      <c r="F761" s="18"/>
      <c r="G761" s="18"/>
      <c r="H761" s="19"/>
      <c r="I761" s="19"/>
      <c r="J761" s="19"/>
      <c r="K761" s="19"/>
      <c r="L761" s="18"/>
      <c r="M761" s="18"/>
      <c r="N761" s="19"/>
      <c r="O761" s="19"/>
      <c r="P761" s="19"/>
    </row>
    <row r="762" spans="1:16" ht="17.649999999999999">
      <c r="A762" s="14">
        <v>757</v>
      </c>
      <c r="B762" s="15" t="s">
        <v>110</v>
      </c>
      <c r="C762" s="15" t="s">
        <v>892</v>
      </c>
      <c r="D762" s="16">
        <v>12344847.0811</v>
      </c>
      <c r="E762" s="17">
        <f t="shared" si="11"/>
        <v>12344847.0811</v>
      </c>
      <c r="F762" s="18"/>
      <c r="G762" s="18"/>
      <c r="H762" s="19"/>
      <c r="I762" s="19"/>
      <c r="J762" s="19"/>
      <c r="K762" s="19"/>
      <c r="L762" s="18"/>
      <c r="M762" s="18"/>
      <c r="N762" s="19"/>
      <c r="O762" s="19"/>
      <c r="P762" s="19"/>
    </row>
    <row r="763" spans="1:16" ht="17.649999999999999">
      <c r="A763" s="14">
        <v>758</v>
      </c>
      <c r="B763" s="15" t="s">
        <v>110</v>
      </c>
      <c r="C763" s="15" t="s">
        <v>894</v>
      </c>
      <c r="D763" s="16">
        <v>13625109.753699999</v>
      </c>
      <c r="E763" s="17">
        <f t="shared" si="11"/>
        <v>13625109.753699999</v>
      </c>
      <c r="F763" s="18"/>
      <c r="G763" s="18"/>
      <c r="H763" s="19"/>
      <c r="I763" s="19"/>
      <c r="J763" s="19"/>
      <c r="K763" s="19"/>
      <c r="L763" s="18"/>
      <c r="M763" s="18"/>
      <c r="N763" s="19"/>
      <c r="O763" s="19"/>
      <c r="P763" s="19"/>
    </row>
    <row r="764" spans="1:16" ht="17.649999999999999">
      <c r="A764" s="14">
        <v>759</v>
      </c>
      <c r="B764" s="15" t="s">
        <v>110</v>
      </c>
      <c r="C764" s="15" t="s">
        <v>896</v>
      </c>
      <c r="D764" s="16">
        <v>11859205.9891</v>
      </c>
      <c r="E764" s="17">
        <f t="shared" si="11"/>
        <v>11859205.9891</v>
      </c>
      <c r="F764" s="18"/>
      <c r="G764" s="18"/>
      <c r="H764" s="19"/>
      <c r="I764" s="19"/>
      <c r="J764" s="19"/>
      <c r="K764" s="19"/>
      <c r="L764" s="18"/>
      <c r="M764" s="18"/>
      <c r="N764" s="19"/>
      <c r="O764" s="19"/>
      <c r="P764" s="19"/>
    </row>
    <row r="765" spans="1:16" ht="17.649999999999999">
      <c r="A765" s="14">
        <v>760</v>
      </c>
      <c r="B765" s="15" t="s">
        <v>110</v>
      </c>
      <c r="C765" s="15" t="s">
        <v>898</v>
      </c>
      <c r="D765" s="16">
        <v>16467190.810699999</v>
      </c>
      <c r="E765" s="17">
        <f t="shared" si="11"/>
        <v>16467190.810699999</v>
      </c>
      <c r="F765" s="18"/>
      <c r="G765" s="18"/>
      <c r="H765" s="19"/>
      <c r="I765" s="19"/>
      <c r="J765" s="19"/>
      <c r="K765" s="19"/>
      <c r="L765" s="18"/>
      <c r="M765" s="18"/>
      <c r="N765" s="19"/>
      <c r="O765" s="19"/>
      <c r="P765" s="19"/>
    </row>
    <row r="766" spans="1:16" ht="17.649999999999999">
      <c r="A766" s="14">
        <v>761</v>
      </c>
      <c r="B766" s="15" t="s">
        <v>110</v>
      </c>
      <c r="C766" s="15" t="s">
        <v>900</v>
      </c>
      <c r="D766" s="16">
        <v>12506117.005899999</v>
      </c>
      <c r="E766" s="17">
        <f t="shared" si="11"/>
        <v>12506117.005899999</v>
      </c>
      <c r="F766" s="18"/>
      <c r="G766" s="18"/>
      <c r="H766" s="19"/>
      <c r="I766" s="19"/>
      <c r="J766" s="19"/>
      <c r="K766" s="19"/>
      <c r="L766" s="18"/>
      <c r="M766" s="18"/>
      <c r="N766" s="19"/>
      <c r="O766" s="19"/>
      <c r="P766" s="19"/>
    </row>
    <row r="767" spans="1:16" ht="17.649999999999999">
      <c r="A767" s="14">
        <v>762</v>
      </c>
      <c r="B767" s="15" t="s">
        <v>110</v>
      </c>
      <c r="C767" s="15" t="s">
        <v>814</v>
      </c>
      <c r="D767" s="16">
        <v>11346453.2915</v>
      </c>
      <c r="E767" s="17">
        <f t="shared" si="11"/>
        <v>11346453.2915</v>
      </c>
      <c r="F767" s="18"/>
      <c r="G767" s="18"/>
      <c r="H767" s="19"/>
      <c r="I767" s="19"/>
      <c r="J767" s="19"/>
      <c r="K767" s="19"/>
      <c r="L767" s="18"/>
      <c r="M767" s="18"/>
      <c r="N767" s="19"/>
      <c r="O767" s="19"/>
      <c r="P767" s="19"/>
    </row>
    <row r="768" spans="1:16" ht="17.649999999999999">
      <c r="A768" s="14">
        <v>763</v>
      </c>
      <c r="B768" s="15" t="s">
        <v>110</v>
      </c>
      <c r="C768" s="15" t="s">
        <v>903</v>
      </c>
      <c r="D768" s="16">
        <v>12265836.874399999</v>
      </c>
      <c r="E768" s="17">
        <f t="shared" si="11"/>
        <v>12265836.874399999</v>
      </c>
      <c r="F768" s="18"/>
      <c r="G768" s="18"/>
      <c r="H768" s="19"/>
      <c r="I768" s="19"/>
      <c r="J768" s="19"/>
      <c r="K768" s="19"/>
      <c r="L768" s="18"/>
      <c r="M768" s="18"/>
      <c r="N768" s="19"/>
      <c r="O768" s="19"/>
      <c r="P768" s="19"/>
    </row>
    <row r="769" spans="1:16" ht="17.649999999999999">
      <c r="A769" s="14">
        <v>764</v>
      </c>
      <c r="B769" s="15" t="s">
        <v>110</v>
      </c>
      <c r="C769" s="15" t="s">
        <v>905</v>
      </c>
      <c r="D769" s="16">
        <v>16189904.355599999</v>
      </c>
      <c r="E769" s="17">
        <f t="shared" si="11"/>
        <v>16189904.355599999</v>
      </c>
      <c r="F769" s="18"/>
      <c r="G769" s="18"/>
      <c r="H769" s="19"/>
      <c r="I769" s="19"/>
      <c r="J769" s="19"/>
      <c r="K769" s="19"/>
      <c r="L769" s="18"/>
      <c r="M769" s="18"/>
      <c r="N769" s="19"/>
      <c r="O769" s="19"/>
      <c r="P769" s="19"/>
    </row>
    <row r="770" spans="1:16" ht="17.649999999999999">
      <c r="A770" s="14">
        <v>765</v>
      </c>
      <c r="B770" s="15" t="s">
        <v>110</v>
      </c>
      <c r="C770" s="15" t="s">
        <v>907</v>
      </c>
      <c r="D770" s="16">
        <v>10108651.9504</v>
      </c>
      <c r="E770" s="17">
        <f t="shared" si="11"/>
        <v>10108651.9504</v>
      </c>
      <c r="F770" s="18"/>
      <c r="G770" s="18"/>
      <c r="H770" s="19"/>
      <c r="I770" s="19"/>
      <c r="J770" s="19"/>
      <c r="K770" s="19"/>
      <c r="L770" s="18"/>
      <c r="M770" s="18"/>
      <c r="N770" s="19"/>
      <c r="O770" s="19"/>
      <c r="P770" s="19"/>
    </row>
    <row r="771" spans="1:16" ht="17.649999999999999">
      <c r="A771" s="14">
        <v>766</v>
      </c>
      <c r="B771" s="15" t="s">
        <v>110</v>
      </c>
      <c r="C771" s="15" t="s">
        <v>909</v>
      </c>
      <c r="D771" s="16">
        <v>11675660.0847</v>
      </c>
      <c r="E771" s="17">
        <f t="shared" si="11"/>
        <v>11675660.0847</v>
      </c>
      <c r="F771" s="18"/>
      <c r="G771" s="18"/>
      <c r="H771" s="19"/>
      <c r="I771" s="19"/>
      <c r="J771" s="19"/>
      <c r="K771" s="19"/>
      <c r="L771" s="18"/>
      <c r="M771" s="18"/>
      <c r="N771" s="19"/>
      <c r="O771" s="19"/>
      <c r="P771" s="19"/>
    </row>
    <row r="772" spans="1:16" ht="17.649999999999999">
      <c r="A772" s="14">
        <v>767</v>
      </c>
      <c r="B772" s="15" t="s">
        <v>110</v>
      </c>
      <c r="C772" s="15" t="s">
        <v>911</v>
      </c>
      <c r="D772" s="16">
        <v>12369978.033299999</v>
      </c>
      <c r="E772" s="17">
        <f t="shared" si="11"/>
        <v>12369978.033299999</v>
      </c>
      <c r="F772" s="18"/>
      <c r="G772" s="18"/>
      <c r="H772" s="19"/>
      <c r="I772" s="19"/>
      <c r="J772" s="19"/>
      <c r="K772" s="19"/>
      <c r="L772" s="18"/>
      <c r="M772" s="18"/>
      <c r="N772" s="19"/>
      <c r="O772" s="19"/>
      <c r="P772" s="19"/>
    </row>
    <row r="773" spans="1:16" ht="17.649999999999999">
      <c r="A773" s="14">
        <v>768</v>
      </c>
      <c r="B773" s="15" t="s">
        <v>110</v>
      </c>
      <c r="C773" s="15" t="s">
        <v>913</v>
      </c>
      <c r="D773" s="16">
        <v>13661490.199100001</v>
      </c>
      <c r="E773" s="17">
        <f t="shared" si="11"/>
        <v>13661490.199100001</v>
      </c>
      <c r="F773" s="18"/>
      <c r="G773" s="18"/>
      <c r="H773" s="19"/>
      <c r="I773" s="19"/>
      <c r="J773" s="19"/>
      <c r="K773" s="19"/>
      <c r="L773" s="18"/>
      <c r="M773" s="18"/>
      <c r="N773" s="19"/>
      <c r="O773" s="19"/>
      <c r="P773" s="19"/>
    </row>
    <row r="774" spans="1:16" ht="17.649999999999999">
      <c r="A774" s="14">
        <v>769</v>
      </c>
      <c r="B774" s="15" t="s">
        <v>917</v>
      </c>
      <c r="C774" s="15" t="s">
        <v>918</v>
      </c>
      <c r="D774" s="16">
        <v>9024380.9874000009</v>
      </c>
      <c r="E774" s="17">
        <f t="shared" si="11"/>
        <v>9024380.9874000009</v>
      </c>
      <c r="F774" s="18"/>
      <c r="G774" s="18"/>
      <c r="H774" s="19"/>
      <c r="I774" s="19"/>
      <c r="J774" s="19"/>
      <c r="K774" s="19"/>
      <c r="L774" s="18"/>
      <c r="M774" s="18"/>
      <c r="N774" s="19"/>
      <c r="O774" s="19"/>
      <c r="P774" s="19"/>
    </row>
    <row r="775" spans="1:16" ht="35.25">
      <c r="A775" s="14">
        <v>770</v>
      </c>
      <c r="B775" s="15" t="s">
        <v>917</v>
      </c>
      <c r="C775" s="15" t="s">
        <v>920</v>
      </c>
      <c r="D775" s="16">
        <v>23037108.6655</v>
      </c>
      <c r="E775" s="17">
        <f t="shared" ref="E775:E779" si="12">D775</f>
        <v>23037108.6655</v>
      </c>
      <c r="F775" s="18"/>
      <c r="G775" s="18"/>
      <c r="H775" s="19"/>
      <c r="I775" s="19"/>
      <c r="J775" s="19"/>
      <c r="K775" s="19"/>
      <c r="L775" s="18"/>
      <c r="M775" s="18"/>
      <c r="N775" s="19"/>
      <c r="O775" s="19"/>
      <c r="P775" s="19"/>
    </row>
    <row r="776" spans="1:16" ht="17.649999999999999">
      <c r="A776" s="14">
        <v>771</v>
      </c>
      <c r="B776" s="15" t="s">
        <v>917</v>
      </c>
      <c r="C776" s="15" t="s">
        <v>922</v>
      </c>
      <c r="D776" s="16">
        <v>12976173.3278</v>
      </c>
      <c r="E776" s="17">
        <f t="shared" si="12"/>
        <v>12976173.3278</v>
      </c>
      <c r="F776" s="18"/>
      <c r="G776" s="18"/>
      <c r="H776" s="19"/>
      <c r="I776" s="19"/>
      <c r="J776" s="19"/>
      <c r="K776" s="19"/>
      <c r="L776" s="18"/>
      <c r="M776" s="18"/>
      <c r="N776" s="19"/>
      <c r="O776" s="19"/>
      <c r="P776" s="19"/>
    </row>
    <row r="777" spans="1:16" ht="17.649999999999999">
      <c r="A777" s="14">
        <v>772</v>
      </c>
      <c r="B777" s="15" t="s">
        <v>917</v>
      </c>
      <c r="C777" s="15" t="s">
        <v>924</v>
      </c>
      <c r="D777" s="16">
        <v>11120752.5745</v>
      </c>
      <c r="E777" s="17">
        <f t="shared" si="12"/>
        <v>11120752.5745</v>
      </c>
      <c r="F777" s="18"/>
      <c r="G777" s="18"/>
      <c r="H777" s="19"/>
      <c r="I777" s="19"/>
      <c r="J777" s="19"/>
      <c r="K777" s="19"/>
      <c r="L777" s="18"/>
      <c r="M777" s="18"/>
      <c r="N777" s="19"/>
      <c r="O777" s="19"/>
      <c r="P777" s="19"/>
    </row>
    <row r="778" spans="1:16" ht="17.649999999999999">
      <c r="A778" s="14">
        <v>773</v>
      </c>
      <c r="B778" s="15" t="s">
        <v>917</v>
      </c>
      <c r="C778" s="15" t="s">
        <v>926</v>
      </c>
      <c r="D778" s="16">
        <v>10566605.890900001</v>
      </c>
      <c r="E778" s="17">
        <f t="shared" si="12"/>
        <v>10566605.890900001</v>
      </c>
      <c r="F778" s="18"/>
      <c r="G778" s="18"/>
      <c r="H778" s="19"/>
      <c r="I778" s="19"/>
      <c r="J778" s="19"/>
      <c r="K778" s="19"/>
      <c r="L778" s="18"/>
      <c r="M778" s="18"/>
      <c r="N778" s="19"/>
      <c r="O778" s="19"/>
      <c r="P778" s="19"/>
    </row>
    <row r="779" spans="1:16" ht="17.649999999999999">
      <c r="A779" s="14">
        <v>774</v>
      </c>
      <c r="B779" s="15" t="s">
        <v>917</v>
      </c>
      <c r="C779" s="15" t="s">
        <v>928</v>
      </c>
      <c r="D779" s="16">
        <v>10869211.8369</v>
      </c>
      <c r="E779" s="17">
        <f t="shared" si="12"/>
        <v>10869211.8369</v>
      </c>
      <c r="F779" s="18"/>
      <c r="G779" s="18"/>
      <c r="H779" s="19"/>
      <c r="I779" s="19"/>
      <c r="J779" s="19"/>
      <c r="K779" s="19"/>
      <c r="L779" s="18"/>
      <c r="M779" s="18"/>
      <c r="N779" s="19"/>
      <c r="O779" s="19"/>
      <c r="P779" s="19"/>
    </row>
    <row r="780" spans="1:16" ht="17.649999999999999">
      <c r="A780" s="20"/>
      <c r="B780" s="200" t="s">
        <v>38</v>
      </c>
      <c r="C780" s="201"/>
      <c r="D780" s="21">
        <f>SUM(D6:D779)</f>
        <v>8539881397.3811064</v>
      </c>
      <c r="E780" s="21">
        <f>SUM(E6:E779)</f>
        <v>8539881397.3811064</v>
      </c>
    </row>
  </sheetData>
  <mergeCells count="4">
    <mergeCell ref="A1:E1"/>
    <mergeCell ref="A2:E2"/>
    <mergeCell ref="A3:E3"/>
    <mergeCell ref="B780:C7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MONTHENTRY</vt:lpstr>
      <vt:lpstr>Sum &amp; FG</vt:lpstr>
      <vt:lpstr>State Details</vt:lpstr>
      <vt:lpstr>LGCs Details</vt:lpstr>
      <vt:lpstr>Sum LGCs</vt:lpstr>
      <vt:lpstr>Ecology to States</vt:lpstr>
      <vt:lpstr>Ecology to LGCs</vt:lpstr>
      <vt:lpstr>ECOLOGY TO INDIVIDUAL LGCS</vt:lpstr>
      <vt:lpstr>acctmonth</vt:lpstr>
      <vt:lpstr>previuosmonth</vt:lpstr>
      <vt:lpstr>'LGCs Details'!Print_Area</vt:lpstr>
      <vt:lpstr>'State Details'!Print_Area</vt:lpstr>
      <vt:lpstr>'Sum &amp; FG'!Print_Area</vt:lpstr>
      <vt:lpstr>'Sum LGCs'!Print_Area</vt:lpstr>
    </vt:vector>
  </TitlesOfParts>
  <Company>OAGF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FUNDS</dc:creator>
  <cp:lastModifiedBy>Waniko Yaba Moses</cp:lastModifiedBy>
  <cp:lastPrinted>2026-07-08T10:40:11Z</cp:lastPrinted>
  <dcterms:created xsi:type="dcterms:W3CDTF">2003-11-12T09:54:00Z</dcterms:created>
  <dcterms:modified xsi:type="dcterms:W3CDTF">2026-08-10T11:12:41Z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05B078E78A6A4F85BC333F7642395ADD_13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