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1"/>
  <workbookPr codeName="ThisWorkbook"/>
  <xr:revisionPtr revIDLastSave="0" documentId="8_{7B10D7CF-90EF-43B1-B3C3-BB054D411EDA}" xr6:coauthVersionLast="47" xr6:coauthVersionMax="47" xr10:uidLastSave="{00000000-0000-0000-0000-000000000000}"/>
  <bookViews>
    <workbookView xWindow="0" yWindow="0" windowWidth="20490" windowHeight="7260" firstSheet="2" activeTab="2" xr2:uid="{00000000-000D-0000-FFFF-FFFF00000000}"/>
  </bookViews>
  <sheets>
    <sheet name="MONTHENTRY" sheetId="8" state="hidden" r:id="rId1"/>
    <sheet name="Sum &amp; FG" sheetId="4" r:id="rId2"/>
    <sheet name="State Details" sheetId="12" r:id="rId3"/>
    <sheet name="LG Details" sheetId="17" r:id="rId4"/>
    <sheet name="Sumlgcs" sheetId="14" r:id="rId5"/>
    <sheet name="Ecology to States" sheetId="13" r:id="rId6"/>
    <sheet name="ECOLOGY TO INDIVIDUAL LGCS" sheetId="19" r:id="rId7"/>
    <sheet name="Ecology to LGCs" sheetId="21" r:id="rId8"/>
  </sheets>
  <definedNames>
    <definedName name="ACCTDATE">#REF!</definedName>
    <definedName name="acctmonth">MONTHENTRY!$F$6</definedName>
    <definedName name="previuosmonth">MONTHENTRY!$B$6</definedName>
    <definedName name="_xlnm.Print_Area" localSheetId="4">Sumlgcs!$A$1:$K$43</definedName>
    <definedName name="_xlnm.Print_Area" localSheetId="3">'LG Details'!$A$1:$AA$414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2" l="1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10" i="12"/>
  <c r="E32" i="4"/>
  <c r="E43" i="21"/>
  <c r="D43" i="21"/>
  <c r="C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F780" i="19"/>
  <c r="E780" i="19"/>
  <c r="D780" i="19"/>
  <c r="F779" i="19"/>
  <c r="F778" i="19"/>
  <c r="F777" i="19"/>
  <c r="F776" i="19"/>
  <c r="F775" i="19"/>
  <c r="F774" i="19"/>
  <c r="F773" i="19"/>
  <c r="F772" i="19"/>
  <c r="F771" i="19"/>
  <c r="F770" i="19"/>
  <c r="F769" i="19"/>
  <c r="F768" i="19"/>
  <c r="F767" i="19"/>
  <c r="F766" i="19"/>
  <c r="F765" i="19"/>
  <c r="F764" i="19"/>
  <c r="F763" i="19"/>
  <c r="F762" i="19"/>
  <c r="F761" i="19"/>
  <c r="F760" i="19"/>
  <c r="F759" i="19"/>
  <c r="F758" i="19"/>
  <c r="F757" i="19"/>
  <c r="F756" i="19"/>
  <c r="F755" i="19"/>
  <c r="F754" i="19"/>
  <c r="F753" i="19"/>
  <c r="F752" i="19"/>
  <c r="F751" i="19"/>
  <c r="F750" i="19"/>
  <c r="F749" i="19"/>
  <c r="F748" i="19"/>
  <c r="F747" i="19"/>
  <c r="F746" i="19"/>
  <c r="F745" i="19"/>
  <c r="F744" i="19"/>
  <c r="F743" i="19"/>
  <c r="F742" i="19"/>
  <c r="F741" i="19"/>
  <c r="F740" i="19"/>
  <c r="F739" i="19"/>
  <c r="F738" i="19"/>
  <c r="F737" i="19"/>
  <c r="F736" i="19"/>
  <c r="F735" i="19"/>
  <c r="F734" i="19"/>
  <c r="F733" i="19"/>
  <c r="F732" i="19"/>
  <c r="F731" i="19"/>
  <c r="F730" i="19"/>
  <c r="F729" i="19"/>
  <c r="F728" i="19"/>
  <c r="F727" i="19"/>
  <c r="F726" i="19"/>
  <c r="F725" i="19"/>
  <c r="F724" i="19"/>
  <c r="F723" i="19"/>
  <c r="F722" i="19"/>
  <c r="F721" i="19"/>
  <c r="F720" i="19"/>
  <c r="F719" i="19"/>
  <c r="F718" i="19"/>
  <c r="F717" i="19"/>
  <c r="F716" i="19"/>
  <c r="F715" i="19"/>
  <c r="F714" i="19"/>
  <c r="F713" i="19"/>
  <c r="F712" i="19"/>
  <c r="F711" i="19"/>
  <c r="F710" i="19"/>
  <c r="F709" i="19"/>
  <c r="F708" i="19"/>
  <c r="F707" i="19"/>
  <c r="F706" i="19"/>
  <c r="F705" i="19"/>
  <c r="F704" i="19"/>
  <c r="F703" i="19"/>
  <c r="F702" i="19"/>
  <c r="F701" i="19"/>
  <c r="F700" i="19"/>
  <c r="F699" i="19"/>
  <c r="F698" i="19"/>
  <c r="F697" i="19"/>
  <c r="F696" i="19"/>
  <c r="F695" i="19"/>
  <c r="F694" i="19"/>
  <c r="F693" i="19"/>
  <c r="F692" i="19"/>
  <c r="F691" i="19"/>
  <c r="F690" i="19"/>
  <c r="F689" i="19"/>
  <c r="F688" i="19"/>
  <c r="F687" i="19"/>
  <c r="F686" i="19"/>
  <c r="F685" i="19"/>
  <c r="F684" i="19"/>
  <c r="F683" i="19"/>
  <c r="F682" i="19"/>
  <c r="F681" i="19"/>
  <c r="F680" i="19"/>
  <c r="F679" i="19"/>
  <c r="F678" i="19"/>
  <c r="F677" i="19"/>
  <c r="F676" i="19"/>
  <c r="F675" i="19"/>
  <c r="F674" i="19"/>
  <c r="F673" i="19"/>
  <c r="F672" i="19"/>
  <c r="F671" i="19"/>
  <c r="F670" i="19"/>
  <c r="F669" i="19"/>
  <c r="F668" i="19"/>
  <c r="F667" i="19"/>
  <c r="F666" i="19"/>
  <c r="F665" i="19"/>
  <c r="F664" i="19"/>
  <c r="F663" i="19"/>
  <c r="F662" i="19"/>
  <c r="F661" i="19"/>
  <c r="F660" i="19"/>
  <c r="F659" i="19"/>
  <c r="F658" i="19"/>
  <c r="F657" i="19"/>
  <c r="F656" i="19"/>
  <c r="F655" i="19"/>
  <c r="F654" i="19"/>
  <c r="F653" i="19"/>
  <c r="F652" i="19"/>
  <c r="F651" i="19"/>
  <c r="F650" i="19"/>
  <c r="F649" i="19"/>
  <c r="F648" i="19"/>
  <c r="F647" i="19"/>
  <c r="F646" i="19"/>
  <c r="F645" i="19"/>
  <c r="F644" i="19"/>
  <c r="F643" i="19"/>
  <c r="F642" i="19"/>
  <c r="F641" i="19"/>
  <c r="F640" i="19"/>
  <c r="F639" i="19"/>
  <c r="F638" i="19"/>
  <c r="F637" i="19"/>
  <c r="F636" i="19"/>
  <c r="F635" i="19"/>
  <c r="F634" i="19"/>
  <c r="F633" i="19"/>
  <c r="F632" i="19"/>
  <c r="F631" i="19"/>
  <c r="F630" i="19"/>
  <c r="F629" i="19"/>
  <c r="F628" i="19"/>
  <c r="F627" i="19"/>
  <c r="F626" i="19"/>
  <c r="F625" i="19"/>
  <c r="F624" i="19"/>
  <c r="F623" i="19"/>
  <c r="F622" i="19"/>
  <c r="F621" i="19"/>
  <c r="F620" i="19"/>
  <c r="F619" i="19"/>
  <c r="F618" i="19"/>
  <c r="F617" i="19"/>
  <c r="F616" i="19"/>
  <c r="F615" i="19"/>
  <c r="F614" i="19"/>
  <c r="F613" i="19"/>
  <c r="F612" i="19"/>
  <c r="F611" i="19"/>
  <c r="F610" i="19"/>
  <c r="F609" i="19"/>
  <c r="F608" i="19"/>
  <c r="F607" i="19"/>
  <c r="F606" i="19"/>
  <c r="F605" i="19"/>
  <c r="F604" i="19"/>
  <c r="F603" i="19"/>
  <c r="F602" i="19"/>
  <c r="F601" i="19"/>
  <c r="F600" i="19"/>
  <c r="F599" i="19"/>
  <c r="F598" i="19"/>
  <c r="F597" i="19"/>
  <c r="F596" i="19"/>
  <c r="F595" i="19"/>
  <c r="F594" i="19"/>
  <c r="F593" i="19"/>
  <c r="F592" i="19"/>
  <c r="F591" i="19"/>
  <c r="F590" i="19"/>
  <c r="F589" i="19"/>
  <c r="F588" i="19"/>
  <c r="F587" i="19"/>
  <c r="F586" i="19"/>
  <c r="F585" i="19"/>
  <c r="F584" i="19"/>
  <c r="F583" i="19"/>
  <c r="F582" i="19"/>
  <c r="F581" i="19"/>
  <c r="F580" i="19"/>
  <c r="F579" i="19"/>
  <c r="F578" i="19"/>
  <c r="F577" i="19"/>
  <c r="F576" i="19"/>
  <c r="F575" i="19"/>
  <c r="F574" i="19"/>
  <c r="F573" i="19"/>
  <c r="F572" i="19"/>
  <c r="F571" i="19"/>
  <c r="F570" i="19"/>
  <c r="F569" i="19"/>
  <c r="F568" i="19"/>
  <c r="F567" i="19"/>
  <c r="F566" i="19"/>
  <c r="F565" i="19"/>
  <c r="F564" i="19"/>
  <c r="F563" i="19"/>
  <c r="F562" i="19"/>
  <c r="F561" i="19"/>
  <c r="F560" i="19"/>
  <c r="F559" i="19"/>
  <c r="F558" i="19"/>
  <c r="F557" i="19"/>
  <c r="F556" i="19"/>
  <c r="F555" i="19"/>
  <c r="F554" i="19"/>
  <c r="F553" i="19"/>
  <c r="F552" i="19"/>
  <c r="F551" i="19"/>
  <c r="F550" i="19"/>
  <c r="F549" i="19"/>
  <c r="F548" i="19"/>
  <c r="F547" i="19"/>
  <c r="F546" i="19"/>
  <c r="F545" i="19"/>
  <c r="F544" i="19"/>
  <c r="F543" i="19"/>
  <c r="F542" i="19"/>
  <c r="F541" i="19"/>
  <c r="F540" i="19"/>
  <c r="F539" i="19"/>
  <c r="F538" i="19"/>
  <c r="F537" i="19"/>
  <c r="F536" i="19"/>
  <c r="F535" i="19"/>
  <c r="F534" i="19"/>
  <c r="F533" i="19"/>
  <c r="F532" i="19"/>
  <c r="F531" i="19"/>
  <c r="F530" i="19"/>
  <c r="F529" i="19"/>
  <c r="F528" i="19"/>
  <c r="F527" i="19"/>
  <c r="F526" i="19"/>
  <c r="F525" i="19"/>
  <c r="F524" i="19"/>
  <c r="F523" i="19"/>
  <c r="F522" i="19"/>
  <c r="F521" i="19"/>
  <c r="F520" i="19"/>
  <c r="F519" i="19"/>
  <c r="F518" i="19"/>
  <c r="F517" i="19"/>
  <c r="F516" i="19"/>
  <c r="F515" i="19"/>
  <c r="F514" i="19"/>
  <c r="F513" i="19"/>
  <c r="F512" i="19"/>
  <c r="F511" i="19"/>
  <c r="F510" i="19"/>
  <c r="F509" i="19"/>
  <c r="F508" i="19"/>
  <c r="F507" i="19"/>
  <c r="F506" i="19"/>
  <c r="F505" i="19"/>
  <c r="F504" i="19"/>
  <c r="F503" i="19"/>
  <c r="F502" i="19"/>
  <c r="F501" i="19"/>
  <c r="F500" i="19"/>
  <c r="F499" i="19"/>
  <c r="F498" i="19"/>
  <c r="F497" i="19"/>
  <c r="F496" i="19"/>
  <c r="F495" i="19"/>
  <c r="F494" i="19"/>
  <c r="F493" i="19"/>
  <c r="F492" i="19"/>
  <c r="F491" i="19"/>
  <c r="F490" i="19"/>
  <c r="F489" i="19"/>
  <c r="F488" i="19"/>
  <c r="F487" i="19"/>
  <c r="F486" i="19"/>
  <c r="F485" i="19"/>
  <c r="F484" i="19"/>
  <c r="F483" i="19"/>
  <c r="F482" i="19"/>
  <c r="F481" i="19"/>
  <c r="F480" i="19"/>
  <c r="F479" i="19"/>
  <c r="F478" i="19"/>
  <c r="F477" i="19"/>
  <c r="F476" i="19"/>
  <c r="F475" i="19"/>
  <c r="F474" i="19"/>
  <c r="F473" i="19"/>
  <c r="F472" i="19"/>
  <c r="F471" i="19"/>
  <c r="F470" i="19"/>
  <c r="F469" i="19"/>
  <c r="F468" i="19"/>
  <c r="F467" i="19"/>
  <c r="F466" i="19"/>
  <c r="F465" i="19"/>
  <c r="F464" i="19"/>
  <c r="F463" i="19"/>
  <c r="F462" i="19"/>
  <c r="F461" i="19"/>
  <c r="F460" i="19"/>
  <c r="F459" i="19"/>
  <c r="F458" i="19"/>
  <c r="F457" i="19"/>
  <c r="F456" i="19"/>
  <c r="F455" i="19"/>
  <c r="F454" i="19"/>
  <c r="F453" i="19"/>
  <c r="F452" i="19"/>
  <c r="F451" i="19"/>
  <c r="F450" i="19"/>
  <c r="F449" i="19"/>
  <c r="F448" i="19"/>
  <c r="F447" i="19"/>
  <c r="F446" i="19"/>
  <c r="F445" i="19"/>
  <c r="F444" i="19"/>
  <c r="F443" i="19"/>
  <c r="F442" i="19"/>
  <c r="F441" i="19"/>
  <c r="F440" i="19"/>
  <c r="F439" i="19"/>
  <c r="F438" i="19"/>
  <c r="F437" i="19"/>
  <c r="F436" i="19"/>
  <c r="F435" i="19"/>
  <c r="F434" i="19"/>
  <c r="F433" i="19"/>
  <c r="F432" i="19"/>
  <c r="F431" i="19"/>
  <c r="F430" i="19"/>
  <c r="F429" i="19"/>
  <c r="F428" i="19"/>
  <c r="F427" i="19"/>
  <c r="F426" i="19"/>
  <c r="F425" i="19"/>
  <c r="F424" i="19"/>
  <c r="F423" i="19"/>
  <c r="F422" i="19"/>
  <c r="F421" i="19"/>
  <c r="F420" i="19"/>
  <c r="F419" i="19"/>
  <c r="F418" i="19"/>
  <c r="F417" i="19"/>
  <c r="F416" i="19"/>
  <c r="F415" i="19"/>
  <c r="F414" i="19"/>
  <c r="F413" i="19"/>
  <c r="F412" i="19"/>
  <c r="F411" i="19"/>
  <c r="F410" i="19"/>
  <c r="F409" i="19"/>
  <c r="F408" i="19"/>
  <c r="F407" i="19"/>
  <c r="F406" i="19"/>
  <c r="F405" i="19"/>
  <c r="F404" i="19"/>
  <c r="F403" i="19"/>
  <c r="F402" i="19"/>
  <c r="F401" i="19"/>
  <c r="F400" i="19"/>
  <c r="F399" i="19"/>
  <c r="F398" i="19"/>
  <c r="F397" i="19"/>
  <c r="F396" i="19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8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365" i="19"/>
  <c r="F364" i="19"/>
  <c r="F363" i="19"/>
  <c r="F362" i="19"/>
  <c r="F361" i="19"/>
  <c r="F360" i="19"/>
  <c r="F359" i="19"/>
  <c r="F358" i="19"/>
  <c r="F357" i="19"/>
  <c r="F356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342" i="19"/>
  <c r="F341" i="19"/>
  <c r="F340" i="19"/>
  <c r="F339" i="19"/>
  <c r="F338" i="19"/>
  <c r="F337" i="19"/>
  <c r="F336" i="19"/>
  <c r="F335" i="19"/>
  <c r="F334" i="19"/>
  <c r="F333" i="19"/>
  <c r="F332" i="19"/>
  <c r="F331" i="19"/>
  <c r="F330" i="19"/>
  <c r="F329" i="19"/>
  <c r="F328" i="19"/>
  <c r="F327" i="19"/>
  <c r="F326" i="19"/>
  <c r="F325" i="19"/>
  <c r="F324" i="19"/>
  <c r="F323" i="19"/>
  <c r="F322" i="19"/>
  <c r="F321" i="19"/>
  <c r="F320" i="19"/>
  <c r="F319" i="19"/>
  <c r="F318" i="19"/>
  <c r="F317" i="19"/>
  <c r="F316" i="19"/>
  <c r="F315" i="19"/>
  <c r="F314" i="19"/>
  <c r="F313" i="19"/>
  <c r="F312" i="19"/>
  <c r="F311" i="19"/>
  <c r="F310" i="19"/>
  <c r="F309" i="19"/>
  <c r="F308" i="19"/>
  <c r="F307" i="19"/>
  <c r="F306" i="19"/>
  <c r="F305" i="19"/>
  <c r="F304" i="19"/>
  <c r="F303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F286" i="19"/>
  <c r="F285" i="19"/>
  <c r="F284" i="19"/>
  <c r="F283" i="19"/>
  <c r="F282" i="19"/>
  <c r="F281" i="19"/>
  <c r="F280" i="19"/>
  <c r="F279" i="19"/>
  <c r="F278" i="19"/>
  <c r="F277" i="19"/>
  <c r="F276" i="19"/>
  <c r="F275" i="19"/>
  <c r="F274" i="19"/>
  <c r="F273" i="19"/>
  <c r="F272" i="19"/>
  <c r="F271" i="19"/>
  <c r="F270" i="19"/>
  <c r="F269" i="19"/>
  <c r="F268" i="19"/>
  <c r="F267" i="19"/>
  <c r="F266" i="19"/>
  <c r="F265" i="19"/>
  <c r="F264" i="19"/>
  <c r="F263" i="19"/>
  <c r="F262" i="19"/>
  <c r="F261" i="19"/>
  <c r="F260" i="19"/>
  <c r="F259" i="19"/>
  <c r="F258" i="19"/>
  <c r="F257" i="19"/>
  <c r="F256" i="19"/>
  <c r="F255" i="19"/>
  <c r="F254" i="19"/>
  <c r="F253" i="19"/>
  <c r="F252" i="19"/>
  <c r="F251" i="19"/>
  <c r="F250" i="19"/>
  <c r="F249" i="19"/>
  <c r="F248" i="19"/>
  <c r="F247" i="19"/>
  <c r="F246" i="19"/>
  <c r="F245" i="19"/>
  <c r="F244" i="19"/>
  <c r="F243" i="19"/>
  <c r="F242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F226" i="19"/>
  <c r="F225" i="19"/>
  <c r="F224" i="19"/>
  <c r="F223" i="19"/>
  <c r="F222" i="19"/>
  <c r="F221" i="19"/>
  <c r="F220" i="19"/>
  <c r="F219" i="19"/>
  <c r="F218" i="19"/>
  <c r="F217" i="19"/>
  <c r="F216" i="19"/>
  <c r="F215" i="19"/>
  <c r="F214" i="19"/>
  <c r="F213" i="19"/>
  <c r="F212" i="19"/>
  <c r="F211" i="19"/>
  <c r="F210" i="19"/>
  <c r="F209" i="19"/>
  <c r="F208" i="19"/>
  <c r="F207" i="19"/>
  <c r="F206" i="19"/>
  <c r="F205" i="19"/>
  <c r="F204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5" i="19"/>
  <c r="F184" i="19"/>
  <c r="F183" i="19"/>
  <c r="F182" i="19"/>
  <c r="F181" i="19"/>
  <c r="F180" i="19"/>
  <c r="F179" i="19"/>
  <c r="F178" i="19"/>
  <c r="F177" i="19"/>
  <c r="F176" i="19"/>
  <c r="F175" i="19"/>
  <c r="F174" i="19"/>
  <c r="F173" i="19"/>
  <c r="F172" i="19"/>
  <c r="F171" i="19"/>
  <c r="F170" i="19"/>
  <c r="F169" i="19"/>
  <c r="F168" i="19"/>
  <c r="F167" i="19"/>
  <c r="F166" i="19"/>
  <c r="F165" i="19"/>
  <c r="F164" i="19"/>
  <c r="F163" i="19"/>
  <c r="F162" i="19"/>
  <c r="F161" i="19"/>
  <c r="F160" i="19"/>
  <c r="F159" i="19"/>
  <c r="F158" i="19"/>
  <c r="F157" i="19"/>
  <c r="F156" i="19"/>
  <c r="F155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E42" i="13"/>
  <c r="D42" i="13"/>
  <c r="C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K43" i="14"/>
  <c r="J43" i="14"/>
  <c r="I43" i="14"/>
  <c r="H43" i="14"/>
  <c r="G43" i="14"/>
  <c r="F43" i="14"/>
  <c r="E43" i="14"/>
  <c r="D43" i="14"/>
  <c r="C43" i="14"/>
  <c r="K42" i="14"/>
  <c r="I42" i="14"/>
  <c r="K41" i="14"/>
  <c r="I41" i="14"/>
  <c r="K40" i="14"/>
  <c r="I40" i="14"/>
  <c r="K39" i="14"/>
  <c r="I39" i="14"/>
  <c r="K38" i="14"/>
  <c r="I38" i="14"/>
  <c r="K37" i="14"/>
  <c r="I37" i="14"/>
  <c r="H37" i="14"/>
  <c r="K36" i="14"/>
  <c r="I36" i="14"/>
  <c r="H36" i="14"/>
  <c r="K35" i="14"/>
  <c r="I35" i="14"/>
  <c r="K34" i="14"/>
  <c r="I34" i="14"/>
  <c r="K33" i="14"/>
  <c r="I33" i="14"/>
  <c r="H33" i="14"/>
  <c r="K32" i="14"/>
  <c r="I32" i="14"/>
  <c r="K31" i="14"/>
  <c r="I31" i="14"/>
  <c r="H31" i="14"/>
  <c r="K30" i="14"/>
  <c r="I30" i="14"/>
  <c r="K29" i="14"/>
  <c r="I29" i="14"/>
  <c r="K28" i="14"/>
  <c r="I28" i="14"/>
  <c r="H28" i="14"/>
  <c r="K27" i="14"/>
  <c r="I27" i="14"/>
  <c r="H27" i="14"/>
  <c r="K26" i="14"/>
  <c r="I26" i="14"/>
  <c r="H26" i="14"/>
  <c r="K25" i="14"/>
  <c r="I25" i="14"/>
  <c r="K24" i="14"/>
  <c r="I24" i="14"/>
  <c r="K23" i="14"/>
  <c r="I23" i="14"/>
  <c r="K22" i="14"/>
  <c r="I22" i="14"/>
  <c r="K21" i="14"/>
  <c r="I21" i="14"/>
  <c r="H21" i="14"/>
  <c r="K20" i="14"/>
  <c r="I20" i="14"/>
  <c r="K19" i="14"/>
  <c r="I19" i="14"/>
  <c r="K18" i="14"/>
  <c r="I18" i="14"/>
  <c r="K17" i="14"/>
  <c r="I17" i="14"/>
  <c r="H17" i="14"/>
  <c r="K16" i="14"/>
  <c r="I16" i="14"/>
  <c r="D16" i="14"/>
  <c r="K15" i="14"/>
  <c r="I15" i="14"/>
  <c r="H15" i="14"/>
  <c r="K14" i="14"/>
  <c r="I14" i="14"/>
  <c r="H14" i="14"/>
  <c r="K13" i="14"/>
  <c r="I13" i="14"/>
  <c r="K12" i="14"/>
  <c r="I12" i="14"/>
  <c r="H12" i="14"/>
  <c r="K11" i="14"/>
  <c r="I11" i="14"/>
  <c r="H11" i="14"/>
  <c r="K10" i="14"/>
  <c r="I10" i="14"/>
  <c r="K9" i="14"/>
  <c r="I9" i="14"/>
  <c r="K8" i="14"/>
  <c r="I8" i="14"/>
  <c r="H8" i="14"/>
  <c r="K7" i="14"/>
  <c r="I7" i="14"/>
  <c r="K6" i="14"/>
  <c r="I6" i="14"/>
  <c r="H6" i="14"/>
  <c r="M413" i="17"/>
  <c r="L413" i="17"/>
  <c r="K413" i="17"/>
  <c r="J413" i="17"/>
  <c r="I413" i="17"/>
  <c r="H413" i="17"/>
  <c r="G413" i="17"/>
  <c r="F413" i="17"/>
  <c r="E413" i="17"/>
  <c r="AA412" i="17"/>
  <c r="Y412" i="17"/>
  <c r="T412" i="17"/>
  <c r="M412" i="17"/>
  <c r="K412" i="17"/>
  <c r="AA411" i="17"/>
  <c r="Z411" i="17"/>
  <c r="Y411" i="17"/>
  <c r="X411" i="17"/>
  <c r="W411" i="17"/>
  <c r="V411" i="17"/>
  <c r="U411" i="17"/>
  <c r="T411" i="17"/>
  <c r="S411" i="17"/>
  <c r="M411" i="17"/>
  <c r="K411" i="17"/>
  <c r="AA410" i="17"/>
  <c r="Y410" i="17"/>
  <c r="M410" i="17"/>
  <c r="K410" i="17"/>
  <c r="AA409" i="17"/>
  <c r="Y409" i="17"/>
  <c r="M409" i="17"/>
  <c r="K409" i="17"/>
  <c r="AA408" i="17"/>
  <c r="Y408" i="17"/>
  <c r="M408" i="17"/>
  <c r="K408" i="17"/>
  <c r="AA407" i="17"/>
  <c r="Y407" i="17"/>
  <c r="M407" i="17"/>
  <c r="K407" i="17"/>
  <c r="AA406" i="17"/>
  <c r="Y406" i="17"/>
  <c r="M406" i="17"/>
  <c r="K406" i="17"/>
  <c r="AA405" i="17"/>
  <c r="Y405" i="17"/>
  <c r="M405" i="17"/>
  <c r="K405" i="17"/>
  <c r="AA404" i="17"/>
  <c r="Z404" i="17"/>
  <c r="Y404" i="17"/>
  <c r="X404" i="17"/>
  <c r="W404" i="17"/>
  <c r="V404" i="17"/>
  <c r="U404" i="17"/>
  <c r="T404" i="17"/>
  <c r="S404" i="17"/>
  <c r="M404" i="17"/>
  <c r="K404" i="17"/>
  <c r="AA403" i="17"/>
  <c r="Y403" i="17"/>
  <c r="M403" i="17"/>
  <c r="K403" i="17"/>
  <c r="AA402" i="17"/>
  <c r="Y402" i="17"/>
  <c r="M402" i="17"/>
  <c r="K402" i="17"/>
  <c r="AA401" i="17"/>
  <c r="Y401" i="17"/>
  <c r="M401" i="17"/>
  <c r="K401" i="17"/>
  <c r="AA400" i="17"/>
  <c r="Y400" i="17"/>
  <c r="M400" i="17"/>
  <c r="K400" i="17"/>
  <c r="AA399" i="17"/>
  <c r="Y399" i="17"/>
  <c r="M399" i="17"/>
  <c r="K399" i="17"/>
  <c r="AA398" i="17"/>
  <c r="Y398" i="17"/>
  <c r="M398" i="17"/>
  <c r="K398" i="17"/>
  <c r="AA397" i="17"/>
  <c r="Y397" i="17"/>
  <c r="M397" i="17"/>
  <c r="K397" i="17"/>
  <c r="AA396" i="17"/>
  <c r="Y396" i="17"/>
  <c r="M396" i="17"/>
  <c r="K396" i="17"/>
  <c r="AA395" i="17"/>
  <c r="Y395" i="17"/>
  <c r="M395" i="17"/>
  <c r="K395" i="17"/>
  <c r="AA394" i="17"/>
  <c r="Y394" i="17"/>
  <c r="M394" i="17"/>
  <c r="K394" i="17"/>
  <c r="AA393" i="17"/>
  <c r="Y393" i="17"/>
  <c r="M393" i="17"/>
  <c r="K393" i="17"/>
  <c r="AA392" i="17"/>
  <c r="Y392" i="17"/>
  <c r="M392" i="17"/>
  <c r="K392" i="17"/>
  <c r="AA391" i="17"/>
  <c r="Y391" i="17"/>
  <c r="M391" i="17"/>
  <c r="K391" i="17"/>
  <c r="AA390" i="17"/>
  <c r="Y390" i="17"/>
  <c r="M390" i="17"/>
  <c r="K390" i="17"/>
  <c r="AA389" i="17"/>
  <c r="Z389" i="17"/>
  <c r="Y389" i="17"/>
  <c r="X389" i="17"/>
  <c r="W389" i="17"/>
  <c r="V389" i="17"/>
  <c r="U389" i="17"/>
  <c r="T389" i="17"/>
  <c r="S389" i="17"/>
  <c r="M389" i="17"/>
  <c r="K389" i="17"/>
  <c r="AA388" i="17"/>
  <c r="Y388" i="17"/>
  <c r="M388" i="17"/>
  <c r="K388" i="17"/>
  <c r="AA387" i="17"/>
  <c r="Y387" i="17"/>
  <c r="M387" i="17"/>
  <c r="L387" i="17"/>
  <c r="K387" i="17"/>
  <c r="J387" i="17"/>
  <c r="I387" i="17"/>
  <c r="H387" i="17"/>
  <c r="G387" i="17"/>
  <c r="F387" i="17"/>
  <c r="E387" i="17"/>
  <c r="AA386" i="17"/>
  <c r="Y386" i="17"/>
  <c r="M386" i="17"/>
  <c r="K386" i="17"/>
  <c r="AA385" i="17"/>
  <c r="Y385" i="17"/>
  <c r="M385" i="17"/>
  <c r="K385" i="17"/>
  <c r="AA384" i="17"/>
  <c r="Y384" i="17"/>
  <c r="M384" i="17"/>
  <c r="K384" i="17"/>
  <c r="AA383" i="17"/>
  <c r="Y383" i="17"/>
  <c r="M383" i="17"/>
  <c r="K383" i="17"/>
  <c r="AA382" i="17"/>
  <c r="Y382" i="17"/>
  <c r="M382" i="17"/>
  <c r="K382" i="17"/>
  <c r="AA381" i="17"/>
  <c r="Y381" i="17"/>
  <c r="M381" i="17"/>
  <c r="K381" i="17"/>
  <c r="AA380" i="17"/>
  <c r="Y380" i="17"/>
  <c r="M380" i="17"/>
  <c r="K380" i="17"/>
  <c r="AA379" i="17"/>
  <c r="Y379" i="17"/>
  <c r="M379" i="17"/>
  <c r="K379" i="17"/>
  <c r="AA378" i="17"/>
  <c r="Y378" i="17"/>
  <c r="M378" i="17"/>
  <c r="K378" i="17"/>
  <c r="AA377" i="17"/>
  <c r="Y377" i="17"/>
  <c r="M377" i="17"/>
  <c r="K377" i="17"/>
  <c r="AA376" i="17"/>
  <c r="Y376" i="17"/>
  <c r="M376" i="17"/>
  <c r="K376" i="17"/>
  <c r="AA375" i="17"/>
  <c r="Y375" i="17"/>
  <c r="M375" i="17"/>
  <c r="K375" i="17"/>
  <c r="AA374" i="17"/>
  <c r="Y374" i="17"/>
  <c r="M374" i="17"/>
  <c r="K374" i="17"/>
  <c r="AA373" i="17"/>
  <c r="Y373" i="17"/>
  <c r="M373" i="17"/>
  <c r="K373" i="17"/>
  <c r="AA372" i="17"/>
  <c r="Y372" i="17"/>
  <c r="M372" i="17"/>
  <c r="K372" i="17"/>
  <c r="AA371" i="17"/>
  <c r="Z371" i="17"/>
  <c r="Y371" i="17"/>
  <c r="X371" i="17"/>
  <c r="W371" i="17"/>
  <c r="V371" i="17"/>
  <c r="U371" i="17"/>
  <c r="T371" i="17"/>
  <c r="S371" i="17"/>
  <c r="M371" i="17"/>
  <c r="K371" i="17"/>
  <c r="AA370" i="17"/>
  <c r="Y370" i="17"/>
  <c r="M370" i="17"/>
  <c r="K370" i="17"/>
  <c r="AA369" i="17"/>
  <c r="Y369" i="17"/>
  <c r="M369" i="17"/>
  <c r="K369" i="17"/>
  <c r="AA368" i="17"/>
  <c r="Y368" i="17"/>
  <c r="M368" i="17"/>
  <c r="K368" i="17"/>
  <c r="AA367" i="17"/>
  <c r="Y367" i="17"/>
  <c r="M367" i="17"/>
  <c r="K367" i="17"/>
  <c r="AA366" i="17"/>
  <c r="Y366" i="17"/>
  <c r="M366" i="17"/>
  <c r="K366" i="17"/>
  <c r="AA365" i="17"/>
  <c r="Y365" i="17"/>
  <c r="M365" i="17"/>
  <c r="K365" i="17"/>
  <c r="AA364" i="17"/>
  <c r="Y364" i="17"/>
  <c r="M364" i="17"/>
  <c r="K364" i="17"/>
  <c r="AA363" i="17"/>
  <c r="Y363" i="17"/>
  <c r="M363" i="17"/>
  <c r="L363" i="17"/>
  <c r="K363" i="17"/>
  <c r="J363" i="17"/>
  <c r="I363" i="17"/>
  <c r="H363" i="17"/>
  <c r="G363" i="17"/>
  <c r="F363" i="17"/>
  <c r="E363" i="17"/>
  <c r="AA362" i="17"/>
  <c r="Y362" i="17"/>
  <c r="M362" i="17"/>
  <c r="K362" i="17"/>
  <c r="AA361" i="17"/>
  <c r="Y361" i="17"/>
  <c r="M361" i="17"/>
  <c r="K361" i="17"/>
  <c r="AA360" i="17"/>
  <c r="Y360" i="17"/>
  <c r="M360" i="17"/>
  <c r="K360" i="17"/>
  <c r="AA359" i="17"/>
  <c r="Y359" i="17"/>
  <c r="M359" i="17"/>
  <c r="K359" i="17"/>
  <c r="AA358" i="17"/>
  <c r="Y358" i="17"/>
  <c r="M358" i="17"/>
  <c r="K358" i="17"/>
  <c r="AA357" i="17"/>
  <c r="Y357" i="17"/>
  <c r="M357" i="17"/>
  <c r="K357" i="17"/>
  <c r="AA356" i="17"/>
  <c r="Y356" i="17"/>
  <c r="M356" i="17"/>
  <c r="K356" i="17"/>
  <c r="AA355" i="17"/>
  <c r="Y355" i="17"/>
  <c r="M355" i="17"/>
  <c r="K355" i="17"/>
  <c r="AA354" i="17"/>
  <c r="Z354" i="17"/>
  <c r="Y354" i="17"/>
  <c r="X354" i="17"/>
  <c r="W354" i="17"/>
  <c r="V354" i="17"/>
  <c r="U354" i="17"/>
  <c r="T354" i="17"/>
  <c r="S354" i="17"/>
  <c r="M354" i="17"/>
  <c r="K354" i="17"/>
  <c r="AA353" i="17"/>
  <c r="Y353" i="17"/>
  <c r="M353" i="17"/>
  <c r="K353" i="17"/>
  <c r="AA352" i="17"/>
  <c r="Y352" i="17"/>
  <c r="M352" i="17"/>
  <c r="K352" i="17"/>
  <c r="AA351" i="17"/>
  <c r="Y351" i="17"/>
  <c r="M351" i="17"/>
  <c r="K351" i="17"/>
  <c r="AA350" i="17"/>
  <c r="Y350" i="17"/>
  <c r="M350" i="17"/>
  <c r="K350" i="17"/>
  <c r="AA349" i="17"/>
  <c r="Y349" i="17"/>
  <c r="M349" i="17"/>
  <c r="K349" i="17"/>
  <c r="AA348" i="17"/>
  <c r="Y348" i="17"/>
  <c r="M348" i="17"/>
  <c r="K348" i="17"/>
  <c r="AA347" i="17"/>
  <c r="Y347" i="17"/>
  <c r="M347" i="17"/>
  <c r="K347" i="17"/>
  <c r="AA346" i="17"/>
  <c r="Y346" i="17"/>
  <c r="M346" i="17"/>
  <c r="K346" i="17"/>
  <c r="AA345" i="17"/>
  <c r="Y345" i="17"/>
  <c r="M345" i="17"/>
  <c r="K345" i="17"/>
  <c r="AA344" i="17"/>
  <c r="Y344" i="17"/>
  <c r="M344" i="17"/>
  <c r="K344" i="17"/>
  <c r="AA343" i="17"/>
  <c r="Y343" i="17"/>
  <c r="M343" i="17"/>
  <c r="K343" i="17"/>
  <c r="AA342" i="17"/>
  <c r="Y342" i="17"/>
  <c r="M342" i="17"/>
  <c r="K342" i="17"/>
  <c r="AA341" i="17"/>
  <c r="Y341" i="17"/>
  <c r="M341" i="17"/>
  <c r="K341" i="17"/>
  <c r="AA340" i="17"/>
  <c r="Y340" i="17"/>
  <c r="M340" i="17"/>
  <c r="K340" i="17"/>
  <c r="AA339" i="17"/>
  <c r="Y339" i="17"/>
  <c r="M339" i="17"/>
  <c r="K339" i="17"/>
  <c r="AA338" i="17"/>
  <c r="Y338" i="17"/>
  <c r="M338" i="17"/>
  <c r="K338" i="17"/>
  <c r="AA337" i="17"/>
  <c r="Y337" i="17"/>
  <c r="M337" i="17"/>
  <c r="K337" i="17"/>
  <c r="AA336" i="17"/>
  <c r="Y336" i="17"/>
  <c r="M336" i="17"/>
  <c r="K336" i="17"/>
  <c r="AA335" i="17"/>
  <c r="Y335" i="17"/>
  <c r="N335" i="17"/>
  <c r="M335" i="17"/>
  <c r="L335" i="17"/>
  <c r="K335" i="17"/>
  <c r="J335" i="17"/>
  <c r="I335" i="17"/>
  <c r="H335" i="17"/>
  <c r="G335" i="17"/>
  <c r="F335" i="17"/>
  <c r="E335" i="17"/>
  <c r="AA334" i="17"/>
  <c r="Y334" i="17"/>
  <c r="M334" i="17"/>
  <c r="K334" i="17"/>
  <c r="J334" i="17"/>
  <c r="AA333" i="17"/>
  <c r="Y333" i="17"/>
  <c r="M333" i="17"/>
  <c r="K333" i="17"/>
  <c r="J333" i="17"/>
  <c r="AA332" i="17"/>
  <c r="Y332" i="17"/>
  <c r="M332" i="17"/>
  <c r="K332" i="17"/>
  <c r="J332" i="17"/>
  <c r="AA331" i="17"/>
  <c r="Y331" i="17"/>
  <c r="M331" i="17"/>
  <c r="K331" i="17"/>
  <c r="J331" i="17"/>
  <c r="AA330" i="17"/>
  <c r="Z330" i="17"/>
  <c r="Y330" i="17"/>
  <c r="X330" i="17"/>
  <c r="W330" i="17"/>
  <c r="V330" i="17"/>
  <c r="U330" i="17"/>
  <c r="T330" i="17"/>
  <c r="S330" i="17"/>
  <c r="M330" i="17"/>
  <c r="K330" i="17"/>
  <c r="J330" i="17"/>
  <c r="AA329" i="17"/>
  <c r="Y329" i="17"/>
  <c r="X329" i="17"/>
  <c r="M329" i="17"/>
  <c r="K329" i="17"/>
  <c r="J329" i="17"/>
  <c r="AA328" i="17"/>
  <c r="Y328" i="17"/>
  <c r="X328" i="17"/>
  <c r="M328" i="17"/>
  <c r="K328" i="17"/>
  <c r="J328" i="17"/>
  <c r="AA327" i="17"/>
  <c r="Y327" i="17"/>
  <c r="X327" i="17"/>
  <c r="M327" i="17"/>
  <c r="K327" i="17"/>
  <c r="J327" i="17"/>
  <c r="AA326" i="17"/>
  <c r="Y326" i="17"/>
  <c r="X326" i="17"/>
  <c r="M326" i="17"/>
  <c r="K326" i="17"/>
  <c r="J326" i="17"/>
  <c r="AA325" i="17"/>
  <c r="Y325" i="17"/>
  <c r="X325" i="17"/>
  <c r="M325" i="17"/>
  <c r="K325" i="17"/>
  <c r="J325" i="17"/>
  <c r="AA324" i="17"/>
  <c r="Y324" i="17"/>
  <c r="X324" i="17"/>
  <c r="M324" i="17"/>
  <c r="K324" i="17"/>
  <c r="J324" i="17"/>
  <c r="AA323" i="17"/>
  <c r="Y323" i="17"/>
  <c r="X323" i="17"/>
  <c r="M323" i="17"/>
  <c r="K323" i="17"/>
  <c r="J323" i="17"/>
  <c r="AA322" i="17"/>
  <c r="Y322" i="17"/>
  <c r="X322" i="17"/>
  <c r="M322" i="17"/>
  <c r="K322" i="17"/>
  <c r="J322" i="17"/>
  <c r="AA321" i="17"/>
  <c r="Y321" i="17"/>
  <c r="X321" i="17"/>
  <c r="M321" i="17"/>
  <c r="K321" i="17"/>
  <c r="J321" i="17"/>
  <c r="AA320" i="17"/>
  <c r="Y320" i="17"/>
  <c r="X320" i="17"/>
  <c r="M320" i="17"/>
  <c r="K320" i="17"/>
  <c r="J320" i="17"/>
  <c r="AA319" i="17"/>
  <c r="Y319" i="17"/>
  <c r="X319" i="17"/>
  <c r="M319" i="17"/>
  <c r="K319" i="17"/>
  <c r="J319" i="17"/>
  <c r="AA318" i="17"/>
  <c r="Y318" i="17"/>
  <c r="X318" i="17"/>
  <c r="M318" i="17"/>
  <c r="K318" i="17"/>
  <c r="J318" i="17"/>
  <c r="AA317" i="17"/>
  <c r="Y317" i="17"/>
  <c r="X317" i="17"/>
  <c r="M317" i="17"/>
  <c r="K317" i="17"/>
  <c r="J317" i="17"/>
  <c r="AA316" i="17"/>
  <c r="Y316" i="17"/>
  <c r="X316" i="17"/>
  <c r="M316" i="17"/>
  <c r="K316" i="17"/>
  <c r="J316" i="17"/>
  <c r="AA315" i="17"/>
  <c r="Y315" i="17"/>
  <c r="X315" i="17"/>
  <c r="M315" i="17"/>
  <c r="K315" i="17"/>
  <c r="J315" i="17"/>
  <c r="AA314" i="17"/>
  <c r="Y314" i="17"/>
  <c r="X314" i="17"/>
  <c r="M314" i="17"/>
  <c r="K314" i="17"/>
  <c r="J314" i="17"/>
  <c r="AA313" i="17"/>
  <c r="Y313" i="17"/>
  <c r="X313" i="17"/>
  <c r="M313" i="17"/>
  <c r="K313" i="17"/>
  <c r="J313" i="17"/>
  <c r="AA312" i="17"/>
  <c r="Y312" i="17"/>
  <c r="X312" i="17"/>
  <c r="M312" i="17"/>
  <c r="K312" i="17"/>
  <c r="J312" i="17"/>
  <c r="AA311" i="17"/>
  <c r="Y311" i="17"/>
  <c r="X311" i="17"/>
  <c r="M311" i="17"/>
  <c r="K311" i="17"/>
  <c r="J311" i="17"/>
  <c r="AA310" i="17"/>
  <c r="Y310" i="17"/>
  <c r="X310" i="17"/>
  <c r="M310" i="17"/>
  <c r="K310" i="17"/>
  <c r="J310" i="17"/>
  <c r="AA309" i="17"/>
  <c r="Y309" i="17"/>
  <c r="X309" i="17"/>
  <c r="M309" i="17"/>
  <c r="K309" i="17"/>
  <c r="J309" i="17"/>
  <c r="AA308" i="17"/>
  <c r="Y308" i="17"/>
  <c r="X308" i="17"/>
  <c r="M308" i="17"/>
  <c r="K308" i="17"/>
  <c r="J308" i="17"/>
  <c r="AA307" i="17"/>
  <c r="Y307" i="17"/>
  <c r="X307" i="17"/>
  <c r="M307" i="17"/>
  <c r="L307" i="17"/>
  <c r="K307" i="17"/>
  <c r="J307" i="17"/>
  <c r="I307" i="17"/>
  <c r="H307" i="17"/>
  <c r="G307" i="17"/>
  <c r="F307" i="17"/>
  <c r="E307" i="17"/>
  <c r="AA306" i="17"/>
  <c r="Z306" i="17"/>
  <c r="Y306" i="17"/>
  <c r="X306" i="17"/>
  <c r="W306" i="17"/>
  <c r="V306" i="17"/>
  <c r="U306" i="17"/>
  <c r="T306" i="17"/>
  <c r="S306" i="17"/>
  <c r="M306" i="17"/>
  <c r="K306" i="17"/>
  <c r="AA305" i="17"/>
  <c r="Y305" i="17"/>
  <c r="X305" i="17"/>
  <c r="M305" i="17"/>
  <c r="K305" i="17"/>
  <c r="AA304" i="17"/>
  <c r="Y304" i="17"/>
  <c r="X304" i="17"/>
  <c r="M304" i="17"/>
  <c r="K304" i="17"/>
  <c r="AA303" i="17"/>
  <c r="Y303" i="17"/>
  <c r="X303" i="17"/>
  <c r="M303" i="17"/>
  <c r="K303" i="17"/>
  <c r="AA302" i="17"/>
  <c r="Y302" i="17"/>
  <c r="X302" i="17"/>
  <c r="M302" i="17"/>
  <c r="K302" i="17"/>
  <c r="AA301" i="17"/>
  <c r="Y301" i="17"/>
  <c r="X301" i="17"/>
  <c r="M301" i="17"/>
  <c r="K301" i="17"/>
  <c r="AA300" i="17"/>
  <c r="Y300" i="17"/>
  <c r="X300" i="17"/>
  <c r="M300" i="17"/>
  <c r="K300" i="17"/>
  <c r="AA299" i="17"/>
  <c r="Y299" i="17"/>
  <c r="X299" i="17"/>
  <c r="M299" i="17"/>
  <c r="K299" i="17"/>
  <c r="AA298" i="17"/>
  <c r="Y298" i="17"/>
  <c r="X298" i="17"/>
  <c r="M298" i="17"/>
  <c r="K298" i="17"/>
  <c r="AA297" i="17"/>
  <c r="Y297" i="17"/>
  <c r="X297" i="17"/>
  <c r="M297" i="17"/>
  <c r="K297" i="17"/>
  <c r="AA296" i="17"/>
  <c r="Y296" i="17"/>
  <c r="X296" i="17"/>
  <c r="M296" i="17"/>
  <c r="K296" i="17"/>
  <c r="AA295" i="17"/>
  <c r="Y295" i="17"/>
  <c r="X295" i="17"/>
  <c r="M295" i="17"/>
  <c r="L295" i="17"/>
  <c r="K295" i="17"/>
  <c r="J295" i="17"/>
  <c r="I295" i="17"/>
  <c r="H295" i="17"/>
  <c r="G295" i="17"/>
  <c r="F295" i="17"/>
  <c r="E295" i="17"/>
  <c r="AA294" i="17"/>
  <c r="Y294" i="17"/>
  <c r="X294" i="17"/>
  <c r="M294" i="17"/>
  <c r="K294" i="17"/>
  <c r="AA293" i="17"/>
  <c r="Y293" i="17"/>
  <c r="X293" i="17"/>
  <c r="M293" i="17"/>
  <c r="K293" i="17"/>
  <c r="AA292" i="17"/>
  <c r="Y292" i="17"/>
  <c r="X292" i="17"/>
  <c r="M292" i="17"/>
  <c r="K292" i="17"/>
  <c r="AA291" i="17"/>
  <c r="Y291" i="17"/>
  <c r="X291" i="17"/>
  <c r="M291" i="17"/>
  <c r="K291" i="17"/>
  <c r="AA290" i="17"/>
  <c r="Y290" i="17"/>
  <c r="X290" i="17"/>
  <c r="M290" i="17"/>
  <c r="K290" i="17"/>
  <c r="AA289" i="17"/>
  <c r="Y289" i="17"/>
  <c r="X289" i="17"/>
  <c r="M289" i="17"/>
  <c r="K289" i="17"/>
  <c r="AA288" i="17"/>
  <c r="Z288" i="17"/>
  <c r="Y288" i="17"/>
  <c r="X288" i="17"/>
  <c r="W288" i="17"/>
  <c r="V288" i="17"/>
  <c r="U288" i="17"/>
  <c r="T288" i="17"/>
  <c r="S288" i="17"/>
  <c r="M288" i="17"/>
  <c r="K288" i="17"/>
  <c r="AA287" i="17"/>
  <c r="Y287" i="17"/>
  <c r="M287" i="17"/>
  <c r="K287" i="17"/>
  <c r="AA286" i="17"/>
  <c r="Y286" i="17"/>
  <c r="M286" i="17"/>
  <c r="K286" i="17"/>
  <c r="AA285" i="17"/>
  <c r="Y285" i="17"/>
  <c r="M285" i="17"/>
  <c r="K285" i="17"/>
  <c r="AA284" i="17"/>
  <c r="Y284" i="17"/>
  <c r="M284" i="17"/>
  <c r="K284" i="17"/>
  <c r="AA283" i="17"/>
  <c r="Y283" i="17"/>
  <c r="M283" i="17"/>
  <c r="K283" i="17"/>
  <c r="AA282" i="17"/>
  <c r="Y282" i="17"/>
  <c r="M282" i="17"/>
  <c r="K282" i="17"/>
  <c r="AA281" i="17"/>
  <c r="Y281" i="17"/>
  <c r="M281" i="17"/>
  <c r="K281" i="17"/>
  <c r="AA280" i="17"/>
  <c r="Y280" i="17"/>
  <c r="M280" i="17"/>
  <c r="K280" i="17"/>
  <c r="AA279" i="17"/>
  <c r="Y279" i="17"/>
  <c r="M279" i="17"/>
  <c r="K279" i="17"/>
  <c r="AA278" i="17"/>
  <c r="Y278" i="17"/>
  <c r="M278" i="17"/>
  <c r="K278" i="17"/>
  <c r="AA277" i="17"/>
  <c r="Y277" i="17"/>
  <c r="M277" i="17"/>
  <c r="L277" i="17"/>
  <c r="K277" i="17"/>
  <c r="J277" i="17"/>
  <c r="I277" i="17"/>
  <c r="H277" i="17"/>
  <c r="G277" i="17"/>
  <c r="F277" i="17"/>
  <c r="E277" i="17"/>
  <c r="AA276" i="17"/>
  <c r="Y276" i="17"/>
  <c r="M276" i="17"/>
  <c r="K276" i="17"/>
  <c r="AA275" i="17"/>
  <c r="Y275" i="17"/>
  <c r="M275" i="17"/>
  <c r="K275" i="17"/>
  <c r="AA274" i="17"/>
  <c r="Y274" i="17"/>
  <c r="M274" i="17"/>
  <c r="K274" i="17"/>
  <c r="AA273" i="17"/>
  <c r="Y273" i="17"/>
  <c r="M273" i="17"/>
  <c r="K273" i="17"/>
  <c r="AA272" i="17"/>
  <c r="Y272" i="17"/>
  <c r="M272" i="17"/>
  <c r="K272" i="17"/>
  <c r="AA271" i="17"/>
  <c r="Y271" i="17"/>
  <c r="M271" i="17"/>
  <c r="K271" i="17"/>
  <c r="AA270" i="17"/>
  <c r="Y270" i="17"/>
  <c r="M270" i="17"/>
  <c r="K270" i="17"/>
  <c r="AA269" i="17"/>
  <c r="Y269" i="17"/>
  <c r="M269" i="17"/>
  <c r="K269" i="17"/>
  <c r="AA268" i="17"/>
  <c r="Y268" i="17"/>
  <c r="M268" i="17"/>
  <c r="K268" i="17"/>
  <c r="AA267" i="17"/>
  <c r="Y267" i="17"/>
  <c r="M267" i="17"/>
  <c r="K267" i="17"/>
  <c r="AA266" i="17"/>
  <c r="Y266" i="17"/>
  <c r="M266" i="17"/>
  <c r="K266" i="17"/>
  <c r="AA265" i="17"/>
  <c r="Y265" i="17"/>
  <c r="M265" i="17"/>
  <c r="K265" i="17"/>
  <c r="AA264" i="17"/>
  <c r="Y264" i="17"/>
  <c r="M264" i="17"/>
  <c r="K264" i="17"/>
  <c r="AA263" i="17"/>
  <c r="Y263" i="17"/>
  <c r="M263" i="17"/>
  <c r="K263" i="17"/>
  <c r="AA262" i="17"/>
  <c r="Y262" i="17"/>
  <c r="M262" i="17"/>
  <c r="K262" i="17"/>
  <c r="AA261" i="17"/>
  <c r="Y261" i="17"/>
  <c r="M261" i="17"/>
  <c r="K261" i="17"/>
  <c r="AA260" i="17"/>
  <c r="Y260" i="17"/>
  <c r="M260" i="17"/>
  <c r="L260" i="17"/>
  <c r="K260" i="17"/>
  <c r="J260" i="17"/>
  <c r="I260" i="17"/>
  <c r="H260" i="17"/>
  <c r="G260" i="17"/>
  <c r="F260" i="17"/>
  <c r="E260" i="17"/>
  <c r="AA259" i="17"/>
  <c r="Y259" i="17"/>
  <c r="M259" i="17"/>
  <c r="K259" i="17"/>
  <c r="J259" i="17"/>
  <c r="AA258" i="17"/>
  <c r="Y258" i="17"/>
  <c r="M258" i="17"/>
  <c r="K258" i="17"/>
  <c r="J258" i="17"/>
  <c r="AA257" i="17"/>
  <c r="Y257" i="17"/>
  <c r="M257" i="17"/>
  <c r="K257" i="17"/>
  <c r="J257" i="17"/>
  <c r="AA256" i="17"/>
  <c r="Y256" i="17"/>
  <c r="M256" i="17"/>
  <c r="K256" i="17"/>
  <c r="J256" i="17"/>
  <c r="AA255" i="17"/>
  <c r="Y255" i="17"/>
  <c r="M255" i="17"/>
  <c r="K255" i="17"/>
  <c r="J255" i="17"/>
  <c r="AA254" i="17"/>
  <c r="Z254" i="17"/>
  <c r="Y254" i="17"/>
  <c r="X254" i="17"/>
  <c r="W254" i="17"/>
  <c r="V254" i="17"/>
  <c r="U254" i="17"/>
  <c r="T254" i="17"/>
  <c r="S254" i="17"/>
  <c r="M254" i="17"/>
  <c r="K254" i="17"/>
  <c r="J254" i="17"/>
  <c r="AA253" i="17"/>
  <c r="Y253" i="17"/>
  <c r="M253" i="17"/>
  <c r="K253" i="17"/>
  <c r="J253" i="17"/>
  <c r="AA252" i="17"/>
  <c r="Y252" i="17"/>
  <c r="M252" i="17"/>
  <c r="K252" i="17"/>
  <c r="J252" i="17"/>
  <c r="AA251" i="17"/>
  <c r="Y251" i="17"/>
  <c r="M251" i="17"/>
  <c r="K251" i="17"/>
  <c r="J251" i="17"/>
  <c r="AA250" i="17"/>
  <c r="Y250" i="17"/>
  <c r="M250" i="17"/>
  <c r="K250" i="17"/>
  <c r="J250" i="17"/>
  <c r="AA249" i="17"/>
  <c r="Y249" i="17"/>
  <c r="M249" i="17"/>
  <c r="K249" i="17"/>
  <c r="J249" i="17"/>
  <c r="AA248" i="17"/>
  <c r="Y248" i="17"/>
  <c r="M248" i="17"/>
  <c r="K248" i="17"/>
  <c r="J248" i="17"/>
  <c r="AA247" i="17"/>
  <c r="Y247" i="17"/>
  <c r="M247" i="17"/>
  <c r="K247" i="17"/>
  <c r="J247" i="17"/>
  <c r="AA246" i="17"/>
  <c r="Y246" i="17"/>
  <c r="M246" i="17"/>
  <c r="K246" i="17"/>
  <c r="J246" i="17"/>
  <c r="AA245" i="17"/>
  <c r="Y245" i="17"/>
  <c r="M245" i="17"/>
  <c r="K245" i="17"/>
  <c r="J245" i="17"/>
  <c r="AA244" i="17"/>
  <c r="Y244" i="17"/>
  <c r="M244" i="17"/>
  <c r="K244" i="17"/>
  <c r="J244" i="17"/>
  <c r="AA243" i="17"/>
  <c r="Y243" i="17"/>
  <c r="M243" i="17"/>
  <c r="K243" i="17"/>
  <c r="J243" i="17"/>
  <c r="AA242" i="17"/>
  <c r="Y242" i="17"/>
  <c r="M242" i="17"/>
  <c r="K242" i="17"/>
  <c r="J242" i="17"/>
  <c r="AA241" i="17"/>
  <c r="Y241" i="17"/>
  <c r="M241" i="17"/>
  <c r="L241" i="17"/>
  <c r="K241" i="17"/>
  <c r="J241" i="17"/>
  <c r="I241" i="17"/>
  <c r="H241" i="17"/>
  <c r="G241" i="17"/>
  <c r="F241" i="17"/>
  <c r="E241" i="17"/>
  <c r="AA240" i="17"/>
  <c r="Y240" i="17"/>
  <c r="M240" i="17"/>
  <c r="K240" i="17"/>
  <c r="F240" i="17"/>
  <c r="AA239" i="17"/>
  <c r="Y239" i="17"/>
  <c r="M239" i="17"/>
  <c r="K239" i="17"/>
  <c r="F239" i="17"/>
  <c r="AA238" i="17"/>
  <c r="Y238" i="17"/>
  <c r="M238" i="17"/>
  <c r="K238" i="17"/>
  <c r="F238" i="17"/>
  <c r="AA237" i="17"/>
  <c r="Y237" i="17"/>
  <c r="M237" i="17"/>
  <c r="K237" i="17"/>
  <c r="F237" i="17"/>
  <c r="AA236" i="17"/>
  <c r="Y236" i="17"/>
  <c r="M236" i="17"/>
  <c r="K236" i="17"/>
  <c r="F236" i="17"/>
  <c r="AA235" i="17"/>
  <c r="Y235" i="17"/>
  <c r="M235" i="17"/>
  <c r="K235" i="17"/>
  <c r="F235" i="17"/>
  <c r="AA234" i="17"/>
  <c r="Y234" i="17"/>
  <c r="M234" i="17"/>
  <c r="K234" i="17"/>
  <c r="F234" i="17"/>
  <c r="AA233" i="17"/>
  <c r="Y233" i="17"/>
  <c r="M233" i="17"/>
  <c r="K233" i="17"/>
  <c r="F233" i="17"/>
  <c r="AA232" i="17"/>
  <c r="Y232" i="17"/>
  <c r="M232" i="17"/>
  <c r="K232" i="17"/>
  <c r="F232" i="17"/>
  <c r="AA231" i="17"/>
  <c r="Y231" i="17"/>
  <c r="M231" i="17"/>
  <c r="K231" i="17"/>
  <c r="F231" i="17"/>
  <c r="AA230" i="17"/>
  <c r="Y230" i="17"/>
  <c r="M230" i="17"/>
  <c r="K230" i="17"/>
  <c r="F230" i="17"/>
  <c r="AA229" i="17"/>
  <c r="Y229" i="17"/>
  <c r="M229" i="17"/>
  <c r="K229" i="17"/>
  <c r="F229" i="17"/>
  <c r="AA228" i="17"/>
  <c r="Y228" i="17"/>
  <c r="M228" i="17"/>
  <c r="K228" i="17"/>
  <c r="F228" i="17"/>
  <c r="AA227" i="17"/>
  <c r="Y227" i="17"/>
  <c r="M227" i="17"/>
  <c r="L227" i="17"/>
  <c r="K227" i="17"/>
  <c r="J227" i="17"/>
  <c r="I227" i="17"/>
  <c r="H227" i="17"/>
  <c r="G227" i="17"/>
  <c r="F227" i="17"/>
  <c r="E227" i="17"/>
  <c r="AA226" i="17"/>
  <c r="Y226" i="17"/>
  <c r="M226" i="17"/>
  <c r="K226" i="17"/>
  <c r="J226" i="17"/>
  <c r="AA225" i="17"/>
  <c r="Y225" i="17"/>
  <c r="M225" i="17"/>
  <c r="K225" i="17"/>
  <c r="J225" i="17"/>
  <c r="AA224" i="17"/>
  <c r="Y224" i="17"/>
  <c r="M224" i="17"/>
  <c r="K224" i="17"/>
  <c r="J224" i="17"/>
  <c r="AA223" i="17"/>
  <c r="Z223" i="17"/>
  <c r="Y223" i="17"/>
  <c r="X223" i="17"/>
  <c r="W223" i="17"/>
  <c r="V223" i="17"/>
  <c r="U223" i="17"/>
  <c r="T223" i="17"/>
  <c r="S223" i="17"/>
  <c r="M223" i="17"/>
  <c r="K223" i="17"/>
  <c r="J223" i="17"/>
  <c r="AA222" i="17"/>
  <c r="Y222" i="17"/>
  <c r="X222" i="17"/>
  <c r="M222" i="17"/>
  <c r="K222" i="17"/>
  <c r="J222" i="17"/>
  <c r="AA221" i="17"/>
  <c r="Y221" i="17"/>
  <c r="X221" i="17"/>
  <c r="M221" i="17"/>
  <c r="K221" i="17"/>
  <c r="J221" i="17"/>
  <c r="AA220" i="17"/>
  <c r="Y220" i="17"/>
  <c r="X220" i="17"/>
  <c r="M220" i="17"/>
  <c r="K220" i="17"/>
  <c r="J220" i="17"/>
  <c r="AA219" i="17"/>
  <c r="Y219" i="17"/>
  <c r="X219" i="17"/>
  <c r="M219" i="17"/>
  <c r="K219" i="17"/>
  <c r="J219" i="17"/>
  <c r="AA218" i="17"/>
  <c r="Y218" i="17"/>
  <c r="X218" i="17"/>
  <c r="M218" i="17"/>
  <c r="K218" i="17"/>
  <c r="J218" i="17"/>
  <c r="AA217" i="17"/>
  <c r="Y217" i="17"/>
  <c r="X217" i="17"/>
  <c r="M217" i="17"/>
  <c r="K217" i="17"/>
  <c r="J217" i="17"/>
  <c r="AA216" i="17"/>
  <c r="Y216" i="17"/>
  <c r="X216" i="17"/>
  <c r="M216" i="17"/>
  <c r="K216" i="17"/>
  <c r="J216" i="17"/>
  <c r="AA215" i="17"/>
  <c r="Y215" i="17"/>
  <c r="X215" i="17"/>
  <c r="M215" i="17"/>
  <c r="K215" i="17"/>
  <c r="J215" i="17"/>
  <c r="AA214" i="17"/>
  <c r="Y214" i="17"/>
  <c r="X214" i="17"/>
  <c r="M214" i="17"/>
  <c r="K214" i="17"/>
  <c r="J214" i="17"/>
  <c r="AA213" i="17"/>
  <c r="Y213" i="17"/>
  <c r="X213" i="17"/>
  <c r="M213" i="17"/>
  <c r="K213" i="17"/>
  <c r="J213" i="17"/>
  <c r="AA212" i="17"/>
  <c r="Y212" i="17"/>
  <c r="X212" i="17"/>
  <c r="M212" i="17"/>
  <c r="K212" i="17"/>
  <c r="J212" i="17"/>
  <c r="AA211" i="17"/>
  <c r="Y211" i="17"/>
  <c r="X211" i="17"/>
  <c r="M211" i="17"/>
  <c r="K211" i="17"/>
  <c r="J211" i="17"/>
  <c r="AA210" i="17"/>
  <c r="Y210" i="17"/>
  <c r="X210" i="17"/>
  <c r="M210" i="17"/>
  <c r="K210" i="17"/>
  <c r="J210" i="17"/>
  <c r="AA209" i="17"/>
  <c r="Y209" i="17"/>
  <c r="X209" i="17"/>
  <c r="M209" i="17"/>
  <c r="K209" i="17"/>
  <c r="J209" i="17"/>
  <c r="AA208" i="17"/>
  <c r="Y208" i="17"/>
  <c r="X208" i="17"/>
  <c r="M208" i="17"/>
  <c r="K208" i="17"/>
  <c r="J208" i="17"/>
  <c r="AA207" i="17"/>
  <c r="Y207" i="17"/>
  <c r="X207" i="17"/>
  <c r="M207" i="17"/>
  <c r="K207" i="17"/>
  <c r="J207" i="17"/>
  <c r="AA206" i="17"/>
  <c r="Y206" i="17"/>
  <c r="X206" i="17"/>
  <c r="M206" i="17"/>
  <c r="K206" i="17"/>
  <c r="J206" i="17"/>
  <c r="AA205" i="17"/>
  <c r="Y205" i="17"/>
  <c r="X205" i="17"/>
  <c r="M205" i="17"/>
  <c r="K205" i="17"/>
  <c r="J205" i="17"/>
  <c r="AA204" i="17"/>
  <c r="Z204" i="17"/>
  <c r="Y204" i="17"/>
  <c r="X204" i="17"/>
  <c r="W204" i="17"/>
  <c r="V204" i="17"/>
  <c r="U204" i="17"/>
  <c r="T204" i="17"/>
  <c r="S204" i="17"/>
  <c r="M204" i="17"/>
  <c r="K204" i="17"/>
  <c r="J204" i="17"/>
  <c r="AA203" i="17"/>
  <c r="Y203" i="17"/>
  <c r="M203" i="17"/>
  <c r="K203" i="17"/>
  <c r="J203" i="17"/>
  <c r="AA202" i="17"/>
  <c r="Y202" i="17"/>
  <c r="M202" i="17"/>
  <c r="K202" i="17"/>
  <c r="J202" i="17"/>
  <c r="AA201" i="17"/>
  <c r="Y201" i="17"/>
  <c r="M201" i="17"/>
  <c r="L201" i="17"/>
  <c r="K201" i="17"/>
  <c r="J201" i="17"/>
  <c r="I201" i="17"/>
  <c r="H201" i="17"/>
  <c r="G201" i="17"/>
  <c r="F201" i="17"/>
  <c r="E201" i="17"/>
  <c r="AA200" i="17"/>
  <c r="Y200" i="17"/>
  <c r="M200" i="17"/>
  <c r="K200" i="17"/>
  <c r="J200" i="17"/>
  <c r="AA199" i="17"/>
  <c r="Y199" i="17"/>
  <c r="M199" i="17"/>
  <c r="K199" i="17"/>
  <c r="J199" i="17"/>
  <c r="AA198" i="17"/>
  <c r="Y198" i="17"/>
  <c r="M198" i="17"/>
  <c r="K198" i="17"/>
  <c r="J198" i="17"/>
  <c r="AA197" i="17"/>
  <c r="Y197" i="17"/>
  <c r="M197" i="17"/>
  <c r="K197" i="17"/>
  <c r="J197" i="17"/>
  <c r="AA196" i="17"/>
  <c r="Y196" i="17"/>
  <c r="M196" i="17"/>
  <c r="K196" i="17"/>
  <c r="J196" i="17"/>
  <c r="AA195" i="17"/>
  <c r="Y195" i="17"/>
  <c r="M195" i="17"/>
  <c r="K195" i="17"/>
  <c r="J195" i="17"/>
  <c r="AA194" i="17"/>
  <c r="Y194" i="17"/>
  <c r="M194" i="17"/>
  <c r="K194" i="17"/>
  <c r="J194" i="17"/>
  <c r="AA193" i="17"/>
  <c r="Y193" i="17"/>
  <c r="M193" i="17"/>
  <c r="K193" i="17"/>
  <c r="J193" i="17"/>
  <c r="AA192" i="17"/>
  <c r="Y192" i="17"/>
  <c r="M192" i="17"/>
  <c r="K192" i="17"/>
  <c r="J192" i="17"/>
  <c r="AA191" i="17"/>
  <c r="Y191" i="17"/>
  <c r="M191" i="17"/>
  <c r="K191" i="17"/>
  <c r="J191" i="17"/>
  <c r="AA190" i="17"/>
  <c r="Y190" i="17"/>
  <c r="M190" i="17"/>
  <c r="K190" i="17"/>
  <c r="J190" i="17"/>
  <c r="AA189" i="17"/>
  <c r="Y189" i="17"/>
  <c r="M189" i="17"/>
  <c r="K189" i="17"/>
  <c r="J189" i="17"/>
  <c r="AA188" i="17"/>
  <c r="Y188" i="17"/>
  <c r="M188" i="17"/>
  <c r="K188" i="17"/>
  <c r="J188" i="17"/>
  <c r="AA187" i="17"/>
  <c r="Y187" i="17"/>
  <c r="M187" i="17"/>
  <c r="K187" i="17"/>
  <c r="J187" i="17"/>
  <c r="AA186" i="17"/>
  <c r="Y186" i="17"/>
  <c r="M186" i="17"/>
  <c r="K186" i="17"/>
  <c r="J186" i="17"/>
  <c r="AA185" i="17"/>
  <c r="Y185" i="17"/>
  <c r="M185" i="17"/>
  <c r="K185" i="17"/>
  <c r="J185" i="17"/>
  <c r="AA184" i="17"/>
  <c r="Y184" i="17"/>
  <c r="M184" i="17"/>
  <c r="K184" i="17"/>
  <c r="J184" i="17"/>
  <c r="AA183" i="17"/>
  <c r="Z183" i="17"/>
  <c r="Y183" i="17"/>
  <c r="X183" i="17"/>
  <c r="W183" i="17"/>
  <c r="V183" i="17"/>
  <c r="U183" i="17"/>
  <c r="S183" i="17"/>
  <c r="M183" i="17"/>
  <c r="K183" i="17"/>
  <c r="J183" i="17"/>
  <c r="AA182" i="17"/>
  <c r="Y182" i="17"/>
  <c r="X182" i="17"/>
  <c r="M182" i="17"/>
  <c r="L182" i="17"/>
  <c r="K182" i="17"/>
  <c r="J182" i="17"/>
  <c r="I182" i="17"/>
  <c r="H182" i="17"/>
  <c r="G182" i="17"/>
  <c r="F182" i="17"/>
  <c r="E182" i="17"/>
  <c r="AA181" i="17"/>
  <c r="Y181" i="17"/>
  <c r="X181" i="17"/>
  <c r="M181" i="17"/>
  <c r="K181" i="17"/>
  <c r="AA180" i="17"/>
  <c r="Y180" i="17"/>
  <c r="X180" i="17"/>
  <c r="M180" i="17"/>
  <c r="K180" i="17"/>
  <c r="AA179" i="17"/>
  <c r="Y179" i="17"/>
  <c r="X179" i="17"/>
  <c r="M179" i="17"/>
  <c r="K179" i="17"/>
  <c r="AA178" i="17"/>
  <c r="Y178" i="17"/>
  <c r="X178" i="17"/>
  <c r="M178" i="17"/>
  <c r="K178" i="17"/>
  <c r="AA177" i="17"/>
  <c r="Y177" i="17"/>
  <c r="X177" i="17"/>
  <c r="M177" i="17"/>
  <c r="K177" i="17"/>
  <c r="AA176" i="17"/>
  <c r="Y176" i="17"/>
  <c r="X176" i="17"/>
  <c r="M176" i="17"/>
  <c r="K176" i="17"/>
  <c r="AA175" i="17"/>
  <c r="Y175" i="17"/>
  <c r="X175" i="17"/>
  <c r="M175" i="17"/>
  <c r="K175" i="17"/>
  <c r="AA174" i="17"/>
  <c r="Y174" i="17"/>
  <c r="X174" i="17"/>
  <c r="M174" i="17"/>
  <c r="K174" i="17"/>
  <c r="AA173" i="17"/>
  <c r="Y173" i="17"/>
  <c r="X173" i="17"/>
  <c r="M173" i="17"/>
  <c r="K173" i="17"/>
  <c r="AA172" i="17"/>
  <c r="Y172" i="17"/>
  <c r="X172" i="17"/>
  <c r="M172" i="17"/>
  <c r="K172" i="17"/>
  <c r="AA171" i="17"/>
  <c r="Y171" i="17"/>
  <c r="X171" i="17"/>
  <c r="M171" i="17"/>
  <c r="K171" i="17"/>
  <c r="AA170" i="17"/>
  <c r="Y170" i="17"/>
  <c r="X170" i="17"/>
  <c r="M170" i="17"/>
  <c r="K170" i="17"/>
  <c r="AA169" i="17"/>
  <c r="Y169" i="17"/>
  <c r="X169" i="17"/>
  <c r="M169" i="17"/>
  <c r="K169" i="17"/>
  <c r="AA168" i="17"/>
  <c r="Y168" i="17"/>
  <c r="X168" i="17"/>
  <c r="M168" i="17"/>
  <c r="K168" i="17"/>
  <c r="AA167" i="17"/>
  <c r="Y167" i="17"/>
  <c r="X167" i="17"/>
  <c r="M167" i="17"/>
  <c r="K167" i="17"/>
  <c r="AA166" i="17"/>
  <c r="Y166" i="17"/>
  <c r="X166" i="17"/>
  <c r="M166" i="17"/>
  <c r="K166" i="17"/>
  <c r="AA165" i="17"/>
  <c r="Y165" i="17"/>
  <c r="X165" i="17"/>
  <c r="M165" i="17"/>
  <c r="K165" i="17"/>
  <c r="AA164" i="17"/>
  <c r="Y164" i="17"/>
  <c r="X164" i="17"/>
  <c r="M164" i="17"/>
  <c r="K164" i="17"/>
  <c r="AA163" i="17"/>
  <c r="Y163" i="17"/>
  <c r="X163" i="17"/>
  <c r="M163" i="17"/>
  <c r="K163" i="17"/>
  <c r="AA162" i="17"/>
  <c r="Y162" i="17"/>
  <c r="X162" i="17"/>
  <c r="M162" i="17"/>
  <c r="K162" i="17"/>
  <c r="AA161" i="17"/>
  <c r="Y161" i="17"/>
  <c r="X161" i="17"/>
  <c r="M161" i="17"/>
  <c r="K161" i="17"/>
  <c r="AA160" i="17"/>
  <c r="Y160" i="17"/>
  <c r="X160" i="17"/>
  <c r="M160" i="17"/>
  <c r="K160" i="17"/>
  <c r="AA159" i="17"/>
  <c r="Y159" i="17"/>
  <c r="X159" i="17"/>
  <c r="M159" i="17"/>
  <c r="K159" i="17"/>
  <c r="AA158" i="17"/>
  <c r="Y158" i="17"/>
  <c r="X158" i="17"/>
  <c r="M158" i="17"/>
  <c r="K158" i="17"/>
  <c r="AA157" i="17"/>
  <c r="Z157" i="17"/>
  <c r="Y157" i="17"/>
  <c r="X157" i="17"/>
  <c r="W157" i="17"/>
  <c r="V157" i="17"/>
  <c r="U157" i="17"/>
  <c r="T157" i="17"/>
  <c r="S157" i="17"/>
  <c r="M157" i="17"/>
  <c r="K157" i="17"/>
  <c r="AA156" i="17"/>
  <c r="Y156" i="17"/>
  <c r="M156" i="17"/>
  <c r="K156" i="17"/>
  <c r="AA155" i="17"/>
  <c r="Y155" i="17"/>
  <c r="M155" i="17"/>
  <c r="K155" i="17"/>
  <c r="AA154" i="17"/>
  <c r="Y154" i="17"/>
  <c r="M154" i="17"/>
  <c r="L154" i="17"/>
  <c r="K154" i="17"/>
  <c r="J154" i="17"/>
  <c r="I154" i="17"/>
  <c r="H154" i="17"/>
  <c r="G154" i="17"/>
  <c r="F154" i="17"/>
  <c r="E154" i="17"/>
  <c r="AA153" i="17"/>
  <c r="Y153" i="17"/>
  <c r="M153" i="17"/>
  <c r="K153" i="17"/>
  <c r="J153" i="17"/>
  <c r="AA152" i="17"/>
  <c r="Y152" i="17"/>
  <c r="M152" i="17"/>
  <c r="K152" i="17"/>
  <c r="J152" i="17"/>
  <c r="AA151" i="17"/>
  <c r="Y151" i="17"/>
  <c r="M151" i="17"/>
  <c r="K151" i="17"/>
  <c r="J151" i="17"/>
  <c r="AA150" i="17"/>
  <c r="Y150" i="17"/>
  <c r="M150" i="17"/>
  <c r="K150" i="17"/>
  <c r="J150" i="17"/>
  <c r="AA149" i="17"/>
  <c r="Y149" i="17"/>
  <c r="M149" i="17"/>
  <c r="K149" i="17"/>
  <c r="J149" i="17"/>
  <c r="AA148" i="17"/>
  <c r="Y148" i="17"/>
  <c r="M148" i="17"/>
  <c r="K148" i="17"/>
  <c r="J148" i="17"/>
  <c r="AA147" i="17"/>
  <c r="Y147" i="17"/>
  <c r="M147" i="17"/>
  <c r="K147" i="17"/>
  <c r="J147" i="17"/>
  <c r="AA146" i="17"/>
  <c r="Y146" i="17"/>
  <c r="M146" i="17"/>
  <c r="K146" i="17"/>
  <c r="J146" i="17"/>
  <c r="AA145" i="17"/>
  <c r="Y145" i="17"/>
  <c r="M145" i="17"/>
  <c r="K145" i="17"/>
  <c r="J145" i="17"/>
  <c r="AA144" i="17"/>
  <c r="Y144" i="17"/>
  <c r="M144" i="17"/>
  <c r="K144" i="17"/>
  <c r="J144" i="17"/>
  <c r="AA143" i="17"/>
  <c r="Z143" i="17"/>
  <c r="Y143" i="17"/>
  <c r="X143" i="17"/>
  <c r="W143" i="17"/>
  <c r="V143" i="17"/>
  <c r="U143" i="17"/>
  <c r="T143" i="17"/>
  <c r="S143" i="17"/>
  <c r="M143" i="17"/>
  <c r="K143" i="17"/>
  <c r="J143" i="17"/>
  <c r="AA142" i="17"/>
  <c r="Y142" i="17"/>
  <c r="M142" i="17"/>
  <c r="K142" i="17"/>
  <c r="J142" i="17"/>
  <c r="AA141" i="17"/>
  <c r="Y141" i="17"/>
  <c r="M141" i="17"/>
  <c r="K141" i="17"/>
  <c r="J141" i="17"/>
  <c r="AA140" i="17"/>
  <c r="Y140" i="17"/>
  <c r="M140" i="17"/>
  <c r="K140" i="17"/>
  <c r="J140" i="17"/>
  <c r="AA139" i="17"/>
  <c r="Y139" i="17"/>
  <c r="M139" i="17"/>
  <c r="K139" i="17"/>
  <c r="J139" i="17"/>
  <c r="AA138" i="17"/>
  <c r="Y138" i="17"/>
  <c r="M138" i="17"/>
  <c r="K138" i="17"/>
  <c r="J138" i="17"/>
  <c r="AA137" i="17"/>
  <c r="Y137" i="17"/>
  <c r="M137" i="17"/>
  <c r="K137" i="17"/>
  <c r="J137" i="17"/>
  <c r="AA136" i="17"/>
  <c r="Y136" i="17"/>
  <c r="M136" i="17"/>
  <c r="K136" i="17"/>
  <c r="J136" i="17"/>
  <c r="AA135" i="17"/>
  <c r="Y135" i="17"/>
  <c r="M135" i="17"/>
  <c r="K135" i="17"/>
  <c r="J135" i="17"/>
  <c r="AA134" i="17"/>
  <c r="Y134" i="17"/>
  <c r="M134" i="17"/>
  <c r="K134" i="17"/>
  <c r="J134" i="17"/>
  <c r="AA133" i="17"/>
  <c r="Y133" i="17"/>
  <c r="M133" i="17"/>
  <c r="K133" i="17"/>
  <c r="J133" i="17"/>
  <c r="AA132" i="17"/>
  <c r="Y132" i="17"/>
  <c r="M132" i="17"/>
  <c r="K132" i="17"/>
  <c r="J132" i="17"/>
  <c r="AA131" i="17"/>
  <c r="Y131" i="17"/>
  <c r="M131" i="17"/>
  <c r="K131" i="17"/>
  <c r="J131" i="17"/>
  <c r="AA130" i="17"/>
  <c r="Y130" i="17"/>
  <c r="M130" i="17"/>
  <c r="L130" i="17"/>
  <c r="K130" i="17"/>
  <c r="J130" i="17"/>
  <c r="I130" i="17"/>
  <c r="H130" i="17"/>
  <c r="G130" i="17"/>
  <c r="F130" i="17"/>
  <c r="E130" i="17"/>
  <c r="AA129" i="17"/>
  <c r="Y129" i="17"/>
  <c r="M129" i="17"/>
  <c r="K129" i="17"/>
  <c r="J129" i="17"/>
  <c r="AA128" i="17"/>
  <c r="Y128" i="17"/>
  <c r="M128" i="17"/>
  <c r="K128" i="17"/>
  <c r="J128" i="17"/>
  <c r="AA127" i="17"/>
  <c r="Y127" i="17"/>
  <c r="M127" i="17"/>
  <c r="K127" i="17"/>
  <c r="J127" i="17"/>
  <c r="AA126" i="17"/>
  <c r="Y126" i="17"/>
  <c r="M126" i="17"/>
  <c r="K126" i="17"/>
  <c r="J126" i="17"/>
  <c r="AA125" i="17"/>
  <c r="Y125" i="17"/>
  <c r="M125" i="17"/>
  <c r="K125" i="17"/>
  <c r="J125" i="17"/>
  <c r="AA124" i="17"/>
  <c r="Y124" i="17"/>
  <c r="M124" i="17"/>
  <c r="K124" i="17"/>
  <c r="J124" i="17"/>
  <c r="AA123" i="17"/>
  <c r="Y123" i="17"/>
  <c r="M123" i="17"/>
  <c r="K123" i="17"/>
  <c r="J123" i="17"/>
  <c r="AA122" i="17"/>
  <c r="Z122" i="17"/>
  <c r="Y122" i="17"/>
  <c r="X122" i="17"/>
  <c r="W122" i="17"/>
  <c r="V122" i="17"/>
  <c r="U122" i="17"/>
  <c r="T122" i="17"/>
  <c r="S122" i="17"/>
  <c r="M122" i="17"/>
  <c r="K122" i="17"/>
  <c r="J122" i="17"/>
  <c r="AA121" i="17"/>
  <c r="Y121" i="17"/>
  <c r="X121" i="17"/>
  <c r="M121" i="17"/>
  <c r="L121" i="17"/>
  <c r="K121" i="17"/>
  <c r="J121" i="17"/>
  <c r="I121" i="17"/>
  <c r="H121" i="17"/>
  <c r="G121" i="17"/>
  <c r="F121" i="17"/>
  <c r="E121" i="17"/>
  <c r="AA120" i="17"/>
  <c r="Y120" i="17"/>
  <c r="X120" i="17"/>
  <c r="M120" i="17"/>
  <c r="K120" i="17"/>
  <c r="AA119" i="17"/>
  <c r="Y119" i="17"/>
  <c r="X119" i="17"/>
  <c r="M119" i="17"/>
  <c r="K119" i="17"/>
  <c r="AA118" i="17"/>
  <c r="Y118" i="17"/>
  <c r="X118" i="17"/>
  <c r="M118" i="17"/>
  <c r="K118" i="17"/>
  <c r="AA117" i="17"/>
  <c r="Y117" i="17"/>
  <c r="X117" i="17"/>
  <c r="M117" i="17"/>
  <c r="K117" i="17"/>
  <c r="AA116" i="17"/>
  <c r="Y116" i="17"/>
  <c r="X116" i="17"/>
  <c r="M116" i="17"/>
  <c r="K116" i="17"/>
  <c r="AA115" i="17"/>
  <c r="Y115" i="17"/>
  <c r="X115" i="17"/>
  <c r="M115" i="17"/>
  <c r="K115" i="17"/>
  <c r="AA114" i="17"/>
  <c r="Y114" i="17"/>
  <c r="X114" i="17"/>
  <c r="M114" i="17"/>
  <c r="K114" i="17"/>
  <c r="AA113" i="17"/>
  <c r="Y113" i="17"/>
  <c r="X113" i="17"/>
  <c r="M113" i="17"/>
  <c r="K113" i="17"/>
  <c r="AA112" i="17"/>
  <c r="Y112" i="17"/>
  <c r="X112" i="17"/>
  <c r="M112" i="17"/>
  <c r="K112" i="17"/>
  <c r="AA111" i="17"/>
  <c r="Y111" i="17"/>
  <c r="X111" i="17"/>
  <c r="M111" i="17"/>
  <c r="K111" i="17"/>
  <c r="AA110" i="17"/>
  <c r="Y110" i="17"/>
  <c r="X110" i="17"/>
  <c r="M110" i="17"/>
  <c r="K110" i="17"/>
  <c r="AA109" i="17"/>
  <c r="Y109" i="17"/>
  <c r="X109" i="17"/>
  <c r="M109" i="17"/>
  <c r="K109" i="17"/>
  <c r="AA108" i="17"/>
  <c r="Y108" i="17"/>
  <c r="X108" i="17"/>
  <c r="M108" i="17"/>
  <c r="K108" i="17"/>
  <c r="AA107" i="17"/>
  <c r="Y107" i="17"/>
  <c r="X107" i="17"/>
  <c r="M107" i="17"/>
  <c r="K107" i="17"/>
  <c r="AA106" i="17"/>
  <c r="Y106" i="17"/>
  <c r="X106" i="17"/>
  <c r="M106" i="17"/>
  <c r="K106" i="17"/>
  <c r="AA105" i="17"/>
  <c r="Z105" i="17"/>
  <c r="Y105" i="17"/>
  <c r="X105" i="17"/>
  <c r="W105" i="17"/>
  <c r="V105" i="17"/>
  <c r="U105" i="17"/>
  <c r="T105" i="17"/>
  <c r="S105" i="17"/>
  <c r="M105" i="17"/>
  <c r="K105" i="17"/>
  <c r="AA104" i="17"/>
  <c r="Y104" i="17"/>
  <c r="X104" i="17"/>
  <c r="M104" i="17"/>
  <c r="K104" i="17"/>
  <c r="AA103" i="17"/>
  <c r="Y103" i="17"/>
  <c r="X103" i="17"/>
  <c r="M103" i="17"/>
  <c r="K103" i="17"/>
  <c r="AA102" i="17"/>
  <c r="Y102" i="17"/>
  <c r="X102" i="17"/>
  <c r="M102" i="17"/>
  <c r="K102" i="17"/>
  <c r="AA101" i="17"/>
  <c r="Y101" i="17"/>
  <c r="X101" i="17"/>
  <c r="M101" i="17"/>
  <c r="K101" i="17"/>
  <c r="AA100" i="17"/>
  <c r="Y100" i="17"/>
  <c r="X100" i="17"/>
  <c r="M100" i="17"/>
  <c r="L100" i="17"/>
  <c r="K100" i="17"/>
  <c r="J100" i="17"/>
  <c r="I100" i="17"/>
  <c r="H100" i="17"/>
  <c r="G100" i="17"/>
  <c r="F100" i="17"/>
  <c r="E100" i="17"/>
  <c r="AA99" i="17"/>
  <c r="Y99" i="17"/>
  <c r="X99" i="17"/>
  <c r="M99" i="17"/>
  <c r="K99" i="17"/>
  <c r="AA98" i="17"/>
  <c r="Y98" i="17"/>
  <c r="X98" i="17"/>
  <c r="M98" i="17"/>
  <c r="K98" i="17"/>
  <c r="AA97" i="17"/>
  <c r="Y97" i="17"/>
  <c r="X97" i="17"/>
  <c r="M97" i="17"/>
  <c r="K97" i="17"/>
  <c r="AA96" i="17"/>
  <c r="Y96" i="17"/>
  <c r="X96" i="17"/>
  <c r="M96" i="17"/>
  <c r="K96" i="17"/>
  <c r="AA95" i="17"/>
  <c r="Y95" i="17"/>
  <c r="X95" i="17"/>
  <c r="M95" i="17"/>
  <c r="K95" i="17"/>
  <c r="AA94" i="17"/>
  <c r="Y94" i="17"/>
  <c r="X94" i="17"/>
  <c r="M94" i="17"/>
  <c r="K94" i="17"/>
  <c r="AA93" i="17"/>
  <c r="Y93" i="17"/>
  <c r="X93" i="17"/>
  <c r="M93" i="17"/>
  <c r="K93" i="17"/>
  <c r="AA92" i="17"/>
  <c r="Y92" i="17"/>
  <c r="X92" i="17"/>
  <c r="M92" i="17"/>
  <c r="K92" i="17"/>
  <c r="AA91" i="17"/>
  <c r="Y91" i="17"/>
  <c r="X91" i="17"/>
  <c r="M91" i="17"/>
  <c r="K91" i="17"/>
  <c r="AA90" i="17"/>
  <c r="Y90" i="17"/>
  <c r="X90" i="17"/>
  <c r="M90" i="17"/>
  <c r="K90" i="17"/>
  <c r="AA89" i="17"/>
  <c r="Y89" i="17"/>
  <c r="X89" i="17"/>
  <c r="M89" i="17"/>
  <c r="K89" i="17"/>
  <c r="AA88" i="17"/>
  <c r="Y88" i="17"/>
  <c r="X88" i="17"/>
  <c r="M88" i="17"/>
  <c r="K88" i="17"/>
  <c r="AA87" i="17"/>
  <c r="Y87" i="17"/>
  <c r="X87" i="17"/>
  <c r="M87" i="17"/>
  <c r="K87" i="17"/>
  <c r="AA86" i="17"/>
  <c r="Y86" i="17"/>
  <c r="X86" i="17"/>
  <c r="M86" i="17"/>
  <c r="K86" i="17"/>
  <c r="AA85" i="17"/>
  <c r="Y85" i="17"/>
  <c r="X85" i="17"/>
  <c r="M85" i="17"/>
  <c r="K85" i="17"/>
  <c r="AA84" i="17"/>
  <c r="Y84" i="17"/>
  <c r="X84" i="17"/>
  <c r="M84" i="17"/>
  <c r="K84" i="17"/>
  <c r="AA83" i="17"/>
  <c r="Z83" i="17"/>
  <c r="Y83" i="17"/>
  <c r="X83" i="17"/>
  <c r="W83" i="17"/>
  <c r="V83" i="17"/>
  <c r="U83" i="17"/>
  <c r="S83" i="17"/>
  <c r="M83" i="17"/>
  <c r="K83" i="17"/>
  <c r="AA82" i="17"/>
  <c r="Y82" i="17"/>
  <c r="X82" i="17"/>
  <c r="M82" i="17"/>
  <c r="K82" i="17"/>
  <c r="AA81" i="17"/>
  <c r="Y81" i="17"/>
  <c r="X81" i="17"/>
  <c r="M81" i="17"/>
  <c r="K81" i="17"/>
  <c r="AA80" i="17"/>
  <c r="Y80" i="17"/>
  <c r="X80" i="17"/>
  <c r="M80" i="17"/>
  <c r="K80" i="17"/>
  <c r="AA79" i="17"/>
  <c r="Y79" i="17"/>
  <c r="X79" i="17"/>
  <c r="M79" i="17"/>
  <c r="K79" i="17"/>
  <c r="AA78" i="17"/>
  <c r="Y78" i="17"/>
  <c r="X78" i="17"/>
  <c r="M78" i="17"/>
  <c r="L78" i="17"/>
  <c r="K78" i="17"/>
  <c r="J78" i="17"/>
  <c r="I78" i="17"/>
  <c r="H78" i="17"/>
  <c r="G78" i="17"/>
  <c r="F78" i="17"/>
  <c r="E78" i="17"/>
  <c r="AA77" i="17"/>
  <c r="Y77" i="17"/>
  <c r="X77" i="17"/>
  <c r="M77" i="17"/>
  <c r="K77" i="17"/>
  <c r="J77" i="17"/>
  <c r="AA76" i="17"/>
  <c r="Y76" i="17"/>
  <c r="X76" i="17"/>
  <c r="M76" i="17"/>
  <c r="K76" i="17"/>
  <c r="J76" i="17"/>
  <c r="AA75" i="17"/>
  <c r="Y75" i="17"/>
  <c r="X75" i="17"/>
  <c r="M75" i="17"/>
  <c r="K75" i="17"/>
  <c r="J75" i="17"/>
  <c r="AA74" i="17"/>
  <c r="Y74" i="17"/>
  <c r="X74" i="17"/>
  <c r="M74" i="17"/>
  <c r="K74" i="17"/>
  <c r="J74" i="17"/>
  <c r="AA73" i="17"/>
  <c r="Y73" i="17"/>
  <c r="X73" i="17"/>
  <c r="M73" i="17"/>
  <c r="K73" i="17"/>
  <c r="J73" i="17"/>
  <c r="AA72" i="17"/>
  <c r="Y72" i="17"/>
  <c r="X72" i="17"/>
  <c r="M72" i="17"/>
  <c r="K72" i="17"/>
  <c r="J72" i="17"/>
  <c r="AA71" i="17"/>
  <c r="Y71" i="17"/>
  <c r="X71" i="17"/>
  <c r="M71" i="17"/>
  <c r="K71" i="17"/>
  <c r="J71" i="17"/>
  <c r="AA70" i="17"/>
  <c r="Y70" i="17"/>
  <c r="X70" i="17"/>
  <c r="M70" i="17"/>
  <c r="K70" i="17"/>
  <c r="J70" i="17"/>
  <c r="AA69" i="17"/>
  <c r="Y69" i="17"/>
  <c r="X69" i="17"/>
  <c r="M69" i="17"/>
  <c r="K69" i="17"/>
  <c r="J69" i="17"/>
  <c r="AA68" i="17"/>
  <c r="Y68" i="17"/>
  <c r="X68" i="17"/>
  <c r="M68" i="17"/>
  <c r="K68" i="17"/>
  <c r="J68" i="17"/>
  <c r="AA67" i="17"/>
  <c r="Y67" i="17"/>
  <c r="X67" i="17"/>
  <c r="M67" i="17"/>
  <c r="K67" i="17"/>
  <c r="J67" i="17"/>
  <c r="AA66" i="17"/>
  <c r="Y66" i="17"/>
  <c r="X66" i="17"/>
  <c r="M66" i="17"/>
  <c r="K66" i="17"/>
  <c r="J66" i="17"/>
  <c r="AA65" i="17"/>
  <c r="Y65" i="17"/>
  <c r="X65" i="17"/>
  <c r="M65" i="17"/>
  <c r="K65" i="17"/>
  <c r="J65" i="17"/>
  <c r="AA64" i="17"/>
  <c r="Y64" i="17"/>
  <c r="X64" i="17"/>
  <c r="M64" i="17"/>
  <c r="K64" i="17"/>
  <c r="J64" i="17"/>
  <c r="AA63" i="17"/>
  <c r="Y63" i="17"/>
  <c r="X63" i="17"/>
  <c r="M63" i="17"/>
  <c r="K63" i="17"/>
  <c r="J63" i="17"/>
  <c r="AA62" i="17"/>
  <c r="Y62" i="17"/>
  <c r="X62" i="17"/>
  <c r="M62" i="17"/>
  <c r="K62" i="17"/>
  <c r="J62" i="17"/>
  <c r="AA61" i="17"/>
  <c r="Z61" i="17"/>
  <c r="Y61" i="17"/>
  <c r="X61" i="17"/>
  <c r="W61" i="17"/>
  <c r="V61" i="17"/>
  <c r="U61" i="17"/>
  <c r="T61" i="17"/>
  <c r="S61" i="17"/>
  <c r="M61" i="17"/>
  <c r="K61" i="17"/>
  <c r="J61" i="17"/>
  <c r="AA60" i="17"/>
  <c r="Y60" i="17"/>
  <c r="M60" i="17"/>
  <c r="K60" i="17"/>
  <c r="J60" i="17"/>
  <c r="AA59" i="17"/>
  <c r="Y59" i="17"/>
  <c r="M59" i="17"/>
  <c r="K59" i="17"/>
  <c r="J59" i="17"/>
  <c r="AA58" i="17"/>
  <c r="Y58" i="17"/>
  <c r="M58" i="17"/>
  <c r="K58" i="17"/>
  <c r="J58" i="17"/>
  <c r="AA57" i="17"/>
  <c r="Y57" i="17"/>
  <c r="M57" i="17"/>
  <c r="K57" i="17"/>
  <c r="J57" i="17"/>
  <c r="AA56" i="17"/>
  <c r="Y56" i="17"/>
  <c r="M56" i="17"/>
  <c r="K56" i="17"/>
  <c r="J56" i="17"/>
  <c r="AA55" i="17"/>
  <c r="Y55" i="17"/>
  <c r="M55" i="17"/>
  <c r="K55" i="17"/>
  <c r="J55" i="17"/>
  <c r="AA54" i="17"/>
  <c r="Y54" i="17"/>
  <c r="M54" i="17"/>
  <c r="K54" i="17"/>
  <c r="J54" i="17"/>
  <c r="AA53" i="17"/>
  <c r="Y53" i="17"/>
  <c r="M53" i="17"/>
  <c r="K53" i="17"/>
  <c r="J53" i="17"/>
  <c r="AA52" i="17"/>
  <c r="Y52" i="17"/>
  <c r="M52" i="17"/>
  <c r="K52" i="17"/>
  <c r="J52" i="17"/>
  <c r="AA51" i="17"/>
  <c r="Y51" i="17"/>
  <c r="M51" i="17"/>
  <c r="K51" i="17"/>
  <c r="J51" i="17"/>
  <c r="AA50" i="17"/>
  <c r="Y50" i="17"/>
  <c r="M50" i="17"/>
  <c r="K50" i="17"/>
  <c r="J50" i="17"/>
  <c r="AA49" i="17"/>
  <c r="Y49" i="17"/>
  <c r="M49" i="17"/>
  <c r="K49" i="17"/>
  <c r="J49" i="17"/>
  <c r="AA48" i="17"/>
  <c r="Y48" i="17"/>
  <c r="M48" i="17"/>
  <c r="K48" i="17"/>
  <c r="J48" i="17"/>
  <c r="AA47" i="17"/>
  <c r="Y47" i="17"/>
  <c r="M47" i="17"/>
  <c r="K47" i="17"/>
  <c r="J47" i="17"/>
  <c r="AA46" i="17"/>
  <c r="Y46" i="17"/>
  <c r="M46" i="17"/>
  <c r="L46" i="17"/>
  <c r="K46" i="17"/>
  <c r="J46" i="17"/>
  <c r="I46" i="17"/>
  <c r="H46" i="17"/>
  <c r="G46" i="17"/>
  <c r="F46" i="17"/>
  <c r="E46" i="17"/>
  <c r="AA45" i="17"/>
  <c r="Y45" i="17"/>
  <c r="M45" i="17"/>
  <c r="K45" i="17"/>
  <c r="AA44" i="17"/>
  <c r="Y44" i="17"/>
  <c r="M44" i="17"/>
  <c r="K44" i="17"/>
  <c r="AA43" i="17"/>
  <c r="Y43" i="17"/>
  <c r="M43" i="17"/>
  <c r="K43" i="17"/>
  <c r="AA42" i="17"/>
  <c r="Y42" i="17"/>
  <c r="M42" i="17"/>
  <c r="K42" i="17"/>
  <c r="AA41" i="17"/>
  <c r="Y41" i="17"/>
  <c r="M41" i="17"/>
  <c r="K41" i="17"/>
  <c r="AA40" i="17"/>
  <c r="Y40" i="17"/>
  <c r="M40" i="17"/>
  <c r="K40" i="17"/>
  <c r="AA39" i="17"/>
  <c r="Y39" i="17"/>
  <c r="M39" i="17"/>
  <c r="K39" i="17"/>
  <c r="AA38" i="17"/>
  <c r="Y38" i="17"/>
  <c r="M38" i="17"/>
  <c r="K38" i="17"/>
  <c r="AA37" i="17"/>
  <c r="Y37" i="17"/>
  <c r="M37" i="17"/>
  <c r="K37" i="17"/>
  <c r="AA36" i="17"/>
  <c r="Y36" i="17"/>
  <c r="M36" i="17"/>
  <c r="K36" i="17"/>
  <c r="AA35" i="17"/>
  <c r="Y35" i="17"/>
  <c r="M35" i="17"/>
  <c r="K35" i="17"/>
  <c r="AA34" i="17"/>
  <c r="Y34" i="17"/>
  <c r="M34" i="17"/>
  <c r="K34" i="17"/>
  <c r="AA33" i="17"/>
  <c r="Y33" i="17"/>
  <c r="M33" i="17"/>
  <c r="K33" i="17"/>
  <c r="AA32" i="17"/>
  <c r="Y32" i="17"/>
  <c r="M32" i="17"/>
  <c r="K32" i="17"/>
  <c r="AA31" i="17"/>
  <c r="Y31" i="17"/>
  <c r="M31" i="17"/>
  <c r="K31" i="17"/>
  <c r="AA30" i="17"/>
  <c r="Y30" i="17"/>
  <c r="M30" i="17"/>
  <c r="K30" i="17"/>
  <c r="AA29" i="17"/>
  <c r="Y29" i="17"/>
  <c r="M29" i="17"/>
  <c r="K29" i="17"/>
  <c r="AA28" i="17"/>
  <c r="Y28" i="17"/>
  <c r="M28" i="17"/>
  <c r="K28" i="17"/>
  <c r="AA27" i="17"/>
  <c r="Y27" i="17"/>
  <c r="M27" i="17"/>
  <c r="K27" i="17"/>
  <c r="AA26" i="17"/>
  <c r="Z26" i="17"/>
  <c r="Y26" i="17"/>
  <c r="W26" i="17"/>
  <c r="V26" i="17"/>
  <c r="U26" i="17"/>
  <c r="S26" i="17"/>
  <c r="M26" i="17"/>
  <c r="K26" i="17"/>
  <c r="AA25" i="17"/>
  <c r="Y25" i="17"/>
  <c r="M25" i="17"/>
  <c r="K25" i="17"/>
  <c r="AA24" i="17"/>
  <c r="Y24" i="17"/>
  <c r="M24" i="17"/>
  <c r="L24" i="17"/>
  <c r="K24" i="17"/>
  <c r="J24" i="17"/>
  <c r="I24" i="17"/>
  <c r="H24" i="17"/>
  <c r="G24" i="17"/>
  <c r="F24" i="17"/>
  <c r="E24" i="17"/>
  <c r="AA23" i="17"/>
  <c r="Y23" i="17"/>
  <c r="M23" i="17"/>
  <c r="K23" i="17"/>
  <c r="J23" i="17"/>
  <c r="AA22" i="17"/>
  <c r="Y22" i="17"/>
  <c r="M22" i="17"/>
  <c r="K22" i="17"/>
  <c r="J22" i="17"/>
  <c r="AA21" i="17"/>
  <c r="Y21" i="17"/>
  <c r="M21" i="17"/>
  <c r="K21" i="17"/>
  <c r="J21" i="17"/>
  <c r="AA20" i="17"/>
  <c r="Y20" i="17"/>
  <c r="M20" i="17"/>
  <c r="K20" i="17"/>
  <c r="J20" i="17"/>
  <c r="AA19" i="17"/>
  <c r="Y19" i="17"/>
  <c r="M19" i="17"/>
  <c r="K19" i="17"/>
  <c r="J19" i="17"/>
  <c r="AA18" i="17"/>
  <c r="Y18" i="17"/>
  <c r="M18" i="17"/>
  <c r="K18" i="17"/>
  <c r="J18" i="17"/>
  <c r="AA17" i="17"/>
  <c r="Y17" i="17"/>
  <c r="M17" i="17"/>
  <c r="K17" i="17"/>
  <c r="J17" i="17"/>
  <c r="AA16" i="17"/>
  <c r="Y16" i="17"/>
  <c r="M16" i="17"/>
  <c r="K16" i="17"/>
  <c r="J16" i="17"/>
  <c r="AA15" i="17"/>
  <c r="Y15" i="17"/>
  <c r="M15" i="17"/>
  <c r="K15" i="17"/>
  <c r="J15" i="17"/>
  <c r="AA14" i="17"/>
  <c r="Y14" i="17"/>
  <c r="M14" i="17"/>
  <c r="K14" i="17"/>
  <c r="J14" i="17"/>
  <c r="AA13" i="17"/>
  <c r="Y13" i="17"/>
  <c r="M13" i="17"/>
  <c r="K13" i="17"/>
  <c r="J13" i="17"/>
  <c r="AA12" i="17"/>
  <c r="Y12" i="17"/>
  <c r="M12" i="17"/>
  <c r="K12" i="17"/>
  <c r="J12" i="17"/>
  <c r="AA11" i="17"/>
  <c r="Y11" i="17"/>
  <c r="M11" i="17"/>
  <c r="K11" i="17"/>
  <c r="J11" i="17"/>
  <c r="AA10" i="17"/>
  <c r="Y10" i="17"/>
  <c r="M10" i="17"/>
  <c r="K10" i="17"/>
  <c r="J10" i="17"/>
  <c r="AA9" i="17"/>
  <c r="Y9" i="17"/>
  <c r="M9" i="17"/>
  <c r="K9" i="17"/>
  <c r="J9" i="17"/>
  <c r="AA8" i="17"/>
  <c r="Y8" i="17"/>
  <c r="M8" i="17"/>
  <c r="K8" i="17"/>
  <c r="J8" i="17"/>
  <c r="AA7" i="17"/>
  <c r="Y7" i="17"/>
  <c r="M7" i="17"/>
  <c r="K7" i="17"/>
  <c r="J7" i="17"/>
  <c r="R47" i="12"/>
  <c r="Q47" i="12"/>
  <c r="N47" i="12"/>
  <c r="L47" i="12"/>
  <c r="K47" i="12"/>
  <c r="H47" i="12"/>
  <c r="G47" i="12"/>
  <c r="E47" i="12"/>
  <c r="D47" i="12"/>
  <c r="S46" i="12"/>
  <c r="F46" i="12"/>
  <c r="S45" i="12"/>
  <c r="P45" i="12"/>
  <c r="I45" i="12"/>
  <c r="F45" i="12"/>
  <c r="S44" i="12"/>
  <c r="P44" i="12"/>
  <c r="I44" i="12"/>
  <c r="F44" i="12"/>
  <c r="S43" i="12"/>
  <c r="O43" i="12"/>
  <c r="P43" i="12" s="1"/>
  <c r="I43" i="12"/>
  <c r="F43" i="12"/>
  <c r="S42" i="12"/>
  <c r="P42" i="12"/>
  <c r="I42" i="12"/>
  <c r="F42" i="12"/>
  <c r="S41" i="12"/>
  <c r="O41" i="12"/>
  <c r="P41" i="12" s="1"/>
  <c r="I41" i="12"/>
  <c r="F41" i="12"/>
  <c r="S40" i="12"/>
  <c r="O40" i="12"/>
  <c r="P40" i="12" s="1"/>
  <c r="I40" i="12"/>
  <c r="F40" i="12"/>
  <c r="S39" i="12"/>
  <c r="P39" i="12"/>
  <c r="I39" i="12"/>
  <c r="F39" i="12"/>
  <c r="S38" i="12"/>
  <c r="P38" i="12"/>
  <c r="I38" i="12"/>
  <c r="F38" i="12"/>
  <c r="S37" i="12"/>
  <c r="O37" i="12"/>
  <c r="P37" i="12" s="1"/>
  <c r="I37" i="12"/>
  <c r="F37" i="12"/>
  <c r="S36" i="12"/>
  <c r="P36" i="12"/>
  <c r="I36" i="12"/>
  <c r="F36" i="12"/>
  <c r="S35" i="12"/>
  <c r="O35" i="12"/>
  <c r="P35" i="12" s="1"/>
  <c r="I35" i="12"/>
  <c r="F35" i="12"/>
  <c r="S34" i="12"/>
  <c r="O34" i="12"/>
  <c r="P34" i="12" s="1"/>
  <c r="I34" i="12"/>
  <c r="F34" i="12"/>
  <c r="S33" i="12"/>
  <c r="P33" i="12"/>
  <c r="I33" i="12"/>
  <c r="F33" i="12"/>
  <c r="S32" i="12"/>
  <c r="O32" i="12"/>
  <c r="P32" i="12" s="1"/>
  <c r="I32" i="12"/>
  <c r="F32" i="12"/>
  <c r="S31" i="12"/>
  <c r="O31" i="12"/>
  <c r="P31" i="12" s="1"/>
  <c r="I31" i="12"/>
  <c r="F31" i="12"/>
  <c r="S30" i="12"/>
  <c r="O30" i="12"/>
  <c r="P30" i="12" s="1"/>
  <c r="I30" i="12"/>
  <c r="F30" i="12"/>
  <c r="S29" i="12"/>
  <c r="P29" i="12"/>
  <c r="I29" i="12"/>
  <c r="F29" i="12"/>
  <c r="S28" i="12"/>
  <c r="P28" i="12"/>
  <c r="I28" i="12"/>
  <c r="F28" i="12"/>
  <c r="S27" i="12"/>
  <c r="O27" i="12"/>
  <c r="P27" i="12" s="1"/>
  <c r="I27" i="12"/>
  <c r="F27" i="12"/>
  <c r="S26" i="12"/>
  <c r="P26" i="12"/>
  <c r="I26" i="12"/>
  <c r="F26" i="12"/>
  <c r="S25" i="12"/>
  <c r="O25" i="12"/>
  <c r="P25" i="12" s="1"/>
  <c r="I25" i="12"/>
  <c r="F25" i="12"/>
  <c r="S24" i="12"/>
  <c r="O24" i="12"/>
  <c r="P24" i="12" s="1"/>
  <c r="I24" i="12"/>
  <c r="F24" i="12"/>
  <c r="S23" i="12"/>
  <c r="P23" i="12"/>
  <c r="I23" i="12"/>
  <c r="F23" i="12"/>
  <c r="S22" i="12"/>
  <c r="P22" i="12"/>
  <c r="I22" i="12"/>
  <c r="F22" i="12"/>
  <c r="S21" i="12"/>
  <c r="O21" i="12"/>
  <c r="P21" i="12" s="1"/>
  <c r="I21" i="12"/>
  <c r="F21" i="12"/>
  <c r="S20" i="12"/>
  <c r="P20" i="12"/>
  <c r="I20" i="12"/>
  <c r="F20" i="12"/>
  <c r="S19" i="12"/>
  <c r="O19" i="12"/>
  <c r="P19" i="12" s="1"/>
  <c r="I19" i="12"/>
  <c r="F19" i="12"/>
  <c r="S18" i="12"/>
  <c r="O18" i="12"/>
  <c r="P18" i="12" s="1"/>
  <c r="I18" i="12"/>
  <c r="F18" i="12"/>
  <c r="S17" i="12"/>
  <c r="P17" i="12"/>
  <c r="I17" i="12"/>
  <c r="F17" i="12"/>
  <c r="S16" i="12"/>
  <c r="O16" i="12"/>
  <c r="P16" i="12" s="1"/>
  <c r="I16" i="12"/>
  <c r="F16" i="12"/>
  <c r="S15" i="12"/>
  <c r="O15" i="12"/>
  <c r="P15" i="12" s="1"/>
  <c r="I15" i="12"/>
  <c r="F15" i="12"/>
  <c r="S14" i="12"/>
  <c r="P14" i="12"/>
  <c r="I14" i="12"/>
  <c r="F14" i="12"/>
  <c r="S13" i="12"/>
  <c r="P13" i="12"/>
  <c r="I13" i="12"/>
  <c r="F13" i="12"/>
  <c r="S12" i="12"/>
  <c r="O12" i="12"/>
  <c r="P12" i="12" s="1"/>
  <c r="I12" i="12"/>
  <c r="F12" i="12"/>
  <c r="S11" i="12"/>
  <c r="P11" i="12"/>
  <c r="I11" i="12"/>
  <c r="F11" i="12"/>
  <c r="S10" i="12"/>
  <c r="S47" i="12" s="1"/>
  <c r="O10" i="12"/>
  <c r="I10" i="12"/>
  <c r="I47" i="12" s="1"/>
  <c r="F10" i="12"/>
  <c r="H34" i="4"/>
  <c r="G34" i="4"/>
  <c r="F34" i="4"/>
  <c r="E34" i="4"/>
  <c r="D34" i="4"/>
  <c r="C34" i="4"/>
  <c r="I33" i="4"/>
  <c r="E33" i="4"/>
  <c r="I32" i="4"/>
  <c r="I34" i="4" s="1"/>
  <c r="I31" i="4"/>
  <c r="E31" i="4"/>
  <c r="I30" i="4"/>
  <c r="E30" i="4"/>
  <c r="I29" i="4"/>
  <c r="E29" i="4"/>
  <c r="G22" i="4"/>
  <c r="F22" i="4"/>
  <c r="E22" i="4"/>
  <c r="D22" i="4"/>
  <c r="C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F19" i="8"/>
  <c r="B19" i="8"/>
  <c r="F18" i="8"/>
  <c r="B18" i="8"/>
  <c r="F17" i="8"/>
  <c r="B17" i="8"/>
  <c r="F16" i="8"/>
  <c r="B16" i="8"/>
  <c r="F15" i="8"/>
  <c r="B15" i="8"/>
  <c r="F14" i="8"/>
  <c r="B14" i="8"/>
  <c r="F13" i="8"/>
  <c r="B13" i="8"/>
  <c r="F12" i="8"/>
  <c r="B12" i="8"/>
  <c r="F11" i="8"/>
  <c r="B11" i="8"/>
  <c r="F10" i="8"/>
  <c r="B10" i="8"/>
  <c r="F9" i="8"/>
  <c r="B9" i="8"/>
  <c r="F8" i="8"/>
  <c r="B8" i="8"/>
  <c r="F6" i="8"/>
  <c r="B6" i="8"/>
  <c r="G5" i="8"/>
  <c r="F5" i="8"/>
  <c r="C5" i="8"/>
  <c r="B5" i="8"/>
  <c r="C1" i="8"/>
  <c r="B1" i="8"/>
  <c r="F47" i="12" l="1"/>
  <c r="T10" i="12"/>
  <c r="J10" i="12"/>
  <c r="O47" i="12"/>
  <c r="P10" i="12"/>
  <c r="P47" i="12" s="1"/>
  <c r="T11" i="12"/>
  <c r="J11" i="12"/>
  <c r="U11" i="12" s="1"/>
  <c r="T12" i="12"/>
  <c r="J12" i="12"/>
  <c r="U12" i="12" s="1"/>
  <c r="T13" i="12"/>
  <c r="J13" i="12"/>
  <c r="U13" i="12" s="1"/>
  <c r="T14" i="12"/>
  <c r="J14" i="12"/>
  <c r="U14" i="12" s="1"/>
  <c r="T15" i="12"/>
  <c r="J15" i="12"/>
  <c r="U15" i="12" s="1"/>
  <c r="T16" i="12"/>
  <c r="J16" i="12"/>
  <c r="U16" i="12" s="1"/>
  <c r="T17" i="12"/>
  <c r="J17" i="12"/>
  <c r="U17" i="12" s="1"/>
  <c r="T18" i="12"/>
  <c r="J18" i="12"/>
  <c r="U18" i="12" s="1"/>
  <c r="T19" i="12"/>
  <c r="J19" i="12"/>
  <c r="U19" i="12" s="1"/>
  <c r="T20" i="12"/>
  <c r="J20" i="12"/>
  <c r="U20" i="12" s="1"/>
  <c r="T21" i="12"/>
  <c r="J21" i="12"/>
  <c r="U21" i="12" s="1"/>
  <c r="T22" i="12"/>
  <c r="J22" i="12"/>
  <c r="U22" i="12" s="1"/>
  <c r="T23" i="12"/>
  <c r="J23" i="12"/>
  <c r="U23" i="12" s="1"/>
  <c r="T24" i="12"/>
  <c r="J24" i="12"/>
  <c r="U24" i="12" s="1"/>
  <c r="T25" i="12"/>
  <c r="J25" i="12"/>
  <c r="U25" i="12" s="1"/>
  <c r="T26" i="12"/>
  <c r="J26" i="12"/>
  <c r="U26" i="12" s="1"/>
  <c r="T27" i="12"/>
  <c r="J27" i="12"/>
  <c r="U27" i="12" s="1"/>
  <c r="T28" i="12"/>
  <c r="J28" i="12"/>
  <c r="U28" i="12" s="1"/>
  <c r="T29" i="12"/>
  <c r="J29" i="12"/>
  <c r="U29" i="12" s="1"/>
  <c r="T30" i="12"/>
  <c r="J30" i="12"/>
  <c r="U30" i="12" s="1"/>
  <c r="T31" i="12"/>
  <c r="J31" i="12"/>
  <c r="U31" i="12" s="1"/>
  <c r="T32" i="12"/>
  <c r="J32" i="12"/>
  <c r="U32" i="12" s="1"/>
  <c r="T33" i="12"/>
  <c r="J33" i="12"/>
  <c r="U33" i="12" s="1"/>
  <c r="T34" i="12"/>
  <c r="J34" i="12"/>
  <c r="U34" i="12" s="1"/>
  <c r="T35" i="12"/>
  <c r="J35" i="12"/>
  <c r="U35" i="12" s="1"/>
  <c r="T36" i="12"/>
  <c r="J36" i="12"/>
  <c r="U36" i="12" s="1"/>
  <c r="T37" i="12"/>
  <c r="J37" i="12"/>
  <c r="U37" i="12" s="1"/>
  <c r="T38" i="12"/>
  <c r="J38" i="12"/>
  <c r="U38" i="12" s="1"/>
  <c r="T39" i="12"/>
  <c r="J39" i="12"/>
  <c r="U39" i="12" s="1"/>
  <c r="T40" i="12"/>
  <c r="J40" i="12"/>
  <c r="U40" i="12" s="1"/>
  <c r="T41" i="12"/>
  <c r="J41" i="12"/>
  <c r="U41" i="12" s="1"/>
  <c r="T42" i="12"/>
  <c r="J42" i="12"/>
  <c r="U42" i="12" s="1"/>
  <c r="T43" i="12"/>
  <c r="J43" i="12"/>
  <c r="U43" i="12" s="1"/>
  <c r="T44" i="12"/>
  <c r="J44" i="12"/>
  <c r="U44" i="12" s="1"/>
  <c r="T45" i="12"/>
  <c r="J45" i="12"/>
  <c r="U45" i="12" s="1"/>
  <c r="T46" i="12"/>
  <c r="J46" i="12"/>
  <c r="U46" i="12" s="1"/>
  <c r="J47" i="12" l="1"/>
  <c r="U10" i="12"/>
  <c r="U47" i="12" s="1"/>
  <c r="T47" i="12"/>
</calcChain>
</file>

<file path=xl/sharedStrings.xml><?xml version="1.0" encoding="utf-8"?>
<sst xmlns="http://schemas.openxmlformats.org/spreadsheetml/2006/main" count="2785" uniqueCount="999">
  <si>
    <t>PREVIOUS MONTH</t>
  </si>
  <si>
    <t>CURRENTMONTH</t>
  </si>
  <si>
    <t>YEAR</t>
  </si>
  <si>
    <t>MONTH</t>
  </si>
  <si>
    <t>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</si>
  <si>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</si>
  <si>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</si>
  <si>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</si>
  <si>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</si>
  <si>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</si>
  <si>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</si>
  <si>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</si>
  <si>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</si>
  <si>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</si>
  <si>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</si>
  <si>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</si>
  <si>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</si>
  <si>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Office of the Accountant General of the Federation</t>
  </si>
  <si>
    <t xml:space="preserve">  Federation Account Department</t>
  </si>
  <si>
    <t>Table I</t>
  </si>
  <si>
    <t>Summary of Gross Revenue Allocation by Federation Account Allocation Committee for the Month of August, 2024 Shared in September, 2024</t>
  </si>
  <si>
    <t>S/n</t>
  </si>
  <si>
    <t>Beneficiaries</t>
  </si>
  <si>
    <t>Statutory</t>
  </si>
  <si>
    <t>Exchange Gain</t>
  </si>
  <si>
    <t>Electronic Money Transfer Levy (EMTL)</t>
  </si>
  <si>
    <t>Value Added Tax</t>
  </si>
  <si>
    <t>Total</t>
  </si>
  <si>
    <t>₦</t>
  </si>
  <si>
    <t>FGN (see Table II)</t>
  </si>
  <si>
    <t>State (see Table III)</t>
  </si>
  <si>
    <t>LGCs (see Table IV)</t>
  </si>
  <si>
    <t>13% Derivation Fund</t>
  </si>
  <si>
    <t>Cost of Collection - NCS</t>
  </si>
  <si>
    <t xml:space="preserve"> Cost of Collections - FIRS</t>
  </si>
  <si>
    <t xml:space="preserve"> Cost of Collections - NUPRC</t>
  </si>
  <si>
    <t>Transfer to NMDPRA</t>
  </si>
  <si>
    <t>13% Derivation Refund on withdrawals from JVC/ECA</t>
  </si>
  <si>
    <t xml:space="preserve">13% Refunds on Subsidy, Priority Projects </t>
  </si>
  <si>
    <t>North East Development Commission</t>
  </si>
  <si>
    <t>13% Derivation in respect of NNPCL Management Fee and Frontier Exploration Fund for May, 2024</t>
  </si>
  <si>
    <t>Transfer to Non-oil Excess Account</t>
  </si>
  <si>
    <t>Refund  NCS</t>
  </si>
  <si>
    <t>Fifth Tranche of Funding for the Preridential Metering Initative</t>
  </si>
  <si>
    <t>TOTAL</t>
  </si>
  <si>
    <t>Table II</t>
  </si>
  <si>
    <t>Distribution of Revenue Allocation to FGN by Federation Account Allocation Committee for the Month of August, 2024 Shared in September, 2024</t>
  </si>
  <si>
    <t>4=2-3</t>
  </si>
  <si>
    <t>Gross Statutory Allocation</t>
  </si>
  <si>
    <t>Total Deduction</t>
  </si>
  <si>
    <t>Net Statutory Allocation</t>
  </si>
  <si>
    <t>FGN (CRF Account)</t>
  </si>
  <si>
    <t>Share of Derivation &amp; Ecology</t>
  </si>
  <si>
    <t>Stabilization</t>
  </si>
  <si>
    <t>Development of Natural Resources</t>
  </si>
  <si>
    <t>FCT-Abuja</t>
  </si>
  <si>
    <r>
      <rPr>
        <sz val="16"/>
        <rFont val="Times New Roman"/>
        <charset val="134"/>
      </rPr>
      <t xml:space="preserve">Source: </t>
    </r>
    <r>
      <rPr>
        <b/>
        <sz val="16"/>
        <rFont val="Times New Roman"/>
        <charset val="134"/>
      </rPr>
      <t>Office of the Accountant-General of the Federation</t>
    </r>
  </si>
  <si>
    <t>……………………………………………………………</t>
  </si>
  <si>
    <t>Mr. Wale Edun</t>
  </si>
  <si>
    <t>Hon. Minister of Finance and Coordinating Minister for the Economy</t>
  </si>
  <si>
    <t>Abuja. Nigeria.</t>
  </si>
  <si>
    <t>Office  of the Accountant General of the Federation</t>
  </si>
  <si>
    <t>Federation Account Department</t>
  </si>
  <si>
    <t>Table III</t>
  </si>
  <si>
    <t>Distribution of Revenue Allocation to State Governments by Federation Account Allocation Committee for the month of August, 2024 shared in September, 2024</t>
  </si>
  <si>
    <t>6=4+5</t>
  </si>
  <si>
    <t>10=6-(7+8+9)</t>
  </si>
  <si>
    <t>12a=11+12</t>
  </si>
  <si>
    <t>19=6+11+12+13+16</t>
  </si>
  <si>
    <t>20=10+11+12+15+18</t>
  </si>
  <si>
    <t>No. of LGCs</t>
  </si>
  <si>
    <t>Statutory Allocation</t>
  </si>
  <si>
    <t>13% Share of Derivation (Net)</t>
  </si>
  <si>
    <t>Gross Total</t>
  </si>
  <si>
    <t>Deductions</t>
  </si>
  <si>
    <t>Exchange Gain Allocation</t>
  </si>
  <si>
    <t>TOTAL Share of Ecology</t>
  </si>
  <si>
    <t>Transfer of 50% Share of Ecology to NDDC/HYPPADEC</t>
  </si>
  <si>
    <t>Net Share of Ecology</t>
  </si>
  <si>
    <t>Gross VAT Allocation</t>
  </si>
  <si>
    <t>VAT Deduction</t>
  </si>
  <si>
    <t>Net VAT Allocation</t>
  </si>
  <si>
    <t>Total Gross Amount</t>
  </si>
  <si>
    <t>Total Net Amount</t>
  </si>
  <si>
    <t>External Debt</t>
  </si>
  <si>
    <t>Contractual Obligation (ISPO)</t>
  </si>
  <si>
    <t xml:space="preserve">Other Deductions   </t>
  </si>
  <si>
    <t>Others*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</si>
  <si>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</si>
  <si>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</si>
  <si>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</si>
  <si>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</si>
  <si>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</si>
  <si>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</si>
  <si>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</si>
  <si>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</si>
  <si>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</si>
  <si>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</si>
  <si>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</si>
  <si>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</si>
  <si>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</si>
  <si>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</si>
  <si>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</si>
  <si>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</si>
  <si>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</si>
  <si>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</si>
  <si>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</si>
  <si>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</si>
  <si>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</si>
  <si>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</si>
  <si>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</si>
  <si>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</si>
  <si>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</si>
  <si>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</si>
  <si>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</si>
  <si>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</si>
  <si>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</si>
  <si>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</si>
  <si>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</si>
  <si>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</si>
  <si>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</si>
  <si>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</si>
  <si>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</si>
  <si>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</si>
  <si>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SOKU</t>
  </si>
  <si>
    <t>Office of the Accountant-General of the Federation</t>
  </si>
  <si>
    <t xml:space="preserve"> Distribution  of Revenue Allocation to Local Government Councils by Federation Account Allocation Committee for the Month of August,  2024 shared in September, 2024</t>
  </si>
  <si>
    <t>States</t>
  </si>
  <si>
    <t>Local Government Councils</t>
  </si>
  <si>
    <t>Deduction</t>
  </si>
  <si>
    <t>Total Allocation</t>
  </si>
  <si>
    <t>State</t>
  </si>
  <si>
    <t>ABA NORTH</t>
  </si>
  <si>
    <t>KUNCHI</t>
  </si>
  <si>
    <t>ABA SOUTH</t>
  </si>
  <si>
    <t>KURA</t>
  </si>
  <si>
    <t>AROCHUKWU</t>
  </si>
  <si>
    <t>MADOBI</t>
  </si>
  <si>
    <t>BENDE</t>
  </si>
  <si>
    <t>MAKODA</t>
  </si>
  <si>
    <t>IKWUANO</t>
  </si>
  <si>
    <t>MINJIBIR</t>
  </si>
  <si>
    <t>ISIALA NGWA NORTH</t>
  </si>
  <si>
    <t>ISIALA NGWA SOUTH</t>
  </si>
  <si>
    <t>RANO</t>
  </si>
  <si>
    <t>ISUIKWUATO</t>
  </si>
  <si>
    <t>RIMIN GADO</t>
  </si>
  <si>
    <t>NNEOCHI</t>
  </si>
  <si>
    <t>ROGO</t>
  </si>
  <si>
    <t>OBIOMA NGWA</t>
  </si>
  <si>
    <t>SHANONO</t>
  </si>
  <si>
    <t>OHAFIA</t>
  </si>
  <si>
    <t>SUMAILA</t>
  </si>
  <si>
    <t>OSISIOMA</t>
  </si>
  <si>
    <t>TAKAI</t>
  </si>
  <si>
    <t>UGWUNAGBO</t>
  </si>
  <si>
    <t>TARAUNI</t>
  </si>
  <si>
    <t>UKWA EAST</t>
  </si>
  <si>
    <t>TOFA</t>
  </si>
  <si>
    <t>UKWA WEST</t>
  </si>
  <si>
    <t>TSANYAWA</t>
  </si>
  <si>
    <t>UMUAHIA NORTH</t>
  </si>
  <si>
    <t>TUDUN WADA</t>
  </si>
  <si>
    <t>UMUAHIA SOUTH</t>
  </si>
  <si>
    <t>UNGOGO</t>
  </si>
  <si>
    <t>ABIA TOTAL</t>
  </si>
  <si>
    <t>WARAWA</t>
  </si>
  <si>
    <t xml:space="preserve">ADAMAWA </t>
  </si>
  <si>
    <t>DEMSA</t>
  </si>
  <si>
    <t>WUDIL</t>
  </si>
  <si>
    <t>FUFORE</t>
  </si>
  <si>
    <t>KANO TOTAL</t>
  </si>
  <si>
    <t>GANYE</t>
  </si>
  <si>
    <t>BAKORI</t>
  </si>
  <si>
    <t>GIREI</t>
  </si>
  <si>
    <t>BATAGARAWA</t>
  </si>
  <si>
    <t>GOMBI</t>
  </si>
  <si>
    <t>BATSARI</t>
  </si>
  <si>
    <t>GUYUK</t>
  </si>
  <si>
    <t>BAURE</t>
  </si>
  <si>
    <t>HONG</t>
  </si>
  <si>
    <t>BINDAWA</t>
  </si>
  <si>
    <t>JADA</t>
  </si>
  <si>
    <t>CHARANCHI</t>
  </si>
  <si>
    <t>YOLA-NORTH</t>
  </si>
  <si>
    <t>DAN-MUSA</t>
  </si>
  <si>
    <t>LAMURDE</t>
  </si>
  <si>
    <t>DANDUME</t>
  </si>
  <si>
    <t>MADAGALI</t>
  </si>
  <si>
    <t>DANJA</t>
  </si>
  <si>
    <t>MAIHA</t>
  </si>
  <si>
    <t>DAURA</t>
  </si>
  <si>
    <t>MAYO-BELWA</t>
  </si>
  <si>
    <t>DUTSI</t>
  </si>
  <si>
    <t>MICHIKA</t>
  </si>
  <si>
    <t>DUTSINMA</t>
  </si>
  <si>
    <t>MUBI NORTH</t>
  </si>
  <si>
    <t>FASKARI</t>
  </si>
  <si>
    <t>MUBI SOUTH</t>
  </si>
  <si>
    <t>FUNTUA</t>
  </si>
  <si>
    <t>NUMAN</t>
  </si>
  <si>
    <t>INGAWA</t>
  </si>
  <si>
    <t>SHELLENG</t>
  </si>
  <si>
    <t>JIBIA</t>
  </si>
  <si>
    <t>SONG</t>
  </si>
  <si>
    <t>KAFUR</t>
  </si>
  <si>
    <t>TOUNGO</t>
  </si>
  <si>
    <t>KAITA</t>
  </si>
  <si>
    <t>YOLA-SOUTH</t>
  </si>
  <si>
    <t>KANKARA</t>
  </si>
  <si>
    <t>ADAMAWA TOTAL</t>
  </si>
  <si>
    <t>KANKIA</t>
  </si>
  <si>
    <t xml:space="preserve">AKWA IBOM </t>
  </si>
  <si>
    <t>ABAK</t>
  </si>
  <si>
    <t>EASTERN OBOLO</t>
  </si>
  <si>
    <t>KURFI</t>
  </si>
  <si>
    <t>EKET</t>
  </si>
  <si>
    <t>KUSADA</t>
  </si>
  <si>
    <t>EKPE ATAI</t>
  </si>
  <si>
    <t>MAIADUA</t>
  </si>
  <si>
    <t>ESSIEN UDIM</t>
  </si>
  <si>
    <t>MALUMFASHI</t>
  </si>
  <si>
    <t>ETIM EKPO</t>
  </si>
  <si>
    <t>MANI</t>
  </si>
  <si>
    <t>ETINAN</t>
  </si>
  <si>
    <t>MASHI</t>
  </si>
  <si>
    <t>IBENO</t>
  </si>
  <si>
    <t>MATAZU</t>
  </si>
  <si>
    <t>IBESIKPO ASUTAN</t>
  </si>
  <si>
    <t>MUSAWA</t>
  </si>
  <si>
    <t>IBIONO IBOM</t>
  </si>
  <si>
    <t>RIMI</t>
  </si>
  <si>
    <t>IKA</t>
  </si>
  <si>
    <t>SABUWA</t>
  </si>
  <si>
    <t>IKONO</t>
  </si>
  <si>
    <t>SAFANA</t>
  </si>
  <si>
    <t>IKOT ABASI</t>
  </si>
  <si>
    <t>SANDAMU</t>
  </si>
  <si>
    <t>IKOT EKPENE</t>
  </si>
  <si>
    <t>ZANGO</t>
  </si>
  <si>
    <t>INI</t>
  </si>
  <si>
    <t>KATSINA TOTAL</t>
  </si>
  <si>
    <t>ITU</t>
  </si>
  <si>
    <t>ALIERU</t>
  </si>
  <si>
    <t>MBO</t>
  </si>
  <si>
    <t>AREWA</t>
  </si>
  <si>
    <t>MKPAT ENIN</t>
  </si>
  <si>
    <t>ARGUNGU</t>
  </si>
  <si>
    <t>NSIT IBOM</t>
  </si>
  <si>
    <t>AUGIE</t>
  </si>
  <si>
    <t>NSIT UBIUM</t>
  </si>
  <si>
    <t>BAGUDO</t>
  </si>
  <si>
    <t>OBAT AKARA</t>
  </si>
  <si>
    <t>BIRNIN -KEBBI</t>
  </si>
  <si>
    <t>OKOBO</t>
  </si>
  <si>
    <t>BUNZA</t>
  </si>
  <si>
    <t>ONNA</t>
  </si>
  <si>
    <t>DANDI KAMBA</t>
  </si>
  <si>
    <t>ORON</t>
  </si>
  <si>
    <t>DANKO /WASAGU</t>
  </si>
  <si>
    <t>ORUK ANAM</t>
  </si>
  <si>
    <t>FAKAI</t>
  </si>
  <si>
    <t>UDUNG UKO</t>
  </si>
  <si>
    <t>GWANDU</t>
  </si>
  <si>
    <t>UKANAFUN</t>
  </si>
  <si>
    <t>JEGA</t>
  </si>
  <si>
    <t>UQUO</t>
  </si>
  <si>
    <t>KALGO</t>
  </si>
  <si>
    <t>URUAN</t>
  </si>
  <si>
    <t>KOKO/BESSE</t>
  </si>
  <si>
    <t>URUE OFFONG/ORUK</t>
  </si>
  <si>
    <t>MAIYAMA</t>
  </si>
  <si>
    <t>UYO</t>
  </si>
  <si>
    <t>NGASKI</t>
  </si>
  <si>
    <t>AKWA IBOM TOTAL</t>
  </si>
  <si>
    <t>SAKABA</t>
  </si>
  <si>
    <t xml:space="preserve">ANAMBRA </t>
  </si>
  <si>
    <t>AGUATA</t>
  </si>
  <si>
    <t>SHANGA</t>
  </si>
  <si>
    <t>ANAMBRA EAST</t>
  </si>
  <si>
    <t>SURU</t>
  </si>
  <si>
    <t>ANAMBRA WEST</t>
  </si>
  <si>
    <t>YAURI</t>
  </si>
  <si>
    <t>ANIOCHA</t>
  </si>
  <si>
    <t>ZURU</t>
  </si>
  <si>
    <t>AWKA NORTH</t>
  </si>
  <si>
    <t>KEBBI TOTAL</t>
  </si>
  <si>
    <t>AWKA SOUTH</t>
  </si>
  <si>
    <t>ADAVI</t>
  </si>
  <si>
    <t>AYAMELUM</t>
  </si>
  <si>
    <t>AJAOKUTA</t>
  </si>
  <si>
    <t>DUNUKOFIA</t>
  </si>
  <si>
    <t>ANKPA</t>
  </si>
  <si>
    <t>EKWUSIGWO</t>
  </si>
  <si>
    <t>BASSA</t>
  </si>
  <si>
    <t>IDEMILI NORTH</t>
  </si>
  <si>
    <t>DEKINA</t>
  </si>
  <si>
    <t>IDEMILI SOUTH</t>
  </si>
  <si>
    <t>IBAJI</t>
  </si>
  <si>
    <t>IHIALA</t>
  </si>
  <si>
    <t>IDAH</t>
  </si>
  <si>
    <t>NJIKOKA</t>
  </si>
  <si>
    <t>IGALAMELA</t>
  </si>
  <si>
    <t>NNEWI NORTH</t>
  </si>
  <si>
    <t>IJUMU</t>
  </si>
  <si>
    <t>NNEWI SOUTH</t>
  </si>
  <si>
    <t>KABBA/BUNU</t>
  </si>
  <si>
    <t>OGBARU</t>
  </si>
  <si>
    <t>ONISHA NORTH</t>
  </si>
  <si>
    <t>KOTON KARFE</t>
  </si>
  <si>
    <t>ONISHA SOUTH</t>
  </si>
  <si>
    <t>MOPA-MURO</t>
  </si>
  <si>
    <t>ORUMBA NORTH</t>
  </si>
  <si>
    <t>OFU</t>
  </si>
  <si>
    <t>ORUMBA SOUTH</t>
  </si>
  <si>
    <t>OGORI/MAGONGO</t>
  </si>
  <si>
    <t>OYI</t>
  </si>
  <si>
    <t>OKEHI</t>
  </si>
  <si>
    <t>ANAMBRA TOTAL</t>
  </si>
  <si>
    <t>OKENE</t>
  </si>
  <si>
    <t xml:space="preserve">BAUCHI </t>
  </si>
  <si>
    <t>ALKALERI</t>
  </si>
  <si>
    <t>OLAMABORO</t>
  </si>
  <si>
    <t>OMALA</t>
  </si>
  <si>
    <t>BOGORO</t>
  </si>
  <si>
    <t>YAGBA EAST</t>
  </si>
  <si>
    <t>DAMBAN</t>
  </si>
  <si>
    <t>YAGBA WEST</t>
  </si>
  <si>
    <t>DARAZO</t>
  </si>
  <si>
    <t>KOGI TOTAL</t>
  </si>
  <si>
    <t>DASS</t>
  </si>
  <si>
    <t>ASA</t>
  </si>
  <si>
    <t>GAMAWA</t>
  </si>
  <si>
    <t>BARUTEN</t>
  </si>
  <si>
    <t>GANJUWA</t>
  </si>
  <si>
    <t>EDU</t>
  </si>
  <si>
    <t>GIADE</t>
  </si>
  <si>
    <t>I/GADAU</t>
  </si>
  <si>
    <t>IFELODUN</t>
  </si>
  <si>
    <t>JAMA'ARE</t>
  </si>
  <si>
    <t>ILORIN EAST</t>
  </si>
  <si>
    <t>KATAGUM</t>
  </si>
  <si>
    <t>ILORIN SOUTH</t>
  </si>
  <si>
    <t>KIRFI</t>
  </si>
  <si>
    <t>ILORIN WEST</t>
  </si>
  <si>
    <t>MISAU</t>
  </si>
  <si>
    <t>IREPODUN</t>
  </si>
  <si>
    <t>NINGI</t>
  </si>
  <si>
    <t>KAI AMA</t>
  </si>
  <si>
    <t>SHIRA</t>
  </si>
  <si>
    <t>MORO</t>
  </si>
  <si>
    <t>TAFAWA BALEWA</t>
  </si>
  <si>
    <t>OFFA</t>
  </si>
  <si>
    <t>TORO</t>
  </si>
  <si>
    <t>OKE-ERO</t>
  </si>
  <si>
    <t>WARJI</t>
  </si>
  <si>
    <t>OSIN</t>
  </si>
  <si>
    <t>ZAKI</t>
  </si>
  <si>
    <t>OYUN</t>
  </si>
  <si>
    <t>BAUCHI TOTAL</t>
  </si>
  <si>
    <t>PATEGI</t>
  </si>
  <si>
    <t xml:space="preserve">BAYELSA </t>
  </si>
  <si>
    <t>BRASS</t>
  </si>
  <si>
    <t>KWARA TOTAL</t>
  </si>
  <si>
    <t>EKERMOR</t>
  </si>
  <si>
    <t>AGEGE</t>
  </si>
  <si>
    <t>KOLOKUMA/OPOKUMA</t>
  </si>
  <si>
    <t>AJEROMI/IFELODUN</t>
  </si>
  <si>
    <t>NEMBE</t>
  </si>
  <si>
    <t>ALIMOSHO</t>
  </si>
  <si>
    <t>OGBIA</t>
  </si>
  <si>
    <t>AMOWO-ODOFIN</t>
  </si>
  <si>
    <t>SAGBAMA</t>
  </si>
  <si>
    <t>APAPA</t>
  </si>
  <si>
    <t>SOUTHERN IJAW</t>
  </si>
  <si>
    <t>BADAGRY</t>
  </si>
  <si>
    <t>YENAGOA</t>
  </si>
  <si>
    <t>EPE</t>
  </si>
  <si>
    <t>BAYELSA TOTAL</t>
  </si>
  <si>
    <t>ETI-OSA</t>
  </si>
  <si>
    <t xml:space="preserve">BENUE </t>
  </si>
  <si>
    <t>ADO</t>
  </si>
  <si>
    <t>IBEJU-LEKKI</t>
  </si>
  <si>
    <t>AGATU</t>
  </si>
  <si>
    <t>IFAKO/IJAYE</t>
  </si>
  <si>
    <t>APA</t>
  </si>
  <si>
    <t>IKEJA</t>
  </si>
  <si>
    <t>BURUKU</t>
  </si>
  <si>
    <t>IKORODU</t>
  </si>
  <si>
    <t>GBOKO</t>
  </si>
  <si>
    <t>KOSOFE</t>
  </si>
  <si>
    <t>GUMA</t>
  </si>
  <si>
    <t>LAGOS ISLAND</t>
  </si>
  <si>
    <t>GWER EAST</t>
  </si>
  <si>
    <t>LAGOS MAINLAND</t>
  </si>
  <si>
    <t>GWER WEST</t>
  </si>
  <si>
    <t>MUSHIN</t>
  </si>
  <si>
    <t>KATSINA ALA</t>
  </si>
  <si>
    <t>OJO</t>
  </si>
  <si>
    <t>KONSHISHA</t>
  </si>
  <si>
    <t>OSHODI/ISOLO</t>
  </si>
  <si>
    <t>KWANDE</t>
  </si>
  <si>
    <t>SOMOLU</t>
  </si>
  <si>
    <t>LOGO</t>
  </si>
  <si>
    <t>SURULERE</t>
  </si>
  <si>
    <t>MAKURDI</t>
  </si>
  <si>
    <t>LAGOS TOTAL</t>
  </si>
  <si>
    <t>OBI</t>
  </si>
  <si>
    <t>AKWANGA</t>
  </si>
  <si>
    <t>OGBADIBO</t>
  </si>
  <si>
    <t>AWE</t>
  </si>
  <si>
    <t>OHIMINI</t>
  </si>
  <si>
    <t>DOMA</t>
  </si>
  <si>
    <t>OJU</t>
  </si>
  <si>
    <t>KARU</t>
  </si>
  <si>
    <t>OKPOKWU</t>
  </si>
  <si>
    <t>KEANA</t>
  </si>
  <si>
    <t>OTUKPO</t>
  </si>
  <si>
    <t>KEFFI</t>
  </si>
  <si>
    <t>TARKA</t>
  </si>
  <si>
    <t>KOKONA</t>
  </si>
  <si>
    <t>UKUM</t>
  </si>
  <si>
    <t>LAFIA</t>
  </si>
  <si>
    <t>USHONGO</t>
  </si>
  <si>
    <t>NASARAWA</t>
  </si>
  <si>
    <t>VANDEIKYA</t>
  </si>
  <si>
    <t>NASARAWA EGGON</t>
  </si>
  <si>
    <t>BENUE TOTAL</t>
  </si>
  <si>
    <t xml:space="preserve">BORNO </t>
  </si>
  <si>
    <t>ABADAN</t>
  </si>
  <si>
    <t>TOTO</t>
  </si>
  <si>
    <t>ASKIRA UBA</t>
  </si>
  <si>
    <t>WAMBA</t>
  </si>
  <si>
    <t>BAMA</t>
  </si>
  <si>
    <t>NASSARAWA TOTAL</t>
  </si>
  <si>
    <t>BAYO</t>
  </si>
  <si>
    <t>AGAIE</t>
  </si>
  <si>
    <t>BIU</t>
  </si>
  <si>
    <t>AGWARA</t>
  </si>
  <si>
    <t>CHIBOK</t>
  </si>
  <si>
    <t>BIDA</t>
  </si>
  <si>
    <t>DAMBOA</t>
  </si>
  <si>
    <t>BORGU</t>
  </si>
  <si>
    <t>DIKWA</t>
  </si>
  <si>
    <t>BOSSO</t>
  </si>
  <si>
    <t>GUBIO</t>
  </si>
  <si>
    <t>EDATI</t>
  </si>
  <si>
    <t>GUZAMALA</t>
  </si>
  <si>
    <t>GBAKO</t>
  </si>
  <si>
    <t>GWOZA</t>
  </si>
  <si>
    <t>GURARA</t>
  </si>
  <si>
    <t>HAWUL</t>
  </si>
  <si>
    <t>KATCHA</t>
  </si>
  <si>
    <t>JERE</t>
  </si>
  <si>
    <t>KONTAGORA</t>
  </si>
  <si>
    <t>KAGA</t>
  </si>
  <si>
    <t>LAPAI</t>
  </si>
  <si>
    <t>KALA BALGE</t>
  </si>
  <si>
    <t>LAVUN</t>
  </si>
  <si>
    <t>KONDUGA</t>
  </si>
  <si>
    <t>MAGAMA</t>
  </si>
  <si>
    <t>KUKAWA</t>
  </si>
  <si>
    <t>MARIGA</t>
  </si>
  <si>
    <t>KWAYA KUSAR</t>
  </si>
  <si>
    <t>MASHEGU</t>
  </si>
  <si>
    <t>MAFA</t>
  </si>
  <si>
    <t>MINNA</t>
  </si>
  <si>
    <t>MAGUMERI</t>
  </si>
  <si>
    <t>MOKWA</t>
  </si>
  <si>
    <t>MAIDUGURI METRO</t>
  </si>
  <si>
    <t>MUYA</t>
  </si>
  <si>
    <t>MARTE</t>
  </si>
  <si>
    <t>PAIKORO</t>
  </si>
  <si>
    <t>MOBBAR</t>
  </si>
  <si>
    <t>RAFI</t>
  </si>
  <si>
    <t>MONGUNO</t>
  </si>
  <si>
    <t>RIJAU</t>
  </si>
  <si>
    <t>NGALA</t>
  </si>
  <si>
    <t>SHIRORO</t>
  </si>
  <si>
    <t>NGANZAI</t>
  </si>
  <si>
    <t>SULEJA</t>
  </si>
  <si>
    <t>SHANI</t>
  </si>
  <si>
    <t>TAFA</t>
  </si>
  <si>
    <t>BORNO TOTAL</t>
  </si>
  <si>
    <t>WUSHISHI</t>
  </si>
  <si>
    <t xml:space="preserve">CROSS RIVER </t>
  </si>
  <si>
    <t>ABI</t>
  </si>
  <si>
    <t>NIGER TOTAL</t>
  </si>
  <si>
    <t>AKAMKPA</t>
  </si>
  <si>
    <t>ABEOKUTA NORTH</t>
  </si>
  <si>
    <t>AKPABUYO</t>
  </si>
  <si>
    <t>ABEOKUTA SOUTH</t>
  </si>
  <si>
    <t>BAKASSI</t>
  </si>
  <si>
    <t>ADO-ODO/OTA</t>
  </si>
  <si>
    <t>BEKWARA</t>
  </si>
  <si>
    <t>EGBADO NORTH</t>
  </si>
  <si>
    <t>BIASE</t>
  </si>
  <si>
    <t>EGBADO SOUTH</t>
  </si>
  <si>
    <t>BOKI</t>
  </si>
  <si>
    <t>EWEKORO</t>
  </si>
  <si>
    <t>CALABAR MUNICIPAL</t>
  </si>
  <si>
    <t>REMO NORTH</t>
  </si>
  <si>
    <t>CALABAR SOUTH</t>
  </si>
  <si>
    <t>IFO</t>
  </si>
  <si>
    <t>ETUNG</t>
  </si>
  <si>
    <t>IJEBU EAST</t>
  </si>
  <si>
    <t>IKOM</t>
  </si>
  <si>
    <t>IJEBU NORTH</t>
  </si>
  <si>
    <t>OBANLIKU</t>
  </si>
  <si>
    <t>IJEBU ODE</t>
  </si>
  <si>
    <t>OBUBRA</t>
  </si>
  <si>
    <t>IKENNE</t>
  </si>
  <si>
    <t>OBUDU</t>
  </si>
  <si>
    <t>IJEBU NORTH EAST</t>
  </si>
  <si>
    <t>ODUKPANI</t>
  </si>
  <si>
    <t>IMEKO-AFON</t>
  </si>
  <si>
    <t>OGAJA</t>
  </si>
  <si>
    <t>IPOKIA</t>
  </si>
  <si>
    <t>YAKURR</t>
  </si>
  <si>
    <t>OBAFEMI/OWODE</t>
  </si>
  <si>
    <t>YALA</t>
  </si>
  <si>
    <t>ODEDAH</t>
  </si>
  <si>
    <t>CROSS RIVER TOTAL</t>
  </si>
  <si>
    <t>ODOGBOLU</t>
  </si>
  <si>
    <t xml:space="preserve">DELTA </t>
  </si>
  <si>
    <t>ANIOCHA NORTH</t>
  </si>
  <si>
    <t>OGUN WATERSIDE</t>
  </si>
  <si>
    <t>ANIOCHA SOUTH</t>
  </si>
  <si>
    <t>SHAGAMU</t>
  </si>
  <si>
    <t>BOMADI</t>
  </si>
  <si>
    <t>OGUN TOTAL</t>
  </si>
  <si>
    <t>BURUTU</t>
  </si>
  <si>
    <t>AKOKO NORTH EAST</t>
  </si>
  <si>
    <t>ETHIOPE EAST</t>
  </si>
  <si>
    <t>AKOKO NORTH WEST</t>
  </si>
  <si>
    <t>ETHIOPE WEST</t>
  </si>
  <si>
    <t>AKOKO SOUTH WEST</t>
  </si>
  <si>
    <t>IKA NORTH EAST</t>
  </si>
  <si>
    <t>AKOKO SOUTH EAST</t>
  </si>
  <si>
    <t>IKA SOUTH</t>
  </si>
  <si>
    <t>AKURE NORTH</t>
  </si>
  <si>
    <t>ISOKO NORTH</t>
  </si>
  <si>
    <t>AKURE SOUTH</t>
  </si>
  <si>
    <t>ISOKO SOUTH</t>
  </si>
  <si>
    <t>IDANRE</t>
  </si>
  <si>
    <t>NDOKWA EAST</t>
  </si>
  <si>
    <t>IFEDORE</t>
  </si>
  <si>
    <t>NDOKWA WEST</t>
  </si>
  <si>
    <t>OKITIPUPA</t>
  </si>
  <si>
    <t>OKPE</t>
  </si>
  <si>
    <t>ILAJE</t>
  </si>
  <si>
    <t>OSHIMILI NORTH</t>
  </si>
  <si>
    <t>ESE-EDO</t>
  </si>
  <si>
    <t>OSHIMILI SOUTH</t>
  </si>
  <si>
    <t>ILE-OLUJI-OKEIGBO</t>
  </si>
  <si>
    <t>PATANI</t>
  </si>
  <si>
    <t>IRELE</t>
  </si>
  <si>
    <t>SAPELE</t>
  </si>
  <si>
    <t>ODIGBO</t>
  </si>
  <si>
    <t>UDU</t>
  </si>
  <si>
    <t>ONDO EAST</t>
  </si>
  <si>
    <t>UGHELLI NORTH</t>
  </si>
  <si>
    <t>ONDO WEST</t>
  </si>
  <si>
    <t>UGHELLI SOUTH</t>
  </si>
  <si>
    <t>OSE</t>
  </si>
  <si>
    <t>UKWUANI</t>
  </si>
  <si>
    <t>OWO</t>
  </si>
  <si>
    <t>UVWIE</t>
  </si>
  <si>
    <t>ONDO TOTAL</t>
  </si>
  <si>
    <t>WARRI SOUTH</t>
  </si>
  <si>
    <t>ATAKUMOSA EAST</t>
  </si>
  <si>
    <t>WARRI NORTH</t>
  </si>
  <si>
    <t>ATAKUMOSA WEST</t>
  </si>
  <si>
    <t>WARRI SOUTH-WEST</t>
  </si>
  <si>
    <t>AIYEDADE</t>
  </si>
  <si>
    <t>DELTA TOTAL</t>
  </si>
  <si>
    <t>AIYEDIRE</t>
  </si>
  <si>
    <t xml:space="preserve">EBONYI </t>
  </si>
  <si>
    <t>ABAKALIKI</t>
  </si>
  <si>
    <t>BOLUWADURO</t>
  </si>
  <si>
    <t>AFIKPO NORTH</t>
  </si>
  <si>
    <t>BORIPE</t>
  </si>
  <si>
    <t xml:space="preserve">AFIKPO SOUTH </t>
  </si>
  <si>
    <t>EDE NORTH</t>
  </si>
  <si>
    <t>EDE SOUTH</t>
  </si>
  <si>
    <t>EZZA NORTH</t>
  </si>
  <si>
    <t>EGBEDORE</t>
  </si>
  <si>
    <t>EZZA SOUTH</t>
  </si>
  <si>
    <t>EJIGBO</t>
  </si>
  <si>
    <t>IKWO</t>
  </si>
  <si>
    <t>IFE CENTRAL</t>
  </si>
  <si>
    <t>ISHIELU</t>
  </si>
  <si>
    <t>IFE EAST</t>
  </si>
  <si>
    <t>IVO</t>
  </si>
  <si>
    <t>IFE NORTH</t>
  </si>
  <si>
    <t>IZZI</t>
  </si>
  <si>
    <t>IFE SOUTH</t>
  </si>
  <si>
    <t>OHAOZARA</t>
  </si>
  <si>
    <t>IFEDAYO</t>
  </si>
  <si>
    <t>OHAUKWU</t>
  </si>
  <si>
    <t>ONICHA</t>
  </si>
  <si>
    <t>ILA</t>
  </si>
  <si>
    <t>EBONYI TOTAL</t>
  </si>
  <si>
    <t>ILESHA EAST</t>
  </si>
  <si>
    <t>EDO TOTAL</t>
  </si>
  <si>
    <t>AKOKO EDO</t>
  </si>
  <si>
    <t>ILESHA WEST</t>
  </si>
  <si>
    <t>EGOR</t>
  </si>
  <si>
    <t>ESAN CENTRAL</t>
  </si>
  <si>
    <t>IREWOLE</t>
  </si>
  <si>
    <t>ESAN NORTH EAST</t>
  </si>
  <si>
    <t>ISOKAN</t>
  </si>
  <si>
    <t>ESAN SOUTH EAST</t>
  </si>
  <si>
    <t>IWO</t>
  </si>
  <si>
    <t>ESAN WEST</t>
  </si>
  <si>
    <t>OBOKUN</t>
  </si>
  <si>
    <t>ETSAKO CENTRAL</t>
  </si>
  <si>
    <t>ODO-OTIN</t>
  </si>
  <si>
    <t>ETSAKO EAST</t>
  </si>
  <si>
    <t>OLA-OLUWA</t>
  </si>
  <si>
    <t>ETSAKO WEST</t>
  </si>
  <si>
    <t>OLORUNDA</t>
  </si>
  <si>
    <t>IGUEBEN</t>
  </si>
  <si>
    <t>ORIADE</t>
  </si>
  <si>
    <t>IKPOBA OKHA</t>
  </si>
  <si>
    <t>OROLU</t>
  </si>
  <si>
    <t>OREDO</t>
  </si>
  <si>
    <t>OSOGBO</t>
  </si>
  <si>
    <t>ORHIONWON</t>
  </si>
  <si>
    <t>OSUN TOTAL</t>
  </si>
  <si>
    <t>OVIA NORTH EAST</t>
  </si>
  <si>
    <t>AFIJIO</t>
  </si>
  <si>
    <t>OVIA SOUTH WEST</t>
  </si>
  <si>
    <t>AKINYELE</t>
  </si>
  <si>
    <t>OWAN EAST</t>
  </si>
  <si>
    <t>ATIBA</t>
  </si>
  <si>
    <t>OWAN WEST</t>
  </si>
  <si>
    <t>ATISBO</t>
  </si>
  <si>
    <t>UHUNMWODE</t>
  </si>
  <si>
    <t>EGBEDA</t>
  </si>
  <si>
    <t>IBADAN NORTH</t>
  </si>
  <si>
    <t xml:space="preserve">EKITI </t>
  </si>
  <si>
    <t>ADO EKITI</t>
  </si>
  <si>
    <t>IBADAN NORTH EAST</t>
  </si>
  <si>
    <t>AIYEKIRE</t>
  </si>
  <si>
    <t>IBADAN NORTH WEST</t>
  </si>
  <si>
    <t>EFON</t>
  </si>
  <si>
    <t>IBADAN SOUTH EAST</t>
  </si>
  <si>
    <t>EKITI EAST</t>
  </si>
  <si>
    <t>IBADAN SOUTH WEST</t>
  </si>
  <si>
    <t>EKITI SOUTH WEST</t>
  </si>
  <si>
    <t>IBARAPA CENTRAL</t>
  </si>
  <si>
    <t>EKITI WEST</t>
  </si>
  <si>
    <t>IBARAPA NORTH</t>
  </si>
  <si>
    <t>EMURE</t>
  </si>
  <si>
    <t>IDO</t>
  </si>
  <si>
    <t>IDO-OSI</t>
  </si>
  <si>
    <t>SAKI WEST</t>
  </si>
  <si>
    <t>IJERO</t>
  </si>
  <si>
    <t>IFELOJU</t>
  </si>
  <si>
    <t>IKERE</t>
  </si>
  <si>
    <t>IREPO</t>
  </si>
  <si>
    <t>IKOLE</t>
  </si>
  <si>
    <t>ISEYIN</t>
  </si>
  <si>
    <t>ILEJEMEJI</t>
  </si>
  <si>
    <t>ITESIWAJU</t>
  </si>
  <si>
    <t>IREPODUN/IFELODUN</t>
  </si>
  <si>
    <t>IWAJOWA</t>
  </si>
  <si>
    <t>ISE/ORUN</t>
  </si>
  <si>
    <t>OLORUNSOGO</t>
  </si>
  <si>
    <t>MOBA</t>
  </si>
  <si>
    <t>KAJOLA</t>
  </si>
  <si>
    <t>OYE</t>
  </si>
  <si>
    <t>LAGELU</t>
  </si>
  <si>
    <t>EKITI TOTAL</t>
  </si>
  <si>
    <t>OGBOMOSHO NORTH</t>
  </si>
  <si>
    <t>AGWU</t>
  </si>
  <si>
    <t>OGBOMOSHO SOUTH</t>
  </si>
  <si>
    <t>ANINRI</t>
  </si>
  <si>
    <t>OGO-OLUWA</t>
  </si>
  <si>
    <t>ENUGU EAST</t>
  </si>
  <si>
    <t>OLUYOLE</t>
  </si>
  <si>
    <t>ENUGU NORTH</t>
  </si>
  <si>
    <t>ONA-ARA</t>
  </si>
  <si>
    <t>ENUGU SOUTH</t>
  </si>
  <si>
    <t>ORELOPE</t>
  </si>
  <si>
    <t>EZEAGU</t>
  </si>
  <si>
    <t>ORI IRE</t>
  </si>
  <si>
    <t>IGBO ETITI</t>
  </si>
  <si>
    <t>OYO EAST</t>
  </si>
  <si>
    <t>IGBO EZE NORTH</t>
  </si>
  <si>
    <t>OYO WEST</t>
  </si>
  <si>
    <t>IGBO EZE SOUTH</t>
  </si>
  <si>
    <t>SAKI EAST</t>
  </si>
  <si>
    <t>ISI UZO</t>
  </si>
  <si>
    <t>IFEDAPO</t>
  </si>
  <si>
    <t>NKANU EAST</t>
  </si>
  <si>
    <t>OYO TOTAL</t>
  </si>
  <si>
    <t>NKANU WEST</t>
  </si>
  <si>
    <t>BARKIN LADI</t>
  </si>
  <si>
    <t>NSUKKA</t>
  </si>
  <si>
    <t>OJI RIVER</t>
  </si>
  <si>
    <t>BOKKOS</t>
  </si>
  <si>
    <t>UDENU</t>
  </si>
  <si>
    <t>JOS EAST</t>
  </si>
  <si>
    <t>UDI</t>
  </si>
  <si>
    <t>JOS NORTH</t>
  </si>
  <si>
    <t>UZO UWANI</t>
  </si>
  <si>
    <t>JOS SOUTH</t>
  </si>
  <si>
    <t>ENUGU TOTAL</t>
  </si>
  <si>
    <t>KANAM</t>
  </si>
  <si>
    <t xml:space="preserve">GOMBE </t>
  </si>
  <si>
    <t>AKKO</t>
  </si>
  <si>
    <t>KANKE</t>
  </si>
  <si>
    <t>BALANGA</t>
  </si>
  <si>
    <t>LANGTANG NORTH</t>
  </si>
  <si>
    <t>BILLIRI</t>
  </si>
  <si>
    <t>LANGTANG SOUTH</t>
  </si>
  <si>
    <t>DUKKU</t>
  </si>
  <si>
    <t>MANGU</t>
  </si>
  <si>
    <t>FUNAKAYE</t>
  </si>
  <si>
    <t>MIKANG</t>
  </si>
  <si>
    <t>PANKSHIN</t>
  </si>
  <si>
    <t>KALTUNGO</t>
  </si>
  <si>
    <t>QUAN-PAN</t>
  </si>
  <si>
    <t>KWAMI</t>
  </si>
  <si>
    <t>RIYOM</t>
  </si>
  <si>
    <t>NAFADA</t>
  </si>
  <si>
    <t>SHENDAM</t>
  </si>
  <si>
    <t>SHOMGOM</t>
  </si>
  <si>
    <t>WASE</t>
  </si>
  <si>
    <t>YAMALTU/DEBA</t>
  </si>
  <si>
    <t>PLATEAU TOTAL</t>
  </si>
  <si>
    <t>GOMBE TOTAL</t>
  </si>
  <si>
    <t>AHOADA</t>
  </si>
  <si>
    <t xml:space="preserve">IMO </t>
  </si>
  <si>
    <t>ABOH MBAISE</t>
  </si>
  <si>
    <t>AHOADA WEST</t>
  </si>
  <si>
    <t>AHIAZU MBAISE</t>
  </si>
  <si>
    <t>AKUKUTORU</t>
  </si>
  <si>
    <t>EHIME MBANO</t>
  </si>
  <si>
    <t>ANDONI</t>
  </si>
  <si>
    <t>EZINIHITTE MBAISE</t>
  </si>
  <si>
    <t>ASARITORU</t>
  </si>
  <si>
    <t>IDEATO NORTH</t>
  </si>
  <si>
    <t>BONNY</t>
  </si>
  <si>
    <t>IDEATO SOUTH</t>
  </si>
  <si>
    <t>DEGEMA</t>
  </si>
  <si>
    <t>IHITTE UBOMA</t>
  </si>
  <si>
    <t>ELEME</t>
  </si>
  <si>
    <t>IKEDURU</t>
  </si>
  <si>
    <t>EMOHUA</t>
  </si>
  <si>
    <t>ISIALA MBANO</t>
  </si>
  <si>
    <t>ETCHE</t>
  </si>
  <si>
    <t>ISU</t>
  </si>
  <si>
    <t>GONAKA</t>
  </si>
  <si>
    <t>MBAITOLI</t>
  </si>
  <si>
    <t>IKWERRE</t>
  </si>
  <si>
    <t>NGOR/OKPALA</t>
  </si>
  <si>
    <t>KHANA</t>
  </si>
  <si>
    <t>NJABA</t>
  </si>
  <si>
    <t>OBIO/AKPOR</t>
  </si>
  <si>
    <t>NKWANGELE</t>
  </si>
  <si>
    <t>OBUA/ODUAL</t>
  </si>
  <si>
    <t>NKWERRE</t>
  </si>
  <si>
    <t>OGBA/EGBEMA/NDONI</t>
  </si>
  <si>
    <t>OBOWO</t>
  </si>
  <si>
    <t>OGU/BOLO</t>
  </si>
  <si>
    <t>OGUTA</t>
  </si>
  <si>
    <t>OKRIKA</t>
  </si>
  <si>
    <t>OHAJI/EGBEMA</t>
  </si>
  <si>
    <t>OMUMMA</t>
  </si>
  <si>
    <t>OKIGWE</t>
  </si>
  <si>
    <t>OPOBO/NKORO</t>
  </si>
  <si>
    <t>ONUIMO</t>
  </si>
  <si>
    <t>OYIGBO</t>
  </si>
  <si>
    <t>ORLU</t>
  </si>
  <si>
    <t>PORT HARCOURT</t>
  </si>
  <si>
    <t>ORSU</t>
  </si>
  <si>
    <t>TAI</t>
  </si>
  <si>
    <t>ORU</t>
  </si>
  <si>
    <t>RIVERS TOTAL</t>
  </si>
  <si>
    <t>ORU WEST</t>
  </si>
  <si>
    <t>BINJI</t>
  </si>
  <si>
    <t>OWERRI MUNICIPAL</t>
  </si>
  <si>
    <t>BODINGA</t>
  </si>
  <si>
    <t>OWERRI NORTH</t>
  </si>
  <si>
    <t>DANGE-SHUNI</t>
  </si>
  <si>
    <t>OWERRI WEST</t>
  </si>
  <si>
    <t>GADA</t>
  </si>
  <si>
    <t>IMO TOTAL</t>
  </si>
  <si>
    <t>GORONYO</t>
  </si>
  <si>
    <t xml:space="preserve">JIGAWA </t>
  </si>
  <si>
    <t>AUYO</t>
  </si>
  <si>
    <t>GUDU</t>
  </si>
  <si>
    <t>BABURA</t>
  </si>
  <si>
    <t>GWADABAWA</t>
  </si>
  <si>
    <t>BIRNIN KUDU</t>
  </si>
  <si>
    <t>ILLELA</t>
  </si>
  <si>
    <t>BIRNIWA</t>
  </si>
  <si>
    <t>ISA</t>
  </si>
  <si>
    <t>GAGARAWA</t>
  </si>
  <si>
    <t>KEBBE</t>
  </si>
  <si>
    <t>BUJI</t>
  </si>
  <si>
    <t>KWARE</t>
  </si>
  <si>
    <t>DUTSE</t>
  </si>
  <si>
    <t>RABAH</t>
  </si>
  <si>
    <t>GARKI</t>
  </si>
  <si>
    <t>SABON BIRNI</t>
  </si>
  <si>
    <t>GUMEL</t>
  </si>
  <si>
    <t>SHAGARI</t>
  </si>
  <si>
    <t>GURI</t>
  </si>
  <si>
    <t>SILAME</t>
  </si>
  <si>
    <t>GWARAM</t>
  </si>
  <si>
    <t>SOKOTO NORTH</t>
  </si>
  <si>
    <t>GWIWA</t>
  </si>
  <si>
    <t>SOKOTO SOUTH</t>
  </si>
  <si>
    <t>HADEJIA</t>
  </si>
  <si>
    <t>TAMBUWAL</t>
  </si>
  <si>
    <t>JAHUN</t>
  </si>
  <si>
    <t>TANGAZA</t>
  </si>
  <si>
    <t>KAFIN HAUSA</t>
  </si>
  <si>
    <t>TURETA</t>
  </si>
  <si>
    <t>KAUGAMA</t>
  </si>
  <si>
    <t>WAMAKKO</t>
  </si>
  <si>
    <t>KAZAURE</t>
  </si>
  <si>
    <t>WURNO</t>
  </si>
  <si>
    <t>KIRI-KASAMMA</t>
  </si>
  <si>
    <t>YABO</t>
  </si>
  <si>
    <t>KIYAWA</t>
  </si>
  <si>
    <t>SOKOTO TOTAL</t>
  </si>
  <si>
    <t>MAIGATARI</t>
  </si>
  <si>
    <t>ARDO KOLA</t>
  </si>
  <si>
    <t>MALAM MADORI</t>
  </si>
  <si>
    <t>BALI</t>
  </si>
  <si>
    <t>MIGA</t>
  </si>
  <si>
    <t>DONGA</t>
  </si>
  <si>
    <t>RINGIM</t>
  </si>
  <si>
    <t>GASHAKA</t>
  </si>
  <si>
    <t>RONI</t>
  </si>
  <si>
    <t>GASSOL</t>
  </si>
  <si>
    <t>SULE TAKARKAR</t>
  </si>
  <si>
    <t>IBI</t>
  </si>
  <si>
    <t>TAURA</t>
  </si>
  <si>
    <t>JALINGO</t>
  </si>
  <si>
    <t>YANKWASHI</t>
  </si>
  <si>
    <t>KARIM LAMIDU</t>
  </si>
  <si>
    <t>JIGAWA TOTAL</t>
  </si>
  <si>
    <t>KURMI</t>
  </si>
  <si>
    <t xml:space="preserve">KADUNA </t>
  </si>
  <si>
    <t>BIRNIN GWARI</t>
  </si>
  <si>
    <t>LAU</t>
  </si>
  <si>
    <t>CHIKUN</t>
  </si>
  <si>
    <t>SARDAUNA</t>
  </si>
  <si>
    <t>GIWA</t>
  </si>
  <si>
    <t>TAKUM</t>
  </si>
  <si>
    <t>KAJURU</t>
  </si>
  <si>
    <t>USSA</t>
  </si>
  <si>
    <t>IGABI</t>
  </si>
  <si>
    <t>WUKARI</t>
  </si>
  <si>
    <t>IKARA</t>
  </si>
  <si>
    <t>YORRO</t>
  </si>
  <si>
    <t>JABA</t>
  </si>
  <si>
    <t>ZING</t>
  </si>
  <si>
    <t>JEMA'A</t>
  </si>
  <si>
    <t>TARABA TOTAL</t>
  </si>
  <si>
    <t>KACHIA</t>
  </si>
  <si>
    <t>BADE</t>
  </si>
  <si>
    <t>KADUNA NORTH</t>
  </si>
  <si>
    <t>BURSARI</t>
  </si>
  <si>
    <t>KADUNA SOUTH</t>
  </si>
  <si>
    <t>DAMATURU</t>
  </si>
  <si>
    <t>KAGARKO</t>
  </si>
  <si>
    <t>FIKA</t>
  </si>
  <si>
    <t>KAURA</t>
  </si>
  <si>
    <t>FUNE</t>
  </si>
  <si>
    <t>KAURU</t>
  </si>
  <si>
    <t>GEIDAM</t>
  </si>
  <si>
    <t>KUBAU</t>
  </si>
  <si>
    <t>GUJBA</t>
  </si>
  <si>
    <t>KUDAN</t>
  </si>
  <si>
    <t>GULAMI</t>
  </si>
  <si>
    <t>LERE</t>
  </si>
  <si>
    <t>JAKUSKO</t>
  </si>
  <si>
    <t>MAKARFI</t>
  </si>
  <si>
    <t>KARASUWA</t>
  </si>
  <si>
    <t>SABON GARI</t>
  </si>
  <si>
    <t>MACHINA</t>
  </si>
  <si>
    <t>SANGA</t>
  </si>
  <si>
    <t>NANGERE</t>
  </si>
  <si>
    <t>SOBA</t>
  </si>
  <si>
    <t>NGURU</t>
  </si>
  <si>
    <t>ZANGON KATAF</t>
  </si>
  <si>
    <t>POTISKUM</t>
  </si>
  <si>
    <t>ZARIA</t>
  </si>
  <si>
    <t>TARMUA</t>
  </si>
  <si>
    <t>KADUNA TOTAL</t>
  </si>
  <si>
    <t>YUNUSARI</t>
  </si>
  <si>
    <t>AJINGI</t>
  </si>
  <si>
    <t>YUSUFARI</t>
  </si>
  <si>
    <t>ALBASU</t>
  </si>
  <si>
    <t>BAGWAI</t>
  </si>
  <si>
    <t>ANKA</t>
  </si>
  <si>
    <t>BEBEJI</t>
  </si>
  <si>
    <t>BAKURA</t>
  </si>
  <si>
    <t>BICHI</t>
  </si>
  <si>
    <t>BUKKUYUM</t>
  </si>
  <si>
    <t>BUNKURE</t>
  </si>
  <si>
    <t>BUNGUDU</t>
  </si>
  <si>
    <t>DALA</t>
  </si>
  <si>
    <t>GUMMI</t>
  </si>
  <si>
    <t>DANBATTA</t>
  </si>
  <si>
    <t>GUSAU</t>
  </si>
  <si>
    <t>DAWAKIN KUDU</t>
  </si>
  <si>
    <t>KAURA NAMODA</t>
  </si>
  <si>
    <t>DAWAKIN TOFA</t>
  </si>
  <si>
    <t>DOGUWA</t>
  </si>
  <si>
    <t>MARADUN</t>
  </si>
  <si>
    <t>FAGGE</t>
  </si>
  <si>
    <t>MARU</t>
  </si>
  <si>
    <t>GABASAWA</t>
  </si>
  <si>
    <t>SHINKAFI</t>
  </si>
  <si>
    <t>GARKO</t>
  </si>
  <si>
    <t>TALATA MAFARA</t>
  </si>
  <si>
    <t>GARUN MALLAM</t>
  </si>
  <si>
    <t>TSAFE</t>
  </si>
  <si>
    <t>GAYA</t>
  </si>
  <si>
    <t>ZURMI</t>
  </si>
  <si>
    <t>GEZAWA</t>
  </si>
  <si>
    <t>ZAMFARA TOTAL</t>
  </si>
  <si>
    <t>GWALE</t>
  </si>
  <si>
    <t>FCT-ABUJA</t>
  </si>
  <si>
    <t>ABAJI</t>
  </si>
  <si>
    <t>GWARZO</t>
  </si>
  <si>
    <t>ABUJA MUNICIPAL</t>
  </si>
  <si>
    <t>KABO</t>
  </si>
  <si>
    <t>BWARI</t>
  </si>
  <si>
    <t>KANO MUNICIPAL</t>
  </si>
  <si>
    <t>GWAGWALADA</t>
  </si>
  <si>
    <t>KARAYE</t>
  </si>
  <si>
    <t>KUJE</t>
  </si>
  <si>
    <t>KIBIYA</t>
  </si>
  <si>
    <t>KWALI</t>
  </si>
  <si>
    <t>KIRU</t>
  </si>
  <si>
    <t>FCT-ABUJA TOTAL</t>
  </si>
  <si>
    <t>KUMBOTSO</t>
  </si>
  <si>
    <t>Grand Total</t>
  </si>
  <si>
    <t>Summary of Distribution of Revenue Allocation to Local Government Councils by Federation Account Allocation Committee for the month of August 2024 Shared in September, 2024</t>
  </si>
  <si>
    <t>`</t>
  </si>
  <si>
    <t>Total Ecology Fund</t>
  </si>
  <si>
    <t>VAT</t>
  </si>
  <si>
    <t>Total Net Allocation</t>
  </si>
  <si>
    <t>Details of Distribution of Ecology Revenue Allocation to States by Federation Account Allocation Committee for the month of August, 2024 Shared in September, 2024</t>
  </si>
  <si>
    <t>S/N</t>
  </si>
  <si>
    <t>Gross Statutory Allocation (Ecology)</t>
  </si>
  <si>
    <t>Exchange Gain (Ecology)</t>
  </si>
  <si>
    <t xml:space="preserve"> Distribution of Ecology to Local Government Councils by Federation Account Allocation Committee for the month of August, 2024 Shared in September, 2024</t>
  </si>
  <si>
    <t>S/NO</t>
  </si>
  <si>
    <t>STATE</t>
  </si>
  <si>
    <t>LOCAL GOVERNMENT COUNCILS</t>
  </si>
  <si>
    <t>Total (Ecology)</t>
  </si>
  <si>
    <t xml:space="preserve"> Summary of Distribution of Ecology to Local Government Councils by Federation Account Allocation Committee for the month of August, 2024 Shared in September, 2024</t>
  </si>
  <si>
    <t>ABIA  LGCS</t>
  </si>
  <si>
    <t>ADAMAWA  LGCS</t>
  </si>
  <si>
    <t>AKWA IBOM  LGCS</t>
  </si>
  <si>
    <t>ANAMBRA  LGCS</t>
  </si>
  <si>
    <t>BAUCHI  LGCS</t>
  </si>
  <si>
    <t>BAYELSA  LGCS</t>
  </si>
  <si>
    <t>BENUE  LGCS</t>
  </si>
  <si>
    <t>BORNO  LGCS</t>
  </si>
  <si>
    <t>CROSS RIVER  LGCS</t>
  </si>
  <si>
    <t>DELTA  LGCS</t>
  </si>
  <si>
    <t>EBONYI  LGCS</t>
  </si>
  <si>
    <t>EDO  LGCS</t>
  </si>
  <si>
    <t>EKITI  LGCS</t>
  </si>
  <si>
    <t>ENUGU  LGCS</t>
  </si>
  <si>
    <t>GOMBE  LGCS</t>
  </si>
  <si>
    <t>IMO  LGCS</t>
  </si>
  <si>
    <t>JIGAWA  LGCS</t>
  </si>
  <si>
    <t>KADUNA  LGCS</t>
  </si>
  <si>
    <t>KANO  LGCS</t>
  </si>
  <si>
    <t>KATSINA  LGCS</t>
  </si>
  <si>
    <t>KEBBI  LGCS</t>
  </si>
  <si>
    <t>KOGI  LGCS</t>
  </si>
  <si>
    <t>KWARA  LGCS</t>
  </si>
  <si>
    <t>LAGOS  LGCS</t>
  </si>
  <si>
    <t>NASSARAWA  LGCS</t>
  </si>
  <si>
    <t>NIGER  LGCS</t>
  </si>
  <si>
    <t>OGUN  LGCS</t>
  </si>
  <si>
    <t>ONDO  LGCS</t>
  </si>
  <si>
    <t>OSUN  LGCS</t>
  </si>
  <si>
    <t>OYO  LGCS</t>
  </si>
  <si>
    <t>PLATEAU  LGCS</t>
  </si>
  <si>
    <t>RIVERS  LGCS</t>
  </si>
  <si>
    <t>SOKOTO  LGCS</t>
  </si>
  <si>
    <t>TARABA  LGCS</t>
  </si>
  <si>
    <t>YOBE  LGCS</t>
  </si>
  <si>
    <t>ZAMFARA  LGCS</t>
  </si>
  <si>
    <t>FCT-ABUJA  LGCS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</si>
</sst>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 &quot;#,##0.00;\-&quot; &quot;#,##0.00"/>
    <numFmt numFmtId="165" formatCode="_-* #,##0.00_-;\-* #,##0.00_-;_-* &quot;-&quot;??_-;_-@_-"/>
    <numFmt numFmtId="166" formatCode="#,##0.00_ ;\-#,##0.00&quot; &quot;"/>
    <numFmt numFmtId="167" formatCode="#,##0.0000000_ ;\-#,##0.0000000&quot; &quot;"/>
  </numFmts>
  <fonts count="28">
    <font>
      <sz val="10"/>
      <name val="Arial"/>
      <charset val="134"/>
    </font>
    <font>
      <b/>
      <sz val="16"/>
      <name val="Times New Roman"/>
      <charset val="134"/>
    </font>
    <font>
      <b/>
      <sz val="13"/>
      <name val="Times New Roman"/>
      <charset val="134"/>
    </font>
    <font>
      <b/>
      <sz val="11"/>
      <color theme="1"/>
      <name val="Times New Roman"/>
      <charset val="134"/>
    </font>
    <font>
      <b/>
      <sz val="14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sz val="14"/>
      <color indexed="8"/>
      <name val="Times New Roman"/>
      <charset val="134"/>
    </font>
    <font>
      <sz val="14"/>
      <name val="Times New Roman"/>
      <charset val="134"/>
    </font>
    <font>
      <sz val="10"/>
      <name val="Times New Roman"/>
      <charset val="134"/>
    </font>
    <font>
      <b/>
      <sz val="14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24"/>
      <name val="Times New Roman"/>
      <charset val="134"/>
    </font>
    <font>
      <b/>
      <sz val="18"/>
      <name val="Times New Roman"/>
      <charset val="134"/>
    </font>
    <font>
      <b/>
      <sz val="12"/>
      <color indexed="8"/>
      <name val="Times New Roman"/>
      <charset val="134"/>
    </font>
    <font>
      <b/>
      <sz val="10"/>
      <name val="Times New Roman"/>
      <charset val="134"/>
    </font>
    <font>
      <b/>
      <sz val="20"/>
      <name val="Times New Roman"/>
      <charset val="134"/>
    </font>
    <font>
      <b/>
      <u/>
      <sz val="16"/>
      <name val="Times New Roman"/>
      <charset val="134"/>
    </font>
    <font>
      <sz val="11"/>
      <color indexed="8"/>
      <name val="Times New Roman"/>
      <charset val="134"/>
    </font>
    <font>
      <b/>
      <u val="singleAccounting"/>
      <sz val="10"/>
      <name val="Times New Roman"/>
      <charset val="134"/>
    </font>
    <font>
      <sz val="18"/>
      <name val="Times New Roman"/>
      <charset val="134"/>
    </font>
    <font>
      <b/>
      <u/>
      <sz val="14"/>
      <name val="Times New Roman"/>
      <charset val="134"/>
    </font>
    <font>
      <sz val="12"/>
      <name val="Times New Roman"/>
      <charset val="134"/>
    </font>
    <font>
      <sz val="16"/>
      <name val="Times New Roman"/>
      <charset val="134"/>
    </font>
    <font>
      <b/>
      <sz val="22"/>
      <name val="Times New Roman"/>
      <charset val="134"/>
    </font>
    <font>
      <b/>
      <sz val="18"/>
      <name val="Arial"/>
      <charset val="134"/>
    </font>
    <font>
      <sz val="10"/>
      <color indexed="8"/>
      <name val="Arial"/>
      <charset val="134"/>
    </font>
    <font>
      <sz val="1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12">
    <xf numFmtId="0" fontId="0" fillId="0" borderId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</cellStyleXfs>
  <cellXfs count="211">
    <xf numFmtId="0" fontId="0" fillId="0" borderId="0" xfId="0"/>
    <xf numFmtId="0" fontId="1" fillId="0" borderId="1" xfId="0" applyFont="1" applyBorder="1" applyAlignment="1">
      <alignment horizontal="center"/>
    </xf>
    <xf numFmtId="0" fontId="3" fillId="2" borderId="1" xfId="5" applyFont="1" applyFill="1" applyBorder="1" applyAlignment="1">
      <alignment horizontal="center"/>
    </xf>
    <xf numFmtId="43" fontId="4" fillId="0" borderId="1" xfId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2" borderId="1" xfId="5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5" applyFont="1" applyBorder="1" applyAlignment="1">
      <alignment horizontal="right" wrapText="1"/>
    </xf>
    <xf numFmtId="0" fontId="7" fillId="0" borderId="1" xfId="5" applyFont="1" applyBorder="1" applyAlignment="1">
      <alignment wrapText="1"/>
    </xf>
    <xf numFmtId="164" fontId="7" fillId="0" borderId="1" xfId="5" applyNumberFormat="1" applyFont="1" applyBorder="1" applyAlignment="1">
      <alignment horizontal="right" wrapText="1"/>
    </xf>
    <xf numFmtId="39" fontId="8" fillId="0" borderId="1" xfId="0" applyNumberFormat="1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9" fillId="0" borderId="0" xfId="0" applyFont="1"/>
    <xf numFmtId="0" fontId="10" fillId="2" borderId="3" xfId="2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 wrapText="1"/>
    </xf>
    <xf numFmtId="43" fontId="4" fillId="0" borderId="4" xfId="1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horizontal="center"/>
    </xf>
    <xf numFmtId="0" fontId="11" fillId="2" borderId="1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 wrapText="1"/>
    </xf>
    <xf numFmtId="0" fontId="7" fillId="0" borderId="1" xfId="2" applyFont="1" applyBorder="1" applyAlignment="1">
      <alignment horizontal="right" wrapText="1"/>
    </xf>
    <xf numFmtId="0" fontId="7" fillId="0" borderId="1" xfId="2" applyFont="1" applyBorder="1" applyAlignment="1">
      <alignment wrapText="1"/>
    </xf>
    <xf numFmtId="164" fontId="7" fillId="0" borderId="1" xfId="2" applyNumberFormat="1" applyFont="1" applyBorder="1" applyAlignment="1">
      <alignment horizontal="right" wrapText="1"/>
    </xf>
    <xf numFmtId="164" fontId="8" fillId="0" borderId="1" xfId="0" applyNumberFormat="1" applyFont="1" applyBorder="1"/>
    <xf numFmtId="164" fontId="9" fillId="0" borderId="0" xfId="0" applyNumberFormat="1" applyFont="1"/>
    <xf numFmtId="0" fontId="9" fillId="0" borderId="0" xfId="0" applyFont="1" applyAlignment="1">
      <alignment wrapText="1"/>
    </xf>
    <xf numFmtId="43" fontId="9" fillId="0" borderId="0" xfId="1" applyFont="1"/>
    <xf numFmtId="0" fontId="8" fillId="0" borderId="1" xfId="0" applyFont="1" applyBorder="1"/>
    <xf numFmtId="0" fontId="8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/>
    <xf numFmtId="0" fontId="4" fillId="0" borderId="0" xfId="0" applyFont="1" applyAlignment="1">
      <alignment horizontal="center"/>
    </xf>
    <xf numFmtId="43" fontId="4" fillId="0" borderId="0" xfId="1" applyFont="1" applyBorder="1" applyAlignment="1">
      <alignment wrapText="1"/>
    </xf>
    <xf numFmtId="0" fontId="4" fillId="0" borderId="0" xfId="0" applyFont="1" applyAlignment="1">
      <alignment wrapText="1"/>
    </xf>
    <xf numFmtId="0" fontId="7" fillId="2" borderId="1" xfId="9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9" applyFont="1" applyBorder="1" applyAlignment="1">
      <alignment horizontal="right" wrapText="1"/>
    </xf>
    <xf numFmtId="0" fontId="7" fillId="0" borderId="1" xfId="9" applyFont="1" applyBorder="1" applyAlignment="1">
      <alignment wrapText="1"/>
    </xf>
    <xf numFmtId="43" fontId="8" fillId="0" borderId="1" xfId="1" applyFont="1" applyBorder="1"/>
    <xf numFmtId="165" fontId="8" fillId="0" borderId="1" xfId="0" applyNumberFormat="1" applyFont="1" applyBorder="1"/>
    <xf numFmtId="165" fontId="8" fillId="0" borderId="0" xfId="0" applyNumberFormat="1" applyFont="1"/>
    <xf numFmtId="43" fontId="8" fillId="0" borderId="0" xfId="0" applyNumberFormat="1" applyFont="1"/>
    <xf numFmtId="43" fontId="4" fillId="0" borderId="1" xfId="0" applyNumberFormat="1" applyFont="1" applyBorder="1"/>
    <xf numFmtId="43" fontId="4" fillId="0" borderId="0" xfId="0" applyNumberFormat="1" applyFont="1"/>
    <xf numFmtId="0" fontId="4" fillId="2" borderId="1" xfId="4" applyFont="1" applyFill="1" applyBorder="1" applyAlignment="1">
      <alignment horizontal="center"/>
    </xf>
    <xf numFmtId="43" fontId="6" fillId="0" borderId="1" xfId="1" applyFont="1" applyBorder="1" applyAlignment="1">
      <alignment horizontal="center" wrapText="1"/>
    </xf>
    <xf numFmtId="43" fontId="6" fillId="0" borderId="1" xfId="1" applyFont="1" applyBorder="1" applyAlignment="1">
      <alignment horizontal="center"/>
    </xf>
    <xf numFmtId="0" fontId="14" fillId="2" borderId="1" xfId="11" applyFont="1" applyFill="1" applyBorder="1" applyAlignment="1">
      <alignment horizontal="center" wrapText="1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43" fontId="7" fillId="0" borderId="1" xfId="1" applyFont="1" applyBorder="1" applyAlignment="1">
      <alignment wrapText="1"/>
    </xf>
    <xf numFmtId="164" fontId="7" fillId="0" borderId="1" xfId="4" applyNumberFormat="1" applyFont="1" applyBorder="1" applyAlignment="1">
      <alignment horizontal="right" wrapText="1"/>
    </xf>
    <xf numFmtId="43" fontId="8" fillId="0" borderId="0" xfId="1" applyFont="1"/>
    <xf numFmtId="0" fontId="15" fillId="0" borderId="1" xfId="0" applyFont="1" applyBorder="1" applyAlignment="1">
      <alignment horizontal="center" wrapText="1"/>
    </xf>
    <xf numFmtId="0" fontId="14" fillId="2" borderId="6" xfId="11" applyFont="1" applyFill="1" applyBorder="1" applyAlignment="1">
      <alignment horizontal="center" wrapText="1"/>
    </xf>
    <xf numFmtId="166" fontId="8" fillId="0" borderId="1" xfId="0" applyNumberFormat="1" applyFont="1" applyBorder="1"/>
    <xf numFmtId="167" fontId="8" fillId="0" borderId="0" xfId="0" applyNumberFormat="1" applyFont="1"/>
    <xf numFmtId="0" fontId="9" fillId="0" borderId="0" xfId="0" applyFont="1" applyAlignment="1">
      <alignment vertical="center"/>
    </xf>
    <xf numFmtId="0" fontId="15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43" fontId="9" fillId="0" borderId="1" xfId="1" applyFont="1" applyBorder="1"/>
    <xf numFmtId="43" fontId="15" fillId="0" borderId="1" xfId="1" applyFont="1" applyBorder="1"/>
    <xf numFmtId="0" fontId="9" fillId="0" borderId="2" xfId="0" applyFont="1" applyBorder="1"/>
    <xf numFmtId="0" fontId="9" fillId="0" borderId="4" xfId="0" applyFont="1" applyBorder="1"/>
    <xf numFmtId="0" fontId="9" fillId="3" borderId="0" xfId="0" applyFont="1" applyFill="1"/>
    <xf numFmtId="43" fontId="15" fillId="0" borderId="1" xfId="0" applyNumberFormat="1" applyFont="1" applyBorder="1"/>
    <xf numFmtId="1" fontId="9" fillId="0" borderId="1" xfId="0" applyNumberFormat="1" applyFont="1" applyBorder="1"/>
    <xf numFmtId="0" fontId="15" fillId="0" borderId="4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43" fontId="9" fillId="0" borderId="1" xfId="1" applyFont="1" applyBorder="1" applyAlignment="1">
      <alignment wrapText="1"/>
    </xf>
    <xf numFmtId="1" fontId="9" fillId="0" borderId="6" xfId="0" applyNumberFormat="1" applyFont="1" applyBorder="1"/>
    <xf numFmtId="43" fontId="9" fillId="0" borderId="7" xfId="1" applyFont="1" applyBorder="1"/>
    <xf numFmtId="43" fontId="18" fillId="0" borderId="1" xfId="6" applyNumberFormat="1" applyFont="1" applyBorder="1" applyAlignment="1">
      <alignment horizontal="right" wrapText="1"/>
    </xf>
    <xf numFmtId="43" fontId="9" fillId="0" borderId="1" xfId="1" applyFont="1" applyBorder="1" applyAlignment="1">
      <alignment horizontal="left" wrapText="1"/>
    </xf>
    <xf numFmtId="43" fontId="9" fillId="0" borderId="0" xfId="0" applyNumberFormat="1" applyFont="1"/>
    <xf numFmtId="164" fontId="18" fillId="0" borderId="1" xfId="6" applyNumberFormat="1" applyFont="1" applyBorder="1" applyAlignment="1">
      <alignment horizontal="right" wrapText="1"/>
    </xf>
    <xf numFmtId="0" fontId="9" fillId="4" borderId="1" xfId="0" applyFont="1" applyFill="1" applyBorder="1"/>
    <xf numFmtId="43" fontId="9" fillId="4" borderId="1" xfId="0" applyNumberFormat="1" applyFont="1" applyFill="1" applyBorder="1"/>
    <xf numFmtId="43" fontId="15" fillId="4" borderId="1" xfId="0" applyNumberFormat="1" applyFont="1" applyFill="1" applyBorder="1"/>
    <xf numFmtId="43" fontId="9" fillId="0" borderId="5" xfId="1" applyFont="1" applyFill="1" applyBorder="1"/>
    <xf numFmtId="165" fontId="19" fillId="0" borderId="0" xfId="0" applyNumberFormat="1" applyFont="1"/>
    <xf numFmtId="0" fontId="9" fillId="4" borderId="0" xfId="0" applyFont="1" applyFill="1"/>
    <xf numFmtId="43" fontId="9" fillId="4" borderId="0" xfId="0" applyNumberFormat="1" applyFont="1" applyFill="1"/>
    <xf numFmtId="0" fontId="15" fillId="3" borderId="0" xfId="0" applyFont="1" applyFill="1"/>
    <xf numFmtId="0" fontId="9" fillId="0" borderId="11" xfId="0" applyFont="1" applyBorder="1"/>
    <xf numFmtId="43" fontId="15" fillId="0" borderId="2" xfId="1" applyFont="1" applyBorder="1"/>
    <xf numFmtId="43" fontId="15" fillId="0" borderId="13" xfId="1" applyFont="1" applyBorder="1"/>
    <xf numFmtId="43" fontId="15" fillId="0" borderId="14" xfId="1" applyFont="1" applyBorder="1"/>
    <xf numFmtId="43" fontId="15" fillId="0" borderId="0" xfId="0" applyNumberFormat="1" applyFont="1"/>
    <xf numFmtId="165" fontId="9" fillId="0" borderId="0" xfId="0" applyNumberFormat="1" applyFont="1"/>
    <xf numFmtId="43" fontId="15" fillId="0" borderId="15" xfId="1" applyFont="1" applyBorder="1"/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22" fillId="0" borderId="1" xfId="0" applyFont="1" applyBorder="1"/>
    <xf numFmtId="39" fontId="22" fillId="0" borderId="1" xfId="0" applyNumberFormat="1" applyFont="1" applyBorder="1"/>
    <xf numFmtId="37" fontId="22" fillId="0" borderId="1" xfId="0" applyNumberFormat="1" applyFont="1" applyBorder="1" applyAlignment="1">
      <alignment horizontal="center"/>
    </xf>
    <xf numFmtId="43" fontId="22" fillId="0" borderId="1" xfId="1" applyFont="1" applyBorder="1"/>
    <xf numFmtId="43" fontId="22" fillId="0" borderId="1" xfId="0" applyNumberFormat="1" applyFont="1" applyBorder="1"/>
    <xf numFmtId="0" fontId="22" fillId="0" borderId="1" xfId="0" applyFont="1" applyBorder="1" applyAlignment="1">
      <alignment horizontal="center"/>
    </xf>
    <xf numFmtId="43" fontId="6" fillId="0" borderId="1" xfId="1" applyFont="1" applyBorder="1"/>
    <xf numFmtId="0" fontId="9" fillId="4" borderId="0" xfId="0" applyFont="1" applyFill="1" applyAlignment="1">
      <alignment horizontal="right"/>
    </xf>
    <xf numFmtId="165" fontId="9" fillId="4" borderId="0" xfId="0" applyNumberFormat="1" applyFont="1" applyFill="1"/>
    <xf numFmtId="0" fontId="15" fillId="0" borderId="0" xfId="0" applyFont="1"/>
    <xf numFmtId="0" fontId="23" fillId="0" borderId="0" xfId="0" applyFont="1"/>
    <xf numFmtId="43" fontId="15" fillId="4" borderId="5" xfId="1" applyFont="1" applyFill="1" applyBorder="1"/>
    <xf numFmtId="43" fontId="15" fillId="4" borderId="0" xfId="1" applyFont="1" applyFill="1" applyBorder="1"/>
    <xf numFmtId="43" fontId="9" fillId="4" borderId="0" xfId="0" applyNumberFormat="1" applyFont="1" applyFill="1" applyAlignment="1">
      <alignment horizontal="right"/>
    </xf>
    <xf numFmtId="43" fontId="6" fillId="0" borderId="7" xfId="0" applyNumberFormat="1" applyFont="1" applyBorder="1"/>
    <xf numFmtId="43" fontId="22" fillId="0" borderId="7" xfId="1" applyFont="1" applyBorder="1"/>
    <xf numFmtId="0" fontId="13" fillId="0" borderId="1" xfId="0" applyFont="1" applyBorder="1" applyAlignment="1">
      <alignment horizontal="center" wrapText="1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 wrapText="1"/>
    </xf>
    <xf numFmtId="0" fontId="23" fillId="0" borderId="1" xfId="0" applyFont="1" applyBorder="1"/>
    <xf numFmtId="43" fontId="1" fillId="0" borderId="1" xfId="1" applyFont="1" applyBorder="1" applyAlignment="1"/>
    <xf numFmtId="43" fontId="1" fillId="0" borderId="1" xfId="1" applyFont="1" applyBorder="1"/>
    <xf numFmtId="43" fontId="23" fillId="0" borderId="0" xfId="0" applyNumberFormat="1" applyFont="1"/>
    <xf numFmtId="43" fontId="1" fillId="0" borderId="1" xfId="1" applyFont="1" applyBorder="1" applyAlignment="1">
      <alignment horizontal="center"/>
    </xf>
    <xf numFmtId="43" fontId="23" fillId="0" borderId="0" xfId="1" applyFont="1"/>
    <xf numFmtId="164" fontId="23" fillId="0" borderId="0" xfId="0" applyNumberFormat="1" applyFont="1"/>
    <xf numFmtId="0" fontId="23" fillId="0" borderId="1" xfId="0" applyFont="1" applyBorder="1" applyAlignment="1">
      <alignment wrapText="1"/>
    </xf>
    <xf numFmtId="165" fontId="23" fillId="0" borderId="0" xfId="0" applyNumberFormat="1" applyFont="1"/>
    <xf numFmtId="0" fontId="1" fillId="0" borderId="1" xfId="0" applyFont="1" applyBorder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43" fontId="1" fillId="0" borderId="0" xfId="1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43" fontId="23" fillId="0" borderId="4" xfId="1" applyFont="1" applyBorder="1"/>
    <xf numFmtId="43" fontId="23" fillId="0" borderId="1" xfId="1" applyFont="1" applyBorder="1"/>
    <xf numFmtId="43" fontId="23" fillId="0" borderId="7" xfId="1" applyFont="1" applyBorder="1"/>
    <xf numFmtId="43" fontId="1" fillId="0" borderId="18" xfId="1" applyFont="1" applyBorder="1"/>
    <xf numFmtId="0" fontId="1" fillId="0" borderId="0" xfId="0" applyFont="1"/>
    <xf numFmtId="43" fontId="1" fillId="0" borderId="0" xfId="1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43" fontId="23" fillId="0" borderId="0" xfId="1" applyFont="1" applyBorder="1"/>
    <xf numFmtId="43" fontId="1" fillId="0" borderId="0" xfId="1" applyFont="1" applyBorder="1"/>
    <xf numFmtId="0" fontId="0" fillId="5" borderId="0" xfId="0" applyFill="1" applyProtection="1">
      <protection locked="0"/>
    </xf>
    <xf numFmtId="17" fontId="25" fillId="5" borderId="0" xfId="0" applyNumberFormat="1" applyFont="1" applyFill="1"/>
    <xf numFmtId="2" fontId="0" fillId="0" borderId="0" xfId="0" applyNumberFormat="1"/>
    <xf numFmtId="17" fontId="0" fillId="0" borderId="0" xfId="0" applyNumberFormat="1"/>
    <xf numFmtId="0" fontId="13" fillId="0" borderId="1" xfId="0" quotePrefix="1" applyFont="1" applyBorder="1" applyAlignment="1">
      <alignment horizontal="center"/>
    </xf>
    <xf numFmtId="0" fontId="13" fillId="0" borderId="7" xfId="0" quotePrefix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43" fontId="22" fillId="6" borderId="1" xfId="1" applyFont="1" applyFill="1" applyBorder="1"/>
    <xf numFmtId="0" fontId="13" fillId="0" borderId="0" xfId="0" applyFont="1" applyAlignment="1">
      <alignment horizontal="center"/>
    </xf>
    <xf numFmtId="0" fontId="24" fillId="0" borderId="16" xfId="0" applyFont="1" applyBorder="1" applyAlignment="1">
      <alignment horizontal="center" wrapText="1"/>
    </xf>
    <xf numFmtId="0" fontId="24" fillId="0" borderId="17" xfId="0" applyFont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3" fillId="0" borderId="1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3" fontId="6" fillId="0" borderId="2" xfId="1" applyFont="1" applyBorder="1" applyAlignment="1">
      <alignment horizontal="center" wrapText="1"/>
    </xf>
    <xf numFmtId="43" fontId="6" fillId="0" borderId="4" xfId="1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2">
    <cellStyle name="Comma" xfId="1" builtinId="3"/>
    <cellStyle name="Normal" xfId="0" builtinId="0"/>
    <cellStyle name="Normal_ECO INDIVIDUALS LGCS NOV 22" xfId="2" xr:uid="{00000000-0005-0000-0000-000031000000}"/>
    <cellStyle name="Normal_FG and sum" xfId="3" xr:uid="{00000000-0005-0000-0000-000032000000}"/>
    <cellStyle name="Normal_lgc eco dec 21" xfId="4" xr:uid="{00000000-0005-0000-0000-000033000000}"/>
    <cellStyle name="Normal_LGCs Ceo oct 23" xfId="5" xr:uid="{00000000-0005-0000-0000-000034000000}"/>
    <cellStyle name="Normal_lgcs data" xfId="6" xr:uid="{00000000-0005-0000-0000-000035000000}"/>
    <cellStyle name="Normal_Sheet4" xfId="7" xr:uid="{00000000-0005-0000-0000-000036000000}"/>
    <cellStyle name="Normal_states" xfId="8" xr:uid="{00000000-0005-0000-0000-000037000000}"/>
    <cellStyle name="Normal_states eco dec 21" xfId="9" xr:uid="{00000000-0005-0000-0000-000038000000}"/>
    <cellStyle name="Normal_sum sum" xfId="10" xr:uid="{00000000-0005-0000-0000-000039000000}"/>
    <cellStyle name="Normal_TOTALDATA_1" xfId="11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A20" sqref="A20"/>
    </sheetView>
  </sheetViews>
  <sheetFormatPr defaultColWidth="9" defaultRowHeight="12.75"/>
  <cols>
    <col min="2" max="2" width="23" customWidth="1"/>
    <col min="6" max="6" width="24.5703125" customWidth="1"/>
  </cols>
  <sheetData>
    <row r="1" spans="1:8" ht="23.1" customHeight="1">
      <c r="B1">
        <f ca="1">MONTH(NOW())</f>
        <v>1</v>
      </c>
      <c r="C1">
        <f ca="1">YEAR(NOW())</f>
        <v>2025</v>
      </c>
    </row>
    <row r="2" spans="1:8" ht="23.1" customHeight="1"/>
    <row r="3" spans="1:8" ht="23.1" customHeight="1">
      <c r="B3" t="s">
        <v>0</v>
      </c>
      <c r="F3" t="s">
        <v>1</v>
      </c>
    </row>
    <row r="4" spans="1:8" ht="23.1" customHeight="1">
      <c r="B4" t="s">
        <v>2</v>
      </c>
      <c r="C4" t="s">
        <v>3</v>
      </c>
      <c r="D4" t="s">
        <v>4</v>
      </c>
      <c r="F4" t="s">
        <v>2</v>
      </c>
      <c r="G4" t="s">
        <v>3</v>
      </c>
      <c r="H4" t="s">
        <v>4</v>
      </c>
    </row>
    <row r="5" spans="1:8" ht="23.1" customHeight="1">
      <c r="B5" s="143" t="e">
        <f>IF(G5=1,F5-1,F5)</f>
        <v>#REF!</v>
      </c>
      <c r="C5" s="143" t="e">
        <f>IF(G5=1,12,G5-1)</f>
        <v>#REF!</v>
      </c>
      <c r="F5" t="e">
        <f>YEAR(ACCTDATE)</f>
        <v>#REF!</v>
      </c>
      <c r="G5" t="e">
        <f>MONTH(ACCTDATE)</f>
        <v>#REF!</v>
      </c>
    </row>
    <row r="6" spans="1:8" ht="23.1" customHeight="1">
      <c r="B6" s="144" t="e">
        <f>LOOKUP(C5,A8:B19)</f>
        <v>#REF!</v>
      </c>
      <c r="F6" s="144" t="e">
        <f>IF(G5=1,LOOKUP(G5,E8:F19),LOOKUP(G5,A8:B19))</f>
        <v>#REF!</v>
      </c>
    </row>
    <row r="8" spans="1:8">
      <c r="A8">
        <v>1</v>
      </c>
      <c r="B8" s="145" t="e">
        <f>D8&amp;"-"&amp;RIGHT(B$5,2)</f>
        <v>#REF!</v>
      </c>
      <c r="D8" s="146" t="s">
        <v>5</v>
      </c>
      <c r="E8">
        <v>1</v>
      </c>
      <c r="F8" s="145" t="e">
        <f>D8&amp;"-"&amp;RIGHT(F$5,2)</f>
        <v>#REF!</v>
      </c>
    </row>
    <row r="9" spans="1:8">
      <c r="A9">
        <v>2</v>
      </c>
      <c r="B9" s="145" t="e">
        <f t="shared" ref="B9:B19" si="0">D9&amp;"-"&amp;RIGHT(B$5,2)</f>
        <v>#REF!</v>
      </c>
      <c r="D9" s="146" t="s">
        <v>6</v>
      </c>
      <c r="E9">
        <v>2</v>
      </c>
      <c r="F9" s="145" t="e">
        <f t="shared" ref="F9:F19" si="1">D9&amp;"-"&amp;RIGHT(F$5,2)</f>
        <v>#REF!</v>
      </c>
    </row>
    <row r="10" spans="1:8">
      <c r="A10">
        <v>3</v>
      </c>
      <c r="B10" s="145" t="e">
        <f t="shared" si="0"/>
        <v>#REF!</v>
      </c>
      <c r="D10" s="146" t="s">
        <v>7</v>
      </c>
      <c r="E10">
        <v>3</v>
      </c>
      <c r="F10" s="145" t="e">
        <f t="shared" si="1"/>
        <v>#REF!</v>
      </c>
    </row>
    <row r="11" spans="1:8">
      <c r="A11">
        <v>4</v>
      </c>
      <c r="B11" s="145" t="e">
        <f t="shared" si="0"/>
        <v>#REF!</v>
      </c>
      <c r="D11" s="146" t="s">
        <v>8</v>
      </c>
      <c r="E11">
        <v>4</v>
      </c>
      <c r="F11" s="145" t="e">
        <f t="shared" si="1"/>
        <v>#REF!</v>
      </c>
    </row>
    <row r="12" spans="1:8">
      <c r="A12">
        <v>5</v>
      </c>
      <c r="B12" s="145" t="e">
        <f t="shared" si="0"/>
        <v>#REF!</v>
      </c>
      <c r="D12" s="146" t="s">
        <v>9</v>
      </c>
      <c r="E12">
        <v>5</v>
      </c>
      <c r="F12" s="145" t="e">
        <f t="shared" si="1"/>
        <v>#REF!</v>
      </c>
    </row>
    <row r="13" spans="1:8">
      <c r="A13">
        <v>6</v>
      </c>
      <c r="B13" s="145" t="e">
        <f t="shared" si="0"/>
        <v>#REF!</v>
      </c>
      <c r="D13" s="146" t="s">
        <v>10</v>
      </c>
      <c r="E13">
        <v>6</v>
      </c>
      <c r="F13" s="145" t="e">
        <f t="shared" si="1"/>
        <v>#REF!</v>
      </c>
    </row>
    <row r="14" spans="1:8">
      <c r="A14">
        <v>7</v>
      </c>
      <c r="B14" s="145" t="e">
        <f t="shared" si="0"/>
        <v>#REF!</v>
      </c>
      <c r="D14" s="146" t="s">
        <v>11</v>
      </c>
      <c r="E14">
        <v>7</v>
      </c>
      <c r="F14" s="145" t="e">
        <f t="shared" si="1"/>
        <v>#REF!</v>
      </c>
    </row>
    <row r="15" spans="1:8">
      <c r="A15">
        <v>8</v>
      </c>
      <c r="B15" s="145" t="e">
        <f t="shared" si="0"/>
        <v>#REF!</v>
      </c>
      <c r="D15" s="146" t="s">
        <v>12</v>
      </c>
      <c r="E15">
        <v>8</v>
      </c>
      <c r="F15" s="145" t="e">
        <f t="shared" si="1"/>
        <v>#REF!</v>
      </c>
    </row>
    <row r="16" spans="1:8">
      <c r="A16">
        <v>9</v>
      </c>
      <c r="B16" s="145" t="e">
        <f t="shared" si="0"/>
        <v>#REF!</v>
      </c>
      <c r="D16" s="146" t="s">
        <v>13</v>
      </c>
      <c r="E16">
        <v>9</v>
      </c>
      <c r="F16" s="145" t="e">
        <f t="shared" si="1"/>
        <v>#REF!</v>
      </c>
    </row>
    <row r="17" spans="1:6">
      <c r="A17">
        <v>10</v>
      </c>
      <c r="B17" s="145" t="e">
        <f t="shared" si="0"/>
        <v>#REF!</v>
      </c>
      <c r="D17" s="146" t="s">
        <v>14</v>
      </c>
      <c r="E17">
        <v>10</v>
      </c>
      <c r="F17" s="145" t="e">
        <f t="shared" si="1"/>
        <v>#REF!</v>
      </c>
    </row>
    <row r="18" spans="1:6">
      <c r="A18">
        <v>11</v>
      </c>
      <c r="B18" s="145" t="e">
        <f t="shared" si="0"/>
        <v>#REF!</v>
      </c>
      <c r="D18" s="146" t="s">
        <v>15</v>
      </c>
      <c r="E18">
        <v>11</v>
      </c>
      <c r="F18" s="145" t="e">
        <f t="shared" si="1"/>
        <v>#REF!</v>
      </c>
    </row>
    <row r="19" spans="1:6">
      <c r="A19">
        <v>12</v>
      </c>
      <c r="B19" s="145" t="e">
        <f t="shared" si="0"/>
        <v>#REF!</v>
      </c>
      <c r="D19" s="146" t="s">
        <v>16</v>
      </c>
      <c r="E19">
        <v>12</v>
      </c>
      <c r="F19" s="145" t="e">
        <f t="shared" si="1"/>
        <v>#REF!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L44"/>
  <sheetViews>
    <sheetView zoomScale="70" zoomScaleNormal="70" workbookViewId="0">
      <pane ySplit="6" topLeftCell="C22" activePane="bottomLeft" state="frozen"/>
      <selection pane="bottomLeft" activeCell="D18" sqref="D18"/>
    </sheetView>
  </sheetViews>
  <sheetFormatPr defaultColWidth="9.140625" defaultRowHeight="20.25"/>
  <cols>
    <col min="1" max="1" width="6.28515625" style="110" customWidth="1"/>
    <col min="2" max="2" width="40.85546875" style="110" customWidth="1"/>
    <col min="3" max="3" width="35.140625" style="110" customWidth="1"/>
    <col min="4" max="4" width="34.140625" style="110" customWidth="1"/>
    <col min="5" max="6" width="30.85546875" style="110" customWidth="1"/>
    <col min="7" max="7" width="32" style="110" customWidth="1"/>
    <col min="8" max="8" width="38.7109375" style="110" customWidth="1"/>
    <col min="9" max="9" width="32.42578125" style="110" customWidth="1"/>
    <col min="10" max="10" width="26.42578125" style="110" customWidth="1"/>
    <col min="11" max="11" width="24.28515625" style="110"/>
    <col min="12" max="12" width="14.7109375" style="110"/>
    <col min="13" max="16384" width="9.140625" style="110"/>
  </cols>
  <sheetData>
    <row r="1" spans="1:12" ht="30" customHeight="1">
      <c r="A1" s="156" t="s">
        <v>17</v>
      </c>
      <c r="B1" s="156"/>
      <c r="C1" s="156"/>
      <c r="D1" s="156"/>
      <c r="E1" s="156"/>
      <c r="F1" s="156"/>
      <c r="G1" s="156"/>
    </row>
    <row r="2" spans="1:12" ht="30" customHeight="1">
      <c r="A2" s="156" t="s">
        <v>18</v>
      </c>
      <c r="B2" s="156"/>
      <c r="C2" s="156"/>
      <c r="D2" s="156"/>
      <c r="E2" s="156"/>
      <c r="F2" s="156"/>
      <c r="G2" s="156"/>
    </row>
    <row r="3" spans="1:12" ht="30" customHeight="1">
      <c r="A3" s="157" t="s">
        <v>19</v>
      </c>
      <c r="B3" s="158"/>
      <c r="C3" s="158"/>
      <c r="D3" s="158"/>
      <c r="E3" s="158"/>
      <c r="F3" s="158"/>
      <c r="G3" s="158"/>
    </row>
    <row r="4" spans="1:12" ht="40.5" customHeight="1">
      <c r="A4" s="159" t="s">
        <v>20</v>
      </c>
      <c r="B4" s="159"/>
      <c r="C4" s="159"/>
      <c r="D4" s="159"/>
      <c r="E4" s="159"/>
      <c r="F4" s="159"/>
      <c r="G4" s="159"/>
    </row>
    <row r="5" spans="1:12" ht="90" customHeight="1">
      <c r="A5" s="117" t="s">
        <v>21</v>
      </c>
      <c r="B5" s="118" t="s">
        <v>22</v>
      </c>
      <c r="C5" s="118" t="s">
        <v>23</v>
      </c>
      <c r="D5" s="119" t="s">
        <v>24</v>
      </c>
      <c r="E5" s="116" t="s">
        <v>25</v>
      </c>
      <c r="F5" s="118" t="s">
        <v>26</v>
      </c>
      <c r="G5" s="118" t="s">
        <v>27</v>
      </c>
    </row>
    <row r="6" spans="1:12" ht="30" customHeight="1">
      <c r="A6" s="1"/>
      <c r="B6" s="1"/>
      <c r="C6" s="147" t="s">
        <v>28</v>
      </c>
      <c r="D6" s="147" t="s">
        <v>28</v>
      </c>
      <c r="E6" s="147" t="s">
        <v>28</v>
      </c>
      <c r="F6" s="147" t="s">
        <v>28</v>
      </c>
      <c r="G6" s="147" t="s">
        <v>28</v>
      </c>
    </row>
    <row r="7" spans="1:12" ht="30" customHeight="1">
      <c r="A7" s="120">
        <v>1</v>
      </c>
      <c r="B7" s="120" t="s">
        <v>29</v>
      </c>
      <c r="C7" s="121">
        <v>71624392237.717194</v>
      </c>
      <c r="D7" s="121">
        <v>220964113060.422</v>
      </c>
      <c r="E7" s="121">
        <v>2252589356.6669998</v>
      </c>
      <c r="F7" s="122">
        <v>80084261581.633499</v>
      </c>
      <c r="G7" s="121">
        <f>C7+D7+E7+F7</f>
        <v>374925356236.44</v>
      </c>
      <c r="H7" s="123"/>
      <c r="I7" s="125"/>
    </row>
    <row r="8" spans="1:12" ht="30" customHeight="1">
      <c r="A8" s="120">
        <v>2</v>
      </c>
      <c r="B8" s="120" t="s">
        <v>30</v>
      </c>
      <c r="C8" s="121">
        <v>36328848910.246902</v>
      </c>
      <c r="D8" s="124">
        <v>112075951043.55499</v>
      </c>
      <c r="E8" s="124">
        <v>7508631188.8900003</v>
      </c>
      <c r="F8" s="121">
        <v>266947538605.44501</v>
      </c>
      <c r="G8" s="121">
        <f t="shared" ref="G8:G21" si="0">C8+D8+E8+F8</f>
        <v>422860969748.13702</v>
      </c>
      <c r="H8" s="123"/>
      <c r="I8" s="123"/>
    </row>
    <row r="9" spans="1:12" ht="30" customHeight="1">
      <c r="A9" s="120">
        <v>3</v>
      </c>
      <c r="B9" s="120" t="s">
        <v>31</v>
      </c>
      <c r="C9" s="124">
        <v>28008019743.678299</v>
      </c>
      <c r="D9" s="124">
        <v>86405860460.225601</v>
      </c>
      <c r="E9" s="124">
        <v>5256041832.2229996</v>
      </c>
      <c r="F9" s="121">
        <v>186863277023.811</v>
      </c>
      <c r="G9" s="121">
        <f t="shared" si="0"/>
        <v>306533199059.93799</v>
      </c>
      <c r="H9" s="125"/>
      <c r="I9" s="125"/>
    </row>
    <row r="10" spans="1:12" ht="30" customHeight="1">
      <c r="A10" s="120">
        <v>4</v>
      </c>
      <c r="B10" s="120" t="s">
        <v>32</v>
      </c>
      <c r="C10" s="121">
        <v>50674557037.097504</v>
      </c>
      <c r="D10" s="124">
        <v>48799228303.027802</v>
      </c>
      <c r="E10" s="124">
        <v>0</v>
      </c>
      <c r="F10" s="124">
        <v>0</v>
      </c>
      <c r="G10" s="121">
        <f t="shared" si="0"/>
        <v>99473785340.125305</v>
      </c>
      <c r="H10" s="123"/>
      <c r="I10" s="123"/>
    </row>
    <row r="11" spans="1:12" ht="30" customHeight="1">
      <c r="A11" s="120">
        <v>5</v>
      </c>
      <c r="B11" s="120" t="s">
        <v>33</v>
      </c>
      <c r="C11" s="121">
        <v>19150241204.57</v>
      </c>
      <c r="D11" s="124">
        <v>0</v>
      </c>
      <c r="E11" s="124">
        <v>0</v>
      </c>
      <c r="F11" s="124">
        <v>2582956873.9099998</v>
      </c>
      <c r="G11" s="121">
        <f t="shared" si="0"/>
        <v>21733198078.48</v>
      </c>
      <c r="H11" s="126"/>
    </row>
    <row r="12" spans="1:12" ht="30" customHeight="1">
      <c r="A12" s="120">
        <v>6</v>
      </c>
      <c r="B12" s="127" t="s">
        <v>34</v>
      </c>
      <c r="C12" s="121">
        <v>24101518847.799999</v>
      </c>
      <c r="D12" s="124">
        <v>0</v>
      </c>
      <c r="E12" s="124">
        <v>625719265.74000001</v>
      </c>
      <c r="F12" s="124">
        <v>20350680463.330002</v>
      </c>
      <c r="G12" s="121">
        <f t="shared" si="0"/>
        <v>45077918576.870003</v>
      </c>
      <c r="H12" s="123"/>
    </row>
    <row r="13" spans="1:12" ht="30" customHeight="1">
      <c r="A13" s="120">
        <v>7</v>
      </c>
      <c r="B13" s="127" t="s">
        <v>35</v>
      </c>
      <c r="C13" s="121">
        <v>15163004667.41</v>
      </c>
      <c r="D13" s="124"/>
      <c r="E13" s="124">
        <v>0</v>
      </c>
      <c r="F13" s="121">
        <v>0</v>
      </c>
      <c r="G13" s="121">
        <f t="shared" si="0"/>
        <v>15163004667.41</v>
      </c>
      <c r="H13" s="125"/>
      <c r="I13" s="125"/>
      <c r="J13" s="125"/>
      <c r="K13" s="125"/>
      <c r="L13" s="123"/>
    </row>
    <row r="14" spans="1:12" ht="30" customHeight="1">
      <c r="A14" s="120">
        <v>8</v>
      </c>
      <c r="B14" s="127" t="s">
        <v>36</v>
      </c>
      <c r="C14" s="121">
        <v>25671094199.360001</v>
      </c>
      <c r="D14" s="121">
        <v>0</v>
      </c>
      <c r="E14" s="124">
        <v>0</v>
      </c>
      <c r="F14" s="121">
        <v>0</v>
      </c>
      <c r="G14" s="121">
        <f t="shared" si="0"/>
        <v>25671094199.360001</v>
      </c>
      <c r="I14" s="125"/>
      <c r="J14" s="125"/>
    </row>
    <row r="15" spans="1:12" ht="40.5">
      <c r="A15" s="120">
        <v>10</v>
      </c>
      <c r="B15" s="127" t="s">
        <v>37</v>
      </c>
      <c r="C15" s="124">
        <v>100000000000</v>
      </c>
      <c r="D15" s="124">
        <v>0</v>
      </c>
      <c r="E15" s="124">
        <v>0</v>
      </c>
      <c r="F15" s="121">
        <v>0</v>
      </c>
      <c r="G15" s="121">
        <f t="shared" si="0"/>
        <v>100000000000</v>
      </c>
      <c r="I15" s="125"/>
      <c r="J15" s="125"/>
    </row>
    <row r="16" spans="1:12" ht="40.5">
      <c r="A16" s="120">
        <v>11</v>
      </c>
      <c r="B16" s="127" t="s">
        <v>38</v>
      </c>
      <c r="C16" s="124">
        <v>18163078852.380001</v>
      </c>
      <c r="D16" s="124">
        <v>0</v>
      </c>
      <c r="E16" s="124">
        <v>0</v>
      </c>
      <c r="F16" s="121">
        <v>0</v>
      </c>
      <c r="G16" s="121">
        <f t="shared" si="0"/>
        <v>18163078852.380001</v>
      </c>
      <c r="I16" s="125"/>
      <c r="J16" s="125"/>
    </row>
    <row r="17" spans="1:10" ht="42.75" customHeight="1">
      <c r="A17" s="120">
        <v>12</v>
      </c>
      <c r="B17" s="127" t="s">
        <v>39</v>
      </c>
      <c r="C17" s="124">
        <v>0</v>
      </c>
      <c r="D17" s="124">
        <v>0</v>
      </c>
      <c r="E17" s="124">
        <v>0</v>
      </c>
      <c r="F17" s="121">
        <v>16512218882.809999</v>
      </c>
      <c r="G17" s="121">
        <f t="shared" si="0"/>
        <v>16512218882.809999</v>
      </c>
      <c r="I17" s="125"/>
      <c r="J17" s="125"/>
    </row>
    <row r="18" spans="1:10" ht="82.15" customHeight="1">
      <c r="A18" s="120">
        <v>13</v>
      </c>
      <c r="B18" s="127" t="s">
        <v>40</v>
      </c>
      <c r="C18" s="124">
        <v>7050981315.1999998</v>
      </c>
      <c r="D18" s="124">
        <v>0</v>
      </c>
      <c r="E18" s="124">
        <v>0</v>
      </c>
      <c r="F18" s="121">
        <v>0</v>
      </c>
      <c r="G18" s="121">
        <f t="shared" si="0"/>
        <v>7050981315.1999998</v>
      </c>
      <c r="I18" s="125"/>
      <c r="J18" s="125"/>
    </row>
    <row r="19" spans="1:10" ht="42.75" customHeight="1">
      <c r="A19" s="120">
        <v>14</v>
      </c>
      <c r="B19" s="127" t="s">
        <v>41</v>
      </c>
      <c r="C19" s="124">
        <v>725000000000</v>
      </c>
      <c r="D19" s="124">
        <v>0</v>
      </c>
      <c r="E19" s="124">
        <v>0</v>
      </c>
      <c r="F19" s="124">
        <v>0</v>
      </c>
      <c r="G19" s="121">
        <f t="shared" si="0"/>
        <v>725000000000</v>
      </c>
      <c r="H19" s="128"/>
    </row>
    <row r="20" spans="1:10" ht="42.75" customHeight="1">
      <c r="A20" s="120">
        <v>15</v>
      </c>
      <c r="B20" s="127" t="s">
        <v>42</v>
      </c>
      <c r="C20" s="124">
        <v>220343241.19999999</v>
      </c>
      <c r="D20" s="124">
        <v>0</v>
      </c>
      <c r="E20" s="124">
        <v>0</v>
      </c>
      <c r="F20" s="124">
        <v>0</v>
      </c>
      <c r="G20" s="121">
        <f t="shared" si="0"/>
        <v>220343241.19999999</v>
      </c>
      <c r="H20" s="128"/>
    </row>
    <row r="21" spans="1:10" ht="69" customHeight="1">
      <c r="A21" s="120">
        <v>16</v>
      </c>
      <c r="B21" s="127" t="s">
        <v>43</v>
      </c>
      <c r="C21" s="124">
        <v>100000000000</v>
      </c>
      <c r="D21" s="124">
        <v>0</v>
      </c>
      <c r="E21" s="124">
        <v>0</v>
      </c>
      <c r="F21" s="124">
        <v>0</v>
      </c>
      <c r="G21" s="121">
        <f t="shared" si="0"/>
        <v>100000000000</v>
      </c>
      <c r="H21" s="128"/>
    </row>
    <row r="22" spans="1:10" ht="30" customHeight="1">
      <c r="A22" s="120"/>
      <c r="B22" s="129" t="s">
        <v>44</v>
      </c>
      <c r="C22" s="124">
        <f t="shared" ref="C22:E22" si="1">SUM(C7:C21)</f>
        <v>1221156080256.6599</v>
      </c>
      <c r="D22" s="124">
        <f t="shared" si="1"/>
        <v>468245152867.22998</v>
      </c>
      <c r="E22" s="124">
        <f t="shared" si="1"/>
        <v>15642981643.52</v>
      </c>
      <c r="F22" s="124">
        <f t="shared" ref="F22:G22" si="2">SUM(F7:F21)</f>
        <v>573340933430.93994</v>
      </c>
      <c r="G22" s="124">
        <f t="shared" si="2"/>
        <v>2278385148198.3501</v>
      </c>
      <c r="H22" s="123"/>
    </row>
    <row r="23" spans="1:10" ht="50.25" customHeight="1">
      <c r="B23" s="130"/>
      <c r="C23" s="131"/>
      <c r="D23" s="131"/>
      <c r="E23" s="131"/>
      <c r="F23" s="131"/>
      <c r="G23" s="128"/>
      <c r="H23" s="123"/>
    </row>
    <row r="24" spans="1:10" ht="35.1" customHeight="1">
      <c r="A24" s="160" t="s">
        <v>45</v>
      </c>
      <c r="B24" s="160"/>
      <c r="C24" s="160"/>
      <c r="D24" s="160"/>
      <c r="E24" s="160"/>
      <c r="F24" s="160"/>
      <c r="G24" s="160"/>
      <c r="H24" s="160"/>
    </row>
    <row r="25" spans="1:10" ht="48" customHeight="1">
      <c r="A25" s="152" t="s">
        <v>46</v>
      </c>
      <c r="B25" s="153"/>
      <c r="C25" s="153"/>
      <c r="D25" s="153"/>
      <c r="E25" s="153"/>
      <c r="F25" s="153"/>
      <c r="G25" s="153"/>
      <c r="H25" s="153"/>
    </row>
    <row r="26" spans="1:10" ht="30" customHeight="1">
      <c r="A26" s="1">
        <v>0</v>
      </c>
      <c r="B26" s="1">
        <v>1</v>
      </c>
      <c r="C26" s="1">
        <v>2</v>
      </c>
      <c r="D26" s="1">
        <v>3</v>
      </c>
      <c r="E26" s="1" t="s">
        <v>47</v>
      </c>
      <c r="F26" s="1">
        <v>5</v>
      </c>
      <c r="G26" s="1">
        <v>6</v>
      </c>
      <c r="H26" s="1">
        <v>8</v>
      </c>
      <c r="I26" s="1">
        <v>9</v>
      </c>
      <c r="J26" s="31"/>
    </row>
    <row r="27" spans="1:10" ht="108" customHeight="1">
      <c r="A27" s="129" t="s">
        <v>21</v>
      </c>
      <c r="B27" s="129" t="s">
        <v>22</v>
      </c>
      <c r="C27" s="132" t="s">
        <v>48</v>
      </c>
      <c r="D27" s="129" t="s">
        <v>49</v>
      </c>
      <c r="E27" s="129" t="s">
        <v>50</v>
      </c>
      <c r="F27" s="119" t="s">
        <v>24</v>
      </c>
      <c r="G27" s="116" t="s">
        <v>25</v>
      </c>
      <c r="H27" s="116" t="s">
        <v>26</v>
      </c>
      <c r="I27" s="116" t="s">
        <v>27</v>
      </c>
      <c r="J27" s="140"/>
    </row>
    <row r="28" spans="1:10" ht="22.5">
      <c r="A28" s="120"/>
      <c r="B28" s="120"/>
      <c r="C28" s="147" t="s">
        <v>28</v>
      </c>
      <c r="D28" s="147" t="s">
        <v>28</v>
      </c>
      <c r="E28" s="147" t="s">
        <v>28</v>
      </c>
      <c r="F28" s="148" t="s">
        <v>28</v>
      </c>
      <c r="G28" s="147" t="s">
        <v>28</v>
      </c>
      <c r="H28" s="147" t="s">
        <v>28</v>
      </c>
      <c r="I28" s="147" t="s">
        <v>28</v>
      </c>
      <c r="J28" s="139"/>
    </row>
    <row r="29" spans="1:10" ht="20.25" customHeight="1">
      <c r="A29" s="120">
        <v>1</v>
      </c>
      <c r="B29" s="120" t="s">
        <v>51</v>
      </c>
      <c r="C29" s="133">
        <v>65941211532.446602</v>
      </c>
      <c r="D29" s="133">
        <v>-104930055162.42999</v>
      </c>
      <c r="E29" s="134">
        <f>C29+D29</f>
        <v>-38988843629.983398</v>
      </c>
      <c r="F29" s="135">
        <v>203431273413.638</v>
      </c>
      <c r="G29" s="134">
        <v>2102416732.8900001</v>
      </c>
      <c r="H29" s="134">
        <v>74745310809.520004</v>
      </c>
      <c r="I29" s="134">
        <f>E29+F29+G29+H29</f>
        <v>241290157326.065</v>
      </c>
    </row>
    <row r="30" spans="1:10" ht="20.25" customHeight="1">
      <c r="A30" s="120">
        <v>2</v>
      </c>
      <c r="B30" s="120" t="s">
        <v>52</v>
      </c>
      <c r="C30" s="133">
        <v>1359612608.9164</v>
      </c>
      <c r="D30" s="133">
        <v>0</v>
      </c>
      <c r="E30" s="134">
        <f>C30+D30</f>
        <v>1359612608.9164</v>
      </c>
      <c r="F30" s="135">
        <v>4194459245.6420002</v>
      </c>
      <c r="G30" s="134">
        <v>0</v>
      </c>
      <c r="H30" s="134">
        <v>0</v>
      </c>
      <c r="I30" s="134">
        <f t="shared" ref="I30:I33" si="3">E30+F30+G30+H30</f>
        <v>5554071854.5584002</v>
      </c>
      <c r="J30" s="141"/>
    </row>
    <row r="31" spans="1:10" ht="20.25" customHeight="1">
      <c r="A31" s="120">
        <v>3</v>
      </c>
      <c r="B31" s="120" t="s">
        <v>53</v>
      </c>
      <c r="C31" s="133">
        <v>679806304.45819998</v>
      </c>
      <c r="D31" s="133">
        <v>0</v>
      </c>
      <c r="E31" s="134">
        <f>C31+D31</f>
        <v>679806304.45819998</v>
      </c>
      <c r="F31" s="135">
        <v>2097229622.8210001</v>
      </c>
      <c r="G31" s="134">
        <v>0</v>
      </c>
      <c r="H31" s="134">
        <v>0</v>
      </c>
      <c r="I31" s="134">
        <f t="shared" si="3"/>
        <v>2777035927.2792001</v>
      </c>
      <c r="J31" s="141"/>
    </row>
    <row r="32" spans="1:10" ht="40.5">
      <c r="A32" s="120">
        <v>4</v>
      </c>
      <c r="B32" s="127" t="s">
        <v>54</v>
      </c>
      <c r="C32" s="133">
        <v>2284149182.9796</v>
      </c>
      <c r="D32" s="133">
        <v>0</v>
      </c>
      <c r="E32" s="134">
        <f>C32+D32</f>
        <v>2284149182.9796</v>
      </c>
      <c r="F32" s="134">
        <v>7046691532.6786003</v>
      </c>
      <c r="G32" s="134">
        <v>0</v>
      </c>
      <c r="H32" s="134">
        <v>0</v>
      </c>
      <c r="I32" s="134">
        <f t="shared" si="3"/>
        <v>9330840715.6581993</v>
      </c>
      <c r="J32" s="141"/>
    </row>
    <row r="33" spans="1:10" ht="21" customHeight="1">
      <c r="A33" s="120">
        <v>5</v>
      </c>
      <c r="B33" s="120" t="s">
        <v>55</v>
      </c>
      <c r="C33" s="133">
        <v>1359612608.9164</v>
      </c>
      <c r="D33" s="134">
        <v>-510027869</v>
      </c>
      <c r="E33" s="134">
        <f>C33+D33</f>
        <v>849584739.91639996</v>
      </c>
      <c r="F33" s="135">
        <v>4194459245.6420002</v>
      </c>
      <c r="G33" s="134">
        <v>150172623.78</v>
      </c>
      <c r="H33" s="134">
        <v>5338950772.1099997</v>
      </c>
      <c r="I33" s="134">
        <f t="shared" si="3"/>
        <v>10533167381.4484</v>
      </c>
      <c r="J33" s="141"/>
    </row>
    <row r="34" spans="1:10" ht="36.75" customHeight="1">
      <c r="A34" s="120"/>
      <c r="B34" s="1" t="s">
        <v>27</v>
      </c>
      <c r="C34" s="136">
        <f>SUM(C29:C33)</f>
        <v>71624392237.717194</v>
      </c>
      <c r="D34" s="136">
        <f>SUM(D29:D33)</f>
        <v>-105440083031.42999</v>
      </c>
      <c r="E34" s="136">
        <f t="shared" ref="E34" si="4">SUM(E29:E33)</f>
        <v>-33815690793.712803</v>
      </c>
      <c r="F34" s="136">
        <f t="shared" ref="F34:G34" si="5">SUM(F29:F33)</f>
        <v>220964113060.422</v>
      </c>
      <c r="G34" s="136">
        <f t="shared" si="5"/>
        <v>2252589356.6700001</v>
      </c>
      <c r="H34" s="136">
        <f t="shared" ref="H34:I34" si="6">SUM(H29:H33)</f>
        <v>80084261581.630005</v>
      </c>
      <c r="I34" s="136">
        <f t="shared" si="6"/>
        <v>269485273205.00922</v>
      </c>
      <c r="J34" s="142"/>
    </row>
    <row r="36" spans="1:10" ht="12.75" hidden="1" customHeight="1">
      <c r="A36" s="154" t="s">
        <v>56</v>
      </c>
      <c r="B36" s="154"/>
      <c r="C36" s="154"/>
    </row>
    <row r="37" spans="1:10">
      <c r="A37" s="155"/>
      <c r="B37" s="155"/>
      <c r="C37" s="155"/>
      <c r="G37" s="128"/>
      <c r="H37" s="128"/>
      <c r="I37" s="123"/>
    </row>
    <row r="38" spans="1:10" ht="42.75" customHeight="1">
      <c r="B38" s="137"/>
      <c r="C38" s="137"/>
      <c r="E38" s="128"/>
      <c r="F38" s="128"/>
      <c r="G38" s="128"/>
      <c r="H38" s="123"/>
      <c r="I38" s="123"/>
    </row>
    <row r="39" spans="1:10">
      <c r="B39" s="137"/>
      <c r="C39" s="137"/>
      <c r="G39" s="128"/>
    </row>
    <row r="40" spans="1:10">
      <c r="B40" s="138"/>
      <c r="C40" s="137"/>
      <c r="H40" s="128"/>
    </row>
    <row r="41" spans="1:10" ht="22.5">
      <c r="A41" s="151" t="s">
        <v>57</v>
      </c>
      <c r="B41" s="151"/>
      <c r="C41" s="151"/>
      <c r="D41" s="151"/>
      <c r="E41" s="151"/>
      <c r="F41" s="151"/>
      <c r="G41" s="151"/>
      <c r="H41" s="151"/>
      <c r="I41" s="151"/>
      <c r="J41" s="151"/>
    </row>
    <row r="42" spans="1:10" ht="35.25" customHeight="1">
      <c r="A42" s="151" t="s">
        <v>58</v>
      </c>
      <c r="B42" s="151"/>
      <c r="C42" s="151"/>
      <c r="D42" s="151"/>
      <c r="E42" s="151"/>
      <c r="F42" s="151"/>
      <c r="G42" s="151"/>
      <c r="H42" s="151"/>
      <c r="I42" s="151"/>
      <c r="J42" s="151"/>
    </row>
    <row r="43" spans="1:10" ht="30.75" customHeight="1">
      <c r="A43" s="151" t="s">
        <v>59</v>
      </c>
      <c r="B43" s="151"/>
      <c r="C43" s="151"/>
      <c r="D43" s="151"/>
      <c r="E43" s="151"/>
      <c r="F43" s="151"/>
      <c r="G43" s="151"/>
      <c r="H43" s="151"/>
      <c r="I43" s="151"/>
      <c r="J43" s="151"/>
    </row>
    <row r="44" spans="1:10" ht="22.5">
      <c r="A44" s="151" t="s">
        <v>60</v>
      </c>
      <c r="B44" s="151"/>
      <c r="C44" s="151"/>
      <c r="D44" s="151"/>
      <c r="E44" s="151"/>
      <c r="F44" s="151"/>
      <c r="G44" s="151"/>
      <c r="H44" s="151"/>
      <c r="I44" s="151"/>
      <c r="J44" s="151"/>
    </row>
  </sheetData>
  <mergeCells count="12">
    <mergeCell ref="A1:G1"/>
    <mergeCell ref="A2:G2"/>
    <mergeCell ref="A3:G3"/>
    <mergeCell ref="A4:G4"/>
    <mergeCell ref="A24:H24"/>
    <mergeCell ref="A43:J43"/>
    <mergeCell ref="A44:J44"/>
    <mergeCell ref="A25:H25"/>
    <mergeCell ref="A36:C36"/>
    <mergeCell ref="A37:C37"/>
    <mergeCell ref="A41:J41"/>
    <mergeCell ref="A42:J42"/>
  </mergeCells>
  <pageMargins left="0.74803149606299202" right="0.74803149606299202" top="0.39370078740157499" bottom="0.41" header="0.511811023622047" footer="0.511811023622047"/>
  <pageSetup scale="42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5"/>
  <sheetViews>
    <sheetView tabSelected="1" topLeftCell="I33" workbookViewId="0">
      <selection activeCell="M10" sqref="M10:M45"/>
    </sheetView>
  </sheetViews>
  <sheetFormatPr defaultColWidth="8.85546875" defaultRowHeight="12.75"/>
  <cols>
    <col min="1" max="1" width="4.140625" style="14" customWidth="1"/>
    <col min="2" max="2" width="22.42578125" style="14" customWidth="1"/>
    <col min="3" max="3" width="7.42578125" style="14" customWidth="1"/>
    <col min="4" max="4" width="25.5703125" style="14" customWidth="1"/>
    <col min="5" max="5" width="23.7109375" style="14" customWidth="1"/>
    <col min="6" max="6" width="28.28515625" style="14" customWidth="1"/>
    <col min="7" max="7" width="21.28515625" style="14" customWidth="1"/>
    <col min="8" max="8" width="24.42578125" style="14" customWidth="1"/>
    <col min="9" max="9" width="22.7109375" style="14" customWidth="1"/>
    <col min="10" max="13" width="25.5703125" style="14" customWidth="1"/>
    <col min="14" max="19" width="22" style="14" customWidth="1"/>
    <col min="20" max="20" width="28" style="14" customWidth="1"/>
    <col min="21" max="21" width="29.42578125" style="14" customWidth="1"/>
    <col min="22" max="22" width="6.42578125" style="14" customWidth="1"/>
    <col min="23" max="23" width="8.85546875" style="14"/>
    <col min="24" max="24" width="16.28515625" style="14" customWidth="1"/>
    <col min="25" max="25" width="16.85546875" style="14" customWidth="1"/>
    <col min="26" max="26" width="21" style="14" customWidth="1"/>
    <col min="27" max="27" width="8.85546875" style="14"/>
    <col min="28" max="28" width="17.42578125" style="14" customWidth="1"/>
    <col min="29" max="29" width="12.28515625" style="14" customWidth="1"/>
    <col min="30" max="30" width="17.85546875" style="14" customWidth="1"/>
    <col min="31" max="32" width="8.85546875" style="14"/>
    <col min="33" max="33" width="17.85546875" style="14" customWidth="1"/>
    <col min="34" max="34" width="16.28515625" style="14" customWidth="1"/>
    <col min="35" max="35" width="17.85546875" style="14" customWidth="1"/>
    <col min="36" max="16384" width="8.85546875" style="14"/>
  </cols>
  <sheetData>
    <row r="1" spans="1:35" ht="22.5">
      <c r="A1" s="171" t="s">
        <v>61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</row>
    <row r="2" spans="1:35" ht="24.75">
      <c r="A2" s="172" t="s">
        <v>62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</row>
    <row r="3" spans="1:35" ht="18" customHeight="1">
      <c r="A3" s="173" t="s">
        <v>63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</row>
    <row r="4" spans="1:35" ht="18">
      <c r="A4" s="174" t="s">
        <v>64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</row>
    <row r="5" spans="1:35" ht="19.5"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</row>
    <row r="6" spans="1:35" ht="15">
      <c r="A6" s="7">
        <v>1</v>
      </c>
      <c r="B6" s="7">
        <v>2</v>
      </c>
      <c r="C6" s="7">
        <v>3</v>
      </c>
      <c r="D6" s="7">
        <v>4</v>
      </c>
      <c r="E6" s="7">
        <v>5</v>
      </c>
      <c r="F6" s="7" t="s">
        <v>65</v>
      </c>
      <c r="G6" s="7">
        <v>7</v>
      </c>
      <c r="H6" s="7">
        <v>8</v>
      </c>
      <c r="I6" s="7">
        <v>9</v>
      </c>
      <c r="J6" s="7" t="s">
        <v>66</v>
      </c>
      <c r="K6" s="7">
        <v>11</v>
      </c>
      <c r="L6" s="7">
        <v>12</v>
      </c>
      <c r="M6" s="7" t="s">
        <v>67</v>
      </c>
      <c r="N6" s="7">
        <v>13</v>
      </c>
      <c r="O6" s="7">
        <v>14</v>
      </c>
      <c r="P6" s="7">
        <v>15</v>
      </c>
      <c r="Q6" s="7">
        <v>16</v>
      </c>
      <c r="R6" s="7">
        <v>17</v>
      </c>
      <c r="S6" s="7">
        <v>18</v>
      </c>
      <c r="T6" s="7" t="s">
        <v>68</v>
      </c>
      <c r="U6" s="7" t="s">
        <v>69</v>
      </c>
      <c r="V6" s="100"/>
    </row>
    <row r="7" spans="1:35" ht="12.75" customHeight="1">
      <c r="A7" s="161" t="s">
        <v>21</v>
      </c>
      <c r="B7" s="161" t="s">
        <v>22</v>
      </c>
      <c r="C7" s="161" t="s">
        <v>70</v>
      </c>
      <c r="D7" s="161" t="s">
        <v>71</v>
      </c>
      <c r="E7" s="161" t="s">
        <v>72</v>
      </c>
      <c r="F7" s="161" t="s">
        <v>73</v>
      </c>
      <c r="G7" s="167" t="s">
        <v>74</v>
      </c>
      <c r="H7" s="168"/>
      <c r="I7" s="169"/>
      <c r="J7" s="161" t="s">
        <v>50</v>
      </c>
      <c r="K7" s="165" t="s">
        <v>75</v>
      </c>
      <c r="L7" s="161" t="s">
        <v>25</v>
      </c>
      <c r="M7" s="97"/>
      <c r="N7" s="161" t="s">
        <v>76</v>
      </c>
      <c r="O7" s="161" t="s">
        <v>77</v>
      </c>
      <c r="P7" s="161" t="s">
        <v>78</v>
      </c>
      <c r="Q7" s="161" t="s">
        <v>79</v>
      </c>
      <c r="R7" s="161" t="s">
        <v>80</v>
      </c>
      <c r="S7" s="161" t="s">
        <v>81</v>
      </c>
      <c r="T7" s="161" t="s">
        <v>82</v>
      </c>
      <c r="U7" s="161" t="s">
        <v>83</v>
      </c>
      <c r="V7" s="163" t="s">
        <v>21</v>
      </c>
    </row>
    <row r="8" spans="1:35" ht="50.25" customHeight="1">
      <c r="A8" s="162"/>
      <c r="B8" s="162"/>
      <c r="C8" s="162"/>
      <c r="D8" s="162"/>
      <c r="E8" s="162"/>
      <c r="F8" s="162"/>
      <c r="G8" s="99" t="s">
        <v>84</v>
      </c>
      <c r="H8" s="99" t="s">
        <v>85</v>
      </c>
      <c r="I8" s="99" t="s">
        <v>86</v>
      </c>
      <c r="J8" s="162"/>
      <c r="K8" s="166"/>
      <c r="L8" s="162"/>
      <c r="M8" s="98" t="s">
        <v>87</v>
      </c>
      <c r="N8" s="162"/>
      <c r="O8" s="162"/>
      <c r="P8" s="162"/>
      <c r="Q8" s="162"/>
      <c r="R8" s="162"/>
      <c r="S8" s="162"/>
      <c r="T8" s="162"/>
      <c r="U8" s="162"/>
      <c r="V8" s="164"/>
    </row>
    <row r="9" spans="1:35" ht="21" customHeight="1">
      <c r="A9" s="100"/>
      <c r="B9" s="100"/>
      <c r="C9" s="100"/>
      <c r="D9" s="149" t="s">
        <v>28</v>
      </c>
      <c r="E9" s="149" t="s">
        <v>28</v>
      </c>
      <c r="F9" s="149" t="s">
        <v>28</v>
      </c>
      <c r="G9" s="149" t="s">
        <v>28</v>
      </c>
      <c r="H9" s="149" t="s">
        <v>28</v>
      </c>
      <c r="I9" s="149" t="s">
        <v>28</v>
      </c>
      <c r="J9" s="149" t="s">
        <v>28</v>
      </c>
      <c r="K9" s="149" t="s">
        <v>28</v>
      </c>
      <c r="L9" s="149" t="s">
        <v>28</v>
      </c>
      <c r="M9" s="149" t="s">
        <v>28</v>
      </c>
      <c r="N9" s="149" t="s">
        <v>28</v>
      </c>
      <c r="O9" s="149" t="s">
        <v>28</v>
      </c>
      <c r="P9" s="149" t="s">
        <v>28</v>
      </c>
      <c r="Q9" s="149" t="s">
        <v>28</v>
      </c>
      <c r="R9" s="149" t="s">
        <v>28</v>
      </c>
      <c r="S9" s="149" t="s">
        <v>28</v>
      </c>
      <c r="T9" s="149" t="s">
        <v>28</v>
      </c>
      <c r="U9" s="149" t="s">
        <v>28</v>
      </c>
      <c r="V9" s="100"/>
    </row>
    <row r="10" spans="1:35" ht="30" customHeight="1">
      <c r="A10" s="100">
        <v>1</v>
      </c>
      <c r="B10" s="101" t="s">
        <v>88</v>
      </c>
      <c r="C10" s="102">
        <v>17</v>
      </c>
      <c r="D10" s="103">
        <v>872907619.2457</v>
      </c>
      <c r="E10" s="103">
        <v>505733868.97890002</v>
      </c>
      <c r="F10" s="104">
        <f>D10+E10</f>
        <v>1378641488.2246001</v>
      </c>
      <c r="G10" s="103">
        <v>771164847.38999999</v>
      </c>
      <c r="H10" s="103">
        <v>0</v>
      </c>
      <c r="I10" s="103">
        <f>954254826.23-H10-G10</f>
        <v>183089978.84000003</v>
      </c>
      <c r="J10" s="103">
        <f>F10-G10-H10-I10</f>
        <v>424386661.99460006</v>
      </c>
      <c r="K10" s="103">
        <v>3240753210.52</v>
      </c>
      <c r="L10" s="103">
        <v>193530901.19330001</v>
      </c>
      <c r="M10" s="150">
        <f>K10+L10</f>
        <v>3434284111.7132998</v>
      </c>
      <c r="N10" s="103">
        <v>98746962.010000005</v>
      </c>
      <c r="O10" s="103">
        <f>N10/2</f>
        <v>49373481.005000003</v>
      </c>
      <c r="P10" s="103">
        <f>N10-O10</f>
        <v>49373481.005000003</v>
      </c>
      <c r="Q10" s="103">
        <v>5428626614.7322998</v>
      </c>
      <c r="R10" s="103">
        <v>0</v>
      </c>
      <c r="S10" s="103">
        <f>Q10-R10</f>
        <v>5428626614.7322998</v>
      </c>
      <c r="T10" s="114">
        <f>F10+K10+L10+N10+Q10</f>
        <v>10340299176.680201</v>
      </c>
      <c r="U10" s="115">
        <f>J10+K10+L10+P10+S10</f>
        <v>9336670869.4452</v>
      </c>
      <c r="V10" s="100">
        <v>1</v>
      </c>
      <c r="AI10" s="95">
        <v>0</v>
      </c>
    </row>
    <row r="11" spans="1:35" ht="30" customHeight="1">
      <c r="A11" s="100">
        <v>2</v>
      </c>
      <c r="B11" s="101" t="s">
        <v>89</v>
      </c>
      <c r="C11" s="105">
        <v>21</v>
      </c>
      <c r="D11" s="103">
        <v>928623596.11539996</v>
      </c>
      <c r="E11" s="103">
        <v>0</v>
      </c>
      <c r="F11" s="104">
        <f t="shared" ref="F11:F46" si="0">D11+E11</f>
        <v>928623596.11539996</v>
      </c>
      <c r="G11" s="103">
        <v>1097120916.4400001</v>
      </c>
      <c r="H11" s="103">
        <v>0</v>
      </c>
      <c r="I11" s="103">
        <f>1339935499.58-H11-G11</f>
        <v>242814583.13999987</v>
      </c>
      <c r="J11" s="103">
        <f t="shared" ref="J11:J46" si="1">F11-G11-H11-I11</f>
        <v>-411311903.46459997</v>
      </c>
      <c r="K11" s="103">
        <v>2864840912.27</v>
      </c>
      <c r="L11" s="103">
        <v>169645906.97310001</v>
      </c>
      <c r="M11" s="150">
        <f t="shared" ref="M11:M45" si="2">K11+L11</f>
        <v>3034486819.2431002</v>
      </c>
      <c r="N11" s="103">
        <v>105049786.41</v>
      </c>
      <c r="O11" s="103">
        <v>0</v>
      </c>
      <c r="P11" s="103">
        <f t="shared" ref="P11:P45" si="3">N11-O11</f>
        <v>105049786.41</v>
      </c>
      <c r="Q11" s="103">
        <v>5864056822.5529003</v>
      </c>
      <c r="R11" s="103">
        <v>0</v>
      </c>
      <c r="S11" s="103">
        <f t="shared" ref="S11:S46" si="4">Q11-R11</f>
        <v>5864056822.5529003</v>
      </c>
      <c r="T11" s="114">
        <f t="shared" ref="T11:T46" si="5">F11+K11+L11+N11+Q11</f>
        <v>9932217024.3213997</v>
      </c>
      <c r="U11" s="115">
        <f t="shared" ref="U11:U46" si="6">J11+K11+L11+P11+S11</f>
        <v>8592281524.7413998</v>
      </c>
      <c r="V11" s="100">
        <v>2</v>
      </c>
      <c r="AI11" s="95">
        <v>0</v>
      </c>
    </row>
    <row r="12" spans="1:35" ht="30" customHeight="1">
      <c r="A12" s="100">
        <v>3</v>
      </c>
      <c r="B12" s="101" t="s">
        <v>90</v>
      </c>
      <c r="C12" s="105">
        <v>31</v>
      </c>
      <c r="D12" s="103">
        <v>937253222.20570004</v>
      </c>
      <c r="E12" s="103">
        <v>9559000924.9566002</v>
      </c>
      <c r="F12" s="104">
        <f t="shared" si="0"/>
        <v>10496254147.1623</v>
      </c>
      <c r="G12" s="103">
        <v>525026444.75</v>
      </c>
      <c r="H12" s="103">
        <v>0</v>
      </c>
      <c r="I12" s="103">
        <f>1959806494.44-H12-G12</f>
        <v>1434780049.6900001</v>
      </c>
      <c r="J12" s="103">
        <f t="shared" si="1"/>
        <v>8536447652.7222996</v>
      </c>
      <c r="K12" s="103">
        <v>12418420516.450001</v>
      </c>
      <c r="L12" s="103">
        <v>187851334.7881</v>
      </c>
      <c r="M12" s="150">
        <f t="shared" si="2"/>
        <v>12606271851.2381</v>
      </c>
      <c r="N12" s="103">
        <v>106026005.83</v>
      </c>
      <c r="O12" s="103">
        <f>N12/2</f>
        <v>53013002.914999999</v>
      </c>
      <c r="P12" s="103">
        <f t="shared" si="3"/>
        <v>53013002.914999999</v>
      </c>
      <c r="Q12" s="103">
        <v>6536504825.7582998</v>
      </c>
      <c r="R12" s="103">
        <v>0</v>
      </c>
      <c r="S12" s="103">
        <f t="shared" si="4"/>
        <v>6536504825.7582998</v>
      </c>
      <c r="T12" s="114">
        <f t="shared" si="5"/>
        <v>29745056829.988705</v>
      </c>
      <c r="U12" s="115">
        <f t="shared" si="6"/>
        <v>27732237332.633705</v>
      </c>
      <c r="V12" s="100">
        <v>3</v>
      </c>
      <c r="AI12" s="95">
        <v>0</v>
      </c>
    </row>
    <row r="13" spans="1:35" ht="30" customHeight="1">
      <c r="A13" s="100">
        <v>4</v>
      </c>
      <c r="B13" s="101" t="s">
        <v>91</v>
      </c>
      <c r="C13" s="105">
        <v>21</v>
      </c>
      <c r="D13" s="103">
        <v>926883929.13059998</v>
      </c>
      <c r="E13" s="103">
        <v>864828304.68289995</v>
      </c>
      <c r="F13" s="104">
        <f t="shared" si="0"/>
        <v>1791712233.8134999</v>
      </c>
      <c r="G13" s="103">
        <v>734737893.28999996</v>
      </c>
      <c r="H13" s="103">
        <v>0</v>
      </c>
      <c r="I13" s="103">
        <f>773278875.41-H13-G13</f>
        <v>38540982.120000005</v>
      </c>
      <c r="J13" s="103">
        <f t="shared" si="1"/>
        <v>1018433358.4035</v>
      </c>
      <c r="K13" s="103">
        <v>3797273369.3699999</v>
      </c>
      <c r="L13" s="103">
        <v>244989486.4632</v>
      </c>
      <c r="M13" s="150">
        <f t="shared" si="2"/>
        <v>4042262855.8332</v>
      </c>
      <c r="N13" s="103">
        <v>104852988.01000001</v>
      </c>
      <c r="O13" s="103">
        <v>0</v>
      </c>
      <c r="P13" s="103">
        <f t="shared" si="3"/>
        <v>104852988.01000001</v>
      </c>
      <c r="Q13" s="103">
        <v>6660923347.1006002</v>
      </c>
      <c r="R13" s="103">
        <v>0</v>
      </c>
      <c r="S13" s="103">
        <f t="shared" si="4"/>
        <v>6660923347.1006002</v>
      </c>
      <c r="T13" s="114">
        <f t="shared" si="5"/>
        <v>12599751424.757301</v>
      </c>
      <c r="U13" s="115">
        <f t="shared" si="6"/>
        <v>11826472549.3473</v>
      </c>
      <c r="V13" s="100">
        <v>4</v>
      </c>
      <c r="AI13" s="95">
        <v>0</v>
      </c>
    </row>
    <row r="14" spans="1:35" ht="30" customHeight="1">
      <c r="A14" s="100">
        <v>5</v>
      </c>
      <c r="B14" s="101" t="s">
        <v>92</v>
      </c>
      <c r="C14" s="105">
        <v>20</v>
      </c>
      <c r="D14" s="103">
        <v>1115072420.9993999</v>
      </c>
      <c r="E14" s="103">
        <v>0</v>
      </c>
      <c r="F14" s="104">
        <f t="shared" si="0"/>
        <v>1115072420.9993999</v>
      </c>
      <c r="G14" s="103">
        <v>1287217303.6199999</v>
      </c>
      <c r="H14" s="103">
        <v>958822872.39999998</v>
      </c>
      <c r="I14" s="103">
        <f>3479293933.62-H14-G14</f>
        <v>1233253757.5999999</v>
      </c>
      <c r="J14" s="103">
        <f t="shared" si="1"/>
        <v>-2364221512.6205997</v>
      </c>
      <c r="K14" s="103">
        <v>3440042989.6399999</v>
      </c>
      <c r="L14" s="103">
        <v>191411057.51350001</v>
      </c>
      <c r="M14" s="150">
        <f t="shared" si="2"/>
        <v>3631454047.1535001</v>
      </c>
      <c r="N14" s="103">
        <v>126141657.56</v>
      </c>
      <c r="O14" s="103">
        <v>0</v>
      </c>
      <c r="P14" s="103">
        <f t="shared" si="3"/>
        <v>126141657.56</v>
      </c>
      <c r="Q14" s="103">
        <v>6479616300.5054998</v>
      </c>
      <c r="R14" s="103">
        <v>0</v>
      </c>
      <c r="S14" s="103">
        <f t="shared" si="4"/>
        <v>6479616300.5054998</v>
      </c>
      <c r="T14" s="114">
        <f t="shared" si="5"/>
        <v>11352284426.218399</v>
      </c>
      <c r="U14" s="115">
        <f t="shared" si="6"/>
        <v>7872990492.5984001</v>
      </c>
      <c r="V14" s="100">
        <v>5</v>
      </c>
      <c r="AI14" s="95">
        <v>0</v>
      </c>
    </row>
    <row r="15" spans="1:35" ht="30" customHeight="1">
      <c r="A15" s="100">
        <v>6</v>
      </c>
      <c r="B15" s="101" t="s">
        <v>93</v>
      </c>
      <c r="C15" s="105">
        <v>8</v>
      </c>
      <c r="D15" s="103">
        <v>824836652.00320005</v>
      </c>
      <c r="E15" s="103">
        <v>9078314862.8516998</v>
      </c>
      <c r="F15" s="104">
        <f t="shared" si="0"/>
        <v>9903151514.8549004</v>
      </c>
      <c r="G15" s="103">
        <v>448007394.98000002</v>
      </c>
      <c r="H15" s="103">
        <v>0</v>
      </c>
      <c r="I15" s="103">
        <f>1626917549.32-H15-G15</f>
        <v>1178910154.3399999</v>
      </c>
      <c r="J15" s="103">
        <f t="shared" si="1"/>
        <v>8276233965.5349007</v>
      </c>
      <c r="K15" s="103">
        <v>10685653109.370001</v>
      </c>
      <c r="L15" s="103">
        <v>142352083.06659999</v>
      </c>
      <c r="M15" s="150">
        <f t="shared" si="2"/>
        <v>10828005192.436602</v>
      </c>
      <c r="N15" s="103">
        <v>93308973.069999993</v>
      </c>
      <c r="O15" s="103">
        <f t="shared" ref="O15:O21" si="7">N15/2</f>
        <v>46654486.534999996</v>
      </c>
      <c r="P15" s="103">
        <f t="shared" si="3"/>
        <v>46654486.534999996</v>
      </c>
      <c r="Q15" s="103">
        <v>5584539451.8769999</v>
      </c>
      <c r="R15" s="103">
        <v>0</v>
      </c>
      <c r="S15" s="103">
        <f t="shared" si="4"/>
        <v>5584539451.8769999</v>
      </c>
      <c r="T15" s="114">
        <f t="shared" si="5"/>
        <v>26409005132.238499</v>
      </c>
      <c r="U15" s="115">
        <f t="shared" si="6"/>
        <v>24735433096.383499</v>
      </c>
      <c r="V15" s="100">
        <v>6</v>
      </c>
      <c r="AI15" s="95">
        <v>0</v>
      </c>
    </row>
    <row r="16" spans="1:35" ht="30" customHeight="1">
      <c r="A16" s="100">
        <v>7</v>
      </c>
      <c r="B16" s="101" t="s">
        <v>94</v>
      </c>
      <c r="C16" s="105">
        <v>23</v>
      </c>
      <c r="D16" s="103">
        <v>1045452477.467</v>
      </c>
      <c r="E16" s="103">
        <v>0</v>
      </c>
      <c r="F16" s="104">
        <f t="shared" si="0"/>
        <v>1045452477.467</v>
      </c>
      <c r="G16" s="103">
        <v>303276410.17000002</v>
      </c>
      <c r="H16" s="103">
        <v>0</v>
      </c>
      <c r="I16" s="103">
        <f>492630915.34-H16-G16</f>
        <v>189354505.16999996</v>
      </c>
      <c r="J16" s="103">
        <f t="shared" si="1"/>
        <v>552821562.12699997</v>
      </c>
      <c r="K16" s="103">
        <v>3225262681.0500002</v>
      </c>
      <c r="L16" s="103">
        <v>188745290.01089999</v>
      </c>
      <c r="M16" s="150">
        <f t="shared" si="2"/>
        <v>3414007971.0609002</v>
      </c>
      <c r="N16" s="103">
        <v>118265958.27</v>
      </c>
      <c r="O16" s="103">
        <f t="shared" si="7"/>
        <v>59132979.134999998</v>
      </c>
      <c r="P16" s="103">
        <f t="shared" si="3"/>
        <v>59132979.134999998</v>
      </c>
      <c r="Q16" s="103">
        <v>6467145356.4750996</v>
      </c>
      <c r="R16" s="103">
        <v>0</v>
      </c>
      <c r="S16" s="103">
        <f t="shared" si="4"/>
        <v>6467145356.4750996</v>
      </c>
      <c r="T16" s="114">
        <f t="shared" si="5"/>
        <v>11044871763.272999</v>
      </c>
      <c r="U16" s="115">
        <f t="shared" si="6"/>
        <v>10493107868.798</v>
      </c>
      <c r="V16" s="100">
        <v>7</v>
      </c>
      <c r="AI16" s="95">
        <v>0</v>
      </c>
    </row>
    <row r="17" spans="1:35" ht="30" customHeight="1">
      <c r="A17" s="100">
        <v>8</v>
      </c>
      <c r="B17" s="101" t="s">
        <v>95</v>
      </c>
      <c r="C17" s="105">
        <v>27</v>
      </c>
      <c r="D17" s="103">
        <v>1158211517.0394001</v>
      </c>
      <c r="E17" s="103">
        <v>0</v>
      </c>
      <c r="F17" s="104">
        <f t="shared" si="0"/>
        <v>1158211517.0394001</v>
      </c>
      <c r="G17" s="103">
        <v>268566528.35000002</v>
      </c>
      <c r="H17" s="103">
        <v>0</v>
      </c>
      <c r="I17" s="103">
        <f>376846876.85-H17-G17</f>
        <v>108280348.5</v>
      </c>
      <c r="J17" s="103">
        <f t="shared" si="1"/>
        <v>781364640.18940008</v>
      </c>
      <c r="K17" s="103">
        <v>3573128825.25</v>
      </c>
      <c r="L17" s="103">
        <v>188531396.5088</v>
      </c>
      <c r="M17" s="150">
        <f t="shared" si="2"/>
        <v>3761660221.7588</v>
      </c>
      <c r="N17" s="103">
        <v>131021732.59</v>
      </c>
      <c r="O17" s="103">
        <v>0</v>
      </c>
      <c r="P17" s="103">
        <f t="shared" si="3"/>
        <v>131021732.59</v>
      </c>
      <c r="Q17" s="103">
        <v>6482830208.2082996</v>
      </c>
      <c r="R17" s="103">
        <v>0</v>
      </c>
      <c r="S17" s="103">
        <f t="shared" si="4"/>
        <v>6482830208.2082996</v>
      </c>
      <c r="T17" s="114">
        <f t="shared" si="5"/>
        <v>11533723679.5965</v>
      </c>
      <c r="U17" s="115">
        <f t="shared" si="6"/>
        <v>11156876802.746498</v>
      </c>
      <c r="V17" s="100">
        <v>8</v>
      </c>
      <c r="AI17" s="95">
        <v>0</v>
      </c>
    </row>
    <row r="18" spans="1:35" ht="30" customHeight="1">
      <c r="A18" s="100">
        <v>9</v>
      </c>
      <c r="B18" s="101" t="s">
        <v>96</v>
      </c>
      <c r="C18" s="105">
        <v>18</v>
      </c>
      <c r="D18" s="103">
        <v>937413062.65240002</v>
      </c>
      <c r="E18" s="103">
        <v>0</v>
      </c>
      <c r="F18" s="104">
        <f t="shared" si="0"/>
        <v>937413062.65240002</v>
      </c>
      <c r="G18" s="103">
        <v>1591698085.8</v>
      </c>
      <c r="H18" s="103">
        <v>541305066.39999998</v>
      </c>
      <c r="I18" s="103">
        <f>2577992195.49-H18-G18</f>
        <v>444989043.28999972</v>
      </c>
      <c r="J18" s="103">
        <f t="shared" si="1"/>
        <v>-1640579132.8375995</v>
      </c>
      <c r="K18" s="103">
        <v>2891956767.8899999</v>
      </c>
      <c r="L18" s="103">
        <v>168911657.023</v>
      </c>
      <c r="M18" s="150">
        <f t="shared" si="2"/>
        <v>3060868424.9130001</v>
      </c>
      <c r="N18" s="103">
        <v>106044087.65000001</v>
      </c>
      <c r="O18" s="103">
        <f t="shared" si="7"/>
        <v>53022043.825000003</v>
      </c>
      <c r="P18" s="103">
        <f t="shared" si="3"/>
        <v>53022043.825000003</v>
      </c>
      <c r="Q18" s="103">
        <v>5512585362.5127001</v>
      </c>
      <c r="R18" s="103">
        <v>0</v>
      </c>
      <c r="S18" s="103">
        <f t="shared" si="4"/>
        <v>5512585362.5127001</v>
      </c>
      <c r="T18" s="114">
        <f t="shared" si="5"/>
        <v>9616910937.7280998</v>
      </c>
      <c r="U18" s="115">
        <f t="shared" si="6"/>
        <v>6985896698.4131002</v>
      </c>
      <c r="V18" s="100">
        <v>9</v>
      </c>
      <c r="AI18" s="95">
        <v>0</v>
      </c>
    </row>
    <row r="19" spans="1:35" ht="30" customHeight="1">
      <c r="A19" s="100">
        <v>10</v>
      </c>
      <c r="B19" s="101" t="s">
        <v>97</v>
      </c>
      <c r="C19" s="105">
        <v>25</v>
      </c>
      <c r="D19" s="103">
        <v>946525626.38259995</v>
      </c>
      <c r="E19" s="103">
        <v>16982831698.4044</v>
      </c>
      <c r="F19" s="104">
        <f t="shared" si="0"/>
        <v>17929357324.786999</v>
      </c>
      <c r="G19" s="103">
        <v>380941267.68000001</v>
      </c>
      <c r="H19" s="103">
        <v>0</v>
      </c>
      <c r="I19" s="103">
        <f>2506871459.07-H19-G19</f>
        <v>2125930191.3900001</v>
      </c>
      <c r="J19" s="103">
        <f t="shared" si="1"/>
        <v>15422485865.716999</v>
      </c>
      <c r="K19" s="103">
        <v>20260472521.380001</v>
      </c>
      <c r="L19" s="103">
        <v>245195115.40290001</v>
      </c>
      <c r="M19" s="150">
        <f t="shared" si="2"/>
        <v>20505667636.782902</v>
      </c>
      <c r="N19" s="103">
        <v>107074938.98</v>
      </c>
      <c r="O19" s="103">
        <f t="shared" si="7"/>
        <v>53537469.490000002</v>
      </c>
      <c r="P19" s="103">
        <f t="shared" si="3"/>
        <v>53537469.490000002</v>
      </c>
      <c r="Q19" s="103">
        <v>7716787274.8710003</v>
      </c>
      <c r="R19" s="103">
        <v>0</v>
      </c>
      <c r="S19" s="103">
        <f t="shared" si="4"/>
        <v>7716787274.8710003</v>
      </c>
      <c r="T19" s="114">
        <f t="shared" si="5"/>
        <v>46258887175.420906</v>
      </c>
      <c r="U19" s="115">
        <f t="shared" si="6"/>
        <v>43698478246.860901</v>
      </c>
      <c r="V19" s="100">
        <v>10</v>
      </c>
      <c r="AI19" s="95">
        <v>0</v>
      </c>
    </row>
    <row r="20" spans="1:35" ht="30" customHeight="1">
      <c r="A20" s="100">
        <v>11</v>
      </c>
      <c r="B20" s="101" t="s">
        <v>98</v>
      </c>
      <c r="C20" s="105">
        <v>13</v>
      </c>
      <c r="D20" s="103">
        <v>833994879.26929998</v>
      </c>
      <c r="E20" s="103">
        <v>0</v>
      </c>
      <c r="F20" s="104">
        <f t="shared" si="0"/>
        <v>833994879.26929998</v>
      </c>
      <c r="G20" s="103">
        <v>829020383.39999998</v>
      </c>
      <c r="H20" s="103">
        <v>0</v>
      </c>
      <c r="I20" s="103">
        <f>1248187371.11-H20-G20</f>
        <v>419166987.70999992</v>
      </c>
      <c r="J20" s="103">
        <f t="shared" si="1"/>
        <v>-414192491.84069991</v>
      </c>
      <c r="K20" s="103">
        <v>2572907538.3800001</v>
      </c>
      <c r="L20" s="103">
        <v>150651865.91150001</v>
      </c>
      <c r="M20" s="150">
        <f t="shared" si="2"/>
        <v>2723559404.2915001</v>
      </c>
      <c r="N20" s="103">
        <v>94344990.060000002</v>
      </c>
      <c r="O20" s="103">
        <v>0</v>
      </c>
      <c r="P20" s="103">
        <f t="shared" si="3"/>
        <v>94344990.060000002</v>
      </c>
      <c r="Q20" s="103">
        <v>5202215916.8520002</v>
      </c>
      <c r="R20" s="103">
        <v>0</v>
      </c>
      <c r="S20" s="103">
        <f t="shared" si="4"/>
        <v>5202215916.8520002</v>
      </c>
      <c r="T20" s="114">
        <f t="shared" si="5"/>
        <v>8854115190.4728012</v>
      </c>
      <c r="U20" s="115">
        <f t="shared" si="6"/>
        <v>7605927819.3628006</v>
      </c>
      <c r="V20" s="100">
        <v>11</v>
      </c>
      <c r="AI20" s="95">
        <v>0</v>
      </c>
    </row>
    <row r="21" spans="1:35" ht="30" customHeight="1">
      <c r="A21" s="100">
        <v>12</v>
      </c>
      <c r="B21" s="101" t="s">
        <v>99</v>
      </c>
      <c r="C21" s="105">
        <v>18</v>
      </c>
      <c r="D21" s="103">
        <v>871658312.70150006</v>
      </c>
      <c r="E21" s="103">
        <v>1632016672.8285999</v>
      </c>
      <c r="F21" s="104">
        <f t="shared" si="0"/>
        <v>2503674985.5300999</v>
      </c>
      <c r="G21" s="103">
        <v>1970259581.95</v>
      </c>
      <c r="H21" s="103">
        <v>510923032.41000003</v>
      </c>
      <c r="I21" s="103">
        <f>2638525712.1-H21-G21</f>
        <v>157343097.73999977</v>
      </c>
      <c r="J21" s="103">
        <f t="shared" si="1"/>
        <v>-134850726.56989998</v>
      </c>
      <c r="K21" s="103">
        <v>3949467045.6300001</v>
      </c>
      <c r="L21" s="103">
        <v>220731599.98359999</v>
      </c>
      <c r="M21" s="150">
        <f t="shared" si="2"/>
        <v>4170198645.6136003</v>
      </c>
      <c r="N21" s="103">
        <v>98605635.230000004</v>
      </c>
      <c r="O21" s="103">
        <f t="shared" si="7"/>
        <v>49302817.615000002</v>
      </c>
      <c r="P21" s="103">
        <f t="shared" si="3"/>
        <v>49302817.615000002</v>
      </c>
      <c r="Q21" s="103">
        <v>6075001169.8947001</v>
      </c>
      <c r="R21" s="103">
        <v>0</v>
      </c>
      <c r="S21" s="103">
        <f t="shared" si="4"/>
        <v>6075001169.8947001</v>
      </c>
      <c r="T21" s="114">
        <f t="shared" si="5"/>
        <v>12847480436.268398</v>
      </c>
      <c r="U21" s="115">
        <f t="shared" si="6"/>
        <v>10159651906.5534</v>
      </c>
      <c r="V21" s="100">
        <v>12</v>
      </c>
      <c r="AI21" s="95">
        <v>0</v>
      </c>
    </row>
    <row r="22" spans="1:35" ht="30" customHeight="1">
      <c r="A22" s="100">
        <v>13</v>
      </c>
      <c r="B22" s="101" t="s">
        <v>100</v>
      </c>
      <c r="C22" s="105">
        <v>16</v>
      </c>
      <c r="D22" s="103">
        <v>833524260.81830001</v>
      </c>
      <c r="E22" s="103">
        <v>0</v>
      </c>
      <c r="F22" s="104">
        <f t="shared" si="0"/>
        <v>833524260.81830001</v>
      </c>
      <c r="G22" s="103">
        <v>1012400231.65</v>
      </c>
      <c r="H22" s="103">
        <v>345000000</v>
      </c>
      <c r="I22" s="103">
        <f>1905464178.49-H22-G22</f>
        <v>548063946.84000003</v>
      </c>
      <c r="J22" s="103">
        <f t="shared" si="1"/>
        <v>-1071939917.6717</v>
      </c>
      <c r="K22" s="103">
        <v>2571455661.6500001</v>
      </c>
      <c r="L22" s="103">
        <v>157733416.3926</v>
      </c>
      <c r="M22" s="150">
        <f t="shared" si="2"/>
        <v>2729189078.0426002</v>
      </c>
      <c r="N22" s="103">
        <v>94291751.730000004</v>
      </c>
      <c r="O22" s="103">
        <v>0</v>
      </c>
      <c r="P22" s="103">
        <f t="shared" si="3"/>
        <v>94291751.730000004</v>
      </c>
      <c r="Q22" s="103">
        <v>5543612857.8849001</v>
      </c>
      <c r="R22" s="103">
        <v>0</v>
      </c>
      <c r="S22" s="103">
        <f t="shared" si="4"/>
        <v>5543612857.8849001</v>
      </c>
      <c r="T22" s="114">
        <f t="shared" si="5"/>
        <v>9200617948.4757996</v>
      </c>
      <c r="U22" s="115">
        <f t="shared" si="6"/>
        <v>7295153769.9857998</v>
      </c>
      <c r="V22" s="100">
        <v>13</v>
      </c>
      <c r="AI22" s="95">
        <v>0</v>
      </c>
    </row>
    <row r="23" spans="1:35" ht="30" customHeight="1">
      <c r="A23" s="100">
        <v>14</v>
      </c>
      <c r="B23" s="101" t="s">
        <v>101</v>
      </c>
      <c r="C23" s="105">
        <v>17</v>
      </c>
      <c r="D23" s="103">
        <v>937493967.73720002</v>
      </c>
      <c r="E23" s="103">
        <v>0</v>
      </c>
      <c r="F23" s="104">
        <f t="shared" si="0"/>
        <v>937493967.73720002</v>
      </c>
      <c r="G23" s="103">
        <v>1045863175.83</v>
      </c>
      <c r="H23" s="103">
        <v>0</v>
      </c>
      <c r="I23" s="103">
        <f>1124507488.17-H23-G23</f>
        <v>78644312.340000033</v>
      </c>
      <c r="J23" s="103">
        <f t="shared" si="1"/>
        <v>-187013520.43280005</v>
      </c>
      <c r="K23" s="103">
        <v>2892206363.2800002</v>
      </c>
      <c r="L23" s="103">
        <v>196159507.18669999</v>
      </c>
      <c r="M23" s="150">
        <f t="shared" si="2"/>
        <v>3088365870.4667001</v>
      </c>
      <c r="N23" s="103">
        <v>106053239.95999999</v>
      </c>
      <c r="O23" s="103">
        <v>0</v>
      </c>
      <c r="P23" s="103">
        <f t="shared" si="3"/>
        <v>106053239.95999999</v>
      </c>
      <c r="Q23" s="103">
        <v>5725577431.7844</v>
      </c>
      <c r="R23" s="103">
        <v>0</v>
      </c>
      <c r="S23" s="103">
        <f t="shared" si="4"/>
        <v>5725577431.7844</v>
      </c>
      <c r="T23" s="114">
        <f t="shared" si="5"/>
        <v>9857490509.9482994</v>
      </c>
      <c r="U23" s="115">
        <f t="shared" si="6"/>
        <v>8732983021.7783012</v>
      </c>
      <c r="V23" s="100">
        <v>14</v>
      </c>
      <c r="AI23" s="95">
        <v>0</v>
      </c>
    </row>
    <row r="24" spans="1:35" ht="30" customHeight="1">
      <c r="A24" s="100">
        <v>15</v>
      </c>
      <c r="B24" s="101" t="s">
        <v>102</v>
      </c>
      <c r="C24" s="105">
        <v>11</v>
      </c>
      <c r="D24" s="103">
        <v>878066061.88010001</v>
      </c>
      <c r="E24" s="103">
        <v>0</v>
      </c>
      <c r="F24" s="104">
        <f t="shared" si="0"/>
        <v>878066061.88010001</v>
      </c>
      <c r="G24" s="103">
        <v>579542872.13999999</v>
      </c>
      <c r="H24" s="103">
        <v>638494476.51999998</v>
      </c>
      <c r="I24" s="103">
        <f>1612656395.1-H24-G24</f>
        <v>394619046.43999994</v>
      </c>
      <c r="J24" s="103">
        <f t="shared" si="1"/>
        <v>-734590333.21989989</v>
      </c>
      <c r="K24" s="103">
        <v>2708868898.3200002</v>
      </c>
      <c r="L24" s="103">
        <v>150631077.17469999</v>
      </c>
      <c r="M24" s="150">
        <f t="shared" si="2"/>
        <v>2859499975.4947</v>
      </c>
      <c r="N24" s="103">
        <v>99330506.620000005</v>
      </c>
      <c r="O24" s="103">
        <f>N24</f>
        <v>99330506.620000005</v>
      </c>
      <c r="P24" s="103">
        <f t="shared" si="3"/>
        <v>0</v>
      </c>
      <c r="Q24" s="103">
        <v>5387151904.4659996</v>
      </c>
      <c r="R24" s="103">
        <v>0</v>
      </c>
      <c r="S24" s="103">
        <f t="shared" si="4"/>
        <v>5387151904.4659996</v>
      </c>
      <c r="T24" s="114">
        <f t="shared" si="5"/>
        <v>9224048448.4608002</v>
      </c>
      <c r="U24" s="115">
        <f t="shared" si="6"/>
        <v>7512061546.7407999</v>
      </c>
      <c r="V24" s="100">
        <v>15</v>
      </c>
      <c r="AI24" s="95">
        <v>0</v>
      </c>
    </row>
    <row r="25" spans="1:35" ht="30" customHeight="1">
      <c r="A25" s="100">
        <v>16</v>
      </c>
      <c r="B25" s="101" t="s">
        <v>103</v>
      </c>
      <c r="C25" s="105">
        <v>27</v>
      </c>
      <c r="D25" s="103">
        <v>969230736.31760001</v>
      </c>
      <c r="E25" s="103">
        <v>974135174.37030005</v>
      </c>
      <c r="F25" s="104">
        <f t="shared" si="0"/>
        <v>1943365910.6879001</v>
      </c>
      <c r="G25" s="103">
        <v>1124937985.78</v>
      </c>
      <c r="H25" s="103">
        <v>0</v>
      </c>
      <c r="I25" s="103">
        <f>2586381696.81-H25-G25</f>
        <v>1461443711.03</v>
      </c>
      <c r="J25" s="103">
        <f t="shared" si="1"/>
        <v>-643015786.12209988</v>
      </c>
      <c r="K25" s="103">
        <v>4065372867.6100001</v>
      </c>
      <c r="L25" s="103">
        <v>204688079.53580001</v>
      </c>
      <c r="M25" s="150">
        <f t="shared" si="2"/>
        <v>4270060947.1458001</v>
      </c>
      <c r="N25" s="103">
        <v>109643436.02</v>
      </c>
      <c r="O25" s="103">
        <f t="shared" ref="O25" si="8">N25/2</f>
        <v>54821718.009999998</v>
      </c>
      <c r="P25" s="103">
        <f t="shared" si="3"/>
        <v>54821718.009999998</v>
      </c>
      <c r="Q25" s="103">
        <v>6011243339.7680998</v>
      </c>
      <c r="R25" s="103">
        <v>0</v>
      </c>
      <c r="S25" s="103">
        <f t="shared" si="4"/>
        <v>6011243339.7680998</v>
      </c>
      <c r="T25" s="114">
        <f t="shared" si="5"/>
        <v>12334313633.621799</v>
      </c>
      <c r="U25" s="115">
        <f t="shared" si="6"/>
        <v>9693110218.8017998</v>
      </c>
      <c r="V25" s="100">
        <v>16</v>
      </c>
      <c r="AI25" s="95">
        <v>0</v>
      </c>
    </row>
    <row r="26" spans="1:35" ht="30" customHeight="1">
      <c r="A26" s="100">
        <v>17</v>
      </c>
      <c r="B26" s="101" t="s">
        <v>104</v>
      </c>
      <c r="C26" s="105">
        <v>27</v>
      </c>
      <c r="D26" s="103">
        <v>1042497566.8371</v>
      </c>
      <c r="E26" s="103">
        <v>0</v>
      </c>
      <c r="F26" s="104">
        <f t="shared" si="0"/>
        <v>1042497566.8371</v>
      </c>
      <c r="G26" s="103">
        <v>305648422.99000001</v>
      </c>
      <c r="H26" s="103">
        <v>0</v>
      </c>
      <c r="I26" s="103">
        <f>378899439.36-H26-G26</f>
        <v>73251016.370000005</v>
      </c>
      <c r="J26" s="103">
        <f t="shared" si="1"/>
        <v>663598127.47710001</v>
      </c>
      <c r="K26" s="103">
        <v>3216146663.6500001</v>
      </c>
      <c r="L26" s="103">
        <v>182489344.54969999</v>
      </c>
      <c r="M26" s="150">
        <f t="shared" si="2"/>
        <v>3398636008.1996999</v>
      </c>
      <c r="N26" s="103">
        <v>117931686.42</v>
      </c>
      <c r="O26" s="103">
        <v>0</v>
      </c>
      <c r="P26" s="103">
        <f t="shared" si="3"/>
        <v>117931686.42</v>
      </c>
      <c r="Q26" s="103">
        <v>6420118633.7707005</v>
      </c>
      <c r="R26" s="103">
        <v>0</v>
      </c>
      <c r="S26" s="103">
        <f t="shared" si="4"/>
        <v>6420118633.7707005</v>
      </c>
      <c r="T26" s="114">
        <f t="shared" si="5"/>
        <v>10979183895.227501</v>
      </c>
      <c r="U26" s="115">
        <f t="shared" si="6"/>
        <v>10600284455.8675</v>
      </c>
      <c r="V26" s="100">
        <v>17</v>
      </c>
      <c r="AI26" s="95">
        <v>0</v>
      </c>
    </row>
    <row r="27" spans="1:35" ht="30" customHeight="1">
      <c r="A27" s="100">
        <v>18</v>
      </c>
      <c r="B27" s="101" t="s">
        <v>105</v>
      </c>
      <c r="C27" s="105">
        <v>23</v>
      </c>
      <c r="D27" s="103">
        <v>1221407152.8984001</v>
      </c>
      <c r="E27" s="103">
        <v>0</v>
      </c>
      <c r="F27" s="104">
        <f t="shared" si="0"/>
        <v>1221407152.8984001</v>
      </c>
      <c r="G27" s="103">
        <v>3796561713.5300002</v>
      </c>
      <c r="H27" s="103">
        <v>0</v>
      </c>
      <c r="I27" s="103">
        <f>4232745980.77-H27-G27</f>
        <v>436184267.23999977</v>
      </c>
      <c r="J27" s="103">
        <f t="shared" si="1"/>
        <v>-3011338827.8716002</v>
      </c>
      <c r="K27" s="103">
        <v>3768089887.9099998</v>
      </c>
      <c r="L27" s="103">
        <v>243291367.02779999</v>
      </c>
      <c r="M27" s="150">
        <f t="shared" si="2"/>
        <v>4011381254.9377999</v>
      </c>
      <c r="N27" s="103">
        <v>138170687.33000001</v>
      </c>
      <c r="O27" s="103">
        <f>N27</f>
        <v>138170687.33000001</v>
      </c>
      <c r="P27" s="103">
        <f t="shared" si="3"/>
        <v>0</v>
      </c>
      <c r="Q27" s="103">
        <v>7467539037.4749002</v>
      </c>
      <c r="R27" s="103">
        <v>0</v>
      </c>
      <c r="S27" s="103">
        <f t="shared" si="4"/>
        <v>7467539037.4749002</v>
      </c>
      <c r="T27" s="114">
        <f t="shared" si="5"/>
        <v>12838498132.6411</v>
      </c>
      <c r="U27" s="115">
        <f t="shared" si="6"/>
        <v>8467581464.5410995</v>
      </c>
      <c r="V27" s="100">
        <v>18</v>
      </c>
      <c r="AI27" s="95">
        <v>0</v>
      </c>
    </row>
    <row r="28" spans="1:35" ht="30" customHeight="1">
      <c r="A28" s="100">
        <v>19</v>
      </c>
      <c r="B28" s="101" t="s">
        <v>106</v>
      </c>
      <c r="C28" s="105">
        <v>44</v>
      </c>
      <c r="D28" s="103">
        <v>1478649337.6965001</v>
      </c>
      <c r="E28" s="103">
        <v>0</v>
      </c>
      <c r="F28" s="104">
        <f t="shared" si="0"/>
        <v>1478649337.6965001</v>
      </c>
      <c r="G28" s="103">
        <v>1097138975.0599999</v>
      </c>
      <c r="H28" s="103">
        <v>292615190</v>
      </c>
      <c r="I28" s="103">
        <f>1758565804.28-H28-G28</f>
        <v>368811639.22000003</v>
      </c>
      <c r="J28" s="103">
        <f t="shared" si="1"/>
        <v>-279916466.58349991</v>
      </c>
      <c r="K28" s="103">
        <v>4561692310.3000002</v>
      </c>
      <c r="L28" s="103">
        <v>308909813.97409999</v>
      </c>
      <c r="M28" s="150">
        <f t="shared" si="2"/>
        <v>4870602124.2741003</v>
      </c>
      <c r="N28" s="103">
        <v>167270999.53999999</v>
      </c>
      <c r="O28" s="103">
        <v>0</v>
      </c>
      <c r="P28" s="103">
        <f t="shared" si="3"/>
        <v>167270999.53999999</v>
      </c>
      <c r="Q28" s="103">
        <v>9713343400.3523998</v>
      </c>
      <c r="R28" s="103">
        <v>0</v>
      </c>
      <c r="S28" s="103">
        <f t="shared" si="4"/>
        <v>9713343400.3523998</v>
      </c>
      <c r="T28" s="114">
        <f t="shared" si="5"/>
        <v>16229865861.862999</v>
      </c>
      <c r="U28" s="115">
        <f t="shared" si="6"/>
        <v>14471300057.583</v>
      </c>
      <c r="V28" s="100">
        <v>19</v>
      </c>
      <c r="AI28" s="95">
        <v>0</v>
      </c>
    </row>
    <row r="29" spans="1:35" ht="30" customHeight="1">
      <c r="A29" s="100">
        <v>20</v>
      </c>
      <c r="B29" s="101" t="s">
        <v>107</v>
      </c>
      <c r="C29" s="105">
        <v>34</v>
      </c>
      <c r="D29" s="103">
        <v>1145911154.4216001</v>
      </c>
      <c r="E29" s="103">
        <v>0</v>
      </c>
      <c r="F29" s="104">
        <f t="shared" si="0"/>
        <v>1145911154.4216001</v>
      </c>
      <c r="G29" s="103">
        <v>852223256.97000003</v>
      </c>
      <c r="H29" s="103">
        <v>850000000</v>
      </c>
      <c r="I29" s="103">
        <f>1702223256.97-H29-G29</f>
        <v>0</v>
      </c>
      <c r="J29" s="103">
        <f t="shared" si="1"/>
        <v>-556312102.54839993</v>
      </c>
      <c r="K29" s="103">
        <v>3535181714.9299998</v>
      </c>
      <c r="L29" s="103">
        <v>216675197.97799999</v>
      </c>
      <c r="M29" s="150">
        <f t="shared" si="2"/>
        <v>3751856912.908</v>
      </c>
      <c r="N29" s="103">
        <v>129630264.12</v>
      </c>
      <c r="O29" s="103">
        <v>0</v>
      </c>
      <c r="P29" s="103">
        <f t="shared" si="3"/>
        <v>129630264.12</v>
      </c>
      <c r="Q29" s="103">
        <v>7266129027.1294003</v>
      </c>
      <c r="R29" s="103">
        <v>0</v>
      </c>
      <c r="S29" s="103">
        <f t="shared" si="4"/>
        <v>7266129027.1294003</v>
      </c>
      <c r="T29" s="114">
        <f t="shared" si="5"/>
        <v>12293527358.578999</v>
      </c>
      <c r="U29" s="115">
        <f t="shared" si="6"/>
        <v>10591304101.609001</v>
      </c>
      <c r="V29" s="100">
        <v>20</v>
      </c>
      <c r="AI29" s="95">
        <v>0</v>
      </c>
    </row>
    <row r="30" spans="1:35" ht="30" customHeight="1">
      <c r="A30" s="100">
        <v>21</v>
      </c>
      <c r="B30" s="101" t="s">
        <v>108</v>
      </c>
      <c r="C30" s="105">
        <v>21</v>
      </c>
      <c r="D30" s="103">
        <v>984343398.6602</v>
      </c>
      <c r="E30" s="103">
        <v>0</v>
      </c>
      <c r="F30" s="104">
        <f t="shared" si="0"/>
        <v>984343398.6602</v>
      </c>
      <c r="G30" s="103">
        <v>482706139.92000002</v>
      </c>
      <c r="H30" s="103">
        <v>0</v>
      </c>
      <c r="I30" s="103">
        <f>549652875.8-H30-G30</f>
        <v>66946735.879999936</v>
      </c>
      <c r="J30" s="103">
        <f t="shared" si="1"/>
        <v>434690522.86020005</v>
      </c>
      <c r="K30" s="103">
        <v>3036738730.3200002</v>
      </c>
      <c r="L30" s="103">
        <v>166414114.43689999</v>
      </c>
      <c r="M30" s="150">
        <f t="shared" si="2"/>
        <v>3203152844.7569003</v>
      </c>
      <c r="N30" s="103">
        <v>111353043.61</v>
      </c>
      <c r="O30" s="103">
        <f t="shared" ref="O30:O32" si="9">N30/2</f>
        <v>55676521.805</v>
      </c>
      <c r="P30" s="103">
        <f t="shared" si="3"/>
        <v>55676521.805</v>
      </c>
      <c r="Q30" s="103">
        <v>5662698251.3546</v>
      </c>
      <c r="R30" s="103">
        <v>0</v>
      </c>
      <c r="S30" s="103">
        <f t="shared" si="4"/>
        <v>5662698251.3546</v>
      </c>
      <c r="T30" s="114">
        <f t="shared" si="5"/>
        <v>9961547538.3817005</v>
      </c>
      <c r="U30" s="115">
        <f t="shared" si="6"/>
        <v>9356218140.7766991</v>
      </c>
      <c r="V30" s="100">
        <v>21</v>
      </c>
      <c r="AI30" s="95">
        <v>0</v>
      </c>
    </row>
    <row r="31" spans="1:35" ht="30" customHeight="1">
      <c r="A31" s="100">
        <v>22</v>
      </c>
      <c r="B31" s="101" t="s">
        <v>109</v>
      </c>
      <c r="C31" s="105">
        <v>21</v>
      </c>
      <c r="D31" s="103">
        <v>1030310374.5700001</v>
      </c>
      <c r="E31" s="103">
        <v>0</v>
      </c>
      <c r="F31" s="104">
        <f t="shared" si="0"/>
        <v>1030310374.5700001</v>
      </c>
      <c r="G31" s="103">
        <v>572783105.52999997</v>
      </c>
      <c r="H31" s="103">
        <v>94000000</v>
      </c>
      <c r="I31" s="103">
        <f>2358623440.65-H31-G31</f>
        <v>1691840335.1200001</v>
      </c>
      <c r="J31" s="103">
        <f t="shared" si="1"/>
        <v>-1328313066.0799999</v>
      </c>
      <c r="K31" s="103">
        <v>3178548688.3600001</v>
      </c>
      <c r="L31" s="103">
        <v>174957909.90939999</v>
      </c>
      <c r="M31" s="150">
        <f t="shared" si="2"/>
        <v>3353506598.2694001</v>
      </c>
      <c r="N31" s="103">
        <v>116553020.23999999</v>
      </c>
      <c r="O31" s="103">
        <f t="shared" si="9"/>
        <v>58276510.119999997</v>
      </c>
      <c r="P31" s="103">
        <f t="shared" si="3"/>
        <v>58276510.119999997</v>
      </c>
      <c r="Q31" s="103">
        <v>5907282373.3620996</v>
      </c>
      <c r="R31" s="103">
        <v>0</v>
      </c>
      <c r="S31" s="103">
        <f t="shared" si="4"/>
        <v>5907282373.3620996</v>
      </c>
      <c r="T31" s="114">
        <f t="shared" si="5"/>
        <v>10407652366.4415</v>
      </c>
      <c r="U31" s="115">
        <f t="shared" si="6"/>
        <v>7990752415.6714993</v>
      </c>
      <c r="V31" s="100">
        <v>22</v>
      </c>
      <c r="AI31" s="95">
        <v>0</v>
      </c>
    </row>
    <row r="32" spans="1:35" ht="30" customHeight="1">
      <c r="A32" s="100">
        <v>23</v>
      </c>
      <c r="B32" s="101" t="s">
        <v>110</v>
      </c>
      <c r="C32" s="105">
        <v>16</v>
      </c>
      <c r="D32" s="103">
        <v>829808087.52750003</v>
      </c>
      <c r="E32" s="103">
        <v>0</v>
      </c>
      <c r="F32" s="104">
        <f t="shared" si="0"/>
        <v>829808087.52750003</v>
      </c>
      <c r="G32" s="103">
        <v>453776051.43000001</v>
      </c>
      <c r="H32" s="103">
        <v>559212440.21000004</v>
      </c>
      <c r="I32" s="103">
        <f>1224453146.78-H32-G32</f>
        <v>211464655.13999993</v>
      </c>
      <c r="J32" s="103">
        <f t="shared" si="1"/>
        <v>-394645059.25249994</v>
      </c>
      <c r="K32" s="103">
        <v>2559991118.52</v>
      </c>
      <c r="L32" s="103">
        <v>166305831.7687</v>
      </c>
      <c r="M32" s="150">
        <f t="shared" si="2"/>
        <v>2726296950.2887001</v>
      </c>
      <c r="N32" s="103">
        <v>93871362.659999996</v>
      </c>
      <c r="O32" s="103">
        <f t="shared" si="9"/>
        <v>46935681.329999998</v>
      </c>
      <c r="P32" s="103">
        <f t="shared" si="3"/>
        <v>46935681.329999998</v>
      </c>
      <c r="Q32" s="103">
        <v>5440834681.4806004</v>
      </c>
      <c r="R32" s="103">
        <v>0</v>
      </c>
      <c r="S32" s="103">
        <f t="shared" si="4"/>
        <v>5440834681.4806004</v>
      </c>
      <c r="T32" s="114">
        <f t="shared" si="5"/>
        <v>9090811081.9568005</v>
      </c>
      <c r="U32" s="115">
        <f t="shared" si="6"/>
        <v>7819422253.8467999</v>
      </c>
      <c r="V32" s="100">
        <v>23</v>
      </c>
      <c r="AI32" s="95">
        <v>0</v>
      </c>
    </row>
    <row r="33" spans="1:35" ht="30" customHeight="1">
      <c r="A33" s="100">
        <v>24</v>
      </c>
      <c r="B33" s="101" t="s">
        <v>111</v>
      </c>
      <c r="C33" s="105">
        <v>20</v>
      </c>
      <c r="D33" s="103">
        <v>1248815289.987</v>
      </c>
      <c r="E33" s="103">
        <v>0</v>
      </c>
      <c r="F33" s="104">
        <f t="shared" si="0"/>
        <v>1248815289.987</v>
      </c>
      <c r="G33" s="103">
        <v>6931766965.6199999</v>
      </c>
      <c r="H33" s="103">
        <v>0</v>
      </c>
      <c r="I33" s="103">
        <f>6931766965.62-H33-G33</f>
        <v>0</v>
      </c>
      <c r="J33" s="103">
        <f t="shared" si="1"/>
        <v>-5682951675.6329994</v>
      </c>
      <c r="K33" s="103">
        <v>3852645086.3499999</v>
      </c>
      <c r="L33" s="103">
        <v>712072536.5467</v>
      </c>
      <c r="M33" s="150">
        <f t="shared" si="2"/>
        <v>4564717622.8966999</v>
      </c>
      <c r="N33" s="103">
        <v>141271210.46000001</v>
      </c>
      <c r="O33" s="103">
        <v>0</v>
      </c>
      <c r="P33" s="103">
        <f t="shared" si="3"/>
        <v>141271210.46000001</v>
      </c>
      <c r="Q33" s="103">
        <v>40217352056.0895</v>
      </c>
      <c r="R33" s="103">
        <v>7667853446.5</v>
      </c>
      <c r="S33" s="103">
        <f t="shared" si="4"/>
        <v>32549498609.5895</v>
      </c>
      <c r="T33" s="114">
        <f t="shared" si="5"/>
        <v>46172156179.433197</v>
      </c>
      <c r="U33" s="115">
        <f t="shared" si="6"/>
        <v>31572535767.313202</v>
      </c>
      <c r="V33" s="100">
        <v>24</v>
      </c>
      <c r="AI33" s="95">
        <v>0</v>
      </c>
    </row>
    <row r="34" spans="1:35" ht="30" customHeight="1">
      <c r="A34" s="100">
        <v>25</v>
      </c>
      <c r="B34" s="101" t="s">
        <v>112</v>
      </c>
      <c r="C34" s="105">
        <v>13</v>
      </c>
      <c r="D34" s="103">
        <v>859682961.7414</v>
      </c>
      <c r="E34" s="103">
        <v>0</v>
      </c>
      <c r="F34" s="104">
        <f t="shared" si="0"/>
        <v>859682961.7414</v>
      </c>
      <c r="G34" s="103">
        <v>460734705.08999997</v>
      </c>
      <c r="H34" s="103">
        <v>0</v>
      </c>
      <c r="I34" s="103">
        <f>500295106.59-H34-G34</f>
        <v>39560401.5</v>
      </c>
      <c r="J34" s="103">
        <f t="shared" si="1"/>
        <v>359387855.15140003</v>
      </c>
      <c r="K34" s="103">
        <v>2652156299.5799999</v>
      </c>
      <c r="L34" s="103">
        <v>152635478.59290001</v>
      </c>
      <c r="M34" s="150">
        <f t="shared" si="2"/>
        <v>2804791778.1728997</v>
      </c>
      <c r="N34" s="103">
        <v>97250933.420000002</v>
      </c>
      <c r="O34" s="103">
        <f>N34</f>
        <v>97250933.420000002</v>
      </c>
      <c r="P34" s="103">
        <f t="shared" si="3"/>
        <v>0</v>
      </c>
      <c r="Q34" s="103">
        <v>4968605779.7826004</v>
      </c>
      <c r="R34" s="103">
        <v>0</v>
      </c>
      <c r="S34" s="103">
        <f t="shared" si="4"/>
        <v>4968605779.7826004</v>
      </c>
      <c r="T34" s="114">
        <f t="shared" si="5"/>
        <v>8730331453.1168995</v>
      </c>
      <c r="U34" s="115">
        <f t="shared" si="6"/>
        <v>8132785413.1069002</v>
      </c>
      <c r="V34" s="100">
        <v>25</v>
      </c>
      <c r="AI34" s="95">
        <v>0</v>
      </c>
    </row>
    <row r="35" spans="1:35" ht="30" customHeight="1">
      <c r="A35" s="100">
        <v>26</v>
      </c>
      <c r="B35" s="101" t="s">
        <v>113</v>
      </c>
      <c r="C35" s="105">
        <v>25</v>
      </c>
      <c r="D35" s="103">
        <v>1104224487.8106</v>
      </c>
      <c r="E35" s="103">
        <v>0</v>
      </c>
      <c r="F35" s="104">
        <f t="shared" si="0"/>
        <v>1104224487.8106</v>
      </c>
      <c r="G35" s="103">
        <v>760084178.89999998</v>
      </c>
      <c r="H35" s="103">
        <v>514281002.97000003</v>
      </c>
      <c r="I35" s="103">
        <f>1808307034.45-H35-G35</f>
        <v>533941852.58000004</v>
      </c>
      <c r="J35" s="103">
        <f t="shared" si="1"/>
        <v>-704082546.63940001</v>
      </c>
      <c r="K35" s="103">
        <v>3406576682.1599998</v>
      </c>
      <c r="L35" s="103">
        <v>190476687.90509999</v>
      </c>
      <c r="M35" s="150">
        <f t="shared" si="2"/>
        <v>3597053370.0650997</v>
      </c>
      <c r="N35" s="103">
        <v>124914493.98</v>
      </c>
      <c r="O35" s="103">
        <f t="shared" ref="O35:O37" si="10">N35/2</f>
        <v>62457246.990000002</v>
      </c>
      <c r="P35" s="103">
        <f t="shared" si="3"/>
        <v>62457246.990000002</v>
      </c>
      <c r="Q35" s="103">
        <v>6207242103.0834999</v>
      </c>
      <c r="R35" s="103">
        <v>0</v>
      </c>
      <c r="S35" s="103">
        <f t="shared" si="4"/>
        <v>6207242103.0834999</v>
      </c>
      <c r="T35" s="114">
        <f t="shared" si="5"/>
        <v>11033434454.939199</v>
      </c>
      <c r="U35" s="115">
        <f t="shared" si="6"/>
        <v>9162670173.4991989</v>
      </c>
      <c r="V35" s="100">
        <v>26</v>
      </c>
      <c r="AI35" s="95">
        <v>0</v>
      </c>
    </row>
    <row r="36" spans="1:35" ht="30" customHeight="1">
      <c r="A36" s="100">
        <v>27</v>
      </c>
      <c r="B36" s="101" t="s">
        <v>114</v>
      </c>
      <c r="C36" s="105">
        <v>20</v>
      </c>
      <c r="D36" s="103">
        <v>866067828.61319995</v>
      </c>
      <c r="E36" s="103">
        <v>0</v>
      </c>
      <c r="F36" s="104">
        <f t="shared" si="0"/>
        <v>866067828.61319995</v>
      </c>
      <c r="G36" s="103">
        <v>1406692479.79</v>
      </c>
      <c r="H36" s="103">
        <v>500000000</v>
      </c>
      <c r="I36" s="103">
        <f>3518594375.91-H36-G36</f>
        <v>1611901896.1199999</v>
      </c>
      <c r="J36" s="103">
        <f t="shared" si="1"/>
        <v>-2652526547.2967997</v>
      </c>
      <c r="K36" s="103">
        <v>2671853869.0999999</v>
      </c>
      <c r="L36" s="103">
        <v>226869040.30399999</v>
      </c>
      <c r="M36" s="150">
        <f t="shared" si="2"/>
        <v>2898722909.4039998</v>
      </c>
      <c r="N36" s="103">
        <v>97973216.269999996</v>
      </c>
      <c r="O36" s="103">
        <v>0</v>
      </c>
      <c r="P36" s="103">
        <f t="shared" si="3"/>
        <v>97973216.269999996</v>
      </c>
      <c r="Q36" s="103">
        <v>6079691168.3955002</v>
      </c>
      <c r="R36" s="103">
        <v>0</v>
      </c>
      <c r="S36" s="103">
        <f t="shared" si="4"/>
        <v>6079691168.3955002</v>
      </c>
      <c r="T36" s="114">
        <f t="shared" si="5"/>
        <v>9942455122.6826992</v>
      </c>
      <c r="U36" s="115">
        <f t="shared" si="6"/>
        <v>6423860746.7727003</v>
      </c>
      <c r="V36" s="100">
        <v>27</v>
      </c>
      <c r="AI36" s="95">
        <v>0</v>
      </c>
    </row>
    <row r="37" spans="1:35" ht="30" customHeight="1">
      <c r="A37" s="100">
        <v>28</v>
      </c>
      <c r="B37" s="101" t="s">
        <v>115</v>
      </c>
      <c r="C37" s="105">
        <v>18</v>
      </c>
      <c r="D37" s="103">
        <v>867783605.97019994</v>
      </c>
      <c r="E37" s="103">
        <v>1629013665.8239</v>
      </c>
      <c r="F37" s="104">
        <f t="shared" si="0"/>
        <v>2496797271.7940998</v>
      </c>
      <c r="G37" s="103">
        <v>651616895.57000005</v>
      </c>
      <c r="H37" s="103">
        <v>644248762.91999996</v>
      </c>
      <c r="I37" s="103">
        <f>1351155223.93-H37-G37</f>
        <v>55289565.440000057</v>
      </c>
      <c r="J37" s="103">
        <f t="shared" si="1"/>
        <v>1145642047.8640995</v>
      </c>
      <c r="K37" s="103">
        <v>4321554812.25</v>
      </c>
      <c r="L37" s="103">
        <v>189505787.07960001</v>
      </c>
      <c r="M37" s="150">
        <f t="shared" si="2"/>
        <v>4511060599.3296003</v>
      </c>
      <c r="N37" s="103">
        <v>98167312.189999998</v>
      </c>
      <c r="O37" s="103">
        <f t="shared" si="10"/>
        <v>49083656.094999999</v>
      </c>
      <c r="P37" s="103">
        <f t="shared" si="3"/>
        <v>49083656.094999999</v>
      </c>
      <c r="Q37" s="103">
        <v>5878263778.7161999</v>
      </c>
      <c r="R37" s="103">
        <v>0</v>
      </c>
      <c r="S37" s="103">
        <f t="shared" si="4"/>
        <v>5878263778.7161999</v>
      </c>
      <c r="T37" s="114">
        <f t="shared" si="5"/>
        <v>12984288962.0299</v>
      </c>
      <c r="U37" s="115">
        <f t="shared" si="6"/>
        <v>11584050082.0049</v>
      </c>
      <c r="V37" s="100">
        <v>28</v>
      </c>
      <c r="AI37" s="95">
        <v>0</v>
      </c>
    </row>
    <row r="38" spans="1:35" ht="30" customHeight="1">
      <c r="A38" s="100">
        <v>29</v>
      </c>
      <c r="B38" s="101" t="s">
        <v>116</v>
      </c>
      <c r="C38" s="105">
        <v>30</v>
      </c>
      <c r="D38" s="103">
        <v>850191083.84630001</v>
      </c>
      <c r="E38" s="103">
        <v>0</v>
      </c>
      <c r="F38" s="104">
        <f t="shared" si="0"/>
        <v>850191083.84630001</v>
      </c>
      <c r="G38" s="103">
        <v>1091555818.99</v>
      </c>
      <c r="H38" s="103">
        <v>0</v>
      </c>
      <c r="I38" s="103">
        <f>2233826763-H38-G38</f>
        <v>1142270944.01</v>
      </c>
      <c r="J38" s="103">
        <f t="shared" si="1"/>
        <v>-1383635679.1536999</v>
      </c>
      <c r="K38" s="103">
        <v>2622873476.8899999</v>
      </c>
      <c r="L38" s="103">
        <v>188552044.8348</v>
      </c>
      <c r="M38" s="150">
        <f t="shared" si="2"/>
        <v>2811425521.7248001</v>
      </c>
      <c r="N38" s="103">
        <v>96177172.480000004</v>
      </c>
      <c r="O38" s="103">
        <v>0</v>
      </c>
      <c r="P38" s="103">
        <f t="shared" si="3"/>
        <v>96177172.480000004</v>
      </c>
      <c r="Q38" s="103">
        <v>5913079850.5118999</v>
      </c>
      <c r="R38" s="103">
        <v>0</v>
      </c>
      <c r="S38" s="103">
        <f t="shared" si="4"/>
        <v>5913079850.5118999</v>
      </c>
      <c r="T38" s="114">
        <f t="shared" si="5"/>
        <v>9670873628.5629997</v>
      </c>
      <c r="U38" s="115">
        <f t="shared" si="6"/>
        <v>7437046865.5629997</v>
      </c>
      <c r="V38" s="100">
        <v>29</v>
      </c>
      <c r="AI38" s="95">
        <v>0</v>
      </c>
    </row>
    <row r="39" spans="1:35" ht="30" customHeight="1">
      <c r="A39" s="100">
        <v>30</v>
      </c>
      <c r="B39" s="101" t="s">
        <v>117</v>
      </c>
      <c r="C39" s="105">
        <v>33</v>
      </c>
      <c r="D39" s="103">
        <v>1045567987.5157</v>
      </c>
      <c r="E39" s="103">
        <v>0</v>
      </c>
      <c r="F39" s="104">
        <f t="shared" si="0"/>
        <v>1045567987.5157</v>
      </c>
      <c r="G39" s="103">
        <v>2117344253.8</v>
      </c>
      <c r="H39" s="103">
        <v>0</v>
      </c>
      <c r="I39" s="103">
        <f>3482786991.61-H39-G39</f>
        <v>1365442737.8100002</v>
      </c>
      <c r="J39" s="103">
        <f t="shared" si="1"/>
        <v>-2437219004.0943003</v>
      </c>
      <c r="K39" s="103">
        <v>3225619034.1500001</v>
      </c>
      <c r="L39" s="103">
        <v>302099233.39719999</v>
      </c>
      <c r="M39" s="150">
        <f t="shared" si="2"/>
        <v>3527718267.5472002</v>
      </c>
      <c r="N39" s="103">
        <v>118279025.25</v>
      </c>
      <c r="O39" s="103">
        <v>0</v>
      </c>
      <c r="P39" s="103">
        <f t="shared" si="3"/>
        <v>118279025.25</v>
      </c>
      <c r="Q39" s="103">
        <v>9458841999.1875992</v>
      </c>
      <c r="R39" s="103">
        <v>0</v>
      </c>
      <c r="S39" s="103">
        <f t="shared" si="4"/>
        <v>9458841999.1875992</v>
      </c>
      <c r="T39" s="114">
        <f t="shared" si="5"/>
        <v>14150407279.5005</v>
      </c>
      <c r="U39" s="115">
        <f t="shared" si="6"/>
        <v>10667620287.890499</v>
      </c>
      <c r="V39" s="100">
        <v>30</v>
      </c>
      <c r="AI39" s="95">
        <v>0</v>
      </c>
    </row>
    <row r="40" spans="1:35" ht="30" customHeight="1">
      <c r="A40" s="100">
        <v>31</v>
      </c>
      <c r="B40" s="101" t="s">
        <v>118</v>
      </c>
      <c r="C40" s="105">
        <v>17</v>
      </c>
      <c r="D40" s="103">
        <v>973458251.90110004</v>
      </c>
      <c r="E40" s="103">
        <v>0</v>
      </c>
      <c r="F40" s="104">
        <f t="shared" si="0"/>
        <v>973458251.90110004</v>
      </c>
      <c r="G40" s="103">
        <v>350391783.98000002</v>
      </c>
      <c r="H40" s="103">
        <v>1031399422.965</v>
      </c>
      <c r="I40" s="103">
        <f>2021297964.62-H40-G40</f>
        <v>639506757.67499983</v>
      </c>
      <c r="J40" s="103">
        <f t="shared" si="1"/>
        <v>-1047839712.7188998</v>
      </c>
      <c r="K40" s="103">
        <v>3003157617.4899998</v>
      </c>
      <c r="L40" s="103">
        <v>178437212.85080001</v>
      </c>
      <c r="M40" s="150">
        <f t="shared" si="2"/>
        <v>3181594830.3407998</v>
      </c>
      <c r="N40" s="103">
        <v>110121670.27</v>
      </c>
      <c r="O40" s="103">
        <f t="shared" ref="O40:O41" si="11">N40/2</f>
        <v>55060835.134999998</v>
      </c>
      <c r="P40" s="103">
        <f t="shared" si="3"/>
        <v>55060835.134999998</v>
      </c>
      <c r="Q40" s="103">
        <v>5867459640.1524</v>
      </c>
      <c r="R40" s="103">
        <v>0</v>
      </c>
      <c r="S40" s="103">
        <f t="shared" si="4"/>
        <v>5867459640.1524</v>
      </c>
      <c r="T40" s="114">
        <f t="shared" si="5"/>
        <v>10132634392.664299</v>
      </c>
      <c r="U40" s="115">
        <f t="shared" si="6"/>
        <v>8056275592.9092999</v>
      </c>
      <c r="V40" s="100">
        <v>31</v>
      </c>
      <c r="AI40" s="95">
        <v>0</v>
      </c>
    </row>
    <row r="41" spans="1:35" ht="30" customHeight="1">
      <c r="A41" s="100">
        <v>32</v>
      </c>
      <c r="B41" s="101" t="s">
        <v>119</v>
      </c>
      <c r="C41" s="105">
        <v>23</v>
      </c>
      <c r="D41" s="103">
        <v>1005352031.2393</v>
      </c>
      <c r="E41" s="103">
        <v>9448681864.2001991</v>
      </c>
      <c r="F41" s="104">
        <f t="shared" si="0"/>
        <v>10454033895.439499</v>
      </c>
      <c r="G41" s="103">
        <v>3566421490.3400002</v>
      </c>
      <c r="H41" s="103">
        <v>0</v>
      </c>
      <c r="I41" s="103">
        <f>4877653945.48-H41-G41</f>
        <v>1311232455.1399994</v>
      </c>
      <c r="J41" s="103">
        <f t="shared" si="1"/>
        <v>5576379949.9594994</v>
      </c>
      <c r="K41" s="103">
        <v>11426791414.620001</v>
      </c>
      <c r="L41" s="103">
        <v>261238906.86140001</v>
      </c>
      <c r="M41" s="150">
        <f t="shared" si="2"/>
        <v>11688030321.481401</v>
      </c>
      <c r="N41" s="103">
        <v>113729628.02</v>
      </c>
      <c r="O41" s="103">
        <f t="shared" si="11"/>
        <v>56864814.009999998</v>
      </c>
      <c r="P41" s="103">
        <f t="shared" si="3"/>
        <v>56864814.009999998</v>
      </c>
      <c r="Q41" s="103">
        <v>15544415688.9251</v>
      </c>
      <c r="R41" s="103">
        <v>0</v>
      </c>
      <c r="S41" s="103">
        <f t="shared" si="4"/>
        <v>15544415688.9251</v>
      </c>
      <c r="T41" s="114">
        <f t="shared" si="5"/>
        <v>37800209533.866005</v>
      </c>
      <c r="U41" s="115">
        <f t="shared" si="6"/>
        <v>32865690774.375999</v>
      </c>
      <c r="V41" s="100">
        <v>32</v>
      </c>
      <c r="AI41" s="95">
        <v>0</v>
      </c>
    </row>
    <row r="42" spans="1:35" ht="30" customHeight="1">
      <c r="A42" s="100">
        <v>33</v>
      </c>
      <c r="B42" s="101" t="s">
        <v>120</v>
      </c>
      <c r="C42" s="105">
        <v>23</v>
      </c>
      <c r="D42" s="103">
        <v>1027378507.3397</v>
      </c>
      <c r="E42" s="103">
        <v>0</v>
      </c>
      <c r="F42" s="104">
        <f t="shared" si="0"/>
        <v>1027378507.3397</v>
      </c>
      <c r="G42" s="103">
        <v>348738528.24000001</v>
      </c>
      <c r="H42" s="103">
        <v>206017834</v>
      </c>
      <c r="I42" s="103">
        <f>1287250674.49-H42-G42</f>
        <v>732494312.25</v>
      </c>
      <c r="J42" s="103">
        <f t="shared" si="1"/>
        <v>-259872167.15030003</v>
      </c>
      <c r="K42" s="103">
        <v>3169503760.77</v>
      </c>
      <c r="L42" s="103">
        <v>178957983.08129999</v>
      </c>
      <c r="M42" s="150">
        <f t="shared" si="2"/>
        <v>3348461743.8512998</v>
      </c>
      <c r="N42" s="103">
        <v>116221355.15000001</v>
      </c>
      <c r="O42" s="103">
        <v>0</v>
      </c>
      <c r="P42" s="103">
        <f t="shared" si="3"/>
        <v>116221355.15000001</v>
      </c>
      <c r="Q42" s="103">
        <v>6074374730.9679003</v>
      </c>
      <c r="R42" s="103">
        <v>0</v>
      </c>
      <c r="S42" s="103">
        <f t="shared" si="4"/>
        <v>6074374730.9679003</v>
      </c>
      <c r="T42" s="114">
        <f t="shared" si="5"/>
        <v>10566436337.308899</v>
      </c>
      <c r="U42" s="115">
        <f t="shared" si="6"/>
        <v>9279185662.8189011</v>
      </c>
      <c r="V42" s="100">
        <v>33</v>
      </c>
      <c r="AI42" s="95">
        <v>0</v>
      </c>
    </row>
    <row r="43" spans="1:35" ht="30" customHeight="1">
      <c r="A43" s="100">
        <v>34</v>
      </c>
      <c r="B43" s="101" t="s">
        <v>121</v>
      </c>
      <c r="C43" s="105">
        <v>16</v>
      </c>
      <c r="D43" s="103">
        <v>897971740.22730005</v>
      </c>
      <c r="E43" s="103">
        <v>0</v>
      </c>
      <c r="F43" s="104">
        <f t="shared" si="0"/>
        <v>897971740.22730005</v>
      </c>
      <c r="G43" s="103">
        <v>300292543.88</v>
      </c>
      <c r="H43" s="103">
        <v>0</v>
      </c>
      <c r="I43" s="103">
        <f>526192428.12-H43-G43</f>
        <v>225899884.24000001</v>
      </c>
      <c r="J43" s="103">
        <f t="shared" si="1"/>
        <v>371779312.10730004</v>
      </c>
      <c r="K43" s="103">
        <v>2770278711.6799998</v>
      </c>
      <c r="L43" s="103">
        <v>151040629.0686</v>
      </c>
      <c r="M43" s="150">
        <f t="shared" si="2"/>
        <v>2921319340.7486</v>
      </c>
      <c r="N43" s="103">
        <v>101582320.23999999</v>
      </c>
      <c r="O43" s="103">
        <f>N43</f>
        <v>101582320.23999999</v>
      </c>
      <c r="P43" s="103">
        <f t="shared" si="3"/>
        <v>0</v>
      </c>
      <c r="Q43" s="103">
        <v>5272756140.4851999</v>
      </c>
      <c r="R43" s="103">
        <v>0</v>
      </c>
      <c r="S43" s="103">
        <f t="shared" si="4"/>
        <v>5272756140.4851999</v>
      </c>
      <c r="T43" s="114">
        <f t="shared" si="5"/>
        <v>9193629541.7010994</v>
      </c>
      <c r="U43" s="115">
        <f t="shared" si="6"/>
        <v>8565854793.3411007</v>
      </c>
      <c r="V43" s="100">
        <v>34</v>
      </c>
      <c r="AI43" s="95">
        <v>0</v>
      </c>
    </row>
    <row r="44" spans="1:35" ht="30" customHeight="1">
      <c r="A44" s="100">
        <v>35</v>
      </c>
      <c r="B44" s="101" t="s">
        <v>122</v>
      </c>
      <c r="C44" s="105">
        <v>17</v>
      </c>
      <c r="D44" s="103">
        <v>925693591.99989998</v>
      </c>
      <c r="E44" s="103">
        <v>0</v>
      </c>
      <c r="F44" s="104">
        <f t="shared" si="0"/>
        <v>925693591.99989998</v>
      </c>
      <c r="G44" s="103">
        <v>272113970.52999997</v>
      </c>
      <c r="H44" s="103">
        <v>0</v>
      </c>
      <c r="I44" s="103">
        <f>934098844.94-H44-G44</f>
        <v>661984874.41000009</v>
      </c>
      <c r="J44" s="103">
        <f t="shared" si="1"/>
        <v>-8405252.9401000738</v>
      </c>
      <c r="K44" s="103">
        <v>2855801732.48</v>
      </c>
      <c r="L44" s="103">
        <v>150712306.3908</v>
      </c>
      <c r="M44" s="150">
        <f t="shared" si="2"/>
        <v>3006514038.8708</v>
      </c>
      <c r="N44" s="103">
        <v>104718332.09999999</v>
      </c>
      <c r="O44" s="103">
        <v>0</v>
      </c>
      <c r="P44" s="103">
        <f t="shared" si="3"/>
        <v>104718332.09999999</v>
      </c>
      <c r="Q44" s="103">
        <v>5263251840.1054001</v>
      </c>
      <c r="R44" s="103">
        <v>0</v>
      </c>
      <c r="S44" s="103">
        <f t="shared" si="4"/>
        <v>5263251840.1054001</v>
      </c>
      <c r="T44" s="114">
        <f t="shared" si="5"/>
        <v>9300177803.0760994</v>
      </c>
      <c r="U44" s="115">
        <f t="shared" si="6"/>
        <v>8366078958.1360998</v>
      </c>
      <c r="V44" s="100">
        <v>35</v>
      </c>
      <c r="AI44" s="95">
        <v>0</v>
      </c>
    </row>
    <row r="45" spans="1:35" ht="30" customHeight="1">
      <c r="A45" s="100">
        <v>36</v>
      </c>
      <c r="B45" s="101" t="s">
        <v>123</v>
      </c>
      <c r="C45" s="105">
        <v>14</v>
      </c>
      <c r="D45" s="103">
        <v>927665049.05859995</v>
      </c>
      <c r="E45" s="103">
        <v>0</v>
      </c>
      <c r="F45" s="104">
        <f t="shared" si="0"/>
        <v>927665049.05859995</v>
      </c>
      <c r="G45" s="103">
        <v>303391312.60000002</v>
      </c>
      <c r="H45" s="103">
        <v>422213140</v>
      </c>
      <c r="I45" s="103">
        <f>1083249245.26-H45-G45</f>
        <v>357644792.65999997</v>
      </c>
      <c r="J45" s="103">
        <f t="shared" si="1"/>
        <v>-155584196.20140004</v>
      </c>
      <c r="K45" s="103">
        <v>2861883756.29</v>
      </c>
      <c r="L45" s="103">
        <v>165229987.20390001</v>
      </c>
      <c r="M45" s="150">
        <f t="shared" si="2"/>
        <v>3027113743.4938998</v>
      </c>
      <c r="N45" s="103">
        <v>104941351.56</v>
      </c>
      <c r="O45" s="103">
        <v>0</v>
      </c>
      <c r="P45" s="103">
        <f t="shared" si="3"/>
        <v>104941351.56</v>
      </c>
      <c r="Q45" s="103">
        <v>5645840238.8733997</v>
      </c>
      <c r="R45" s="103">
        <v>0</v>
      </c>
      <c r="S45" s="103">
        <f t="shared" si="4"/>
        <v>5645840238.8733997</v>
      </c>
      <c r="T45" s="114">
        <f t="shared" si="5"/>
        <v>9705560382.985899</v>
      </c>
      <c r="U45" s="115">
        <f t="shared" si="6"/>
        <v>8622311137.7258987</v>
      </c>
      <c r="V45" s="100">
        <v>36</v>
      </c>
      <c r="AI45" s="95">
        <v>0</v>
      </c>
    </row>
    <row r="46" spans="1:35" ht="30" customHeight="1">
      <c r="A46" s="100">
        <v>37</v>
      </c>
      <c r="B46" s="101" t="s">
        <v>124</v>
      </c>
      <c r="C46" s="105"/>
      <c r="D46" s="103">
        <v>0</v>
      </c>
      <c r="E46" s="103">
        <v>0</v>
      </c>
      <c r="F46" s="104">
        <f t="shared" si="0"/>
        <v>0</v>
      </c>
      <c r="G46" s="103">
        <v>0</v>
      </c>
      <c r="H46" s="103">
        <v>0</v>
      </c>
      <c r="I46" s="103">
        <v>0</v>
      </c>
      <c r="J46" s="103">
        <f t="shared" si="1"/>
        <v>0</v>
      </c>
      <c r="K46" s="103">
        <v>0</v>
      </c>
      <c r="L46" s="103">
        <v>0</v>
      </c>
      <c r="M46" s="103"/>
      <c r="N46" s="103">
        <v>0</v>
      </c>
      <c r="O46" s="103">
        <v>0</v>
      </c>
      <c r="P46" s="103">
        <v>0</v>
      </c>
      <c r="Q46" s="103">
        <v>0</v>
      </c>
      <c r="R46" s="103">
        <v>0</v>
      </c>
      <c r="S46" s="103">
        <f t="shared" si="4"/>
        <v>0</v>
      </c>
      <c r="T46" s="114">
        <f t="shared" si="5"/>
        <v>0</v>
      </c>
      <c r="U46" s="115">
        <f t="shared" si="6"/>
        <v>0</v>
      </c>
      <c r="V46" s="100">
        <v>37</v>
      </c>
      <c r="AI46" s="95"/>
    </row>
    <row r="47" spans="1:35" ht="30" customHeight="1">
      <c r="A47" s="100"/>
      <c r="B47" s="170" t="s">
        <v>27</v>
      </c>
      <c r="C47" s="170"/>
      <c r="D47" s="106">
        <f>SUM(D10:D46)</f>
        <v>35349927831.826996</v>
      </c>
      <c r="E47" s="106">
        <f>SUM(E10:E46)</f>
        <v>50674557037.097488</v>
      </c>
      <c r="F47" s="106">
        <f t="shared" ref="F47:U47" si="12">SUM(F10:F46)</f>
        <v>86024484868.924469</v>
      </c>
      <c r="G47" s="106">
        <f t="shared" si="12"/>
        <v>40091763915.980003</v>
      </c>
      <c r="H47" s="106">
        <f t="shared" si="12"/>
        <v>8108533240.795001</v>
      </c>
      <c r="I47" s="106">
        <f t="shared" si="12"/>
        <v>21764893818.985001</v>
      </c>
      <c r="J47" s="106">
        <f t="shared" si="12"/>
        <v>16059293893.164499</v>
      </c>
      <c r="K47" s="106">
        <f t="shared" si="12"/>
        <v>157855168645.86005</v>
      </c>
      <c r="L47" s="106">
        <f t="shared" si="12"/>
        <v>7508631188.8899984</v>
      </c>
      <c r="M47" s="106"/>
      <c r="N47" s="106">
        <f t="shared" si="12"/>
        <v>3998931735.3099995</v>
      </c>
      <c r="O47" s="106">
        <f t="shared" si="12"/>
        <v>1239547711.625</v>
      </c>
      <c r="P47" s="106">
        <f t="shared" si="12"/>
        <v>2759384023.6850004</v>
      </c>
      <c r="Q47" s="106">
        <f t="shared" si="12"/>
        <v>266947538605.4447</v>
      </c>
      <c r="R47" s="106">
        <f t="shared" si="12"/>
        <v>7667853446.5</v>
      </c>
      <c r="S47" s="106">
        <f t="shared" si="12"/>
        <v>259279685158.9447</v>
      </c>
      <c r="T47" s="106">
        <f t="shared" si="12"/>
        <v>522334755044.42926</v>
      </c>
      <c r="U47" s="106">
        <f t="shared" si="12"/>
        <v>443462162910.54425</v>
      </c>
      <c r="V47" s="106"/>
    </row>
    <row r="48" spans="1:35">
      <c r="B48" s="107"/>
      <c r="C48" s="87"/>
      <c r="D48" s="88"/>
      <c r="E48" s="108"/>
      <c r="F48" s="87"/>
      <c r="G48" s="88"/>
      <c r="H48" s="88"/>
      <c r="I48" s="88"/>
      <c r="J48" s="111"/>
      <c r="K48" s="112"/>
      <c r="L48" s="112"/>
      <c r="M48" s="112"/>
      <c r="N48" s="108"/>
      <c r="O48" s="108"/>
      <c r="P48" s="108"/>
      <c r="Q48" s="108"/>
      <c r="R48" s="108"/>
      <c r="S48" s="108"/>
      <c r="T48" s="95"/>
    </row>
    <row r="49" spans="1:21">
      <c r="B49" s="87"/>
      <c r="C49" s="87"/>
      <c r="D49" s="87"/>
      <c r="E49" s="87"/>
      <c r="F49" s="87"/>
      <c r="G49" s="87"/>
      <c r="H49" s="87"/>
      <c r="I49" s="88"/>
      <c r="J49" s="88"/>
      <c r="K49" s="88"/>
      <c r="L49" s="88"/>
      <c r="M49" s="88"/>
      <c r="N49" s="113"/>
      <c r="O49" s="113"/>
      <c r="P49" s="113"/>
      <c r="Q49" s="107"/>
      <c r="R49" s="107"/>
      <c r="S49" s="107"/>
    </row>
    <row r="50" spans="1:21">
      <c r="G50" s="80"/>
      <c r="H50" s="28"/>
      <c r="I50" s="95"/>
      <c r="J50" s="80"/>
      <c r="K50" s="80"/>
      <c r="L50" s="80"/>
      <c r="M50" s="80"/>
      <c r="S50" s="80"/>
      <c r="U50" s="95"/>
    </row>
    <row r="51" spans="1:21">
      <c r="C51" s="109"/>
      <c r="D51" s="28"/>
      <c r="E51" s="95"/>
      <c r="H51" s="80"/>
      <c r="I51" s="95"/>
      <c r="J51" s="28"/>
      <c r="K51" s="28"/>
      <c r="L51" s="28"/>
      <c r="M51" s="28"/>
      <c r="N51" s="28"/>
      <c r="P51" s="28"/>
      <c r="T51" s="80"/>
      <c r="U51" s="80"/>
    </row>
    <row r="52" spans="1:21">
      <c r="C52" s="109"/>
      <c r="D52" s="28"/>
      <c r="H52" s="80"/>
      <c r="J52" s="95"/>
      <c r="K52" s="95"/>
      <c r="L52" s="95"/>
      <c r="M52" s="95"/>
      <c r="P52" s="80"/>
      <c r="U52" s="80"/>
    </row>
    <row r="53" spans="1:21">
      <c r="D53" s="80"/>
      <c r="H53" s="80"/>
      <c r="S53" s="80"/>
    </row>
    <row r="55" spans="1:21" ht="19.5">
      <c r="A55" s="110" t="s">
        <v>56</v>
      </c>
    </row>
  </sheetData>
  <mergeCells count="25">
    <mergeCell ref="A1:V1"/>
    <mergeCell ref="A2:V2"/>
    <mergeCell ref="A3:V3"/>
    <mergeCell ref="A4:U4"/>
    <mergeCell ref="D5:U5"/>
    <mergeCell ref="G7:I7"/>
    <mergeCell ref="B47:C47"/>
    <mergeCell ref="A7:A8"/>
    <mergeCell ref="B7:B8"/>
    <mergeCell ref="C7:C8"/>
    <mergeCell ref="D7:D8"/>
    <mergeCell ref="E7:E8"/>
    <mergeCell ref="F7:F8"/>
    <mergeCell ref="J7:J8"/>
    <mergeCell ref="K7:K8"/>
    <mergeCell ref="L7:L8"/>
    <mergeCell ref="N7:N8"/>
    <mergeCell ref="O7:O8"/>
    <mergeCell ref="U7:U8"/>
    <mergeCell ref="V7:V8"/>
    <mergeCell ref="P7:P8"/>
    <mergeCell ref="Q7:Q8"/>
    <mergeCell ref="R7:R8"/>
    <mergeCell ref="S7:S8"/>
    <mergeCell ref="T7:T8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19"/>
  <sheetViews>
    <sheetView topLeftCell="A4" zoomScale="98" zoomScaleNormal="98" workbookViewId="0">
      <pane xSplit="3" ySplit="3" topLeftCell="D413" activePane="bottomRight" state="frozen"/>
      <selection pane="bottomRight" sqref="A1:AA414"/>
      <selection pane="bottomLeft"/>
      <selection pane="topRight"/>
    </sheetView>
  </sheetViews>
  <sheetFormatPr defaultColWidth="9.140625" defaultRowHeight="12.75"/>
  <cols>
    <col min="1" max="1" width="9.28515625" style="14" customWidth="1"/>
    <col min="2" max="2" width="13.85546875" style="60" customWidth="1"/>
    <col min="3" max="3" width="6.140625" style="14" customWidth="1"/>
    <col min="4" max="4" width="20.7109375" style="14" customWidth="1"/>
    <col min="5" max="11" width="19.85546875" style="14" customWidth="1"/>
    <col min="12" max="12" width="18.42578125" style="14" customWidth="1"/>
    <col min="13" max="13" width="19.7109375" style="14" customWidth="1"/>
    <col min="14" max="14" width="0.7109375" style="14" customWidth="1"/>
    <col min="15" max="15" width="4.7109375" style="14" customWidth="1"/>
    <col min="16" max="16" width="9.42578125" style="14" customWidth="1"/>
    <col min="17" max="17" width="17.85546875" style="60" customWidth="1"/>
    <col min="18" max="18" width="18.7109375" style="14" customWidth="1"/>
    <col min="19" max="22" width="21.85546875" style="14" customWidth="1"/>
    <col min="23" max="25" width="18.5703125" style="14" customWidth="1"/>
    <col min="26" max="26" width="22.140625" style="14" customWidth="1"/>
    <col min="27" max="27" width="20.7109375" style="14" customWidth="1"/>
    <col min="28" max="28" width="14.5703125" style="14" customWidth="1"/>
    <col min="29" max="16384" width="9.140625" style="14"/>
  </cols>
  <sheetData>
    <row r="1" spans="1:27" ht="25.5">
      <c r="A1" s="172" t="s">
        <v>125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</row>
    <row r="2" spans="1:27" ht="25.5">
      <c r="A2" s="172" t="s">
        <v>62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</row>
    <row r="3" spans="1:27" ht="45" customHeight="1">
      <c r="B3" s="194" t="s">
        <v>126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</row>
    <row r="4" spans="1:27">
      <c r="N4" s="14">
        <v>0</v>
      </c>
    </row>
    <row r="5" spans="1:27" ht="61.5" customHeight="1">
      <c r="A5" s="61" t="s">
        <v>21</v>
      </c>
      <c r="B5" s="56" t="s">
        <v>127</v>
      </c>
      <c r="C5" s="56" t="s">
        <v>21</v>
      </c>
      <c r="D5" s="56" t="s">
        <v>128</v>
      </c>
      <c r="E5" s="56" t="s">
        <v>50</v>
      </c>
      <c r="F5" s="56" t="s">
        <v>129</v>
      </c>
      <c r="G5" s="56" t="s">
        <v>24</v>
      </c>
      <c r="H5" s="56" t="s">
        <v>25</v>
      </c>
      <c r="I5" s="56" t="s">
        <v>76</v>
      </c>
      <c r="J5" s="56" t="s">
        <v>77</v>
      </c>
      <c r="K5" s="56" t="s">
        <v>78</v>
      </c>
      <c r="L5" s="56" t="s">
        <v>26</v>
      </c>
      <c r="M5" s="64" t="s">
        <v>130</v>
      </c>
      <c r="N5" s="70"/>
      <c r="O5" s="62"/>
      <c r="P5" s="56" t="s">
        <v>21</v>
      </c>
      <c r="Q5" s="74" t="s">
        <v>131</v>
      </c>
      <c r="R5" s="56" t="s">
        <v>128</v>
      </c>
      <c r="S5" s="56" t="s">
        <v>50</v>
      </c>
      <c r="T5" s="56" t="s">
        <v>129</v>
      </c>
      <c r="U5" s="56" t="s">
        <v>24</v>
      </c>
      <c r="V5" s="56" t="s">
        <v>25</v>
      </c>
      <c r="W5" s="56" t="s">
        <v>76</v>
      </c>
      <c r="X5" s="56" t="s">
        <v>77</v>
      </c>
      <c r="Y5" s="56" t="s">
        <v>78</v>
      </c>
      <c r="Z5" s="56" t="s">
        <v>26</v>
      </c>
      <c r="AA5" s="56" t="s">
        <v>130</v>
      </c>
    </row>
    <row r="6" spans="1:27" ht="15.75">
      <c r="A6" s="62"/>
      <c r="B6" s="63"/>
      <c r="C6" s="62"/>
      <c r="D6" s="64"/>
      <c r="E6" s="149" t="s">
        <v>28</v>
      </c>
      <c r="F6" s="149" t="s">
        <v>28</v>
      </c>
      <c r="G6" s="149" t="s">
        <v>28</v>
      </c>
      <c r="H6" s="149" t="s">
        <v>28</v>
      </c>
      <c r="I6" s="149" t="s">
        <v>28</v>
      </c>
      <c r="J6" s="149" t="s">
        <v>28</v>
      </c>
      <c r="K6" s="149" t="s">
        <v>28</v>
      </c>
      <c r="L6" s="149" t="s">
        <v>28</v>
      </c>
      <c r="M6" s="149" t="s">
        <v>28</v>
      </c>
      <c r="N6" s="70"/>
      <c r="O6" s="62"/>
      <c r="P6" s="64"/>
      <c r="Q6" s="65"/>
      <c r="R6" s="64"/>
      <c r="S6" s="149" t="s">
        <v>28</v>
      </c>
      <c r="T6" s="149" t="s">
        <v>28</v>
      </c>
      <c r="U6" s="149" t="s">
        <v>28</v>
      </c>
      <c r="V6" s="149" t="s">
        <v>28</v>
      </c>
      <c r="W6" s="149" t="s">
        <v>28</v>
      </c>
      <c r="X6" s="149" t="s">
        <v>28</v>
      </c>
      <c r="Y6" s="149" t="s">
        <v>28</v>
      </c>
      <c r="Z6" s="149" t="s">
        <v>28</v>
      </c>
      <c r="AA6" s="149" t="s">
        <v>28</v>
      </c>
    </row>
    <row r="7" spans="1:27" ht="24.95" customHeight="1">
      <c r="A7" s="181">
        <v>1</v>
      </c>
      <c r="B7" s="175" t="s">
        <v>88</v>
      </c>
      <c r="C7" s="62">
        <v>1</v>
      </c>
      <c r="D7" s="66" t="s">
        <v>132</v>
      </c>
      <c r="E7" s="66">
        <v>28915031.690400001</v>
      </c>
      <c r="F7" s="66">
        <v>0</v>
      </c>
      <c r="G7" s="66">
        <v>89204028.571400002</v>
      </c>
      <c r="H7" s="66">
        <v>6283432.1924999999</v>
      </c>
      <c r="I7" s="66">
        <v>3543571.8078000001</v>
      </c>
      <c r="J7" s="66">
        <f t="shared" ref="J7:J23" si="0">I7/2</f>
        <v>1771785.9039</v>
      </c>
      <c r="K7" s="66">
        <f t="shared" ref="K7:K23" si="1">I7-J7</f>
        <v>1771785.9039</v>
      </c>
      <c r="L7" s="66">
        <v>167044696.9779</v>
      </c>
      <c r="M7" s="71">
        <f>E7+F7+G7+H7+K7+L7</f>
        <v>293218975.33609998</v>
      </c>
      <c r="N7" s="70"/>
      <c r="O7" s="181">
        <v>19</v>
      </c>
      <c r="P7" s="72">
        <v>26</v>
      </c>
      <c r="Q7" s="178" t="s">
        <v>106</v>
      </c>
      <c r="R7" s="66" t="s">
        <v>133</v>
      </c>
      <c r="S7" s="66">
        <v>30610391.162500001</v>
      </c>
      <c r="T7" s="66">
        <v>0</v>
      </c>
      <c r="U7" s="66">
        <v>94434280.310800001</v>
      </c>
      <c r="V7" s="66">
        <v>5427683.3627000004</v>
      </c>
      <c r="W7" s="66">
        <v>3751340.1442</v>
      </c>
      <c r="X7" s="66">
        <v>0</v>
      </c>
      <c r="Y7" s="66">
        <f t="shared" ref="Y7:Y25" si="2">W7-X7</f>
        <v>3751340.1442</v>
      </c>
      <c r="Z7" s="66">
        <v>174063570.75099999</v>
      </c>
      <c r="AA7" s="71">
        <f>S7+T7+U7+V7+Y7+Z7</f>
        <v>308287265.73119998</v>
      </c>
    </row>
    <row r="8" spans="1:27" ht="24.95" customHeight="1">
      <c r="A8" s="181"/>
      <c r="B8" s="176"/>
      <c r="C8" s="62">
        <v>2</v>
      </c>
      <c r="D8" s="66" t="s">
        <v>134</v>
      </c>
      <c r="E8" s="66">
        <v>48240963.590400003</v>
      </c>
      <c r="F8" s="66">
        <v>0</v>
      </c>
      <c r="G8" s="66">
        <v>148825300.98910001</v>
      </c>
      <c r="H8" s="66">
        <v>9847296.6081000008</v>
      </c>
      <c r="I8" s="66">
        <v>5911987.9374000002</v>
      </c>
      <c r="J8" s="66">
        <f t="shared" si="0"/>
        <v>2955993.9687000001</v>
      </c>
      <c r="K8" s="66">
        <f t="shared" si="1"/>
        <v>2955993.9687000001</v>
      </c>
      <c r="L8" s="66">
        <v>293747528.65820003</v>
      </c>
      <c r="M8" s="71">
        <f t="shared" ref="M8:M71" si="3">E8+F8+G8+H8+K8+L8</f>
        <v>503617083.81449997</v>
      </c>
      <c r="N8" s="70"/>
      <c r="O8" s="181"/>
      <c r="P8" s="72">
        <v>27</v>
      </c>
      <c r="Q8" s="179"/>
      <c r="R8" s="66" t="s">
        <v>135</v>
      </c>
      <c r="S8" s="66">
        <v>29977787.5645</v>
      </c>
      <c r="T8" s="66">
        <v>0</v>
      </c>
      <c r="U8" s="66">
        <v>92482672.923899993</v>
      </c>
      <c r="V8" s="66">
        <v>5805998.4006000003</v>
      </c>
      <c r="W8" s="66">
        <v>3673813.8146000002</v>
      </c>
      <c r="X8" s="66">
        <v>0</v>
      </c>
      <c r="Y8" s="66">
        <f t="shared" si="2"/>
        <v>3673813.8146000002</v>
      </c>
      <c r="Z8" s="66">
        <v>187513461.37169999</v>
      </c>
      <c r="AA8" s="71">
        <f t="shared" ref="AA8:AA71" si="4">S8+T8+U8+V8+Y8+Z8</f>
        <v>319453734.07529998</v>
      </c>
    </row>
    <row r="9" spans="1:27" ht="24.95" customHeight="1">
      <c r="A9" s="181"/>
      <c r="B9" s="176"/>
      <c r="C9" s="62">
        <v>3</v>
      </c>
      <c r="D9" s="66" t="s">
        <v>136</v>
      </c>
      <c r="E9" s="66">
        <v>33942829.209100001</v>
      </c>
      <c r="F9" s="66">
        <v>0</v>
      </c>
      <c r="G9" s="66">
        <v>104714984.89049999</v>
      </c>
      <c r="H9" s="66">
        <v>6989955.2116</v>
      </c>
      <c r="I9" s="66">
        <v>4159734.423</v>
      </c>
      <c r="J9" s="66">
        <f t="shared" si="0"/>
        <v>2079867.2115</v>
      </c>
      <c r="K9" s="66">
        <f t="shared" si="1"/>
        <v>2079867.2115</v>
      </c>
      <c r="L9" s="66">
        <v>192163067.58050001</v>
      </c>
      <c r="M9" s="71">
        <f t="shared" si="3"/>
        <v>339890704.10320002</v>
      </c>
      <c r="N9" s="70"/>
      <c r="O9" s="181"/>
      <c r="P9" s="72">
        <v>28</v>
      </c>
      <c r="Q9" s="179"/>
      <c r="R9" s="66" t="s">
        <v>137</v>
      </c>
      <c r="S9" s="66">
        <v>30004924.1318</v>
      </c>
      <c r="T9" s="66">
        <v>0</v>
      </c>
      <c r="U9" s="66">
        <v>92566390.319000006</v>
      </c>
      <c r="V9" s="66">
        <v>5716125.6265000002</v>
      </c>
      <c r="W9" s="66">
        <v>3677139.4336000001</v>
      </c>
      <c r="X9" s="66">
        <v>0</v>
      </c>
      <c r="Y9" s="66">
        <f t="shared" si="2"/>
        <v>3677139.4336000001</v>
      </c>
      <c r="Z9" s="66">
        <v>184318296.33660001</v>
      </c>
      <c r="AA9" s="71">
        <f t="shared" si="4"/>
        <v>316282875.84750003</v>
      </c>
    </row>
    <row r="10" spans="1:27" ht="24.95" customHeight="1">
      <c r="A10" s="181"/>
      <c r="B10" s="176"/>
      <c r="C10" s="62">
        <v>4</v>
      </c>
      <c r="D10" s="66" t="s">
        <v>138</v>
      </c>
      <c r="E10" s="66">
        <v>34584066.756800003</v>
      </c>
      <c r="F10" s="66">
        <v>0</v>
      </c>
      <c r="G10" s="66">
        <v>106693228.3568</v>
      </c>
      <c r="H10" s="66">
        <v>7236716.6952999998</v>
      </c>
      <c r="I10" s="66">
        <v>4238318.8534000004</v>
      </c>
      <c r="J10" s="66">
        <f t="shared" si="0"/>
        <v>2119159.4267000002</v>
      </c>
      <c r="K10" s="66">
        <f t="shared" si="1"/>
        <v>2119159.4267000002</v>
      </c>
      <c r="L10" s="66">
        <v>200935954.28049999</v>
      </c>
      <c r="M10" s="71">
        <f t="shared" si="3"/>
        <v>351569125.51609999</v>
      </c>
      <c r="N10" s="70"/>
      <c r="O10" s="181"/>
      <c r="P10" s="72">
        <v>29</v>
      </c>
      <c r="Q10" s="179"/>
      <c r="R10" s="66" t="s">
        <v>139</v>
      </c>
      <c r="S10" s="66">
        <v>35560814.453400001</v>
      </c>
      <c r="T10" s="66">
        <v>0</v>
      </c>
      <c r="U10" s="66">
        <v>109706534.044</v>
      </c>
      <c r="V10" s="66">
        <v>6682398.7615999999</v>
      </c>
      <c r="W10" s="66">
        <v>4358020.4549000002</v>
      </c>
      <c r="X10" s="66">
        <v>0</v>
      </c>
      <c r="Y10" s="66">
        <f t="shared" si="2"/>
        <v>4358020.4549000002</v>
      </c>
      <c r="Z10" s="66">
        <v>218671326.67570001</v>
      </c>
      <c r="AA10" s="71">
        <f t="shared" si="4"/>
        <v>374979094.38959998</v>
      </c>
    </row>
    <row r="11" spans="1:27" ht="24.95" customHeight="1">
      <c r="A11" s="181"/>
      <c r="B11" s="176"/>
      <c r="C11" s="62">
        <v>5</v>
      </c>
      <c r="D11" s="66" t="s">
        <v>140</v>
      </c>
      <c r="E11" s="66">
        <v>31478274.075300001</v>
      </c>
      <c r="F11" s="66">
        <v>0</v>
      </c>
      <c r="G11" s="66">
        <v>97111733.788200006</v>
      </c>
      <c r="H11" s="66">
        <v>6627073.3273999998</v>
      </c>
      <c r="I11" s="66">
        <v>3857700.2359000002</v>
      </c>
      <c r="J11" s="66">
        <f t="shared" si="0"/>
        <v>1928850.1179500001</v>
      </c>
      <c r="K11" s="66">
        <f t="shared" si="1"/>
        <v>1928850.1179500001</v>
      </c>
      <c r="L11" s="66">
        <v>179261857.84459999</v>
      </c>
      <c r="M11" s="71">
        <f t="shared" si="3"/>
        <v>316407789.15345001</v>
      </c>
      <c r="N11" s="70"/>
      <c r="O11" s="181"/>
      <c r="P11" s="72">
        <v>30</v>
      </c>
      <c r="Q11" s="179"/>
      <c r="R11" s="66" t="s">
        <v>141</v>
      </c>
      <c r="S11" s="66">
        <v>35839005.911799997</v>
      </c>
      <c r="T11" s="66">
        <v>0</v>
      </c>
      <c r="U11" s="66">
        <v>110564765.8132</v>
      </c>
      <c r="V11" s="66">
        <v>6585462.7850000001</v>
      </c>
      <c r="W11" s="66">
        <v>4392113.1518000001</v>
      </c>
      <c r="X11" s="66">
        <v>0</v>
      </c>
      <c r="Y11" s="66">
        <f t="shared" si="2"/>
        <v>4392113.1518000001</v>
      </c>
      <c r="Z11" s="66">
        <v>215225050.02410001</v>
      </c>
      <c r="AA11" s="71">
        <f t="shared" si="4"/>
        <v>372606397.68589997</v>
      </c>
    </row>
    <row r="12" spans="1:27" ht="24.95" customHeight="1">
      <c r="A12" s="181"/>
      <c r="B12" s="176"/>
      <c r="C12" s="62">
        <v>6</v>
      </c>
      <c r="D12" s="66" t="s">
        <v>142</v>
      </c>
      <c r="E12" s="66">
        <v>32508920.625999998</v>
      </c>
      <c r="F12" s="66">
        <v>0</v>
      </c>
      <c r="G12" s="66">
        <v>100291319.59469999</v>
      </c>
      <c r="H12" s="66">
        <v>6804396.8843</v>
      </c>
      <c r="I12" s="66">
        <v>3984007.2066000002</v>
      </c>
      <c r="J12" s="66">
        <f t="shared" si="0"/>
        <v>1992003.6033000001</v>
      </c>
      <c r="K12" s="66">
        <f t="shared" si="1"/>
        <v>1992003.6033000001</v>
      </c>
      <c r="L12" s="66">
        <v>185566081.0605</v>
      </c>
      <c r="M12" s="71">
        <f t="shared" si="3"/>
        <v>327162721.76880002</v>
      </c>
      <c r="N12" s="70"/>
      <c r="O12" s="181"/>
      <c r="P12" s="72">
        <v>31</v>
      </c>
      <c r="Q12" s="179"/>
      <c r="R12" s="66" t="s">
        <v>112</v>
      </c>
      <c r="S12" s="66">
        <v>61964691.439400002</v>
      </c>
      <c r="T12" s="66">
        <v>0</v>
      </c>
      <c r="U12" s="66">
        <v>191163549.97499999</v>
      </c>
      <c r="V12" s="66">
        <v>10898578.652000001</v>
      </c>
      <c r="W12" s="66">
        <v>7593847.2424999997</v>
      </c>
      <c r="X12" s="66">
        <v>0</v>
      </c>
      <c r="Y12" s="66">
        <f t="shared" si="2"/>
        <v>7593847.2424999997</v>
      </c>
      <c r="Z12" s="66">
        <v>368565337.41320002</v>
      </c>
      <c r="AA12" s="71">
        <f t="shared" si="4"/>
        <v>640186004.72210002</v>
      </c>
    </row>
    <row r="13" spans="1:27" ht="24.95" customHeight="1">
      <c r="A13" s="181"/>
      <c r="B13" s="176"/>
      <c r="C13" s="62">
        <v>7</v>
      </c>
      <c r="D13" s="66" t="s">
        <v>143</v>
      </c>
      <c r="E13" s="66">
        <v>31542360.373599999</v>
      </c>
      <c r="F13" s="66">
        <v>0</v>
      </c>
      <c r="G13" s="66">
        <v>97309442.579899997</v>
      </c>
      <c r="H13" s="66">
        <v>6590675.8677000003</v>
      </c>
      <c r="I13" s="66">
        <v>3865554.0885999999</v>
      </c>
      <c r="J13" s="66">
        <f t="shared" si="0"/>
        <v>1932777.0443</v>
      </c>
      <c r="K13" s="66">
        <f t="shared" si="1"/>
        <v>1932777.0443</v>
      </c>
      <c r="L13" s="66">
        <v>177967852.0501</v>
      </c>
      <c r="M13" s="71">
        <f t="shared" si="3"/>
        <v>315343107.9156</v>
      </c>
      <c r="N13" s="70"/>
      <c r="O13" s="181"/>
      <c r="P13" s="72">
        <v>32</v>
      </c>
      <c r="Q13" s="179"/>
      <c r="R13" s="66" t="s">
        <v>144</v>
      </c>
      <c r="S13" s="66">
        <v>31036745.749499999</v>
      </c>
      <c r="T13" s="66">
        <v>0</v>
      </c>
      <c r="U13" s="66">
        <v>95749601.253900006</v>
      </c>
      <c r="V13" s="66">
        <v>5815438.5340999998</v>
      </c>
      <c r="W13" s="66">
        <v>3803590.4101</v>
      </c>
      <c r="X13" s="66">
        <v>0</v>
      </c>
      <c r="Y13" s="66">
        <f t="shared" si="2"/>
        <v>3803590.4101</v>
      </c>
      <c r="Z13" s="66">
        <v>187849077.85440001</v>
      </c>
      <c r="AA13" s="71">
        <f t="shared" si="4"/>
        <v>324254453.80199999</v>
      </c>
    </row>
    <row r="14" spans="1:27" ht="24.95" customHeight="1">
      <c r="A14" s="181"/>
      <c r="B14" s="176"/>
      <c r="C14" s="62">
        <v>8</v>
      </c>
      <c r="D14" s="66" t="s">
        <v>145</v>
      </c>
      <c r="E14" s="66">
        <v>30755768.216499999</v>
      </c>
      <c r="F14" s="66">
        <v>0</v>
      </c>
      <c r="G14" s="66">
        <v>94882774.333399996</v>
      </c>
      <c r="H14" s="66">
        <v>6361769.5290999999</v>
      </c>
      <c r="I14" s="66">
        <v>3769156.2765000002</v>
      </c>
      <c r="J14" s="66">
        <f t="shared" si="0"/>
        <v>1884578.1382500001</v>
      </c>
      <c r="K14" s="66">
        <f t="shared" si="1"/>
        <v>1884578.1382500001</v>
      </c>
      <c r="L14" s="66">
        <v>169829753.08899999</v>
      </c>
      <c r="M14" s="71">
        <f t="shared" si="3"/>
        <v>303714643.30624998</v>
      </c>
      <c r="N14" s="70"/>
      <c r="O14" s="181"/>
      <c r="P14" s="72">
        <v>33</v>
      </c>
      <c r="Q14" s="179"/>
      <c r="R14" s="66" t="s">
        <v>146</v>
      </c>
      <c r="S14" s="66">
        <v>30716168.699000001</v>
      </c>
      <c r="T14" s="66">
        <v>0</v>
      </c>
      <c r="U14" s="66">
        <v>94760608.238900006</v>
      </c>
      <c r="V14" s="66">
        <v>5357524.4710999997</v>
      </c>
      <c r="W14" s="66">
        <v>3764303.3081999999</v>
      </c>
      <c r="X14" s="66">
        <v>0</v>
      </c>
      <c r="Y14" s="66">
        <f t="shared" si="2"/>
        <v>3764303.3081999999</v>
      </c>
      <c r="Z14" s="66">
        <v>171569275.45919999</v>
      </c>
      <c r="AA14" s="71">
        <f t="shared" si="4"/>
        <v>306167880.17640001</v>
      </c>
    </row>
    <row r="15" spans="1:27" ht="24.95" customHeight="1">
      <c r="A15" s="181"/>
      <c r="B15" s="176"/>
      <c r="C15" s="62">
        <v>9</v>
      </c>
      <c r="D15" s="66" t="s">
        <v>147</v>
      </c>
      <c r="E15" s="66">
        <v>33181094.118099999</v>
      </c>
      <c r="F15" s="66">
        <v>0</v>
      </c>
      <c r="G15" s="66">
        <v>102365001.6859</v>
      </c>
      <c r="H15" s="66">
        <v>6919233.0662000002</v>
      </c>
      <c r="I15" s="66">
        <v>4066382.8741000001</v>
      </c>
      <c r="J15" s="66">
        <f t="shared" si="0"/>
        <v>2033191.4370500001</v>
      </c>
      <c r="K15" s="66">
        <f t="shared" si="1"/>
        <v>2033191.4370500001</v>
      </c>
      <c r="L15" s="66">
        <v>189648747.43889999</v>
      </c>
      <c r="M15" s="71">
        <f t="shared" si="3"/>
        <v>334147267.74615002</v>
      </c>
      <c r="N15" s="70"/>
      <c r="O15" s="181"/>
      <c r="P15" s="72">
        <v>34</v>
      </c>
      <c r="Q15" s="179"/>
      <c r="R15" s="66" t="s">
        <v>148</v>
      </c>
      <c r="S15" s="66">
        <v>36768031.879500002</v>
      </c>
      <c r="T15" s="66">
        <v>0</v>
      </c>
      <c r="U15" s="66">
        <v>113430848.059</v>
      </c>
      <c r="V15" s="66">
        <v>6742588.0612000003</v>
      </c>
      <c r="W15" s="66">
        <v>4505966.3981999997</v>
      </c>
      <c r="X15" s="66">
        <v>0</v>
      </c>
      <c r="Y15" s="66">
        <f t="shared" si="2"/>
        <v>4505966.3981999997</v>
      </c>
      <c r="Z15" s="66">
        <v>220811182.12599999</v>
      </c>
      <c r="AA15" s="71">
        <f t="shared" si="4"/>
        <v>382258616.52389997</v>
      </c>
    </row>
    <row r="16" spans="1:27" ht="24.95" customHeight="1">
      <c r="A16" s="181"/>
      <c r="B16" s="176"/>
      <c r="C16" s="62">
        <v>10</v>
      </c>
      <c r="D16" s="66" t="s">
        <v>149</v>
      </c>
      <c r="E16" s="66">
        <v>33672096.617399998</v>
      </c>
      <c r="F16" s="66">
        <v>0</v>
      </c>
      <c r="G16" s="66">
        <v>103879764.023</v>
      </c>
      <c r="H16" s="66">
        <v>7116495.8071999997</v>
      </c>
      <c r="I16" s="66">
        <v>4126555.8191999998</v>
      </c>
      <c r="J16" s="66">
        <f t="shared" si="0"/>
        <v>2063277.9095999999</v>
      </c>
      <c r="K16" s="66">
        <f t="shared" si="1"/>
        <v>2063277.9095999999</v>
      </c>
      <c r="L16" s="66">
        <v>196661850.33790001</v>
      </c>
      <c r="M16" s="71">
        <f t="shared" si="3"/>
        <v>343393484.69510001</v>
      </c>
      <c r="N16" s="70"/>
      <c r="O16" s="181"/>
      <c r="P16" s="72">
        <v>35</v>
      </c>
      <c r="Q16" s="179"/>
      <c r="R16" s="66" t="s">
        <v>150</v>
      </c>
      <c r="S16" s="66">
        <v>30337170.220899999</v>
      </c>
      <c r="T16" s="66">
        <v>0</v>
      </c>
      <c r="U16" s="66">
        <v>93591382.784299999</v>
      </c>
      <c r="V16" s="66">
        <v>5761005.6881999997</v>
      </c>
      <c r="W16" s="66">
        <v>3717856.5901000001</v>
      </c>
      <c r="X16" s="66">
        <v>0</v>
      </c>
      <c r="Y16" s="66">
        <f t="shared" si="2"/>
        <v>3717856.5901000001</v>
      </c>
      <c r="Z16" s="66">
        <v>185913876.36919999</v>
      </c>
      <c r="AA16" s="71">
        <f t="shared" si="4"/>
        <v>319321291.65270001</v>
      </c>
    </row>
    <row r="17" spans="1:27" ht="24.95" customHeight="1">
      <c r="A17" s="181"/>
      <c r="B17" s="176"/>
      <c r="C17" s="62">
        <v>11</v>
      </c>
      <c r="D17" s="66" t="s">
        <v>151</v>
      </c>
      <c r="E17" s="66">
        <v>36823131.034400001</v>
      </c>
      <c r="F17" s="66">
        <v>0</v>
      </c>
      <c r="G17" s="66">
        <v>113600831.1542</v>
      </c>
      <c r="H17" s="66">
        <v>7834137.4560000002</v>
      </c>
      <c r="I17" s="66">
        <v>4512718.8656000001</v>
      </c>
      <c r="J17" s="66">
        <f t="shared" si="0"/>
        <v>2256359.4328000001</v>
      </c>
      <c r="K17" s="66">
        <f t="shared" si="1"/>
        <v>2256359.4328000001</v>
      </c>
      <c r="L17" s="66">
        <v>222175511.47569999</v>
      </c>
      <c r="M17" s="71">
        <f t="shared" si="3"/>
        <v>382689970.55309999</v>
      </c>
      <c r="N17" s="70"/>
      <c r="O17" s="181"/>
      <c r="P17" s="72">
        <v>36</v>
      </c>
      <c r="Q17" s="179"/>
      <c r="R17" s="66" t="s">
        <v>152</v>
      </c>
      <c r="S17" s="66">
        <v>38397234.689400002</v>
      </c>
      <c r="T17" s="66">
        <v>0</v>
      </c>
      <c r="U17" s="66">
        <v>118457003.85079999</v>
      </c>
      <c r="V17" s="66">
        <v>7034567.5587999998</v>
      </c>
      <c r="W17" s="66">
        <v>4705627.1562000001</v>
      </c>
      <c r="X17" s="66">
        <v>0</v>
      </c>
      <c r="Y17" s="66">
        <f t="shared" si="2"/>
        <v>4705627.1562000001</v>
      </c>
      <c r="Z17" s="66">
        <v>231191663.76840001</v>
      </c>
      <c r="AA17" s="71">
        <f t="shared" si="4"/>
        <v>399786097.02359998</v>
      </c>
    </row>
    <row r="18" spans="1:27" ht="24.95" customHeight="1">
      <c r="A18" s="181"/>
      <c r="B18" s="176"/>
      <c r="C18" s="62">
        <v>12</v>
      </c>
      <c r="D18" s="66" t="s">
        <v>153</v>
      </c>
      <c r="E18" s="66">
        <v>35454129.1932</v>
      </c>
      <c r="F18" s="66">
        <v>0</v>
      </c>
      <c r="G18" s="66">
        <v>109377405.7517</v>
      </c>
      <c r="H18" s="66">
        <v>7546742.8442000002</v>
      </c>
      <c r="I18" s="66">
        <v>4344946.0482999999</v>
      </c>
      <c r="J18" s="66">
        <f t="shared" si="0"/>
        <v>2172473.02415</v>
      </c>
      <c r="K18" s="66">
        <f t="shared" si="1"/>
        <v>2172473.02415</v>
      </c>
      <c r="L18" s="66">
        <v>211958032.11070001</v>
      </c>
      <c r="M18" s="71">
        <f t="shared" si="3"/>
        <v>366508782.92395002</v>
      </c>
      <c r="N18" s="70"/>
      <c r="O18" s="181"/>
      <c r="P18" s="72">
        <v>37</v>
      </c>
      <c r="Q18" s="179"/>
      <c r="R18" s="66" t="s">
        <v>154</v>
      </c>
      <c r="S18" s="66">
        <v>33718927.599399999</v>
      </c>
      <c r="T18" s="66">
        <v>0</v>
      </c>
      <c r="U18" s="66">
        <v>104024239.4747</v>
      </c>
      <c r="V18" s="66">
        <v>6460972.4331999999</v>
      </c>
      <c r="W18" s="66">
        <v>4132295.0122000002</v>
      </c>
      <c r="X18" s="66">
        <v>0</v>
      </c>
      <c r="Y18" s="66">
        <f t="shared" si="2"/>
        <v>4132295.0122000002</v>
      </c>
      <c r="Z18" s="66">
        <v>210799157.72</v>
      </c>
      <c r="AA18" s="71">
        <f t="shared" si="4"/>
        <v>359135592.23949999</v>
      </c>
    </row>
    <row r="19" spans="1:27" ht="24.95" customHeight="1">
      <c r="A19" s="181"/>
      <c r="B19" s="176"/>
      <c r="C19" s="62">
        <v>13</v>
      </c>
      <c r="D19" s="66" t="s">
        <v>155</v>
      </c>
      <c r="E19" s="66">
        <v>27073555.085700002</v>
      </c>
      <c r="F19" s="66">
        <v>0</v>
      </c>
      <c r="G19" s="66">
        <v>83522999.637600005</v>
      </c>
      <c r="H19" s="66">
        <v>6003269.7593</v>
      </c>
      <c r="I19" s="66">
        <v>3317896.6417</v>
      </c>
      <c r="J19" s="66">
        <f t="shared" si="0"/>
        <v>1658948.32085</v>
      </c>
      <c r="K19" s="66">
        <f t="shared" si="1"/>
        <v>1658948.32085</v>
      </c>
      <c r="L19" s="66">
        <v>157084336.68450001</v>
      </c>
      <c r="M19" s="71">
        <f t="shared" si="3"/>
        <v>275343109.48795003</v>
      </c>
      <c r="N19" s="70"/>
      <c r="O19" s="181"/>
      <c r="P19" s="72">
        <v>38</v>
      </c>
      <c r="Q19" s="179"/>
      <c r="R19" s="66" t="s">
        <v>156</v>
      </c>
      <c r="S19" s="66">
        <v>35062749.344899997</v>
      </c>
      <c r="T19" s="66">
        <v>0</v>
      </c>
      <c r="U19" s="66">
        <v>108169983.27500001</v>
      </c>
      <c r="V19" s="66">
        <v>6670773.2034999998</v>
      </c>
      <c r="W19" s="66">
        <v>4296981.9786</v>
      </c>
      <c r="X19" s="66">
        <v>0</v>
      </c>
      <c r="Y19" s="66">
        <f t="shared" si="2"/>
        <v>4296981.9786</v>
      </c>
      <c r="Z19" s="66">
        <v>218258013.7757</v>
      </c>
      <c r="AA19" s="71">
        <f t="shared" si="4"/>
        <v>372458501.57770002</v>
      </c>
    </row>
    <row r="20" spans="1:27" ht="24.95" customHeight="1">
      <c r="A20" s="181"/>
      <c r="B20" s="176"/>
      <c r="C20" s="62">
        <v>14</v>
      </c>
      <c r="D20" s="66" t="s">
        <v>157</v>
      </c>
      <c r="E20" s="66">
        <v>25580811.5691</v>
      </c>
      <c r="F20" s="66">
        <v>0</v>
      </c>
      <c r="G20" s="66">
        <v>78917826.220200002</v>
      </c>
      <c r="H20" s="66">
        <v>5735690.4156999998</v>
      </c>
      <c r="I20" s="66">
        <v>3134959.1337000001</v>
      </c>
      <c r="J20" s="66">
        <f t="shared" si="0"/>
        <v>1567479.5668500001</v>
      </c>
      <c r="K20" s="66">
        <f t="shared" si="1"/>
        <v>1567479.5668500001</v>
      </c>
      <c r="L20" s="66">
        <v>147571331.53569999</v>
      </c>
      <c r="M20" s="71">
        <f t="shared" si="3"/>
        <v>259373139.30755001</v>
      </c>
      <c r="N20" s="70"/>
      <c r="O20" s="181"/>
      <c r="P20" s="72">
        <v>39</v>
      </c>
      <c r="Q20" s="179"/>
      <c r="R20" s="66" t="s">
        <v>158</v>
      </c>
      <c r="S20" s="66">
        <v>27603272.8983</v>
      </c>
      <c r="T20" s="66">
        <v>0</v>
      </c>
      <c r="U20" s="66">
        <v>85157200.263400003</v>
      </c>
      <c r="V20" s="66">
        <v>5278038.0968000004</v>
      </c>
      <c r="W20" s="66">
        <v>3382814.1948000002</v>
      </c>
      <c r="X20" s="66">
        <v>0</v>
      </c>
      <c r="Y20" s="66">
        <f t="shared" si="2"/>
        <v>3382814.1948000002</v>
      </c>
      <c r="Z20" s="66">
        <v>168743368.65459999</v>
      </c>
      <c r="AA20" s="71">
        <f t="shared" si="4"/>
        <v>290164694.10790002</v>
      </c>
    </row>
    <row r="21" spans="1:27" ht="24.95" customHeight="1">
      <c r="A21" s="181"/>
      <c r="B21" s="176"/>
      <c r="C21" s="62">
        <v>15</v>
      </c>
      <c r="D21" s="66" t="s">
        <v>159</v>
      </c>
      <c r="E21" s="66">
        <v>26637117.830800001</v>
      </c>
      <c r="F21" s="66">
        <v>0</v>
      </c>
      <c r="G21" s="66">
        <v>82176573.260600001</v>
      </c>
      <c r="H21" s="66">
        <v>6070150.5138999997</v>
      </c>
      <c r="I21" s="66">
        <v>3264410.7327000001</v>
      </c>
      <c r="J21" s="66">
        <f t="shared" si="0"/>
        <v>1632205.36635</v>
      </c>
      <c r="K21" s="66">
        <f t="shared" si="1"/>
        <v>1632205.36635</v>
      </c>
      <c r="L21" s="66">
        <v>159462087.3504</v>
      </c>
      <c r="M21" s="71">
        <f t="shared" si="3"/>
        <v>275978134.32204998</v>
      </c>
      <c r="N21" s="70"/>
      <c r="O21" s="181"/>
      <c r="P21" s="72">
        <v>40</v>
      </c>
      <c r="Q21" s="179"/>
      <c r="R21" s="66" t="s">
        <v>160</v>
      </c>
      <c r="S21" s="66">
        <v>30433588.6448</v>
      </c>
      <c r="T21" s="66">
        <v>0</v>
      </c>
      <c r="U21" s="66">
        <v>93888837.476199999</v>
      </c>
      <c r="V21" s="66">
        <v>5953334.3260000004</v>
      </c>
      <c r="W21" s="66">
        <v>3729672.7836000002</v>
      </c>
      <c r="X21" s="66">
        <v>0</v>
      </c>
      <c r="Y21" s="66">
        <f t="shared" si="2"/>
        <v>3729672.7836000002</v>
      </c>
      <c r="Z21" s="66">
        <v>192751561.5839</v>
      </c>
      <c r="AA21" s="71">
        <f t="shared" si="4"/>
        <v>326756994.81449997</v>
      </c>
    </row>
    <row r="22" spans="1:27" ht="24.95" customHeight="1">
      <c r="A22" s="181"/>
      <c r="B22" s="176"/>
      <c r="C22" s="62">
        <v>16</v>
      </c>
      <c r="D22" s="66" t="s">
        <v>161</v>
      </c>
      <c r="E22" s="66">
        <v>39707352.840499997</v>
      </c>
      <c r="F22" s="66">
        <v>0</v>
      </c>
      <c r="G22" s="66">
        <v>122498770.7158</v>
      </c>
      <c r="H22" s="66">
        <v>7558323.3421</v>
      </c>
      <c r="I22" s="66">
        <v>4866183.7067</v>
      </c>
      <c r="J22" s="66">
        <f t="shared" si="0"/>
        <v>2433091.85335</v>
      </c>
      <c r="K22" s="66">
        <f t="shared" si="1"/>
        <v>2433091.85335</v>
      </c>
      <c r="L22" s="66">
        <v>212369743.02270001</v>
      </c>
      <c r="M22" s="71">
        <f t="shared" si="3"/>
        <v>384567281.77445</v>
      </c>
      <c r="N22" s="70"/>
      <c r="O22" s="181"/>
      <c r="P22" s="72">
        <v>41</v>
      </c>
      <c r="Q22" s="179"/>
      <c r="R22" s="66" t="s">
        <v>162</v>
      </c>
      <c r="S22" s="66">
        <v>37525695.621600002</v>
      </c>
      <c r="T22" s="66">
        <v>0</v>
      </c>
      <c r="U22" s="66">
        <v>115768270.98890001</v>
      </c>
      <c r="V22" s="66">
        <v>6787648.3640999999</v>
      </c>
      <c r="W22" s="66">
        <v>4598818.9983000001</v>
      </c>
      <c r="X22" s="66">
        <v>0</v>
      </c>
      <c r="Y22" s="66">
        <f t="shared" si="2"/>
        <v>4598818.9983000001</v>
      </c>
      <c r="Z22" s="66">
        <v>222413170.11050001</v>
      </c>
      <c r="AA22" s="71">
        <f t="shared" si="4"/>
        <v>387093604.08340001</v>
      </c>
    </row>
    <row r="23" spans="1:27" ht="24.95" customHeight="1">
      <c r="A23" s="181"/>
      <c r="B23" s="177"/>
      <c r="C23" s="62">
        <v>17</v>
      </c>
      <c r="D23" s="66" t="s">
        <v>163</v>
      </c>
      <c r="E23" s="66">
        <v>34309482.177100003</v>
      </c>
      <c r="F23" s="66">
        <v>0</v>
      </c>
      <c r="G23" s="66">
        <v>105846123.9525</v>
      </c>
      <c r="H23" s="66">
        <v>6633573.2761000004</v>
      </c>
      <c r="I23" s="66">
        <v>4204668.1838999996</v>
      </c>
      <c r="J23" s="66">
        <f t="shared" si="0"/>
        <v>2102334.0919499998</v>
      </c>
      <c r="K23" s="66">
        <f t="shared" si="1"/>
        <v>2102334.0919499998</v>
      </c>
      <c r="L23" s="66">
        <v>179492944.61129999</v>
      </c>
      <c r="M23" s="71">
        <f t="shared" si="3"/>
        <v>328384458.10895002</v>
      </c>
      <c r="N23" s="70"/>
      <c r="O23" s="181"/>
      <c r="P23" s="72">
        <v>42</v>
      </c>
      <c r="Q23" s="179"/>
      <c r="R23" s="66" t="s">
        <v>164</v>
      </c>
      <c r="S23" s="66">
        <v>43873980.879699998</v>
      </c>
      <c r="T23" s="66">
        <v>0</v>
      </c>
      <c r="U23" s="66">
        <v>135352984.76719999</v>
      </c>
      <c r="V23" s="66">
        <v>8341271.2822000002</v>
      </c>
      <c r="W23" s="66">
        <v>5376808.9693999998</v>
      </c>
      <c r="X23" s="66">
        <v>0</v>
      </c>
      <c r="Y23" s="66">
        <f t="shared" si="2"/>
        <v>5376808.9693999998</v>
      </c>
      <c r="Z23" s="66">
        <v>277647713.33020002</v>
      </c>
      <c r="AA23" s="71">
        <f t="shared" si="4"/>
        <v>470592759.22869998</v>
      </c>
    </row>
    <row r="24" spans="1:27" ht="24.95" customHeight="1">
      <c r="A24" s="62"/>
      <c r="B24" s="188" t="s">
        <v>165</v>
      </c>
      <c r="C24" s="189"/>
      <c r="D24" s="67"/>
      <c r="E24" s="67">
        <f>SUM(E7:E23)</f>
        <v>564406985.00440001</v>
      </c>
      <c r="F24" s="67">
        <f t="shared" ref="F24:G24" si="5">SUM(F7:F23)</f>
        <v>0</v>
      </c>
      <c r="G24" s="67">
        <f t="shared" si="5"/>
        <v>1741218109.5055001</v>
      </c>
      <c r="H24" s="67">
        <f t="shared" ref="H24:M24" si="6">SUM(H7:H23)</f>
        <v>118158932.7967</v>
      </c>
      <c r="I24" s="67">
        <f t="shared" si="6"/>
        <v>69168752.835099995</v>
      </c>
      <c r="J24" s="67">
        <f t="shared" si="6"/>
        <v>34584376.417549998</v>
      </c>
      <c r="K24" s="67">
        <f t="shared" si="6"/>
        <v>34584376.417549998</v>
      </c>
      <c r="L24" s="67">
        <f t="shared" si="6"/>
        <v>3242941376.1090999</v>
      </c>
      <c r="M24" s="67">
        <f t="shared" si="6"/>
        <v>5701309779.83325</v>
      </c>
      <c r="N24" s="70"/>
      <c r="O24" s="181"/>
      <c r="P24" s="72">
        <v>43</v>
      </c>
      <c r="Q24" s="179"/>
      <c r="R24" s="66" t="s">
        <v>166</v>
      </c>
      <c r="S24" s="66">
        <v>28632246.4252</v>
      </c>
      <c r="T24" s="66">
        <v>0</v>
      </c>
      <c r="U24" s="66">
        <v>88331624.724900007</v>
      </c>
      <c r="V24" s="66">
        <v>5627852.4932000004</v>
      </c>
      <c r="W24" s="66">
        <v>3508916.1345000002</v>
      </c>
      <c r="X24" s="66">
        <v>0</v>
      </c>
      <c r="Y24" s="66">
        <f t="shared" si="2"/>
        <v>3508916.1345000002</v>
      </c>
      <c r="Z24" s="66">
        <v>181180001.875</v>
      </c>
      <c r="AA24" s="71">
        <f t="shared" si="4"/>
        <v>307280641.65280002</v>
      </c>
    </row>
    <row r="25" spans="1:27" ht="24.95" customHeight="1">
      <c r="A25" s="181">
        <v>2</v>
      </c>
      <c r="B25" s="175" t="s">
        <v>167</v>
      </c>
      <c r="C25" s="62">
        <v>1</v>
      </c>
      <c r="D25" s="66" t="s">
        <v>168</v>
      </c>
      <c r="E25" s="66">
        <v>35185493.509800002</v>
      </c>
      <c r="F25" s="66">
        <v>0</v>
      </c>
      <c r="G25" s="66">
        <v>108548653.9304</v>
      </c>
      <c r="H25" s="66">
        <v>5861723.6551000001</v>
      </c>
      <c r="I25" s="66">
        <v>4312024.4232000001</v>
      </c>
      <c r="J25" s="66">
        <v>0</v>
      </c>
      <c r="K25" s="66">
        <f t="shared" ref="K25:K45" si="7">I25-J25</f>
        <v>4312024.4232000001</v>
      </c>
      <c r="L25" s="66">
        <v>203308261.61359999</v>
      </c>
      <c r="M25" s="71">
        <f t="shared" si="3"/>
        <v>357216157.13209999</v>
      </c>
      <c r="N25" s="70"/>
      <c r="O25" s="181"/>
      <c r="P25" s="72">
        <v>44</v>
      </c>
      <c r="Q25" s="180"/>
      <c r="R25" s="66" t="s">
        <v>169</v>
      </c>
      <c r="S25" s="66">
        <v>33667536.0832</v>
      </c>
      <c r="T25" s="66">
        <v>0</v>
      </c>
      <c r="U25" s="66">
        <v>103865694.59280001</v>
      </c>
      <c r="V25" s="66">
        <v>6263225.2939999998</v>
      </c>
      <c r="W25" s="66">
        <v>4125996.9202999999</v>
      </c>
      <c r="X25" s="66">
        <v>0</v>
      </c>
      <c r="Y25" s="66">
        <f t="shared" si="2"/>
        <v>4125996.9202999999</v>
      </c>
      <c r="Z25" s="66">
        <v>203768833.45019999</v>
      </c>
      <c r="AA25" s="71">
        <f t="shared" si="4"/>
        <v>351691286.3405</v>
      </c>
    </row>
    <row r="26" spans="1:27" ht="24.95" customHeight="1">
      <c r="A26" s="181"/>
      <c r="B26" s="176"/>
      <c r="C26" s="62">
        <v>2</v>
      </c>
      <c r="D26" s="66" t="s">
        <v>170</v>
      </c>
      <c r="E26" s="66">
        <v>42984266.2707</v>
      </c>
      <c r="F26" s="66">
        <v>0</v>
      </c>
      <c r="G26" s="66">
        <v>132608179.6344</v>
      </c>
      <c r="H26" s="66">
        <v>6166286.2423</v>
      </c>
      <c r="I26" s="66">
        <v>5267773.3771000002</v>
      </c>
      <c r="J26" s="66">
        <v>0</v>
      </c>
      <c r="K26" s="66">
        <f t="shared" si="7"/>
        <v>5267773.3771000002</v>
      </c>
      <c r="L26" s="66">
        <v>214136098.4007</v>
      </c>
      <c r="M26" s="71">
        <f t="shared" si="3"/>
        <v>401162603.92519999</v>
      </c>
      <c r="N26" s="70"/>
      <c r="O26" s="73"/>
      <c r="P26" s="189" t="s">
        <v>171</v>
      </c>
      <c r="Q26" s="190"/>
      <c r="R26" s="67"/>
      <c r="S26" s="67">
        <f>661730963.3988+892309106.26</f>
        <v>1554040069.6587999</v>
      </c>
      <c r="T26" s="67">
        <v>0</v>
      </c>
      <c r="U26" s="67">
        <f>2041466473.13+2752809260.67</f>
        <v>4794275733.8000002</v>
      </c>
      <c r="V26" s="67">
        <f>123210487.39+166287917.08</f>
        <v>289498404.47000003</v>
      </c>
      <c r="W26" s="67">
        <f>81095923.0961+109353551.01</f>
        <v>190449474.10609999</v>
      </c>
      <c r="X26" s="67">
        <v>0</v>
      </c>
      <c r="Y26" s="67">
        <f>W26</f>
        <v>190449474.10609999</v>
      </c>
      <c r="Z26" s="67">
        <f>4021253938.64+5439335105.26</f>
        <v>9460589043.8999996</v>
      </c>
      <c r="AA26" s="67">
        <f>6928757785.6752+9360094940.28</f>
        <v>16288852725.9552</v>
      </c>
    </row>
    <row r="27" spans="1:27" ht="24.95" customHeight="1">
      <c r="A27" s="181"/>
      <c r="B27" s="176"/>
      <c r="C27" s="62">
        <v>3</v>
      </c>
      <c r="D27" s="66" t="s">
        <v>172</v>
      </c>
      <c r="E27" s="66">
        <v>36601115.043700002</v>
      </c>
      <c r="F27" s="66">
        <v>0</v>
      </c>
      <c r="G27" s="66">
        <v>112915902.9483</v>
      </c>
      <c r="H27" s="66">
        <v>5679634.9710999997</v>
      </c>
      <c r="I27" s="66">
        <v>4485510.5396999996</v>
      </c>
      <c r="J27" s="66">
        <v>0</v>
      </c>
      <c r="K27" s="66">
        <f t="shared" si="7"/>
        <v>4485510.5396999996</v>
      </c>
      <c r="L27" s="66">
        <v>196834628.16839999</v>
      </c>
      <c r="M27" s="71">
        <f t="shared" si="3"/>
        <v>356516791.67119998</v>
      </c>
      <c r="N27" s="70"/>
      <c r="O27" s="175">
        <v>20</v>
      </c>
      <c r="P27" s="72">
        <v>1</v>
      </c>
      <c r="Q27" s="175" t="s">
        <v>107</v>
      </c>
      <c r="R27" s="66" t="s">
        <v>173</v>
      </c>
      <c r="S27" s="66">
        <v>34211143.392200001</v>
      </c>
      <c r="T27" s="66">
        <v>0</v>
      </c>
      <c r="U27" s="66">
        <v>105542744.8705</v>
      </c>
      <c r="V27" s="66">
        <v>5432016.8819000004</v>
      </c>
      <c r="W27" s="66">
        <v>4192616.6479000002</v>
      </c>
      <c r="X27" s="66">
        <v>0</v>
      </c>
      <c r="Y27" s="66">
        <f t="shared" ref="Y27:Y58" si="8">W27-X27</f>
        <v>4192616.6479000002</v>
      </c>
      <c r="Z27" s="66">
        <v>184697038.3856</v>
      </c>
      <c r="AA27" s="71">
        <f t="shared" si="4"/>
        <v>334075560.17809999</v>
      </c>
    </row>
    <row r="28" spans="1:27" ht="24.95" customHeight="1">
      <c r="A28" s="181"/>
      <c r="B28" s="176"/>
      <c r="C28" s="62">
        <v>4</v>
      </c>
      <c r="D28" s="66" t="s">
        <v>174</v>
      </c>
      <c r="E28" s="66">
        <v>32044803.590799998</v>
      </c>
      <c r="F28" s="66">
        <v>0</v>
      </c>
      <c r="G28" s="66">
        <v>98859499.988999993</v>
      </c>
      <c r="H28" s="66">
        <v>5295586.0096000005</v>
      </c>
      <c r="I28" s="66">
        <v>3927129.1074000001</v>
      </c>
      <c r="J28" s="66">
        <v>0</v>
      </c>
      <c r="K28" s="66">
        <f t="shared" si="7"/>
        <v>3927129.1074000001</v>
      </c>
      <c r="L28" s="66">
        <v>183180884.5767</v>
      </c>
      <c r="M28" s="71">
        <f t="shared" si="3"/>
        <v>323307903.27350003</v>
      </c>
      <c r="N28" s="70"/>
      <c r="O28" s="176"/>
      <c r="P28" s="72">
        <v>2</v>
      </c>
      <c r="Q28" s="176"/>
      <c r="R28" s="66" t="s">
        <v>175</v>
      </c>
      <c r="S28" s="66">
        <v>35252577.578400001</v>
      </c>
      <c r="T28" s="66">
        <v>-1E-4</v>
      </c>
      <c r="U28" s="66">
        <v>108755610.9633</v>
      </c>
      <c r="V28" s="66">
        <v>5828592.6075999998</v>
      </c>
      <c r="W28" s="66">
        <v>4320245.6562000001</v>
      </c>
      <c r="X28" s="66">
        <v>0</v>
      </c>
      <c r="Y28" s="66">
        <f t="shared" si="8"/>
        <v>4320245.6562000001</v>
      </c>
      <c r="Z28" s="66">
        <v>198796134.63699999</v>
      </c>
      <c r="AA28" s="71">
        <f t="shared" si="4"/>
        <v>352953161.44239998</v>
      </c>
    </row>
    <row r="29" spans="1:27" ht="24.95" customHeight="1">
      <c r="A29" s="181"/>
      <c r="B29" s="176"/>
      <c r="C29" s="62">
        <v>5</v>
      </c>
      <c r="D29" s="66" t="s">
        <v>176</v>
      </c>
      <c r="E29" s="66">
        <v>31709481.470199998</v>
      </c>
      <c r="F29" s="66">
        <v>0</v>
      </c>
      <c r="G29" s="66">
        <v>97825017.8433</v>
      </c>
      <c r="H29" s="66">
        <v>5480716.2641000003</v>
      </c>
      <c r="I29" s="66">
        <v>3886034.9794000001</v>
      </c>
      <c r="J29" s="66">
        <v>0</v>
      </c>
      <c r="K29" s="66">
        <f t="shared" si="7"/>
        <v>3886034.9794000001</v>
      </c>
      <c r="L29" s="66">
        <v>189762652.21090001</v>
      </c>
      <c r="M29" s="71">
        <f t="shared" si="3"/>
        <v>328663902.76789999</v>
      </c>
      <c r="N29" s="70"/>
      <c r="O29" s="176"/>
      <c r="P29" s="72">
        <v>3</v>
      </c>
      <c r="Q29" s="176"/>
      <c r="R29" s="66" t="s">
        <v>177</v>
      </c>
      <c r="S29" s="66">
        <v>38351474.0031</v>
      </c>
      <c r="T29" s="66">
        <v>0</v>
      </c>
      <c r="U29" s="66">
        <v>118315830.3045</v>
      </c>
      <c r="V29" s="66">
        <v>6103494.2505000001</v>
      </c>
      <c r="W29" s="66">
        <v>4700019.1292000003</v>
      </c>
      <c r="X29" s="66">
        <v>0</v>
      </c>
      <c r="Y29" s="66">
        <f t="shared" si="8"/>
        <v>4700019.1292000003</v>
      </c>
      <c r="Z29" s="66">
        <v>208569462.83329999</v>
      </c>
      <c r="AA29" s="71">
        <f t="shared" si="4"/>
        <v>376040280.52060002</v>
      </c>
    </row>
    <row r="30" spans="1:27" ht="24.95" customHeight="1">
      <c r="A30" s="181"/>
      <c r="B30" s="176"/>
      <c r="C30" s="62">
        <v>6</v>
      </c>
      <c r="D30" s="66" t="s">
        <v>178</v>
      </c>
      <c r="E30" s="66">
        <v>33902005.055600002</v>
      </c>
      <c r="F30" s="66">
        <v>0</v>
      </c>
      <c r="G30" s="66">
        <v>104589040.745</v>
      </c>
      <c r="H30" s="66">
        <v>5833943.9784000004</v>
      </c>
      <c r="I30" s="66">
        <v>4154731.3739999998</v>
      </c>
      <c r="J30" s="66">
        <v>0</v>
      </c>
      <c r="K30" s="66">
        <f t="shared" si="7"/>
        <v>4154731.3739999998</v>
      </c>
      <c r="L30" s="66">
        <v>202320636.0212</v>
      </c>
      <c r="M30" s="71">
        <f t="shared" si="3"/>
        <v>350800357.1742</v>
      </c>
      <c r="N30" s="70"/>
      <c r="O30" s="176"/>
      <c r="P30" s="72">
        <v>4</v>
      </c>
      <c r="Q30" s="176"/>
      <c r="R30" s="66" t="s">
        <v>179</v>
      </c>
      <c r="S30" s="66">
        <v>35958321.046899997</v>
      </c>
      <c r="T30" s="66">
        <v>0</v>
      </c>
      <c r="U30" s="66">
        <v>110932857.77410001</v>
      </c>
      <c r="V30" s="66">
        <v>5973348.8306999998</v>
      </c>
      <c r="W30" s="66">
        <v>4406735.3646</v>
      </c>
      <c r="X30" s="66">
        <v>0</v>
      </c>
      <c r="Y30" s="66">
        <f t="shared" si="8"/>
        <v>4406735.3646</v>
      </c>
      <c r="Z30" s="66">
        <v>203942521.03709999</v>
      </c>
      <c r="AA30" s="71">
        <f t="shared" si="4"/>
        <v>361213784.05339998</v>
      </c>
    </row>
    <row r="31" spans="1:27" ht="24.95" customHeight="1">
      <c r="A31" s="181"/>
      <c r="B31" s="176"/>
      <c r="C31" s="62">
        <v>7</v>
      </c>
      <c r="D31" s="66" t="s">
        <v>180</v>
      </c>
      <c r="E31" s="66">
        <v>36927411.868600003</v>
      </c>
      <c r="F31" s="66">
        <v>0</v>
      </c>
      <c r="G31" s="66">
        <v>113922541.6961</v>
      </c>
      <c r="H31" s="66">
        <v>5736399.6876999997</v>
      </c>
      <c r="I31" s="66">
        <v>4525498.6069999998</v>
      </c>
      <c r="J31" s="66">
        <v>0</v>
      </c>
      <c r="K31" s="66">
        <f t="shared" si="7"/>
        <v>4525498.6069999998</v>
      </c>
      <c r="L31" s="66">
        <v>198852732.5318</v>
      </c>
      <c r="M31" s="71">
        <f t="shared" si="3"/>
        <v>359964584.39120001</v>
      </c>
      <c r="N31" s="70"/>
      <c r="O31" s="176"/>
      <c r="P31" s="72">
        <v>5</v>
      </c>
      <c r="Q31" s="176"/>
      <c r="R31" s="66" t="s">
        <v>181</v>
      </c>
      <c r="S31" s="66">
        <v>33628876.1668</v>
      </c>
      <c r="T31" s="66">
        <v>0</v>
      </c>
      <c r="U31" s="66">
        <v>103746427.2053</v>
      </c>
      <c r="V31" s="66">
        <v>5465643.1328999996</v>
      </c>
      <c r="W31" s="66">
        <v>4121259.1011999999</v>
      </c>
      <c r="X31" s="66">
        <v>0</v>
      </c>
      <c r="Y31" s="66">
        <f t="shared" si="8"/>
        <v>4121259.1011999999</v>
      </c>
      <c r="Z31" s="66">
        <v>185892521.919</v>
      </c>
      <c r="AA31" s="71">
        <f t="shared" si="4"/>
        <v>332854727.52520001</v>
      </c>
    </row>
    <row r="32" spans="1:27" ht="24.95" customHeight="1">
      <c r="A32" s="181"/>
      <c r="B32" s="176"/>
      <c r="C32" s="62">
        <v>8</v>
      </c>
      <c r="D32" s="66" t="s">
        <v>182</v>
      </c>
      <c r="E32" s="66">
        <v>38629153.273999996</v>
      </c>
      <c r="F32" s="66">
        <v>0</v>
      </c>
      <c r="G32" s="66">
        <v>119172481.95469999</v>
      </c>
      <c r="H32" s="66">
        <v>5729043.5932999998</v>
      </c>
      <c r="I32" s="66">
        <v>4734049.0568000004</v>
      </c>
      <c r="J32" s="66">
        <v>0</v>
      </c>
      <c r="K32" s="66">
        <f t="shared" si="7"/>
        <v>4734049.0568000004</v>
      </c>
      <c r="L32" s="66">
        <v>198591207.99329999</v>
      </c>
      <c r="M32" s="71">
        <f t="shared" si="3"/>
        <v>366855935.8721</v>
      </c>
      <c r="N32" s="70"/>
      <c r="O32" s="176"/>
      <c r="P32" s="72">
        <v>6</v>
      </c>
      <c r="Q32" s="176"/>
      <c r="R32" s="66" t="s">
        <v>183</v>
      </c>
      <c r="S32" s="66">
        <v>31455937.005899999</v>
      </c>
      <c r="T32" s="66">
        <v>0</v>
      </c>
      <c r="U32" s="66">
        <v>97042823.0361</v>
      </c>
      <c r="V32" s="66">
        <v>5299562.1216000002</v>
      </c>
      <c r="W32" s="66">
        <v>3854962.8012999999</v>
      </c>
      <c r="X32" s="66">
        <v>0</v>
      </c>
      <c r="Y32" s="66">
        <f t="shared" si="8"/>
        <v>3854962.8012999999</v>
      </c>
      <c r="Z32" s="66">
        <v>179987994.70519999</v>
      </c>
      <c r="AA32" s="71">
        <f t="shared" si="4"/>
        <v>317641279.67009997</v>
      </c>
    </row>
    <row r="33" spans="1:27" ht="24.95" customHeight="1">
      <c r="A33" s="181"/>
      <c r="B33" s="176"/>
      <c r="C33" s="62">
        <v>9</v>
      </c>
      <c r="D33" s="66" t="s">
        <v>184</v>
      </c>
      <c r="E33" s="66">
        <v>33586126.789499998</v>
      </c>
      <c r="F33" s="66">
        <v>0</v>
      </c>
      <c r="G33" s="66">
        <v>103614543.66760001</v>
      </c>
      <c r="H33" s="66">
        <v>6064449.9578</v>
      </c>
      <c r="I33" s="66">
        <v>4116020.1137000001</v>
      </c>
      <c r="J33" s="66">
        <v>0</v>
      </c>
      <c r="K33" s="66">
        <f t="shared" si="7"/>
        <v>4116020.1137000001</v>
      </c>
      <c r="L33" s="66">
        <v>210515605.55579999</v>
      </c>
      <c r="M33" s="71">
        <f t="shared" si="3"/>
        <v>357896746.0844</v>
      </c>
      <c r="N33" s="70"/>
      <c r="O33" s="176"/>
      <c r="P33" s="72">
        <v>7</v>
      </c>
      <c r="Q33" s="176"/>
      <c r="R33" s="66" t="s">
        <v>185</v>
      </c>
      <c r="S33" s="66">
        <v>31558877.579500001</v>
      </c>
      <c r="T33" s="66">
        <v>0</v>
      </c>
      <c r="U33" s="66">
        <v>97360398.820600003</v>
      </c>
      <c r="V33" s="66">
        <v>5030078.9802000001</v>
      </c>
      <c r="W33" s="66">
        <v>3867578.2919999999</v>
      </c>
      <c r="X33" s="66">
        <v>0</v>
      </c>
      <c r="Y33" s="66">
        <f t="shared" si="8"/>
        <v>3867578.2919999999</v>
      </c>
      <c r="Z33" s="66">
        <v>170407305.5641</v>
      </c>
      <c r="AA33" s="71">
        <f t="shared" si="4"/>
        <v>308224239.23640001</v>
      </c>
    </row>
    <row r="34" spans="1:27" ht="24.95" customHeight="1">
      <c r="A34" s="181"/>
      <c r="B34" s="176"/>
      <c r="C34" s="62">
        <v>10</v>
      </c>
      <c r="D34" s="66" t="s">
        <v>186</v>
      </c>
      <c r="E34" s="66">
        <v>30071959.658399999</v>
      </c>
      <c r="F34" s="66">
        <v>-1E-4</v>
      </c>
      <c r="G34" s="66">
        <v>92773197.597800002</v>
      </c>
      <c r="H34" s="66">
        <v>5101916.8278000001</v>
      </c>
      <c r="I34" s="66">
        <v>3685354.7176000001</v>
      </c>
      <c r="J34" s="66">
        <v>0</v>
      </c>
      <c r="K34" s="66">
        <f t="shared" si="7"/>
        <v>3685354.7176000001</v>
      </c>
      <c r="L34" s="66">
        <v>176295540.21939999</v>
      </c>
      <c r="M34" s="71">
        <f t="shared" si="3"/>
        <v>307927969.02090001</v>
      </c>
      <c r="N34" s="70"/>
      <c r="O34" s="176"/>
      <c r="P34" s="72">
        <v>8</v>
      </c>
      <c r="Q34" s="176"/>
      <c r="R34" s="66" t="s">
        <v>187</v>
      </c>
      <c r="S34" s="66">
        <v>33790085.748599999</v>
      </c>
      <c r="T34" s="66">
        <v>0</v>
      </c>
      <c r="U34" s="66">
        <v>104243765.2093</v>
      </c>
      <c r="V34" s="66">
        <v>5391102.1268999996</v>
      </c>
      <c r="W34" s="66">
        <v>4141015.5288</v>
      </c>
      <c r="X34" s="66">
        <v>0</v>
      </c>
      <c r="Y34" s="66">
        <f t="shared" si="8"/>
        <v>4141015.5288</v>
      </c>
      <c r="Z34" s="66">
        <v>183242433.29570001</v>
      </c>
      <c r="AA34" s="71">
        <f t="shared" si="4"/>
        <v>330808401.90930003</v>
      </c>
    </row>
    <row r="35" spans="1:27" ht="24.95" customHeight="1">
      <c r="A35" s="181"/>
      <c r="B35" s="176"/>
      <c r="C35" s="62">
        <v>11</v>
      </c>
      <c r="D35" s="66" t="s">
        <v>188</v>
      </c>
      <c r="E35" s="66">
        <v>30559835.084399998</v>
      </c>
      <c r="F35" s="66">
        <v>0</v>
      </c>
      <c r="G35" s="66">
        <v>94278312.788699999</v>
      </c>
      <c r="H35" s="66">
        <v>5350018.8554999996</v>
      </c>
      <c r="I35" s="66">
        <v>3745144.4361999999</v>
      </c>
      <c r="J35" s="66">
        <v>0</v>
      </c>
      <c r="K35" s="66">
        <f t="shared" si="7"/>
        <v>3745144.4361999999</v>
      </c>
      <c r="L35" s="66">
        <v>185116086.06189999</v>
      </c>
      <c r="M35" s="71">
        <f t="shared" si="3"/>
        <v>319049397.22670001</v>
      </c>
      <c r="N35" s="70"/>
      <c r="O35" s="176"/>
      <c r="P35" s="72">
        <v>9</v>
      </c>
      <c r="Q35" s="176"/>
      <c r="R35" s="66" t="s">
        <v>189</v>
      </c>
      <c r="S35" s="66">
        <v>31693493.8906</v>
      </c>
      <c r="T35" s="66">
        <v>0</v>
      </c>
      <c r="U35" s="66">
        <v>97775695.520999998</v>
      </c>
      <c r="V35" s="66">
        <v>5165395.0696999999</v>
      </c>
      <c r="W35" s="66">
        <v>3884075.6823</v>
      </c>
      <c r="X35" s="66">
        <v>0</v>
      </c>
      <c r="Y35" s="66">
        <f t="shared" si="8"/>
        <v>3884075.6823</v>
      </c>
      <c r="Z35" s="66">
        <v>175218075.4815</v>
      </c>
      <c r="AA35" s="71">
        <f t="shared" si="4"/>
        <v>313736735.6451</v>
      </c>
    </row>
    <row r="36" spans="1:27" ht="24.95" customHeight="1">
      <c r="A36" s="181"/>
      <c r="B36" s="176"/>
      <c r="C36" s="62">
        <v>12</v>
      </c>
      <c r="D36" s="66" t="s">
        <v>190</v>
      </c>
      <c r="E36" s="66">
        <v>29920045.883699998</v>
      </c>
      <c r="F36" s="66">
        <v>0</v>
      </c>
      <c r="G36" s="66">
        <v>92304537.5308</v>
      </c>
      <c r="H36" s="66">
        <v>5084027.8876</v>
      </c>
      <c r="I36" s="66">
        <v>3666737.5024000001</v>
      </c>
      <c r="J36" s="66">
        <v>0</v>
      </c>
      <c r="K36" s="66">
        <f t="shared" si="7"/>
        <v>3666737.5024000001</v>
      </c>
      <c r="L36" s="66">
        <v>175659550.9896</v>
      </c>
      <c r="M36" s="71">
        <f t="shared" si="3"/>
        <v>306634899.79409999</v>
      </c>
      <c r="N36" s="70"/>
      <c r="O36" s="176"/>
      <c r="P36" s="72">
        <v>10</v>
      </c>
      <c r="Q36" s="176"/>
      <c r="R36" s="66" t="s">
        <v>191</v>
      </c>
      <c r="S36" s="66">
        <v>38212641.146499999</v>
      </c>
      <c r="T36" s="66">
        <v>0</v>
      </c>
      <c r="U36" s="66">
        <v>117887525.3924</v>
      </c>
      <c r="V36" s="66">
        <v>6224514.9589</v>
      </c>
      <c r="W36" s="66">
        <v>4683004.9961999999</v>
      </c>
      <c r="X36" s="66">
        <v>0</v>
      </c>
      <c r="Y36" s="66">
        <f t="shared" si="8"/>
        <v>4683004.9961999999</v>
      </c>
      <c r="Z36" s="66">
        <v>212872002.06259999</v>
      </c>
      <c r="AA36" s="71">
        <f t="shared" si="4"/>
        <v>379879688.55659997</v>
      </c>
    </row>
    <row r="37" spans="1:27" ht="24.95" customHeight="1">
      <c r="A37" s="181"/>
      <c r="B37" s="176"/>
      <c r="C37" s="62">
        <v>13</v>
      </c>
      <c r="D37" s="66" t="s">
        <v>192</v>
      </c>
      <c r="E37" s="66">
        <v>34692936.446800001</v>
      </c>
      <c r="F37" s="66">
        <v>0</v>
      </c>
      <c r="G37" s="66">
        <v>107029095.7023</v>
      </c>
      <c r="H37" s="66">
        <v>5556192.2714</v>
      </c>
      <c r="I37" s="66">
        <v>4251660.9644999998</v>
      </c>
      <c r="J37" s="66">
        <v>0</v>
      </c>
      <c r="K37" s="66">
        <f t="shared" si="7"/>
        <v>4251660.9644999998</v>
      </c>
      <c r="L37" s="66">
        <v>192445982.08489999</v>
      </c>
      <c r="M37" s="71">
        <f t="shared" si="3"/>
        <v>343975867.46990001</v>
      </c>
      <c r="N37" s="70"/>
      <c r="O37" s="176"/>
      <c r="P37" s="72">
        <v>11</v>
      </c>
      <c r="Q37" s="176"/>
      <c r="R37" s="66" t="s">
        <v>193</v>
      </c>
      <c r="S37" s="66">
        <v>31537546.43</v>
      </c>
      <c r="T37" s="66">
        <v>0</v>
      </c>
      <c r="U37" s="66">
        <v>97294591.371600002</v>
      </c>
      <c r="V37" s="66">
        <v>5101409.4396000002</v>
      </c>
      <c r="W37" s="66">
        <v>3864964.1340000001</v>
      </c>
      <c r="X37" s="66">
        <v>0</v>
      </c>
      <c r="Y37" s="66">
        <f t="shared" si="8"/>
        <v>3864964.1340000001</v>
      </c>
      <c r="Z37" s="66">
        <v>172943252.54350001</v>
      </c>
      <c r="AA37" s="71">
        <f t="shared" si="4"/>
        <v>310741763.91869998</v>
      </c>
    </row>
    <row r="38" spans="1:27" ht="24.95" customHeight="1">
      <c r="A38" s="181"/>
      <c r="B38" s="176"/>
      <c r="C38" s="62">
        <v>14</v>
      </c>
      <c r="D38" s="66" t="s">
        <v>194</v>
      </c>
      <c r="E38" s="66">
        <v>33632747.256099999</v>
      </c>
      <c r="F38" s="66">
        <v>0</v>
      </c>
      <c r="G38" s="66">
        <v>103758369.6707</v>
      </c>
      <c r="H38" s="66">
        <v>5580671.2808999997</v>
      </c>
      <c r="I38" s="66">
        <v>4121733.5077999998</v>
      </c>
      <c r="J38" s="66">
        <v>0</v>
      </c>
      <c r="K38" s="66">
        <f t="shared" si="7"/>
        <v>4121733.5077999998</v>
      </c>
      <c r="L38" s="66">
        <v>193316262.0575</v>
      </c>
      <c r="M38" s="71">
        <f t="shared" si="3"/>
        <v>340409783.773</v>
      </c>
      <c r="N38" s="70"/>
      <c r="O38" s="176"/>
      <c r="P38" s="72">
        <v>12</v>
      </c>
      <c r="Q38" s="176"/>
      <c r="R38" s="66" t="s">
        <v>195</v>
      </c>
      <c r="S38" s="66">
        <v>35027867.7148</v>
      </c>
      <c r="T38" s="66">
        <v>0</v>
      </c>
      <c r="U38" s="66">
        <v>108062372.0518</v>
      </c>
      <c r="V38" s="66">
        <v>5660697.9190999996</v>
      </c>
      <c r="W38" s="66">
        <v>4292707.193</v>
      </c>
      <c r="X38" s="66">
        <v>0</v>
      </c>
      <c r="Y38" s="66">
        <f t="shared" si="8"/>
        <v>4292707.193</v>
      </c>
      <c r="Z38" s="66">
        <v>192827127.4068</v>
      </c>
      <c r="AA38" s="71">
        <f t="shared" si="4"/>
        <v>345870772.28549999</v>
      </c>
    </row>
    <row r="39" spans="1:27" ht="24.95" customHeight="1">
      <c r="A39" s="181"/>
      <c r="B39" s="176"/>
      <c r="C39" s="62">
        <v>15</v>
      </c>
      <c r="D39" s="66" t="s">
        <v>196</v>
      </c>
      <c r="E39" s="66">
        <v>32093733.228300001</v>
      </c>
      <c r="F39" s="66">
        <v>0</v>
      </c>
      <c r="G39" s="66">
        <v>99010449.876200005</v>
      </c>
      <c r="H39" s="66">
        <v>5533020.0105999997</v>
      </c>
      <c r="I39" s="66">
        <v>3933125.4931000001</v>
      </c>
      <c r="J39" s="66">
        <v>0</v>
      </c>
      <c r="K39" s="66">
        <f t="shared" si="7"/>
        <v>3933125.4931000001</v>
      </c>
      <c r="L39" s="66">
        <v>191622159.76390001</v>
      </c>
      <c r="M39" s="71">
        <f t="shared" si="3"/>
        <v>332192488.3721</v>
      </c>
      <c r="N39" s="70"/>
      <c r="O39" s="176"/>
      <c r="P39" s="72">
        <v>13</v>
      </c>
      <c r="Q39" s="176"/>
      <c r="R39" s="66" t="s">
        <v>197</v>
      </c>
      <c r="S39" s="66">
        <v>38172434.877099998</v>
      </c>
      <c r="T39" s="66">
        <v>0</v>
      </c>
      <c r="U39" s="66">
        <v>117763487.44410001</v>
      </c>
      <c r="V39" s="66">
        <v>5957690.3754000003</v>
      </c>
      <c r="W39" s="66">
        <v>4678077.6695999997</v>
      </c>
      <c r="X39" s="66">
        <v>0</v>
      </c>
      <c r="Y39" s="66">
        <f t="shared" si="8"/>
        <v>4678077.6695999997</v>
      </c>
      <c r="Z39" s="66">
        <v>203385830.21250001</v>
      </c>
      <c r="AA39" s="71">
        <f t="shared" si="4"/>
        <v>369957520.57870001</v>
      </c>
    </row>
    <row r="40" spans="1:27" ht="24.95" customHeight="1">
      <c r="A40" s="181"/>
      <c r="B40" s="176"/>
      <c r="C40" s="62">
        <v>16</v>
      </c>
      <c r="D40" s="66" t="s">
        <v>198</v>
      </c>
      <c r="E40" s="66">
        <v>29899323.482099999</v>
      </c>
      <c r="F40" s="66">
        <v>0</v>
      </c>
      <c r="G40" s="66">
        <v>92240608.093600005</v>
      </c>
      <c r="H40" s="66">
        <v>5283667.5595000004</v>
      </c>
      <c r="I40" s="66">
        <v>3664197.9473000001</v>
      </c>
      <c r="J40" s="66">
        <v>0</v>
      </c>
      <c r="K40" s="66">
        <f t="shared" si="7"/>
        <v>3664197.9473000001</v>
      </c>
      <c r="L40" s="66">
        <v>182757158.75479999</v>
      </c>
      <c r="M40" s="71">
        <f t="shared" si="3"/>
        <v>313844955.8373</v>
      </c>
      <c r="N40" s="70"/>
      <c r="O40" s="176"/>
      <c r="P40" s="72">
        <v>14</v>
      </c>
      <c r="Q40" s="176"/>
      <c r="R40" s="66" t="s">
        <v>199</v>
      </c>
      <c r="S40" s="66">
        <v>38083179.8499</v>
      </c>
      <c r="T40" s="66">
        <v>0</v>
      </c>
      <c r="U40" s="66">
        <v>117488132.11750001</v>
      </c>
      <c r="V40" s="66">
        <v>6290415.6518999999</v>
      </c>
      <c r="W40" s="66">
        <v>4667139.3590000002</v>
      </c>
      <c r="X40" s="66">
        <v>0</v>
      </c>
      <c r="Y40" s="66">
        <f t="shared" si="8"/>
        <v>4667139.3590000002</v>
      </c>
      <c r="Z40" s="66">
        <v>215214909.48989999</v>
      </c>
      <c r="AA40" s="71">
        <f t="shared" si="4"/>
        <v>381743776.46820003</v>
      </c>
    </row>
    <row r="41" spans="1:27" ht="24.95" customHeight="1">
      <c r="A41" s="181"/>
      <c r="B41" s="176"/>
      <c r="C41" s="62">
        <v>17</v>
      </c>
      <c r="D41" s="66" t="s">
        <v>200</v>
      </c>
      <c r="E41" s="66">
        <v>28415031.802999999</v>
      </c>
      <c r="F41" s="66">
        <v>0</v>
      </c>
      <c r="G41" s="66">
        <v>87661508.932400003</v>
      </c>
      <c r="H41" s="66">
        <v>4853183.9559000004</v>
      </c>
      <c r="I41" s="66">
        <v>3482296.2220999999</v>
      </c>
      <c r="J41" s="66">
        <v>0</v>
      </c>
      <c r="K41" s="66">
        <f t="shared" si="7"/>
        <v>3482296.2220999999</v>
      </c>
      <c r="L41" s="66">
        <v>167452566.5451</v>
      </c>
      <c r="M41" s="71">
        <f t="shared" si="3"/>
        <v>291864587.45850003</v>
      </c>
      <c r="N41" s="70"/>
      <c r="O41" s="176"/>
      <c r="P41" s="72">
        <v>15</v>
      </c>
      <c r="Q41" s="176"/>
      <c r="R41" s="66" t="s">
        <v>201</v>
      </c>
      <c r="S41" s="66">
        <v>33256342.1567</v>
      </c>
      <c r="T41" s="66">
        <v>0</v>
      </c>
      <c r="U41" s="66">
        <v>102597144.89300001</v>
      </c>
      <c r="V41" s="66">
        <v>5661621.6552999998</v>
      </c>
      <c r="W41" s="66">
        <v>4075604.6115000001</v>
      </c>
      <c r="X41" s="66">
        <v>0</v>
      </c>
      <c r="Y41" s="66">
        <f t="shared" si="8"/>
        <v>4075604.6115000001</v>
      </c>
      <c r="Z41" s="66">
        <v>192859968.16049999</v>
      </c>
      <c r="AA41" s="71">
        <f t="shared" si="4"/>
        <v>338450681.477</v>
      </c>
    </row>
    <row r="42" spans="1:27" ht="24.95" customHeight="1">
      <c r="A42" s="181"/>
      <c r="B42" s="176"/>
      <c r="C42" s="62">
        <v>18</v>
      </c>
      <c r="D42" s="66" t="s">
        <v>202</v>
      </c>
      <c r="E42" s="66">
        <v>32189553.1567</v>
      </c>
      <c r="F42" s="66">
        <v>0</v>
      </c>
      <c r="G42" s="66">
        <v>99306058.185699999</v>
      </c>
      <c r="H42" s="66">
        <v>5510456.0640000002</v>
      </c>
      <c r="I42" s="66">
        <v>3944868.3402999998</v>
      </c>
      <c r="J42" s="66">
        <v>0</v>
      </c>
      <c r="K42" s="66">
        <f t="shared" si="7"/>
        <v>3944868.3402999998</v>
      </c>
      <c r="L42" s="66">
        <v>190819964.28060001</v>
      </c>
      <c r="M42" s="71">
        <f t="shared" si="3"/>
        <v>331770900.0273</v>
      </c>
      <c r="N42" s="70"/>
      <c r="O42" s="176"/>
      <c r="P42" s="72">
        <v>16</v>
      </c>
      <c r="Q42" s="176"/>
      <c r="R42" s="66" t="s">
        <v>203</v>
      </c>
      <c r="S42" s="66">
        <v>37465773.714500003</v>
      </c>
      <c r="T42" s="66">
        <v>0</v>
      </c>
      <c r="U42" s="66">
        <v>115583409.5103</v>
      </c>
      <c r="V42" s="66">
        <v>5661565.3299000002</v>
      </c>
      <c r="W42" s="66">
        <v>4591475.4967</v>
      </c>
      <c r="X42" s="66">
        <v>0</v>
      </c>
      <c r="Y42" s="66">
        <f t="shared" si="8"/>
        <v>4591475.4967</v>
      </c>
      <c r="Z42" s="66">
        <v>192857965.67550001</v>
      </c>
      <c r="AA42" s="71">
        <f t="shared" si="4"/>
        <v>356160189.72689998</v>
      </c>
    </row>
    <row r="43" spans="1:27" ht="24.95" customHeight="1">
      <c r="A43" s="181"/>
      <c r="B43" s="176"/>
      <c r="C43" s="62">
        <v>19</v>
      </c>
      <c r="D43" s="66" t="s">
        <v>204</v>
      </c>
      <c r="E43" s="66">
        <v>40517566.994000003</v>
      </c>
      <c r="F43" s="66">
        <v>0</v>
      </c>
      <c r="G43" s="66">
        <v>124998313.76540001</v>
      </c>
      <c r="H43" s="66">
        <v>6001928.7874999996</v>
      </c>
      <c r="I43" s="66">
        <v>4965476.4227999998</v>
      </c>
      <c r="J43" s="66">
        <v>0</v>
      </c>
      <c r="K43" s="66">
        <f t="shared" si="7"/>
        <v>4965476.4227999998</v>
      </c>
      <c r="L43" s="66">
        <v>208292847.22729999</v>
      </c>
      <c r="M43" s="71">
        <f t="shared" si="3"/>
        <v>384776133.19700003</v>
      </c>
      <c r="N43" s="70"/>
      <c r="O43" s="176"/>
      <c r="P43" s="72">
        <v>17</v>
      </c>
      <c r="Q43" s="176"/>
      <c r="R43" s="66" t="s">
        <v>205</v>
      </c>
      <c r="S43" s="66">
        <v>38675400.302900001</v>
      </c>
      <c r="T43" s="66">
        <v>0</v>
      </c>
      <c r="U43" s="66">
        <v>119315155.8874</v>
      </c>
      <c r="V43" s="66">
        <v>6034844.8789999997</v>
      </c>
      <c r="W43" s="66">
        <v>4739716.6857000003</v>
      </c>
      <c r="X43" s="66">
        <v>0</v>
      </c>
      <c r="Y43" s="66">
        <f t="shared" si="8"/>
        <v>4739716.6857000003</v>
      </c>
      <c r="Z43" s="66">
        <v>206128834.13890001</v>
      </c>
      <c r="AA43" s="71">
        <f t="shared" si="4"/>
        <v>374893951.89389998</v>
      </c>
    </row>
    <row r="44" spans="1:27" ht="24.95" customHeight="1">
      <c r="A44" s="181"/>
      <c r="B44" s="176"/>
      <c r="C44" s="62">
        <v>20</v>
      </c>
      <c r="D44" s="66" t="s">
        <v>206</v>
      </c>
      <c r="E44" s="66">
        <v>34714675.996699996</v>
      </c>
      <c r="F44" s="66">
        <v>0</v>
      </c>
      <c r="G44" s="66">
        <v>107096163.0828</v>
      </c>
      <c r="H44" s="66">
        <v>4417417.0318</v>
      </c>
      <c r="I44" s="66">
        <v>4254325.1723999996</v>
      </c>
      <c r="J44" s="66">
        <v>0</v>
      </c>
      <c r="K44" s="66">
        <f t="shared" si="7"/>
        <v>4254325.1723999996</v>
      </c>
      <c r="L44" s="66">
        <v>151960141.24419999</v>
      </c>
      <c r="M44" s="71">
        <f t="shared" si="3"/>
        <v>302442722.52789998</v>
      </c>
      <c r="N44" s="70"/>
      <c r="O44" s="176"/>
      <c r="P44" s="72">
        <v>18</v>
      </c>
      <c r="Q44" s="176"/>
      <c r="R44" s="66" t="s">
        <v>207</v>
      </c>
      <c r="S44" s="66">
        <v>37022991.279200003</v>
      </c>
      <c r="T44" s="66">
        <v>0</v>
      </c>
      <c r="U44" s="66">
        <v>114217407.99860001</v>
      </c>
      <c r="V44" s="66">
        <v>5826632.4845000003</v>
      </c>
      <c r="W44" s="66">
        <v>4537211.9784000004</v>
      </c>
      <c r="X44" s="66">
        <v>0</v>
      </c>
      <c r="Y44" s="66">
        <f t="shared" si="8"/>
        <v>4537211.9784000004</v>
      </c>
      <c r="Z44" s="66">
        <v>198726448.15970001</v>
      </c>
      <c r="AA44" s="71">
        <f t="shared" si="4"/>
        <v>360330691.90039998</v>
      </c>
    </row>
    <row r="45" spans="1:27" ht="24.95" customHeight="1">
      <c r="A45" s="181"/>
      <c r="B45" s="176"/>
      <c r="C45" s="68">
        <v>21</v>
      </c>
      <c r="D45" s="66" t="s">
        <v>208</v>
      </c>
      <c r="E45" s="66">
        <v>33641140.119400002</v>
      </c>
      <c r="F45" s="66">
        <v>0</v>
      </c>
      <c r="G45" s="66">
        <v>103784261.9892</v>
      </c>
      <c r="H45" s="66">
        <v>6023445.0822000001</v>
      </c>
      <c r="I45" s="66">
        <v>4122762.0633</v>
      </c>
      <c r="J45" s="66">
        <v>0</v>
      </c>
      <c r="K45" s="66">
        <f t="shared" si="7"/>
        <v>4122762.0633</v>
      </c>
      <c r="L45" s="66">
        <v>209057796.48989999</v>
      </c>
      <c r="M45" s="71">
        <f t="shared" si="3"/>
        <v>356629405.74400002</v>
      </c>
      <c r="N45" s="70"/>
      <c r="O45" s="176"/>
      <c r="P45" s="72">
        <v>19</v>
      </c>
      <c r="Q45" s="176"/>
      <c r="R45" s="66" t="s">
        <v>209</v>
      </c>
      <c r="S45" s="66">
        <v>40599932.778200001</v>
      </c>
      <c r="T45" s="66">
        <v>0</v>
      </c>
      <c r="U45" s="66">
        <v>125252415.5019</v>
      </c>
      <c r="V45" s="66">
        <v>6517609.6990999999</v>
      </c>
      <c r="W45" s="66">
        <v>4975570.4484000001</v>
      </c>
      <c r="X45" s="66">
        <v>0</v>
      </c>
      <c r="Y45" s="66">
        <f t="shared" si="8"/>
        <v>4975570.4484000001</v>
      </c>
      <c r="Z45" s="66">
        <v>223292132.90759999</v>
      </c>
      <c r="AA45" s="71">
        <f t="shared" si="4"/>
        <v>400637661.33520001</v>
      </c>
    </row>
    <row r="46" spans="1:27" ht="24.95" customHeight="1">
      <c r="A46" s="62"/>
      <c r="B46" s="195" t="s">
        <v>210</v>
      </c>
      <c r="C46" s="195"/>
      <c r="D46" s="67"/>
      <c r="E46" s="67">
        <f>SUM(E25:E45)</f>
        <v>711918405.98249996</v>
      </c>
      <c r="F46" s="67">
        <f t="shared" ref="F46:M46" si="9">SUM(F25:F45)</f>
        <v>-1E-4</v>
      </c>
      <c r="G46" s="67">
        <f t="shared" si="9"/>
        <v>2196296739.6244001</v>
      </c>
      <c r="H46" s="67">
        <f t="shared" si="9"/>
        <v>116143729.97409999</v>
      </c>
      <c r="I46" s="67">
        <f t="shared" si="9"/>
        <v>87246454.368100002</v>
      </c>
      <c r="J46" s="67">
        <f t="shared" si="9"/>
        <v>0</v>
      </c>
      <c r="K46" s="67">
        <f t="shared" si="9"/>
        <v>87246454.368100002</v>
      </c>
      <c r="L46" s="67">
        <f t="shared" si="9"/>
        <v>4022298762.7915001</v>
      </c>
      <c r="M46" s="67">
        <f t="shared" si="9"/>
        <v>7133904092.7405005</v>
      </c>
      <c r="N46" s="70"/>
      <c r="O46" s="176"/>
      <c r="P46" s="72">
        <v>20</v>
      </c>
      <c r="Q46" s="176"/>
      <c r="R46" s="66" t="s">
        <v>211</v>
      </c>
      <c r="S46" s="66">
        <v>32330639.646499999</v>
      </c>
      <c r="T46" s="66">
        <v>0</v>
      </c>
      <c r="U46" s="66">
        <v>99741315.646400005</v>
      </c>
      <c r="V46" s="66">
        <v>5455256.7330999998</v>
      </c>
      <c r="W46" s="66">
        <v>3962158.6587999999</v>
      </c>
      <c r="X46" s="66">
        <v>0</v>
      </c>
      <c r="Y46" s="66">
        <f t="shared" si="8"/>
        <v>3962158.6587999999</v>
      </c>
      <c r="Z46" s="66">
        <v>185523263.6886</v>
      </c>
      <c r="AA46" s="71">
        <f t="shared" si="4"/>
        <v>327012634.37339997</v>
      </c>
    </row>
    <row r="47" spans="1:27" ht="24.95" customHeight="1">
      <c r="A47" s="181">
        <v>3</v>
      </c>
      <c r="B47" s="175" t="s">
        <v>212</v>
      </c>
      <c r="C47" s="69">
        <v>1</v>
      </c>
      <c r="D47" s="66" t="s">
        <v>213</v>
      </c>
      <c r="E47" s="66">
        <v>32303447.3631</v>
      </c>
      <c r="F47" s="66">
        <v>0</v>
      </c>
      <c r="G47" s="66">
        <v>99657426.364999995</v>
      </c>
      <c r="H47" s="66">
        <v>5384832.0155999996</v>
      </c>
      <c r="I47" s="66">
        <v>3958826.2119</v>
      </c>
      <c r="J47" s="66">
        <f t="shared" ref="J47:J77" si="10">I47/2</f>
        <v>1979413.10595</v>
      </c>
      <c r="K47" s="66">
        <f t="shared" ref="K47:K77" si="11">I47-J47</f>
        <v>1979413.10595</v>
      </c>
      <c r="L47" s="66">
        <v>188616299.2326</v>
      </c>
      <c r="M47" s="71">
        <f t="shared" si="3"/>
        <v>327941418.08225</v>
      </c>
      <c r="N47" s="70"/>
      <c r="O47" s="176"/>
      <c r="P47" s="72">
        <v>21</v>
      </c>
      <c r="Q47" s="176"/>
      <c r="R47" s="66" t="s">
        <v>107</v>
      </c>
      <c r="S47" s="66">
        <v>44527835.390500002</v>
      </c>
      <c r="T47" s="66">
        <v>0</v>
      </c>
      <c r="U47" s="66">
        <v>137370152.06900001</v>
      </c>
      <c r="V47" s="66">
        <v>7336806.0055999998</v>
      </c>
      <c r="W47" s="66">
        <v>5456939.6238000002</v>
      </c>
      <c r="X47" s="66">
        <v>0</v>
      </c>
      <c r="Y47" s="66">
        <f t="shared" si="8"/>
        <v>5456939.6238000002</v>
      </c>
      <c r="Z47" s="66">
        <v>252416274.46540001</v>
      </c>
      <c r="AA47" s="71">
        <f t="shared" si="4"/>
        <v>447108007.55430001</v>
      </c>
    </row>
    <row r="48" spans="1:27" ht="24.95" customHeight="1">
      <c r="A48" s="181"/>
      <c r="B48" s="176"/>
      <c r="C48" s="62">
        <v>2</v>
      </c>
      <c r="D48" s="66" t="s">
        <v>214</v>
      </c>
      <c r="E48" s="66">
        <v>25222482.585099999</v>
      </c>
      <c r="F48" s="66">
        <v>0</v>
      </c>
      <c r="G48" s="66">
        <v>77812366.981399998</v>
      </c>
      <c r="H48" s="66">
        <v>4499994.1129000001</v>
      </c>
      <c r="I48" s="66">
        <v>3091045.4870000002</v>
      </c>
      <c r="J48" s="66">
        <f t="shared" si="10"/>
        <v>1545522.7435000001</v>
      </c>
      <c r="K48" s="66">
        <f t="shared" si="11"/>
        <v>1545522.7435000001</v>
      </c>
      <c r="L48" s="66">
        <v>157158461.6785</v>
      </c>
      <c r="M48" s="71">
        <f t="shared" si="3"/>
        <v>266238828.10139999</v>
      </c>
      <c r="N48" s="70"/>
      <c r="O48" s="176"/>
      <c r="P48" s="72">
        <v>22</v>
      </c>
      <c r="Q48" s="176"/>
      <c r="R48" s="66" t="s">
        <v>215</v>
      </c>
      <c r="S48" s="66">
        <v>31331698.877700001</v>
      </c>
      <c r="T48" s="66">
        <v>0</v>
      </c>
      <c r="U48" s="66">
        <v>96659543.444399998</v>
      </c>
      <c r="V48" s="66">
        <v>5073900.1246999996</v>
      </c>
      <c r="W48" s="66">
        <v>3839737.2696000002</v>
      </c>
      <c r="X48" s="66">
        <v>0</v>
      </c>
      <c r="Y48" s="66">
        <f t="shared" si="8"/>
        <v>3839737.2696000002</v>
      </c>
      <c r="Z48" s="66">
        <v>171965238.87900001</v>
      </c>
      <c r="AA48" s="71">
        <f t="shared" si="4"/>
        <v>308870118.59539998</v>
      </c>
    </row>
    <row r="49" spans="1:27" ht="24.95" customHeight="1">
      <c r="A49" s="181"/>
      <c r="B49" s="176"/>
      <c r="C49" s="62">
        <v>3</v>
      </c>
      <c r="D49" s="66" t="s">
        <v>216</v>
      </c>
      <c r="E49" s="66">
        <v>33300822.451000001</v>
      </c>
      <c r="F49" s="66">
        <v>0</v>
      </c>
      <c r="G49" s="66">
        <v>102734368.37890001</v>
      </c>
      <c r="H49" s="66">
        <v>5761840.3048</v>
      </c>
      <c r="I49" s="66">
        <v>4081055.7248999998</v>
      </c>
      <c r="J49" s="66">
        <f t="shared" si="10"/>
        <v>2040527.8624499999</v>
      </c>
      <c r="K49" s="66">
        <f t="shared" si="11"/>
        <v>2040527.8624499999</v>
      </c>
      <c r="L49" s="66">
        <v>202019732.20179999</v>
      </c>
      <c r="M49" s="71">
        <f t="shared" si="3"/>
        <v>345857291.19894999</v>
      </c>
      <c r="N49" s="70"/>
      <c r="O49" s="176"/>
      <c r="P49" s="72">
        <v>23</v>
      </c>
      <c r="Q49" s="176"/>
      <c r="R49" s="66" t="s">
        <v>217</v>
      </c>
      <c r="S49" s="66">
        <v>29600149.784600001</v>
      </c>
      <c r="T49" s="66">
        <v>0</v>
      </c>
      <c r="U49" s="66">
        <v>91317645.277700007</v>
      </c>
      <c r="V49" s="66">
        <v>4867591.5279999999</v>
      </c>
      <c r="W49" s="66">
        <v>3627533.8517999998</v>
      </c>
      <c r="X49" s="66">
        <v>0</v>
      </c>
      <c r="Y49" s="66">
        <f t="shared" si="8"/>
        <v>3627533.8517999998</v>
      </c>
      <c r="Z49" s="66">
        <v>164630536.89210001</v>
      </c>
      <c r="AA49" s="71">
        <f t="shared" si="4"/>
        <v>294043457.33420002</v>
      </c>
    </row>
    <row r="50" spans="1:27" ht="24.95" customHeight="1">
      <c r="A50" s="181"/>
      <c r="B50" s="176"/>
      <c r="C50" s="62">
        <v>4</v>
      </c>
      <c r="D50" s="66" t="s">
        <v>218</v>
      </c>
      <c r="E50" s="66">
        <v>25528862.8222</v>
      </c>
      <c r="F50" s="66">
        <v>0</v>
      </c>
      <c r="G50" s="66">
        <v>78757562.259399995</v>
      </c>
      <c r="H50" s="66">
        <v>4658290.9568999996</v>
      </c>
      <c r="I50" s="66">
        <v>3128592.7524999999</v>
      </c>
      <c r="J50" s="66">
        <f t="shared" si="10"/>
        <v>1564296.37625</v>
      </c>
      <c r="K50" s="66">
        <f t="shared" si="11"/>
        <v>1564296.37625</v>
      </c>
      <c r="L50" s="66">
        <v>162786245.46790001</v>
      </c>
      <c r="M50" s="71">
        <f t="shared" si="3"/>
        <v>273295257.88265002</v>
      </c>
      <c r="N50" s="70"/>
      <c r="O50" s="176"/>
      <c r="P50" s="72">
        <v>24</v>
      </c>
      <c r="Q50" s="176"/>
      <c r="R50" s="66" t="s">
        <v>219</v>
      </c>
      <c r="S50" s="66">
        <v>36008138.5396</v>
      </c>
      <c r="T50" s="66">
        <v>0</v>
      </c>
      <c r="U50" s="66">
        <v>111086546.7306</v>
      </c>
      <c r="V50" s="66">
        <v>6015626.6597999996</v>
      </c>
      <c r="W50" s="66">
        <v>4412840.5581</v>
      </c>
      <c r="X50" s="66">
        <v>0</v>
      </c>
      <c r="Y50" s="66">
        <f t="shared" si="8"/>
        <v>4412840.5581</v>
      </c>
      <c r="Z50" s="66">
        <v>205445586.26350001</v>
      </c>
      <c r="AA50" s="71">
        <f t="shared" si="4"/>
        <v>362968738.75160003</v>
      </c>
    </row>
    <row r="51" spans="1:27" ht="24.95" customHeight="1">
      <c r="A51" s="181"/>
      <c r="B51" s="176"/>
      <c r="C51" s="62">
        <v>5</v>
      </c>
      <c r="D51" s="66" t="s">
        <v>220</v>
      </c>
      <c r="E51" s="66">
        <v>34306599.659400001</v>
      </c>
      <c r="F51" s="66">
        <v>0</v>
      </c>
      <c r="G51" s="66">
        <v>105837231.2703</v>
      </c>
      <c r="H51" s="66">
        <v>5988392.2426000005</v>
      </c>
      <c r="I51" s="66">
        <v>4204314.9278999995</v>
      </c>
      <c r="J51" s="66">
        <f t="shared" si="10"/>
        <v>2102157.4639499998</v>
      </c>
      <c r="K51" s="66">
        <f t="shared" si="11"/>
        <v>2102157.4639499998</v>
      </c>
      <c r="L51" s="66">
        <v>210074127.29069999</v>
      </c>
      <c r="M51" s="71">
        <f t="shared" si="3"/>
        <v>358308507.92694998</v>
      </c>
      <c r="N51" s="70"/>
      <c r="O51" s="176"/>
      <c r="P51" s="72">
        <v>25</v>
      </c>
      <c r="Q51" s="176"/>
      <c r="R51" s="66" t="s">
        <v>221</v>
      </c>
      <c r="S51" s="66">
        <v>35832421.810000002</v>
      </c>
      <c r="T51" s="66">
        <v>0</v>
      </c>
      <c r="U51" s="66">
        <v>110544453.5958</v>
      </c>
      <c r="V51" s="66">
        <v>5809948.9073000001</v>
      </c>
      <c r="W51" s="66">
        <v>4391306.2621999998</v>
      </c>
      <c r="X51" s="66">
        <v>0</v>
      </c>
      <c r="Y51" s="66">
        <f t="shared" si="8"/>
        <v>4391306.2621999998</v>
      </c>
      <c r="Z51" s="66">
        <v>198133312.10839999</v>
      </c>
      <c r="AA51" s="71">
        <f t="shared" si="4"/>
        <v>354711442.68370003</v>
      </c>
    </row>
    <row r="52" spans="1:27" ht="24.95" customHeight="1">
      <c r="A52" s="181"/>
      <c r="B52" s="176"/>
      <c r="C52" s="62">
        <v>6</v>
      </c>
      <c r="D52" s="66" t="s">
        <v>222</v>
      </c>
      <c r="E52" s="66">
        <v>29902066.137699999</v>
      </c>
      <c r="F52" s="66">
        <v>0</v>
      </c>
      <c r="G52" s="66">
        <v>92249069.295499995</v>
      </c>
      <c r="H52" s="66">
        <v>5005514.3859000001</v>
      </c>
      <c r="I52" s="66">
        <v>3664534.0630000001</v>
      </c>
      <c r="J52" s="66">
        <f t="shared" si="10"/>
        <v>1832267.0315</v>
      </c>
      <c r="K52" s="66">
        <f t="shared" si="11"/>
        <v>1832267.0315</v>
      </c>
      <c r="L52" s="66">
        <v>175130764.3793</v>
      </c>
      <c r="M52" s="71">
        <f t="shared" si="3"/>
        <v>304119681.2299</v>
      </c>
      <c r="N52" s="70"/>
      <c r="O52" s="176"/>
      <c r="P52" s="72">
        <v>26</v>
      </c>
      <c r="Q52" s="176"/>
      <c r="R52" s="66" t="s">
        <v>223</v>
      </c>
      <c r="S52" s="66">
        <v>33989627.151699997</v>
      </c>
      <c r="T52" s="66">
        <v>0</v>
      </c>
      <c r="U52" s="66">
        <v>104859358.41410001</v>
      </c>
      <c r="V52" s="66">
        <v>5742876.6464999998</v>
      </c>
      <c r="W52" s="66">
        <v>4165469.5669999998</v>
      </c>
      <c r="X52" s="66">
        <v>0</v>
      </c>
      <c r="Y52" s="66">
        <f t="shared" si="8"/>
        <v>4165469.5669999998</v>
      </c>
      <c r="Z52" s="66">
        <v>195748752.99349999</v>
      </c>
      <c r="AA52" s="71">
        <f t="shared" si="4"/>
        <v>344506084.77280003</v>
      </c>
    </row>
    <row r="53" spans="1:27" ht="24.95" customHeight="1">
      <c r="A53" s="181"/>
      <c r="B53" s="176"/>
      <c r="C53" s="62">
        <v>7</v>
      </c>
      <c r="D53" s="66" t="s">
        <v>224</v>
      </c>
      <c r="E53" s="66">
        <v>33914150.892200001</v>
      </c>
      <c r="F53" s="66">
        <v>0</v>
      </c>
      <c r="G53" s="66">
        <v>104626511.1366</v>
      </c>
      <c r="H53" s="66">
        <v>5724969.7120000003</v>
      </c>
      <c r="I53" s="66">
        <v>4156219.8609000002</v>
      </c>
      <c r="J53" s="66">
        <f t="shared" si="10"/>
        <v>2078109.9304500001</v>
      </c>
      <c r="K53" s="66">
        <f t="shared" si="11"/>
        <v>2078109.9304500001</v>
      </c>
      <c r="L53" s="66">
        <v>200708905.53349999</v>
      </c>
      <c r="M53" s="71">
        <f t="shared" si="3"/>
        <v>347052647.20475</v>
      </c>
      <c r="N53" s="70"/>
      <c r="O53" s="176"/>
      <c r="P53" s="72">
        <v>27</v>
      </c>
      <c r="Q53" s="176"/>
      <c r="R53" s="66" t="s">
        <v>225</v>
      </c>
      <c r="S53" s="66">
        <v>34703486.585699998</v>
      </c>
      <c r="T53" s="66">
        <v>0</v>
      </c>
      <c r="U53" s="66">
        <v>107061643.30249999</v>
      </c>
      <c r="V53" s="66">
        <v>5699708.8762999997</v>
      </c>
      <c r="W53" s="66">
        <v>4252953.8967000004</v>
      </c>
      <c r="X53" s="66">
        <v>0</v>
      </c>
      <c r="Y53" s="66">
        <f t="shared" si="8"/>
        <v>4252953.8967000004</v>
      </c>
      <c r="Z53" s="66">
        <v>194214048.50440001</v>
      </c>
      <c r="AA53" s="71">
        <f t="shared" si="4"/>
        <v>345931841.1656</v>
      </c>
    </row>
    <row r="54" spans="1:27" ht="24.95" customHeight="1">
      <c r="A54" s="181"/>
      <c r="B54" s="176"/>
      <c r="C54" s="62">
        <v>8</v>
      </c>
      <c r="D54" s="66" t="s">
        <v>226</v>
      </c>
      <c r="E54" s="66">
        <v>27173681.465399999</v>
      </c>
      <c r="F54" s="66">
        <v>0</v>
      </c>
      <c r="G54" s="66">
        <v>83831893.521400005</v>
      </c>
      <c r="H54" s="66">
        <v>4667134.0414000005</v>
      </c>
      <c r="I54" s="66">
        <v>3330167.2496000002</v>
      </c>
      <c r="J54" s="66">
        <f t="shared" si="10"/>
        <v>1665083.6248000001</v>
      </c>
      <c r="K54" s="66">
        <f t="shared" si="11"/>
        <v>1665083.6248000001</v>
      </c>
      <c r="L54" s="66">
        <v>163100635.6099</v>
      </c>
      <c r="M54" s="71">
        <f t="shared" si="3"/>
        <v>280438428.26289999</v>
      </c>
      <c r="N54" s="70"/>
      <c r="O54" s="176"/>
      <c r="P54" s="72">
        <v>28</v>
      </c>
      <c r="Q54" s="176"/>
      <c r="R54" s="66" t="s">
        <v>227</v>
      </c>
      <c r="S54" s="66">
        <v>29231252.773800001</v>
      </c>
      <c r="T54" s="66">
        <v>0</v>
      </c>
      <c r="U54" s="66">
        <v>90179583.253800005</v>
      </c>
      <c r="V54" s="66">
        <v>5048486.1139000002</v>
      </c>
      <c r="W54" s="66">
        <v>3582325.0808000001</v>
      </c>
      <c r="X54" s="66">
        <v>0</v>
      </c>
      <c r="Y54" s="66">
        <f t="shared" si="8"/>
        <v>3582325.0808000001</v>
      </c>
      <c r="Z54" s="66">
        <v>171061717.6557</v>
      </c>
      <c r="AA54" s="71">
        <f t="shared" si="4"/>
        <v>299103364.87800002</v>
      </c>
    </row>
    <row r="55" spans="1:27" ht="24.95" customHeight="1">
      <c r="A55" s="181"/>
      <c r="B55" s="176"/>
      <c r="C55" s="62">
        <v>9</v>
      </c>
      <c r="D55" s="66" t="s">
        <v>228</v>
      </c>
      <c r="E55" s="66">
        <v>31535997.570099998</v>
      </c>
      <c r="F55" s="66">
        <v>0</v>
      </c>
      <c r="G55" s="66">
        <v>97289813.076700002</v>
      </c>
      <c r="H55" s="66">
        <v>5362425.78</v>
      </c>
      <c r="I55" s="66">
        <v>3864774.3193999999</v>
      </c>
      <c r="J55" s="66">
        <f t="shared" si="10"/>
        <v>1932387.1597</v>
      </c>
      <c r="K55" s="66">
        <f t="shared" si="11"/>
        <v>1932387.1597</v>
      </c>
      <c r="L55" s="66">
        <v>187819710.70739999</v>
      </c>
      <c r="M55" s="71">
        <f t="shared" si="3"/>
        <v>323940334.29390001</v>
      </c>
      <c r="N55" s="70"/>
      <c r="O55" s="176"/>
      <c r="P55" s="72">
        <v>29</v>
      </c>
      <c r="Q55" s="176"/>
      <c r="R55" s="66" t="s">
        <v>229</v>
      </c>
      <c r="S55" s="66">
        <v>34977043.331500001</v>
      </c>
      <c r="T55" s="66">
        <v>0</v>
      </c>
      <c r="U55" s="66">
        <v>107905576.79809999</v>
      </c>
      <c r="V55" s="66">
        <v>5683712.4687999999</v>
      </c>
      <c r="W55" s="66">
        <v>4286478.6037999997</v>
      </c>
      <c r="X55" s="66">
        <v>0</v>
      </c>
      <c r="Y55" s="66">
        <f t="shared" si="8"/>
        <v>4286478.6037999997</v>
      </c>
      <c r="Z55" s="66">
        <v>193645342.76989999</v>
      </c>
      <c r="AA55" s="71">
        <f t="shared" si="4"/>
        <v>346498153.97210002</v>
      </c>
    </row>
    <row r="56" spans="1:27" ht="24.95" customHeight="1">
      <c r="A56" s="181"/>
      <c r="B56" s="176"/>
      <c r="C56" s="62">
        <v>10</v>
      </c>
      <c r="D56" s="66" t="s">
        <v>230</v>
      </c>
      <c r="E56" s="66">
        <v>34309705.401699997</v>
      </c>
      <c r="F56" s="66">
        <v>0</v>
      </c>
      <c r="G56" s="66">
        <v>105846812.6093</v>
      </c>
      <c r="H56" s="66">
        <v>5954281.5933999997</v>
      </c>
      <c r="I56" s="66">
        <v>4204695.5403000005</v>
      </c>
      <c r="J56" s="66">
        <f t="shared" si="10"/>
        <v>2102347.7701500002</v>
      </c>
      <c r="K56" s="66">
        <f t="shared" si="11"/>
        <v>2102347.7701500002</v>
      </c>
      <c r="L56" s="66">
        <v>208861422.3865</v>
      </c>
      <c r="M56" s="71">
        <f t="shared" si="3"/>
        <v>357074569.76104999</v>
      </c>
      <c r="N56" s="70"/>
      <c r="O56" s="176"/>
      <c r="P56" s="72">
        <v>30</v>
      </c>
      <c r="Q56" s="176"/>
      <c r="R56" s="66" t="s">
        <v>231</v>
      </c>
      <c r="S56" s="66">
        <v>31551398.323399998</v>
      </c>
      <c r="T56" s="66">
        <v>0</v>
      </c>
      <c r="U56" s="66">
        <v>97337325.016299993</v>
      </c>
      <c r="V56" s="66">
        <v>5481279.0581</v>
      </c>
      <c r="W56" s="66">
        <v>3866661.7001999998</v>
      </c>
      <c r="X56" s="66">
        <v>0</v>
      </c>
      <c r="Y56" s="66">
        <f t="shared" si="8"/>
        <v>3866661.7001999998</v>
      </c>
      <c r="Z56" s="66">
        <v>186448411.74959999</v>
      </c>
      <c r="AA56" s="71">
        <f t="shared" si="4"/>
        <v>324685075.84759998</v>
      </c>
    </row>
    <row r="57" spans="1:27" ht="24.95" customHeight="1">
      <c r="A57" s="181"/>
      <c r="B57" s="176"/>
      <c r="C57" s="62">
        <v>11</v>
      </c>
      <c r="D57" s="66" t="s">
        <v>232</v>
      </c>
      <c r="E57" s="66">
        <v>26405699.335999999</v>
      </c>
      <c r="F57" s="66">
        <v>0</v>
      </c>
      <c r="G57" s="66">
        <v>81462637.953899994</v>
      </c>
      <c r="H57" s="66">
        <v>4639635.9916000003</v>
      </c>
      <c r="I57" s="66">
        <v>3236050.1187</v>
      </c>
      <c r="J57" s="66">
        <f t="shared" si="10"/>
        <v>1618025.05935</v>
      </c>
      <c r="K57" s="66">
        <f t="shared" si="11"/>
        <v>1618025.05935</v>
      </c>
      <c r="L57" s="66">
        <v>162123022.44240001</v>
      </c>
      <c r="M57" s="71">
        <f t="shared" si="3"/>
        <v>276249020.78324997</v>
      </c>
      <c r="N57" s="70"/>
      <c r="O57" s="176"/>
      <c r="P57" s="72">
        <v>31</v>
      </c>
      <c r="Q57" s="176"/>
      <c r="R57" s="66" t="s">
        <v>233</v>
      </c>
      <c r="S57" s="66">
        <v>32690014.497299999</v>
      </c>
      <c r="T57" s="66">
        <v>0</v>
      </c>
      <c r="U57" s="66">
        <v>100850001.4263</v>
      </c>
      <c r="V57" s="66">
        <v>5281954.8081999999</v>
      </c>
      <c r="W57" s="66">
        <v>4006200.4777000002</v>
      </c>
      <c r="X57" s="66">
        <v>0</v>
      </c>
      <c r="Y57" s="66">
        <f t="shared" si="8"/>
        <v>4006200.4777000002</v>
      </c>
      <c r="Z57" s="66">
        <v>179362017.9003</v>
      </c>
      <c r="AA57" s="71">
        <f t="shared" si="4"/>
        <v>322190189.10979998</v>
      </c>
    </row>
    <row r="58" spans="1:27" ht="24.95" customHeight="1">
      <c r="A58" s="181"/>
      <c r="B58" s="176"/>
      <c r="C58" s="62">
        <v>12</v>
      </c>
      <c r="D58" s="66" t="s">
        <v>234</v>
      </c>
      <c r="E58" s="66">
        <v>31233197.380899999</v>
      </c>
      <c r="F58" s="66">
        <v>0</v>
      </c>
      <c r="G58" s="66">
        <v>96355662.389400005</v>
      </c>
      <c r="H58" s="66">
        <v>5303881.1814999999</v>
      </c>
      <c r="I58" s="66">
        <v>3827665.7930999999</v>
      </c>
      <c r="J58" s="66">
        <f t="shared" si="10"/>
        <v>1913832.8965499999</v>
      </c>
      <c r="K58" s="66">
        <f t="shared" si="11"/>
        <v>1913832.8965499999</v>
      </c>
      <c r="L58" s="66">
        <v>185738327.81850001</v>
      </c>
      <c r="M58" s="71">
        <f t="shared" si="3"/>
        <v>320544901.66684997</v>
      </c>
      <c r="N58" s="70"/>
      <c r="O58" s="176"/>
      <c r="P58" s="72">
        <v>32</v>
      </c>
      <c r="Q58" s="176"/>
      <c r="R58" s="66" t="s">
        <v>235</v>
      </c>
      <c r="S58" s="66">
        <v>35075714.479699999</v>
      </c>
      <c r="T58" s="66">
        <v>0</v>
      </c>
      <c r="U58" s="66">
        <v>108209981.2344</v>
      </c>
      <c r="V58" s="66">
        <v>5819625.6074000001</v>
      </c>
      <c r="W58" s="66">
        <v>4298570.8713999996</v>
      </c>
      <c r="X58" s="66">
        <v>0</v>
      </c>
      <c r="Y58" s="66">
        <f t="shared" si="8"/>
        <v>4298570.8713999996</v>
      </c>
      <c r="Z58" s="66">
        <v>198477339.02810001</v>
      </c>
      <c r="AA58" s="71">
        <f t="shared" si="4"/>
        <v>351881231.22100002</v>
      </c>
    </row>
    <row r="59" spans="1:27" ht="24.95" customHeight="1">
      <c r="A59" s="181"/>
      <c r="B59" s="176"/>
      <c r="C59" s="62">
        <v>13</v>
      </c>
      <c r="D59" s="66" t="s">
        <v>236</v>
      </c>
      <c r="E59" s="66">
        <v>31242003.365800001</v>
      </c>
      <c r="F59" s="66">
        <v>0</v>
      </c>
      <c r="G59" s="66">
        <v>96382829.204999998</v>
      </c>
      <c r="H59" s="66">
        <v>5305221.7254999997</v>
      </c>
      <c r="I59" s="66">
        <v>3828744.9772000001</v>
      </c>
      <c r="J59" s="66">
        <f t="shared" si="10"/>
        <v>1914372.4886</v>
      </c>
      <c r="K59" s="66">
        <f t="shared" si="11"/>
        <v>1914372.4886</v>
      </c>
      <c r="L59" s="66">
        <v>185785986.96110001</v>
      </c>
      <c r="M59" s="71">
        <f t="shared" si="3"/>
        <v>320630413.74599999</v>
      </c>
      <c r="N59" s="70"/>
      <c r="O59" s="176"/>
      <c r="P59" s="72">
        <v>33</v>
      </c>
      <c r="Q59" s="176"/>
      <c r="R59" s="66" t="s">
        <v>237</v>
      </c>
      <c r="S59" s="66">
        <v>33994974.7258</v>
      </c>
      <c r="T59" s="66">
        <v>0</v>
      </c>
      <c r="U59" s="66">
        <v>104875855.89380001</v>
      </c>
      <c r="V59" s="66">
        <v>5295889.7068999996</v>
      </c>
      <c r="W59" s="66">
        <v>4166124.9186</v>
      </c>
      <c r="X59" s="66">
        <v>0</v>
      </c>
      <c r="Y59" s="66">
        <f t="shared" ref="Y59:Y82" si="12">W59-X59</f>
        <v>4166124.9186</v>
      </c>
      <c r="Z59" s="66">
        <v>179857432.68450001</v>
      </c>
      <c r="AA59" s="71">
        <f t="shared" si="4"/>
        <v>328190277.9296</v>
      </c>
    </row>
    <row r="60" spans="1:27" ht="24.95" customHeight="1">
      <c r="A60" s="181"/>
      <c r="B60" s="176"/>
      <c r="C60" s="62">
        <v>14</v>
      </c>
      <c r="D60" s="66" t="s">
        <v>238</v>
      </c>
      <c r="E60" s="66">
        <v>32221478.8871</v>
      </c>
      <c r="F60" s="66">
        <v>0</v>
      </c>
      <c r="G60" s="66">
        <v>99404550.340200007</v>
      </c>
      <c r="H60" s="66">
        <v>5429745.8724999996</v>
      </c>
      <c r="I60" s="66">
        <v>3948780.8768000002</v>
      </c>
      <c r="J60" s="66">
        <f t="shared" si="10"/>
        <v>1974390.4384000001</v>
      </c>
      <c r="K60" s="66">
        <f t="shared" si="11"/>
        <v>1974390.4384000001</v>
      </c>
      <c r="L60" s="66">
        <v>190213080.75619999</v>
      </c>
      <c r="M60" s="71">
        <f t="shared" si="3"/>
        <v>329243246.29439998</v>
      </c>
      <c r="N60" s="70"/>
      <c r="O60" s="177"/>
      <c r="P60" s="72">
        <v>34</v>
      </c>
      <c r="Q60" s="177"/>
      <c r="R60" s="66" t="s">
        <v>239</v>
      </c>
      <c r="S60" s="66">
        <v>33317864.442000002</v>
      </c>
      <c r="T60" s="66">
        <v>0</v>
      </c>
      <c r="U60" s="66">
        <v>102786943.60259999</v>
      </c>
      <c r="V60" s="66">
        <v>5492532.8687000005</v>
      </c>
      <c r="W60" s="66">
        <v>4083144.2414000002</v>
      </c>
      <c r="X60" s="66">
        <v>0</v>
      </c>
      <c r="Y60" s="66">
        <f t="shared" si="12"/>
        <v>4083144.2414000002</v>
      </c>
      <c r="Z60" s="66">
        <v>186848508.24880001</v>
      </c>
      <c r="AA60" s="71">
        <f t="shared" si="4"/>
        <v>332528993.40350002</v>
      </c>
    </row>
    <row r="61" spans="1:27" ht="24.95" customHeight="1">
      <c r="A61" s="181"/>
      <c r="B61" s="176"/>
      <c r="C61" s="62">
        <v>15</v>
      </c>
      <c r="D61" s="66" t="s">
        <v>240</v>
      </c>
      <c r="E61" s="66">
        <v>29437478.632199999</v>
      </c>
      <c r="F61" s="66">
        <v>0</v>
      </c>
      <c r="G61" s="66">
        <v>90815798.270400003</v>
      </c>
      <c r="H61" s="66">
        <v>4935423.0848000003</v>
      </c>
      <c r="I61" s="66">
        <v>3607598.3070999999</v>
      </c>
      <c r="J61" s="66">
        <f t="shared" si="10"/>
        <v>1803799.1535499999</v>
      </c>
      <c r="K61" s="66">
        <f t="shared" si="11"/>
        <v>1803799.1535499999</v>
      </c>
      <c r="L61" s="66">
        <v>172638872.0695</v>
      </c>
      <c r="M61" s="71">
        <f t="shared" si="3"/>
        <v>299631371.21044999</v>
      </c>
      <c r="N61" s="70"/>
      <c r="O61" s="62"/>
      <c r="P61" s="189" t="s">
        <v>241</v>
      </c>
      <c r="Q61" s="190"/>
      <c r="R61" s="67"/>
      <c r="S61" s="67">
        <f>SUM(S27:S60)</f>
        <v>1183117157.0216</v>
      </c>
      <c r="T61" s="67">
        <f t="shared" ref="T61:AA61" si="13">SUM(T27:T60)</f>
        <v>-1E-4</v>
      </c>
      <c r="U61" s="67">
        <f t="shared" si="13"/>
        <v>3649963721.5791001</v>
      </c>
      <c r="V61" s="67">
        <f t="shared" si="13"/>
        <v>192731432.50799999</v>
      </c>
      <c r="W61" s="67">
        <f t="shared" si="13"/>
        <v>144992426.35789999</v>
      </c>
      <c r="X61" s="67">
        <f t="shared" si="13"/>
        <v>0</v>
      </c>
      <c r="Y61" s="67">
        <f t="shared" si="13"/>
        <v>144992426.35789999</v>
      </c>
      <c r="Z61" s="67">
        <f t="shared" si="13"/>
        <v>6565639742.4477997</v>
      </c>
      <c r="AA61" s="67">
        <f t="shared" si="13"/>
        <v>11736444479.914301</v>
      </c>
    </row>
    <row r="62" spans="1:27" ht="24.95" customHeight="1">
      <c r="A62" s="181"/>
      <c r="B62" s="176"/>
      <c r="C62" s="62">
        <v>16</v>
      </c>
      <c r="D62" s="66" t="s">
        <v>242</v>
      </c>
      <c r="E62" s="66">
        <v>30057148.619899999</v>
      </c>
      <c r="F62" s="66">
        <v>0</v>
      </c>
      <c r="G62" s="66">
        <v>92727504.952099994</v>
      </c>
      <c r="H62" s="66">
        <v>5249008.9976000004</v>
      </c>
      <c r="I62" s="66">
        <v>3683539.6072</v>
      </c>
      <c r="J62" s="66">
        <f t="shared" si="10"/>
        <v>1841769.8036</v>
      </c>
      <c r="K62" s="66">
        <f t="shared" si="11"/>
        <v>1841769.8036</v>
      </c>
      <c r="L62" s="66">
        <v>183787506.95039999</v>
      </c>
      <c r="M62" s="71">
        <f t="shared" si="3"/>
        <v>313662939.32359999</v>
      </c>
      <c r="N62" s="70"/>
      <c r="O62" s="175">
        <v>21</v>
      </c>
      <c r="P62" s="72">
        <v>1</v>
      </c>
      <c r="Q62" s="175" t="s">
        <v>108</v>
      </c>
      <c r="R62" s="66" t="s">
        <v>243</v>
      </c>
      <c r="S62" s="66">
        <v>26676409.3827</v>
      </c>
      <c r="T62" s="66">
        <v>0</v>
      </c>
      <c r="U62" s="66">
        <v>82297789.268900007</v>
      </c>
      <c r="V62" s="66">
        <v>4436686.7559000002</v>
      </c>
      <c r="W62" s="66">
        <v>3269225.9596000002</v>
      </c>
      <c r="X62" s="66">
        <f>W62/2</f>
        <v>1634612.9798000001</v>
      </c>
      <c r="Y62" s="66">
        <f t="shared" si="12"/>
        <v>1634612.9798000001</v>
      </c>
      <c r="Z62" s="66">
        <v>149799699.12549999</v>
      </c>
      <c r="AA62" s="71">
        <f t="shared" si="4"/>
        <v>264845197.51280001</v>
      </c>
    </row>
    <row r="63" spans="1:27" ht="24.95" customHeight="1">
      <c r="A63" s="181"/>
      <c r="B63" s="176"/>
      <c r="C63" s="62">
        <v>17</v>
      </c>
      <c r="D63" s="66" t="s">
        <v>244</v>
      </c>
      <c r="E63" s="66">
        <v>28056561.5583</v>
      </c>
      <c r="F63" s="66">
        <v>0</v>
      </c>
      <c r="G63" s="66">
        <v>86555613.898800001</v>
      </c>
      <c r="H63" s="66">
        <v>4989675.6895000003</v>
      </c>
      <c r="I63" s="66">
        <v>3438365.2637999998</v>
      </c>
      <c r="J63" s="66">
        <f t="shared" si="10"/>
        <v>1719182.6318999999</v>
      </c>
      <c r="K63" s="66">
        <f t="shared" si="11"/>
        <v>1719182.6318999999</v>
      </c>
      <c r="L63" s="66">
        <v>174567665.60280001</v>
      </c>
      <c r="M63" s="71">
        <f t="shared" si="3"/>
        <v>295888699.38129997</v>
      </c>
      <c r="N63" s="70"/>
      <c r="O63" s="176"/>
      <c r="P63" s="72">
        <v>2</v>
      </c>
      <c r="Q63" s="176"/>
      <c r="R63" s="66" t="s">
        <v>245</v>
      </c>
      <c r="S63" s="66">
        <v>43588196.560099997</v>
      </c>
      <c r="T63" s="66">
        <v>0</v>
      </c>
      <c r="U63" s="66">
        <v>134471328.71759999</v>
      </c>
      <c r="V63" s="66">
        <v>5766607.8004000001</v>
      </c>
      <c r="W63" s="66">
        <v>5341785.7582999999</v>
      </c>
      <c r="X63" s="66">
        <f t="shared" ref="X63:X121" si="14">W63/2</f>
        <v>2670892.8791499999</v>
      </c>
      <c r="Y63" s="66">
        <f t="shared" si="12"/>
        <v>2670892.8791499999</v>
      </c>
      <c r="Z63" s="66">
        <v>197081172.99630001</v>
      </c>
      <c r="AA63" s="71">
        <f t="shared" si="4"/>
        <v>383578198.95354998</v>
      </c>
    </row>
    <row r="64" spans="1:27" ht="24.95" customHeight="1">
      <c r="A64" s="181"/>
      <c r="B64" s="176"/>
      <c r="C64" s="62">
        <v>18</v>
      </c>
      <c r="D64" s="66" t="s">
        <v>246</v>
      </c>
      <c r="E64" s="66">
        <v>34857601.109399997</v>
      </c>
      <c r="F64" s="66">
        <v>0</v>
      </c>
      <c r="G64" s="66">
        <v>107537092.7685</v>
      </c>
      <c r="H64" s="66">
        <v>5823561.6546999998</v>
      </c>
      <c r="I64" s="66">
        <v>4271840.8163999999</v>
      </c>
      <c r="J64" s="66">
        <f t="shared" si="10"/>
        <v>2135920.4081999999</v>
      </c>
      <c r="K64" s="66">
        <f t="shared" si="11"/>
        <v>2135920.4081999999</v>
      </c>
      <c r="L64" s="66">
        <v>204214055.24349999</v>
      </c>
      <c r="M64" s="71">
        <f t="shared" si="3"/>
        <v>354568231.18430001</v>
      </c>
      <c r="N64" s="70"/>
      <c r="O64" s="176"/>
      <c r="P64" s="72">
        <v>3</v>
      </c>
      <c r="Q64" s="176"/>
      <c r="R64" s="66" t="s">
        <v>247</v>
      </c>
      <c r="S64" s="66">
        <v>36713978.551399998</v>
      </c>
      <c r="T64" s="66">
        <v>0</v>
      </c>
      <c r="U64" s="66">
        <v>113264091.3811</v>
      </c>
      <c r="V64" s="66">
        <v>5895637.9776999997</v>
      </c>
      <c r="W64" s="66">
        <v>4499342.0979000004</v>
      </c>
      <c r="X64" s="66">
        <f t="shared" si="14"/>
        <v>2249671.0489500002</v>
      </c>
      <c r="Y64" s="66">
        <f t="shared" si="12"/>
        <v>2249671.0489500002</v>
      </c>
      <c r="Z64" s="66">
        <v>201668465.58989999</v>
      </c>
      <c r="AA64" s="71">
        <f t="shared" si="4"/>
        <v>359791844.54904997</v>
      </c>
    </row>
    <row r="65" spans="1:27" ht="24.95" customHeight="1">
      <c r="A65" s="181"/>
      <c r="B65" s="176"/>
      <c r="C65" s="62">
        <v>19</v>
      </c>
      <c r="D65" s="66" t="s">
        <v>248</v>
      </c>
      <c r="E65" s="66">
        <v>29086087.2795</v>
      </c>
      <c r="F65" s="66">
        <v>0</v>
      </c>
      <c r="G65" s="66">
        <v>89731741.901500002</v>
      </c>
      <c r="H65" s="66">
        <v>5041483.7726999996</v>
      </c>
      <c r="I65" s="66">
        <v>3564534.8753999998</v>
      </c>
      <c r="J65" s="66">
        <f t="shared" si="10"/>
        <v>1782267.4376999999</v>
      </c>
      <c r="K65" s="66">
        <f t="shared" si="11"/>
        <v>1782267.4376999999</v>
      </c>
      <c r="L65" s="66">
        <v>176409551.2879</v>
      </c>
      <c r="M65" s="71">
        <f t="shared" si="3"/>
        <v>302051131.67930001</v>
      </c>
      <c r="N65" s="70"/>
      <c r="O65" s="176"/>
      <c r="P65" s="72">
        <v>4</v>
      </c>
      <c r="Q65" s="176"/>
      <c r="R65" s="66" t="s">
        <v>249</v>
      </c>
      <c r="S65" s="66">
        <v>30313572.167300001</v>
      </c>
      <c r="T65" s="66">
        <v>0</v>
      </c>
      <c r="U65" s="66">
        <v>93518581.845899999</v>
      </c>
      <c r="V65" s="66">
        <v>5014742.8514999999</v>
      </c>
      <c r="W65" s="66">
        <v>3714964.6203999999</v>
      </c>
      <c r="X65" s="66">
        <f t="shared" si="14"/>
        <v>1857482.3101999999</v>
      </c>
      <c r="Y65" s="66">
        <f t="shared" si="12"/>
        <v>1857482.3101999999</v>
      </c>
      <c r="Z65" s="66">
        <v>170350801.9844</v>
      </c>
      <c r="AA65" s="71">
        <f t="shared" si="4"/>
        <v>301055181.15930003</v>
      </c>
    </row>
    <row r="66" spans="1:27" ht="24.95" customHeight="1">
      <c r="A66" s="181"/>
      <c r="B66" s="176"/>
      <c r="C66" s="62">
        <v>20</v>
      </c>
      <c r="D66" s="66" t="s">
        <v>250</v>
      </c>
      <c r="E66" s="66">
        <v>30603413.415199999</v>
      </c>
      <c r="F66" s="66">
        <v>0</v>
      </c>
      <c r="G66" s="66">
        <v>94412753.681500003</v>
      </c>
      <c r="H66" s="66">
        <v>5262504.5584000004</v>
      </c>
      <c r="I66" s="66">
        <v>3750485.0129</v>
      </c>
      <c r="J66" s="66">
        <f t="shared" si="10"/>
        <v>1875242.50645</v>
      </c>
      <c r="K66" s="66">
        <f t="shared" si="11"/>
        <v>1875242.50645</v>
      </c>
      <c r="L66" s="66">
        <v>184267302.35179999</v>
      </c>
      <c r="M66" s="71">
        <f t="shared" si="3"/>
        <v>316421216.51335001</v>
      </c>
      <c r="N66" s="70"/>
      <c r="O66" s="176"/>
      <c r="P66" s="72">
        <v>5</v>
      </c>
      <c r="Q66" s="176"/>
      <c r="R66" s="66" t="s">
        <v>251</v>
      </c>
      <c r="S66" s="66">
        <v>40371768.9595</v>
      </c>
      <c r="T66" s="66">
        <v>0</v>
      </c>
      <c r="U66" s="66">
        <v>124548521.00120001</v>
      </c>
      <c r="V66" s="66">
        <v>6372522.4282999998</v>
      </c>
      <c r="W66" s="66">
        <v>4947608.6988000004</v>
      </c>
      <c r="X66" s="66">
        <f t="shared" si="14"/>
        <v>2473804.3494000002</v>
      </c>
      <c r="Y66" s="66">
        <f t="shared" si="12"/>
        <v>2473804.3494000002</v>
      </c>
      <c r="Z66" s="66">
        <v>218622704.92660001</v>
      </c>
      <c r="AA66" s="71">
        <f t="shared" si="4"/>
        <v>392389321.66500002</v>
      </c>
    </row>
    <row r="67" spans="1:27" ht="24.95" customHeight="1">
      <c r="A67" s="181"/>
      <c r="B67" s="176"/>
      <c r="C67" s="62">
        <v>21</v>
      </c>
      <c r="D67" s="66" t="s">
        <v>252</v>
      </c>
      <c r="E67" s="66">
        <v>31831994.911400001</v>
      </c>
      <c r="F67" s="66">
        <v>0</v>
      </c>
      <c r="G67" s="66">
        <v>98202976.706300005</v>
      </c>
      <c r="H67" s="66">
        <v>5488369.3266000003</v>
      </c>
      <c r="I67" s="66">
        <v>3901049.1485000001</v>
      </c>
      <c r="J67" s="66">
        <f t="shared" si="10"/>
        <v>1950524.5742500001</v>
      </c>
      <c r="K67" s="66">
        <f t="shared" si="11"/>
        <v>1950524.5742500001</v>
      </c>
      <c r="L67" s="66">
        <v>192297267.12400001</v>
      </c>
      <c r="M67" s="71">
        <f t="shared" si="3"/>
        <v>329771132.64254999</v>
      </c>
      <c r="N67" s="70"/>
      <c r="O67" s="176"/>
      <c r="P67" s="72">
        <v>6</v>
      </c>
      <c r="Q67" s="176"/>
      <c r="R67" s="66" t="s">
        <v>253</v>
      </c>
      <c r="S67" s="66">
        <v>49392417.132399999</v>
      </c>
      <c r="T67" s="66">
        <v>0</v>
      </c>
      <c r="U67" s="66">
        <v>152377581.1927</v>
      </c>
      <c r="V67" s="66">
        <v>6717267.5405999999</v>
      </c>
      <c r="W67" s="66">
        <v>6053099.9497999996</v>
      </c>
      <c r="X67" s="66">
        <f t="shared" si="14"/>
        <v>3026549.9748999998</v>
      </c>
      <c r="Y67" s="66">
        <f t="shared" si="12"/>
        <v>3026549.9748999998</v>
      </c>
      <c r="Z67" s="66">
        <v>230879114.49880001</v>
      </c>
      <c r="AA67" s="71">
        <f t="shared" si="4"/>
        <v>442392930.33939999</v>
      </c>
    </row>
    <row r="68" spans="1:27" ht="24.95" customHeight="1">
      <c r="A68" s="181"/>
      <c r="B68" s="176"/>
      <c r="C68" s="62">
        <v>22</v>
      </c>
      <c r="D68" s="66" t="s">
        <v>254</v>
      </c>
      <c r="E68" s="66">
        <v>27360432.769499999</v>
      </c>
      <c r="F68" s="66">
        <v>0</v>
      </c>
      <c r="G68" s="66">
        <v>84408028.759299994</v>
      </c>
      <c r="H68" s="66">
        <v>4990182.6179</v>
      </c>
      <c r="I68" s="66">
        <v>3353053.8459000001</v>
      </c>
      <c r="J68" s="66">
        <f t="shared" si="10"/>
        <v>1676526.92295</v>
      </c>
      <c r="K68" s="66">
        <f t="shared" si="11"/>
        <v>1676526.92295</v>
      </c>
      <c r="L68" s="66">
        <v>174585687.96759999</v>
      </c>
      <c r="M68" s="71">
        <f t="shared" si="3"/>
        <v>293020859.03724998</v>
      </c>
      <c r="N68" s="70"/>
      <c r="O68" s="176"/>
      <c r="P68" s="72">
        <v>7</v>
      </c>
      <c r="Q68" s="176"/>
      <c r="R68" s="66" t="s">
        <v>255</v>
      </c>
      <c r="S68" s="66">
        <v>33649686.949600004</v>
      </c>
      <c r="T68" s="66">
        <v>0</v>
      </c>
      <c r="U68" s="66">
        <v>103810629.302</v>
      </c>
      <c r="V68" s="66">
        <v>5061763.2775999997</v>
      </c>
      <c r="W68" s="66">
        <v>4123809.4876000001</v>
      </c>
      <c r="X68" s="66">
        <f t="shared" si="14"/>
        <v>2061904.7438000001</v>
      </c>
      <c r="Y68" s="66">
        <f t="shared" si="12"/>
        <v>2061904.7438000001</v>
      </c>
      <c r="Z68" s="66">
        <v>172022476.44620001</v>
      </c>
      <c r="AA68" s="71">
        <f t="shared" si="4"/>
        <v>316606460.71920002</v>
      </c>
    </row>
    <row r="69" spans="1:27" ht="24.95" customHeight="1">
      <c r="A69" s="181"/>
      <c r="B69" s="176"/>
      <c r="C69" s="62">
        <v>23</v>
      </c>
      <c r="D69" s="66" t="s">
        <v>256</v>
      </c>
      <c r="E69" s="66">
        <v>28569614.3013</v>
      </c>
      <c r="F69" s="66">
        <v>0</v>
      </c>
      <c r="G69" s="66">
        <v>88138402.118799999</v>
      </c>
      <c r="H69" s="66">
        <v>5207778.8205000004</v>
      </c>
      <c r="I69" s="66">
        <v>3501240.4926</v>
      </c>
      <c r="J69" s="66">
        <f t="shared" si="10"/>
        <v>1750620.2463</v>
      </c>
      <c r="K69" s="66">
        <f t="shared" si="11"/>
        <v>1750620.2463</v>
      </c>
      <c r="L69" s="66">
        <v>182321687.94459999</v>
      </c>
      <c r="M69" s="71">
        <f t="shared" si="3"/>
        <v>305988103.43150002</v>
      </c>
      <c r="N69" s="70"/>
      <c r="O69" s="176"/>
      <c r="P69" s="72">
        <v>8</v>
      </c>
      <c r="Q69" s="176"/>
      <c r="R69" s="66" t="s">
        <v>257</v>
      </c>
      <c r="S69" s="66">
        <v>35747905.300800003</v>
      </c>
      <c r="T69" s="66">
        <v>0</v>
      </c>
      <c r="U69" s="66">
        <v>110283716.78659999</v>
      </c>
      <c r="V69" s="66">
        <v>5318742.1849999996</v>
      </c>
      <c r="W69" s="66">
        <v>4380948.6626000004</v>
      </c>
      <c r="X69" s="66">
        <f t="shared" si="14"/>
        <v>2190474.3313000002</v>
      </c>
      <c r="Y69" s="66">
        <f t="shared" si="12"/>
        <v>2190474.3313000002</v>
      </c>
      <c r="Z69" s="66">
        <v>181158613.92160001</v>
      </c>
      <c r="AA69" s="71">
        <f t="shared" si="4"/>
        <v>334699452.52530003</v>
      </c>
    </row>
    <row r="70" spans="1:27" ht="24.95" customHeight="1">
      <c r="A70" s="181"/>
      <c r="B70" s="176"/>
      <c r="C70" s="62">
        <v>24</v>
      </c>
      <c r="D70" s="66" t="s">
        <v>258</v>
      </c>
      <c r="E70" s="66">
        <v>29263320.1164</v>
      </c>
      <c r="F70" s="66">
        <v>0</v>
      </c>
      <c r="G70" s="66">
        <v>90278512.287599996</v>
      </c>
      <c r="H70" s="66">
        <v>4803227.4211999997</v>
      </c>
      <c r="I70" s="66">
        <v>3586254.9720999999</v>
      </c>
      <c r="J70" s="66">
        <f t="shared" si="10"/>
        <v>1793127.4860499999</v>
      </c>
      <c r="K70" s="66">
        <f t="shared" si="11"/>
        <v>1793127.4860499999</v>
      </c>
      <c r="L70" s="66">
        <v>167939039.81999999</v>
      </c>
      <c r="M70" s="71">
        <f t="shared" si="3"/>
        <v>294077227.13125002</v>
      </c>
      <c r="N70" s="70"/>
      <c r="O70" s="176"/>
      <c r="P70" s="72">
        <v>9</v>
      </c>
      <c r="Q70" s="176"/>
      <c r="R70" s="66" t="s">
        <v>259</v>
      </c>
      <c r="S70" s="66">
        <v>44410119.847099997</v>
      </c>
      <c r="T70" s="66">
        <v>0</v>
      </c>
      <c r="U70" s="66">
        <v>137006994.91229999</v>
      </c>
      <c r="V70" s="66">
        <v>6681027.7920000004</v>
      </c>
      <c r="W70" s="66">
        <v>5442513.4428000003</v>
      </c>
      <c r="X70" s="66">
        <f t="shared" si="14"/>
        <v>2721256.7214000002</v>
      </c>
      <c r="Y70" s="66">
        <f t="shared" si="12"/>
        <v>2721256.7214000002</v>
      </c>
      <c r="Z70" s="66">
        <v>229590715.66229999</v>
      </c>
      <c r="AA70" s="71">
        <f t="shared" si="4"/>
        <v>420410114.93510002</v>
      </c>
    </row>
    <row r="71" spans="1:27" ht="24.95" customHeight="1">
      <c r="A71" s="181"/>
      <c r="B71" s="176"/>
      <c r="C71" s="62">
        <v>25</v>
      </c>
      <c r="D71" s="66" t="s">
        <v>260</v>
      </c>
      <c r="E71" s="66">
        <v>34478673.687700003</v>
      </c>
      <c r="F71" s="66">
        <v>0</v>
      </c>
      <c r="G71" s="66">
        <v>106368086.5256</v>
      </c>
      <c r="H71" s="66">
        <v>5762933.0170999998</v>
      </c>
      <c r="I71" s="66">
        <v>4225402.8064000001</v>
      </c>
      <c r="J71" s="66">
        <f t="shared" si="10"/>
        <v>2112701.4032000001</v>
      </c>
      <c r="K71" s="66">
        <f t="shared" si="11"/>
        <v>2112701.4032000001</v>
      </c>
      <c r="L71" s="66">
        <v>202058580.4104</v>
      </c>
      <c r="M71" s="71">
        <f t="shared" si="3"/>
        <v>350780975.04400003</v>
      </c>
      <c r="N71" s="70"/>
      <c r="O71" s="176"/>
      <c r="P71" s="72">
        <v>10</v>
      </c>
      <c r="Q71" s="176"/>
      <c r="R71" s="66" t="s">
        <v>261</v>
      </c>
      <c r="S71" s="66">
        <v>30923093.4111</v>
      </c>
      <c r="T71" s="66">
        <v>0</v>
      </c>
      <c r="U71" s="66">
        <v>95398979.246900007</v>
      </c>
      <c r="V71" s="66">
        <v>5058958.2736999998</v>
      </c>
      <c r="W71" s="66">
        <v>3789662.1797000002</v>
      </c>
      <c r="X71" s="66">
        <f t="shared" si="14"/>
        <v>1894831.0898500001</v>
      </c>
      <c r="Y71" s="66">
        <f t="shared" si="12"/>
        <v>1894831.0898500001</v>
      </c>
      <c r="Z71" s="66">
        <v>171922752.69409999</v>
      </c>
      <c r="AA71" s="71">
        <f t="shared" si="4"/>
        <v>305198614.71565002</v>
      </c>
    </row>
    <row r="72" spans="1:27" ht="24.95" customHeight="1">
      <c r="A72" s="181"/>
      <c r="B72" s="176"/>
      <c r="C72" s="62">
        <v>26</v>
      </c>
      <c r="D72" s="66" t="s">
        <v>262</v>
      </c>
      <c r="E72" s="66">
        <v>25683395.321600001</v>
      </c>
      <c r="F72" s="66">
        <v>0</v>
      </c>
      <c r="G72" s="66">
        <v>79234301.196999997</v>
      </c>
      <c r="H72" s="66">
        <v>4418153.3377999999</v>
      </c>
      <c r="I72" s="66">
        <v>3147530.8955000001</v>
      </c>
      <c r="J72" s="66">
        <f t="shared" si="10"/>
        <v>1573765.4477500001</v>
      </c>
      <c r="K72" s="66">
        <f t="shared" si="11"/>
        <v>1573765.4477500001</v>
      </c>
      <c r="L72" s="66">
        <v>154248851.00170001</v>
      </c>
      <c r="M72" s="71">
        <f t="shared" ref="M72:M135" si="15">E72+F72+G72+H72+K72+L72</f>
        <v>265158466.30585</v>
      </c>
      <c r="N72" s="70"/>
      <c r="O72" s="176"/>
      <c r="P72" s="72">
        <v>11</v>
      </c>
      <c r="Q72" s="176"/>
      <c r="R72" s="66" t="s">
        <v>263</v>
      </c>
      <c r="S72" s="66">
        <v>32662857.1043</v>
      </c>
      <c r="T72" s="66">
        <v>0</v>
      </c>
      <c r="U72" s="66">
        <v>100766219.7833</v>
      </c>
      <c r="V72" s="66">
        <v>5394736.3858000003</v>
      </c>
      <c r="W72" s="66">
        <v>4002872.3065999998</v>
      </c>
      <c r="X72" s="66">
        <f t="shared" si="14"/>
        <v>2001436.1532999999</v>
      </c>
      <c r="Y72" s="66">
        <f t="shared" si="12"/>
        <v>2001436.1532999999</v>
      </c>
      <c r="Z72" s="66">
        <v>183860366.65740001</v>
      </c>
      <c r="AA72" s="71">
        <f t="shared" ref="AA72:AA135" si="16">S72+T72+U72+V72+Y72+Z72</f>
        <v>324685616.08410001</v>
      </c>
    </row>
    <row r="73" spans="1:27" ht="24.95" customHeight="1">
      <c r="A73" s="181"/>
      <c r="B73" s="176"/>
      <c r="C73" s="62">
        <v>27</v>
      </c>
      <c r="D73" s="66" t="s">
        <v>264</v>
      </c>
      <c r="E73" s="66">
        <v>31513735.799400002</v>
      </c>
      <c r="F73" s="66">
        <v>0</v>
      </c>
      <c r="G73" s="66">
        <v>97221134.624500006</v>
      </c>
      <c r="H73" s="66">
        <v>5249008.9976000004</v>
      </c>
      <c r="I73" s="66">
        <v>3862046.1126999999</v>
      </c>
      <c r="J73" s="66">
        <f t="shared" si="10"/>
        <v>1931023.05635</v>
      </c>
      <c r="K73" s="66">
        <f t="shared" si="11"/>
        <v>1931023.05635</v>
      </c>
      <c r="L73" s="66">
        <v>183787506.95039999</v>
      </c>
      <c r="M73" s="71">
        <f t="shared" si="15"/>
        <v>319702409.42825001</v>
      </c>
      <c r="N73" s="70"/>
      <c r="O73" s="176"/>
      <c r="P73" s="72">
        <v>12</v>
      </c>
      <c r="Q73" s="176"/>
      <c r="R73" s="66" t="s">
        <v>265</v>
      </c>
      <c r="S73" s="66">
        <v>36034231.095700003</v>
      </c>
      <c r="T73" s="66">
        <v>0</v>
      </c>
      <c r="U73" s="66">
        <v>111167043.309</v>
      </c>
      <c r="V73" s="66">
        <v>5871620.8362999996</v>
      </c>
      <c r="W73" s="66">
        <v>4416038.2322000004</v>
      </c>
      <c r="X73" s="66">
        <f t="shared" si="14"/>
        <v>2208019.1161000002</v>
      </c>
      <c r="Y73" s="66">
        <f t="shared" si="12"/>
        <v>2208019.1161000002</v>
      </c>
      <c r="Z73" s="66">
        <v>200814605.99419999</v>
      </c>
      <c r="AA73" s="71">
        <f t="shared" si="16"/>
        <v>356095520.3513</v>
      </c>
    </row>
    <row r="74" spans="1:27" ht="24.95" customHeight="1">
      <c r="A74" s="181"/>
      <c r="B74" s="176"/>
      <c r="C74" s="62">
        <v>28</v>
      </c>
      <c r="D74" s="66" t="s">
        <v>266</v>
      </c>
      <c r="E74" s="66">
        <v>25692541.492699999</v>
      </c>
      <c r="F74" s="66">
        <v>0</v>
      </c>
      <c r="G74" s="66">
        <v>79262517.500400007</v>
      </c>
      <c r="H74" s="66">
        <v>4535569.2220000001</v>
      </c>
      <c r="I74" s="66">
        <v>3148651.7697999999</v>
      </c>
      <c r="J74" s="66">
        <f t="shared" si="10"/>
        <v>1574325.8848999999</v>
      </c>
      <c r="K74" s="66">
        <f t="shared" si="11"/>
        <v>1574325.8848999999</v>
      </c>
      <c r="L74" s="66">
        <v>158423231.19220001</v>
      </c>
      <c r="M74" s="71">
        <f t="shared" si="15"/>
        <v>269488185.29220003</v>
      </c>
      <c r="N74" s="70"/>
      <c r="O74" s="176"/>
      <c r="P74" s="72">
        <v>13</v>
      </c>
      <c r="Q74" s="176"/>
      <c r="R74" s="66" t="s">
        <v>267</v>
      </c>
      <c r="S74" s="66">
        <v>29988351.295600001</v>
      </c>
      <c r="T74" s="66">
        <v>0</v>
      </c>
      <c r="U74" s="66">
        <v>92515262.456699997</v>
      </c>
      <c r="V74" s="66">
        <v>4655567.1771999998</v>
      </c>
      <c r="W74" s="66">
        <v>3675108.4125999999</v>
      </c>
      <c r="X74" s="66">
        <f t="shared" si="14"/>
        <v>1837554.2063</v>
      </c>
      <c r="Y74" s="66">
        <f t="shared" si="12"/>
        <v>1837554.2063</v>
      </c>
      <c r="Z74" s="66">
        <v>157581355.76010001</v>
      </c>
      <c r="AA74" s="71">
        <f t="shared" si="16"/>
        <v>286578090.89590001</v>
      </c>
    </row>
    <row r="75" spans="1:27" ht="24.95" customHeight="1">
      <c r="A75" s="181"/>
      <c r="B75" s="176"/>
      <c r="C75" s="62">
        <v>29</v>
      </c>
      <c r="D75" s="66" t="s">
        <v>268</v>
      </c>
      <c r="E75" s="66">
        <v>33507198.713100001</v>
      </c>
      <c r="F75" s="66">
        <v>0</v>
      </c>
      <c r="G75" s="66">
        <v>103371047.3969</v>
      </c>
      <c r="H75" s="66">
        <v>5150631.0914000003</v>
      </c>
      <c r="I75" s="66">
        <v>4106347.3832999999</v>
      </c>
      <c r="J75" s="66">
        <f t="shared" si="10"/>
        <v>2053173.6916499999</v>
      </c>
      <c r="K75" s="66">
        <f t="shared" si="11"/>
        <v>2053173.6916499999</v>
      </c>
      <c r="L75" s="66">
        <v>180289966.68329999</v>
      </c>
      <c r="M75" s="71">
        <f t="shared" si="15"/>
        <v>324372017.57634997</v>
      </c>
      <c r="N75" s="70"/>
      <c r="O75" s="176"/>
      <c r="P75" s="72">
        <v>14</v>
      </c>
      <c r="Q75" s="176"/>
      <c r="R75" s="66" t="s">
        <v>269</v>
      </c>
      <c r="S75" s="66">
        <v>34413592.941100001</v>
      </c>
      <c r="T75" s="66">
        <v>0</v>
      </c>
      <c r="U75" s="66">
        <v>106167309.8211</v>
      </c>
      <c r="V75" s="66">
        <v>5435132.9473000001</v>
      </c>
      <c r="W75" s="66">
        <v>4217427.0828</v>
      </c>
      <c r="X75" s="66">
        <f t="shared" si="14"/>
        <v>2108713.5414</v>
      </c>
      <c r="Y75" s="66">
        <f t="shared" si="12"/>
        <v>2108713.5414</v>
      </c>
      <c r="Z75" s="66">
        <v>185296548.88550001</v>
      </c>
      <c r="AA75" s="71">
        <f t="shared" si="16"/>
        <v>333421298.13639998</v>
      </c>
    </row>
    <row r="76" spans="1:27" ht="24.95" customHeight="1">
      <c r="A76" s="181"/>
      <c r="B76" s="176"/>
      <c r="C76" s="62">
        <v>30</v>
      </c>
      <c r="D76" s="66" t="s">
        <v>270</v>
      </c>
      <c r="E76" s="66">
        <v>27725557.411699999</v>
      </c>
      <c r="F76" s="66">
        <v>0</v>
      </c>
      <c r="G76" s="66">
        <v>85534452.875599995</v>
      </c>
      <c r="H76" s="66">
        <v>4619584.1568</v>
      </c>
      <c r="I76" s="66">
        <v>3397800.3086999999</v>
      </c>
      <c r="J76" s="66">
        <f t="shared" si="10"/>
        <v>1698900.15435</v>
      </c>
      <c r="K76" s="66">
        <f t="shared" si="11"/>
        <v>1698900.15435</v>
      </c>
      <c r="L76" s="66">
        <v>161410137.78929999</v>
      </c>
      <c r="M76" s="71">
        <f t="shared" si="15"/>
        <v>280988632.38775003</v>
      </c>
      <c r="N76" s="70"/>
      <c r="O76" s="176"/>
      <c r="P76" s="72">
        <v>15</v>
      </c>
      <c r="Q76" s="176"/>
      <c r="R76" s="66" t="s">
        <v>271</v>
      </c>
      <c r="S76" s="66">
        <v>39813268.481200002</v>
      </c>
      <c r="T76" s="66">
        <v>0</v>
      </c>
      <c r="U76" s="66">
        <v>122825524.7009</v>
      </c>
      <c r="V76" s="66">
        <v>5672612.0086000003</v>
      </c>
      <c r="W76" s="66">
        <v>4879163.7954000002</v>
      </c>
      <c r="X76" s="66">
        <f t="shared" si="14"/>
        <v>2439581.8977000001</v>
      </c>
      <c r="Y76" s="66">
        <f t="shared" si="12"/>
        <v>2439581.8977000001</v>
      </c>
      <c r="Z76" s="66">
        <v>193739426.0607</v>
      </c>
      <c r="AA76" s="71">
        <f t="shared" si="16"/>
        <v>364490413.14910001</v>
      </c>
    </row>
    <row r="77" spans="1:27" ht="24.95" customHeight="1">
      <c r="A77" s="181"/>
      <c r="B77" s="177"/>
      <c r="C77" s="62">
        <v>31</v>
      </c>
      <c r="D77" s="66" t="s">
        <v>272</v>
      </c>
      <c r="E77" s="66">
        <v>41908532.026100002</v>
      </c>
      <c r="F77" s="66">
        <v>0</v>
      </c>
      <c r="G77" s="66">
        <v>129289496.48989999</v>
      </c>
      <c r="H77" s="66">
        <v>7305335.9199000001</v>
      </c>
      <c r="I77" s="66">
        <v>5135940.8554999996</v>
      </c>
      <c r="J77" s="66">
        <f t="shared" si="10"/>
        <v>2567970.4277499998</v>
      </c>
      <c r="K77" s="66">
        <f t="shared" si="11"/>
        <v>2567970.4277499998</v>
      </c>
      <c r="L77" s="66">
        <v>256894228.62200001</v>
      </c>
      <c r="M77" s="71">
        <f t="shared" si="15"/>
        <v>437965563.48565</v>
      </c>
      <c r="N77" s="70"/>
      <c r="O77" s="176"/>
      <c r="P77" s="72">
        <v>16</v>
      </c>
      <c r="Q77" s="176"/>
      <c r="R77" s="66" t="s">
        <v>273</v>
      </c>
      <c r="S77" s="66">
        <v>31898143.4758</v>
      </c>
      <c r="T77" s="66">
        <v>0</v>
      </c>
      <c r="U77" s="66">
        <v>98407047.671700001</v>
      </c>
      <c r="V77" s="66">
        <v>5098994.3529000003</v>
      </c>
      <c r="W77" s="66">
        <v>3909155.7344999998</v>
      </c>
      <c r="X77" s="66">
        <f t="shared" si="14"/>
        <v>1954577.8672499999</v>
      </c>
      <c r="Y77" s="66">
        <f t="shared" si="12"/>
        <v>1954577.8672499999</v>
      </c>
      <c r="Z77" s="66">
        <v>173346119.0183</v>
      </c>
      <c r="AA77" s="71">
        <f t="shared" si="16"/>
        <v>310704882.38595003</v>
      </c>
    </row>
    <row r="78" spans="1:27" ht="24.95" customHeight="1">
      <c r="A78" s="62"/>
      <c r="B78" s="188" t="s">
        <v>274</v>
      </c>
      <c r="C78" s="189"/>
      <c r="D78" s="67"/>
      <c r="E78" s="67">
        <f>SUM(E47:E77)</f>
        <v>948233482.48310006</v>
      </c>
      <c r="F78" s="67">
        <f t="shared" ref="F78:M78" si="17">SUM(F47:F77)</f>
        <v>0</v>
      </c>
      <c r="G78" s="67">
        <f t="shared" si="17"/>
        <v>2925338196.7377</v>
      </c>
      <c r="H78" s="67">
        <f t="shared" si="17"/>
        <v>162518591.6031</v>
      </c>
      <c r="I78" s="67">
        <f t="shared" si="17"/>
        <v>116207150.377</v>
      </c>
      <c r="J78" s="67">
        <f t="shared" si="17"/>
        <v>58103575.188500002</v>
      </c>
      <c r="K78" s="67">
        <f t="shared" si="17"/>
        <v>58103575.188500002</v>
      </c>
      <c r="L78" s="67">
        <f t="shared" si="17"/>
        <v>5690277861.4777002</v>
      </c>
      <c r="M78" s="67">
        <f t="shared" si="17"/>
        <v>9784471707.4901009</v>
      </c>
      <c r="N78" s="70"/>
      <c r="O78" s="176"/>
      <c r="P78" s="72">
        <v>17</v>
      </c>
      <c r="Q78" s="176"/>
      <c r="R78" s="66" t="s">
        <v>275</v>
      </c>
      <c r="S78" s="66">
        <v>31434625.671</v>
      </c>
      <c r="T78" s="66">
        <v>0</v>
      </c>
      <c r="U78" s="66">
        <v>96977076.716100007</v>
      </c>
      <c r="V78" s="66">
        <v>4706643.0305000003</v>
      </c>
      <c r="W78" s="66">
        <v>3852351.0715999999</v>
      </c>
      <c r="X78" s="66">
        <f t="shared" si="14"/>
        <v>1926175.5358</v>
      </c>
      <c r="Y78" s="66">
        <f t="shared" si="12"/>
        <v>1926175.5358</v>
      </c>
      <c r="Z78" s="66">
        <v>159397209.14050001</v>
      </c>
      <c r="AA78" s="71">
        <f t="shared" si="16"/>
        <v>294441730.09390002</v>
      </c>
    </row>
    <row r="79" spans="1:27" ht="24.95" customHeight="1">
      <c r="A79" s="181">
        <v>4</v>
      </c>
      <c r="B79" s="175" t="s">
        <v>276</v>
      </c>
      <c r="C79" s="62">
        <v>1</v>
      </c>
      <c r="D79" s="66" t="s">
        <v>277</v>
      </c>
      <c r="E79" s="66">
        <v>47137782.873400003</v>
      </c>
      <c r="F79" s="66">
        <v>0</v>
      </c>
      <c r="G79" s="66">
        <v>145421944.38029999</v>
      </c>
      <c r="H79" s="66">
        <v>9852231.6146000009</v>
      </c>
      <c r="I79" s="66">
        <v>5776791.8175999997</v>
      </c>
      <c r="J79" s="66">
        <v>0</v>
      </c>
      <c r="K79" s="66">
        <f t="shared" ref="K79:K99" si="18">I79-J79</f>
        <v>5776791.8175999997</v>
      </c>
      <c r="L79" s="66">
        <v>286112735.57749999</v>
      </c>
      <c r="M79" s="71">
        <f t="shared" si="15"/>
        <v>494301486.26340002</v>
      </c>
      <c r="N79" s="70"/>
      <c r="O79" s="176"/>
      <c r="P79" s="72">
        <v>18</v>
      </c>
      <c r="Q79" s="176"/>
      <c r="R79" s="66" t="s">
        <v>278</v>
      </c>
      <c r="S79" s="66">
        <v>32621260.701200001</v>
      </c>
      <c r="T79" s="66">
        <v>0</v>
      </c>
      <c r="U79" s="66">
        <v>100637893.21709999</v>
      </c>
      <c r="V79" s="66">
        <v>5125805.2330999998</v>
      </c>
      <c r="W79" s="66">
        <v>3997774.6175000002</v>
      </c>
      <c r="X79" s="66">
        <f t="shared" si="14"/>
        <v>1998887.3087500001</v>
      </c>
      <c r="Y79" s="66">
        <f t="shared" si="12"/>
        <v>1998887.3087500001</v>
      </c>
      <c r="Z79" s="66">
        <v>174299301.8691</v>
      </c>
      <c r="AA79" s="71">
        <f t="shared" si="16"/>
        <v>314683148.32924998</v>
      </c>
    </row>
    <row r="80" spans="1:27" ht="24.95" customHeight="1">
      <c r="A80" s="181"/>
      <c r="B80" s="176"/>
      <c r="C80" s="62">
        <v>2</v>
      </c>
      <c r="D80" s="66" t="s">
        <v>279</v>
      </c>
      <c r="E80" s="66">
        <v>31000488.827300001</v>
      </c>
      <c r="F80" s="66">
        <v>0</v>
      </c>
      <c r="G80" s="66">
        <v>95637747.199499995</v>
      </c>
      <c r="H80" s="66">
        <v>7409501.3300999999</v>
      </c>
      <c r="I80" s="66">
        <v>3799147.0808000001</v>
      </c>
      <c r="J80" s="66">
        <v>0</v>
      </c>
      <c r="K80" s="66">
        <f t="shared" si="18"/>
        <v>3799147.0808000001</v>
      </c>
      <c r="L80" s="66">
        <v>199268566.442</v>
      </c>
      <c r="M80" s="71">
        <f t="shared" si="15"/>
        <v>337115450.87970001</v>
      </c>
      <c r="N80" s="70"/>
      <c r="O80" s="176"/>
      <c r="P80" s="72">
        <v>19</v>
      </c>
      <c r="Q80" s="176"/>
      <c r="R80" s="66" t="s">
        <v>280</v>
      </c>
      <c r="S80" s="66">
        <v>39467361.413999997</v>
      </c>
      <c r="T80" s="66">
        <v>0</v>
      </c>
      <c r="U80" s="66">
        <v>121758387.57170001</v>
      </c>
      <c r="V80" s="66">
        <v>5385848.2410000004</v>
      </c>
      <c r="W80" s="66">
        <v>4836772.4696000004</v>
      </c>
      <c r="X80" s="66">
        <f t="shared" si="14"/>
        <v>2418386.2348000002</v>
      </c>
      <c r="Y80" s="66">
        <f t="shared" si="12"/>
        <v>2418386.2348000002</v>
      </c>
      <c r="Z80" s="66">
        <v>183544374.5275</v>
      </c>
      <c r="AA80" s="71">
        <f t="shared" si="16"/>
        <v>352574357.98900002</v>
      </c>
    </row>
    <row r="81" spans="1:27" ht="24.95" customHeight="1">
      <c r="A81" s="181"/>
      <c r="B81" s="176"/>
      <c r="C81" s="62">
        <v>3</v>
      </c>
      <c r="D81" s="66" t="s">
        <v>281</v>
      </c>
      <c r="E81" s="66">
        <v>31890736.3123</v>
      </c>
      <c r="F81" s="66">
        <v>0</v>
      </c>
      <c r="G81" s="66">
        <v>98384196.2764</v>
      </c>
      <c r="H81" s="66">
        <v>7568169.9216</v>
      </c>
      <c r="I81" s="66">
        <v>3908247.9777000002</v>
      </c>
      <c r="J81" s="66">
        <v>0</v>
      </c>
      <c r="K81" s="66">
        <f t="shared" si="18"/>
        <v>3908247.9777000002</v>
      </c>
      <c r="L81" s="66">
        <v>204909566.63240001</v>
      </c>
      <c r="M81" s="71">
        <f t="shared" si="15"/>
        <v>346660917.12040001</v>
      </c>
      <c r="N81" s="70"/>
      <c r="O81" s="176"/>
      <c r="P81" s="72">
        <v>20</v>
      </c>
      <c r="Q81" s="176"/>
      <c r="R81" s="66" t="s">
        <v>282</v>
      </c>
      <c r="S81" s="66">
        <v>30327938.703600001</v>
      </c>
      <c r="T81" s="66">
        <v>0</v>
      </c>
      <c r="U81" s="66">
        <v>93562903.184699997</v>
      </c>
      <c r="V81" s="66">
        <v>4817491.3755999999</v>
      </c>
      <c r="W81" s="66">
        <v>3716725.2566</v>
      </c>
      <c r="X81" s="66">
        <f t="shared" si="14"/>
        <v>1858362.6283</v>
      </c>
      <c r="Y81" s="66">
        <f t="shared" si="12"/>
        <v>1858362.6283</v>
      </c>
      <c r="Z81" s="66">
        <v>163338099.58230001</v>
      </c>
      <c r="AA81" s="71">
        <f t="shared" si="16"/>
        <v>293904795.4745</v>
      </c>
    </row>
    <row r="82" spans="1:27" ht="24.95" customHeight="1">
      <c r="A82" s="181"/>
      <c r="B82" s="176"/>
      <c r="C82" s="62">
        <v>4</v>
      </c>
      <c r="D82" s="66" t="s">
        <v>283</v>
      </c>
      <c r="E82" s="66">
        <v>38546176.291100003</v>
      </c>
      <c r="F82" s="66">
        <v>0</v>
      </c>
      <c r="G82" s="66">
        <v>118916494.6454</v>
      </c>
      <c r="H82" s="66">
        <v>8892785.1153999995</v>
      </c>
      <c r="I82" s="66">
        <v>4723880.1281000003</v>
      </c>
      <c r="J82" s="66">
        <v>0</v>
      </c>
      <c r="K82" s="66">
        <f t="shared" si="18"/>
        <v>4723880.1281000003</v>
      </c>
      <c r="L82" s="66">
        <v>252002406.41800001</v>
      </c>
      <c r="M82" s="71">
        <f t="shared" si="15"/>
        <v>423081742.59799999</v>
      </c>
      <c r="N82" s="70"/>
      <c r="O82" s="177"/>
      <c r="P82" s="72">
        <v>21</v>
      </c>
      <c r="Q82" s="177"/>
      <c r="R82" s="66" t="s">
        <v>284</v>
      </c>
      <c r="S82" s="66">
        <v>36225141.708499998</v>
      </c>
      <c r="T82" s="66">
        <v>0</v>
      </c>
      <c r="U82" s="66">
        <v>111756010.18080001</v>
      </c>
      <c r="V82" s="66">
        <v>5558395.4058999997</v>
      </c>
      <c r="W82" s="66">
        <v>4439434.5566999996</v>
      </c>
      <c r="X82" s="66">
        <f t="shared" si="14"/>
        <v>2219717.2783499998</v>
      </c>
      <c r="Y82" s="66">
        <f t="shared" si="12"/>
        <v>2219717.2783499998</v>
      </c>
      <c r="Z82" s="66">
        <v>189678787.01710001</v>
      </c>
      <c r="AA82" s="71">
        <f t="shared" si="16"/>
        <v>345438051.59065002</v>
      </c>
    </row>
    <row r="83" spans="1:27" ht="24.95" customHeight="1">
      <c r="A83" s="181"/>
      <c r="B83" s="176"/>
      <c r="C83" s="62">
        <v>5</v>
      </c>
      <c r="D83" s="66" t="s">
        <v>285</v>
      </c>
      <c r="E83" s="66">
        <v>29274566.845800001</v>
      </c>
      <c r="F83" s="66">
        <v>0</v>
      </c>
      <c r="G83" s="66">
        <v>90313208.897300005</v>
      </c>
      <c r="H83" s="66">
        <v>6950753.6513999999</v>
      </c>
      <c r="I83" s="66">
        <v>3587633.2722999998</v>
      </c>
      <c r="J83" s="66">
        <v>0</v>
      </c>
      <c r="K83" s="66">
        <f t="shared" si="18"/>
        <v>3587633.2722999998</v>
      </c>
      <c r="L83" s="66">
        <v>182959127.26910001</v>
      </c>
      <c r="M83" s="71">
        <f t="shared" si="15"/>
        <v>313085289.93589997</v>
      </c>
      <c r="N83" s="70"/>
      <c r="O83" s="62"/>
      <c r="P83" s="189" t="s">
        <v>286</v>
      </c>
      <c r="Q83" s="192"/>
      <c r="R83" s="67"/>
      <c r="S83" s="67">
        <f>SUM(S62:S82)</f>
        <v>746673920.85399997</v>
      </c>
      <c r="T83" s="66">
        <v>0</v>
      </c>
      <c r="U83" s="67">
        <f>SUM(U62:U82)</f>
        <v>2303518892.2683001</v>
      </c>
      <c r="V83" s="67">
        <f t="shared" ref="V83" si="19">SUM(V62:V82)</f>
        <v>114046803.8769</v>
      </c>
      <c r="W83" s="67">
        <f t="shared" ref="W83:AA83" si="20">SUM(W62:W82)</f>
        <v>91505784.393600002</v>
      </c>
      <c r="X83" s="67">
        <f t="shared" si="20"/>
        <v>45752892.196800001</v>
      </c>
      <c r="Y83" s="67">
        <f t="shared" si="20"/>
        <v>45752892.196800001</v>
      </c>
      <c r="Z83" s="67">
        <f t="shared" si="20"/>
        <v>3887992712.3583999</v>
      </c>
      <c r="AA83" s="67">
        <f t="shared" si="20"/>
        <v>7097985221.5544004</v>
      </c>
    </row>
    <row r="84" spans="1:27" ht="24.95" customHeight="1">
      <c r="A84" s="181"/>
      <c r="B84" s="176"/>
      <c r="C84" s="62">
        <v>6</v>
      </c>
      <c r="D84" s="66" t="s">
        <v>287</v>
      </c>
      <c r="E84" s="66">
        <v>33701554.321699999</v>
      </c>
      <c r="F84" s="66">
        <v>0</v>
      </c>
      <c r="G84" s="66">
        <v>103970642.2183</v>
      </c>
      <c r="H84" s="66">
        <v>7811867.3047000002</v>
      </c>
      <c r="I84" s="66">
        <v>4130165.8963000001</v>
      </c>
      <c r="J84" s="66">
        <v>0</v>
      </c>
      <c r="K84" s="66">
        <f t="shared" si="18"/>
        <v>4130165.8963000001</v>
      </c>
      <c r="L84" s="66">
        <v>213573518.1494</v>
      </c>
      <c r="M84" s="71">
        <f t="shared" si="15"/>
        <v>363187747.89039999</v>
      </c>
      <c r="N84" s="70"/>
      <c r="O84" s="175">
        <v>22</v>
      </c>
      <c r="P84" s="76">
        <v>1</v>
      </c>
      <c r="Q84" s="181" t="s">
        <v>109</v>
      </c>
      <c r="R84" s="77" t="s">
        <v>288</v>
      </c>
      <c r="S84" s="66">
        <v>38693651.644699998</v>
      </c>
      <c r="T84" s="78">
        <v>0</v>
      </c>
      <c r="U84" s="78">
        <v>119371462.0064</v>
      </c>
      <c r="V84" s="66">
        <v>6219531.5942000002</v>
      </c>
      <c r="W84" s="66">
        <v>4741953.4095000001</v>
      </c>
      <c r="X84" s="66">
        <f t="shared" si="14"/>
        <v>2370976.70475</v>
      </c>
      <c r="Y84" s="66">
        <f t="shared" ref="Y84:Y104" si="21">W84-X84</f>
        <v>2370976.70475</v>
      </c>
      <c r="Z84" s="66">
        <v>211438710.5966</v>
      </c>
      <c r="AA84" s="71">
        <f t="shared" si="16"/>
        <v>378094332.54664999</v>
      </c>
    </row>
    <row r="85" spans="1:27" ht="24.95" customHeight="1">
      <c r="A85" s="181"/>
      <c r="B85" s="176"/>
      <c r="C85" s="62">
        <v>7</v>
      </c>
      <c r="D85" s="66" t="s">
        <v>289</v>
      </c>
      <c r="E85" s="66">
        <v>31233738.2027</v>
      </c>
      <c r="F85" s="66">
        <v>0</v>
      </c>
      <c r="G85" s="66">
        <v>96357330.846499994</v>
      </c>
      <c r="H85" s="66">
        <v>7466716.6497</v>
      </c>
      <c r="I85" s="66">
        <v>3827732.0715000001</v>
      </c>
      <c r="J85" s="66">
        <v>0</v>
      </c>
      <c r="K85" s="66">
        <f t="shared" si="18"/>
        <v>3827732.0715000001</v>
      </c>
      <c r="L85" s="66">
        <v>201302690.68529999</v>
      </c>
      <c r="M85" s="71">
        <f t="shared" si="15"/>
        <v>340188208.45569998</v>
      </c>
      <c r="N85" s="70"/>
      <c r="O85" s="176"/>
      <c r="P85" s="76">
        <v>2</v>
      </c>
      <c r="Q85" s="181"/>
      <c r="R85" s="77" t="s">
        <v>290</v>
      </c>
      <c r="S85" s="66">
        <v>34213919.870800003</v>
      </c>
      <c r="T85" s="78">
        <v>0</v>
      </c>
      <c r="U85" s="78">
        <v>105551310.41769999</v>
      </c>
      <c r="V85" s="66">
        <v>5319756.2011000002</v>
      </c>
      <c r="W85" s="66">
        <v>4192956.9086000002</v>
      </c>
      <c r="X85" s="66">
        <f t="shared" si="14"/>
        <v>2096478.4543000001</v>
      </c>
      <c r="Y85" s="66">
        <f t="shared" si="21"/>
        <v>2096478.4543000001</v>
      </c>
      <c r="Z85" s="66">
        <v>179449814.02559999</v>
      </c>
      <c r="AA85" s="71">
        <f t="shared" si="16"/>
        <v>326631278.96950001</v>
      </c>
    </row>
    <row r="86" spans="1:27" ht="24.95" customHeight="1">
      <c r="A86" s="181"/>
      <c r="B86" s="176"/>
      <c r="C86" s="62">
        <v>8</v>
      </c>
      <c r="D86" s="66" t="s">
        <v>291</v>
      </c>
      <c r="E86" s="66">
        <v>27926842.857299998</v>
      </c>
      <c r="F86" s="66">
        <v>0</v>
      </c>
      <c r="G86" s="66">
        <v>86155426.520799994</v>
      </c>
      <c r="H86" s="66">
        <v>6767966.5328000002</v>
      </c>
      <c r="I86" s="66">
        <v>3422468.0813000002</v>
      </c>
      <c r="J86" s="66">
        <v>0</v>
      </c>
      <c r="K86" s="66">
        <f t="shared" si="18"/>
        <v>3422468.0813000002</v>
      </c>
      <c r="L86" s="66">
        <v>176460663.01010001</v>
      </c>
      <c r="M86" s="71">
        <f t="shared" si="15"/>
        <v>300733367.00230002</v>
      </c>
      <c r="N86" s="70"/>
      <c r="O86" s="176"/>
      <c r="P86" s="76">
        <v>3</v>
      </c>
      <c r="Q86" s="181"/>
      <c r="R86" s="77" t="s">
        <v>292</v>
      </c>
      <c r="S86" s="66">
        <v>43179624.948600002</v>
      </c>
      <c r="T86" s="78">
        <v>0</v>
      </c>
      <c r="U86" s="78">
        <v>133210868.9649</v>
      </c>
      <c r="V86" s="66">
        <v>6953552.6632000003</v>
      </c>
      <c r="W86" s="66">
        <v>5291714.8174000001</v>
      </c>
      <c r="X86" s="66">
        <f t="shared" si="14"/>
        <v>2645857.4087</v>
      </c>
      <c r="Y86" s="66">
        <f t="shared" si="21"/>
        <v>2645857.4087</v>
      </c>
      <c r="Z86" s="66">
        <v>237534694.36669999</v>
      </c>
      <c r="AA86" s="71">
        <f t="shared" si="16"/>
        <v>423524598.35210001</v>
      </c>
    </row>
    <row r="87" spans="1:27" ht="24.95" customHeight="1">
      <c r="A87" s="181"/>
      <c r="B87" s="176"/>
      <c r="C87" s="62">
        <v>9</v>
      </c>
      <c r="D87" s="66" t="s">
        <v>293</v>
      </c>
      <c r="E87" s="66">
        <v>31017993.970800001</v>
      </c>
      <c r="F87" s="66">
        <v>0</v>
      </c>
      <c r="G87" s="66">
        <v>95691751.267100006</v>
      </c>
      <c r="H87" s="66">
        <v>7464700.2011000002</v>
      </c>
      <c r="I87" s="66">
        <v>3801292.3571000001</v>
      </c>
      <c r="J87" s="66">
        <v>0</v>
      </c>
      <c r="K87" s="66">
        <f t="shared" si="18"/>
        <v>3801292.3571000001</v>
      </c>
      <c r="L87" s="66">
        <v>201231001.72299999</v>
      </c>
      <c r="M87" s="71">
        <f t="shared" si="15"/>
        <v>339206739.51910001</v>
      </c>
      <c r="N87" s="70"/>
      <c r="O87" s="176"/>
      <c r="P87" s="76">
        <v>4</v>
      </c>
      <c r="Q87" s="181"/>
      <c r="R87" s="77" t="s">
        <v>294</v>
      </c>
      <c r="S87" s="66">
        <v>34189184.800800003</v>
      </c>
      <c r="T87" s="78">
        <v>0</v>
      </c>
      <c r="U87" s="78">
        <v>105475001.73819999</v>
      </c>
      <c r="V87" s="66">
        <v>5518832.6191999996</v>
      </c>
      <c r="W87" s="66">
        <v>4189925.5961000002</v>
      </c>
      <c r="X87" s="66">
        <f t="shared" si="14"/>
        <v>2094962.7980500001</v>
      </c>
      <c r="Y87" s="66">
        <f t="shared" si="21"/>
        <v>2094962.7980500001</v>
      </c>
      <c r="Z87" s="66">
        <v>186527396.94100001</v>
      </c>
      <c r="AA87" s="71">
        <f t="shared" si="16"/>
        <v>333805378.89725</v>
      </c>
    </row>
    <row r="88" spans="1:27" ht="24.95" customHeight="1">
      <c r="A88" s="181"/>
      <c r="B88" s="176"/>
      <c r="C88" s="62">
        <v>10</v>
      </c>
      <c r="D88" s="66" t="s">
        <v>295</v>
      </c>
      <c r="E88" s="66">
        <v>49071584.612199999</v>
      </c>
      <c r="F88" s="66">
        <v>0</v>
      </c>
      <c r="G88" s="66">
        <v>151387800.0433</v>
      </c>
      <c r="H88" s="66">
        <v>10535019.119200001</v>
      </c>
      <c r="I88" s="66">
        <v>6013781.5396999996</v>
      </c>
      <c r="J88" s="66">
        <v>0</v>
      </c>
      <c r="K88" s="66">
        <f t="shared" si="18"/>
        <v>6013781.5396999996</v>
      </c>
      <c r="L88" s="66">
        <v>310387259.00929999</v>
      </c>
      <c r="M88" s="71">
        <f t="shared" si="15"/>
        <v>527395444.32370001</v>
      </c>
      <c r="N88" s="70"/>
      <c r="O88" s="176"/>
      <c r="P88" s="76">
        <v>5</v>
      </c>
      <c r="Q88" s="181"/>
      <c r="R88" s="77" t="s">
        <v>296</v>
      </c>
      <c r="S88" s="66">
        <v>46747235.067599997</v>
      </c>
      <c r="T88" s="78">
        <v>0</v>
      </c>
      <c r="U88" s="78">
        <v>144217088.7881</v>
      </c>
      <c r="V88" s="66">
        <v>6874235.2649999997</v>
      </c>
      <c r="W88" s="66">
        <v>5728929.7155999998</v>
      </c>
      <c r="X88" s="66">
        <f t="shared" si="14"/>
        <v>2864464.8577999999</v>
      </c>
      <c r="Y88" s="66">
        <f t="shared" si="21"/>
        <v>2864464.8577999999</v>
      </c>
      <c r="Z88" s="66">
        <v>234714795.01710001</v>
      </c>
      <c r="AA88" s="71">
        <f t="shared" si="16"/>
        <v>435417818.99559999</v>
      </c>
    </row>
    <row r="89" spans="1:27" ht="24.95" customHeight="1">
      <c r="A89" s="181"/>
      <c r="B89" s="176"/>
      <c r="C89" s="62">
        <v>11</v>
      </c>
      <c r="D89" s="66" t="s">
        <v>297</v>
      </c>
      <c r="E89" s="66">
        <v>34104810.565899998</v>
      </c>
      <c r="F89" s="66">
        <v>0</v>
      </c>
      <c r="G89" s="66">
        <v>105214703.851</v>
      </c>
      <c r="H89" s="66">
        <v>8021780.7257000003</v>
      </c>
      <c r="I89" s="66">
        <v>4179585.4325000001</v>
      </c>
      <c r="J89" s="66">
        <v>0</v>
      </c>
      <c r="K89" s="66">
        <f t="shared" si="18"/>
        <v>4179585.4325000001</v>
      </c>
      <c r="L89" s="66">
        <v>221036379.1751</v>
      </c>
      <c r="M89" s="71">
        <f t="shared" si="15"/>
        <v>372557259.75019997</v>
      </c>
      <c r="N89" s="70"/>
      <c r="O89" s="176"/>
      <c r="P89" s="76">
        <v>6</v>
      </c>
      <c r="Q89" s="181"/>
      <c r="R89" s="77" t="s">
        <v>298</v>
      </c>
      <c r="S89" s="66">
        <v>36346317.388899997</v>
      </c>
      <c r="T89" s="78">
        <v>0</v>
      </c>
      <c r="U89" s="78">
        <v>112129841.9984</v>
      </c>
      <c r="V89" s="66">
        <v>5385183.7609000001</v>
      </c>
      <c r="W89" s="66">
        <v>4454284.7817000002</v>
      </c>
      <c r="X89" s="66">
        <f t="shared" si="14"/>
        <v>2227142.3908500001</v>
      </c>
      <c r="Y89" s="66">
        <f t="shared" si="21"/>
        <v>2227142.3908500001</v>
      </c>
      <c r="Z89" s="66">
        <v>181775900.57910001</v>
      </c>
      <c r="AA89" s="71">
        <f t="shared" si="16"/>
        <v>337864386.11815</v>
      </c>
    </row>
    <row r="90" spans="1:27" ht="24.95" customHeight="1">
      <c r="A90" s="181"/>
      <c r="B90" s="176"/>
      <c r="C90" s="62">
        <v>12</v>
      </c>
      <c r="D90" s="66" t="s">
        <v>299</v>
      </c>
      <c r="E90" s="66">
        <v>41696555.079499997</v>
      </c>
      <c r="F90" s="66">
        <v>0</v>
      </c>
      <c r="G90" s="66">
        <v>128635539.1364</v>
      </c>
      <c r="H90" s="66">
        <v>9086048.7544999998</v>
      </c>
      <c r="I90" s="66">
        <v>5109962.8265000004</v>
      </c>
      <c r="J90" s="66">
        <v>0</v>
      </c>
      <c r="K90" s="66">
        <f t="shared" si="18"/>
        <v>5109962.8265000004</v>
      </c>
      <c r="L90" s="66">
        <v>258873332.88350001</v>
      </c>
      <c r="M90" s="71">
        <f t="shared" si="15"/>
        <v>443401438.68040001</v>
      </c>
      <c r="N90" s="70"/>
      <c r="O90" s="176"/>
      <c r="P90" s="76">
        <v>7</v>
      </c>
      <c r="Q90" s="181"/>
      <c r="R90" s="77" t="s">
        <v>300</v>
      </c>
      <c r="S90" s="66">
        <v>30497861.1536</v>
      </c>
      <c r="T90" s="78">
        <v>0</v>
      </c>
      <c r="U90" s="78">
        <v>94087120.734899998</v>
      </c>
      <c r="V90" s="66">
        <v>4840922.8925000001</v>
      </c>
      <c r="W90" s="66">
        <v>3737549.4566000002</v>
      </c>
      <c r="X90" s="66">
        <f t="shared" si="14"/>
        <v>1868774.7283000001</v>
      </c>
      <c r="Y90" s="66">
        <f t="shared" si="21"/>
        <v>1868774.7283000001</v>
      </c>
      <c r="Z90" s="66">
        <v>162426288.70860001</v>
      </c>
      <c r="AA90" s="71">
        <f t="shared" si="16"/>
        <v>293720968.21789998</v>
      </c>
    </row>
    <row r="91" spans="1:27" ht="24.95" customHeight="1">
      <c r="A91" s="181"/>
      <c r="B91" s="176"/>
      <c r="C91" s="62">
        <v>13</v>
      </c>
      <c r="D91" s="66" t="s">
        <v>301</v>
      </c>
      <c r="E91" s="66">
        <v>30636325.215599999</v>
      </c>
      <c r="F91" s="66">
        <v>0</v>
      </c>
      <c r="G91" s="66">
        <v>94514287.901199996</v>
      </c>
      <c r="H91" s="66">
        <v>7354685.4715999998</v>
      </c>
      <c r="I91" s="66">
        <v>3754518.3934999998</v>
      </c>
      <c r="J91" s="66">
        <v>0</v>
      </c>
      <c r="K91" s="66">
        <f t="shared" si="18"/>
        <v>3754518.3934999998</v>
      </c>
      <c r="L91" s="66">
        <v>197319748.0589</v>
      </c>
      <c r="M91" s="71">
        <f t="shared" si="15"/>
        <v>333579565.04079998</v>
      </c>
      <c r="N91" s="70"/>
      <c r="O91" s="176"/>
      <c r="P91" s="76">
        <v>8</v>
      </c>
      <c r="Q91" s="181"/>
      <c r="R91" s="77" t="s">
        <v>302</v>
      </c>
      <c r="S91" s="66">
        <v>35737443.904899999</v>
      </c>
      <c r="T91" s="78">
        <v>0</v>
      </c>
      <c r="U91" s="78">
        <v>110251442.9619</v>
      </c>
      <c r="V91" s="66">
        <v>5609257.3821</v>
      </c>
      <c r="W91" s="66">
        <v>4379666.6059999997</v>
      </c>
      <c r="X91" s="66">
        <f t="shared" si="14"/>
        <v>2189833.3029999998</v>
      </c>
      <c r="Y91" s="66">
        <f t="shared" si="21"/>
        <v>2189833.3029999998</v>
      </c>
      <c r="Z91" s="66">
        <v>189742186.32890001</v>
      </c>
      <c r="AA91" s="71">
        <f t="shared" si="16"/>
        <v>343530163.88080001</v>
      </c>
    </row>
    <row r="92" spans="1:27" ht="24.95" customHeight="1">
      <c r="A92" s="181"/>
      <c r="B92" s="176"/>
      <c r="C92" s="62">
        <v>14</v>
      </c>
      <c r="D92" s="66" t="s">
        <v>303</v>
      </c>
      <c r="E92" s="66">
        <v>30376098.750300001</v>
      </c>
      <c r="F92" s="66">
        <v>0</v>
      </c>
      <c r="G92" s="66">
        <v>93711478.853699997</v>
      </c>
      <c r="H92" s="66">
        <v>7457242.7209999999</v>
      </c>
      <c r="I92" s="66">
        <v>3722627.3281</v>
      </c>
      <c r="J92" s="66">
        <v>0</v>
      </c>
      <c r="K92" s="66">
        <f t="shared" si="18"/>
        <v>3722627.3281</v>
      </c>
      <c r="L92" s="66">
        <v>200965872.71160001</v>
      </c>
      <c r="M92" s="71">
        <f t="shared" si="15"/>
        <v>336233320.36470002</v>
      </c>
      <c r="N92" s="70"/>
      <c r="O92" s="176"/>
      <c r="P92" s="76">
        <v>9</v>
      </c>
      <c r="Q92" s="181"/>
      <c r="R92" s="77" t="s">
        <v>304</v>
      </c>
      <c r="S92" s="66">
        <v>35047850.0035</v>
      </c>
      <c r="T92" s="78">
        <v>0</v>
      </c>
      <c r="U92" s="78">
        <v>108124018.21160001</v>
      </c>
      <c r="V92" s="66">
        <v>5292810.1399999997</v>
      </c>
      <c r="W92" s="66">
        <v>4295156.0464000003</v>
      </c>
      <c r="X92" s="66">
        <f t="shared" si="14"/>
        <v>2147578.0232000002</v>
      </c>
      <c r="Y92" s="66">
        <f t="shared" si="21"/>
        <v>2147578.0232000002</v>
      </c>
      <c r="Z92" s="66">
        <v>178491825.21090001</v>
      </c>
      <c r="AA92" s="71">
        <f t="shared" si="16"/>
        <v>329104081.58920002</v>
      </c>
    </row>
    <row r="93" spans="1:27" ht="24.95" customHeight="1">
      <c r="A93" s="181"/>
      <c r="B93" s="176"/>
      <c r="C93" s="62">
        <v>15</v>
      </c>
      <c r="D93" s="66" t="s">
        <v>305</v>
      </c>
      <c r="E93" s="66">
        <v>36457969.988899998</v>
      </c>
      <c r="F93" s="66">
        <v>0</v>
      </c>
      <c r="G93" s="66">
        <v>112474294.7325</v>
      </c>
      <c r="H93" s="66">
        <v>8314391.0675999997</v>
      </c>
      <c r="I93" s="66">
        <v>4467967.9417000003</v>
      </c>
      <c r="J93" s="66">
        <v>0</v>
      </c>
      <c r="K93" s="66">
        <f t="shared" si="18"/>
        <v>4467967.9417000003</v>
      </c>
      <c r="L93" s="66">
        <v>231439288.64930001</v>
      </c>
      <c r="M93" s="71">
        <f t="shared" si="15"/>
        <v>393153912.38</v>
      </c>
      <c r="N93" s="70"/>
      <c r="O93" s="176"/>
      <c r="P93" s="76">
        <v>10</v>
      </c>
      <c r="Q93" s="181"/>
      <c r="R93" s="77" t="s">
        <v>306</v>
      </c>
      <c r="S93" s="66">
        <v>37053529.0176</v>
      </c>
      <c r="T93" s="78">
        <v>0</v>
      </c>
      <c r="U93" s="78">
        <v>114311618.1419</v>
      </c>
      <c r="V93" s="66">
        <v>5580261.0771000003</v>
      </c>
      <c r="W93" s="66">
        <v>4540954.4148000004</v>
      </c>
      <c r="X93" s="66">
        <f t="shared" si="14"/>
        <v>2270477.2074000002</v>
      </c>
      <c r="Y93" s="66">
        <f t="shared" si="21"/>
        <v>2270477.2074000002</v>
      </c>
      <c r="Z93" s="66">
        <v>188711307.06079999</v>
      </c>
      <c r="AA93" s="71">
        <f t="shared" si="16"/>
        <v>347927192.50480002</v>
      </c>
    </row>
    <row r="94" spans="1:27" ht="24.95" customHeight="1">
      <c r="A94" s="181"/>
      <c r="B94" s="176"/>
      <c r="C94" s="62">
        <v>16</v>
      </c>
      <c r="D94" s="66" t="s">
        <v>307</v>
      </c>
      <c r="E94" s="66">
        <v>34836621.988499999</v>
      </c>
      <c r="F94" s="66">
        <v>0</v>
      </c>
      <c r="G94" s="66">
        <v>107472371.34199999</v>
      </c>
      <c r="H94" s="66">
        <v>8181699.7406000001</v>
      </c>
      <c r="I94" s="66">
        <v>4269269.8</v>
      </c>
      <c r="J94" s="66">
        <v>0</v>
      </c>
      <c r="K94" s="66">
        <f t="shared" si="18"/>
        <v>4269269.8</v>
      </c>
      <c r="L94" s="66">
        <v>226721834.53200001</v>
      </c>
      <c r="M94" s="71">
        <f t="shared" si="15"/>
        <v>381481797.40310001</v>
      </c>
      <c r="N94" s="70"/>
      <c r="O94" s="176"/>
      <c r="P94" s="76">
        <v>11</v>
      </c>
      <c r="Q94" s="181"/>
      <c r="R94" s="77" t="s">
        <v>109</v>
      </c>
      <c r="S94" s="66">
        <v>32617800.0264</v>
      </c>
      <c r="T94" s="78">
        <v>0</v>
      </c>
      <c r="U94" s="78">
        <v>100627216.897</v>
      </c>
      <c r="V94" s="66">
        <v>5247423.1498999996</v>
      </c>
      <c r="W94" s="66">
        <v>3997350.5077</v>
      </c>
      <c r="X94" s="66">
        <f t="shared" si="14"/>
        <v>1998675.25385</v>
      </c>
      <c r="Y94" s="66">
        <f t="shared" si="21"/>
        <v>1998675.25385</v>
      </c>
      <c r="Z94" s="66">
        <v>176878222.81349999</v>
      </c>
      <c r="AA94" s="71">
        <f t="shared" si="16"/>
        <v>317369338.14064997</v>
      </c>
    </row>
    <row r="95" spans="1:27" ht="24.95" customHeight="1">
      <c r="A95" s="181"/>
      <c r="B95" s="176"/>
      <c r="C95" s="62">
        <v>17</v>
      </c>
      <c r="D95" s="66" t="s">
        <v>308</v>
      </c>
      <c r="E95" s="66">
        <v>29183466.813499998</v>
      </c>
      <c r="F95" s="66">
        <v>0</v>
      </c>
      <c r="G95" s="66">
        <v>90032161.656299993</v>
      </c>
      <c r="H95" s="66">
        <v>7089697.0954</v>
      </c>
      <c r="I95" s="66">
        <v>3576468.8541000001</v>
      </c>
      <c r="J95" s="66">
        <v>0</v>
      </c>
      <c r="K95" s="66">
        <f t="shared" si="18"/>
        <v>3576468.8541000001</v>
      </c>
      <c r="L95" s="66">
        <v>187898857.21919999</v>
      </c>
      <c r="M95" s="71">
        <f t="shared" si="15"/>
        <v>317780651.63849998</v>
      </c>
      <c r="N95" s="70"/>
      <c r="O95" s="176"/>
      <c r="P95" s="76">
        <v>12</v>
      </c>
      <c r="Q95" s="181"/>
      <c r="R95" s="77" t="s">
        <v>309</v>
      </c>
      <c r="S95" s="66">
        <v>41643382.754199997</v>
      </c>
      <c r="T95" s="78">
        <v>0</v>
      </c>
      <c r="U95" s="78">
        <v>128471500.3873</v>
      </c>
      <c r="V95" s="66">
        <v>6141430.8241999997</v>
      </c>
      <c r="W95" s="66">
        <v>5103446.4941999996</v>
      </c>
      <c r="X95" s="66">
        <f t="shared" si="14"/>
        <v>2551723.2470999998</v>
      </c>
      <c r="Y95" s="66">
        <f t="shared" si="21"/>
        <v>2551723.2470999998</v>
      </c>
      <c r="Z95" s="66">
        <v>208662064.92250001</v>
      </c>
      <c r="AA95" s="71">
        <f t="shared" si="16"/>
        <v>387470102.13529998</v>
      </c>
    </row>
    <row r="96" spans="1:27" ht="24.95" customHeight="1">
      <c r="A96" s="181"/>
      <c r="B96" s="176"/>
      <c r="C96" s="62">
        <v>18</v>
      </c>
      <c r="D96" s="66" t="s">
        <v>310</v>
      </c>
      <c r="E96" s="66">
        <v>30239386.7905</v>
      </c>
      <c r="F96" s="66">
        <v>0</v>
      </c>
      <c r="G96" s="66">
        <v>93289716.993000001</v>
      </c>
      <c r="H96" s="66">
        <v>7221723.7829</v>
      </c>
      <c r="I96" s="66">
        <v>3705873.1135</v>
      </c>
      <c r="J96" s="66">
        <v>0</v>
      </c>
      <c r="K96" s="66">
        <f t="shared" si="18"/>
        <v>3705873.1135</v>
      </c>
      <c r="L96" s="66">
        <v>192592682.01370001</v>
      </c>
      <c r="M96" s="71">
        <f t="shared" si="15"/>
        <v>327049382.6936</v>
      </c>
      <c r="N96" s="70"/>
      <c r="O96" s="176"/>
      <c r="P96" s="76">
        <v>13</v>
      </c>
      <c r="Q96" s="181"/>
      <c r="R96" s="77" t="s">
        <v>311</v>
      </c>
      <c r="S96" s="66">
        <v>27487117.9584</v>
      </c>
      <c r="T96" s="78">
        <v>-1E-4</v>
      </c>
      <c r="U96" s="78">
        <v>84798857.630600005</v>
      </c>
      <c r="V96" s="66">
        <v>4437881.0132999998</v>
      </c>
      <c r="W96" s="66">
        <v>3368579.2675999999</v>
      </c>
      <c r="X96" s="66">
        <f t="shared" si="14"/>
        <v>1684289.6338</v>
      </c>
      <c r="Y96" s="66">
        <f t="shared" si="21"/>
        <v>1684289.6338</v>
      </c>
      <c r="Z96" s="66">
        <v>148097307.1814</v>
      </c>
      <c r="AA96" s="71">
        <f t="shared" si="16"/>
        <v>266505453.4174</v>
      </c>
    </row>
    <row r="97" spans="1:27" ht="24.95" customHeight="1">
      <c r="A97" s="181"/>
      <c r="B97" s="176"/>
      <c r="C97" s="62">
        <v>19</v>
      </c>
      <c r="D97" s="66" t="s">
        <v>312</v>
      </c>
      <c r="E97" s="66">
        <v>32655970.156599998</v>
      </c>
      <c r="F97" s="66">
        <v>0</v>
      </c>
      <c r="G97" s="66">
        <v>100744973.2744</v>
      </c>
      <c r="H97" s="66">
        <v>7624371.3843999999</v>
      </c>
      <c r="I97" s="66">
        <v>4002028.3029</v>
      </c>
      <c r="J97" s="66">
        <v>0</v>
      </c>
      <c r="K97" s="66">
        <f t="shared" si="18"/>
        <v>4002028.3029</v>
      </c>
      <c r="L97" s="66">
        <v>206907646.146</v>
      </c>
      <c r="M97" s="71">
        <f t="shared" si="15"/>
        <v>351934989.26429999</v>
      </c>
      <c r="N97" s="70"/>
      <c r="O97" s="176"/>
      <c r="P97" s="76">
        <v>14</v>
      </c>
      <c r="Q97" s="181"/>
      <c r="R97" s="77" t="s">
        <v>313</v>
      </c>
      <c r="S97" s="66">
        <v>39962142.299999997</v>
      </c>
      <c r="T97" s="78">
        <v>0</v>
      </c>
      <c r="U97" s="78">
        <v>123284806.3827</v>
      </c>
      <c r="V97" s="66">
        <v>6106599.2100999998</v>
      </c>
      <c r="W97" s="66">
        <v>4897408.4605</v>
      </c>
      <c r="X97" s="66">
        <f t="shared" si="14"/>
        <v>2448704.23025</v>
      </c>
      <c r="Y97" s="66">
        <f t="shared" si="21"/>
        <v>2448704.23025</v>
      </c>
      <c r="Z97" s="66">
        <v>207423728.2105</v>
      </c>
      <c r="AA97" s="71">
        <f t="shared" si="16"/>
        <v>379225980.33354998</v>
      </c>
    </row>
    <row r="98" spans="1:27" ht="24.95" customHeight="1">
      <c r="A98" s="181"/>
      <c r="B98" s="176"/>
      <c r="C98" s="62">
        <v>20</v>
      </c>
      <c r="D98" s="66" t="s">
        <v>314</v>
      </c>
      <c r="E98" s="66">
        <v>33047016.0995</v>
      </c>
      <c r="F98" s="66">
        <v>0</v>
      </c>
      <c r="G98" s="66">
        <v>101951365.6393</v>
      </c>
      <c r="H98" s="66">
        <v>7791015.6495000003</v>
      </c>
      <c r="I98" s="66">
        <v>4049951.4522000002</v>
      </c>
      <c r="J98" s="66">
        <v>0</v>
      </c>
      <c r="K98" s="66">
        <f t="shared" si="18"/>
        <v>4049951.4522000002</v>
      </c>
      <c r="L98" s="66">
        <v>212832198.2096</v>
      </c>
      <c r="M98" s="71">
        <f t="shared" si="15"/>
        <v>359671547.05010003</v>
      </c>
      <c r="N98" s="70"/>
      <c r="O98" s="176"/>
      <c r="P98" s="76">
        <v>15</v>
      </c>
      <c r="Q98" s="181"/>
      <c r="R98" s="77" t="s">
        <v>315</v>
      </c>
      <c r="S98" s="66">
        <v>26685134.940099999</v>
      </c>
      <c r="T98" s="78">
        <v>0</v>
      </c>
      <c r="U98" s="78">
        <v>82324707.962099999</v>
      </c>
      <c r="V98" s="66">
        <v>4388145.7039999999</v>
      </c>
      <c r="W98" s="66">
        <v>3270295.2870999998</v>
      </c>
      <c r="X98" s="66">
        <f t="shared" si="14"/>
        <v>1635147.6435499999</v>
      </c>
      <c r="Y98" s="66">
        <f t="shared" si="21"/>
        <v>1635147.6435499999</v>
      </c>
      <c r="Z98" s="66">
        <v>146329112.94350001</v>
      </c>
      <c r="AA98" s="71">
        <f t="shared" si="16"/>
        <v>261362249.19325</v>
      </c>
    </row>
    <row r="99" spans="1:27" ht="24.95" customHeight="1">
      <c r="A99" s="181"/>
      <c r="B99" s="177"/>
      <c r="C99" s="62">
        <v>21</v>
      </c>
      <c r="D99" s="66" t="s">
        <v>316</v>
      </c>
      <c r="E99" s="66">
        <v>31730001.962099999</v>
      </c>
      <c r="F99" s="66">
        <v>0</v>
      </c>
      <c r="G99" s="66">
        <v>97888324.381099999</v>
      </c>
      <c r="H99" s="66">
        <v>7575075.4129999997</v>
      </c>
      <c r="I99" s="66">
        <v>3888549.7903</v>
      </c>
      <c r="J99" s="66">
        <v>0</v>
      </c>
      <c r="K99" s="66">
        <f t="shared" si="18"/>
        <v>3888549.7903</v>
      </c>
      <c r="L99" s="66">
        <v>205155071.29100001</v>
      </c>
      <c r="M99" s="71">
        <f t="shared" si="15"/>
        <v>346237022.83749998</v>
      </c>
      <c r="N99" s="70"/>
      <c r="O99" s="176"/>
      <c r="P99" s="76">
        <v>16</v>
      </c>
      <c r="Q99" s="181"/>
      <c r="R99" s="77" t="s">
        <v>317</v>
      </c>
      <c r="S99" s="66">
        <v>38687364.058700003</v>
      </c>
      <c r="T99" s="78">
        <v>0</v>
      </c>
      <c r="U99" s="78">
        <v>119352064.55239999</v>
      </c>
      <c r="V99" s="66">
        <v>6194804.7529999996</v>
      </c>
      <c r="W99" s="66">
        <v>4741182.8584000003</v>
      </c>
      <c r="X99" s="66">
        <f t="shared" si="14"/>
        <v>2370591.4292000001</v>
      </c>
      <c r="Y99" s="66">
        <f t="shared" si="21"/>
        <v>2370591.4292000001</v>
      </c>
      <c r="Z99" s="66">
        <v>210559619.69010001</v>
      </c>
      <c r="AA99" s="71">
        <f t="shared" si="16"/>
        <v>377164444.48339999</v>
      </c>
    </row>
    <row r="100" spans="1:27" ht="24.95" customHeight="1">
      <c r="A100" s="62"/>
      <c r="B100" s="188" t="s">
        <v>318</v>
      </c>
      <c r="C100" s="189"/>
      <c r="D100" s="67"/>
      <c r="E100" s="67">
        <f>SUM(E79:E99)</f>
        <v>715765688.52550006</v>
      </c>
      <c r="F100" s="67">
        <f t="shared" ref="F100:M100" si="22">SUM(F79:F99)</f>
        <v>0</v>
      </c>
      <c r="G100" s="67">
        <f t="shared" si="22"/>
        <v>2208165760.0558</v>
      </c>
      <c r="H100" s="67">
        <f t="shared" si="22"/>
        <v>166437443.24680001</v>
      </c>
      <c r="I100" s="67">
        <f t="shared" si="22"/>
        <v>87717943.457699999</v>
      </c>
      <c r="J100" s="67">
        <f t="shared" si="22"/>
        <v>0</v>
      </c>
      <c r="K100" s="67">
        <f t="shared" si="22"/>
        <v>87717943.457699999</v>
      </c>
      <c r="L100" s="67">
        <f t="shared" si="22"/>
        <v>4569950445.8059998</v>
      </c>
      <c r="M100" s="67">
        <f t="shared" si="22"/>
        <v>7748037281.0917997</v>
      </c>
      <c r="N100" s="70"/>
      <c r="O100" s="176"/>
      <c r="P100" s="76">
        <v>17</v>
      </c>
      <c r="Q100" s="181"/>
      <c r="R100" s="77" t="s">
        <v>319</v>
      </c>
      <c r="S100" s="66">
        <v>48384816.670000002</v>
      </c>
      <c r="T100" s="78">
        <v>0</v>
      </c>
      <c r="U100" s="78">
        <v>149269093.48969999</v>
      </c>
      <c r="V100" s="66">
        <v>7549554.0244000005</v>
      </c>
      <c r="W100" s="66">
        <v>5929617.3048</v>
      </c>
      <c r="X100" s="66">
        <f t="shared" si="14"/>
        <v>2964808.6524</v>
      </c>
      <c r="Y100" s="66">
        <f t="shared" si="21"/>
        <v>2964808.6524</v>
      </c>
      <c r="Z100" s="66">
        <v>258723788.9404</v>
      </c>
      <c r="AA100" s="71">
        <f t="shared" si="16"/>
        <v>466892061.77689999</v>
      </c>
    </row>
    <row r="101" spans="1:27" ht="24.95" customHeight="1">
      <c r="A101" s="181">
        <v>5</v>
      </c>
      <c r="B101" s="175" t="s">
        <v>320</v>
      </c>
      <c r="C101" s="62">
        <v>1</v>
      </c>
      <c r="D101" s="66" t="s">
        <v>321</v>
      </c>
      <c r="E101" s="66">
        <v>53500213.639300004</v>
      </c>
      <c r="F101" s="66">
        <v>0</v>
      </c>
      <c r="G101" s="66">
        <v>165050297.6153</v>
      </c>
      <c r="H101" s="66">
        <v>7489090.5824999996</v>
      </c>
      <c r="I101" s="66">
        <v>6556515.3377</v>
      </c>
      <c r="J101" s="66">
        <v>0</v>
      </c>
      <c r="K101" s="66">
        <f t="shared" ref="K101:K120" si="23">I101-J101</f>
        <v>6556515.3377</v>
      </c>
      <c r="L101" s="66">
        <v>255554118.86480001</v>
      </c>
      <c r="M101" s="71">
        <f t="shared" si="15"/>
        <v>488150236.03960001</v>
      </c>
      <c r="N101" s="70"/>
      <c r="O101" s="176"/>
      <c r="P101" s="76">
        <v>18</v>
      </c>
      <c r="Q101" s="181"/>
      <c r="R101" s="77" t="s">
        <v>322</v>
      </c>
      <c r="S101" s="66">
        <v>36548753.868299998</v>
      </c>
      <c r="T101" s="78">
        <v>0</v>
      </c>
      <c r="U101" s="78">
        <v>112754366.62899999</v>
      </c>
      <c r="V101" s="66">
        <v>5745925.2807</v>
      </c>
      <c r="W101" s="66">
        <v>4479093.6149000004</v>
      </c>
      <c r="X101" s="66">
        <f t="shared" si="14"/>
        <v>2239546.8074500002</v>
      </c>
      <c r="Y101" s="66">
        <f t="shared" si="21"/>
        <v>2239546.8074500002</v>
      </c>
      <c r="Z101" s="66">
        <v>194601015.8858</v>
      </c>
      <c r="AA101" s="71">
        <f t="shared" si="16"/>
        <v>351889608.47125</v>
      </c>
    </row>
    <row r="102" spans="1:27" ht="24.95" customHeight="1">
      <c r="A102" s="181"/>
      <c r="B102" s="176"/>
      <c r="C102" s="62">
        <v>2</v>
      </c>
      <c r="D102" s="66" t="s">
        <v>92</v>
      </c>
      <c r="E102" s="66">
        <v>64607142.685500003</v>
      </c>
      <c r="F102" s="66">
        <v>0</v>
      </c>
      <c r="G102" s="66">
        <v>199315617.69490001</v>
      </c>
      <c r="H102" s="66">
        <v>9340911.3201000001</v>
      </c>
      <c r="I102" s="66">
        <v>7917682.8114</v>
      </c>
      <c r="J102" s="66">
        <v>0</v>
      </c>
      <c r="K102" s="66">
        <f t="shared" si="23"/>
        <v>7917682.8114</v>
      </c>
      <c r="L102" s="66">
        <v>321390218.06889999</v>
      </c>
      <c r="M102" s="71">
        <f t="shared" si="15"/>
        <v>602571572.58080006</v>
      </c>
      <c r="N102" s="70"/>
      <c r="O102" s="176"/>
      <c r="P102" s="76">
        <v>19</v>
      </c>
      <c r="Q102" s="181"/>
      <c r="R102" s="77" t="s">
        <v>323</v>
      </c>
      <c r="S102" s="66">
        <v>34606039.357699998</v>
      </c>
      <c r="T102" s="78">
        <v>0</v>
      </c>
      <c r="U102" s="78">
        <v>106761014.7089</v>
      </c>
      <c r="V102" s="66">
        <v>5162957.6120999996</v>
      </c>
      <c r="W102" s="66">
        <v>4241011.6220000004</v>
      </c>
      <c r="X102" s="66">
        <f t="shared" si="14"/>
        <v>2120505.8110000002</v>
      </c>
      <c r="Y102" s="66">
        <f t="shared" si="21"/>
        <v>2120505.8110000002</v>
      </c>
      <c r="Z102" s="66">
        <v>173875296.33660001</v>
      </c>
      <c r="AA102" s="71">
        <f t="shared" si="16"/>
        <v>322525813.82630002</v>
      </c>
    </row>
    <row r="103" spans="1:27" ht="24.95" customHeight="1">
      <c r="A103" s="181"/>
      <c r="B103" s="176"/>
      <c r="C103" s="62">
        <v>3</v>
      </c>
      <c r="D103" s="66" t="s">
        <v>324</v>
      </c>
      <c r="E103" s="66">
        <v>28255705.567299999</v>
      </c>
      <c r="F103" s="66">
        <v>0</v>
      </c>
      <c r="G103" s="66">
        <v>87169981.126699999</v>
      </c>
      <c r="H103" s="66">
        <v>4726792.6299000001</v>
      </c>
      <c r="I103" s="66">
        <v>3462770.6008000001</v>
      </c>
      <c r="J103" s="66">
        <v>0</v>
      </c>
      <c r="K103" s="66">
        <f t="shared" si="23"/>
        <v>3462770.6008000001</v>
      </c>
      <c r="L103" s="66">
        <v>157348650.94350001</v>
      </c>
      <c r="M103" s="71">
        <f t="shared" si="15"/>
        <v>280963900.8682</v>
      </c>
      <c r="N103" s="70"/>
      <c r="O103" s="176"/>
      <c r="P103" s="76">
        <v>20</v>
      </c>
      <c r="Q103" s="181"/>
      <c r="R103" s="77" t="s">
        <v>325</v>
      </c>
      <c r="S103" s="66">
        <v>37106040.808300003</v>
      </c>
      <c r="T103" s="78">
        <v>0</v>
      </c>
      <c r="U103" s="78">
        <v>114473619.11499999</v>
      </c>
      <c r="V103" s="66">
        <v>5620556.2529999996</v>
      </c>
      <c r="W103" s="66">
        <v>4547389.7977</v>
      </c>
      <c r="X103" s="66">
        <f t="shared" si="14"/>
        <v>2273694.89885</v>
      </c>
      <c r="Y103" s="66">
        <f t="shared" si="21"/>
        <v>2273694.89885</v>
      </c>
      <c r="Z103" s="66">
        <v>190143884.81600001</v>
      </c>
      <c r="AA103" s="71">
        <f t="shared" si="16"/>
        <v>349617795.89115</v>
      </c>
    </row>
    <row r="104" spans="1:27" ht="24.95" customHeight="1">
      <c r="A104" s="181"/>
      <c r="B104" s="176"/>
      <c r="C104" s="62">
        <v>4</v>
      </c>
      <c r="D104" s="66" t="s">
        <v>326</v>
      </c>
      <c r="E104" s="66">
        <v>33393627.3825</v>
      </c>
      <c r="F104" s="66">
        <v>0</v>
      </c>
      <c r="G104" s="66">
        <v>103020675.3022</v>
      </c>
      <c r="H104" s="66">
        <v>5478252.0361000001</v>
      </c>
      <c r="I104" s="66">
        <v>4092429.0806</v>
      </c>
      <c r="J104" s="66">
        <v>0</v>
      </c>
      <c r="K104" s="66">
        <f t="shared" si="23"/>
        <v>4092429.0806</v>
      </c>
      <c r="L104" s="66">
        <v>184064604.0636</v>
      </c>
      <c r="M104" s="71">
        <f t="shared" si="15"/>
        <v>330049587.86500001</v>
      </c>
      <c r="N104" s="70"/>
      <c r="O104" s="177"/>
      <c r="P104" s="76">
        <v>21</v>
      </c>
      <c r="Q104" s="181"/>
      <c r="R104" s="77" t="s">
        <v>327</v>
      </c>
      <c r="S104" s="66">
        <v>36306979.415600002</v>
      </c>
      <c r="T104" s="78">
        <v>0</v>
      </c>
      <c r="U104" s="78">
        <v>112008482.7784</v>
      </c>
      <c r="V104" s="66">
        <v>5520601.2361000003</v>
      </c>
      <c r="W104" s="66">
        <v>4449463.8658999996</v>
      </c>
      <c r="X104" s="66">
        <f t="shared" si="14"/>
        <v>2224731.9329499998</v>
      </c>
      <c r="Y104" s="66">
        <f t="shared" si="21"/>
        <v>2224731.9329499998</v>
      </c>
      <c r="Z104" s="66">
        <v>186590274.96939999</v>
      </c>
      <c r="AA104" s="71">
        <f t="shared" si="16"/>
        <v>342651070.33244997</v>
      </c>
    </row>
    <row r="105" spans="1:27" ht="24.95" customHeight="1">
      <c r="A105" s="181"/>
      <c r="B105" s="176"/>
      <c r="C105" s="62">
        <v>5</v>
      </c>
      <c r="D105" s="66" t="s">
        <v>328</v>
      </c>
      <c r="E105" s="66">
        <v>42361191.581799999</v>
      </c>
      <c r="F105" s="66">
        <v>0</v>
      </c>
      <c r="G105" s="66">
        <v>130685969.3135</v>
      </c>
      <c r="H105" s="66">
        <v>6612363.5344000002</v>
      </c>
      <c r="I105" s="66">
        <v>5191414.8268999998</v>
      </c>
      <c r="J105" s="66">
        <v>0</v>
      </c>
      <c r="K105" s="66">
        <f t="shared" si="23"/>
        <v>5191414.8268999998</v>
      </c>
      <c r="L105" s="66">
        <v>224384639.14789999</v>
      </c>
      <c r="M105" s="71">
        <f t="shared" si="15"/>
        <v>409235578.40450001</v>
      </c>
      <c r="N105" s="70"/>
      <c r="O105" s="62"/>
      <c r="P105" s="189" t="s">
        <v>329</v>
      </c>
      <c r="Q105" s="192"/>
      <c r="R105" s="67"/>
      <c r="S105" s="67">
        <f t="shared" ref="S105:AA105" si="24">SUM(S84:S104)</f>
        <v>771742189.95869994</v>
      </c>
      <c r="T105" s="67">
        <f t="shared" si="24"/>
        <v>-1E-4</v>
      </c>
      <c r="U105" s="67">
        <f t="shared" si="24"/>
        <v>2380855504.4970999</v>
      </c>
      <c r="V105" s="67">
        <f t="shared" ref="V105" si="25">SUM(V84:V104)</f>
        <v>119710222.6561</v>
      </c>
      <c r="W105" s="67">
        <f t="shared" si="24"/>
        <v>94577930.833499998</v>
      </c>
      <c r="X105" s="67">
        <f t="shared" si="24"/>
        <v>47288965.416749999</v>
      </c>
      <c r="Y105" s="67">
        <f t="shared" si="24"/>
        <v>47288965.416749999</v>
      </c>
      <c r="Z105" s="67">
        <f t="shared" si="24"/>
        <v>4052697235.5450001</v>
      </c>
      <c r="AA105" s="67">
        <f t="shared" si="24"/>
        <v>7372294118.0735502</v>
      </c>
    </row>
    <row r="106" spans="1:27" ht="24.95" customHeight="1">
      <c r="A106" s="181"/>
      <c r="B106" s="176"/>
      <c r="C106" s="62">
        <v>6</v>
      </c>
      <c r="D106" s="66" t="s">
        <v>330</v>
      </c>
      <c r="E106" s="66">
        <v>28050935.5704</v>
      </c>
      <c r="F106" s="66">
        <v>0</v>
      </c>
      <c r="G106" s="66">
        <v>86538257.501200005</v>
      </c>
      <c r="H106" s="66">
        <v>4791318.9835999999</v>
      </c>
      <c r="I106" s="66">
        <v>3437675.7921000002</v>
      </c>
      <c r="J106" s="66">
        <v>0</v>
      </c>
      <c r="K106" s="66">
        <f t="shared" si="23"/>
        <v>3437675.7921000002</v>
      </c>
      <c r="L106" s="66">
        <v>159642697.73719999</v>
      </c>
      <c r="M106" s="71">
        <f t="shared" si="15"/>
        <v>282460885.58450001</v>
      </c>
      <c r="N106" s="70"/>
      <c r="O106" s="175">
        <v>23</v>
      </c>
      <c r="P106" s="76">
        <v>1</v>
      </c>
      <c r="Q106" s="181" t="s">
        <v>110</v>
      </c>
      <c r="R106" s="77" t="s">
        <v>331</v>
      </c>
      <c r="S106" s="66">
        <v>31356613.733899999</v>
      </c>
      <c r="T106" s="66">
        <v>0</v>
      </c>
      <c r="U106" s="66">
        <v>96736406.771699995</v>
      </c>
      <c r="V106" s="66">
        <v>5788583.1876999997</v>
      </c>
      <c r="W106" s="66">
        <v>3842790.6151000001</v>
      </c>
      <c r="X106" s="66">
        <f t="shared" si="14"/>
        <v>1921395.30755</v>
      </c>
      <c r="Y106" s="66">
        <f t="shared" ref="Y106:Y121" si="26">W106-X106</f>
        <v>1921395.30755</v>
      </c>
      <c r="Z106" s="66">
        <v>186576329.55329999</v>
      </c>
      <c r="AA106" s="71">
        <f t="shared" si="16"/>
        <v>322379328.55414999</v>
      </c>
    </row>
    <row r="107" spans="1:27" ht="24.95" customHeight="1">
      <c r="A107" s="181"/>
      <c r="B107" s="176"/>
      <c r="C107" s="62">
        <v>7</v>
      </c>
      <c r="D107" s="66" t="s">
        <v>332</v>
      </c>
      <c r="E107" s="66">
        <v>44751674.934699997</v>
      </c>
      <c r="F107" s="66">
        <v>0</v>
      </c>
      <c r="G107" s="66">
        <v>138060706.01050001</v>
      </c>
      <c r="H107" s="66">
        <v>7004286.7838000003</v>
      </c>
      <c r="I107" s="66">
        <v>5484371.4282999998</v>
      </c>
      <c r="J107" s="66">
        <v>0</v>
      </c>
      <c r="K107" s="66">
        <f t="shared" si="23"/>
        <v>5484371.4282999998</v>
      </c>
      <c r="L107" s="66">
        <v>238318330.1399</v>
      </c>
      <c r="M107" s="71">
        <f t="shared" si="15"/>
        <v>433619369.29720002</v>
      </c>
      <c r="N107" s="70"/>
      <c r="O107" s="176"/>
      <c r="P107" s="76">
        <v>2</v>
      </c>
      <c r="Q107" s="181"/>
      <c r="R107" s="77" t="s">
        <v>333</v>
      </c>
      <c r="S107" s="66">
        <v>51564133.497000001</v>
      </c>
      <c r="T107" s="66">
        <v>0</v>
      </c>
      <c r="U107" s="66">
        <v>159077412.9862</v>
      </c>
      <c r="V107" s="66">
        <v>6723854.8344000001</v>
      </c>
      <c r="W107" s="66">
        <v>6319246.3945000004</v>
      </c>
      <c r="X107" s="66">
        <f t="shared" si="14"/>
        <v>3159623.1972500002</v>
      </c>
      <c r="Y107" s="66">
        <f t="shared" si="26"/>
        <v>3159623.1972500002</v>
      </c>
      <c r="Z107" s="66">
        <v>219827192.1591</v>
      </c>
      <c r="AA107" s="71">
        <f t="shared" si="16"/>
        <v>440352216.67395002</v>
      </c>
    </row>
    <row r="108" spans="1:27" ht="24.95" customHeight="1">
      <c r="A108" s="181"/>
      <c r="B108" s="176"/>
      <c r="C108" s="62">
        <v>8</v>
      </c>
      <c r="D108" s="66" t="s">
        <v>334</v>
      </c>
      <c r="E108" s="66">
        <v>45175511.597599998</v>
      </c>
      <c r="F108" s="66">
        <v>0</v>
      </c>
      <c r="G108" s="66">
        <v>139368259.0573</v>
      </c>
      <c r="H108" s="66">
        <v>6599645.2638999997</v>
      </c>
      <c r="I108" s="66">
        <v>5536313.1195999999</v>
      </c>
      <c r="J108" s="66">
        <v>0</v>
      </c>
      <c r="K108" s="66">
        <f t="shared" si="23"/>
        <v>5536313.1195999999</v>
      </c>
      <c r="L108" s="66">
        <v>223932478.03929999</v>
      </c>
      <c r="M108" s="71">
        <f t="shared" si="15"/>
        <v>420612207.07770002</v>
      </c>
      <c r="N108" s="70"/>
      <c r="O108" s="176"/>
      <c r="P108" s="76">
        <v>3</v>
      </c>
      <c r="Q108" s="181"/>
      <c r="R108" s="77" t="s">
        <v>335</v>
      </c>
      <c r="S108" s="66">
        <v>39520671.600599997</v>
      </c>
      <c r="T108" s="66">
        <v>0</v>
      </c>
      <c r="U108" s="66">
        <v>121922851.6284</v>
      </c>
      <c r="V108" s="66">
        <v>6633846.8794</v>
      </c>
      <c r="W108" s="66">
        <v>4843305.6968999999</v>
      </c>
      <c r="X108" s="66">
        <f t="shared" si="14"/>
        <v>2421652.8484499999</v>
      </c>
      <c r="Y108" s="66">
        <f t="shared" si="26"/>
        <v>2421652.8484499999</v>
      </c>
      <c r="Z108" s="66">
        <v>216627221.16010001</v>
      </c>
      <c r="AA108" s="71">
        <f t="shared" si="16"/>
        <v>387126244.11694998</v>
      </c>
    </row>
    <row r="109" spans="1:27" ht="24.95" customHeight="1">
      <c r="A109" s="181"/>
      <c r="B109" s="176"/>
      <c r="C109" s="62">
        <v>9</v>
      </c>
      <c r="D109" s="66" t="s">
        <v>336</v>
      </c>
      <c r="E109" s="66">
        <v>31775972.200199999</v>
      </c>
      <c r="F109" s="66">
        <v>0</v>
      </c>
      <c r="G109" s="66">
        <v>98030144.403200001</v>
      </c>
      <c r="H109" s="66">
        <v>5546371.949</v>
      </c>
      <c r="I109" s="66">
        <v>3894183.4981</v>
      </c>
      <c r="J109" s="66">
        <v>0</v>
      </c>
      <c r="K109" s="66">
        <f t="shared" si="23"/>
        <v>3894183.4981</v>
      </c>
      <c r="L109" s="66">
        <v>186486409.39910001</v>
      </c>
      <c r="M109" s="71">
        <f t="shared" si="15"/>
        <v>325733081.44959998</v>
      </c>
      <c r="N109" s="70"/>
      <c r="O109" s="176"/>
      <c r="P109" s="76">
        <v>4</v>
      </c>
      <c r="Q109" s="181"/>
      <c r="R109" s="77" t="s">
        <v>100</v>
      </c>
      <c r="S109" s="66">
        <v>24067209.814800002</v>
      </c>
      <c r="T109" s="66">
        <v>0</v>
      </c>
      <c r="U109" s="66">
        <v>74248304.305299997</v>
      </c>
      <c r="V109" s="66">
        <v>4982172.7422000002</v>
      </c>
      <c r="W109" s="66">
        <v>2949465.4235999999</v>
      </c>
      <c r="X109" s="66">
        <f t="shared" si="14"/>
        <v>1474732.7117999999</v>
      </c>
      <c r="Y109" s="66">
        <f t="shared" si="26"/>
        <v>1474732.7117999999</v>
      </c>
      <c r="Z109" s="66">
        <v>157906752.08610001</v>
      </c>
      <c r="AA109" s="71">
        <f t="shared" si="16"/>
        <v>262679171.6602</v>
      </c>
    </row>
    <row r="110" spans="1:27" ht="24.95" customHeight="1">
      <c r="A110" s="181"/>
      <c r="B110" s="176"/>
      <c r="C110" s="62">
        <v>10</v>
      </c>
      <c r="D110" s="66" t="s">
        <v>337</v>
      </c>
      <c r="E110" s="66">
        <v>36392761.892399997</v>
      </c>
      <c r="F110" s="66">
        <v>0</v>
      </c>
      <c r="G110" s="66">
        <v>112273125.14839999</v>
      </c>
      <c r="H110" s="66">
        <v>6369026.6337000001</v>
      </c>
      <c r="I110" s="66">
        <v>4459976.6112000002</v>
      </c>
      <c r="J110" s="66">
        <v>0</v>
      </c>
      <c r="K110" s="66">
        <f t="shared" si="23"/>
        <v>4459976.6112000002</v>
      </c>
      <c r="L110" s="66">
        <v>215733503.53470001</v>
      </c>
      <c r="M110" s="71">
        <f t="shared" si="15"/>
        <v>375228393.8204</v>
      </c>
      <c r="N110" s="70"/>
      <c r="O110" s="176"/>
      <c r="P110" s="76">
        <v>5</v>
      </c>
      <c r="Q110" s="181"/>
      <c r="R110" s="77" t="s">
        <v>338</v>
      </c>
      <c r="S110" s="66">
        <v>41759120.637599997</v>
      </c>
      <c r="T110" s="66">
        <v>0</v>
      </c>
      <c r="U110" s="66">
        <v>128828556.38410001</v>
      </c>
      <c r="V110" s="66">
        <v>6685362.0707</v>
      </c>
      <c r="W110" s="66">
        <v>5117630.3106000004</v>
      </c>
      <c r="X110" s="66">
        <f t="shared" si="14"/>
        <v>2558815.1553000002</v>
      </c>
      <c r="Y110" s="66">
        <f t="shared" si="26"/>
        <v>2558815.1553000002</v>
      </c>
      <c r="Z110" s="66">
        <v>218458693.9233</v>
      </c>
      <c r="AA110" s="71">
        <f t="shared" si="16"/>
        <v>398290548.171</v>
      </c>
    </row>
    <row r="111" spans="1:27" ht="24.95" customHeight="1">
      <c r="A111" s="181"/>
      <c r="B111" s="176"/>
      <c r="C111" s="62">
        <v>11</v>
      </c>
      <c r="D111" s="66" t="s">
        <v>339</v>
      </c>
      <c r="E111" s="66">
        <v>28159568.442899998</v>
      </c>
      <c r="F111" s="66">
        <v>0</v>
      </c>
      <c r="G111" s="66">
        <v>86873394.254999995</v>
      </c>
      <c r="H111" s="66">
        <v>5106065.1993000004</v>
      </c>
      <c r="I111" s="66">
        <v>3450988.8810000001</v>
      </c>
      <c r="J111" s="66">
        <v>0</v>
      </c>
      <c r="K111" s="66">
        <f t="shared" si="23"/>
        <v>3450988.8810000001</v>
      </c>
      <c r="L111" s="66">
        <v>170832583.80880001</v>
      </c>
      <c r="M111" s="71">
        <f t="shared" si="15"/>
        <v>294422600.58700001</v>
      </c>
      <c r="N111" s="70"/>
      <c r="O111" s="176"/>
      <c r="P111" s="76">
        <v>6</v>
      </c>
      <c r="Q111" s="181"/>
      <c r="R111" s="77" t="s">
        <v>340</v>
      </c>
      <c r="S111" s="66">
        <v>35891433.088299997</v>
      </c>
      <c r="T111" s="66">
        <v>0</v>
      </c>
      <c r="U111" s="66">
        <v>110726505.7484</v>
      </c>
      <c r="V111" s="66">
        <v>6665850.9594999999</v>
      </c>
      <c r="W111" s="66">
        <v>4398538.1651999997</v>
      </c>
      <c r="X111" s="66">
        <f t="shared" si="14"/>
        <v>2199269.0825999998</v>
      </c>
      <c r="Y111" s="66">
        <f t="shared" si="26"/>
        <v>2199269.0825999998</v>
      </c>
      <c r="Z111" s="66">
        <v>217765033.1261</v>
      </c>
      <c r="AA111" s="71">
        <f t="shared" si="16"/>
        <v>373248092.00489998</v>
      </c>
    </row>
    <row r="112" spans="1:27" ht="24.95" customHeight="1">
      <c r="A112" s="181"/>
      <c r="B112" s="176"/>
      <c r="C112" s="62">
        <v>12</v>
      </c>
      <c r="D112" s="66" t="s">
        <v>341</v>
      </c>
      <c r="E112" s="66">
        <v>43608026.0858</v>
      </c>
      <c r="F112" s="66">
        <v>0</v>
      </c>
      <c r="G112" s="66">
        <v>134532503.59729999</v>
      </c>
      <c r="H112" s="66">
        <v>7112228.7394000003</v>
      </c>
      <c r="I112" s="66">
        <v>5344215.8904999997</v>
      </c>
      <c r="J112" s="66">
        <v>0</v>
      </c>
      <c r="K112" s="66">
        <f t="shared" si="23"/>
        <v>5344215.8904999997</v>
      </c>
      <c r="L112" s="66">
        <v>242155892.3567</v>
      </c>
      <c r="M112" s="71">
        <f t="shared" si="15"/>
        <v>432752866.66970003</v>
      </c>
      <c r="N112" s="70"/>
      <c r="O112" s="176"/>
      <c r="P112" s="76">
        <v>7</v>
      </c>
      <c r="Q112" s="181"/>
      <c r="R112" s="77" t="s">
        <v>342</v>
      </c>
      <c r="S112" s="66">
        <v>36278242.913199998</v>
      </c>
      <c r="T112" s="66">
        <v>0</v>
      </c>
      <c r="U112" s="66">
        <v>111919829.51980001</v>
      </c>
      <c r="V112" s="66">
        <v>6715203.2562999995</v>
      </c>
      <c r="W112" s="66">
        <v>4445942.1730000004</v>
      </c>
      <c r="X112" s="66">
        <f t="shared" si="14"/>
        <v>2222971.0865000002</v>
      </c>
      <c r="Y112" s="66">
        <f t="shared" si="26"/>
        <v>2222971.0865000002</v>
      </c>
      <c r="Z112" s="66">
        <v>219519610.46599999</v>
      </c>
      <c r="AA112" s="71">
        <f t="shared" si="16"/>
        <v>376655857.24180001</v>
      </c>
    </row>
    <row r="113" spans="1:27" ht="24.95" customHeight="1">
      <c r="A113" s="181"/>
      <c r="B113" s="176"/>
      <c r="C113" s="62">
        <v>13</v>
      </c>
      <c r="D113" s="66" t="s">
        <v>343</v>
      </c>
      <c r="E113" s="66">
        <v>35865520.325000003</v>
      </c>
      <c r="F113" s="66">
        <v>0</v>
      </c>
      <c r="G113" s="66">
        <v>110646563.83750001</v>
      </c>
      <c r="H113" s="66">
        <v>5441032.2259</v>
      </c>
      <c r="I113" s="66">
        <v>4395362.5247999998</v>
      </c>
      <c r="J113" s="66">
        <v>0</v>
      </c>
      <c r="K113" s="66">
        <f t="shared" si="23"/>
        <v>4395362.5247999998</v>
      </c>
      <c r="L113" s="66">
        <v>182741361.98840001</v>
      </c>
      <c r="M113" s="71">
        <f t="shared" si="15"/>
        <v>339089840.9016</v>
      </c>
      <c r="N113" s="70"/>
      <c r="O113" s="176"/>
      <c r="P113" s="76">
        <v>8</v>
      </c>
      <c r="Q113" s="181"/>
      <c r="R113" s="77" t="s">
        <v>344</v>
      </c>
      <c r="S113" s="66">
        <v>42780007.7205</v>
      </c>
      <c r="T113" s="66">
        <v>0</v>
      </c>
      <c r="U113" s="66">
        <v>131978033.84209999</v>
      </c>
      <c r="V113" s="66">
        <v>8472273.4419999998</v>
      </c>
      <c r="W113" s="66">
        <v>5242741.2468999997</v>
      </c>
      <c r="X113" s="66">
        <f t="shared" si="14"/>
        <v>2621370.6234499998</v>
      </c>
      <c r="Y113" s="66">
        <f t="shared" si="26"/>
        <v>2621370.6234499998</v>
      </c>
      <c r="Z113" s="66">
        <v>281987129.4357</v>
      </c>
      <c r="AA113" s="71">
        <f t="shared" si="16"/>
        <v>467838815.06375003</v>
      </c>
    </row>
    <row r="114" spans="1:27" ht="24.95" customHeight="1">
      <c r="A114" s="181"/>
      <c r="B114" s="176"/>
      <c r="C114" s="62">
        <v>14</v>
      </c>
      <c r="D114" s="66" t="s">
        <v>345</v>
      </c>
      <c r="E114" s="66">
        <v>41879650.347199999</v>
      </c>
      <c r="F114" s="66">
        <v>0</v>
      </c>
      <c r="G114" s="66">
        <v>129200395.35600001</v>
      </c>
      <c r="H114" s="66">
        <v>6746305.2846999997</v>
      </c>
      <c r="I114" s="66">
        <v>5132401.3711000001</v>
      </c>
      <c r="J114" s="66">
        <v>0</v>
      </c>
      <c r="K114" s="66">
        <f t="shared" si="23"/>
        <v>5132401.3711000001</v>
      </c>
      <c r="L114" s="66">
        <v>229146548.43169999</v>
      </c>
      <c r="M114" s="71">
        <f t="shared" si="15"/>
        <v>412105300.79070002</v>
      </c>
      <c r="N114" s="70"/>
      <c r="O114" s="176"/>
      <c r="P114" s="76">
        <v>9</v>
      </c>
      <c r="Q114" s="181"/>
      <c r="R114" s="77" t="s">
        <v>346</v>
      </c>
      <c r="S114" s="66">
        <v>30927140.877999999</v>
      </c>
      <c r="T114" s="66">
        <v>0</v>
      </c>
      <c r="U114" s="66">
        <v>95411465.843999997</v>
      </c>
      <c r="V114" s="66">
        <v>6038386.2418</v>
      </c>
      <c r="W114" s="66">
        <v>3790158.2015999998</v>
      </c>
      <c r="X114" s="66">
        <f t="shared" si="14"/>
        <v>1895079.1007999999</v>
      </c>
      <c r="Y114" s="66">
        <f t="shared" si="26"/>
        <v>1895079.1007999999</v>
      </c>
      <c r="Z114" s="66">
        <v>195457350.44220001</v>
      </c>
      <c r="AA114" s="71">
        <f t="shared" si="16"/>
        <v>329729422.5068</v>
      </c>
    </row>
    <row r="115" spans="1:27" ht="24.95" customHeight="1">
      <c r="A115" s="181"/>
      <c r="B115" s="176"/>
      <c r="C115" s="62">
        <v>15</v>
      </c>
      <c r="D115" s="66" t="s">
        <v>347</v>
      </c>
      <c r="E115" s="66">
        <v>53667845.622400001</v>
      </c>
      <c r="F115" s="66">
        <v>0</v>
      </c>
      <c r="G115" s="66">
        <v>165567448.98390001</v>
      </c>
      <c r="H115" s="66">
        <v>8139851.4768000003</v>
      </c>
      <c r="I115" s="66">
        <v>6577058.8382000001</v>
      </c>
      <c r="J115" s="66">
        <v>0</v>
      </c>
      <c r="K115" s="66">
        <f t="shared" si="23"/>
        <v>6577058.8382000001</v>
      </c>
      <c r="L115" s="66">
        <v>278690029.33660001</v>
      </c>
      <c r="M115" s="71">
        <f t="shared" si="15"/>
        <v>512642234.2579</v>
      </c>
      <c r="N115" s="70"/>
      <c r="O115" s="176"/>
      <c r="P115" s="76">
        <v>10</v>
      </c>
      <c r="Q115" s="181"/>
      <c r="R115" s="77" t="s">
        <v>348</v>
      </c>
      <c r="S115" s="66">
        <v>41127749.556999996</v>
      </c>
      <c r="T115" s="66">
        <v>0</v>
      </c>
      <c r="U115" s="66">
        <v>126880751.36300001</v>
      </c>
      <c r="V115" s="66">
        <v>5763000.2006999999</v>
      </c>
      <c r="W115" s="66">
        <v>5040255.0275999997</v>
      </c>
      <c r="X115" s="66">
        <f t="shared" si="14"/>
        <v>2520127.5137999998</v>
      </c>
      <c r="Y115" s="66">
        <f t="shared" si="26"/>
        <v>2520127.5137999998</v>
      </c>
      <c r="Z115" s="66">
        <v>185666800.87509999</v>
      </c>
      <c r="AA115" s="71">
        <f t="shared" si="16"/>
        <v>361958429.50959998</v>
      </c>
    </row>
    <row r="116" spans="1:27" ht="24.95" customHeight="1">
      <c r="A116" s="181"/>
      <c r="B116" s="176"/>
      <c r="C116" s="62">
        <v>16</v>
      </c>
      <c r="D116" s="66" t="s">
        <v>349</v>
      </c>
      <c r="E116" s="66">
        <v>40233718.088699996</v>
      </c>
      <c r="F116" s="66">
        <v>0</v>
      </c>
      <c r="G116" s="66">
        <v>124122628.5468</v>
      </c>
      <c r="H116" s="66">
        <v>6414289.7078999998</v>
      </c>
      <c r="I116" s="66">
        <v>4930690.3991</v>
      </c>
      <c r="J116" s="66">
        <v>0</v>
      </c>
      <c r="K116" s="66">
        <f t="shared" si="23"/>
        <v>4930690.3991</v>
      </c>
      <c r="L116" s="66">
        <v>217342700.46509999</v>
      </c>
      <c r="M116" s="71">
        <f t="shared" si="15"/>
        <v>393044027.2076</v>
      </c>
      <c r="N116" s="70"/>
      <c r="O116" s="176"/>
      <c r="P116" s="76">
        <v>11</v>
      </c>
      <c r="Q116" s="181"/>
      <c r="R116" s="77" t="s">
        <v>350</v>
      </c>
      <c r="S116" s="66">
        <v>32603174.3334</v>
      </c>
      <c r="T116" s="66">
        <v>0</v>
      </c>
      <c r="U116" s="66">
        <v>100582096.0492</v>
      </c>
      <c r="V116" s="66">
        <v>5589833.4567</v>
      </c>
      <c r="W116" s="66">
        <v>3995558.1115000001</v>
      </c>
      <c r="X116" s="66">
        <f t="shared" si="14"/>
        <v>1997779.0557500001</v>
      </c>
      <c r="Y116" s="66">
        <f t="shared" si="26"/>
        <v>1997779.0557500001</v>
      </c>
      <c r="Z116" s="66">
        <v>179510361.0508</v>
      </c>
      <c r="AA116" s="71">
        <f t="shared" si="16"/>
        <v>320283243.94585001</v>
      </c>
    </row>
    <row r="117" spans="1:27" ht="24.95" customHeight="1">
      <c r="A117" s="181"/>
      <c r="B117" s="176"/>
      <c r="C117" s="62">
        <v>17</v>
      </c>
      <c r="D117" s="66" t="s">
        <v>351</v>
      </c>
      <c r="E117" s="66">
        <v>39572946.728100002</v>
      </c>
      <c r="F117" s="66">
        <v>0</v>
      </c>
      <c r="G117" s="66">
        <v>122084122.48630001</v>
      </c>
      <c r="H117" s="66">
        <v>6256285.7559000002</v>
      </c>
      <c r="I117" s="66">
        <v>4849712.0763999997</v>
      </c>
      <c r="J117" s="66">
        <v>0</v>
      </c>
      <c r="K117" s="66">
        <f t="shared" si="23"/>
        <v>4849712.0763999997</v>
      </c>
      <c r="L117" s="66">
        <v>211725329.5975</v>
      </c>
      <c r="M117" s="71">
        <f t="shared" si="15"/>
        <v>384488396.64420003</v>
      </c>
      <c r="N117" s="70"/>
      <c r="O117" s="176"/>
      <c r="P117" s="76">
        <v>12</v>
      </c>
      <c r="Q117" s="181"/>
      <c r="R117" s="77" t="s">
        <v>352</v>
      </c>
      <c r="S117" s="66">
        <v>28959209.7108</v>
      </c>
      <c r="T117" s="66">
        <v>0</v>
      </c>
      <c r="U117" s="66">
        <v>89340319.530200005</v>
      </c>
      <c r="V117" s="66">
        <v>5374467.7390999999</v>
      </c>
      <c r="W117" s="66">
        <v>3548985.8772</v>
      </c>
      <c r="X117" s="66">
        <f t="shared" si="14"/>
        <v>1774492.9386</v>
      </c>
      <c r="Y117" s="66">
        <f t="shared" si="26"/>
        <v>1774492.9386</v>
      </c>
      <c r="Z117" s="66">
        <v>171853659.47889999</v>
      </c>
      <c r="AA117" s="71">
        <f t="shared" si="16"/>
        <v>297302149.3976</v>
      </c>
    </row>
    <row r="118" spans="1:27" ht="24.95" customHeight="1">
      <c r="A118" s="181"/>
      <c r="B118" s="176"/>
      <c r="C118" s="62">
        <v>18</v>
      </c>
      <c r="D118" s="66" t="s">
        <v>353</v>
      </c>
      <c r="E118" s="66">
        <v>55651819.563600004</v>
      </c>
      <c r="F118" s="66">
        <v>0</v>
      </c>
      <c r="G118" s="66">
        <v>171688087.8969</v>
      </c>
      <c r="H118" s="66">
        <v>7725431.8711999999</v>
      </c>
      <c r="I118" s="66">
        <v>6820197.2237999998</v>
      </c>
      <c r="J118" s="66">
        <v>0</v>
      </c>
      <c r="K118" s="66">
        <f t="shared" si="23"/>
        <v>6820197.2237999998</v>
      </c>
      <c r="L118" s="66">
        <v>263956545.8434</v>
      </c>
      <c r="M118" s="71">
        <f t="shared" si="15"/>
        <v>505842082.39889997</v>
      </c>
      <c r="N118" s="70"/>
      <c r="O118" s="176"/>
      <c r="P118" s="76">
        <v>13</v>
      </c>
      <c r="Q118" s="181"/>
      <c r="R118" s="77" t="s">
        <v>354</v>
      </c>
      <c r="S118" s="66">
        <v>24230658.253400002</v>
      </c>
      <c r="T118" s="66">
        <v>0</v>
      </c>
      <c r="U118" s="66">
        <v>74752549.272100002</v>
      </c>
      <c r="V118" s="66">
        <v>5013365.7368000001</v>
      </c>
      <c r="W118" s="66">
        <v>2969496.2258000001</v>
      </c>
      <c r="X118" s="66">
        <f t="shared" si="14"/>
        <v>1484748.1129000001</v>
      </c>
      <c r="Y118" s="66">
        <f t="shared" si="26"/>
        <v>1484748.1129000001</v>
      </c>
      <c r="Z118" s="66">
        <v>159015728.26840001</v>
      </c>
      <c r="AA118" s="71">
        <f t="shared" si="16"/>
        <v>264497049.64359999</v>
      </c>
    </row>
    <row r="119" spans="1:27" ht="24.95" customHeight="1">
      <c r="A119" s="181"/>
      <c r="B119" s="176"/>
      <c r="C119" s="62">
        <v>19</v>
      </c>
      <c r="D119" s="66" t="s">
        <v>355</v>
      </c>
      <c r="E119" s="66">
        <v>30973464.783399999</v>
      </c>
      <c r="F119" s="66">
        <v>0</v>
      </c>
      <c r="G119" s="66">
        <v>95554376.944000006</v>
      </c>
      <c r="H119" s="66">
        <v>5070433.7648</v>
      </c>
      <c r="I119" s="66">
        <v>3795835.2518000002</v>
      </c>
      <c r="J119" s="66">
        <v>0</v>
      </c>
      <c r="K119" s="66">
        <f t="shared" si="23"/>
        <v>3795835.2518000002</v>
      </c>
      <c r="L119" s="66">
        <v>169565811.81009999</v>
      </c>
      <c r="M119" s="71">
        <f t="shared" si="15"/>
        <v>304959922.55409998</v>
      </c>
      <c r="N119" s="70"/>
      <c r="O119" s="176"/>
      <c r="P119" s="76">
        <v>14</v>
      </c>
      <c r="Q119" s="181"/>
      <c r="R119" s="77" t="s">
        <v>356</v>
      </c>
      <c r="S119" s="66">
        <v>24127908.6028</v>
      </c>
      <c r="T119" s="66">
        <v>0</v>
      </c>
      <c r="U119" s="66">
        <v>74435562.492799997</v>
      </c>
      <c r="V119" s="66">
        <v>5037236.4323000005</v>
      </c>
      <c r="W119" s="66">
        <v>2956904.1329000001</v>
      </c>
      <c r="X119" s="66">
        <f t="shared" si="14"/>
        <v>1478452.06645</v>
      </c>
      <c r="Y119" s="66">
        <f t="shared" si="26"/>
        <v>1478452.06645</v>
      </c>
      <c r="Z119" s="66">
        <v>159864381.40310001</v>
      </c>
      <c r="AA119" s="71">
        <f t="shared" si="16"/>
        <v>264943540.99744999</v>
      </c>
    </row>
    <row r="120" spans="1:27" ht="24.95" customHeight="1">
      <c r="A120" s="181"/>
      <c r="B120" s="177"/>
      <c r="C120" s="62">
        <v>20</v>
      </c>
      <c r="D120" s="66" t="s">
        <v>357</v>
      </c>
      <c r="E120" s="66">
        <v>34658400.542199999</v>
      </c>
      <c r="F120" s="66">
        <v>0</v>
      </c>
      <c r="G120" s="66">
        <v>106922551.0561</v>
      </c>
      <c r="H120" s="66">
        <v>5934881.8805</v>
      </c>
      <c r="I120" s="66">
        <v>4247428.5480000004</v>
      </c>
      <c r="J120" s="66">
        <v>0</v>
      </c>
      <c r="K120" s="66">
        <f t="shared" si="23"/>
        <v>4247428.5480000004</v>
      </c>
      <c r="L120" s="66">
        <v>200298749.80129999</v>
      </c>
      <c r="M120" s="71">
        <f t="shared" si="15"/>
        <v>352062011.82810003</v>
      </c>
      <c r="N120" s="70"/>
      <c r="O120" s="176"/>
      <c r="P120" s="76">
        <v>15</v>
      </c>
      <c r="Q120" s="181"/>
      <c r="R120" s="77" t="s">
        <v>358</v>
      </c>
      <c r="S120" s="66">
        <v>27550057.788699999</v>
      </c>
      <c r="T120" s="66">
        <v>0</v>
      </c>
      <c r="U120" s="66">
        <v>84993029.523499995</v>
      </c>
      <c r="V120" s="66">
        <v>5426050.5208000001</v>
      </c>
      <c r="W120" s="66">
        <v>3376292.6194000002</v>
      </c>
      <c r="X120" s="66">
        <f t="shared" si="14"/>
        <v>1688146.3097000001</v>
      </c>
      <c r="Y120" s="66">
        <f t="shared" si="26"/>
        <v>1688146.3097000001</v>
      </c>
      <c r="Z120" s="66">
        <v>173687535.22420001</v>
      </c>
      <c r="AA120" s="71">
        <f t="shared" si="16"/>
        <v>293344819.36690003</v>
      </c>
    </row>
    <row r="121" spans="1:27" ht="24.95" customHeight="1">
      <c r="A121" s="62"/>
      <c r="B121" s="188" t="s">
        <v>359</v>
      </c>
      <c r="C121" s="189"/>
      <c r="D121" s="67"/>
      <c r="E121" s="67">
        <f>SUM(E101:E120)</f>
        <v>812535697.58099997</v>
      </c>
      <c r="F121" s="67">
        <f t="shared" ref="F121:G121" si="27">SUM(F101:F120)</f>
        <v>0</v>
      </c>
      <c r="G121" s="67">
        <f t="shared" si="27"/>
        <v>2506705106.1329999</v>
      </c>
      <c r="H121" s="67">
        <f t="shared" ref="H121:M121" si="28">SUM(H101:H120)</f>
        <v>127904865.6234</v>
      </c>
      <c r="I121" s="67">
        <f t="shared" si="28"/>
        <v>99577224.111399993</v>
      </c>
      <c r="J121" s="67">
        <f t="shared" si="28"/>
        <v>0</v>
      </c>
      <c r="K121" s="67">
        <f t="shared" si="28"/>
        <v>99577224.111399993</v>
      </c>
      <c r="L121" s="67">
        <f t="shared" si="28"/>
        <v>4333311203.3785</v>
      </c>
      <c r="M121" s="67">
        <f t="shared" si="28"/>
        <v>7880034096.8273001</v>
      </c>
      <c r="N121" s="70"/>
      <c r="O121" s="177"/>
      <c r="P121" s="76">
        <v>16</v>
      </c>
      <c r="Q121" s="181"/>
      <c r="R121" s="77" t="s">
        <v>360</v>
      </c>
      <c r="S121" s="66">
        <v>33345103.339699998</v>
      </c>
      <c r="T121" s="66">
        <v>0</v>
      </c>
      <c r="U121" s="66">
        <v>102870976.69059999</v>
      </c>
      <c r="V121" s="66">
        <v>5629542.8487</v>
      </c>
      <c r="W121" s="66">
        <v>4086482.4008999998</v>
      </c>
      <c r="X121" s="66">
        <f t="shared" si="14"/>
        <v>2043241.2004499999</v>
      </c>
      <c r="Y121" s="66">
        <f t="shared" si="26"/>
        <v>2043241.2004499999</v>
      </c>
      <c r="Z121" s="66">
        <v>180922112.9621</v>
      </c>
      <c r="AA121" s="71">
        <f t="shared" si="16"/>
        <v>324810977.04154998</v>
      </c>
    </row>
    <row r="122" spans="1:27" ht="24.95" customHeight="1">
      <c r="A122" s="181">
        <v>6</v>
      </c>
      <c r="B122" s="175" t="s">
        <v>361</v>
      </c>
      <c r="C122" s="62">
        <v>1</v>
      </c>
      <c r="D122" s="66" t="s">
        <v>362</v>
      </c>
      <c r="E122" s="66">
        <v>39357187.379000001</v>
      </c>
      <c r="F122" s="66">
        <v>0</v>
      </c>
      <c r="G122" s="66">
        <v>121418496.2701</v>
      </c>
      <c r="H122" s="66">
        <v>6336460.8415000001</v>
      </c>
      <c r="I122" s="66">
        <v>4823270.5094999997</v>
      </c>
      <c r="J122" s="66">
        <f t="shared" ref="J122:J129" si="29">I122/2</f>
        <v>2411635.2547499998</v>
      </c>
      <c r="K122" s="66">
        <f t="shared" ref="K122:K129" si="30">I122-J122</f>
        <v>2411635.2547499998</v>
      </c>
      <c r="L122" s="66">
        <v>269723806.33020002</v>
      </c>
      <c r="M122" s="71">
        <f t="shared" si="15"/>
        <v>439247586.07555002</v>
      </c>
      <c r="N122" s="70"/>
      <c r="O122" s="62"/>
      <c r="P122" s="189" t="s">
        <v>363</v>
      </c>
      <c r="Q122" s="192"/>
      <c r="R122" s="67"/>
      <c r="S122" s="67">
        <f t="shared" ref="S122:W122" si="31">SUM(S106:S121)</f>
        <v>546088435.46969998</v>
      </c>
      <c r="T122" s="67">
        <f t="shared" si="31"/>
        <v>0</v>
      </c>
      <c r="U122" s="67">
        <f t="shared" si="31"/>
        <v>1684704651.9514</v>
      </c>
      <c r="V122" s="67">
        <f t="shared" si="31"/>
        <v>96539030.549099997</v>
      </c>
      <c r="W122" s="67">
        <f t="shared" si="31"/>
        <v>66923792.622699998</v>
      </c>
      <c r="X122" s="67">
        <f t="shared" ref="X122:AA122" si="32">SUM(X106:X121)</f>
        <v>33461896.311349999</v>
      </c>
      <c r="Y122" s="67">
        <f t="shared" si="32"/>
        <v>33461896.311349999</v>
      </c>
      <c r="Z122" s="67">
        <f t="shared" si="32"/>
        <v>3124645891.6145</v>
      </c>
      <c r="AA122" s="67">
        <f t="shared" si="32"/>
        <v>5485439905.8960505</v>
      </c>
    </row>
    <row r="123" spans="1:27" ht="24.95" customHeight="1">
      <c r="A123" s="181"/>
      <c r="B123" s="176"/>
      <c r="C123" s="62">
        <v>2</v>
      </c>
      <c r="D123" s="66" t="s">
        <v>364</v>
      </c>
      <c r="E123" s="66">
        <v>45182255.167199999</v>
      </c>
      <c r="F123" s="66">
        <v>0</v>
      </c>
      <c r="G123" s="66">
        <v>139389063.23899999</v>
      </c>
      <c r="H123" s="66">
        <v>7296335.4135999996</v>
      </c>
      <c r="I123" s="66">
        <v>5537139.5521999998</v>
      </c>
      <c r="J123" s="66">
        <f t="shared" si="29"/>
        <v>2768569.7760999999</v>
      </c>
      <c r="K123" s="66">
        <f t="shared" si="30"/>
        <v>2768569.7760999999</v>
      </c>
      <c r="L123" s="66">
        <v>303849354.37550002</v>
      </c>
      <c r="M123" s="71">
        <f t="shared" si="15"/>
        <v>498485577.97140002</v>
      </c>
      <c r="N123" s="70"/>
      <c r="O123" s="175">
        <v>24</v>
      </c>
      <c r="P123" s="72">
        <v>1</v>
      </c>
      <c r="Q123" s="175" t="s">
        <v>111</v>
      </c>
      <c r="R123" s="66" t="s">
        <v>365</v>
      </c>
      <c r="S123" s="66">
        <v>46793596.114600003</v>
      </c>
      <c r="T123" s="66">
        <v>0</v>
      </c>
      <c r="U123" s="66">
        <v>144360114.4711</v>
      </c>
      <c r="V123" s="66">
        <v>23807418.778700002</v>
      </c>
      <c r="W123" s="66">
        <v>5734611.3174999999</v>
      </c>
      <c r="X123" s="66">
        <v>0</v>
      </c>
      <c r="Y123" s="66">
        <f t="shared" ref="Y123:Y142" si="33">W123-X123</f>
        <v>5734611.3174999999</v>
      </c>
      <c r="Z123" s="66">
        <v>1355629516.1736</v>
      </c>
      <c r="AA123" s="71">
        <f t="shared" si="16"/>
        <v>1576325256.8555</v>
      </c>
    </row>
    <row r="124" spans="1:27" ht="24.95" customHeight="1">
      <c r="A124" s="181"/>
      <c r="B124" s="176"/>
      <c r="C124" s="62">
        <v>3</v>
      </c>
      <c r="D124" s="75" t="s">
        <v>366</v>
      </c>
      <c r="E124" s="66">
        <v>30068838.806299999</v>
      </c>
      <c r="F124" s="66">
        <v>0</v>
      </c>
      <c r="G124" s="66">
        <v>92763569.644500002</v>
      </c>
      <c r="H124" s="66">
        <v>5122570.0768999998</v>
      </c>
      <c r="I124" s="66">
        <v>3684972.2535000001</v>
      </c>
      <c r="J124" s="66">
        <f t="shared" si="29"/>
        <v>1842486.1267500001</v>
      </c>
      <c r="K124" s="66">
        <f t="shared" si="30"/>
        <v>1842486.1267500001</v>
      </c>
      <c r="L124" s="66">
        <v>226567451.5194</v>
      </c>
      <c r="M124" s="71">
        <f t="shared" si="15"/>
        <v>356364916.17385</v>
      </c>
      <c r="N124" s="70"/>
      <c r="O124" s="176"/>
      <c r="P124" s="72">
        <v>2</v>
      </c>
      <c r="Q124" s="176"/>
      <c r="R124" s="75" t="s">
        <v>367</v>
      </c>
      <c r="S124" s="66">
        <v>60146983.145099998</v>
      </c>
      <c r="T124" s="66">
        <v>0</v>
      </c>
      <c r="U124" s="66">
        <v>185555847.22909999</v>
      </c>
      <c r="V124" s="66">
        <v>26332665.742899999</v>
      </c>
      <c r="W124" s="66">
        <v>7371084.9112999998</v>
      </c>
      <c r="X124" s="66">
        <v>0</v>
      </c>
      <c r="Y124" s="66">
        <f t="shared" si="33"/>
        <v>7371084.9112999998</v>
      </c>
      <c r="Z124" s="66">
        <v>1445407325.8055999</v>
      </c>
      <c r="AA124" s="71">
        <f t="shared" si="16"/>
        <v>1724813906.8340001</v>
      </c>
    </row>
    <row r="125" spans="1:27" ht="24.95" customHeight="1">
      <c r="A125" s="181"/>
      <c r="B125" s="176"/>
      <c r="C125" s="62">
        <v>4</v>
      </c>
      <c r="D125" s="66" t="s">
        <v>368</v>
      </c>
      <c r="E125" s="66">
        <v>37076236.6778</v>
      </c>
      <c r="F125" s="66">
        <v>0</v>
      </c>
      <c r="G125" s="66">
        <v>114381672.1815</v>
      </c>
      <c r="H125" s="66">
        <v>5726817.4736000001</v>
      </c>
      <c r="I125" s="66">
        <v>4543737.2657000003</v>
      </c>
      <c r="J125" s="66">
        <f t="shared" si="29"/>
        <v>2271868.6328500002</v>
      </c>
      <c r="K125" s="66">
        <f t="shared" si="30"/>
        <v>2271868.6328500002</v>
      </c>
      <c r="L125" s="66">
        <v>248049709.89430001</v>
      </c>
      <c r="M125" s="71">
        <f t="shared" si="15"/>
        <v>407506304.86005002</v>
      </c>
      <c r="N125" s="70"/>
      <c r="O125" s="176"/>
      <c r="P125" s="72">
        <v>3</v>
      </c>
      <c r="Q125" s="176"/>
      <c r="R125" s="66" t="s">
        <v>369</v>
      </c>
      <c r="S125" s="66">
        <v>96998480.093600005</v>
      </c>
      <c r="T125" s="66">
        <v>0</v>
      </c>
      <c r="U125" s="66">
        <v>299244188.3617</v>
      </c>
      <c r="V125" s="66">
        <v>33019716.077</v>
      </c>
      <c r="W125" s="66">
        <v>11887280.0537</v>
      </c>
      <c r="X125" s="66">
        <v>0</v>
      </c>
      <c r="Y125" s="66">
        <f t="shared" si="33"/>
        <v>11887280.0537</v>
      </c>
      <c r="Z125" s="66">
        <v>1683145947.1747999</v>
      </c>
      <c r="AA125" s="71">
        <f t="shared" si="16"/>
        <v>2124295611.7607999</v>
      </c>
    </row>
    <row r="126" spans="1:27" ht="24.95" customHeight="1">
      <c r="A126" s="181"/>
      <c r="B126" s="176"/>
      <c r="C126" s="62">
        <v>5</v>
      </c>
      <c r="D126" s="66" t="s">
        <v>370</v>
      </c>
      <c r="E126" s="66">
        <v>38963892.289999999</v>
      </c>
      <c r="F126" s="66">
        <v>0</v>
      </c>
      <c r="G126" s="66">
        <v>120205165.19949999</v>
      </c>
      <c r="H126" s="66">
        <v>6278749.8585000001</v>
      </c>
      <c r="I126" s="66">
        <v>4775071.7247000001</v>
      </c>
      <c r="J126" s="66">
        <f t="shared" si="29"/>
        <v>2387535.8623500001</v>
      </c>
      <c r="K126" s="66">
        <f t="shared" si="30"/>
        <v>2387535.8623500001</v>
      </c>
      <c r="L126" s="66">
        <v>267672060.2191</v>
      </c>
      <c r="M126" s="71">
        <f t="shared" si="15"/>
        <v>435507403.42944998</v>
      </c>
      <c r="N126" s="70"/>
      <c r="O126" s="176"/>
      <c r="P126" s="72">
        <v>4</v>
      </c>
      <c r="Q126" s="176"/>
      <c r="R126" s="66" t="s">
        <v>371</v>
      </c>
      <c r="S126" s="66">
        <v>37911226.0207</v>
      </c>
      <c r="T126" s="66">
        <v>0</v>
      </c>
      <c r="U126" s="66">
        <v>116957647.68080001</v>
      </c>
      <c r="V126" s="66">
        <v>22210335.198399998</v>
      </c>
      <c r="W126" s="66">
        <v>4646066.2110000001</v>
      </c>
      <c r="X126" s="66">
        <v>0</v>
      </c>
      <c r="Y126" s="66">
        <f t="shared" si="33"/>
        <v>4646066.2110000001</v>
      </c>
      <c r="Z126" s="66">
        <v>1298849855.5427999</v>
      </c>
      <c r="AA126" s="71">
        <f t="shared" si="16"/>
        <v>1480575130.6537001</v>
      </c>
    </row>
    <row r="127" spans="1:27" ht="24.95" customHeight="1">
      <c r="A127" s="181"/>
      <c r="B127" s="176"/>
      <c r="C127" s="62">
        <v>6</v>
      </c>
      <c r="D127" s="66" t="s">
        <v>372</v>
      </c>
      <c r="E127" s="66">
        <v>38307554.6545</v>
      </c>
      <c r="F127" s="66">
        <v>0</v>
      </c>
      <c r="G127" s="66">
        <v>118180337.3583</v>
      </c>
      <c r="H127" s="66">
        <v>6360083.7052999996</v>
      </c>
      <c r="I127" s="66">
        <v>4694636.7603000002</v>
      </c>
      <c r="J127" s="66">
        <f t="shared" si="29"/>
        <v>2347318.3801500001</v>
      </c>
      <c r="K127" s="66">
        <f t="shared" si="30"/>
        <v>2347318.3801500001</v>
      </c>
      <c r="L127" s="66">
        <v>270563648.53109998</v>
      </c>
      <c r="M127" s="71">
        <f t="shared" si="15"/>
        <v>435758942.62935001</v>
      </c>
      <c r="N127" s="70"/>
      <c r="O127" s="176"/>
      <c r="P127" s="72">
        <v>5</v>
      </c>
      <c r="Q127" s="176"/>
      <c r="R127" s="66" t="s">
        <v>373</v>
      </c>
      <c r="S127" s="66">
        <v>31873714.113400001</v>
      </c>
      <c r="T127" s="66">
        <v>0</v>
      </c>
      <c r="U127" s="66">
        <v>98331682.112299994</v>
      </c>
      <c r="V127" s="66">
        <v>21074770.5053</v>
      </c>
      <c r="W127" s="66">
        <v>3906161.8868</v>
      </c>
      <c r="X127" s="66">
        <v>0</v>
      </c>
      <c r="Y127" s="66">
        <f t="shared" si="33"/>
        <v>3906161.8868</v>
      </c>
      <c r="Z127" s="66">
        <v>1258478156.346</v>
      </c>
      <c r="AA127" s="71">
        <f t="shared" si="16"/>
        <v>1413664484.9638</v>
      </c>
    </row>
    <row r="128" spans="1:27" ht="24.95" customHeight="1">
      <c r="A128" s="181"/>
      <c r="B128" s="176"/>
      <c r="C128" s="62">
        <v>7</v>
      </c>
      <c r="D128" s="66" t="s">
        <v>374</v>
      </c>
      <c r="E128" s="66">
        <v>52924507.082999997</v>
      </c>
      <c r="F128" s="66">
        <v>0</v>
      </c>
      <c r="G128" s="66">
        <v>163274219.8766</v>
      </c>
      <c r="H128" s="66">
        <v>7850081.4757000003</v>
      </c>
      <c r="I128" s="66">
        <v>6485961.8087999998</v>
      </c>
      <c r="J128" s="66">
        <f t="shared" si="29"/>
        <v>3242980.9043999999</v>
      </c>
      <c r="K128" s="66">
        <f t="shared" si="30"/>
        <v>3242980.9043999999</v>
      </c>
      <c r="L128" s="66">
        <v>323536184.71679997</v>
      </c>
      <c r="M128" s="71">
        <f t="shared" si="15"/>
        <v>550827974.05649996</v>
      </c>
      <c r="N128" s="70"/>
      <c r="O128" s="176"/>
      <c r="P128" s="72">
        <v>6</v>
      </c>
      <c r="Q128" s="176"/>
      <c r="R128" s="66" t="s">
        <v>375</v>
      </c>
      <c r="S128" s="66">
        <v>35633636.449500002</v>
      </c>
      <c r="T128" s="66">
        <v>0</v>
      </c>
      <c r="U128" s="66">
        <v>109931192.81290001</v>
      </c>
      <c r="V128" s="66">
        <v>21342102.017299999</v>
      </c>
      <c r="W128" s="66">
        <v>4366944.8778999997</v>
      </c>
      <c r="X128" s="66">
        <v>0</v>
      </c>
      <c r="Y128" s="66">
        <f t="shared" si="33"/>
        <v>4366944.8778999997</v>
      </c>
      <c r="Z128" s="66">
        <v>1267982350.5609</v>
      </c>
      <c r="AA128" s="71">
        <f t="shared" si="16"/>
        <v>1439256226.7184999</v>
      </c>
    </row>
    <row r="129" spans="1:27" ht="24.95" customHeight="1">
      <c r="A129" s="181"/>
      <c r="B129" s="177"/>
      <c r="C129" s="62">
        <v>8</v>
      </c>
      <c r="D129" s="66" t="s">
        <v>376</v>
      </c>
      <c r="E129" s="66">
        <v>48851298.372500002</v>
      </c>
      <c r="F129" s="66">
        <v>0</v>
      </c>
      <c r="G129" s="66">
        <v>150708208.18830001</v>
      </c>
      <c r="H129" s="66">
        <v>8232316.7600999996</v>
      </c>
      <c r="I129" s="66">
        <v>5986785.1968999999</v>
      </c>
      <c r="J129" s="66">
        <f t="shared" si="29"/>
        <v>2993392.5984499999</v>
      </c>
      <c r="K129" s="66">
        <f t="shared" si="30"/>
        <v>2993392.5984499999</v>
      </c>
      <c r="L129" s="66">
        <v>337125448.29210001</v>
      </c>
      <c r="M129" s="71">
        <f t="shared" si="15"/>
        <v>547910664.21144998</v>
      </c>
      <c r="N129" s="70"/>
      <c r="O129" s="176"/>
      <c r="P129" s="72">
        <v>7</v>
      </c>
      <c r="Q129" s="176"/>
      <c r="R129" s="66" t="s">
        <v>377</v>
      </c>
      <c r="S129" s="66">
        <v>32717122.2885</v>
      </c>
      <c r="T129" s="66">
        <v>0</v>
      </c>
      <c r="U129" s="66">
        <v>100933630.0458</v>
      </c>
      <c r="V129" s="66">
        <v>20669757.2379</v>
      </c>
      <c r="W129" s="66">
        <v>4009522.5701000001</v>
      </c>
      <c r="X129" s="66">
        <v>0</v>
      </c>
      <c r="Y129" s="66">
        <f t="shared" si="33"/>
        <v>4009522.5701000001</v>
      </c>
      <c r="Z129" s="66">
        <v>1244079087.8445001</v>
      </c>
      <c r="AA129" s="71">
        <f t="shared" si="16"/>
        <v>1402409119.9868</v>
      </c>
    </row>
    <row r="130" spans="1:27" ht="24.95" customHeight="1">
      <c r="A130" s="62"/>
      <c r="B130" s="188" t="s">
        <v>378</v>
      </c>
      <c r="C130" s="189"/>
      <c r="D130" s="67"/>
      <c r="E130" s="67">
        <f>SUM(E122:E129)</f>
        <v>330731770.4303</v>
      </c>
      <c r="F130" s="67">
        <f t="shared" ref="F130:M130" si="34">SUM(F122:F129)</f>
        <v>0</v>
      </c>
      <c r="G130" s="67">
        <f t="shared" si="34"/>
        <v>1020320731.9578</v>
      </c>
      <c r="H130" s="67">
        <f t="shared" si="34"/>
        <v>53203415.6052</v>
      </c>
      <c r="I130" s="67">
        <f t="shared" si="34"/>
        <v>40531575.071599998</v>
      </c>
      <c r="J130" s="67">
        <f t="shared" si="34"/>
        <v>20265787.535799999</v>
      </c>
      <c r="K130" s="67">
        <f t="shared" si="34"/>
        <v>20265787.535799999</v>
      </c>
      <c r="L130" s="67">
        <f t="shared" si="34"/>
        <v>2247087663.8785</v>
      </c>
      <c r="M130" s="67">
        <f t="shared" si="34"/>
        <v>3671609369.4075999</v>
      </c>
      <c r="N130" s="70"/>
      <c r="O130" s="176"/>
      <c r="P130" s="72">
        <v>8</v>
      </c>
      <c r="Q130" s="176"/>
      <c r="R130" s="66" t="s">
        <v>379</v>
      </c>
      <c r="S130" s="66">
        <v>39469727.439400002</v>
      </c>
      <c r="T130" s="66">
        <v>0</v>
      </c>
      <c r="U130" s="66">
        <v>121765686.855</v>
      </c>
      <c r="V130" s="66">
        <v>21868090.9329</v>
      </c>
      <c r="W130" s="66">
        <v>4837062.4287999999</v>
      </c>
      <c r="X130" s="66">
        <v>0</v>
      </c>
      <c r="Y130" s="66">
        <f t="shared" si="33"/>
        <v>4837062.4287999999</v>
      </c>
      <c r="Z130" s="66">
        <v>1286682356.3037</v>
      </c>
      <c r="AA130" s="71">
        <f t="shared" si="16"/>
        <v>1474622923.9598</v>
      </c>
    </row>
    <row r="131" spans="1:27" ht="24.95" customHeight="1">
      <c r="A131" s="181">
        <v>7</v>
      </c>
      <c r="B131" s="175" t="s">
        <v>380</v>
      </c>
      <c r="C131" s="62">
        <v>1</v>
      </c>
      <c r="D131" s="66" t="s">
        <v>381</v>
      </c>
      <c r="E131" s="66">
        <v>38925617.373599999</v>
      </c>
      <c r="F131" s="66">
        <v>0</v>
      </c>
      <c r="G131" s="66">
        <v>120087085.55239999</v>
      </c>
      <c r="H131" s="66">
        <v>5866171.2671999997</v>
      </c>
      <c r="I131" s="66">
        <v>4770381.0877999999</v>
      </c>
      <c r="J131" s="66">
        <f t="shared" ref="J131:J153" si="35">I131/2</f>
        <v>2385190.5438999999</v>
      </c>
      <c r="K131" s="66">
        <f t="shared" ref="K131:K153" si="36">I131-J131</f>
        <v>2385190.5438999999</v>
      </c>
      <c r="L131" s="66">
        <v>201726432.26449999</v>
      </c>
      <c r="M131" s="71">
        <f t="shared" si="15"/>
        <v>368990497.00160003</v>
      </c>
      <c r="N131" s="70"/>
      <c r="O131" s="176"/>
      <c r="P131" s="72">
        <v>9</v>
      </c>
      <c r="Q131" s="176"/>
      <c r="R131" s="66" t="s">
        <v>382</v>
      </c>
      <c r="S131" s="66">
        <v>26355380.5317</v>
      </c>
      <c r="T131" s="66">
        <v>0</v>
      </c>
      <c r="U131" s="66">
        <v>81307402.431400001</v>
      </c>
      <c r="V131" s="66">
        <v>19949603.4771</v>
      </c>
      <c r="W131" s="66">
        <v>3229883.4889000002</v>
      </c>
      <c r="X131" s="66">
        <v>0</v>
      </c>
      <c r="Y131" s="66">
        <f t="shared" si="33"/>
        <v>3229883.4889000002</v>
      </c>
      <c r="Z131" s="66">
        <v>1218476115.8766</v>
      </c>
      <c r="AA131" s="71">
        <f t="shared" si="16"/>
        <v>1349318385.8057001</v>
      </c>
    </row>
    <row r="132" spans="1:27" ht="24.95" customHeight="1">
      <c r="A132" s="181"/>
      <c r="B132" s="176"/>
      <c r="C132" s="62">
        <v>2</v>
      </c>
      <c r="D132" s="66" t="s">
        <v>383</v>
      </c>
      <c r="E132" s="66">
        <v>34345967.581500001</v>
      </c>
      <c r="F132" s="66">
        <v>0</v>
      </c>
      <c r="G132" s="66">
        <v>105958682.88339999</v>
      </c>
      <c r="H132" s="66">
        <v>5152427.3345999997</v>
      </c>
      <c r="I132" s="66">
        <v>4209139.5138999997</v>
      </c>
      <c r="J132" s="66">
        <f t="shared" si="35"/>
        <v>2104569.7569499998</v>
      </c>
      <c r="K132" s="66">
        <f t="shared" si="36"/>
        <v>2104569.7569499998</v>
      </c>
      <c r="L132" s="66">
        <v>176351343.08739999</v>
      </c>
      <c r="M132" s="71">
        <f t="shared" si="15"/>
        <v>323912990.64385003</v>
      </c>
      <c r="N132" s="70"/>
      <c r="O132" s="176"/>
      <c r="P132" s="72">
        <v>10</v>
      </c>
      <c r="Q132" s="176"/>
      <c r="R132" s="66" t="s">
        <v>384</v>
      </c>
      <c r="S132" s="66">
        <v>44938577.334299996</v>
      </c>
      <c r="T132" s="66">
        <v>0</v>
      </c>
      <c r="U132" s="66">
        <v>138637307.38409999</v>
      </c>
      <c r="V132" s="66">
        <v>23446249.185899999</v>
      </c>
      <c r="W132" s="66">
        <v>5507276.5415000003</v>
      </c>
      <c r="X132" s="66">
        <v>0</v>
      </c>
      <c r="Y132" s="66">
        <f t="shared" si="33"/>
        <v>5507276.5415000003</v>
      </c>
      <c r="Z132" s="66">
        <v>1342789181.9809999</v>
      </c>
      <c r="AA132" s="71">
        <f t="shared" si="16"/>
        <v>1555318592.4268</v>
      </c>
    </row>
    <row r="133" spans="1:27" ht="24.95" customHeight="1">
      <c r="A133" s="181"/>
      <c r="B133" s="176"/>
      <c r="C133" s="62">
        <v>3</v>
      </c>
      <c r="D133" s="66" t="s">
        <v>385</v>
      </c>
      <c r="E133" s="66">
        <v>33257107.918400001</v>
      </c>
      <c r="F133" s="66">
        <v>-1E-4</v>
      </c>
      <c r="G133" s="66">
        <v>102599507.2982</v>
      </c>
      <c r="H133" s="66">
        <v>4941117.0442000004</v>
      </c>
      <c r="I133" s="66">
        <v>4075698.4564</v>
      </c>
      <c r="J133" s="66">
        <f t="shared" si="35"/>
        <v>2037849.2282</v>
      </c>
      <c r="K133" s="66">
        <f t="shared" si="36"/>
        <v>2037849.2282</v>
      </c>
      <c r="L133" s="66">
        <v>168838820.43419999</v>
      </c>
      <c r="M133" s="71">
        <f t="shared" si="15"/>
        <v>311674401.92309999</v>
      </c>
      <c r="N133" s="70"/>
      <c r="O133" s="176"/>
      <c r="P133" s="72">
        <v>11</v>
      </c>
      <c r="Q133" s="176"/>
      <c r="R133" s="66" t="s">
        <v>386</v>
      </c>
      <c r="S133" s="66">
        <v>38847176.997900002</v>
      </c>
      <c r="T133" s="66">
        <v>0</v>
      </c>
      <c r="U133" s="66">
        <v>119845093.85789999</v>
      </c>
      <c r="V133" s="66">
        <v>22154347.772</v>
      </c>
      <c r="W133" s="66">
        <v>4760768.1255999999</v>
      </c>
      <c r="X133" s="66">
        <v>0</v>
      </c>
      <c r="Y133" s="66">
        <f t="shared" si="33"/>
        <v>4760768.1255999999</v>
      </c>
      <c r="Z133" s="66">
        <v>1296859385.4721</v>
      </c>
      <c r="AA133" s="71">
        <f t="shared" si="16"/>
        <v>1482466772.2255001</v>
      </c>
    </row>
    <row r="134" spans="1:27" ht="24.95" customHeight="1">
      <c r="A134" s="181"/>
      <c r="B134" s="176"/>
      <c r="C134" s="62">
        <v>4</v>
      </c>
      <c r="D134" s="66" t="s">
        <v>387</v>
      </c>
      <c r="E134" s="66">
        <v>39425866.7271</v>
      </c>
      <c r="F134" s="66">
        <v>0</v>
      </c>
      <c r="G134" s="66">
        <v>121630374.80419999</v>
      </c>
      <c r="H134" s="66">
        <v>6145984.4830999998</v>
      </c>
      <c r="I134" s="66">
        <v>4831687.2459000004</v>
      </c>
      <c r="J134" s="66">
        <f t="shared" si="35"/>
        <v>2415843.6229500002</v>
      </c>
      <c r="K134" s="66">
        <f t="shared" si="36"/>
        <v>2415843.6229500002</v>
      </c>
      <c r="L134" s="66">
        <v>211674377.15110001</v>
      </c>
      <c r="M134" s="71">
        <f t="shared" si="15"/>
        <v>381292446.78845</v>
      </c>
      <c r="N134" s="70"/>
      <c r="O134" s="176"/>
      <c r="P134" s="72">
        <v>12</v>
      </c>
      <c r="Q134" s="176"/>
      <c r="R134" s="66" t="s">
        <v>388</v>
      </c>
      <c r="S134" s="66">
        <v>53412941.582000002</v>
      </c>
      <c r="T134" s="66">
        <v>0</v>
      </c>
      <c r="U134" s="66">
        <v>164781059.8301</v>
      </c>
      <c r="V134" s="66">
        <v>24659959.7093</v>
      </c>
      <c r="W134" s="66">
        <v>6545820.0423999997</v>
      </c>
      <c r="X134" s="66">
        <v>0</v>
      </c>
      <c r="Y134" s="66">
        <f t="shared" si="33"/>
        <v>6545820.0423999997</v>
      </c>
      <c r="Z134" s="66">
        <v>1385939128.8397999</v>
      </c>
      <c r="AA134" s="71">
        <f t="shared" si="16"/>
        <v>1635338910.0035999</v>
      </c>
    </row>
    <row r="135" spans="1:27" ht="24.95" customHeight="1">
      <c r="A135" s="181"/>
      <c r="B135" s="176"/>
      <c r="C135" s="62">
        <v>5</v>
      </c>
      <c r="D135" s="66" t="s">
        <v>389</v>
      </c>
      <c r="E135" s="66">
        <v>51168636.589500003</v>
      </c>
      <c r="F135" s="66">
        <v>0</v>
      </c>
      <c r="G135" s="66">
        <v>157857289.21759999</v>
      </c>
      <c r="H135" s="66">
        <v>7894493.2111999998</v>
      </c>
      <c r="I135" s="66">
        <v>6270777.7741999999</v>
      </c>
      <c r="J135" s="66">
        <f t="shared" si="35"/>
        <v>3135388.8870999999</v>
      </c>
      <c r="K135" s="66">
        <f t="shared" si="36"/>
        <v>3135388.8870999999</v>
      </c>
      <c r="L135" s="66">
        <v>273837518.40369999</v>
      </c>
      <c r="M135" s="71">
        <f t="shared" si="15"/>
        <v>493893326.30909997</v>
      </c>
      <c r="N135" s="70"/>
      <c r="O135" s="176"/>
      <c r="P135" s="72">
        <v>13</v>
      </c>
      <c r="Q135" s="176"/>
      <c r="R135" s="66" t="s">
        <v>390</v>
      </c>
      <c r="S135" s="66">
        <v>57789351.537500001</v>
      </c>
      <c r="T135" s="66">
        <v>0</v>
      </c>
      <c r="U135" s="66">
        <v>178282459.4788</v>
      </c>
      <c r="V135" s="66">
        <v>26121873.646000002</v>
      </c>
      <c r="W135" s="66">
        <v>7082154.3305000002</v>
      </c>
      <c r="X135" s="66">
        <v>0</v>
      </c>
      <c r="Y135" s="66">
        <f t="shared" si="33"/>
        <v>7082154.3305000002</v>
      </c>
      <c r="Z135" s="66">
        <v>1437913226.0142</v>
      </c>
      <c r="AA135" s="71">
        <f t="shared" si="16"/>
        <v>1707189065.007</v>
      </c>
    </row>
    <row r="136" spans="1:27" ht="24.95" customHeight="1">
      <c r="A136" s="181"/>
      <c r="B136" s="176"/>
      <c r="C136" s="62">
        <v>6</v>
      </c>
      <c r="D136" s="66" t="s">
        <v>391</v>
      </c>
      <c r="E136" s="66">
        <v>41805417.421300001</v>
      </c>
      <c r="F136" s="66">
        <v>0</v>
      </c>
      <c r="G136" s="66">
        <v>128971383.81209999</v>
      </c>
      <c r="H136" s="66">
        <v>6009429.2352</v>
      </c>
      <c r="I136" s="66">
        <v>5123304.0369999995</v>
      </c>
      <c r="J136" s="66">
        <f t="shared" si="35"/>
        <v>2561652.0184999998</v>
      </c>
      <c r="K136" s="66">
        <f t="shared" si="36"/>
        <v>2561652.0184999998</v>
      </c>
      <c r="L136" s="66">
        <v>206819552.5641</v>
      </c>
      <c r="M136" s="71">
        <f t="shared" ref="M136:M199" si="37">E136+F136+G136+H136+K136+L136</f>
        <v>386167435.05119997</v>
      </c>
      <c r="N136" s="70"/>
      <c r="O136" s="176"/>
      <c r="P136" s="72">
        <v>14</v>
      </c>
      <c r="Q136" s="176"/>
      <c r="R136" s="66" t="s">
        <v>392</v>
      </c>
      <c r="S136" s="66">
        <v>31108901.466800001</v>
      </c>
      <c r="T136" s="66">
        <v>0</v>
      </c>
      <c r="U136" s="66">
        <v>95972204.526099995</v>
      </c>
      <c r="V136" s="66">
        <v>20985494.780200001</v>
      </c>
      <c r="W136" s="66">
        <v>3812433.1798</v>
      </c>
      <c r="X136" s="66">
        <v>0</v>
      </c>
      <c r="Y136" s="66">
        <f t="shared" si="33"/>
        <v>3812433.1798</v>
      </c>
      <c r="Z136" s="66">
        <v>1255304217.6517</v>
      </c>
      <c r="AA136" s="71">
        <f t="shared" ref="AA136:AA199" si="38">S136+T136+U136+V136+Y136+Z136</f>
        <v>1407183251.6046</v>
      </c>
    </row>
    <row r="137" spans="1:27" ht="24.95" customHeight="1">
      <c r="A137" s="181"/>
      <c r="B137" s="176"/>
      <c r="C137" s="62">
        <v>7</v>
      </c>
      <c r="D137" s="66" t="s">
        <v>393</v>
      </c>
      <c r="E137" s="66">
        <v>39656340.895599999</v>
      </c>
      <c r="F137" s="66">
        <v>0</v>
      </c>
      <c r="G137" s="66">
        <v>122341396.8266</v>
      </c>
      <c r="H137" s="66">
        <v>5694547.8386000004</v>
      </c>
      <c r="I137" s="66">
        <v>4859932.1316999998</v>
      </c>
      <c r="J137" s="66">
        <f t="shared" si="35"/>
        <v>2429966.0658499999</v>
      </c>
      <c r="K137" s="66">
        <f t="shared" si="36"/>
        <v>2429966.0658499999</v>
      </c>
      <c r="L137" s="66">
        <v>195624860.52860001</v>
      </c>
      <c r="M137" s="71">
        <f t="shared" si="37"/>
        <v>365747112.15525001</v>
      </c>
      <c r="N137" s="70"/>
      <c r="O137" s="176"/>
      <c r="P137" s="72">
        <v>15</v>
      </c>
      <c r="Q137" s="176"/>
      <c r="R137" s="66" t="s">
        <v>394</v>
      </c>
      <c r="S137" s="66">
        <v>37537885.777099997</v>
      </c>
      <c r="T137" s="66">
        <v>0</v>
      </c>
      <c r="U137" s="66">
        <v>115805878.10600001</v>
      </c>
      <c r="V137" s="66">
        <v>22205310.974599998</v>
      </c>
      <c r="W137" s="66">
        <v>4600312.9165000003</v>
      </c>
      <c r="X137" s="66">
        <v>0</v>
      </c>
      <c r="Y137" s="66">
        <f t="shared" si="33"/>
        <v>4600312.9165000003</v>
      </c>
      <c r="Z137" s="66">
        <v>1298671233.8824999</v>
      </c>
      <c r="AA137" s="71">
        <f t="shared" si="38"/>
        <v>1478820621.6566999</v>
      </c>
    </row>
    <row r="138" spans="1:27" ht="24.95" customHeight="1">
      <c r="A138" s="181"/>
      <c r="B138" s="176"/>
      <c r="C138" s="62">
        <v>8</v>
      </c>
      <c r="D138" s="66" t="s">
        <v>395</v>
      </c>
      <c r="E138" s="66">
        <v>34078775.7663</v>
      </c>
      <c r="F138" s="66">
        <v>0</v>
      </c>
      <c r="G138" s="66">
        <v>105134385.4534</v>
      </c>
      <c r="H138" s="66">
        <v>5227024.6660000002</v>
      </c>
      <c r="I138" s="66">
        <v>4176394.8366</v>
      </c>
      <c r="J138" s="66">
        <f t="shared" si="35"/>
        <v>2088197.4183</v>
      </c>
      <c r="K138" s="66">
        <f t="shared" si="36"/>
        <v>2088197.4183</v>
      </c>
      <c r="L138" s="66">
        <v>179003434.19569999</v>
      </c>
      <c r="M138" s="71">
        <f t="shared" si="37"/>
        <v>325531817.49970001</v>
      </c>
      <c r="N138" s="70"/>
      <c r="O138" s="176"/>
      <c r="P138" s="72">
        <v>16</v>
      </c>
      <c r="Q138" s="176"/>
      <c r="R138" s="66" t="s">
        <v>396</v>
      </c>
      <c r="S138" s="66">
        <v>56197035.2249</v>
      </c>
      <c r="T138" s="66">
        <v>0</v>
      </c>
      <c r="U138" s="66">
        <v>173370100.0054</v>
      </c>
      <c r="V138" s="66">
        <v>25757065.433800001</v>
      </c>
      <c r="W138" s="66">
        <v>6887014.0569000002</v>
      </c>
      <c r="X138" s="66">
        <v>0</v>
      </c>
      <c r="Y138" s="66">
        <f t="shared" si="33"/>
        <v>6887014.0569000002</v>
      </c>
      <c r="Z138" s="66">
        <v>1424943531.2918999</v>
      </c>
      <c r="AA138" s="71">
        <f t="shared" si="38"/>
        <v>1687154746.0129001</v>
      </c>
    </row>
    <row r="139" spans="1:27" ht="24.95" customHeight="1">
      <c r="A139" s="181"/>
      <c r="B139" s="176"/>
      <c r="C139" s="62">
        <v>9</v>
      </c>
      <c r="D139" s="66" t="s">
        <v>397</v>
      </c>
      <c r="E139" s="66">
        <v>43050283.340400003</v>
      </c>
      <c r="F139" s="66">
        <v>0</v>
      </c>
      <c r="G139" s="66">
        <v>132811844.9332</v>
      </c>
      <c r="H139" s="66">
        <v>6382517.2779999999</v>
      </c>
      <c r="I139" s="66">
        <v>5275863.8481999999</v>
      </c>
      <c r="J139" s="66">
        <f t="shared" si="35"/>
        <v>2637931.9240999999</v>
      </c>
      <c r="K139" s="66">
        <f t="shared" si="36"/>
        <v>2637931.9240999999</v>
      </c>
      <c r="L139" s="66">
        <v>220083612.57859999</v>
      </c>
      <c r="M139" s="71">
        <f t="shared" si="37"/>
        <v>404966190.05430001</v>
      </c>
      <c r="N139" s="70"/>
      <c r="O139" s="176"/>
      <c r="P139" s="72">
        <v>17</v>
      </c>
      <c r="Q139" s="176"/>
      <c r="R139" s="66" t="s">
        <v>398</v>
      </c>
      <c r="S139" s="66">
        <v>54529051.246200003</v>
      </c>
      <c r="T139" s="66">
        <v>0</v>
      </c>
      <c r="U139" s="66">
        <v>168224302.75780001</v>
      </c>
      <c r="V139" s="66">
        <v>25363486.218199998</v>
      </c>
      <c r="W139" s="66">
        <v>6682600.6200999999</v>
      </c>
      <c r="X139" s="66">
        <v>0</v>
      </c>
      <c r="Y139" s="66">
        <f t="shared" si="33"/>
        <v>6682600.6200999999</v>
      </c>
      <c r="Z139" s="66">
        <v>1410950967.2414999</v>
      </c>
      <c r="AA139" s="71">
        <f t="shared" si="38"/>
        <v>1665750408.0838001</v>
      </c>
    </row>
    <row r="140" spans="1:27" ht="24.95" customHeight="1">
      <c r="A140" s="181"/>
      <c r="B140" s="176"/>
      <c r="C140" s="62">
        <v>10</v>
      </c>
      <c r="D140" s="66" t="s">
        <v>399</v>
      </c>
      <c r="E140" s="66">
        <v>40730448.416000001</v>
      </c>
      <c r="F140" s="66">
        <v>0</v>
      </c>
      <c r="G140" s="66">
        <v>125655061.46179999</v>
      </c>
      <c r="H140" s="66">
        <v>6393264.1602999996</v>
      </c>
      <c r="I140" s="66">
        <v>4991565.2964000003</v>
      </c>
      <c r="J140" s="66">
        <f t="shared" si="35"/>
        <v>2495782.6482000002</v>
      </c>
      <c r="K140" s="66">
        <f t="shared" si="36"/>
        <v>2495782.6482000002</v>
      </c>
      <c r="L140" s="66">
        <v>220465686.71290001</v>
      </c>
      <c r="M140" s="71">
        <f t="shared" si="37"/>
        <v>395740243.39920002</v>
      </c>
      <c r="N140" s="70"/>
      <c r="O140" s="176"/>
      <c r="P140" s="72">
        <v>18</v>
      </c>
      <c r="Q140" s="176"/>
      <c r="R140" s="66" t="s">
        <v>400</v>
      </c>
      <c r="S140" s="66">
        <v>55678721.488700002</v>
      </c>
      <c r="T140" s="66">
        <v>0</v>
      </c>
      <c r="U140" s="66">
        <v>171771081.4113</v>
      </c>
      <c r="V140" s="66">
        <v>25627517.063000001</v>
      </c>
      <c r="W140" s="66">
        <v>6823494.0870000003</v>
      </c>
      <c r="X140" s="66">
        <v>0</v>
      </c>
      <c r="Y140" s="66">
        <f t="shared" si="33"/>
        <v>6823494.0870000003</v>
      </c>
      <c r="Z140" s="66">
        <v>1420337815.8364999</v>
      </c>
      <c r="AA140" s="71">
        <f t="shared" si="38"/>
        <v>1680238629.8864999</v>
      </c>
    </row>
    <row r="141" spans="1:27" ht="24.95" customHeight="1">
      <c r="A141" s="181"/>
      <c r="B141" s="176"/>
      <c r="C141" s="62">
        <v>11</v>
      </c>
      <c r="D141" s="66" t="s">
        <v>401</v>
      </c>
      <c r="E141" s="66">
        <v>46633645.101599999</v>
      </c>
      <c r="F141" s="66">
        <v>0</v>
      </c>
      <c r="G141" s="66">
        <v>143866659.20230001</v>
      </c>
      <c r="H141" s="66">
        <v>6652642.5288000004</v>
      </c>
      <c r="I141" s="66">
        <v>5715009.1290999996</v>
      </c>
      <c r="J141" s="66">
        <f t="shared" si="35"/>
        <v>2857504.5645499998</v>
      </c>
      <c r="K141" s="66">
        <f t="shared" si="36"/>
        <v>2857504.5645499998</v>
      </c>
      <c r="L141" s="66">
        <v>229687130.0485</v>
      </c>
      <c r="M141" s="71">
        <f t="shared" si="37"/>
        <v>429697581.44575</v>
      </c>
      <c r="N141" s="70"/>
      <c r="O141" s="176"/>
      <c r="P141" s="72">
        <v>19</v>
      </c>
      <c r="Q141" s="176"/>
      <c r="R141" s="66" t="s">
        <v>402</v>
      </c>
      <c r="S141" s="66">
        <v>43062284.852499999</v>
      </c>
      <c r="T141" s="66">
        <v>0</v>
      </c>
      <c r="U141" s="66">
        <v>132848870.07780001</v>
      </c>
      <c r="V141" s="66">
        <v>23162312.952399999</v>
      </c>
      <c r="W141" s="66">
        <v>5277334.6479000002</v>
      </c>
      <c r="X141" s="66">
        <v>0</v>
      </c>
      <c r="Y141" s="66">
        <f t="shared" si="33"/>
        <v>5277334.6479000002</v>
      </c>
      <c r="Z141" s="66">
        <v>1332694655.1938</v>
      </c>
      <c r="AA141" s="71">
        <f t="shared" si="38"/>
        <v>1537045457.7244</v>
      </c>
    </row>
    <row r="142" spans="1:27" ht="24.95" customHeight="1">
      <c r="A142" s="181"/>
      <c r="B142" s="176"/>
      <c r="C142" s="62">
        <v>12</v>
      </c>
      <c r="D142" s="66" t="s">
        <v>403</v>
      </c>
      <c r="E142" s="66">
        <v>35811892.669699997</v>
      </c>
      <c r="F142" s="66">
        <v>0</v>
      </c>
      <c r="G142" s="66">
        <v>110481120.3775</v>
      </c>
      <c r="H142" s="66">
        <v>5755559.4886999996</v>
      </c>
      <c r="I142" s="66">
        <v>4388790.3914000001</v>
      </c>
      <c r="J142" s="66">
        <f t="shared" si="35"/>
        <v>2194395.1957</v>
      </c>
      <c r="K142" s="66">
        <f t="shared" si="36"/>
        <v>2194395.1957</v>
      </c>
      <c r="L142" s="66">
        <v>197793952.25960001</v>
      </c>
      <c r="M142" s="71">
        <f t="shared" si="37"/>
        <v>352036919.99119997</v>
      </c>
      <c r="N142" s="70"/>
      <c r="O142" s="177"/>
      <c r="P142" s="72">
        <v>20</v>
      </c>
      <c r="Q142" s="177"/>
      <c r="R142" s="66" t="s">
        <v>404</v>
      </c>
      <c r="S142" s="66">
        <v>49257774.492299996</v>
      </c>
      <c r="T142" s="66">
        <v>0</v>
      </c>
      <c r="U142" s="66">
        <v>151962203.26609999</v>
      </c>
      <c r="V142" s="66">
        <v>24303487.653099999</v>
      </c>
      <c r="W142" s="66">
        <v>6036599.3328</v>
      </c>
      <c r="X142" s="66">
        <v>0</v>
      </c>
      <c r="Y142" s="66">
        <f t="shared" si="33"/>
        <v>6036599.3328</v>
      </c>
      <c r="Z142" s="66">
        <v>1373265801.8947001</v>
      </c>
      <c r="AA142" s="71">
        <f t="shared" si="38"/>
        <v>1604825866.6389999</v>
      </c>
    </row>
    <row r="143" spans="1:27" ht="24.95" customHeight="1">
      <c r="A143" s="181"/>
      <c r="B143" s="176"/>
      <c r="C143" s="62">
        <v>13</v>
      </c>
      <c r="D143" s="66" t="s">
        <v>405</v>
      </c>
      <c r="E143" s="66">
        <v>43018500.427900001</v>
      </c>
      <c r="F143" s="66">
        <v>0</v>
      </c>
      <c r="G143" s="66">
        <v>132713793.3777</v>
      </c>
      <c r="H143" s="66">
        <v>7201262.9814999998</v>
      </c>
      <c r="I143" s="66">
        <v>5271968.8141000001</v>
      </c>
      <c r="J143" s="66">
        <f t="shared" si="35"/>
        <v>2635984.40705</v>
      </c>
      <c r="K143" s="66">
        <f t="shared" si="36"/>
        <v>2635984.40705</v>
      </c>
      <c r="L143" s="66">
        <v>249191734.25650001</v>
      </c>
      <c r="M143" s="71">
        <f t="shared" si="37"/>
        <v>434761275.45064998</v>
      </c>
      <c r="N143" s="70"/>
      <c r="O143" s="62"/>
      <c r="P143" s="189" t="s">
        <v>406</v>
      </c>
      <c r="Q143" s="192"/>
      <c r="R143" s="67"/>
      <c r="S143" s="67">
        <f t="shared" ref="S143:W143" si="39">SUM(S123:S142)</f>
        <v>930259568.19669998</v>
      </c>
      <c r="T143" s="67">
        <f t="shared" si="39"/>
        <v>0</v>
      </c>
      <c r="U143" s="67">
        <f t="shared" si="39"/>
        <v>2869887952.7014999</v>
      </c>
      <c r="V143" s="67">
        <f t="shared" si="39"/>
        <v>474061565.35600001</v>
      </c>
      <c r="W143" s="67">
        <f t="shared" si="39"/>
        <v>114004425.627</v>
      </c>
      <c r="X143" s="67">
        <f t="shared" ref="X143:AA143" si="40">SUM(X123:X142)</f>
        <v>0</v>
      </c>
      <c r="Y143" s="67">
        <f t="shared" si="40"/>
        <v>114004425.627</v>
      </c>
      <c r="Z143" s="67">
        <f t="shared" si="40"/>
        <v>27038399856.9282</v>
      </c>
      <c r="AA143" s="67">
        <f t="shared" si="40"/>
        <v>31426613368.809399</v>
      </c>
    </row>
    <row r="144" spans="1:27" ht="24.95" customHeight="1">
      <c r="A144" s="181"/>
      <c r="B144" s="176"/>
      <c r="C144" s="62">
        <v>14</v>
      </c>
      <c r="D144" s="66" t="s">
        <v>407</v>
      </c>
      <c r="E144" s="66">
        <v>31777938.400199998</v>
      </c>
      <c r="F144" s="66">
        <v>0</v>
      </c>
      <c r="G144" s="66">
        <v>98036210.208800003</v>
      </c>
      <c r="H144" s="66">
        <v>4964661.0525000002</v>
      </c>
      <c r="I144" s="66">
        <v>3894424.4583000001</v>
      </c>
      <c r="J144" s="66">
        <f t="shared" si="35"/>
        <v>1947212.22915</v>
      </c>
      <c r="K144" s="66">
        <f t="shared" si="36"/>
        <v>1947212.22915</v>
      </c>
      <c r="L144" s="66">
        <v>169675859.1561</v>
      </c>
      <c r="M144" s="71">
        <f t="shared" si="37"/>
        <v>306401881.04675001</v>
      </c>
      <c r="N144" s="70"/>
      <c r="O144" s="175">
        <v>25</v>
      </c>
      <c r="P144" s="72">
        <v>1</v>
      </c>
      <c r="Q144" s="175" t="s">
        <v>112</v>
      </c>
      <c r="R144" s="66" t="s">
        <v>408</v>
      </c>
      <c r="S144" s="66">
        <v>32229425.455800001</v>
      </c>
      <c r="T144" s="66">
        <v>0</v>
      </c>
      <c r="U144" s="66">
        <v>99429065.822500005</v>
      </c>
      <c r="V144" s="66">
        <v>5590580.8733000001</v>
      </c>
      <c r="W144" s="66">
        <v>3949754.7384000001</v>
      </c>
      <c r="X144" s="66">
        <v>3949754.7384000001</v>
      </c>
      <c r="Y144" s="66">
        <f t="shared" ref="Y144:Y207" si="41">W144-X144</f>
        <v>0</v>
      </c>
      <c r="Z144" s="66">
        <v>175650755.69499999</v>
      </c>
      <c r="AA144" s="71">
        <f t="shared" si="38"/>
        <v>312899827.8466</v>
      </c>
    </row>
    <row r="145" spans="1:27" ht="24.95" customHeight="1">
      <c r="A145" s="181"/>
      <c r="B145" s="176"/>
      <c r="C145" s="62">
        <v>15</v>
      </c>
      <c r="D145" s="66" t="s">
        <v>409</v>
      </c>
      <c r="E145" s="66">
        <v>33383396.704500001</v>
      </c>
      <c r="F145" s="66">
        <v>0</v>
      </c>
      <c r="G145" s="66">
        <v>102989113.2515</v>
      </c>
      <c r="H145" s="66">
        <v>5300946.0928999996</v>
      </c>
      <c r="I145" s="66">
        <v>4091175.2985999999</v>
      </c>
      <c r="J145" s="66">
        <f t="shared" si="35"/>
        <v>2045587.6492999999</v>
      </c>
      <c r="K145" s="66">
        <f t="shared" si="36"/>
        <v>2045587.6492999999</v>
      </c>
      <c r="L145" s="66">
        <v>181631495.4842</v>
      </c>
      <c r="M145" s="71">
        <f t="shared" si="37"/>
        <v>325350539.18239999</v>
      </c>
      <c r="N145" s="70"/>
      <c r="O145" s="176"/>
      <c r="P145" s="72">
        <v>2</v>
      </c>
      <c r="Q145" s="176"/>
      <c r="R145" s="66" t="s">
        <v>410</v>
      </c>
      <c r="S145" s="66">
        <v>36328381.840000004</v>
      </c>
      <c r="T145" s="66">
        <v>0</v>
      </c>
      <c r="U145" s="66">
        <v>112074510.11310001</v>
      </c>
      <c r="V145" s="66">
        <v>5580937.9685000004</v>
      </c>
      <c r="W145" s="66">
        <v>4452086.7586000003</v>
      </c>
      <c r="X145" s="66">
        <v>4452086.7586000003</v>
      </c>
      <c r="Y145" s="66">
        <f t="shared" si="41"/>
        <v>0</v>
      </c>
      <c r="Z145" s="66">
        <v>175307930.26629999</v>
      </c>
      <c r="AA145" s="71">
        <f t="shared" si="38"/>
        <v>329291760.18790001</v>
      </c>
    </row>
    <row r="146" spans="1:27" ht="24.95" customHeight="1">
      <c r="A146" s="181"/>
      <c r="B146" s="176"/>
      <c r="C146" s="62">
        <v>16</v>
      </c>
      <c r="D146" s="66" t="s">
        <v>411</v>
      </c>
      <c r="E146" s="66">
        <v>30449729.0011</v>
      </c>
      <c r="F146" s="66">
        <v>0</v>
      </c>
      <c r="G146" s="66">
        <v>93938631.120399997</v>
      </c>
      <c r="H146" s="66">
        <v>4656302.1347000003</v>
      </c>
      <c r="I146" s="66">
        <v>3731650.8036000002</v>
      </c>
      <c r="J146" s="66">
        <f t="shared" si="35"/>
        <v>1865825.4018000001</v>
      </c>
      <c r="K146" s="66">
        <f t="shared" si="36"/>
        <v>1865825.4018000001</v>
      </c>
      <c r="L146" s="66">
        <v>158713054.8813</v>
      </c>
      <c r="M146" s="71">
        <f t="shared" si="37"/>
        <v>289623542.53930002</v>
      </c>
      <c r="N146" s="70"/>
      <c r="O146" s="176"/>
      <c r="P146" s="72">
        <v>3</v>
      </c>
      <c r="Q146" s="176"/>
      <c r="R146" s="66" t="s">
        <v>412</v>
      </c>
      <c r="S146" s="66">
        <v>37197038.145000003</v>
      </c>
      <c r="T146" s="66">
        <v>0</v>
      </c>
      <c r="U146" s="66">
        <v>114754349.5362</v>
      </c>
      <c r="V146" s="66">
        <v>5885466.7604999999</v>
      </c>
      <c r="W146" s="66">
        <v>4558541.6304000001</v>
      </c>
      <c r="X146" s="66">
        <v>4558541.6304000001</v>
      </c>
      <c r="Y146" s="66">
        <f t="shared" si="41"/>
        <v>0</v>
      </c>
      <c r="Z146" s="66">
        <v>186134565.56240001</v>
      </c>
      <c r="AA146" s="71">
        <f t="shared" si="38"/>
        <v>343971420.00410002</v>
      </c>
    </row>
    <row r="147" spans="1:27" ht="24.95" customHeight="1">
      <c r="A147" s="181"/>
      <c r="B147" s="176"/>
      <c r="C147" s="62">
        <v>17</v>
      </c>
      <c r="D147" s="66" t="s">
        <v>413</v>
      </c>
      <c r="E147" s="66">
        <v>38528209.202799998</v>
      </c>
      <c r="F147" s="66">
        <v>0</v>
      </c>
      <c r="G147" s="66">
        <v>118861065.4602</v>
      </c>
      <c r="H147" s="66">
        <v>5768773.4225000003</v>
      </c>
      <c r="I147" s="66">
        <v>4721678.2399000004</v>
      </c>
      <c r="J147" s="66">
        <f t="shared" si="35"/>
        <v>2360839.1199500002</v>
      </c>
      <c r="K147" s="66">
        <f t="shared" si="36"/>
        <v>2360839.1199500002</v>
      </c>
      <c r="L147" s="66">
        <v>198263735.236</v>
      </c>
      <c r="M147" s="71">
        <f t="shared" si="37"/>
        <v>363782622.44145</v>
      </c>
      <c r="N147" s="70"/>
      <c r="O147" s="176"/>
      <c r="P147" s="72">
        <v>4</v>
      </c>
      <c r="Q147" s="176"/>
      <c r="R147" s="66" t="s">
        <v>414</v>
      </c>
      <c r="S147" s="66">
        <v>43887435.991400003</v>
      </c>
      <c r="T147" s="66">
        <v>0</v>
      </c>
      <c r="U147" s="66">
        <v>135394494.3247</v>
      </c>
      <c r="V147" s="66">
        <v>6627497.2982999999</v>
      </c>
      <c r="W147" s="66">
        <v>5378457.9094000002</v>
      </c>
      <c r="X147" s="66">
        <v>5378457.9094000002</v>
      </c>
      <c r="Y147" s="66">
        <f t="shared" si="41"/>
        <v>0</v>
      </c>
      <c r="Z147" s="66">
        <v>212515302.69679999</v>
      </c>
      <c r="AA147" s="71">
        <f t="shared" si="38"/>
        <v>398424730.31120002</v>
      </c>
    </row>
    <row r="148" spans="1:27" ht="24.95" customHeight="1">
      <c r="A148" s="181"/>
      <c r="B148" s="176"/>
      <c r="C148" s="62">
        <v>18</v>
      </c>
      <c r="D148" s="66" t="s">
        <v>415</v>
      </c>
      <c r="E148" s="66">
        <v>36104847.088299997</v>
      </c>
      <c r="F148" s="66">
        <v>0</v>
      </c>
      <c r="G148" s="66">
        <v>111384896.46879999</v>
      </c>
      <c r="H148" s="66">
        <v>5840993.8229999999</v>
      </c>
      <c r="I148" s="66">
        <v>4424692.3066999996</v>
      </c>
      <c r="J148" s="66">
        <f t="shared" si="35"/>
        <v>2212346.1533499998</v>
      </c>
      <c r="K148" s="66">
        <f t="shared" si="36"/>
        <v>2212346.1533499998</v>
      </c>
      <c r="L148" s="66">
        <v>200831321.47819999</v>
      </c>
      <c r="M148" s="71">
        <f t="shared" si="37"/>
        <v>356374405.01165003</v>
      </c>
      <c r="N148" s="70"/>
      <c r="O148" s="176"/>
      <c r="P148" s="72">
        <v>5</v>
      </c>
      <c r="Q148" s="176"/>
      <c r="R148" s="66" t="s">
        <v>416</v>
      </c>
      <c r="S148" s="66">
        <v>31337517.964200001</v>
      </c>
      <c r="T148" s="66">
        <v>0</v>
      </c>
      <c r="U148" s="66">
        <v>96677495.558899999</v>
      </c>
      <c r="V148" s="66">
        <v>5205574.3804000001</v>
      </c>
      <c r="W148" s="66">
        <v>3840450.4057</v>
      </c>
      <c r="X148" s="66">
        <v>3840450.4057</v>
      </c>
      <c r="Y148" s="66">
        <f t="shared" si="41"/>
        <v>0</v>
      </c>
      <c r="Z148" s="66">
        <v>161962969.85859999</v>
      </c>
      <c r="AA148" s="71">
        <f t="shared" si="38"/>
        <v>295183557.76209998</v>
      </c>
    </row>
    <row r="149" spans="1:27" ht="24.95" customHeight="1">
      <c r="A149" s="181"/>
      <c r="B149" s="176"/>
      <c r="C149" s="62">
        <v>19</v>
      </c>
      <c r="D149" s="66" t="s">
        <v>417</v>
      </c>
      <c r="E149" s="66">
        <v>42285421.8499</v>
      </c>
      <c r="F149" s="66">
        <v>0</v>
      </c>
      <c r="G149" s="66">
        <v>130452216.66159999</v>
      </c>
      <c r="H149" s="66">
        <v>6798739.2958000004</v>
      </c>
      <c r="I149" s="66">
        <v>5182129.1552999998</v>
      </c>
      <c r="J149" s="66">
        <f t="shared" si="35"/>
        <v>2591064.5776499999</v>
      </c>
      <c r="K149" s="66">
        <f t="shared" si="36"/>
        <v>2591064.5776499999</v>
      </c>
      <c r="L149" s="66">
        <v>234881175.59119999</v>
      </c>
      <c r="M149" s="71">
        <f t="shared" si="37"/>
        <v>417008617.97614998</v>
      </c>
      <c r="N149" s="70"/>
      <c r="O149" s="176"/>
      <c r="P149" s="72">
        <v>6</v>
      </c>
      <c r="Q149" s="176"/>
      <c r="R149" s="66" t="s">
        <v>418</v>
      </c>
      <c r="S149" s="66">
        <v>29467743.350499999</v>
      </c>
      <c r="T149" s="66">
        <v>0</v>
      </c>
      <c r="U149" s="66">
        <v>90909166.136000007</v>
      </c>
      <c r="V149" s="66">
        <v>5356650.3108999999</v>
      </c>
      <c r="W149" s="66">
        <v>3611307.2845999999</v>
      </c>
      <c r="X149" s="66">
        <v>3611307.2845999999</v>
      </c>
      <c r="Y149" s="66">
        <f t="shared" si="41"/>
        <v>0</v>
      </c>
      <c r="Z149" s="66">
        <v>167334035.07359999</v>
      </c>
      <c r="AA149" s="71">
        <f t="shared" si="38"/>
        <v>293067594.87099999</v>
      </c>
    </row>
    <row r="150" spans="1:27" ht="24.95" customHeight="1">
      <c r="A150" s="181"/>
      <c r="B150" s="176"/>
      <c r="C150" s="62">
        <v>20</v>
      </c>
      <c r="D150" s="66" t="s">
        <v>419</v>
      </c>
      <c r="E150" s="66">
        <v>29307085.0539</v>
      </c>
      <c r="F150" s="66">
        <v>0</v>
      </c>
      <c r="G150" s="66">
        <v>90413528.869000003</v>
      </c>
      <c r="H150" s="66">
        <v>4746557.9214000003</v>
      </c>
      <c r="I150" s="66">
        <v>3591618.4177000001</v>
      </c>
      <c r="J150" s="66">
        <f t="shared" si="35"/>
        <v>1795809.2088500001</v>
      </c>
      <c r="K150" s="66">
        <f t="shared" si="36"/>
        <v>1795809.2088500001</v>
      </c>
      <c r="L150" s="66">
        <v>161921836.81420001</v>
      </c>
      <c r="M150" s="71">
        <f t="shared" si="37"/>
        <v>288184817.86734998</v>
      </c>
      <c r="N150" s="70"/>
      <c r="O150" s="176"/>
      <c r="P150" s="72">
        <v>7</v>
      </c>
      <c r="Q150" s="176"/>
      <c r="R150" s="66" t="s">
        <v>420</v>
      </c>
      <c r="S150" s="66">
        <v>33669543.493100002</v>
      </c>
      <c r="T150" s="66">
        <v>0</v>
      </c>
      <c r="U150" s="66">
        <v>103871887.5325</v>
      </c>
      <c r="V150" s="66">
        <v>5549114.1295999996</v>
      </c>
      <c r="W150" s="66">
        <v>4126242.9308000002</v>
      </c>
      <c r="X150" s="66">
        <v>4126242.9308000002</v>
      </c>
      <c r="Y150" s="66">
        <f t="shared" si="41"/>
        <v>0</v>
      </c>
      <c r="Z150" s="66">
        <v>174176526.25229999</v>
      </c>
      <c r="AA150" s="71">
        <f t="shared" si="38"/>
        <v>317267071.40750003</v>
      </c>
    </row>
    <row r="151" spans="1:27" ht="24.95" customHeight="1">
      <c r="A151" s="181"/>
      <c r="B151" s="176"/>
      <c r="C151" s="62">
        <v>21</v>
      </c>
      <c r="D151" s="66" t="s">
        <v>421</v>
      </c>
      <c r="E151" s="66">
        <v>40072261.342200004</v>
      </c>
      <c r="F151" s="66">
        <v>0</v>
      </c>
      <c r="G151" s="66">
        <v>123624528.03</v>
      </c>
      <c r="H151" s="66">
        <v>6294784.8683000002</v>
      </c>
      <c r="I151" s="66">
        <v>4910903.6812000005</v>
      </c>
      <c r="J151" s="66">
        <f t="shared" si="35"/>
        <v>2455451.8406000002</v>
      </c>
      <c r="K151" s="66">
        <f t="shared" si="36"/>
        <v>2455451.8406000002</v>
      </c>
      <c r="L151" s="66">
        <v>216964541.97279999</v>
      </c>
      <c r="M151" s="71">
        <f t="shared" si="37"/>
        <v>389411568.0539</v>
      </c>
      <c r="N151" s="70"/>
      <c r="O151" s="176"/>
      <c r="P151" s="72">
        <v>8</v>
      </c>
      <c r="Q151" s="176"/>
      <c r="R151" s="66" t="s">
        <v>422</v>
      </c>
      <c r="S151" s="66">
        <v>52684716.383400001</v>
      </c>
      <c r="T151" s="66">
        <v>0</v>
      </c>
      <c r="U151" s="66">
        <v>162534455.98320001</v>
      </c>
      <c r="V151" s="66">
        <v>8038279.0563000003</v>
      </c>
      <c r="W151" s="66">
        <v>6456575.1710000001</v>
      </c>
      <c r="X151" s="66">
        <v>6456575.1710000001</v>
      </c>
      <c r="Y151" s="66">
        <f t="shared" si="41"/>
        <v>0</v>
      </c>
      <c r="Z151" s="66">
        <v>262671544.00569999</v>
      </c>
      <c r="AA151" s="71">
        <f t="shared" si="38"/>
        <v>485928995.42860001</v>
      </c>
    </row>
    <row r="152" spans="1:27" ht="24.95" customHeight="1">
      <c r="A152" s="181"/>
      <c r="B152" s="176"/>
      <c r="C152" s="62">
        <v>22</v>
      </c>
      <c r="D152" s="66" t="s">
        <v>423</v>
      </c>
      <c r="E152" s="66">
        <v>39019087.439400002</v>
      </c>
      <c r="F152" s="66">
        <v>0</v>
      </c>
      <c r="G152" s="66">
        <v>120375444.44159999</v>
      </c>
      <c r="H152" s="66">
        <v>5972727.6184999999</v>
      </c>
      <c r="I152" s="66">
        <v>4781835.9563999996</v>
      </c>
      <c r="J152" s="66">
        <f t="shared" si="35"/>
        <v>2390917.9781999998</v>
      </c>
      <c r="K152" s="66">
        <f t="shared" si="36"/>
        <v>2390917.9781999998</v>
      </c>
      <c r="L152" s="66">
        <v>205514733.35080001</v>
      </c>
      <c r="M152" s="71">
        <f t="shared" si="37"/>
        <v>373272910.82849997</v>
      </c>
      <c r="N152" s="70"/>
      <c r="O152" s="176"/>
      <c r="P152" s="72">
        <v>9</v>
      </c>
      <c r="Q152" s="176"/>
      <c r="R152" s="66" t="s">
        <v>424</v>
      </c>
      <c r="S152" s="66">
        <v>48825273.708700001</v>
      </c>
      <c r="T152" s="66">
        <v>0</v>
      </c>
      <c r="U152" s="66">
        <v>150627921.06040001</v>
      </c>
      <c r="V152" s="66">
        <v>6451288.9837999996</v>
      </c>
      <c r="W152" s="66">
        <v>5983595.8431000002</v>
      </c>
      <c r="X152" s="66">
        <v>5983595.8431000002</v>
      </c>
      <c r="Y152" s="66">
        <f t="shared" si="41"/>
        <v>0</v>
      </c>
      <c r="Z152" s="66">
        <v>206250728.68349999</v>
      </c>
      <c r="AA152" s="71">
        <f t="shared" si="38"/>
        <v>412155212.4364</v>
      </c>
    </row>
    <row r="153" spans="1:27" ht="24.95" customHeight="1">
      <c r="A153" s="181"/>
      <c r="B153" s="177"/>
      <c r="C153" s="62">
        <v>23</v>
      </c>
      <c r="D153" s="66" t="s">
        <v>425</v>
      </c>
      <c r="E153" s="66">
        <v>41328117.779299997</v>
      </c>
      <c r="F153" s="66">
        <v>0</v>
      </c>
      <c r="G153" s="66">
        <v>127498895.338</v>
      </c>
      <c r="H153" s="66">
        <v>6443371.2171</v>
      </c>
      <c r="I153" s="66">
        <v>5064810.3935000002</v>
      </c>
      <c r="J153" s="66">
        <f t="shared" si="35"/>
        <v>2532405.1967500001</v>
      </c>
      <c r="K153" s="66">
        <f t="shared" si="36"/>
        <v>2532405.1967500001</v>
      </c>
      <c r="L153" s="66">
        <v>222247097.35159999</v>
      </c>
      <c r="M153" s="71">
        <f t="shared" si="37"/>
        <v>400049886.88274997</v>
      </c>
      <c r="N153" s="70"/>
      <c r="O153" s="176"/>
      <c r="P153" s="72">
        <v>10</v>
      </c>
      <c r="Q153" s="176"/>
      <c r="R153" s="79" t="s">
        <v>426</v>
      </c>
      <c r="S153" s="66">
        <v>37350591.0198</v>
      </c>
      <c r="T153" s="66">
        <v>0</v>
      </c>
      <c r="U153" s="66">
        <v>115228066.2933</v>
      </c>
      <c r="V153" s="66">
        <v>5992732.8114999998</v>
      </c>
      <c r="W153" s="66">
        <v>4577359.7193999998</v>
      </c>
      <c r="X153" s="66">
        <v>4577359.7193999998</v>
      </c>
      <c r="Y153" s="66">
        <f t="shared" si="41"/>
        <v>0</v>
      </c>
      <c r="Z153" s="66">
        <v>189948097.9594</v>
      </c>
      <c r="AA153" s="71">
        <f t="shared" si="38"/>
        <v>348519488.08399999</v>
      </c>
    </row>
    <row r="154" spans="1:27" ht="24.95" customHeight="1">
      <c r="A154" s="62"/>
      <c r="B154" s="188" t="s">
        <v>427</v>
      </c>
      <c r="C154" s="189"/>
      <c r="D154" s="67"/>
      <c r="E154" s="67">
        <f>SUM(E131:E153)</f>
        <v>884164594.0905</v>
      </c>
      <c r="F154" s="67">
        <f t="shared" ref="F154:M154" si="42">SUM(F131:F153)</f>
        <v>-1E-4</v>
      </c>
      <c r="G154" s="67">
        <f t="shared" si="42"/>
        <v>2727683115.0503001</v>
      </c>
      <c r="H154" s="67">
        <f t="shared" si="42"/>
        <v>136104298.9641</v>
      </c>
      <c r="I154" s="67">
        <f t="shared" si="42"/>
        <v>108355431.2739</v>
      </c>
      <c r="J154" s="67">
        <f t="shared" si="42"/>
        <v>54177715.636950001</v>
      </c>
      <c r="K154" s="67">
        <f t="shared" si="42"/>
        <v>54177715.636950001</v>
      </c>
      <c r="L154" s="67">
        <f t="shared" si="42"/>
        <v>4681743305.8017998</v>
      </c>
      <c r="M154" s="67">
        <f t="shared" si="42"/>
        <v>8483873029.5435495</v>
      </c>
      <c r="N154" s="70"/>
      <c r="O154" s="176"/>
      <c r="P154" s="72">
        <v>11</v>
      </c>
      <c r="Q154" s="176"/>
      <c r="R154" s="66" t="s">
        <v>407</v>
      </c>
      <c r="S154" s="66">
        <v>35751733.484300002</v>
      </c>
      <c r="T154" s="66">
        <v>0</v>
      </c>
      <c r="U154" s="66">
        <v>110295526.8855</v>
      </c>
      <c r="V154" s="66">
        <v>5989860.2171999998</v>
      </c>
      <c r="W154" s="66">
        <v>4381417.8110999996</v>
      </c>
      <c r="X154" s="66">
        <v>4381417.8110999996</v>
      </c>
      <c r="Y154" s="66">
        <f t="shared" si="41"/>
        <v>0</v>
      </c>
      <c r="Z154" s="66">
        <v>189845971.2254</v>
      </c>
      <c r="AA154" s="71">
        <f t="shared" si="38"/>
        <v>341883091.81239998</v>
      </c>
    </row>
    <row r="155" spans="1:27" ht="24.95" customHeight="1">
      <c r="A155" s="181">
        <v>8</v>
      </c>
      <c r="B155" s="175" t="s">
        <v>428</v>
      </c>
      <c r="C155" s="62">
        <v>1</v>
      </c>
      <c r="D155" s="66" t="s">
        <v>429</v>
      </c>
      <c r="E155" s="66">
        <v>34707342.329300001</v>
      </c>
      <c r="F155" s="66">
        <v>0</v>
      </c>
      <c r="G155" s="66">
        <v>107073538.42560001</v>
      </c>
      <c r="H155" s="66">
        <v>4933905.9950999999</v>
      </c>
      <c r="I155" s="66">
        <v>4253426.4227</v>
      </c>
      <c r="J155" s="66">
        <v>0</v>
      </c>
      <c r="K155" s="66">
        <f t="shared" ref="K155:K181" si="43">I155-J155</f>
        <v>4253426.4227</v>
      </c>
      <c r="L155" s="66">
        <v>170186035.41929999</v>
      </c>
      <c r="M155" s="71">
        <f t="shared" si="37"/>
        <v>321154248.59200001</v>
      </c>
      <c r="N155" s="70"/>
      <c r="O155" s="176"/>
      <c r="P155" s="72">
        <v>12</v>
      </c>
      <c r="Q155" s="176"/>
      <c r="R155" s="66" t="s">
        <v>430</v>
      </c>
      <c r="S155" s="66">
        <v>37983650.715000004</v>
      </c>
      <c r="T155" s="66">
        <v>0</v>
      </c>
      <c r="U155" s="66">
        <v>117181080.758</v>
      </c>
      <c r="V155" s="66">
        <v>5654194.7559000002</v>
      </c>
      <c r="W155" s="66">
        <v>4654941.9441999998</v>
      </c>
      <c r="X155" s="66">
        <v>4654941.9441999998</v>
      </c>
      <c r="Y155" s="66">
        <f t="shared" si="41"/>
        <v>0</v>
      </c>
      <c r="Z155" s="66">
        <v>177912362.23210001</v>
      </c>
      <c r="AA155" s="71">
        <f t="shared" si="38"/>
        <v>338731288.46100003</v>
      </c>
    </row>
    <row r="156" spans="1:27" ht="24.95" customHeight="1">
      <c r="A156" s="181"/>
      <c r="B156" s="176"/>
      <c r="C156" s="62">
        <v>2</v>
      </c>
      <c r="D156" s="66" t="s">
        <v>431</v>
      </c>
      <c r="E156" s="66">
        <v>33560732.1087</v>
      </c>
      <c r="F156" s="66">
        <v>0</v>
      </c>
      <c r="G156" s="66">
        <v>103536200.0623</v>
      </c>
      <c r="H156" s="66">
        <v>5360976.2807999998</v>
      </c>
      <c r="I156" s="66">
        <v>4112907.9652</v>
      </c>
      <c r="J156" s="66">
        <v>0</v>
      </c>
      <c r="K156" s="66">
        <f t="shared" si="43"/>
        <v>4112907.9652</v>
      </c>
      <c r="L156" s="66">
        <v>185369277.03920001</v>
      </c>
      <c r="M156" s="71">
        <f t="shared" si="37"/>
        <v>331940093.4562</v>
      </c>
      <c r="N156" s="70"/>
      <c r="O156" s="177"/>
      <c r="P156" s="72">
        <v>13</v>
      </c>
      <c r="Q156" s="177"/>
      <c r="R156" s="66" t="s">
        <v>432</v>
      </c>
      <c r="S156" s="66">
        <v>30491953.617899999</v>
      </c>
      <c r="T156" s="66">
        <v>0</v>
      </c>
      <c r="U156" s="66">
        <v>94068895.751300007</v>
      </c>
      <c r="V156" s="66">
        <v>5133939.7638999997</v>
      </c>
      <c r="W156" s="66">
        <v>3736825.4810000001</v>
      </c>
      <c r="X156" s="66">
        <v>3736825.4810000001</v>
      </c>
      <c r="Y156" s="66">
        <f t="shared" si="41"/>
        <v>0</v>
      </c>
      <c r="Z156" s="66">
        <v>159416209.4603</v>
      </c>
      <c r="AA156" s="71">
        <f t="shared" si="38"/>
        <v>289110998.5934</v>
      </c>
    </row>
    <row r="157" spans="1:27" ht="24.95" customHeight="1">
      <c r="A157" s="181"/>
      <c r="B157" s="176"/>
      <c r="C157" s="62">
        <v>3</v>
      </c>
      <c r="D157" s="66" t="s">
        <v>433</v>
      </c>
      <c r="E157" s="66">
        <v>47084253.255999997</v>
      </c>
      <c r="F157" s="66">
        <v>0</v>
      </c>
      <c r="G157" s="66">
        <v>145256803.3707</v>
      </c>
      <c r="H157" s="66">
        <v>6846783.4430999998</v>
      </c>
      <c r="I157" s="66">
        <v>5770231.6988000004</v>
      </c>
      <c r="J157" s="66">
        <v>0</v>
      </c>
      <c r="K157" s="66">
        <f t="shared" si="43"/>
        <v>5770231.6988000004</v>
      </c>
      <c r="L157" s="66">
        <v>238192828.3423</v>
      </c>
      <c r="M157" s="71">
        <f t="shared" si="37"/>
        <v>443150900.11089998</v>
      </c>
      <c r="N157" s="70"/>
      <c r="O157" s="62"/>
      <c r="P157" s="189" t="s">
        <v>434</v>
      </c>
      <c r="Q157" s="190"/>
      <c r="R157" s="67"/>
      <c r="S157" s="67">
        <f t="shared" ref="S157:U157" si="44">SUM(S144:S156)</f>
        <v>487205005.16909999</v>
      </c>
      <c r="T157" s="67">
        <f t="shared" ref="T157" si="45">SUM(T136:T156)</f>
        <v>0</v>
      </c>
      <c r="U157" s="67">
        <f t="shared" si="44"/>
        <v>1503046915.7556</v>
      </c>
      <c r="V157" s="67">
        <f t="shared" ref="V157:W157" si="46">SUM(V144:V156)</f>
        <v>77056117.310100004</v>
      </c>
      <c r="W157" s="67">
        <f t="shared" si="46"/>
        <v>59707557.627700001</v>
      </c>
      <c r="X157" s="67">
        <f t="shared" ref="X157:AA157" si="47">SUM(X144:X156)</f>
        <v>59707557.627700001</v>
      </c>
      <c r="Y157" s="67">
        <f t="shared" si="41"/>
        <v>0</v>
      </c>
      <c r="Z157" s="67">
        <f t="shared" si="47"/>
        <v>2439126998.9713998</v>
      </c>
      <c r="AA157" s="67">
        <f t="shared" si="47"/>
        <v>4506435037.2061996</v>
      </c>
    </row>
    <row r="158" spans="1:27" ht="24.95" customHeight="1">
      <c r="A158" s="181"/>
      <c r="B158" s="176"/>
      <c r="C158" s="62">
        <v>4</v>
      </c>
      <c r="D158" s="66" t="s">
        <v>435</v>
      </c>
      <c r="E158" s="66">
        <v>27121953.559799999</v>
      </c>
      <c r="F158" s="66">
        <v>0</v>
      </c>
      <c r="G158" s="66">
        <v>83672310.864800006</v>
      </c>
      <c r="H158" s="66">
        <v>4695063.8596000001</v>
      </c>
      <c r="I158" s="66">
        <v>3323827.9326999998</v>
      </c>
      <c r="J158" s="66">
        <v>0</v>
      </c>
      <c r="K158" s="66">
        <f t="shared" si="43"/>
        <v>3323827.9326999998</v>
      </c>
      <c r="L158" s="66">
        <v>161694698.1076</v>
      </c>
      <c r="M158" s="71">
        <f t="shared" si="37"/>
        <v>280507854.32450002</v>
      </c>
      <c r="N158" s="70"/>
      <c r="O158" s="175">
        <v>26</v>
      </c>
      <c r="P158" s="72">
        <v>1</v>
      </c>
      <c r="Q158" s="175" t="s">
        <v>113</v>
      </c>
      <c r="R158" s="66" t="s">
        <v>436</v>
      </c>
      <c r="S158" s="66">
        <v>33528169.093400002</v>
      </c>
      <c r="T158" s="66">
        <v>0</v>
      </c>
      <c r="U158" s="66">
        <v>103435741.8583</v>
      </c>
      <c r="V158" s="66">
        <v>5473054.2153000003</v>
      </c>
      <c r="W158" s="66">
        <v>4108917.3284999998</v>
      </c>
      <c r="X158" s="66">
        <f t="shared" ref="X158:X182" si="48">W158/2</f>
        <v>2054458.6642499999</v>
      </c>
      <c r="Y158" s="66">
        <f t="shared" si="41"/>
        <v>2054458.6642499999</v>
      </c>
      <c r="Z158" s="66">
        <v>179759094.16999999</v>
      </c>
      <c r="AA158" s="71">
        <f t="shared" si="38"/>
        <v>324250518.00125003</v>
      </c>
    </row>
    <row r="159" spans="1:27" ht="24.95" customHeight="1">
      <c r="A159" s="181"/>
      <c r="B159" s="176"/>
      <c r="C159" s="62">
        <v>5</v>
      </c>
      <c r="D159" s="66" t="s">
        <v>437</v>
      </c>
      <c r="E159" s="66">
        <v>37538987.207099997</v>
      </c>
      <c r="F159" s="66">
        <v>0</v>
      </c>
      <c r="G159" s="66">
        <v>115809276.0616</v>
      </c>
      <c r="H159" s="66">
        <v>5788835.1217999998</v>
      </c>
      <c r="I159" s="66">
        <v>4600447.8980999999</v>
      </c>
      <c r="J159" s="66">
        <v>0</v>
      </c>
      <c r="K159" s="66">
        <f t="shared" si="43"/>
        <v>4600447.8980999999</v>
      </c>
      <c r="L159" s="66">
        <v>200580553.4488</v>
      </c>
      <c r="M159" s="71">
        <f t="shared" si="37"/>
        <v>364318099.7374</v>
      </c>
      <c r="N159" s="70"/>
      <c r="O159" s="176"/>
      <c r="P159" s="72">
        <v>2</v>
      </c>
      <c r="Q159" s="176"/>
      <c r="R159" s="66" t="s">
        <v>438</v>
      </c>
      <c r="S159" s="66">
        <v>28786219.233100001</v>
      </c>
      <c r="T159" s="66">
        <v>0</v>
      </c>
      <c r="U159" s="66">
        <v>88806636.991699994</v>
      </c>
      <c r="V159" s="66">
        <v>4622608.5887000002</v>
      </c>
      <c r="W159" s="66">
        <v>3527785.6867</v>
      </c>
      <c r="X159" s="66">
        <f t="shared" si="48"/>
        <v>1763892.84335</v>
      </c>
      <c r="Y159" s="66">
        <f t="shared" si="41"/>
        <v>1763892.84335</v>
      </c>
      <c r="Z159" s="66">
        <v>149523973.94499999</v>
      </c>
      <c r="AA159" s="71">
        <f t="shared" si="38"/>
        <v>273503331.60184997</v>
      </c>
    </row>
    <row r="160" spans="1:27" ht="24.95" customHeight="1">
      <c r="A160" s="181"/>
      <c r="B160" s="176"/>
      <c r="C160" s="62">
        <v>6</v>
      </c>
      <c r="D160" s="66" t="s">
        <v>439</v>
      </c>
      <c r="E160" s="66">
        <v>27042914.6589</v>
      </c>
      <c r="F160" s="66">
        <v>0</v>
      </c>
      <c r="G160" s="66">
        <v>83428472.696199998</v>
      </c>
      <c r="H160" s="66">
        <v>4550048.5399000002</v>
      </c>
      <c r="I160" s="66">
        <v>3314141.6206999999</v>
      </c>
      <c r="J160" s="66">
        <v>0</v>
      </c>
      <c r="K160" s="66">
        <f t="shared" si="43"/>
        <v>3314141.6206999999</v>
      </c>
      <c r="L160" s="66">
        <v>156539100.2766</v>
      </c>
      <c r="M160" s="71">
        <f t="shared" si="37"/>
        <v>274874677.79229999</v>
      </c>
      <c r="N160" s="70"/>
      <c r="O160" s="176"/>
      <c r="P160" s="72">
        <v>3</v>
      </c>
      <c r="Q160" s="176"/>
      <c r="R160" s="66" t="s">
        <v>440</v>
      </c>
      <c r="S160" s="66">
        <v>32966197.1712</v>
      </c>
      <c r="T160" s="66">
        <v>0</v>
      </c>
      <c r="U160" s="66">
        <v>101702036.015</v>
      </c>
      <c r="V160" s="66">
        <v>6095720.0107000005</v>
      </c>
      <c r="W160" s="66">
        <v>4040046.9955000002</v>
      </c>
      <c r="X160" s="66">
        <f t="shared" si="48"/>
        <v>2020023.4977500001</v>
      </c>
      <c r="Y160" s="66">
        <f t="shared" si="41"/>
        <v>2020023.4977500001</v>
      </c>
      <c r="Z160" s="66">
        <v>201896165.13350001</v>
      </c>
      <c r="AA160" s="71">
        <f t="shared" si="38"/>
        <v>344680141.82814997</v>
      </c>
    </row>
    <row r="161" spans="1:27" ht="24.95" customHeight="1">
      <c r="A161" s="181"/>
      <c r="B161" s="176"/>
      <c r="C161" s="62">
        <v>7</v>
      </c>
      <c r="D161" s="66" t="s">
        <v>441</v>
      </c>
      <c r="E161" s="66">
        <v>45332698.693599999</v>
      </c>
      <c r="F161" s="66">
        <v>0</v>
      </c>
      <c r="G161" s="66">
        <v>139853187.53169999</v>
      </c>
      <c r="H161" s="66">
        <v>6414058.0893999999</v>
      </c>
      <c r="I161" s="66">
        <v>5555576.5867999997</v>
      </c>
      <c r="J161" s="66">
        <v>0</v>
      </c>
      <c r="K161" s="66">
        <f t="shared" si="43"/>
        <v>5555576.5867999997</v>
      </c>
      <c r="L161" s="66">
        <v>222808537.2304</v>
      </c>
      <c r="M161" s="71">
        <f t="shared" si="37"/>
        <v>419964058.13190001</v>
      </c>
      <c r="N161" s="70"/>
      <c r="O161" s="176"/>
      <c r="P161" s="72">
        <v>4</v>
      </c>
      <c r="Q161" s="176"/>
      <c r="R161" s="66" t="s">
        <v>442</v>
      </c>
      <c r="S161" s="66">
        <v>53664126.360399999</v>
      </c>
      <c r="T161" s="66">
        <v>0</v>
      </c>
      <c r="U161" s="66">
        <v>165555974.9118</v>
      </c>
      <c r="V161" s="66">
        <v>5913045.5427999999</v>
      </c>
      <c r="W161" s="66">
        <v>6576603.0382000003</v>
      </c>
      <c r="X161" s="66">
        <f t="shared" si="48"/>
        <v>3288301.5191000002</v>
      </c>
      <c r="Y161" s="66">
        <f t="shared" si="41"/>
        <v>3288301.5191000002</v>
      </c>
      <c r="Z161" s="66">
        <v>195401705.84439999</v>
      </c>
      <c r="AA161" s="71">
        <f t="shared" si="38"/>
        <v>423823154.1785</v>
      </c>
    </row>
    <row r="162" spans="1:27" ht="24.95" customHeight="1">
      <c r="A162" s="181"/>
      <c r="B162" s="176"/>
      <c r="C162" s="62">
        <v>8</v>
      </c>
      <c r="D162" s="66" t="s">
        <v>443</v>
      </c>
      <c r="E162" s="66">
        <v>29999617.5418</v>
      </c>
      <c r="F162" s="66">
        <v>0</v>
      </c>
      <c r="G162" s="66">
        <v>92550019.276700005</v>
      </c>
      <c r="H162" s="66">
        <v>4998443.6139000002</v>
      </c>
      <c r="I162" s="66">
        <v>3676489.1046000002</v>
      </c>
      <c r="J162" s="66">
        <v>0</v>
      </c>
      <c r="K162" s="66">
        <f t="shared" si="43"/>
        <v>3676489.1046000002</v>
      </c>
      <c r="L162" s="66">
        <v>172480482.7101</v>
      </c>
      <c r="M162" s="71">
        <f t="shared" si="37"/>
        <v>303705052.2471</v>
      </c>
      <c r="N162" s="70"/>
      <c r="O162" s="176"/>
      <c r="P162" s="72">
        <v>5</v>
      </c>
      <c r="Q162" s="176"/>
      <c r="R162" s="66" t="s">
        <v>444</v>
      </c>
      <c r="S162" s="66">
        <v>32212197.8576</v>
      </c>
      <c r="T162" s="66">
        <v>0</v>
      </c>
      <c r="U162" s="66">
        <v>99375917.993100002</v>
      </c>
      <c r="V162" s="66">
        <v>5635857.0895999996</v>
      </c>
      <c r="W162" s="66">
        <v>3947643.4755000002</v>
      </c>
      <c r="X162" s="66">
        <f t="shared" si="48"/>
        <v>1973821.7377500001</v>
      </c>
      <c r="Y162" s="66">
        <f t="shared" si="41"/>
        <v>1973821.7377500001</v>
      </c>
      <c r="Z162" s="66">
        <v>185547076.7579</v>
      </c>
      <c r="AA162" s="71">
        <f t="shared" si="38"/>
        <v>324744871.43594998</v>
      </c>
    </row>
    <row r="163" spans="1:27" ht="24.95" customHeight="1">
      <c r="A163" s="181"/>
      <c r="B163" s="176"/>
      <c r="C163" s="62">
        <v>9</v>
      </c>
      <c r="D163" s="66" t="s">
        <v>445</v>
      </c>
      <c r="E163" s="66">
        <v>35629094.855400003</v>
      </c>
      <c r="F163" s="66">
        <v>0</v>
      </c>
      <c r="G163" s="66">
        <v>109917181.8136</v>
      </c>
      <c r="H163" s="66">
        <v>5526426.4479</v>
      </c>
      <c r="I163" s="66">
        <v>4366388.3000999996</v>
      </c>
      <c r="J163" s="66">
        <v>0</v>
      </c>
      <c r="K163" s="66">
        <f t="shared" si="43"/>
        <v>4366388.3000999996</v>
      </c>
      <c r="L163" s="66">
        <v>191251376.42120001</v>
      </c>
      <c r="M163" s="71">
        <f t="shared" si="37"/>
        <v>346690467.83819997</v>
      </c>
      <c r="N163" s="70"/>
      <c r="O163" s="176"/>
      <c r="P163" s="72">
        <v>6</v>
      </c>
      <c r="Q163" s="176"/>
      <c r="R163" s="66" t="s">
        <v>446</v>
      </c>
      <c r="S163" s="66">
        <v>33926271.4476</v>
      </c>
      <c r="T163" s="66">
        <v>0</v>
      </c>
      <c r="U163" s="66">
        <v>104663903.5341</v>
      </c>
      <c r="V163" s="66">
        <v>5781875.0011</v>
      </c>
      <c r="W163" s="66">
        <v>4157705.2494000001</v>
      </c>
      <c r="X163" s="66">
        <f t="shared" si="48"/>
        <v>2078852.6247</v>
      </c>
      <c r="Y163" s="66">
        <f t="shared" si="41"/>
        <v>2078852.6247</v>
      </c>
      <c r="Z163" s="66">
        <v>190738318.82159999</v>
      </c>
      <c r="AA163" s="71">
        <f t="shared" si="38"/>
        <v>337189221.42909998</v>
      </c>
    </row>
    <row r="164" spans="1:27" ht="24.95" customHeight="1">
      <c r="A164" s="181"/>
      <c r="B164" s="176"/>
      <c r="C164" s="62">
        <v>10</v>
      </c>
      <c r="D164" s="66" t="s">
        <v>447</v>
      </c>
      <c r="E164" s="66">
        <v>30368888.4932</v>
      </c>
      <c r="F164" s="66">
        <v>0</v>
      </c>
      <c r="G164" s="66">
        <v>93689234.922399998</v>
      </c>
      <c r="H164" s="66">
        <v>4882852.6719000004</v>
      </c>
      <c r="I164" s="66">
        <v>3721743.7025000001</v>
      </c>
      <c r="J164" s="66">
        <v>0</v>
      </c>
      <c r="K164" s="66">
        <f t="shared" si="43"/>
        <v>3721743.7025000001</v>
      </c>
      <c r="L164" s="66">
        <v>168370983.03290001</v>
      </c>
      <c r="M164" s="71">
        <f t="shared" si="37"/>
        <v>301033702.8229</v>
      </c>
      <c r="N164" s="70"/>
      <c r="O164" s="176"/>
      <c r="P164" s="72">
        <v>7</v>
      </c>
      <c r="Q164" s="176"/>
      <c r="R164" s="66" t="s">
        <v>448</v>
      </c>
      <c r="S164" s="66">
        <v>32134546.341499999</v>
      </c>
      <c r="T164" s="66">
        <v>0</v>
      </c>
      <c r="U164" s="66">
        <v>99136359.961999997</v>
      </c>
      <c r="V164" s="66">
        <v>5411760.9382999996</v>
      </c>
      <c r="W164" s="66">
        <v>3938127.1891000001</v>
      </c>
      <c r="X164" s="66">
        <f t="shared" si="48"/>
        <v>1969063.59455</v>
      </c>
      <c r="Y164" s="66">
        <f t="shared" si="41"/>
        <v>1969063.59455</v>
      </c>
      <c r="Z164" s="66">
        <v>177579990.01409999</v>
      </c>
      <c r="AA164" s="71">
        <f t="shared" si="38"/>
        <v>316231720.85044998</v>
      </c>
    </row>
    <row r="165" spans="1:27" ht="24.95" customHeight="1">
      <c r="A165" s="181"/>
      <c r="B165" s="176"/>
      <c r="C165" s="62">
        <v>11</v>
      </c>
      <c r="D165" s="66" t="s">
        <v>449</v>
      </c>
      <c r="E165" s="66">
        <v>43755420.730800003</v>
      </c>
      <c r="F165" s="66">
        <v>0</v>
      </c>
      <c r="G165" s="66">
        <v>134987221.96869999</v>
      </c>
      <c r="H165" s="66">
        <v>6918046.3120999997</v>
      </c>
      <c r="I165" s="66">
        <v>5362279.2810000004</v>
      </c>
      <c r="J165" s="66">
        <v>0</v>
      </c>
      <c r="K165" s="66">
        <f t="shared" si="43"/>
        <v>5362279.2810000004</v>
      </c>
      <c r="L165" s="66">
        <v>240726372.3398</v>
      </c>
      <c r="M165" s="71">
        <f t="shared" si="37"/>
        <v>431749340.63239998</v>
      </c>
      <c r="N165" s="70"/>
      <c r="O165" s="176"/>
      <c r="P165" s="72">
        <v>8</v>
      </c>
      <c r="Q165" s="176"/>
      <c r="R165" s="66" t="s">
        <v>450</v>
      </c>
      <c r="S165" s="66">
        <v>28714253.1237</v>
      </c>
      <c r="T165" s="66">
        <v>0</v>
      </c>
      <c r="U165" s="66">
        <v>88584618.667500004</v>
      </c>
      <c r="V165" s="66">
        <v>5000675.7949999999</v>
      </c>
      <c r="W165" s="66">
        <v>3518966.1537000001</v>
      </c>
      <c r="X165" s="66">
        <f t="shared" si="48"/>
        <v>1759483.0768500001</v>
      </c>
      <c r="Y165" s="66">
        <f t="shared" si="41"/>
        <v>1759483.0768500001</v>
      </c>
      <c r="Z165" s="66">
        <v>162965053.6318</v>
      </c>
      <c r="AA165" s="71">
        <f t="shared" si="38"/>
        <v>287024084.29484999</v>
      </c>
    </row>
    <row r="166" spans="1:27" ht="24.95" customHeight="1">
      <c r="A166" s="181"/>
      <c r="B166" s="176"/>
      <c r="C166" s="62">
        <v>12</v>
      </c>
      <c r="D166" s="66" t="s">
        <v>451</v>
      </c>
      <c r="E166" s="66">
        <v>30988287.724199999</v>
      </c>
      <c r="F166" s="66">
        <v>0</v>
      </c>
      <c r="G166" s="66">
        <v>95600106.308699995</v>
      </c>
      <c r="H166" s="66">
        <v>5160717.0296999998</v>
      </c>
      <c r="I166" s="66">
        <v>3797651.821</v>
      </c>
      <c r="J166" s="66">
        <v>0</v>
      </c>
      <c r="K166" s="66">
        <f t="shared" si="43"/>
        <v>3797651.821</v>
      </c>
      <c r="L166" s="66">
        <v>178249641.93920001</v>
      </c>
      <c r="M166" s="71">
        <f t="shared" si="37"/>
        <v>313796404.82279998</v>
      </c>
      <c r="N166" s="70"/>
      <c r="O166" s="176"/>
      <c r="P166" s="72">
        <v>9</v>
      </c>
      <c r="Q166" s="176"/>
      <c r="R166" s="66" t="s">
        <v>452</v>
      </c>
      <c r="S166" s="66">
        <v>30984332.1087</v>
      </c>
      <c r="T166" s="66">
        <v>0</v>
      </c>
      <c r="U166" s="66">
        <v>95587903.077000007</v>
      </c>
      <c r="V166" s="66">
        <v>5352168.6876999997</v>
      </c>
      <c r="W166" s="66">
        <v>3797167.0556000001</v>
      </c>
      <c r="X166" s="66">
        <f t="shared" si="48"/>
        <v>1898583.5278</v>
      </c>
      <c r="Y166" s="66">
        <f t="shared" si="41"/>
        <v>1898583.5278</v>
      </c>
      <c r="Z166" s="66">
        <v>175461360.90470001</v>
      </c>
      <c r="AA166" s="71">
        <f t="shared" si="38"/>
        <v>309284348.30589998</v>
      </c>
    </row>
    <row r="167" spans="1:27" ht="24.95" customHeight="1">
      <c r="A167" s="181"/>
      <c r="B167" s="176"/>
      <c r="C167" s="62">
        <v>13</v>
      </c>
      <c r="D167" s="66" t="s">
        <v>453</v>
      </c>
      <c r="E167" s="66">
        <v>35753266.281000003</v>
      </c>
      <c r="F167" s="66">
        <v>0</v>
      </c>
      <c r="G167" s="66">
        <v>110300255.6248</v>
      </c>
      <c r="H167" s="66">
        <v>6184599.7620000001</v>
      </c>
      <c r="I167" s="66">
        <v>4381605.6571000004</v>
      </c>
      <c r="J167" s="66">
        <v>0</v>
      </c>
      <c r="K167" s="66">
        <f t="shared" si="43"/>
        <v>4381605.6571000004</v>
      </c>
      <c r="L167" s="66">
        <v>214650813.9165</v>
      </c>
      <c r="M167" s="71">
        <f t="shared" si="37"/>
        <v>371270541.2414</v>
      </c>
      <c r="N167" s="70"/>
      <c r="O167" s="176"/>
      <c r="P167" s="72">
        <v>10</v>
      </c>
      <c r="Q167" s="176"/>
      <c r="R167" s="66" t="s">
        <v>454</v>
      </c>
      <c r="S167" s="66">
        <v>34122453.375100002</v>
      </c>
      <c r="T167" s="66">
        <v>0</v>
      </c>
      <c r="U167" s="66">
        <v>105269132.6224</v>
      </c>
      <c r="V167" s="66">
        <v>5687507.4617999997</v>
      </c>
      <c r="W167" s="66">
        <v>4181747.58</v>
      </c>
      <c r="X167" s="66">
        <f t="shared" si="48"/>
        <v>2090873.79</v>
      </c>
      <c r="Y167" s="66">
        <f t="shared" si="41"/>
        <v>2090873.79</v>
      </c>
      <c r="Z167" s="66">
        <v>187383355.4851</v>
      </c>
      <c r="AA167" s="71">
        <f t="shared" si="38"/>
        <v>334553322.73439997</v>
      </c>
    </row>
    <row r="168" spans="1:27" ht="24.95" customHeight="1">
      <c r="A168" s="181"/>
      <c r="B168" s="176"/>
      <c r="C168" s="62">
        <v>14</v>
      </c>
      <c r="D168" s="66" t="s">
        <v>455</v>
      </c>
      <c r="E168" s="66">
        <v>31604024.5383</v>
      </c>
      <c r="F168" s="66">
        <v>0</v>
      </c>
      <c r="G168" s="66">
        <v>97499678.992899999</v>
      </c>
      <c r="H168" s="66">
        <v>4819396.5004000003</v>
      </c>
      <c r="I168" s="66">
        <v>3873111.1058999998</v>
      </c>
      <c r="J168" s="66">
        <v>0</v>
      </c>
      <c r="K168" s="66">
        <f t="shared" si="43"/>
        <v>3873111.1058999998</v>
      </c>
      <c r="L168" s="66">
        <v>166114983.45379999</v>
      </c>
      <c r="M168" s="71">
        <f t="shared" si="37"/>
        <v>303911194.59130001</v>
      </c>
      <c r="N168" s="70"/>
      <c r="O168" s="176"/>
      <c r="P168" s="72">
        <v>11</v>
      </c>
      <c r="Q168" s="176"/>
      <c r="R168" s="66" t="s">
        <v>456</v>
      </c>
      <c r="S168" s="66">
        <v>33330631.815200001</v>
      </c>
      <c r="T168" s="66">
        <v>0</v>
      </c>
      <c r="U168" s="66">
        <v>102826331.45909999</v>
      </c>
      <c r="V168" s="66">
        <v>5216435.7903000005</v>
      </c>
      <c r="W168" s="66">
        <v>4084708.8983</v>
      </c>
      <c r="X168" s="66">
        <f t="shared" si="48"/>
        <v>2042354.44915</v>
      </c>
      <c r="Y168" s="66">
        <f t="shared" si="41"/>
        <v>2042354.44915</v>
      </c>
      <c r="Z168" s="66">
        <v>170635772.5984</v>
      </c>
      <c r="AA168" s="71">
        <f t="shared" si="38"/>
        <v>314051526.11215001</v>
      </c>
    </row>
    <row r="169" spans="1:27" ht="24.95" customHeight="1">
      <c r="A169" s="181"/>
      <c r="B169" s="176"/>
      <c r="C169" s="62">
        <v>15</v>
      </c>
      <c r="D169" s="66" t="s">
        <v>457</v>
      </c>
      <c r="E169" s="66">
        <v>29084537.487</v>
      </c>
      <c r="F169" s="66">
        <v>0</v>
      </c>
      <c r="G169" s="66">
        <v>89726960.729499996</v>
      </c>
      <c r="H169" s="66">
        <v>4490253.5179000003</v>
      </c>
      <c r="I169" s="66">
        <v>3564344.9465000001</v>
      </c>
      <c r="J169" s="66">
        <v>0</v>
      </c>
      <c r="K169" s="66">
        <f t="shared" si="43"/>
        <v>3564344.9465000001</v>
      </c>
      <c r="L169" s="66">
        <v>154413262.22119999</v>
      </c>
      <c r="M169" s="71">
        <f t="shared" si="37"/>
        <v>281279358.90210003</v>
      </c>
      <c r="N169" s="70"/>
      <c r="O169" s="176"/>
      <c r="P169" s="72">
        <v>12</v>
      </c>
      <c r="Q169" s="176"/>
      <c r="R169" s="66" t="s">
        <v>458</v>
      </c>
      <c r="S169" s="66">
        <v>38784217.350400001</v>
      </c>
      <c r="T169" s="66">
        <v>0</v>
      </c>
      <c r="U169" s="66">
        <v>119650860.8286</v>
      </c>
      <c r="V169" s="66">
        <v>6340577.6966000004</v>
      </c>
      <c r="W169" s="66">
        <v>4753052.3454</v>
      </c>
      <c r="X169" s="66">
        <f t="shared" si="48"/>
        <v>2376526.1727</v>
      </c>
      <c r="Y169" s="66">
        <f t="shared" si="41"/>
        <v>2376526.1727</v>
      </c>
      <c r="Z169" s="66">
        <v>210601367.84110001</v>
      </c>
      <c r="AA169" s="71">
        <f t="shared" si="38"/>
        <v>377753549.88940001</v>
      </c>
    </row>
    <row r="170" spans="1:27" ht="24.95" customHeight="1">
      <c r="A170" s="181"/>
      <c r="B170" s="176"/>
      <c r="C170" s="62">
        <v>16</v>
      </c>
      <c r="D170" s="66" t="s">
        <v>459</v>
      </c>
      <c r="E170" s="66">
        <v>42616988.1259</v>
      </c>
      <c r="F170" s="66">
        <v>0</v>
      </c>
      <c r="G170" s="66">
        <v>131475111.8767</v>
      </c>
      <c r="H170" s="66">
        <v>5569076.0246000001</v>
      </c>
      <c r="I170" s="66">
        <v>5222763.0000999998</v>
      </c>
      <c r="J170" s="66">
        <v>0</v>
      </c>
      <c r="K170" s="66">
        <f t="shared" si="43"/>
        <v>5222763.0000999998</v>
      </c>
      <c r="L170" s="66">
        <v>192767658.0485</v>
      </c>
      <c r="M170" s="71">
        <f t="shared" si="37"/>
        <v>377651597.0758</v>
      </c>
      <c r="N170" s="70"/>
      <c r="O170" s="176"/>
      <c r="P170" s="72">
        <v>13</v>
      </c>
      <c r="Q170" s="176"/>
      <c r="R170" s="66" t="s">
        <v>460</v>
      </c>
      <c r="S170" s="66">
        <v>39729429.978399999</v>
      </c>
      <c r="T170" s="66">
        <v>0</v>
      </c>
      <c r="U170" s="66">
        <v>122566879.5688</v>
      </c>
      <c r="V170" s="66">
        <v>6022181.5964000002</v>
      </c>
      <c r="W170" s="66">
        <v>4868889.2865000004</v>
      </c>
      <c r="X170" s="66">
        <f t="shared" si="48"/>
        <v>2434444.6432500002</v>
      </c>
      <c r="Y170" s="66">
        <f t="shared" si="41"/>
        <v>2434444.6432500002</v>
      </c>
      <c r="Z170" s="66">
        <v>199281720.7428</v>
      </c>
      <c r="AA170" s="71">
        <f t="shared" si="38"/>
        <v>370034656.52964997</v>
      </c>
    </row>
    <row r="171" spans="1:27" ht="24.95" customHeight="1">
      <c r="A171" s="181"/>
      <c r="B171" s="176"/>
      <c r="C171" s="62">
        <v>17</v>
      </c>
      <c r="D171" s="66" t="s">
        <v>461</v>
      </c>
      <c r="E171" s="66">
        <v>43921138.464199997</v>
      </c>
      <c r="F171" s="66">
        <v>0</v>
      </c>
      <c r="G171" s="66">
        <v>135498467.8003</v>
      </c>
      <c r="H171" s="66">
        <v>6101914.1062000003</v>
      </c>
      <c r="I171" s="66">
        <v>5382588.1879000003</v>
      </c>
      <c r="J171" s="66">
        <v>0</v>
      </c>
      <c r="K171" s="66">
        <f t="shared" si="43"/>
        <v>5382588.1879000003</v>
      </c>
      <c r="L171" s="66">
        <v>211711165.96489999</v>
      </c>
      <c r="M171" s="71">
        <f t="shared" si="37"/>
        <v>402615274.52350003</v>
      </c>
      <c r="N171" s="70"/>
      <c r="O171" s="176"/>
      <c r="P171" s="72">
        <v>14</v>
      </c>
      <c r="Q171" s="176"/>
      <c r="R171" s="66" t="s">
        <v>462</v>
      </c>
      <c r="S171" s="66">
        <v>43991023.140900001</v>
      </c>
      <c r="T171" s="66">
        <v>0</v>
      </c>
      <c r="U171" s="66">
        <v>135714064.8213</v>
      </c>
      <c r="V171" s="66">
        <v>6222440.8475000001</v>
      </c>
      <c r="W171" s="66">
        <v>5391152.6387999998</v>
      </c>
      <c r="X171" s="66">
        <f t="shared" si="48"/>
        <v>2695576.3193999999</v>
      </c>
      <c r="Y171" s="66">
        <f t="shared" si="41"/>
        <v>2695576.3193999999</v>
      </c>
      <c r="Z171" s="66">
        <v>206401355.84279999</v>
      </c>
      <c r="AA171" s="71">
        <f t="shared" si="38"/>
        <v>395024460.97189999</v>
      </c>
    </row>
    <row r="172" spans="1:27" ht="24.95" customHeight="1">
      <c r="A172" s="181"/>
      <c r="B172" s="176"/>
      <c r="C172" s="62">
        <v>18</v>
      </c>
      <c r="D172" s="66" t="s">
        <v>463</v>
      </c>
      <c r="E172" s="66">
        <v>24455311.399</v>
      </c>
      <c r="F172" s="66">
        <v>0</v>
      </c>
      <c r="G172" s="66">
        <v>75445613.206200004</v>
      </c>
      <c r="H172" s="66">
        <v>4441847.4875999996</v>
      </c>
      <c r="I172" s="66">
        <v>2997027.7382</v>
      </c>
      <c r="J172" s="66">
        <v>0</v>
      </c>
      <c r="K172" s="66">
        <f t="shared" si="43"/>
        <v>2997027.7382</v>
      </c>
      <c r="L172" s="66">
        <v>152692326.62889999</v>
      </c>
      <c r="M172" s="71">
        <f t="shared" si="37"/>
        <v>260032126.45989999</v>
      </c>
      <c r="N172" s="70"/>
      <c r="O172" s="176"/>
      <c r="P172" s="72">
        <v>15</v>
      </c>
      <c r="Q172" s="176"/>
      <c r="R172" s="66" t="s">
        <v>464</v>
      </c>
      <c r="S172" s="66">
        <v>51906672.154700004</v>
      </c>
      <c r="T172" s="66">
        <v>0</v>
      </c>
      <c r="U172" s="66">
        <v>160134158.4373</v>
      </c>
      <c r="V172" s="66">
        <v>6398085.9082000004</v>
      </c>
      <c r="W172" s="66">
        <v>6361224.9177000001</v>
      </c>
      <c r="X172" s="66">
        <f t="shared" si="48"/>
        <v>3180612.4588500001</v>
      </c>
      <c r="Y172" s="66">
        <f t="shared" si="41"/>
        <v>3180612.4588500001</v>
      </c>
      <c r="Z172" s="66">
        <v>212645905.0063</v>
      </c>
      <c r="AA172" s="71">
        <f t="shared" si="38"/>
        <v>434265433.96534997</v>
      </c>
    </row>
    <row r="173" spans="1:27" ht="24.95" customHeight="1">
      <c r="A173" s="181"/>
      <c r="B173" s="176"/>
      <c r="C173" s="62">
        <v>19</v>
      </c>
      <c r="D173" s="66" t="s">
        <v>465</v>
      </c>
      <c r="E173" s="66">
        <v>32946061.2436</v>
      </c>
      <c r="F173" s="66">
        <v>0</v>
      </c>
      <c r="G173" s="66">
        <v>101639915.8733</v>
      </c>
      <c r="H173" s="66">
        <v>4971508.8178000003</v>
      </c>
      <c r="I173" s="66">
        <v>4037579.3135000002</v>
      </c>
      <c r="J173" s="66">
        <v>0</v>
      </c>
      <c r="K173" s="66">
        <f t="shared" si="43"/>
        <v>4037579.3135000002</v>
      </c>
      <c r="L173" s="66">
        <v>171522894.3924</v>
      </c>
      <c r="M173" s="71">
        <f t="shared" si="37"/>
        <v>315117959.64060003</v>
      </c>
      <c r="N173" s="70"/>
      <c r="O173" s="176"/>
      <c r="P173" s="72">
        <v>16</v>
      </c>
      <c r="Q173" s="176"/>
      <c r="R173" s="66" t="s">
        <v>466</v>
      </c>
      <c r="S173" s="66">
        <v>32874167.163600001</v>
      </c>
      <c r="T173" s="66">
        <v>0</v>
      </c>
      <c r="U173" s="66">
        <v>101418119.76270001</v>
      </c>
      <c r="V173" s="66">
        <v>6244959.7339000003</v>
      </c>
      <c r="W173" s="66">
        <v>4028768.6077999999</v>
      </c>
      <c r="X173" s="66">
        <f t="shared" si="48"/>
        <v>2014384.3038999999</v>
      </c>
      <c r="Y173" s="66">
        <f t="shared" si="41"/>
        <v>2014384.3038999999</v>
      </c>
      <c r="Z173" s="66">
        <v>207201949.33809999</v>
      </c>
      <c r="AA173" s="71">
        <f t="shared" si="38"/>
        <v>349753580.30220002</v>
      </c>
    </row>
    <row r="174" spans="1:27" ht="24.95" customHeight="1">
      <c r="A174" s="181"/>
      <c r="B174" s="176"/>
      <c r="C174" s="62">
        <v>20</v>
      </c>
      <c r="D174" s="66" t="s">
        <v>467</v>
      </c>
      <c r="E174" s="66">
        <v>38988093.249300003</v>
      </c>
      <c r="F174" s="66">
        <v>0</v>
      </c>
      <c r="G174" s="66">
        <v>120279826.12620001</v>
      </c>
      <c r="H174" s="66">
        <v>5385083.5427999999</v>
      </c>
      <c r="I174" s="66">
        <v>4778037.5812999997</v>
      </c>
      <c r="J174" s="66">
        <v>0</v>
      </c>
      <c r="K174" s="66">
        <f t="shared" si="43"/>
        <v>4778037.5812999997</v>
      </c>
      <c r="L174" s="66">
        <v>186226340.61090001</v>
      </c>
      <c r="M174" s="71">
        <f t="shared" si="37"/>
        <v>355657381.11049998</v>
      </c>
      <c r="N174" s="70"/>
      <c r="O174" s="176"/>
      <c r="P174" s="72">
        <v>17</v>
      </c>
      <c r="Q174" s="176"/>
      <c r="R174" s="66" t="s">
        <v>468</v>
      </c>
      <c r="S174" s="66">
        <v>44620136.248300001</v>
      </c>
      <c r="T174" s="66">
        <v>0</v>
      </c>
      <c r="U174" s="66">
        <v>137654903.90529999</v>
      </c>
      <c r="V174" s="66">
        <v>6735080.6484000003</v>
      </c>
      <c r="W174" s="66">
        <v>5468251.2046999997</v>
      </c>
      <c r="X174" s="66">
        <f t="shared" si="48"/>
        <v>2734125.6023499998</v>
      </c>
      <c r="Y174" s="66">
        <f t="shared" si="41"/>
        <v>2734125.6023499998</v>
      </c>
      <c r="Z174" s="66">
        <v>224626772.64520001</v>
      </c>
      <c r="AA174" s="71">
        <f t="shared" si="38"/>
        <v>416371019.04955</v>
      </c>
    </row>
    <row r="175" spans="1:27" ht="24.95" customHeight="1">
      <c r="A175" s="181"/>
      <c r="B175" s="176"/>
      <c r="C175" s="62">
        <v>21</v>
      </c>
      <c r="D175" s="66" t="s">
        <v>469</v>
      </c>
      <c r="E175" s="66">
        <v>56775980.231899999</v>
      </c>
      <c r="F175" s="66">
        <v>0</v>
      </c>
      <c r="G175" s="66">
        <v>175156168.49430001</v>
      </c>
      <c r="H175" s="66">
        <v>9680017.5776000004</v>
      </c>
      <c r="I175" s="66">
        <v>6957964.4617999997</v>
      </c>
      <c r="J175" s="66">
        <v>0</v>
      </c>
      <c r="K175" s="66">
        <f t="shared" si="43"/>
        <v>6957964.4617999997</v>
      </c>
      <c r="L175" s="66">
        <v>338920225.84829998</v>
      </c>
      <c r="M175" s="71">
        <f t="shared" si="37"/>
        <v>587490356.61389995</v>
      </c>
      <c r="N175" s="70"/>
      <c r="O175" s="176"/>
      <c r="P175" s="72">
        <v>18</v>
      </c>
      <c r="Q175" s="176"/>
      <c r="R175" s="66" t="s">
        <v>470</v>
      </c>
      <c r="S175" s="66">
        <v>30139943.338300001</v>
      </c>
      <c r="T175" s="66">
        <v>0</v>
      </c>
      <c r="U175" s="66">
        <v>92982929.967800006</v>
      </c>
      <c r="V175" s="66">
        <v>5143483.1599000003</v>
      </c>
      <c r="W175" s="66">
        <v>3693686.1990999999</v>
      </c>
      <c r="X175" s="66">
        <f t="shared" si="48"/>
        <v>1846843.0995499999</v>
      </c>
      <c r="Y175" s="66">
        <f t="shared" si="41"/>
        <v>1846843.0995499999</v>
      </c>
      <c r="Z175" s="66">
        <v>168042154.05160001</v>
      </c>
      <c r="AA175" s="71">
        <f t="shared" si="38"/>
        <v>298155353.61715001</v>
      </c>
    </row>
    <row r="176" spans="1:27" ht="24.95" customHeight="1">
      <c r="A176" s="181"/>
      <c r="B176" s="176"/>
      <c r="C176" s="62">
        <v>22</v>
      </c>
      <c r="D176" s="66" t="s">
        <v>471</v>
      </c>
      <c r="E176" s="66">
        <v>35454277.3125</v>
      </c>
      <c r="F176" s="66">
        <v>0</v>
      </c>
      <c r="G176" s="66">
        <v>109377862.70559999</v>
      </c>
      <c r="H176" s="66">
        <v>5262733.5554</v>
      </c>
      <c r="I176" s="66">
        <v>4344964.2006000001</v>
      </c>
      <c r="J176" s="66">
        <v>0</v>
      </c>
      <c r="K176" s="66">
        <f t="shared" si="43"/>
        <v>4344964.2006000001</v>
      </c>
      <c r="L176" s="66">
        <v>181876542.73609999</v>
      </c>
      <c r="M176" s="71">
        <f t="shared" si="37"/>
        <v>336316380.51020002</v>
      </c>
      <c r="N176" s="70"/>
      <c r="O176" s="176"/>
      <c r="P176" s="72">
        <v>19</v>
      </c>
      <c r="Q176" s="176"/>
      <c r="R176" s="66" t="s">
        <v>472</v>
      </c>
      <c r="S176" s="66">
        <v>34687603.381999999</v>
      </c>
      <c r="T176" s="66">
        <v>0</v>
      </c>
      <c r="U176" s="66">
        <v>107012642.9843</v>
      </c>
      <c r="V176" s="66">
        <v>5756697.5569000002</v>
      </c>
      <c r="W176" s="66">
        <v>4251007.3909999998</v>
      </c>
      <c r="X176" s="66">
        <f t="shared" si="48"/>
        <v>2125503.6954999999</v>
      </c>
      <c r="Y176" s="66">
        <f t="shared" si="41"/>
        <v>2125503.6954999999</v>
      </c>
      <c r="Z176" s="66">
        <v>189843208.03529999</v>
      </c>
      <c r="AA176" s="71">
        <f t="shared" si="38"/>
        <v>339425655.65399998</v>
      </c>
    </row>
    <row r="177" spans="1:28" ht="24.95" customHeight="1">
      <c r="A177" s="181"/>
      <c r="B177" s="176"/>
      <c r="C177" s="62">
        <v>23</v>
      </c>
      <c r="D177" s="66" t="s">
        <v>473</v>
      </c>
      <c r="E177" s="66">
        <v>33015706.517499998</v>
      </c>
      <c r="F177" s="66">
        <v>0</v>
      </c>
      <c r="G177" s="66">
        <v>101854774.3272</v>
      </c>
      <c r="H177" s="66">
        <v>5119486.8525</v>
      </c>
      <c r="I177" s="66">
        <v>4046114.4252999998</v>
      </c>
      <c r="J177" s="66">
        <v>0</v>
      </c>
      <c r="K177" s="66">
        <f t="shared" si="43"/>
        <v>4046114.4252999998</v>
      </c>
      <c r="L177" s="66">
        <v>176783822.93340001</v>
      </c>
      <c r="M177" s="71">
        <f t="shared" si="37"/>
        <v>320819905.05589998</v>
      </c>
      <c r="N177" s="70"/>
      <c r="O177" s="176"/>
      <c r="P177" s="72">
        <v>20</v>
      </c>
      <c r="Q177" s="176"/>
      <c r="R177" s="66" t="s">
        <v>474</v>
      </c>
      <c r="S177" s="66">
        <v>40008265.717299998</v>
      </c>
      <c r="T177" s="66">
        <v>0</v>
      </c>
      <c r="U177" s="66">
        <v>123427098.96879999</v>
      </c>
      <c r="V177" s="66">
        <v>6025290.7572999997</v>
      </c>
      <c r="W177" s="66">
        <v>4903060.9406000003</v>
      </c>
      <c r="X177" s="66">
        <f t="shared" si="48"/>
        <v>2451530.4703000002</v>
      </c>
      <c r="Y177" s="66">
        <f t="shared" si="41"/>
        <v>2451530.4703000002</v>
      </c>
      <c r="Z177" s="66">
        <v>199392257.9138</v>
      </c>
      <c r="AA177" s="71">
        <f t="shared" si="38"/>
        <v>371304443.82749999</v>
      </c>
    </row>
    <row r="178" spans="1:28" ht="24.95" customHeight="1">
      <c r="A178" s="181"/>
      <c r="B178" s="176"/>
      <c r="C178" s="62">
        <v>24</v>
      </c>
      <c r="D178" s="66" t="s">
        <v>475</v>
      </c>
      <c r="E178" s="66">
        <v>32226459.8983</v>
      </c>
      <c r="F178" s="66">
        <v>0</v>
      </c>
      <c r="G178" s="66">
        <v>99419916.958700001</v>
      </c>
      <c r="H178" s="66">
        <v>5042850.5423999997</v>
      </c>
      <c r="I178" s="66">
        <v>3949391.3056999999</v>
      </c>
      <c r="J178" s="66">
        <v>0</v>
      </c>
      <c r="K178" s="66">
        <f t="shared" si="43"/>
        <v>3949391.3056999999</v>
      </c>
      <c r="L178" s="66">
        <v>174059241.86880001</v>
      </c>
      <c r="M178" s="71">
        <f t="shared" si="37"/>
        <v>314697860.57389998</v>
      </c>
      <c r="N178" s="70"/>
      <c r="O178" s="176"/>
      <c r="P178" s="72">
        <v>21</v>
      </c>
      <c r="Q178" s="176"/>
      <c r="R178" s="66" t="s">
        <v>476</v>
      </c>
      <c r="S178" s="66">
        <v>37636995.901000001</v>
      </c>
      <c r="T178" s="66">
        <v>0</v>
      </c>
      <c r="U178" s="66">
        <v>116111636.79979999</v>
      </c>
      <c r="V178" s="66">
        <v>5959097.1723999996</v>
      </c>
      <c r="W178" s="66">
        <v>4612458.9809999997</v>
      </c>
      <c r="X178" s="66">
        <f t="shared" si="48"/>
        <v>2306229.4904999998</v>
      </c>
      <c r="Y178" s="66">
        <f t="shared" si="41"/>
        <v>2306229.4904999998</v>
      </c>
      <c r="Z178" s="66">
        <v>197038937.56459999</v>
      </c>
      <c r="AA178" s="71">
        <f t="shared" si="38"/>
        <v>359052896.92830002</v>
      </c>
    </row>
    <row r="179" spans="1:28" ht="24.95" customHeight="1">
      <c r="A179" s="181"/>
      <c r="B179" s="176"/>
      <c r="C179" s="62">
        <v>25</v>
      </c>
      <c r="D179" s="66" t="s">
        <v>477</v>
      </c>
      <c r="E179" s="66">
        <v>36856396.650899999</v>
      </c>
      <c r="F179" s="66">
        <v>0</v>
      </c>
      <c r="G179" s="66">
        <v>113703456.9108</v>
      </c>
      <c r="H179" s="66">
        <v>6475993.4757000003</v>
      </c>
      <c r="I179" s="66">
        <v>4516795.6068000002</v>
      </c>
      <c r="J179" s="66">
        <v>0</v>
      </c>
      <c r="K179" s="66">
        <f t="shared" si="43"/>
        <v>4516795.6068000002</v>
      </c>
      <c r="L179" s="66">
        <v>225010469.71509999</v>
      </c>
      <c r="M179" s="71">
        <f t="shared" si="37"/>
        <v>386563112.35930002</v>
      </c>
      <c r="N179" s="70"/>
      <c r="O179" s="176"/>
      <c r="P179" s="72">
        <v>22</v>
      </c>
      <c r="Q179" s="176"/>
      <c r="R179" s="66" t="s">
        <v>478</v>
      </c>
      <c r="S179" s="66">
        <v>44492695.828299999</v>
      </c>
      <c r="T179" s="66">
        <v>0</v>
      </c>
      <c r="U179" s="66">
        <v>137261745.1155</v>
      </c>
      <c r="V179" s="66">
        <v>6627690.6814999999</v>
      </c>
      <c r="W179" s="66">
        <v>5452633.2284000004</v>
      </c>
      <c r="X179" s="66">
        <f t="shared" si="48"/>
        <v>2726316.6142000002</v>
      </c>
      <c r="Y179" s="66">
        <f t="shared" si="41"/>
        <v>2726316.6142000002</v>
      </c>
      <c r="Z179" s="66">
        <v>220808834.78119999</v>
      </c>
      <c r="AA179" s="71">
        <f t="shared" si="38"/>
        <v>411917283.02069998</v>
      </c>
    </row>
    <row r="180" spans="1:28" ht="24.95" customHeight="1">
      <c r="A180" s="181"/>
      <c r="B180" s="176"/>
      <c r="C180" s="62">
        <v>26</v>
      </c>
      <c r="D180" s="66" t="s">
        <v>479</v>
      </c>
      <c r="E180" s="66">
        <v>32037387.179099999</v>
      </c>
      <c r="F180" s="66">
        <v>0</v>
      </c>
      <c r="G180" s="66">
        <v>98836620.062399998</v>
      </c>
      <c r="H180" s="66">
        <v>4929614.0011999998</v>
      </c>
      <c r="I180" s="66">
        <v>3926220.2173000001</v>
      </c>
      <c r="J180" s="66">
        <v>0</v>
      </c>
      <c r="K180" s="66">
        <f t="shared" si="43"/>
        <v>3926220.2173000001</v>
      </c>
      <c r="L180" s="66">
        <v>170033446.06380001</v>
      </c>
      <c r="M180" s="71">
        <f t="shared" si="37"/>
        <v>309763287.52380002</v>
      </c>
      <c r="N180" s="70"/>
      <c r="O180" s="176"/>
      <c r="P180" s="72">
        <v>23</v>
      </c>
      <c r="Q180" s="176"/>
      <c r="R180" s="66" t="s">
        <v>480</v>
      </c>
      <c r="S180" s="66">
        <v>32538625.699499998</v>
      </c>
      <c r="T180" s="66">
        <v>0</v>
      </c>
      <c r="U180" s="66">
        <v>100382960.9337</v>
      </c>
      <c r="V180" s="66">
        <v>6415614.3660000004</v>
      </c>
      <c r="W180" s="66">
        <v>3987647.5989999999</v>
      </c>
      <c r="X180" s="66">
        <f t="shared" si="48"/>
        <v>1993823.7995</v>
      </c>
      <c r="Y180" s="66">
        <f t="shared" si="41"/>
        <v>1993823.7995</v>
      </c>
      <c r="Z180" s="66">
        <v>213269078.33230001</v>
      </c>
      <c r="AA180" s="71">
        <f t="shared" si="38"/>
        <v>354600103.13099998</v>
      </c>
    </row>
    <row r="181" spans="1:28" ht="24.95" customHeight="1">
      <c r="A181" s="181"/>
      <c r="B181" s="177"/>
      <c r="C181" s="62">
        <v>27</v>
      </c>
      <c r="D181" s="66" t="s">
        <v>481</v>
      </c>
      <c r="E181" s="66">
        <v>31071966.4476</v>
      </c>
      <c r="F181" s="66">
        <v>0</v>
      </c>
      <c r="G181" s="66">
        <v>95858258.515300006</v>
      </c>
      <c r="H181" s="66">
        <v>4957979.4619000005</v>
      </c>
      <c r="I181" s="66">
        <v>3807906.7489</v>
      </c>
      <c r="J181" s="66">
        <v>0</v>
      </c>
      <c r="K181" s="66">
        <f t="shared" si="43"/>
        <v>3807906.7489</v>
      </c>
      <c r="L181" s="66">
        <v>171041897.5</v>
      </c>
      <c r="M181" s="71">
        <f t="shared" si="37"/>
        <v>306738008.67369998</v>
      </c>
      <c r="N181" s="70"/>
      <c r="O181" s="176"/>
      <c r="P181" s="72">
        <v>24</v>
      </c>
      <c r="Q181" s="176"/>
      <c r="R181" s="66" t="s">
        <v>482</v>
      </c>
      <c r="S181" s="66">
        <v>26481276.548700001</v>
      </c>
      <c r="T181" s="66">
        <v>0</v>
      </c>
      <c r="U181" s="66">
        <v>81695796.676200002</v>
      </c>
      <c r="V181" s="66">
        <v>4916976.2823999999</v>
      </c>
      <c r="W181" s="66">
        <v>3245312.1968</v>
      </c>
      <c r="X181" s="66">
        <f t="shared" si="48"/>
        <v>1622656.0984</v>
      </c>
      <c r="Y181" s="66">
        <f t="shared" si="41"/>
        <v>1622656.0984</v>
      </c>
      <c r="Z181" s="66">
        <v>159989360.9506</v>
      </c>
      <c r="AA181" s="71">
        <f t="shared" si="38"/>
        <v>274706066.55629998</v>
      </c>
    </row>
    <row r="182" spans="1:28" ht="24.95" customHeight="1">
      <c r="A182" s="62"/>
      <c r="B182" s="188" t="s">
        <v>483</v>
      </c>
      <c r="C182" s="189"/>
      <c r="D182" s="67"/>
      <c r="E182" s="67">
        <f>SUM(E155:E181)</f>
        <v>959937786.18490005</v>
      </c>
      <c r="F182" s="67">
        <f t="shared" ref="F182:M182" si="49">SUM(F155:F181)</f>
        <v>0</v>
      </c>
      <c r="G182" s="67">
        <f t="shared" si="49"/>
        <v>2961446441.5071998</v>
      </c>
      <c r="H182" s="67">
        <f t="shared" si="49"/>
        <v>149508512.63119999</v>
      </c>
      <c r="I182" s="67">
        <f t="shared" si="49"/>
        <v>117641526.8311</v>
      </c>
      <c r="J182" s="67">
        <f t="shared" si="49"/>
        <v>0</v>
      </c>
      <c r="K182" s="67">
        <f t="shared" si="49"/>
        <v>117641526.8311</v>
      </c>
      <c r="L182" s="67">
        <f t="shared" si="49"/>
        <v>5174274978.21</v>
      </c>
      <c r="M182" s="67">
        <f t="shared" si="49"/>
        <v>9362809245.3644009</v>
      </c>
      <c r="N182" s="70"/>
      <c r="O182" s="177"/>
      <c r="P182" s="72">
        <v>25</v>
      </c>
      <c r="Q182" s="177"/>
      <c r="R182" s="66" t="s">
        <v>484</v>
      </c>
      <c r="S182" s="66">
        <v>29518432.591499999</v>
      </c>
      <c r="T182" s="66">
        <v>0</v>
      </c>
      <c r="U182" s="66">
        <v>91065544.470699996</v>
      </c>
      <c r="V182" s="66">
        <v>4897138.4841</v>
      </c>
      <c r="W182" s="66">
        <v>3617519.3117999998</v>
      </c>
      <c r="X182" s="66">
        <f t="shared" si="48"/>
        <v>1808759.6558999999</v>
      </c>
      <c r="Y182" s="66">
        <f t="shared" si="41"/>
        <v>1808759.6558999999</v>
      </c>
      <c r="Z182" s="66">
        <v>159284085.74039999</v>
      </c>
      <c r="AA182" s="71">
        <f t="shared" si="38"/>
        <v>286573960.94260001</v>
      </c>
    </row>
    <row r="183" spans="1:28" ht="24.95" customHeight="1">
      <c r="A183" s="181">
        <v>9</v>
      </c>
      <c r="B183" s="175" t="s">
        <v>485</v>
      </c>
      <c r="C183" s="62">
        <v>1</v>
      </c>
      <c r="D183" s="66" t="s">
        <v>486</v>
      </c>
      <c r="E183" s="66">
        <v>32940411.268599998</v>
      </c>
      <c r="F183" s="66">
        <v>0</v>
      </c>
      <c r="G183" s="66">
        <v>101622485.47490001</v>
      </c>
      <c r="H183" s="66">
        <v>5674565.1983000003</v>
      </c>
      <c r="I183" s="66">
        <v>4036886.9023000002</v>
      </c>
      <c r="J183" s="66">
        <f t="shared" ref="J183:J200" si="50">I183/2</f>
        <v>2018443.4511500001</v>
      </c>
      <c r="K183" s="66">
        <f t="shared" ref="K183:K200" si="51">I183-J183</f>
        <v>2018443.4511500001</v>
      </c>
      <c r="L183" s="66">
        <v>183753079.1758</v>
      </c>
      <c r="M183" s="71">
        <f t="shared" si="37"/>
        <v>326008984.56875002</v>
      </c>
      <c r="N183" s="70"/>
      <c r="O183" s="62"/>
      <c r="P183" s="188" t="s">
        <v>487</v>
      </c>
      <c r="Q183" s="190"/>
      <c r="R183" s="67"/>
      <c r="S183" s="67">
        <f>SUM(S158:S182)</f>
        <v>901778882.97039998</v>
      </c>
      <c r="T183" s="66">
        <v>0</v>
      </c>
      <c r="U183" s="67">
        <f>SUM(U158:U182)</f>
        <v>2782023900.3327999</v>
      </c>
      <c r="V183" s="67">
        <f t="shared" ref="V183" si="52">SUM(V158:V182)</f>
        <v>143896024.01280001</v>
      </c>
      <c r="W183" s="67">
        <f t="shared" ref="W183:AA183" si="53">SUM(W158:W182)</f>
        <v>110514083.4991</v>
      </c>
      <c r="X183" s="67">
        <f t="shared" si="53"/>
        <v>55257041.74955</v>
      </c>
      <c r="Y183" s="67">
        <f t="shared" si="41"/>
        <v>55257041.74955</v>
      </c>
      <c r="Z183" s="67">
        <f t="shared" si="53"/>
        <v>4745318856.0925999</v>
      </c>
      <c r="AA183" s="67">
        <f t="shared" si="53"/>
        <v>8628274705.1581497</v>
      </c>
      <c r="AB183" s="80"/>
    </row>
    <row r="184" spans="1:28" ht="24.95" customHeight="1">
      <c r="A184" s="181"/>
      <c r="B184" s="176"/>
      <c r="C184" s="62">
        <v>2</v>
      </c>
      <c r="D184" s="66" t="s">
        <v>488</v>
      </c>
      <c r="E184" s="66">
        <v>41405697.350000001</v>
      </c>
      <c r="F184" s="66">
        <v>0</v>
      </c>
      <c r="G184" s="66">
        <v>127738231.4147</v>
      </c>
      <c r="H184" s="66">
        <v>5745794.2719999999</v>
      </c>
      <c r="I184" s="66">
        <v>5074317.8629000001</v>
      </c>
      <c r="J184" s="66">
        <f t="shared" si="50"/>
        <v>2537158.93145</v>
      </c>
      <c r="K184" s="66">
        <f t="shared" si="51"/>
        <v>2537158.93145</v>
      </c>
      <c r="L184" s="66">
        <v>186285421.6823</v>
      </c>
      <c r="M184" s="71">
        <f t="shared" si="37"/>
        <v>363712303.65044999</v>
      </c>
      <c r="N184" s="70"/>
      <c r="O184" s="175">
        <v>27</v>
      </c>
      <c r="P184" s="72">
        <v>1</v>
      </c>
      <c r="Q184" s="175" t="s">
        <v>114</v>
      </c>
      <c r="R184" s="66" t="s">
        <v>489</v>
      </c>
      <c r="S184" s="66">
        <v>33140779.657600001</v>
      </c>
      <c r="T184" s="66">
        <v>0</v>
      </c>
      <c r="U184" s="66">
        <v>102240629.9638</v>
      </c>
      <c r="V184" s="66">
        <v>7709869.9386999998</v>
      </c>
      <c r="W184" s="66">
        <v>4061442.2886000001</v>
      </c>
      <c r="X184" s="66">
        <v>0</v>
      </c>
      <c r="Y184" s="66">
        <f t="shared" si="41"/>
        <v>4061442.2886000001</v>
      </c>
      <c r="Z184" s="66">
        <v>208644450.34819999</v>
      </c>
      <c r="AA184" s="71">
        <f t="shared" si="38"/>
        <v>355797172.19690001</v>
      </c>
    </row>
    <row r="185" spans="1:28" ht="24.95" customHeight="1">
      <c r="A185" s="181"/>
      <c r="B185" s="176"/>
      <c r="C185" s="62">
        <v>3</v>
      </c>
      <c r="D185" s="66" t="s">
        <v>490</v>
      </c>
      <c r="E185" s="66">
        <v>39637445.081</v>
      </c>
      <c r="F185" s="66">
        <v>0</v>
      </c>
      <c r="G185" s="66">
        <v>122283102.4832</v>
      </c>
      <c r="H185" s="66">
        <v>7100644.9291000003</v>
      </c>
      <c r="I185" s="66">
        <v>4857616.4269000003</v>
      </c>
      <c r="J185" s="66">
        <f t="shared" si="50"/>
        <v>2428808.2134500002</v>
      </c>
      <c r="K185" s="66">
        <f t="shared" si="51"/>
        <v>2428808.2134500002</v>
      </c>
      <c r="L185" s="66">
        <v>234453195.40549999</v>
      </c>
      <c r="M185" s="71">
        <f t="shared" si="37"/>
        <v>405903196.11224997</v>
      </c>
      <c r="N185" s="70"/>
      <c r="O185" s="176"/>
      <c r="P185" s="72">
        <v>2</v>
      </c>
      <c r="Q185" s="176"/>
      <c r="R185" s="66" t="s">
        <v>491</v>
      </c>
      <c r="S185" s="66">
        <v>34212784.094599999</v>
      </c>
      <c r="T185" s="66">
        <v>0</v>
      </c>
      <c r="U185" s="66">
        <v>105547806.5028</v>
      </c>
      <c r="V185" s="66">
        <v>8261284.1301999995</v>
      </c>
      <c r="W185" s="66">
        <v>4192817.7179</v>
      </c>
      <c r="X185" s="66">
        <v>0</v>
      </c>
      <c r="Y185" s="66">
        <f t="shared" si="41"/>
        <v>4192817.7179</v>
      </c>
      <c r="Z185" s="66">
        <v>228248377.81130001</v>
      </c>
      <c r="AA185" s="71">
        <f t="shared" si="38"/>
        <v>380463070.2568</v>
      </c>
    </row>
    <row r="186" spans="1:28" ht="24.95" customHeight="1">
      <c r="A186" s="181"/>
      <c r="B186" s="176"/>
      <c r="C186" s="62">
        <v>4</v>
      </c>
      <c r="D186" s="66" t="s">
        <v>492</v>
      </c>
      <c r="E186" s="66">
        <v>25574773.648499999</v>
      </c>
      <c r="F186" s="66">
        <v>0</v>
      </c>
      <c r="G186" s="66">
        <v>78899198.993699998</v>
      </c>
      <c r="H186" s="66">
        <v>4408179.1808000002</v>
      </c>
      <c r="I186" s="66">
        <v>3134219.1793</v>
      </c>
      <c r="J186" s="66">
        <f t="shared" si="50"/>
        <v>1567109.58965</v>
      </c>
      <c r="K186" s="66">
        <f t="shared" si="51"/>
        <v>1567109.58965</v>
      </c>
      <c r="L186" s="66">
        <v>138730408.36309999</v>
      </c>
      <c r="M186" s="71">
        <f t="shared" si="37"/>
        <v>249179669.77575001</v>
      </c>
      <c r="N186" s="70"/>
      <c r="O186" s="176"/>
      <c r="P186" s="72">
        <v>3</v>
      </c>
      <c r="Q186" s="176"/>
      <c r="R186" s="66" t="s">
        <v>493</v>
      </c>
      <c r="S186" s="66">
        <v>52586181.751100004</v>
      </c>
      <c r="T186" s="66">
        <v>0</v>
      </c>
      <c r="U186" s="66">
        <v>162230472.70410001</v>
      </c>
      <c r="V186" s="66">
        <v>11373678.1062</v>
      </c>
      <c r="W186" s="66">
        <v>6444499.6336000003</v>
      </c>
      <c r="X186" s="66">
        <v>0</v>
      </c>
      <c r="Y186" s="66">
        <f t="shared" si="41"/>
        <v>6444499.6336000003</v>
      </c>
      <c r="Z186" s="66">
        <v>338900491.37800002</v>
      </c>
      <c r="AA186" s="71">
        <f t="shared" si="38"/>
        <v>571535323.57299995</v>
      </c>
    </row>
    <row r="187" spans="1:28" ht="24.95" customHeight="1">
      <c r="A187" s="181"/>
      <c r="B187" s="176"/>
      <c r="C187" s="62">
        <v>5</v>
      </c>
      <c r="D187" s="66" t="s">
        <v>494</v>
      </c>
      <c r="E187" s="66">
        <v>30550898.094700001</v>
      </c>
      <c r="F187" s="66">
        <v>0</v>
      </c>
      <c r="G187" s="66">
        <v>94250741.818399996</v>
      </c>
      <c r="H187" s="66">
        <v>5235452.5466</v>
      </c>
      <c r="I187" s="66">
        <v>3744049.1973000001</v>
      </c>
      <c r="J187" s="66">
        <f t="shared" si="50"/>
        <v>1872024.5986500001</v>
      </c>
      <c r="K187" s="66">
        <f t="shared" si="51"/>
        <v>1872024.5986500001</v>
      </c>
      <c r="L187" s="66">
        <v>168141706.26710001</v>
      </c>
      <c r="M187" s="71">
        <f t="shared" si="37"/>
        <v>300050823.32545</v>
      </c>
      <c r="N187" s="70"/>
      <c r="O187" s="176"/>
      <c r="P187" s="72">
        <v>4</v>
      </c>
      <c r="Q187" s="176"/>
      <c r="R187" s="66" t="s">
        <v>495</v>
      </c>
      <c r="S187" s="66">
        <v>34575855.951300003</v>
      </c>
      <c r="T187" s="66">
        <v>0</v>
      </c>
      <c r="U187" s="66">
        <v>106667897.6935</v>
      </c>
      <c r="V187" s="66">
        <v>7490167.1668999996</v>
      </c>
      <c r="W187" s="66">
        <v>4237312.6092999997</v>
      </c>
      <c r="X187" s="66">
        <v>0</v>
      </c>
      <c r="Y187" s="66">
        <f t="shared" si="41"/>
        <v>4237312.6092999997</v>
      </c>
      <c r="Z187" s="66">
        <v>200833557.43290001</v>
      </c>
      <c r="AA187" s="71">
        <f t="shared" si="38"/>
        <v>353804790.85390002</v>
      </c>
    </row>
    <row r="188" spans="1:28" ht="24.95" customHeight="1">
      <c r="A188" s="181"/>
      <c r="B188" s="176"/>
      <c r="C188" s="62">
        <v>6</v>
      </c>
      <c r="D188" s="66" t="s">
        <v>496</v>
      </c>
      <c r="E188" s="66">
        <v>35146542.179899998</v>
      </c>
      <c r="F188" s="66">
        <v>0</v>
      </c>
      <c r="G188" s="66">
        <v>108428487.52079999</v>
      </c>
      <c r="H188" s="66">
        <v>5949219.0093999999</v>
      </c>
      <c r="I188" s="66">
        <v>4307250.8909999998</v>
      </c>
      <c r="J188" s="66">
        <f t="shared" si="50"/>
        <v>2153625.4454999999</v>
      </c>
      <c r="K188" s="66">
        <f t="shared" si="51"/>
        <v>2153625.4454999999</v>
      </c>
      <c r="L188" s="66">
        <v>193517596.4382</v>
      </c>
      <c r="M188" s="71">
        <f t="shared" si="37"/>
        <v>345195470.59380001</v>
      </c>
      <c r="N188" s="70"/>
      <c r="O188" s="176"/>
      <c r="P188" s="72">
        <v>5</v>
      </c>
      <c r="Q188" s="176"/>
      <c r="R188" s="66" t="s">
        <v>497</v>
      </c>
      <c r="S188" s="66">
        <v>30986144.399099998</v>
      </c>
      <c r="T188" s="66">
        <v>0</v>
      </c>
      <c r="U188" s="66">
        <v>95593494.065400004</v>
      </c>
      <c r="V188" s="66">
        <v>7343991.5444</v>
      </c>
      <c r="W188" s="66">
        <v>3797389.1540000001</v>
      </c>
      <c r="X188" s="66">
        <v>0</v>
      </c>
      <c r="Y188" s="66">
        <f t="shared" si="41"/>
        <v>3797389.1540000001</v>
      </c>
      <c r="Z188" s="66">
        <v>195636708.4113</v>
      </c>
      <c r="AA188" s="71">
        <f t="shared" si="38"/>
        <v>333357727.57419997</v>
      </c>
    </row>
    <row r="189" spans="1:28" ht="24.95" customHeight="1">
      <c r="A189" s="181"/>
      <c r="B189" s="176"/>
      <c r="C189" s="62">
        <v>7</v>
      </c>
      <c r="D189" s="66" t="s">
        <v>498</v>
      </c>
      <c r="E189" s="66">
        <v>40293657.3169</v>
      </c>
      <c r="F189" s="66">
        <v>0</v>
      </c>
      <c r="G189" s="66">
        <v>124307543.4614</v>
      </c>
      <c r="H189" s="66">
        <v>6140252.1634999998</v>
      </c>
      <c r="I189" s="66">
        <v>4938036.0232999995</v>
      </c>
      <c r="J189" s="66">
        <f t="shared" si="50"/>
        <v>2469018.0116499998</v>
      </c>
      <c r="K189" s="66">
        <f t="shared" si="51"/>
        <v>2469018.0116499998</v>
      </c>
      <c r="L189" s="66">
        <v>200309224.4984</v>
      </c>
      <c r="M189" s="71">
        <f t="shared" si="37"/>
        <v>373519695.45185</v>
      </c>
      <c r="N189" s="70"/>
      <c r="O189" s="176"/>
      <c r="P189" s="72">
        <v>6</v>
      </c>
      <c r="Q189" s="176"/>
      <c r="R189" s="66" t="s">
        <v>499</v>
      </c>
      <c r="S189" s="66">
        <v>23570378.9109</v>
      </c>
      <c r="T189" s="66">
        <v>0</v>
      </c>
      <c r="U189" s="66">
        <v>72715561.1074</v>
      </c>
      <c r="V189" s="66">
        <v>6063220.0252999999</v>
      </c>
      <c r="W189" s="66">
        <v>2888578.2004999998</v>
      </c>
      <c r="X189" s="66">
        <v>0</v>
      </c>
      <c r="Y189" s="66">
        <f t="shared" si="41"/>
        <v>2888578.2004999998</v>
      </c>
      <c r="Z189" s="66">
        <v>150102602.93450001</v>
      </c>
      <c r="AA189" s="71">
        <f t="shared" si="38"/>
        <v>255340341.17860001</v>
      </c>
    </row>
    <row r="190" spans="1:28" ht="24.95" customHeight="1">
      <c r="A190" s="181"/>
      <c r="B190" s="176"/>
      <c r="C190" s="62">
        <v>8</v>
      </c>
      <c r="D190" s="66" t="s">
        <v>500</v>
      </c>
      <c r="E190" s="66">
        <v>31918779.4025</v>
      </c>
      <c r="F190" s="66">
        <v>0</v>
      </c>
      <c r="G190" s="66">
        <v>98470710.330599993</v>
      </c>
      <c r="H190" s="66">
        <v>6064224.1675000004</v>
      </c>
      <c r="I190" s="66">
        <v>3911684.6919999998</v>
      </c>
      <c r="J190" s="66">
        <f t="shared" si="50"/>
        <v>1955842.3459999999</v>
      </c>
      <c r="K190" s="66">
        <f t="shared" si="51"/>
        <v>1955842.3459999999</v>
      </c>
      <c r="L190" s="66">
        <v>197606270.27160001</v>
      </c>
      <c r="M190" s="71">
        <f t="shared" si="37"/>
        <v>336015826.51819998</v>
      </c>
      <c r="N190" s="70"/>
      <c r="O190" s="176"/>
      <c r="P190" s="72">
        <v>7</v>
      </c>
      <c r="Q190" s="176"/>
      <c r="R190" s="66" t="s">
        <v>501</v>
      </c>
      <c r="S190" s="66">
        <v>22961714.2359</v>
      </c>
      <c r="T190" s="66">
        <v>0</v>
      </c>
      <c r="U190" s="66">
        <v>70837806.255199999</v>
      </c>
      <c r="V190" s="66">
        <v>6116785.4603000004</v>
      </c>
      <c r="W190" s="66">
        <v>2813985.6148000001</v>
      </c>
      <c r="X190" s="66">
        <v>0</v>
      </c>
      <c r="Y190" s="66">
        <f t="shared" si="41"/>
        <v>2813985.6148000001</v>
      </c>
      <c r="Z190" s="66">
        <v>152006966.15110001</v>
      </c>
      <c r="AA190" s="71">
        <f t="shared" si="38"/>
        <v>254737257.7173</v>
      </c>
    </row>
    <row r="191" spans="1:28" ht="24.95" customHeight="1">
      <c r="A191" s="181"/>
      <c r="B191" s="176"/>
      <c r="C191" s="62">
        <v>9</v>
      </c>
      <c r="D191" s="66" t="s">
        <v>502</v>
      </c>
      <c r="E191" s="66">
        <v>34021484.526000001</v>
      </c>
      <c r="F191" s="66">
        <v>0</v>
      </c>
      <c r="G191" s="66">
        <v>104957639.68700001</v>
      </c>
      <c r="H191" s="66">
        <v>6202086.1640999997</v>
      </c>
      <c r="I191" s="66">
        <v>4169373.7264</v>
      </c>
      <c r="J191" s="66">
        <f t="shared" si="50"/>
        <v>2084686.8632</v>
      </c>
      <c r="K191" s="66">
        <f t="shared" si="51"/>
        <v>2084686.8632</v>
      </c>
      <c r="L191" s="66">
        <v>202507552.51010001</v>
      </c>
      <c r="M191" s="71">
        <f t="shared" si="37"/>
        <v>349773449.75040001</v>
      </c>
      <c r="N191" s="70"/>
      <c r="O191" s="176"/>
      <c r="P191" s="72">
        <v>8</v>
      </c>
      <c r="Q191" s="176"/>
      <c r="R191" s="66" t="s">
        <v>503</v>
      </c>
      <c r="S191" s="66">
        <v>51559556.226599999</v>
      </c>
      <c r="T191" s="66">
        <v>0</v>
      </c>
      <c r="U191" s="66">
        <v>159063291.92410001</v>
      </c>
      <c r="V191" s="66">
        <v>11354212.055299999</v>
      </c>
      <c r="W191" s="66">
        <v>6318685.4445000002</v>
      </c>
      <c r="X191" s="66">
        <v>0</v>
      </c>
      <c r="Y191" s="66">
        <f t="shared" si="41"/>
        <v>6318685.4445000002</v>
      </c>
      <c r="Z191" s="66">
        <v>338208432.56870002</v>
      </c>
      <c r="AA191" s="71">
        <f t="shared" si="38"/>
        <v>566504178.21920002</v>
      </c>
    </row>
    <row r="192" spans="1:28" ht="24.95" customHeight="1">
      <c r="A192" s="181"/>
      <c r="B192" s="176"/>
      <c r="C192" s="62">
        <v>10</v>
      </c>
      <c r="D192" s="66" t="s">
        <v>504</v>
      </c>
      <c r="E192" s="66">
        <v>26640148.247499999</v>
      </c>
      <c r="F192" s="66">
        <v>0</v>
      </c>
      <c r="G192" s="66">
        <v>82185922.217099994</v>
      </c>
      <c r="H192" s="66">
        <v>4946773.7161999997</v>
      </c>
      <c r="I192" s="66">
        <v>3264782.1139000002</v>
      </c>
      <c r="J192" s="66">
        <f t="shared" si="50"/>
        <v>1632391.0569500001</v>
      </c>
      <c r="K192" s="66">
        <f t="shared" si="51"/>
        <v>1632391.0569500001</v>
      </c>
      <c r="L192" s="66">
        <v>157878570.24450001</v>
      </c>
      <c r="M192" s="71">
        <f t="shared" si="37"/>
        <v>273283805.48224998</v>
      </c>
      <c r="N192" s="70"/>
      <c r="O192" s="176"/>
      <c r="P192" s="72">
        <v>9</v>
      </c>
      <c r="Q192" s="176"/>
      <c r="R192" s="66" t="s">
        <v>505</v>
      </c>
      <c r="S192" s="66">
        <v>30684347.278200001</v>
      </c>
      <c r="T192" s="66">
        <v>0</v>
      </c>
      <c r="U192" s="66">
        <v>94662437.883699998</v>
      </c>
      <c r="V192" s="66">
        <v>6683249.7929999996</v>
      </c>
      <c r="W192" s="66">
        <v>3760403.5548</v>
      </c>
      <c r="X192" s="66">
        <v>0</v>
      </c>
      <c r="Y192" s="66">
        <f t="shared" si="41"/>
        <v>3760403.5548</v>
      </c>
      <c r="Z192" s="66">
        <v>172145957.60089999</v>
      </c>
      <c r="AA192" s="71">
        <f t="shared" si="38"/>
        <v>307936396.11059999</v>
      </c>
    </row>
    <row r="193" spans="1:27" ht="24.95" customHeight="1">
      <c r="A193" s="181"/>
      <c r="B193" s="176"/>
      <c r="C193" s="62">
        <v>11</v>
      </c>
      <c r="D193" s="66" t="s">
        <v>506</v>
      </c>
      <c r="E193" s="66">
        <v>36350106.645000003</v>
      </c>
      <c r="F193" s="66">
        <v>0</v>
      </c>
      <c r="G193" s="66">
        <v>112141532.005</v>
      </c>
      <c r="H193" s="66">
        <v>5872616.4945</v>
      </c>
      <c r="I193" s="66">
        <v>4454749.1594000002</v>
      </c>
      <c r="J193" s="66">
        <f t="shared" si="50"/>
        <v>2227374.5797000001</v>
      </c>
      <c r="K193" s="66">
        <f t="shared" si="51"/>
        <v>2227374.5797000001</v>
      </c>
      <c r="L193" s="66">
        <v>190794216.8646</v>
      </c>
      <c r="M193" s="71">
        <f t="shared" si="37"/>
        <v>347385846.58880001</v>
      </c>
      <c r="N193" s="70"/>
      <c r="O193" s="176"/>
      <c r="P193" s="72">
        <v>10</v>
      </c>
      <c r="Q193" s="176"/>
      <c r="R193" s="66" t="s">
        <v>507</v>
      </c>
      <c r="S193" s="66">
        <v>38337091.575099997</v>
      </c>
      <c r="T193" s="66">
        <v>0</v>
      </c>
      <c r="U193" s="66">
        <v>118271459.9392</v>
      </c>
      <c r="V193" s="66">
        <v>8644950.0791999996</v>
      </c>
      <c r="W193" s="66">
        <v>4698256.5455</v>
      </c>
      <c r="X193" s="66">
        <v>0</v>
      </c>
      <c r="Y193" s="66">
        <f t="shared" si="41"/>
        <v>4698256.5455</v>
      </c>
      <c r="Z193" s="66">
        <v>241888504.50510001</v>
      </c>
      <c r="AA193" s="71">
        <f t="shared" si="38"/>
        <v>411840262.64410001</v>
      </c>
    </row>
    <row r="194" spans="1:27" ht="24.95" customHeight="1">
      <c r="A194" s="181"/>
      <c r="B194" s="176"/>
      <c r="C194" s="62">
        <v>12</v>
      </c>
      <c r="D194" s="66" t="s">
        <v>508</v>
      </c>
      <c r="E194" s="66">
        <v>31369408.4518</v>
      </c>
      <c r="F194" s="66">
        <v>0</v>
      </c>
      <c r="G194" s="66">
        <v>96775878.988100007</v>
      </c>
      <c r="H194" s="66">
        <v>5286167.9175000004</v>
      </c>
      <c r="I194" s="66">
        <v>3844358.6231999998</v>
      </c>
      <c r="J194" s="66">
        <f t="shared" si="50"/>
        <v>1922179.3115999999</v>
      </c>
      <c r="K194" s="66">
        <f t="shared" si="51"/>
        <v>1922179.3115999999</v>
      </c>
      <c r="L194" s="66">
        <v>169944743.74360001</v>
      </c>
      <c r="M194" s="71">
        <f t="shared" si="37"/>
        <v>305298378.41259998</v>
      </c>
      <c r="N194" s="70"/>
      <c r="O194" s="176"/>
      <c r="P194" s="72">
        <v>11</v>
      </c>
      <c r="Q194" s="176"/>
      <c r="R194" s="66" t="s">
        <v>509</v>
      </c>
      <c r="S194" s="66">
        <v>29577082.926800001</v>
      </c>
      <c r="T194" s="66">
        <v>0</v>
      </c>
      <c r="U194" s="66">
        <v>91246483.099600002</v>
      </c>
      <c r="V194" s="66">
        <v>7177065.6523000002</v>
      </c>
      <c r="W194" s="66">
        <v>3624706.9808</v>
      </c>
      <c r="X194" s="66">
        <v>0</v>
      </c>
      <c r="Y194" s="66">
        <f t="shared" si="41"/>
        <v>3624706.9808</v>
      </c>
      <c r="Z194" s="66">
        <v>189702143.9228</v>
      </c>
      <c r="AA194" s="71">
        <f t="shared" si="38"/>
        <v>321327482.58230001</v>
      </c>
    </row>
    <row r="195" spans="1:27" ht="24.95" customHeight="1">
      <c r="A195" s="181"/>
      <c r="B195" s="176"/>
      <c r="C195" s="62">
        <v>13</v>
      </c>
      <c r="D195" s="66" t="s">
        <v>510</v>
      </c>
      <c r="E195" s="66">
        <v>34573827.989</v>
      </c>
      <c r="F195" s="66">
        <v>0</v>
      </c>
      <c r="G195" s="66">
        <v>106661641.34890001</v>
      </c>
      <c r="H195" s="66">
        <v>5985954.4214000003</v>
      </c>
      <c r="I195" s="66">
        <v>4237064.0801999997</v>
      </c>
      <c r="J195" s="66">
        <f t="shared" si="50"/>
        <v>2118532.0400999999</v>
      </c>
      <c r="K195" s="66">
        <f t="shared" si="51"/>
        <v>2118532.0400999999</v>
      </c>
      <c r="L195" s="66">
        <v>194823617.14250001</v>
      </c>
      <c r="M195" s="71">
        <f t="shared" si="37"/>
        <v>344163572.94190001</v>
      </c>
      <c r="N195" s="70"/>
      <c r="O195" s="176"/>
      <c r="P195" s="72">
        <v>12</v>
      </c>
      <c r="Q195" s="176"/>
      <c r="R195" s="66" t="s">
        <v>511</v>
      </c>
      <c r="S195" s="66">
        <v>26721600.633499999</v>
      </c>
      <c r="T195" s="66">
        <v>0</v>
      </c>
      <c r="U195" s="66">
        <v>82437206.083800003</v>
      </c>
      <c r="V195" s="66">
        <v>6779442.2746000001</v>
      </c>
      <c r="W195" s="66">
        <v>3274764.2015</v>
      </c>
      <c r="X195" s="66">
        <v>0</v>
      </c>
      <c r="Y195" s="66">
        <f t="shared" si="41"/>
        <v>3274764.2015</v>
      </c>
      <c r="Z195" s="66">
        <v>175565801.4508</v>
      </c>
      <c r="AA195" s="71">
        <f t="shared" si="38"/>
        <v>294778814.64420003</v>
      </c>
    </row>
    <row r="196" spans="1:27" ht="24.95" customHeight="1">
      <c r="A196" s="181"/>
      <c r="B196" s="176"/>
      <c r="C196" s="62">
        <v>14</v>
      </c>
      <c r="D196" s="66" t="s">
        <v>512</v>
      </c>
      <c r="E196" s="66">
        <v>32732302.090399999</v>
      </c>
      <c r="F196" s="66">
        <v>0</v>
      </c>
      <c r="G196" s="66">
        <v>100980460.3413</v>
      </c>
      <c r="H196" s="66">
        <v>5846965.9171000002</v>
      </c>
      <c r="I196" s="66">
        <v>4011382.8728999998</v>
      </c>
      <c r="J196" s="66">
        <f t="shared" si="50"/>
        <v>2005691.4364499999</v>
      </c>
      <c r="K196" s="66">
        <f t="shared" si="51"/>
        <v>2005691.4364499999</v>
      </c>
      <c r="L196" s="66">
        <v>189882285.2044</v>
      </c>
      <c r="M196" s="71">
        <f t="shared" si="37"/>
        <v>331447704.98965001</v>
      </c>
      <c r="N196" s="70"/>
      <c r="O196" s="176"/>
      <c r="P196" s="72">
        <v>13</v>
      </c>
      <c r="Q196" s="176"/>
      <c r="R196" s="66" t="s">
        <v>513</v>
      </c>
      <c r="S196" s="66">
        <v>24096416.601199999</v>
      </c>
      <c r="T196" s="66">
        <v>0</v>
      </c>
      <c r="U196" s="66">
        <v>74338408.408899993</v>
      </c>
      <c r="V196" s="66">
        <v>6203785.6401000004</v>
      </c>
      <c r="W196" s="66">
        <v>2953044.7503</v>
      </c>
      <c r="X196" s="66">
        <v>0</v>
      </c>
      <c r="Y196" s="66">
        <f t="shared" si="41"/>
        <v>2953044.7503</v>
      </c>
      <c r="Z196" s="66">
        <v>155100004.45210001</v>
      </c>
      <c r="AA196" s="71">
        <f t="shared" si="38"/>
        <v>262691659.85260001</v>
      </c>
    </row>
    <row r="197" spans="1:27" ht="24.95" customHeight="1">
      <c r="A197" s="181"/>
      <c r="B197" s="176"/>
      <c r="C197" s="62">
        <v>15</v>
      </c>
      <c r="D197" s="66" t="s">
        <v>514</v>
      </c>
      <c r="E197" s="66">
        <v>37128092.990699999</v>
      </c>
      <c r="F197" s="66">
        <v>0</v>
      </c>
      <c r="G197" s="66">
        <v>114541650.9795</v>
      </c>
      <c r="H197" s="66">
        <v>6211255.9358000001</v>
      </c>
      <c r="I197" s="66">
        <v>4550092.3191</v>
      </c>
      <c r="J197" s="66">
        <f t="shared" si="50"/>
        <v>2275046.15955</v>
      </c>
      <c r="K197" s="66">
        <f t="shared" si="51"/>
        <v>2275046.15955</v>
      </c>
      <c r="L197" s="66">
        <v>202833557.06490001</v>
      </c>
      <c r="M197" s="71">
        <f t="shared" si="37"/>
        <v>362989603.13045001</v>
      </c>
      <c r="N197" s="70"/>
      <c r="O197" s="176"/>
      <c r="P197" s="72">
        <v>14</v>
      </c>
      <c r="Q197" s="176"/>
      <c r="R197" s="66" t="s">
        <v>515</v>
      </c>
      <c r="S197" s="66">
        <v>27701890.989599999</v>
      </c>
      <c r="T197" s="66">
        <v>0</v>
      </c>
      <c r="U197" s="66">
        <v>85461441.017199993</v>
      </c>
      <c r="V197" s="66">
        <v>6368064.2394000003</v>
      </c>
      <c r="W197" s="66">
        <v>3394899.9602000001</v>
      </c>
      <c r="X197" s="66">
        <v>0</v>
      </c>
      <c r="Y197" s="66">
        <f t="shared" si="41"/>
        <v>3394899.9602000001</v>
      </c>
      <c r="Z197" s="66">
        <v>160940452.14649999</v>
      </c>
      <c r="AA197" s="71">
        <f t="shared" si="38"/>
        <v>283866748.35290003</v>
      </c>
    </row>
    <row r="198" spans="1:27" ht="24.95" customHeight="1">
      <c r="A198" s="181"/>
      <c r="B198" s="176"/>
      <c r="C198" s="62">
        <v>16</v>
      </c>
      <c r="D198" s="66" t="s">
        <v>516</v>
      </c>
      <c r="E198" s="66">
        <v>34894038.113700002</v>
      </c>
      <c r="F198" s="66">
        <v>0</v>
      </c>
      <c r="G198" s="66">
        <v>107649502.3832</v>
      </c>
      <c r="H198" s="66">
        <v>5979837.4852</v>
      </c>
      <c r="I198" s="66">
        <v>4276306.2149</v>
      </c>
      <c r="J198" s="66">
        <f t="shared" si="50"/>
        <v>2138153.10745</v>
      </c>
      <c r="K198" s="66">
        <f t="shared" si="51"/>
        <v>2138153.10745</v>
      </c>
      <c r="L198" s="66">
        <v>194606147.27360001</v>
      </c>
      <c r="M198" s="71">
        <f t="shared" si="37"/>
        <v>345267678.36315</v>
      </c>
      <c r="N198" s="70"/>
      <c r="O198" s="176"/>
      <c r="P198" s="72">
        <v>15</v>
      </c>
      <c r="Q198" s="176"/>
      <c r="R198" s="66" t="s">
        <v>517</v>
      </c>
      <c r="S198" s="66">
        <v>29015463.0898</v>
      </c>
      <c r="T198" s="66">
        <v>0</v>
      </c>
      <c r="U198" s="66">
        <v>89513863.452999994</v>
      </c>
      <c r="V198" s="66">
        <v>7136443.7893000003</v>
      </c>
      <c r="W198" s="66">
        <v>3555879.7963</v>
      </c>
      <c r="X198" s="66">
        <v>0</v>
      </c>
      <c r="Y198" s="66">
        <f t="shared" si="41"/>
        <v>3555879.7963</v>
      </c>
      <c r="Z198" s="66">
        <v>188257951.75479999</v>
      </c>
      <c r="AA198" s="71">
        <f t="shared" si="38"/>
        <v>317479601.88319999</v>
      </c>
    </row>
    <row r="199" spans="1:27" ht="24.95" customHeight="1">
      <c r="A199" s="181"/>
      <c r="B199" s="176"/>
      <c r="C199" s="62">
        <v>17</v>
      </c>
      <c r="D199" s="66" t="s">
        <v>518</v>
      </c>
      <c r="E199" s="66">
        <v>35031598.319799997</v>
      </c>
      <c r="F199" s="66">
        <v>0</v>
      </c>
      <c r="G199" s="66">
        <v>108073881.1177</v>
      </c>
      <c r="H199" s="66">
        <v>6256383.8290999997</v>
      </c>
      <c r="I199" s="66">
        <v>4293164.3831000002</v>
      </c>
      <c r="J199" s="66">
        <f t="shared" si="50"/>
        <v>2146582.1915500001</v>
      </c>
      <c r="K199" s="66">
        <f t="shared" si="51"/>
        <v>2146582.1915500001</v>
      </c>
      <c r="L199" s="66">
        <v>204437948.0314</v>
      </c>
      <c r="M199" s="71">
        <f t="shared" si="37"/>
        <v>355946393.48954999</v>
      </c>
      <c r="N199" s="70"/>
      <c r="O199" s="176"/>
      <c r="P199" s="72">
        <v>16</v>
      </c>
      <c r="Q199" s="176"/>
      <c r="R199" s="66" t="s">
        <v>519</v>
      </c>
      <c r="S199" s="66">
        <v>35181336.272799999</v>
      </c>
      <c r="T199" s="66">
        <v>0</v>
      </c>
      <c r="U199" s="66">
        <v>108535828.6881</v>
      </c>
      <c r="V199" s="66">
        <v>8019907.3528000005</v>
      </c>
      <c r="W199" s="66">
        <v>4311514.9488000004</v>
      </c>
      <c r="X199" s="66">
        <v>0</v>
      </c>
      <c r="Y199" s="66">
        <f t="shared" si="41"/>
        <v>4311514.9488000004</v>
      </c>
      <c r="Z199" s="66">
        <v>219666928.67539999</v>
      </c>
      <c r="AA199" s="71">
        <f t="shared" si="38"/>
        <v>375715515.93790001</v>
      </c>
    </row>
    <row r="200" spans="1:27" ht="24.95" customHeight="1">
      <c r="A200" s="181"/>
      <c r="B200" s="177"/>
      <c r="C200" s="62">
        <v>18</v>
      </c>
      <c r="D200" s="66" t="s">
        <v>520</v>
      </c>
      <c r="E200" s="66">
        <v>38632444.927199997</v>
      </c>
      <c r="F200" s="66">
        <v>0</v>
      </c>
      <c r="G200" s="66">
        <v>119182636.8362</v>
      </c>
      <c r="H200" s="66">
        <v>6418522.0640000002</v>
      </c>
      <c r="I200" s="66">
        <v>4734452.4528999999</v>
      </c>
      <c r="J200" s="66">
        <f t="shared" si="50"/>
        <v>2367226.22645</v>
      </c>
      <c r="K200" s="66">
        <f t="shared" si="51"/>
        <v>2367226.22645</v>
      </c>
      <c r="L200" s="66">
        <v>210202301.2965</v>
      </c>
      <c r="M200" s="71">
        <f t="shared" ref="M200:M263" si="54">E200+F200+G200+H200+K200+L200</f>
        <v>376803131.35035002</v>
      </c>
      <c r="N200" s="70"/>
      <c r="O200" s="176"/>
      <c r="P200" s="72">
        <v>17</v>
      </c>
      <c r="Q200" s="176"/>
      <c r="R200" s="66" t="s">
        <v>521</v>
      </c>
      <c r="S200" s="66">
        <v>29534029.1998</v>
      </c>
      <c r="T200" s="66">
        <v>0</v>
      </c>
      <c r="U200" s="66">
        <v>91113660.630799994</v>
      </c>
      <c r="V200" s="66">
        <v>6674834.7813999997</v>
      </c>
      <c r="W200" s="66">
        <v>3619430.6949</v>
      </c>
      <c r="X200" s="66">
        <v>0</v>
      </c>
      <c r="Y200" s="66">
        <f t="shared" si="41"/>
        <v>3619430.6949</v>
      </c>
      <c r="Z200" s="66">
        <v>171846786.3448</v>
      </c>
      <c r="AA200" s="71">
        <f t="shared" ref="AA200:AA263" si="55">S200+T200+U200+V200+Y200+Z200</f>
        <v>302788741.65170002</v>
      </c>
    </row>
    <row r="201" spans="1:27" ht="24.95" customHeight="1">
      <c r="A201" s="62"/>
      <c r="B201" s="188" t="s">
        <v>522</v>
      </c>
      <c r="C201" s="189"/>
      <c r="D201" s="67"/>
      <c r="E201" s="67">
        <f>SUM(E183:E200)</f>
        <v>618841656.64320004</v>
      </c>
      <c r="F201" s="67">
        <f t="shared" ref="F201:M201" si="56">SUM(F183:F200)</f>
        <v>0</v>
      </c>
      <c r="G201" s="67">
        <f t="shared" si="56"/>
        <v>1909151247.4017</v>
      </c>
      <c r="H201" s="67">
        <f t="shared" si="56"/>
        <v>105324895.4121</v>
      </c>
      <c r="I201" s="67">
        <f t="shared" si="56"/>
        <v>75839787.121000007</v>
      </c>
      <c r="J201" s="67">
        <f t="shared" si="56"/>
        <v>37919893.560500003</v>
      </c>
      <c r="K201" s="67">
        <f t="shared" si="56"/>
        <v>37919893.560500003</v>
      </c>
      <c r="L201" s="67">
        <f t="shared" si="56"/>
        <v>3420707841.4780998</v>
      </c>
      <c r="M201" s="67">
        <f t="shared" si="56"/>
        <v>6091945534.4955997</v>
      </c>
      <c r="N201" s="70"/>
      <c r="O201" s="176"/>
      <c r="P201" s="72">
        <v>18</v>
      </c>
      <c r="Q201" s="176"/>
      <c r="R201" s="66" t="s">
        <v>523</v>
      </c>
      <c r="S201" s="66">
        <v>27448807.797400001</v>
      </c>
      <c r="T201" s="66">
        <v>0</v>
      </c>
      <c r="U201" s="66">
        <v>84680669.252700001</v>
      </c>
      <c r="V201" s="66">
        <v>6873933.7297</v>
      </c>
      <c r="W201" s="66">
        <v>3363884.3114999998</v>
      </c>
      <c r="X201" s="66">
        <v>0</v>
      </c>
      <c r="Y201" s="66">
        <f t="shared" si="41"/>
        <v>3363884.3114999998</v>
      </c>
      <c r="Z201" s="66">
        <v>178925170.25420001</v>
      </c>
      <c r="AA201" s="71">
        <f t="shared" si="55"/>
        <v>301292465.34549999</v>
      </c>
    </row>
    <row r="202" spans="1:27" ht="24.95" customHeight="1">
      <c r="A202" s="181">
        <v>10</v>
      </c>
      <c r="B202" s="175" t="s">
        <v>524</v>
      </c>
      <c r="C202" s="62">
        <v>1</v>
      </c>
      <c r="D202" s="66" t="s">
        <v>525</v>
      </c>
      <c r="E202" s="66">
        <v>27052801.729899999</v>
      </c>
      <c r="F202" s="66">
        <v>0</v>
      </c>
      <c r="G202" s="66">
        <v>83458974.705300003</v>
      </c>
      <c r="H202" s="66">
        <v>6537248.0949999997</v>
      </c>
      <c r="I202" s="66">
        <v>3315353.2930999999</v>
      </c>
      <c r="J202" s="66">
        <f t="shared" ref="J202:J226" si="57">I202/2</f>
        <v>1657676.6465499999</v>
      </c>
      <c r="K202" s="66">
        <f t="shared" ref="K202:K226" si="58">I202-J202</f>
        <v>1657676.6465499999</v>
      </c>
      <c r="L202" s="81">
        <v>206706092.8998</v>
      </c>
      <c r="M202" s="71">
        <f t="shared" si="54"/>
        <v>325412794.07655001</v>
      </c>
      <c r="N202" s="70"/>
      <c r="O202" s="176"/>
      <c r="P202" s="72">
        <v>19</v>
      </c>
      <c r="Q202" s="176"/>
      <c r="R202" s="66" t="s">
        <v>526</v>
      </c>
      <c r="S202" s="66">
        <v>26072035.9516</v>
      </c>
      <c r="T202" s="66">
        <v>0</v>
      </c>
      <c r="U202" s="66">
        <v>80433273.075299993</v>
      </c>
      <c r="V202" s="66">
        <v>6263501.8064999999</v>
      </c>
      <c r="W202" s="66">
        <v>3195159.2708000001</v>
      </c>
      <c r="X202" s="66">
        <v>0</v>
      </c>
      <c r="Y202" s="66">
        <f t="shared" si="41"/>
        <v>3195159.2708000001</v>
      </c>
      <c r="Z202" s="66">
        <v>157223039.02849999</v>
      </c>
      <c r="AA202" s="71">
        <f t="shared" si="55"/>
        <v>273187009.13270003</v>
      </c>
    </row>
    <row r="203" spans="1:27" ht="24.95" customHeight="1">
      <c r="A203" s="181"/>
      <c r="B203" s="176"/>
      <c r="C203" s="62">
        <v>2</v>
      </c>
      <c r="D203" s="66" t="s">
        <v>527</v>
      </c>
      <c r="E203" s="66">
        <v>29486480.509500001</v>
      </c>
      <c r="F203" s="66">
        <v>0</v>
      </c>
      <c r="G203" s="66">
        <v>90966971.020500004</v>
      </c>
      <c r="H203" s="66">
        <v>6941585.4578999998</v>
      </c>
      <c r="I203" s="66">
        <v>3613603.5458999998</v>
      </c>
      <c r="J203" s="66">
        <f t="shared" si="57"/>
        <v>1806801.7729499999</v>
      </c>
      <c r="K203" s="66">
        <f t="shared" si="58"/>
        <v>1806801.7729499999</v>
      </c>
      <c r="L203" s="81">
        <v>221081131.58149999</v>
      </c>
      <c r="M203" s="71">
        <f t="shared" si="54"/>
        <v>350282970.34235001</v>
      </c>
      <c r="N203" s="70"/>
      <c r="O203" s="177"/>
      <c r="P203" s="72">
        <v>20</v>
      </c>
      <c r="Q203" s="177"/>
      <c r="R203" s="66" t="s">
        <v>528</v>
      </c>
      <c r="S203" s="66">
        <v>35362297.064400002</v>
      </c>
      <c r="T203" s="66">
        <v>0</v>
      </c>
      <c r="U203" s="66">
        <v>109094099.96340001</v>
      </c>
      <c r="V203" s="66">
        <v>8296588.8776000002</v>
      </c>
      <c r="W203" s="66">
        <v>4333691.9107999997</v>
      </c>
      <c r="X203" s="66">
        <v>0</v>
      </c>
      <c r="Y203" s="66">
        <f t="shared" si="41"/>
        <v>4333691.9107999997</v>
      </c>
      <c r="Z203" s="66">
        <v>229503535.3971</v>
      </c>
      <c r="AA203" s="71">
        <f t="shared" si="55"/>
        <v>386590213.21329999</v>
      </c>
    </row>
    <row r="204" spans="1:27" ht="24.95" customHeight="1">
      <c r="A204" s="181"/>
      <c r="B204" s="176"/>
      <c r="C204" s="62">
        <v>3</v>
      </c>
      <c r="D204" s="66" t="s">
        <v>529</v>
      </c>
      <c r="E204" s="66">
        <v>25206081.701900002</v>
      </c>
      <c r="F204" s="66">
        <v>0</v>
      </c>
      <c r="G204" s="66">
        <v>77761769.600999996</v>
      </c>
      <c r="H204" s="66">
        <v>6333721.9720000001</v>
      </c>
      <c r="I204" s="66">
        <v>3089035.5391000002</v>
      </c>
      <c r="J204" s="66">
        <f t="shared" si="57"/>
        <v>1544517.7695500001</v>
      </c>
      <c r="K204" s="66">
        <f t="shared" si="58"/>
        <v>1544517.7695500001</v>
      </c>
      <c r="L204" s="81">
        <v>199470313.67089999</v>
      </c>
      <c r="M204" s="71">
        <f t="shared" si="54"/>
        <v>310316404.71534997</v>
      </c>
      <c r="N204" s="70"/>
      <c r="O204" s="62"/>
      <c r="P204" s="189" t="s">
        <v>530</v>
      </c>
      <c r="Q204" s="190"/>
      <c r="R204" s="67"/>
      <c r="S204" s="67">
        <f>SUM(S184:S203)</f>
        <v>643325794.60730004</v>
      </c>
      <c r="T204" s="67">
        <f t="shared" ref="T204:X204" si="59">SUM(T184:T203)</f>
        <v>0</v>
      </c>
      <c r="U204" s="67">
        <f t="shared" si="59"/>
        <v>1984685791.7119999</v>
      </c>
      <c r="V204" s="67">
        <f t="shared" si="59"/>
        <v>150834976.44319999</v>
      </c>
      <c r="W204" s="67">
        <f t="shared" si="59"/>
        <v>78840347.589399993</v>
      </c>
      <c r="X204" s="67">
        <f t="shared" si="59"/>
        <v>0</v>
      </c>
      <c r="Y204" s="67">
        <f t="shared" si="41"/>
        <v>78840347.589399993</v>
      </c>
      <c r="Z204" s="67">
        <f>SUM(Z184:Z203)</f>
        <v>4053347862.5689998</v>
      </c>
      <c r="AA204" s="67">
        <f>SUM(AA184:AA203)</f>
        <v>6911034772.9209003</v>
      </c>
    </row>
    <row r="205" spans="1:27" ht="33.75" customHeight="1">
      <c r="A205" s="181"/>
      <c r="B205" s="176"/>
      <c r="C205" s="62">
        <v>4</v>
      </c>
      <c r="D205" s="66" t="s">
        <v>531</v>
      </c>
      <c r="E205" s="66">
        <v>36225697.159500003</v>
      </c>
      <c r="F205" s="66">
        <v>0</v>
      </c>
      <c r="G205" s="66">
        <v>111757723.7693</v>
      </c>
      <c r="H205" s="66">
        <v>7719574.1173999999</v>
      </c>
      <c r="I205" s="66">
        <v>4439502.6278999997</v>
      </c>
      <c r="J205" s="66">
        <f t="shared" si="57"/>
        <v>2219751.3139499999</v>
      </c>
      <c r="K205" s="66">
        <f t="shared" si="58"/>
        <v>2219751.3139499999</v>
      </c>
      <c r="L205" s="81">
        <v>248740255.1275</v>
      </c>
      <c r="M205" s="71">
        <f t="shared" si="54"/>
        <v>406663001.48764998</v>
      </c>
      <c r="N205" s="70"/>
      <c r="O205" s="175">
        <v>28</v>
      </c>
      <c r="P205" s="72">
        <v>1</v>
      </c>
      <c r="Q205" s="182" t="s">
        <v>115</v>
      </c>
      <c r="R205" s="75" t="s">
        <v>532</v>
      </c>
      <c r="S205" s="66">
        <v>34086411.470700003</v>
      </c>
      <c r="T205" s="66">
        <v>0</v>
      </c>
      <c r="U205" s="66">
        <v>105157941.9065</v>
      </c>
      <c r="V205" s="66">
        <v>6445671.6416999996</v>
      </c>
      <c r="W205" s="66">
        <v>4177330.6013000002</v>
      </c>
      <c r="X205" s="66">
        <f t="shared" ref="X205:X222" si="60">W205/2</f>
        <v>2088665.3006500001</v>
      </c>
      <c r="Y205" s="66">
        <f t="shared" si="41"/>
        <v>2088665.3006500001</v>
      </c>
      <c r="Z205" s="66">
        <v>197750008.27059999</v>
      </c>
      <c r="AA205" s="71">
        <f t="shared" si="55"/>
        <v>345528698.59015</v>
      </c>
    </row>
    <row r="206" spans="1:27" ht="24.95" customHeight="1">
      <c r="A206" s="181"/>
      <c r="B206" s="176"/>
      <c r="C206" s="62">
        <v>5</v>
      </c>
      <c r="D206" s="66" t="s">
        <v>533</v>
      </c>
      <c r="E206" s="66">
        <v>32959755.363299999</v>
      </c>
      <c r="F206" s="66">
        <v>0</v>
      </c>
      <c r="G206" s="66">
        <v>101682162.7802</v>
      </c>
      <c r="H206" s="66">
        <v>7619607.8354000002</v>
      </c>
      <c r="I206" s="66">
        <v>4039257.5443000002</v>
      </c>
      <c r="J206" s="66">
        <f t="shared" si="57"/>
        <v>2019628.7721500001</v>
      </c>
      <c r="K206" s="66">
        <f t="shared" si="58"/>
        <v>2019628.7721500001</v>
      </c>
      <c r="L206" s="81">
        <v>245186244.78389999</v>
      </c>
      <c r="M206" s="71">
        <f t="shared" si="54"/>
        <v>389467399.53495002</v>
      </c>
      <c r="N206" s="70"/>
      <c r="O206" s="176"/>
      <c r="P206" s="72">
        <v>2</v>
      </c>
      <c r="Q206" s="183"/>
      <c r="R206" s="75" t="s">
        <v>534</v>
      </c>
      <c r="S206" s="66">
        <v>36057956.672799997</v>
      </c>
      <c r="T206" s="66">
        <v>0</v>
      </c>
      <c r="U206" s="66">
        <v>111240237.6627</v>
      </c>
      <c r="V206" s="66">
        <v>6878059.0431000004</v>
      </c>
      <c r="W206" s="66">
        <v>4418945.8300999999</v>
      </c>
      <c r="X206" s="66">
        <f t="shared" si="60"/>
        <v>2209472.91505</v>
      </c>
      <c r="Y206" s="66">
        <f t="shared" si="41"/>
        <v>2209472.91505</v>
      </c>
      <c r="Z206" s="66">
        <v>213122284.47260001</v>
      </c>
      <c r="AA206" s="71">
        <f t="shared" si="55"/>
        <v>369508010.76625001</v>
      </c>
    </row>
    <row r="207" spans="1:27" ht="24.95" customHeight="1">
      <c r="A207" s="181"/>
      <c r="B207" s="176"/>
      <c r="C207" s="62">
        <v>6</v>
      </c>
      <c r="D207" s="66" t="s">
        <v>535</v>
      </c>
      <c r="E207" s="66">
        <v>33762019.737099998</v>
      </c>
      <c r="F207" s="66">
        <v>0</v>
      </c>
      <c r="G207" s="66">
        <v>104157180.4418</v>
      </c>
      <c r="H207" s="66">
        <v>7651150.0475000003</v>
      </c>
      <c r="I207" s="66">
        <v>4137576.0054000001</v>
      </c>
      <c r="J207" s="66">
        <f t="shared" si="57"/>
        <v>2068788.0027000001</v>
      </c>
      <c r="K207" s="66">
        <f t="shared" si="58"/>
        <v>2068788.0027000001</v>
      </c>
      <c r="L207" s="81">
        <v>246307636.373</v>
      </c>
      <c r="M207" s="71">
        <f t="shared" si="54"/>
        <v>393946774.60210001</v>
      </c>
      <c r="N207" s="70"/>
      <c r="O207" s="176"/>
      <c r="P207" s="72">
        <v>3</v>
      </c>
      <c r="Q207" s="183"/>
      <c r="R207" s="75" t="s">
        <v>536</v>
      </c>
      <c r="S207" s="66">
        <v>36709967.869099997</v>
      </c>
      <c r="T207" s="66">
        <v>0</v>
      </c>
      <c r="U207" s="66">
        <v>113251718.2659</v>
      </c>
      <c r="V207" s="66">
        <v>7054853.1414999999</v>
      </c>
      <c r="W207" s="66">
        <v>4498850.5840999996</v>
      </c>
      <c r="X207" s="66">
        <f t="shared" si="60"/>
        <v>2249425.2920499998</v>
      </c>
      <c r="Y207" s="66">
        <f t="shared" si="41"/>
        <v>2249425.2920499998</v>
      </c>
      <c r="Z207" s="66">
        <v>219407684.32969999</v>
      </c>
      <c r="AA207" s="71">
        <f t="shared" si="55"/>
        <v>378673648.89824998</v>
      </c>
    </row>
    <row r="208" spans="1:27" ht="24.95" customHeight="1">
      <c r="A208" s="181"/>
      <c r="B208" s="176"/>
      <c r="C208" s="62">
        <v>7</v>
      </c>
      <c r="D208" s="66" t="s">
        <v>537</v>
      </c>
      <c r="E208" s="66">
        <v>35793970.809299998</v>
      </c>
      <c r="F208" s="66">
        <v>0</v>
      </c>
      <c r="G208" s="66">
        <v>110425830.7219</v>
      </c>
      <c r="H208" s="66">
        <v>7426580.7629000004</v>
      </c>
      <c r="I208" s="66">
        <v>4386594.0460000001</v>
      </c>
      <c r="J208" s="66">
        <f t="shared" si="57"/>
        <v>2193297.023</v>
      </c>
      <c r="K208" s="66">
        <f t="shared" si="58"/>
        <v>2193297.023</v>
      </c>
      <c r="L208" s="81">
        <v>238323728.7554</v>
      </c>
      <c r="M208" s="71">
        <f t="shared" si="54"/>
        <v>394163408.07249999</v>
      </c>
      <c r="N208" s="70"/>
      <c r="O208" s="176"/>
      <c r="P208" s="72">
        <v>4</v>
      </c>
      <c r="Q208" s="183"/>
      <c r="R208" s="75" t="s">
        <v>538</v>
      </c>
      <c r="S208" s="66">
        <v>27228413.0244</v>
      </c>
      <c r="T208" s="66">
        <v>0</v>
      </c>
      <c r="U208" s="66">
        <v>84000742.568399996</v>
      </c>
      <c r="V208" s="66">
        <v>5398211.1058999998</v>
      </c>
      <c r="W208" s="66">
        <v>3336874.6677999999</v>
      </c>
      <c r="X208" s="66">
        <f t="shared" si="60"/>
        <v>1668437.3339</v>
      </c>
      <c r="Y208" s="66">
        <f t="shared" ref="Y208:Y271" si="61">W208-X208</f>
        <v>1668437.3339</v>
      </c>
      <c r="Z208" s="66">
        <v>160510596.08050001</v>
      </c>
      <c r="AA208" s="71">
        <f t="shared" si="55"/>
        <v>278806400.11309999</v>
      </c>
    </row>
    <row r="209" spans="1:27" ht="24.95" customHeight="1">
      <c r="A209" s="181"/>
      <c r="B209" s="176"/>
      <c r="C209" s="62">
        <v>8</v>
      </c>
      <c r="D209" s="66" t="s">
        <v>539</v>
      </c>
      <c r="E209" s="66">
        <v>33664753.204999998</v>
      </c>
      <c r="F209" s="66">
        <v>0</v>
      </c>
      <c r="G209" s="66">
        <v>103857109.30230001</v>
      </c>
      <c r="H209" s="66">
        <v>7189304.4730000002</v>
      </c>
      <c r="I209" s="66">
        <v>4125655.8753</v>
      </c>
      <c r="J209" s="66">
        <f t="shared" si="57"/>
        <v>2062827.93765</v>
      </c>
      <c r="K209" s="66">
        <f t="shared" si="58"/>
        <v>2062827.93765</v>
      </c>
      <c r="L209" s="81">
        <v>229888060.52610001</v>
      </c>
      <c r="M209" s="71">
        <f t="shared" si="54"/>
        <v>376662055.44405001</v>
      </c>
      <c r="N209" s="70"/>
      <c r="O209" s="176"/>
      <c r="P209" s="72">
        <v>5</v>
      </c>
      <c r="Q209" s="183"/>
      <c r="R209" s="66" t="s">
        <v>540</v>
      </c>
      <c r="S209" s="66">
        <v>28532081.609000001</v>
      </c>
      <c r="T209" s="66">
        <v>0</v>
      </c>
      <c r="U209" s="66">
        <v>88022612.262999997</v>
      </c>
      <c r="V209" s="66">
        <v>5952013.4934</v>
      </c>
      <c r="W209" s="66">
        <v>3496640.8161999998</v>
      </c>
      <c r="X209" s="66">
        <f t="shared" si="60"/>
        <v>1748320.4080999999</v>
      </c>
      <c r="Y209" s="66">
        <f t="shared" si="61"/>
        <v>1748320.4080999999</v>
      </c>
      <c r="Z209" s="66">
        <v>180199428.90669999</v>
      </c>
      <c r="AA209" s="71">
        <f t="shared" si="55"/>
        <v>304454456.68019998</v>
      </c>
    </row>
    <row r="210" spans="1:27" ht="24.95" customHeight="1">
      <c r="A210" s="181"/>
      <c r="B210" s="176"/>
      <c r="C210" s="62">
        <v>9</v>
      </c>
      <c r="D210" s="66" t="s">
        <v>541</v>
      </c>
      <c r="E210" s="66">
        <v>31676051.887400001</v>
      </c>
      <c r="F210" s="66">
        <v>0</v>
      </c>
      <c r="G210" s="66">
        <v>97721886.244000003</v>
      </c>
      <c r="H210" s="66">
        <v>6981587.7418</v>
      </c>
      <c r="I210" s="66">
        <v>3881938.1439</v>
      </c>
      <c r="J210" s="66">
        <f t="shared" si="57"/>
        <v>1940969.07195</v>
      </c>
      <c r="K210" s="66">
        <f t="shared" si="58"/>
        <v>1940969.07195</v>
      </c>
      <c r="L210" s="81">
        <v>222503296.4147</v>
      </c>
      <c r="M210" s="71">
        <f t="shared" si="54"/>
        <v>360823791.35984999</v>
      </c>
      <c r="N210" s="70"/>
      <c r="O210" s="176"/>
      <c r="P210" s="72">
        <v>6</v>
      </c>
      <c r="Q210" s="183"/>
      <c r="R210" s="66" t="s">
        <v>542</v>
      </c>
      <c r="S210" s="66">
        <v>43847099.754500002</v>
      </c>
      <c r="T210" s="66">
        <v>0</v>
      </c>
      <c r="U210" s="66">
        <v>135270055.42129999</v>
      </c>
      <c r="V210" s="66">
        <v>8448624.6351999994</v>
      </c>
      <c r="W210" s="66">
        <v>5373514.6551999999</v>
      </c>
      <c r="X210" s="66">
        <f t="shared" si="60"/>
        <v>2686757.3276</v>
      </c>
      <c r="Y210" s="66">
        <f t="shared" si="61"/>
        <v>2686757.3276</v>
      </c>
      <c r="Z210" s="66">
        <v>268959175.17460001</v>
      </c>
      <c r="AA210" s="71">
        <f t="shared" si="55"/>
        <v>459211712.3132</v>
      </c>
    </row>
    <row r="211" spans="1:27" ht="24.95" customHeight="1">
      <c r="A211" s="181"/>
      <c r="B211" s="176"/>
      <c r="C211" s="62">
        <v>10</v>
      </c>
      <c r="D211" s="66" t="s">
        <v>543</v>
      </c>
      <c r="E211" s="66">
        <v>35420895.964299999</v>
      </c>
      <c r="F211" s="66">
        <v>0</v>
      </c>
      <c r="G211" s="66">
        <v>109274879.9121</v>
      </c>
      <c r="H211" s="66">
        <v>7922863.6738999998</v>
      </c>
      <c r="I211" s="66">
        <v>4340873.2763</v>
      </c>
      <c r="J211" s="66">
        <f t="shared" si="57"/>
        <v>2170436.63815</v>
      </c>
      <c r="K211" s="66">
        <f t="shared" si="58"/>
        <v>2170436.63815</v>
      </c>
      <c r="L211" s="81">
        <v>255967623.91940001</v>
      </c>
      <c r="M211" s="71">
        <f t="shared" si="54"/>
        <v>410756700.10785002</v>
      </c>
      <c r="N211" s="70"/>
      <c r="O211" s="176"/>
      <c r="P211" s="72">
        <v>7</v>
      </c>
      <c r="Q211" s="183"/>
      <c r="R211" s="66" t="s">
        <v>544</v>
      </c>
      <c r="S211" s="66">
        <v>30880704.278299998</v>
      </c>
      <c r="T211" s="66">
        <v>0</v>
      </c>
      <c r="U211" s="66">
        <v>95268207.077800006</v>
      </c>
      <c r="V211" s="66">
        <v>5923141.1043999996</v>
      </c>
      <c r="W211" s="66">
        <v>3784467.3406000002</v>
      </c>
      <c r="X211" s="66">
        <f t="shared" si="60"/>
        <v>1892233.6703000001</v>
      </c>
      <c r="Y211" s="66">
        <f t="shared" si="61"/>
        <v>1892233.6703000001</v>
      </c>
      <c r="Z211" s="66">
        <v>179172955.1056</v>
      </c>
      <c r="AA211" s="71">
        <f t="shared" si="55"/>
        <v>313137241.23640001</v>
      </c>
    </row>
    <row r="212" spans="1:27" ht="24.95" customHeight="1">
      <c r="A212" s="181"/>
      <c r="B212" s="176"/>
      <c r="C212" s="62">
        <v>11</v>
      </c>
      <c r="D212" s="66" t="s">
        <v>545</v>
      </c>
      <c r="E212" s="66">
        <v>29764469.7205</v>
      </c>
      <c r="F212" s="66">
        <v>0</v>
      </c>
      <c r="G212" s="66">
        <v>91824578.848299995</v>
      </c>
      <c r="H212" s="66">
        <v>6519899.8783999998</v>
      </c>
      <c r="I212" s="66">
        <v>3647671.4569999999</v>
      </c>
      <c r="J212" s="66">
        <f t="shared" si="57"/>
        <v>1823835.7285</v>
      </c>
      <c r="K212" s="66">
        <f t="shared" si="58"/>
        <v>1823835.7285</v>
      </c>
      <c r="L212" s="81">
        <v>206089327.52579999</v>
      </c>
      <c r="M212" s="71">
        <f t="shared" si="54"/>
        <v>336022111.7015</v>
      </c>
      <c r="N212" s="70"/>
      <c r="O212" s="176"/>
      <c r="P212" s="72">
        <v>8</v>
      </c>
      <c r="Q212" s="183"/>
      <c r="R212" s="66" t="s">
        <v>546</v>
      </c>
      <c r="S212" s="66">
        <v>31112450.990499999</v>
      </c>
      <c r="T212" s="66">
        <v>0</v>
      </c>
      <c r="U212" s="66">
        <v>95983154.948599994</v>
      </c>
      <c r="V212" s="66">
        <v>6456012.9812000003</v>
      </c>
      <c r="W212" s="66">
        <v>3812868.1782</v>
      </c>
      <c r="X212" s="66">
        <f t="shared" si="60"/>
        <v>1906434.0891</v>
      </c>
      <c r="Y212" s="66">
        <f t="shared" si="61"/>
        <v>1906434.0891</v>
      </c>
      <c r="Z212" s="66">
        <v>198117664.51300001</v>
      </c>
      <c r="AA212" s="71">
        <f t="shared" si="55"/>
        <v>333575717.52240002</v>
      </c>
    </row>
    <row r="213" spans="1:27" ht="24.95" customHeight="1">
      <c r="A213" s="181"/>
      <c r="B213" s="176"/>
      <c r="C213" s="62">
        <v>12</v>
      </c>
      <c r="D213" s="66" t="s">
        <v>547</v>
      </c>
      <c r="E213" s="66">
        <v>30697549.080600001</v>
      </c>
      <c r="F213" s="66">
        <v>0</v>
      </c>
      <c r="G213" s="66">
        <v>94703165.971699998</v>
      </c>
      <c r="H213" s="66">
        <v>7039828.1832999997</v>
      </c>
      <c r="I213" s="66">
        <v>3762021.4515999998</v>
      </c>
      <c r="J213" s="66">
        <f t="shared" si="57"/>
        <v>1881010.7257999999</v>
      </c>
      <c r="K213" s="66">
        <f t="shared" si="58"/>
        <v>1881010.7257999999</v>
      </c>
      <c r="L213" s="81">
        <v>224573865.88460001</v>
      </c>
      <c r="M213" s="71">
        <f t="shared" si="54"/>
        <v>358895419.84600002</v>
      </c>
      <c r="N213" s="70"/>
      <c r="O213" s="176"/>
      <c r="P213" s="72">
        <v>9</v>
      </c>
      <c r="Q213" s="183"/>
      <c r="R213" s="66" t="s">
        <v>548</v>
      </c>
      <c r="S213" s="66">
        <v>37404763.184</v>
      </c>
      <c r="T213" s="66">
        <v>0</v>
      </c>
      <c r="U213" s="66">
        <v>115395189.5851</v>
      </c>
      <c r="V213" s="66">
        <v>7100803.3854</v>
      </c>
      <c r="W213" s="66">
        <v>4583998.5831000004</v>
      </c>
      <c r="X213" s="66">
        <f t="shared" si="60"/>
        <v>2291999.2915500002</v>
      </c>
      <c r="Y213" s="66">
        <f t="shared" si="61"/>
        <v>2291999.2915500002</v>
      </c>
      <c r="Z213" s="66">
        <v>221041311.57690001</v>
      </c>
      <c r="AA213" s="71">
        <f t="shared" si="55"/>
        <v>383234067.02294999</v>
      </c>
    </row>
    <row r="214" spans="1:27" ht="24.95" customHeight="1">
      <c r="A214" s="181"/>
      <c r="B214" s="176"/>
      <c r="C214" s="62">
        <v>13</v>
      </c>
      <c r="D214" s="66" t="s">
        <v>549</v>
      </c>
      <c r="E214" s="66">
        <v>28118292.474100001</v>
      </c>
      <c r="F214" s="66">
        <v>0</v>
      </c>
      <c r="G214" s="66">
        <v>86746056.241400003</v>
      </c>
      <c r="H214" s="66">
        <v>6822457.2821000004</v>
      </c>
      <c r="I214" s="66">
        <v>3445930.4613999999</v>
      </c>
      <c r="J214" s="66">
        <f t="shared" si="57"/>
        <v>1722965.2307</v>
      </c>
      <c r="K214" s="66">
        <f t="shared" si="58"/>
        <v>1722965.2307</v>
      </c>
      <c r="L214" s="81">
        <v>216845875.8475</v>
      </c>
      <c r="M214" s="71">
        <f t="shared" si="54"/>
        <v>340255647.0758</v>
      </c>
      <c r="N214" s="70"/>
      <c r="O214" s="176"/>
      <c r="P214" s="72">
        <v>10</v>
      </c>
      <c r="Q214" s="183"/>
      <c r="R214" s="66" t="s">
        <v>550</v>
      </c>
      <c r="S214" s="66">
        <v>40588758.219800003</v>
      </c>
      <c r="T214" s="66">
        <v>0</v>
      </c>
      <c r="U214" s="66">
        <v>125217941.5429</v>
      </c>
      <c r="V214" s="66">
        <v>7743475.9552999996</v>
      </c>
      <c r="W214" s="66">
        <v>4974200.9929</v>
      </c>
      <c r="X214" s="66">
        <f t="shared" si="60"/>
        <v>2487100.49645</v>
      </c>
      <c r="Y214" s="66">
        <f t="shared" si="61"/>
        <v>2487100.49645</v>
      </c>
      <c r="Z214" s="66">
        <v>243889665.20550001</v>
      </c>
      <c r="AA214" s="71">
        <f t="shared" si="55"/>
        <v>419926941.41995001</v>
      </c>
    </row>
    <row r="215" spans="1:27" ht="24.95" customHeight="1">
      <c r="A215" s="181"/>
      <c r="B215" s="176"/>
      <c r="C215" s="62">
        <v>14</v>
      </c>
      <c r="D215" s="66" t="s">
        <v>551</v>
      </c>
      <c r="E215" s="66">
        <v>27538072.9175</v>
      </c>
      <c r="F215" s="66">
        <v>0</v>
      </c>
      <c r="G215" s="66">
        <v>84956055.716499999</v>
      </c>
      <c r="H215" s="66">
        <v>6656714.2231000001</v>
      </c>
      <c r="I215" s="66">
        <v>3374823.8590000002</v>
      </c>
      <c r="J215" s="66">
        <f t="shared" si="57"/>
        <v>1687411.9295000001</v>
      </c>
      <c r="K215" s="66">
        <f t="shared" si="58"/>
        <v>1687411.9295000001</v>
      </c>
      <c r="L215" s="81">
        <v>210953363.54359999</v>
      </c>
      <c r="M215" s="71">
        <f t="shared" si="54"/>
        <v>331791618.33020002</v>
      </c>
      <c r="N215" s="70"/>
      <c r="O215" s="176"/>
      <c r="P215" s="72">
        <v>11</v>
      </c>
      <c r="Q215" s="183"/>
      <c r="R215" s="66" t="s">
        <v>552</v>
      </c>
      <c r="S215" s="66">
        <v>31056459.003800001</v>
      </c>
      <c r="T215" s="66">
        <v>0</v>
      </c>
      <c r="U215" s="66">
        <v>95810417.431600004</v>
      </c>
      <c r="V215" s="66">
        <v>6215514.8795999996</v>
      </c>
      <c r="W215" s="66">
        <v>3806006.2930000001</v>
      </c>
      <c r="X215" s="66">
        <f t="shared" si="60"/>
        <v>1903003.1465</v>
      </c>
      <c r="Y215" s="66">
        <f t="shared" si="61"/>
        <v>1903003.1465</v>
      </c>
      <c r="Z215" s="66">
        <v>189567454.14289999</v>
      </c>
      <c r="AA215" s="71">
        <f t="shared" si="55"/>
        <v>324552848.60439998</v>
      </c>
    </row>
    <row r="216" spans="1:27" ht="24.95" customHeight="1">
      <c r="A216" s="181"/>
      <c r="B216" s="176"/>
      <c r="C216" s="62">
        <v>15</v>
      </c>
      <c r="D216" s="66" t="s">
        <v>553</v>
      </c>
      <c r="E216" s="66">
        <v>29881985.383299999</v>
      </c>
      <c r="F216" s="66">
        <v>0</v>
      </c>
      <c r="G216" s="66">
        <v>92187119.365600005</v>
      </c>
      <c r="H216" s="66">
        <v>7042959.8743000003</v>
      </c>
      <c r="I216" s="66">
        <v>3662073.1425000001</v>
      </c>
      <c r="J216" s="66">
        <f t="shared" si="57"/>
        <v>1831036.57125</v>
      </c>
      <c r="K216" s="66">
        <f t="shared" si="58"/>
        <v>1831036.57125</v>
      </c>
      <c r="L216" s="81">
        <v>224685204.04960001</v>
      </c>
      <c r="M216" s="71">
        <f t="shared" si="54"/>
        <v>355628305.24405003</v>
      </c>
      <c r="N216" s="70"/>
      <c r="O216" s="176"/>
      <c r="P216" s="72">
        <v>12</v>
      </c>
      <c r="Q216" s="183"/>
      <c r="R216" s="66" t="s">
        <v>554</v>
      </c>
      <c r="S216" s="66">
        <v>32145470.768199999</v>
      </c>
      <c r="T216" s="66">
        <v>0</v>
      </c>
      <c r="U216" s="66">
        <v>99170062.254999995</v>
      </c>
      <c r="V216" s="66">
        <v>6417069.6144000003</v>
      </c>
      <c r="W216" s="66">
        <v>3939465.9907</v>
      </c>
      <c r="X216" s="66">
        <f t="shared" si="60"/>
        <v>1969732.99535</v>
      </c>
      <c r="Y216" s="66">
        <f t="shared" si="61"/>
        <v>1969732.99535</v>
      </c>
      <c r="Z216" s="66">
        <v>196733146.39750001</v>
      </c>
      <c r="AA216" s="71">
        <f t="shared" si="55"/>
        <v>336435482.03044999</v>
      </c>
    </row>
    <row r="217" spans="1:27" ht="24.95" customHeight="1">
      <c r="A217" s="181"/>
      <c r="B217" s="176"/>
      <c r="C217" s="62">
        <v>16</v>
      </c>
      <c r="D217" s="66" t="s">
        <v>555</v>
      </c>
      <c r="E217" s="66">
        <v>24677816.2764</v>
      </c>
      <c r="F217" s="66">
        <v>0</v>
      </c>
      <c r="G217" s="66">
        <v>76132049.647200003</v>
      </c>
      <c r="H217" s="66">
        <v>6120395.233</v>
      </c>
      <c r="I217" s="66">
        <v>3024295.9777000002</v>
      </c>
      <c r="J217" s="66">
        <f t="shared" si="57"/>
        <v>1512147.9888500001</v>
      </c>
      <c r="K217" s="66">
        <f t="shared" si="58"/>
        <v>1512147.9888500001</v>
      </c>
      <c r="L217" s="81">
        <v>191886102.05540001</v>
      </c>
      <c r="M217" s="71">
        <f t="shared" si="54"/>
        <v>300328511.20085001</v>
      </c>
      <c r="N217" s="70"/>
      <c r="O217" s="176"/>
      <c r="P217" s="72">
        <v>13</v>
      </c>
      <c r="Q217" s="183"/>
      <c r="R217" s="66" t="s">
        <v>556</v>
      </c>
      <c r="S217" s="66">
        <v>29873312.8935</v>
      </c>
      <c r="T217" s="66">
        <v>0</v>
      </c>
      <c r="U217" s="66">
        <v>92160364.387899995</v>
      </c>
      <c r="V217" s="66">
        <v>6104981.9567</v>
      </c>
      <c r="W217" s="66">
        <v>3661010.3184000002</v>
      </c>
      <c r="X217" s="66">
        <f t="shared" si="60"/>
        <v>1830505.1592000001</v>
      </c>
      <c r="Y217" s="66">
        <f t="shared" si="61"/>
        <v>1830505.1592000001</v>
      </c>
      <c r="Z217" s="66">
        <v>185637777.61700001</v>
      </c>
      <c r="AA217" s="71">
        <f t="shared" si="55"/>
        <v>315606942.01429999</v>
      </c>
    </row>
    <row r="218" spans="1:27" ht="24.95" customHeight="1">
      <c r="A218" s="181"/>
      <c r="B218" s="176"/>
      <c r="C218" s="62">
        <v>17</v>
      </c>
      <c r="D218" s="66" t="s">
        <v>557</v>
      </c>
      <c r="E218" s="66">
        <v>31083617.385299999</v>
      </c>
      <c r="F218" s="66">
        <v>0</v>
      </c>
      <c r="G218" s="66">
        <v>95894202.1241</v>
      </c>
      <c r="H218" s="66">
        <v>7294002.0867999997</v>
      </c>
      <c r="I218" s="66">
        <v>3809334.5852999999</v>
      </c>
      <c r="J218" s="66">
        <f t="shared" si="57"/>
        <v>1904667.29265</v>
      </c>
      <c r="K218" s="66">
        <f t="shared" si="58"/>
        <v>1904667.29265</v>
      </c>
      <c r="L218" s="81">
        <v>233610279.6081</v>
      </c>
      <c r="M218" s="71">
        <f t="shared" si="54"/>
        <v>369786768.49694997</v>
      </c>
      <c r="N218" s="70"/>
      <c r="O218" s="176"/>
      <c r="P218" s="72">
        <v>14</v>
      </c>
      <c r="Q218" s="183"/>
      <c r="R218" s="66" t="s">
        <v>558</v>
      </c>
      <c r="S218" s="66">
        <v>37360654.279399998</v>
      </c>
      <c r="T218" s="66">
        <v>0</v>
      </c>
      <c r="U218" s="66">
        <v>115259111.8513</v>
      </c>
      <c r="V218" s="66">
        <v>7064597.432</v>
      </c>
      <c r="W218" s="66">
        <v>4578592.9839000003</v>
      </c>
      <c r="X218" s="66">
        <f t="shared" si="60"/>
        <v>2289296.4919500002</v>
      </c>
      <c r="Y218" s="66">
        <f t="shared" si="61"/>
        <v>2289296.4919500002</v>
      </c>
      <c r="Z218" s="66">
        <v>219754114.23140001</v>
      </c>
      <c r="AA218" s="71">
        <f t="shared" si="55"/>
        <v>381727774.28605002</v>
      </c>
    </row>
    <row r="219" spans="1:27" ht="24.95" customHeight="1">
      <c r="A219" s="181"/>
      <c r="B219" s="176"/>
      <c r="C219" s="62">
        <v>18</v>
      </c>
      <c r="D219" s="66" t="s">
        <v>559</v>
      </c>
      <c r="E219" s="66">
        <v>32681204.4694</v>
      </c>
      <c r="F219" s="66">
        <v>0</v>
      </c>
      <c r="G219" s="66">
        <v>100822822.1381</v>
      </c>
      <c r="H219" s="66">
        <v>6972643.2717000004</v>
      </c>
      <c r="I219" s="66">
        <v>4005120.7982000001</v>
      </c>
      <c r="J219" s="66">
        <f t="shared" si="57"/>
        <v>2002560.3991</v>
      </c>
      <c r="K219" s="66">
        <f t="shared" si="58"/>
        <v>2002560.3991</v>
      </c>
      <c r="L219" s="81">
        <v>222185301.79980001</v>
      </c>
      <c r="M219" s="71">
        <f t="shared" si="54"/>
        <v>364664532.07810003</v>
      </c>
      <c r="N219" s="70"/>
      <c r="O219" s="176"/>
      <c r="P219" s="72">
        <v>15</v>
      </c>
      <c r="Q219" s="183"/>
      <c r="R219" s="66" t="s">
        <v>560</v>
      </c>
      <c r="S219" s="66">
        <v>24795088.889899999</v>
      </c>
      <c r="T219" s="66">
        <v>0</v>
      </c>
      <c r="U219" s="66">
        <v>76493840.347499996</v>
      </c>
      <c r="V219" s="66">
        <v>5311830.5051999995</v>
      </c>
      <c r="W219" s="66">
        <v>3038667.8771000002</v>
      </c>
      <c r="X219" s="66">
        <f t="shared" si="60"/>
        <v>1519333.9385500001</v>
      </c>
      <c r="Y219" s="66">
        <f t="shared" si="61"/>
        <v>1519333.9385500001</v>
      </c>
      <c r="Z219" s="66">
        <v>157439585.1142</v>
      </c>
      <c r="AA219" s="71">
        <f t="shared" si="55"/>
        <v>265559678.79534999</v>
      </c>
    </row>
    <row r="220" spans="1:27" ht="24.95" customHeight="1">
      <c r="A220" s="181"/>
      <c r="B220" s="176"/>
      <c r="C220" s="62">
        <v>19</v>
      </c>
      <c r="D220" s="66" t="s">
        <v>561</v>
      </c>
      <c r="E220" s="66">
        <v>42680701.805200003</v>
      </c>
      <c r="F220" s="66">
        <v>0</v>
      </c>
      <c r="G220" s="66">
        <v>131671671.1242</v>
      </c>
      <c r="H220" s="66">
        <v>8974075.4799000006</v>
      </c>
      <c r="I220" s="66">
        <v>5230571.1879000003</v>
      </c>
      <c r="J220" s="66">
        <f t="shared" si="57"/>
        <v>2615285.5939500001</v>
      </c>
      <c r="K220" s="66">
        <f t="shared" si="58"/>
        <v>2615285.5939500001</v>
      </c>
      <c r="L220" s="81">
        <v>293340401.60930002</v>
      </c>
      <c r="M220" s="71">
        <f t="shared" si="54"/>
        <v>479282135.61255002</v>
      </c>
      <c r="N220" s="70"/>
      <c r="O220" s="176"/>
      <c r="P220" s="72">
        <v>16</v>
      </c>
      <c r="Q220" s="183"/>
      <c r="R220" s="66" t="s">
        <v>562</v>
      </c>
      <c r="S220" s="66">
        <v>40979533.004299998</v>
      </c>
      <c r="T220" s="66">
        <v>0</v>
      </c>
      <c r="U220" s="66">
        <v>126423497.3731</v>
      </c>
      <c r="V220" s="66">
        <v>7665262.5345999999</v>
      </c>
      <c r="W220" s="66">
        <v>5022090.9112999998</v>
      </c>
      <c r="X220" s="66">
        <f t="shared" si="60"/>
        <v>2511045.4556499999</v>
      </c>
      <c r="Y220" s="66">
        <f t="shared" si="61"/>
        <v>2511045.4556499999</v>
      </c>
      <c r="Z220" s="66">
        <v>241109014.5614</v>
      </c>
      <c r="AA220" s="71">
        <f t="shared" si="55"/>
        <v>418688352.92905003</v>
      </c>
    </row>
    <row r="221" spans="1:27" ht="24.95" customHeight="1">
      <c r="A221" s="181"/>
      <c r="B221" s="176"/>
      <c r="C221" s="62">
        <v>20</v>
      </c>
      <c r="D221" s="66" t="s">
        <v>563</v>
      </c>
      <c r="E221" s="66">
        <v>33833651.838799998</v>
      </c>
      <c r="F221" s="66">
        <v>0</v>
      </c>
      <c r="G221" s="66">
        <v>104378168.3391</v>
      </c>
      <c r="H221" s="66">
        <v>7763620.5635000002</v>
      </c>
      <c r="I221" s="66">
        <v>4146354.6053999998</v>
      </c>
      <c r="J221" s="66">
        <f t="shared" si="57"/>
        <v>2073177.3026999999</v>
      </c>
      <c r="K221" s="66">
        <f t="shared" si="58"/>
        <v>2073177.3026999999</v>
      </c>
      <c r="L221" s="81">
        <v>250306198.38229999</v>
      </c>
      <c r="M221" s="71">
        <f t="shared" si="54"/>
        <v>398354816.42640001</v>
      </c>
      <c r="N221" s="70"/>
      <c r="O221" s="176"/>
      <c r="P221" s="72">
        <v>17</v>
      </c>
      <c r="Q221" s="183"/>
      <c r="R221" s="66" t="s">
        <v>564</v>
      </c>
      <c r="S221" s="66">
        <v>33018386.163600001</v>
      </c>
      <c r="T221" s="66">
        <v>0</v>
      </c>
      <c r="U221" s="66">
        <v>101863041.1426</v>
      </c>
      <c r="V221" s="66">
        <v>6101996.7116</v>
      </c>
      <c r="W221" s="66">
        <v>4046442.8191999998</v>
      </c>
      <c r="X221" s="66">
        <f t="shared" si="60"/>
        <v>2023221.4095999999</v>
      </c>
      <c r="Y221" s="66">
        <f t="shared" si="61"/>
        <v>2023221.4095999999</v>
      </c>
      <c r="Z221" s="66">
        <v>185531645.91299999</v>
      </c>
      <c r="AA221" s="71">
        <f t="shared" si="55"/>
        <v>328538291.34039998</v>
      </c>
    </row>
    <row r="222" spans="1:27" ht="24.95" customHeight="1">
      <c r="A222" s="181"/>
      <c r="B222" s="176"/>
      <c r="C222" s="62">
        <v>21</v>
      </c>
      <c r="D222" s="66" t="s">
        <v>565</v>
      </c>
      <c r="E222" s="66">
        <v>26833090.481699999</v>
      </c>
      <c r="F222" s="66">
        <v>0</v>
      </c>
      <c r="G222" s="66">
        <v>82781156.722200006</v>
      </c>
      <c r="H222" s="66">
        <v>6713873.2172999997</v>
      </c>
      <c r="I222" s="66">
        <v>3288427.4161999999</v>
      </c>
      <c r="J222" s="66">
        <f t="shared" si="57"/>
        <v>1644213.7080999999</v>
      </c>
      <c r="K222" s="66">
        <f t="shared" si="58"/>
        <v>1644213.7080999999</v>
      </c>
      <c r="L222" s="81">
        <v>212985485.3019</v>
      </c>
      <c r="M222" s="71">
        <f t="shared" si="54"/>
        <v>330957819.43120003</v>
      </c>
      <c r="N222" s="70"/>
      <c r="O222" s="177"/>
      <c r="P222" s="72">
        <v>18</v>
      </c>
      <c r="Q222" s="184"/>
      <c r="R222" s="66" t="s">
        <v>566</v>
      </c>
      <c r="S222" s="66">
        <v>38739314.9855</v>
      </c>
      <c r="T222" s="66">
        <v>0</v>
      </c>
      <c r="U222" s="66">
        <v>119512335.23810001</v>
      </c>
      <c r="V222" s="66">
        <v>6935443.3388999999</v>
      </c>
      <c r="W222" s="66">
        <v>4747549.5066999998</v>
      </c>
      <c r="X222" s="66">
        <f t="shared" si="60"/>
        <v>2373774.7533499999</v>
      </c>
      <c r="Y222" s="66">
        <f t="shared" si="61"/>
        <v>2373774.7533499999</v>
      </c>
      <c r="Z222" s="66">
        <v>215162416.17089999</v>
      </c>
      <c r="AA222" s="71">
        <f t="shared" si="55"/>
        <v>382723284.48675001</v>
      </c>
    </row>
    <row r="223" spans="1:27" ht="24.95" customHeight="1">
      <c r="A223" s="181"/>
      <c r="B223" s="176"/>
      <c r="C223" s="62">
        <v>22</v>
      </c>
      <c r="D223" s="66" t="s">
        <v>567</v>
      </c>
      <c r="E223" s="66">
        <v>31528524.0266</v>
      </c>
      <c r="F223" s="66">
        <v>0</v>
      </c>
      <c r="G223" s="66">
        <v>97266756.896300003</v>
      </c>
      <c r="H223" s="66">
        <v>7514617.3296999997</v>
      </c>
      <c r="I223" s="66">
        <v>3863858.4276999999</v>
      </c>
      <c r="J223" s="66">
        <f t="shared" si="57"/>
        <v>1931929.2138499999</v>
      </c>
      <c r="K223" s="66">
        <f t="shared" si="58"/>
        <v>1931929.2138499999</v>
      </c>
      <c r="L223" s="81">
        <v>241453612.78009999</v>
      </c>
      <c r="M223" s="71">
        <f t="shared" si="54"/>
        <v>379695440.24655002</v>
      </c>
      <c r="N223" s="70"/>
      <c r="O223" s="62"/>
      <c r="P223" s="189" t="s">
        <v>568</v>
      </c>
      <c r="Q223" s="190"/>
      <c r="R223" s="67"/>
      <c r="S223" s="67">
        <f t="shared" ref="S223:W223" si="62">SUM(S205:S222)</f>
        <v>614416827.06130004</v>
      </c>
      <c r="T223" s="67">
        <f t="shared" si="62"/>
        <v>0</v>
      </c>
      <c r="U223" s="67">
        <f t="shared" si="62"/>
        <v>1895500471.2693</v>
      </c>
      <c r="V223" s="67">
        <f t="shared" si="62"/>
        <v>119217563.4601</v>
      </c>
      <c r="W223" s="67">
        <f t="shared" si="62"/>
        <v>75297518.9498</v>
      </c>
      <c r="X223" s="67">
        <f t="shared" ref="X223" si="63">SUM(X205:X222)</f>
        <v>37648759.4749</v>
      </c>
      <c r="Y223" s="67">
        <f t="shared" si="61"/>
        <v>37648759.4749</v>
      </c>
      <c r="Z223" s="67">
        <f>SUM(Z205:Z222)</f>
        <v>3673105927.7839999</v>
      </c>
      <c r="AA223" s="67">
        <f>SUM(AA205:AA222)</f>
        <v>6339889549.0495996</v>
      </c>
    </row>
    <row r="224" spans="1:27" ht="24.95" customHeight="1">
      <c r="A224" s="181"/>
      <c r="B224" s="176"/>
      <c r="C224" s="62">
        <v>23</v>
      </c>
      <c r="D224" s="66" t="s">
        <v>569</v>
      </c>
      <c r="E224" s="66">
        <v>39180889.707199998</v>
      </c>
      <c r="F224" s="66">
        <v>0</v>
      </c>
      <c r="G224" s="66">
        <v>120874610.90539999</v>
      </c>
      <c r="H224" s="66">
        <v>8775686.2313999999</v>
      </c>
      <c r="I224" s="66">
        <v>4801665.0184000004</v>
      </c>
      <c r="J224" s="66">
        <f t="shared" si="57"/>
        <v>2400832.5092000002</v>
      </c>
      <c r="K224" s="66">
        <f t="shared" si="58"/>
        <v>2400832.5092000002</v>
      </c>
      <c r="L224" s="81">
        <v>286287249.01059997</v>
      </c>
      <c r="M224" s="71">
        <f t="shared" si="54"/>
        <v>457519268.36379999</v>
      </c>
      <c r="N224" s="70"/>
      <c r="O224" s="175">
        <v>29</v>
      </c>
      <c r="P224" s="72">
        <v>1</v>
      </c>
      <c r="Q224" s="175" t="s">
        <v>116</v>
      </c>
      <c r="R224" s="66" t="s">
        <v>570</v>
      </c>
      <c r="S224" s="66">
        <v>24210259.776500002</v>
      </c>
      <c r="T224" s="66">
        <v>0</v>
      </c>
      <c r="U224" s="66">
        <v>74689619.155399993</v>
      </c>
      <c r="V224" s="66">
        <v>4883584.3630999997</v>
      </c>
      <c r="W224" s="66">
        <v>2966996.3679999998</v>
      </c>
      <c r="X224" s="66">
        <v>0</v>
      </c>
      <c r="Y224" s="66">
        <f t="shared" si="61"/>
        <v>2966996.3679999998</v>
      </c>
      <c r="Z224" s="66">
        <v>156306642.38940001</v>
      </c>
      <c r="AA224" s="71">
        <f t="shared" si="55"/>
        <v>263057102.05239999</v>
      </c>
    </row>
    <row r="225" spans="1:27" ht="24.95" customHeight="1">
      <c r="A225" s="181"/>
      <c r="B225" s="176"/>
      <c r="C225" s="62">
        <v>24</v>
      </c>
      <c r="D225" s="66" t="s">
        <v>571</v>
      </c>
      <c r="E225" s="66">
        <v>32243576.206999999</v>
      </c>
      <c r="F225" s="66">
        <v>0</v>
      </c>
      <c r="G225" s="66">
        <v>99472721.455500007</v>
      </c>
      <c r="H225" s="66">
        <v>6904365.6476999996</v>
      </c>
      <c r="I225" s="66">
        <v>3951488.9298999999</v>
      </c>
      <c r="J225" s="66">
        <f t="shared" si="57"/>
        <v>1975744.4649499999</v>
      </c>
      <c r="K225" s="66">
        <f t="shared" si="58"/>
        <v>1975744.4649499999</v>
      </c>
      <c r="L225" s="81">
        <v>219757889.5063</v>
      </c>
      <c r="M225" s="71">
        <f t="shared" si="54"/>
        <v>360354297.28144997</v>
      </c>
      <c r="N225" s="70"/>
      <c r="O225" s="176"/>
      <c r="P225" s="72">
        <v>2</v>
      </c>
      <c r="Q225" s="176"/>
      <c r="R225" s="66" t="s">
        <v>572</v>
      </c>
      <c r="S225" s="66">
        <v>24278172.905699998</v>
      </c>
      <c r="T225" s="66">
        <v>0</v>
      </c>
      <c r="U225" s="66">
        <v>74899133.873699993</v>
      </c>
      <c r="V225" s="66">
        <v>4798487.9811000004</v>
      </c>
      <c r="W225" s="66">
        <v>2975319.2034</v>
      </c>
      <c r="X225" s="66">
        <v>0</v>
      </c>
      <c r="Y225" s="66">
        <f t="shared" si="61"/>
        <v>2975319.2034</v>
      </c>
      <c r="Z225" s="66">
        <v>153281288.08070001</v>
      </c>
      <c r="AA225" s="71">
        <f t="shared" si="55"/>
        <v>260232402.04460001</v>
      </c>
    </row>
    <row r="226" spans="1:27" ht="24.95" customHeight="1">
      <c r="A226" s="181"/>
      <c r="B226" s="177"/>
      <c r="C226" s="62">
        <v>25</v>
      </c>
      <c r="D226" s="66" t="s">
        <v>573</v>
      </c>
      <c r="E226" s="66">
        <v>30964877.66</v>
      </c>
      <c r="F226" s="66">
        <v>0</v>
      </c>
      <c r="G226" s="66">
        <v>95527885.325100005</v>
      </c>
      <c r="H226" s="66">
        <v>6672091.0514000002</v>
      </c>
      <c r="I226" s="66">
        <v>3794782.8895999999</v>
      </c>
      <c r="J226" s="66">
        <f t="shared" si="57"/>
        <v>1897391.4447999999</v>
      </c>
      <c r="K226" s="66">
        <f t="shared" si="58"/>
        <v>1897391.4447999999</v>
      </c>
      <c r="L226" s="81">
        <v>211500041.94330001</v>
      </c>
      <c r="M226" s="71">
        <f t="shared" si="54"/>
        <v>346562287.42460001</v>
      </c>
      <c r="N226" s="70"/>
      <c r="O226" s="176"/>
      <c r="P226" s="72">
        <v>3</v>
      </c>
      <c r="Q226" s="176"/>
      <c r="R226" s="66" t="s">
        <v>574</v>
      </c>
      <c r="S226" s="66">
        <v>30246525.339400001</v>
      </c>
      <c r="T226" s="66">
        <v>0</v>
      </c>
      <c r="U226" s="66">
        <v>93311739.701700002</v>
      </c>
      <c r="V226" s="66">
        <v>5719396.6562999999</v>
      </c>
      <c r="W226" s="66">
        <v>3706747.9512999998</v>
      </c>
      <c r="X226" s="66">
        <v>0</v>
      </c>
      <c r="Y226" s="66">
        <f t="shared" si="61"/>
        <v>3706747.9512999998</v>
      </c>
      <c r="Z226" s="66">
        <v>186021517.0165</v>
      </c>
      <c r="AA226" s="71">
        <f t="shared" si="55"/>
        <v>319005926.6652</v>
      </c>
    </row>
    <row r="227" spans="1:27" ht="24.95" customHeight="1">
      <c r="A227" s="62"/>
      <c r="B227" s="188" t="s">
        <v>575</v>
      </c>
      <c r="C227" s="189"/>
      <c r="D227" s="67"/>
      <c r="E227" s="67">
        <f>SUM(E202:E226)</f>
        <v>792956827.50080001</v>
      </c>
      <c r="F227" s="67">
        <f t="shared" ref="F227:M227" si="64">SUM(F202:F226)</f>
        <v>0</v>
      </c>
      <c r="G227" s="67">
        <f t="shared" si="64"/>
        <v>2446303509.3190999</v>
      </c>
      <c r="H227" s="67">
        <f t="shared" si="64"/>
        <v>180110453.7304</v>
      </c>
      <c r="I227" s="67">
        <f t="shared" si="64"/>
        <v>97177810.105000004</v>
      </c>
      <c r="J227" s="67">
        <f t="shared" si="64"/>
        <v>48588905.052500002</v>
      </c>
      <c r="K227" s="67">
        <f t="shared" si="64"/>
        <v>48588905.052500002</v>
      </c>
      <c r="L227" s="67">
        <f t="shared" si="64"/>
        <v>5760634582.9004002</v>
      </c>
      <c r="M227" s="67">
        <f t="shared" si="64"/>
        <v>9228594278.5032005</v>
      </c>
      <c r="N227" s="70"/>
      <c r="O227" s="176"/>
      <c r="P227" s="72">
        <v>4</v>
      </c>
      <c r="Q227" s="176"/>
      <c r="R227" s="66" t="s">
        <v>576</v>
      </c>
      <c r="S227" s="66">
        <v>26737259.8543</v>
      </c>
      <c r="T227" s="66">
        <v>0</v>
      </c>
      <c r="U227" s="66">
        <v>82485515.406000003</v>
      </c>
      <c r="V227" s="66">
        <v>4879630.3216000004</v>
      </c>
      <c r="W227" s="66">
        <v>3276683.2577999998</v>
      </c>
      <c r="X227" s="66">
        <v>0</v>
      </c>
      <c r="Y227" s="66">
        <f t="shared" si="61"/>
        <v>3276683.2577999998</v>
      </c>
      <c r="Z227" s="66">
        <v>156166067.9438</v>
      </c>
      <c r="AA227" s="71">
        <f t="shared" si="55"/>
        <v>273545156.78350002</v>
      </c>
    </row>
    <row r="228" spans="1:27" ht="24.95" customHeight="1">
      <c r="A228" s="181"/>
      <c r="B228" s="175" t="s">
        <v>577</v>
      </c>
      <c r="C228" s="62">
        <v>1</v>
      </c>
      <c r="D228" s="66" t="s">
        <v>578</v>
      </c>
      <c r="E228" s="66">
        <v>35162692.357900001</v>
      </c>
      <c r="F228" s="66">
        <f>-362175.7313</f>
        <v>-362175.73129999998</v>
      </c>
      <c r="G228" s="66">
        <v>108478311.46529999</v>
      </c>
      <c r="H228" s="66">
        <v>5664998.8658999996</v>
      </c>
      <c r="I228" s="66">
        <v>4309230.1146999998</v>
      </c>
      <c r="J228" s="66">
        <v>0</v>
      </c>
      <c r="K228" s="66">
        <f t="shared" ref="K228:K240" si="65">I228-J228</f>
        <v>4309230.1146999998</v>
      </c>
      <c r="L228" s="81">
        <v>193792183.59760001</v>
      </c>
      <c r="M228" s="71">
        <f t="shared" si="54"/>
        <v>347045240.67009997</v>
      </c>
      <c r="N228" s="70"/>
      <c r="O228" s="176"/>
      <c r="P228" s="72">
        <v>5</v>
      </c>
      <c r="Q228" s="176"/>
      <c r="R228" s="66" t="s">
        <v>579</v>
      </c>
      <c r="S228" s="66">
        <v>25301837.0211</v>
      </c>
      <c r="T228" s="66">
        <v>0</v>
      </c>
      <c r="U228" s="66">
        <v>78057178.588200003</v>
      </c>
      <c r="V228" s="66">
        <v>4822505.1226000004</v>
      </c>
      <c r="W228" s="66">
        <v>3100770.4682</v>
      </c>
      <c r="X228" s="66">
        <v>0</v>
      </c>
      <c r="Y228" s="66">
        <f t="shared" si="61"/>
        <v>3100770.4682</v>
      </c>
      <c r="Z228" s="66">
        <v>154135147.67640001</v>
      </c>
      <c r="AA228" s="71">
        <f t="shared" si="55"/>
        <v>265417438.87650001</v>
      </c>
    </row>
    <row r="229" spans="1:27" ht="24.95" customHeight="1">
      <c r="A229" s="181"/>
      <c r="B229" s="176"/>
      <c r="C229" s="62">
        <v>2</v>
      </c>
      <c r="D229" s="66" t="s">
        <v>580</v>
      </c>
      <c r="E229" s="66">
        <v>33017712.872699998</v>
      </c>
      <c r="F229" s="66">
        <f>-340082.4426</f>
        <v>-340082.44260000001</v>
      </c>
      <c r="G229" s="66">
        <v>101860964.0134</v>
      </c>
      <c r="H229" s="66">
        <v>5720062.5559999999</v>
      </c>
      <c r="I229" s="66">
        <v>4046360.3065999998</v>
      </c>
      <c r="J229" s="66">
        <v>0</v>
      </c>
      <c r="K229" s="66">
        <f t="shared" si="65"/>
        <v>4046360.3065999998</v>
      </c>
      <c r="L229" s="81">
        <v>195749812.91460001</v>
      </c>
      <c r="M229" s="71">
        <f t="shared" si="54"/>
        <v>340054830.22070003</v>
      </c>
      <c r="N229" s="70"/>
      <c r="O229" s="176"/>
      <c r="P229" s="72">
        <v>6</v>
      </c>
      <c r="Q229" s="176"/>
      <c r="R229" s="66" t="s">
        <v>581</v>
      </c>
      <c r="S229" s="66">
        <v>28817549.613600001</v>
      </c>
      <c r="T229" s="66">
        <v>0</v>
      </c>
      <c r="U229" s="66">
        <v>88903292.467899993</v>
      </c>
      <c r="V229" s="66">
        <v>5595097.8108000001</v>
      </c>
      <c r="W229" s="66">
        <v>3531625.2623999999</v>
      </c>
      <c r="X229" s="66">
        <v>0</v>
      </c>
      <c r="Y229" s="66">
        <f t="shared" si="61"/>
        <v>3531625.2623999999</v>
      </c>
      <c r="Z229" s="66">
        <v>181602433.1613</v>
      </c>
      <c r="AA229" s="71">
        <f t="shared" si="55"/>
        <v>308449998.31599998</v>
      </c>
    </row>
    <row r="230" spans="1:27" ht="24.95" customHeight="1">
      <c r="A230" s="181"/>
      <c r="B230" s="176"/>
      <c r="C230" s="62">
        <v>3</v>
      </c>
      <c r="D230" s="66" t="s">
        <v>582</v>
      </c>
      <c r="E230" s="66">
        <v>33301949.597199999</v>
      </c>
      <c r="F230" s="66">
        <f>-343010.0809</f>
        <v>-343010.0809</v>
      </c>
      <c r="G230" s="66">
        <v>102737845.6699</v>
      </c>
      <c r="H230" s="66">
        <v>5725255.7559000002</v>
      </c>
      <c r="I230" s="66">
        <v>4081193.858</v>
      </c>
      <c r="J230" s="66">
        <v>0</v>
      </c>
      <c r="K230" s="66">
        <f t="shared" si="65"/>
        <v>4081193.858</v>
      </c>
      <c r="L230" s="81">
        <v>195934442.0298</v>
      </c>
      <c r="M230" s="71">
        <f t="shared" si="54"/>
        <v>341437676.82990003</v>
      </c>
      <c r="N230" s="70"/>
      <c r="O230" s="176"/>
      <c r="P230" s="72">
        <v>7</v>
      </c>
      <c r="Q230" s="176"/>
      <c r="R230" s="66" t="s">
        <v>583</v>
      </c>
      <c r="S230" s="66">
        <v>24153388.187100001</v>
      </c>
      <c r="T230" s="66">
        <v>0</v>
      </c>
      <c r="U230" s="66">
        <v>74514168.028699994</v>
      </c>
      <c r="V230" s="66">
        <v>4969581.9512</v>
      </c>
      <c r="W230" s="66">
        <v>2960026.6864999998</v>
      </c>
      <c r="X230" s="66">
        <v>0</v>
      </c>
      <c r="Y230" s="66">
        <f t="shared" si="61"/>
        <v>2960026.6864999998</v>
      </c>
      <c r="Z230" s="66">
        <v>159364036.4578</v>
      </c>
      <c r="AA230" s="71">
        <f t="shared" si="55"/>
        <v>265961201.31130001</v>
      </c>
    </row>
    <row r="231" spans="1:27" ht="24.95" customHeight="1">
      <c r="A231" s="181"/>
      <c r="B231" s="176"/>
      <c r="C231" s="62">
        <v>4</v>
      </c>
      <c r="D231" s="66" t="s">
        <v>98</v>
      </c>
      <c r="E231" s="66">
        <v>32112384.878400002</v>
      </c>
      <c r="F231" s="66">
        <f>-330757.5641</f>
        <v>-330757.56410000002</v>
      </c>
      <c r="G231" s="66">
        <v>99067990.962300003</v>
      </c>
      <c r="H231" s="66">
        <v>5384656.1914999997</v>
      </c>
      <c r="I231" s="66">
        <v>3935411.2752</v>
      </c>
      <c r="J231" s="66">
        <v>0</v>
      </c>
      <c r="K231" s="66">
        <f t="shared" si="65"/>
        <v>3935411.2752</v>
      </c>
      <c r="L231" s="81">
        <v>183825415.3522</v>
      </c>
      <c r="M231" s="71">
        <f t="shared" si="54"/>
        <v>323995101.09549999</v>
      </c>
      <c r="N231" s="70"/>
      <c r="O231" s="176"/>
      <c r="P231" s="72">
        <v>8</v>
      </c>
      <c r="Q231" s="176"/>
      <c r="R231" s="66" t="s">
        <v>584</v>
      </c>
      <c r="S231" s="66">
        <v>25084533.620099999</v>
      </c>
      <c r="T231" s="66">
        <v>0</v>
      </c>
      <c r="U231" s="66">
        <v>77386788.909799993</v>
      </c>
      <c r="V231" s="66">
        <v>4881759.4209000003</v>
      </c>
      <c r="W231" s="66">
        <v>3074139.6759000001</v>
      </c>
      <c r="X231" s="66">
        <v>0</v>
      </c>
      <c r="Y231" s="66">
        <f t="shared" si="61"/>
        <v>3074139.6759000001</v>
      </c>
      <c r="Z231" s="66">
        <v>156241761.87599999</v>
      </c>
      <c r="AA231" s="71">
        <f t="shared" si="55"/>
        <v>266668983.5027</v>
      </c>
    </row>
    <row r="232" spans="1:27" ht="24.95" customHeight="1">
      <c r="A232" s="181"/>
      <c r="B232" s="176"/>
      <c r="C232" s="62">
        <v>5</v>
      </c>
      <c r="D232" s="66" t="s">
        <v>585</v>
      </c>
      <c r="E232" s="66">
        <v>32008178.421700001</v>
      </c>
      <c r="F232" s="66">
        <f>-329684.2377</f>
        <v>-329684.2377</v>
      </c>
      <c r="G232" s="66">
        <v>98746509.878299996</v>
      </c>
      <c r="H232" s="66">
        <v>5596236.8437000001</v>
      </c>
      <c r="I232" s="66">
        <v>3922640.6488999999</v>
      </c>
      <c r="J232" s="66">
        <v>0</v>
      </c>
      <c r="K232" s="66">
        <f t="shared" si="65"/>
        <v>3922640.6488999999</v>
      </c>
      <c r="L232" s="81">
        <v>191347549.93329999</v>
      </c>
      <c r="M232" s="71">
        <f t="shared" si="54"/>
        <v>331291431.48820001</v>
      </c>
      <c r="N232" s="70"/>
      <c r="O232" s="176"/>
      <c r="P232" s="72">
        <v>9</v>
      </c>
      <c r="Q232" s="176"/>
      <c r="R232" s="66" t="s">
        <v>586</v>
      </c>
      <c r="S232" s="66">
        <v>24671883.475099999</v>
      </c>
      <c r="T232" s="66">
        <v>0</v>
      </c>
      <c r="U232" s="66">
        <v>76113746.718199998</v>
      </c>
      <c r="V232" s="66">
        <v>4863735.2997000003</v>
      </c>
      <c r="W232" s="66">
        <v>3023568.9057999998</v>
      </c>
      <c r="X232" s="66">
        <v>0</v>
      </c>
      <c r="Y232" s="66">
        <f t="shared" si="61"/>
        <v>3023568.9057999998</v>
      </c>
      <c r="Z232" s="66">
        <v>155600966.68220001</v>
      </c>
      <c r="AA232" s="71">
        <f t="shared" si="55"/>
        <v>264273901.081</v>
      </c>
    </row>
    <row r="233" spans="1:27" ht="24.95" customHeight="1">
      <c r="A233" s="181"/>
      <c r="B233" s="176"/>
      <c r="C233" s="62">
        <v>6</v>
      </c>
      <c r="D233" s="66" t="s">
        <v>587</v>
      </c>
      <c r="E233" s="66">
        <v>33269043.811900001</v>
      </c>
      <c r="F233" s="66">
        <f>-342671.1513</f>
        <v>-342671.15130000003</v>
      </c>
      <c r="G233" s="66">
        <v>102636330.0071</v>
      </c>
      <c r="H233" s="66">
        <v>5456392.1936999997</v>
      </c>
      <c r="I233" s="66">
        <v>4077161.2146000001</v>
      </c>
      <c r="J233" s="66">
        <v>0</v>
      </c>
      <c r="K233" s="66">
        <f t="shared" si="65"/>
        <v>4077161.2146000001</v>
      </c>
      <c r="L233" s="81">
        <v>186375780.22350001</v>
      </c>
      <c r="M233" s="71">
        <f t="shared" si="54"/>
        <v>331472036.29949999</v>
      </c>
      <c r="N233" s="70"/>
      <c r="O233" s="176"/>
      <c r="P233" s="72">
        <v>10</v>
      </c>
      <c r="Q233" s="176"/>
      <c r="R233" s="66" t="s">
        <v>588</v>
      </c>
      <c r="S233" s="66">
        <v>28007463.088599999</v>
      </c>
      <c r="T233" s="66">
        <v>0</v>
      </c>
      <c r="U233" s="66">
        <v>86404143.157100007</v>
      </c>
      <c r="V233" s="66">
        <v>5519430.2971999999</v>
      </c>
      <c r="W233" s="66">
        <v>3432348.1874000002</v>
      </c>
      <c r="X233" s="66">
        <v>0</v>
      </c>
      <c r="Y233" s="66">
        <f t="shared" si="61"/>
        <v>3432348.1874000002</v>
      </c>
      <c r="Z233" s="66">
        <v>178912294.83829999</v>
      </c>
      <c r="AA233" s="71">
        <f t="shared" si="55"/>
        <v>302275679.5686</v>
      </c>
    </row>
    <row r="234" spans="1:27" ht="24.95" customHeight="1">
      <c r="A234" s="181"/>
      <c r="B234" s="176"/>
      <c r="C234" s="62">
        <v>7</v>
      </c>
      <c r="D234" s="66" t="s">
        <v>589</v>
      </c>
      <c r="E234" s="66">
        <v>38872343.265299998</v>
      </c>
      <c r="F234" s="66">
        <f>-400385.1356</f>
        <v>-400385.13559999998</v>
      </c>
      <c r="G234" s="66">
        <v>119922732.79889999</v>
      </c>
      <c r="H234" s="66">
        <v>6373358.0922999997</v>
      </c>
      <c r="I234" s="66">
        <v>4763852.2819999997</v>
      </c>
      <c r="J234" s="66">
        <v>0</v>
      </c>
      <c r="K234" s="66">
        <f t="shared" si="65"/>
        <v>4763852.2819999997</v>
      </c>
      <c r="L234" s="81">
        <v>218975835.21059999</v>
      </c>
      <c r="M234" s="71">
        <f t="shared" si="54"/>
        <v>388507736.51349998</v>
      </c>
      <c r="N234" s="70"/>
      <c r="O234" s="176"/>
      <c r="P234" s="72">
        <v>11</v>
      </c>
      <c r="Q234" s="176"/>
      <c r="R234" s="66" t="s">
        <v>590</v>
      </c>
      <c r="S234" s="66">
        <v>29655159.412999999</v>
      </c>
      <c r="T234" s="66">
        <v>0</v>
      </c>
      <c r="U234" s="66">
        <v>91487352.180299997</v>
      </c>
      <c r="V234" s="66">
        <v>5909348.3630999997</v>
      </c>
      <c r="W234" s="66">
        <v>3634275.3478000001</v>
      </c>
      <c r="X234" s="66">
        <v>0</v>
      </c>
      <c r="Y234" s="66">
        <f t="shared" si="61"/>
        <v>3634275.3478000001</v>
      </c>
      <c r="Z234" s="66">
        <v>192774697.36500001</v>
      </c>
      <c r="AA234" s="71">
        <f t="shared" si="55"/>
        <v>323460832.6692</v>
      </c>
    </row>
    <row r="235" spans="1:27" ht="24.95" customHeight="1">
      <c r="A235" s="181"/>
      <c r="B235" s="176"/>
      <c r="C235" s="62">
        <v>8</v>
      </c>
      <c r="D235" s="66" t="s">
        <v>591</v>
      </c>
      <c r="E235" s="66">
        <v>34432086.002499998</v>
      </c>
      <c r="F235" s="66">
        <f>-354650.4858</f>
        <v>-354650.48580000002</v>
      </c>
      <c r="G235" s="66">
        <v>106224361.6548</v>
      </c>
      <c r="H235" s="66">
        <v>5657394.9397999998</v>
      </c>
      <c r="I235" s="66">
        <v>4219693.4297000002</v>
      </c>
      <c r="J235" s="66">
        <v>0</v>
      </c>
      <c r="K235" s="66">
        <f t="shared" si="65"/>
        <v>4219693.4297000002</v>
      </c>
      <c r="L235" s="81">
        <v>193521848.1252</v>
      </c>
      <c r="M235" s="71">
        <f t="shared" si="54"/>
        <v>343700733.66619998</v>
      </c>
      <c r="N235" s="70"/>
      <c r="O235" s="176"/>
      <c r="P235" s="72">
        <v>12</v>
      </c>
      <c r="Q235" s="176"/>
      <c r="R235" s="66" t="s">
        <v>592</v>
      </c>
      <c r="S235" s="66">
        <v>34274530.335299999</v>
      </c>
      <c r="T235" s="66">
        <v>0</v>
      </c>
      <c r="U235" s="66">
        <v>105738296.12369999</v>
      </c>
      <c r="V235" s="66">
        <v>6144033.6856000004</v>
      </c>
      <c r="W235" s="66">
        <v>4200384.7938000001</v>
      </c>
      <c r="X235" s="66">
        <v>0</v>
      </c>
      <c r="Y235" s="66">
        <f t="shared" si="61"/>
        <v>4200384.7938000001</v>
      </c>
      <c r="Z235" s="66">
        <v>201118251.2852</v>
      </c>
      <c r="AA235" s="71">
        <f t="shared" si="55"/>
        <v>351475496.22359997</v>
      </c>
    </row>
    <row r="236" spans="1:27" ht="24.95" customHeight="1">
      <c r="A236" s="181"/>
      <c r="B236" s="176"/>
      <c r="C236" s="62">
        <v>9</v>
      </c>
      <c r="D236" s="66" t="s">
        <v>593</v>
      </c>
      <c r="E236" s="66">
        <v>31152788.510200001</v>
      </c>
      <c r="F236" s="66">
        <f>-320873.7217</f>
        <v>-320873.72169999999</v>
      </c>
      <c r="G236" s="66">
        <v>96107597.809100002</v>
      </c>
      <c r="H236" s="66">
        <v>5317989.4732999997</v>
      </c>
      <c r="I236" s="66">
        <v>3817811.5896000001</v>
      </c>
      <c r="J236" s="66">
        <v>0</v>
      </c>
      <c r="K236" s="66">
        <f t="shared" si="65"/>
        <v>3817811.5896000001</v>
      </c>
      <c r="L236" s="81">
        <v>181455274.12920001</v>
      </c>
      <c r="M236" s="71">
        <f t="shared" si="54"/>
        <v>317530587.78969997</v>
      </c>
      <c r="N236" s="70"/>
      <c r="O236" s="176"/>
      <c r="P236" s="72">
        <v>13</v>
      </c>
      <c r="Q236" s="176"/>
      <c r="R236" s="66" t="s">
        <v>594</v>
      </c>
      <c r="S236" s="66">
        <v>31948806.0779</v>
      </c>
      <c r="T236" s="66">
        <v>0</v>
      </c>
      <c r="U236" s="66">
        <v>98563343.824300006</v>
      </c>
      <c r="V236" s="66">
        <v>5756593.9363000002</v>
      </c>
      <c r="W236" s="66">
        <v>3915364.497</v>
      </c>
      <c r="X236" s="66">
        <v>0</v>
      </c>
      <c r="Y236" s="66">
        <f t="shared" si="61"/>
        <v>3915364.497</v>
      </c>
      <c r="Z236" s="66">
        <v>187343958.09760001</v>
      </c>
      <c r="AA236" s="71">
        <f t="shared" si="55"/>
        <v>327528066.43309999</v>
      </c>
    </row>
    <row r="237" spans="1:27" ht="24.95" customHeight="1">
      <c r="A237" s="181"/>
      <c r="B237" s="176"/>
      <c r="C237" s="62">
        <v>10</v>
      </c>
      <c r="D237" s="66" t="s">
        <v>595</v>
      </c>
      <c r="E237" s="66">
        <v>43271088.4767</v>
      </c>
      <c r="F237" s="66">
        <f>-445692.2113</f>
        <v>-445692.21130000002</v>
      </c>
      <c r="G237" s="66">
        <v>133493037.6049</v>
      </c>
      <c r="H237" s="66">
        <v>6592666.5865000002</v>
      </c>
      <c r="I237" s="66">
        <v>5302923.7823999999</v>
      </c>
      <c r="J237" s="66">
        <v>0</v>
      </c>
      <c r="K237" s="66">
        <f t="shared" si="65"/>
        <v>5302923.7823999999</v>
      </c>
      <c r="L237" s="81">
        <v>226772710.73100001</v>
      </c>
      <c r="M237" s="71">
        <f t="shared" si="54"/>
        <v>414986734.9702</v>
      </c>
      <c r="N237" s="70"/>
      <c r="O237" s="176"/>
      <c r="P237" s="72">
        <v>14</v>
      </c>
      <c r="Q237" s="176"/>
      <c r="R237" s="66" t="s">
        <v>596</v>
      </c>
      <c r="S237" s="66">
        <v>27849463.9089</v>
      </c>
      <c r="T237" s="66">
        <v>0</v>
      </c>
      <c r="U237" s="66">
        <v>85916709.372099996</v>
      </c>
      <c r="V237" s="66">
        <v>5549812.2063999996</v>
      </c>
      <c r="W237" s="66">
        <v>3412985.1984999999</v>
      </c>
      <c r="X237" s="66">
        <v>0</v>
      </c>
      <c r="Y237" s="66">
        <f t="shared" si="61"/>
        <v>3412985.1984999999</v>
      </c>
      <c r="Z237" s="66">
        <v>179992435.2369</v>
      </c>
      <c r="AA237" s="71">
        <f t="shared" si="55"/>
        <v>302721405.9228</v>
      </c>
    </row>
    <row r="238" spans="1:27" ht="24.95" customHeight="1">
      <c r="A238" s="181"/>
      <c r="B238" s="176"/>
      <c r="C238" s="62">
        <v>11</v>
      </c>
      <c r="D238" s="66" t="s">
        <v>597</v>
      </c>
      <c r="E238" s="66">
        <v>33569064.291699998</v>
      </c>
      <c r="F238" s="66">
        <f>-345761.3622</f>
        <v>-345761.36219999997</v>
      </c>
      <c r="G238" s="66">
        <v>103561905.1795</v>
      </c>
      <c r="H238" s="66">
        <v>5630110.9264000002</v>
      </c>
      <c r="I238" s="66">
        <v>4113929.0841000001</v>
      </c>
      <c r="J238" s="66">
        <v>0</v>
      </c>
      <c r="K238" s="66">
        <f t="shared" si="65"/>
        <v>4113929.0841000001</v>
      </c>
      <c r="L238" s="81">
        <v>192551844.40059999</v>
      </c>
      <c r="M238" s="71">
        <f t="shared" si="54"/>
        <v>339081092.5201</v>
      </c>
      <c r="N238" s="70"/>
      <c r="O238" s="176"/>
      <c r="P238" s="72">
        <v>15</v>
      </c>
      <c r="Q238" s="176"/>
      <c r="R238" s="66" t="s">
        <v>598</v>
      </c>
      <c r="S238" s="66">
        <v>21884700.6985</v>
      </c>
      <c r="T238" s="66">
        <v>0</v>
      </c>
      <c r="U238" s="66">
        <v>67515176.441599995</v>
      </c>
      <c r="V238" s="66">
        <v>4442680.5645000003</v>
      </c>
      <c r="W238" s="66">
        <v>2681996.3141999999</v>
      </c>
      <c r="X238" s="66">
        <v>0</v>
      </c>
      <c r="Y238" s="66">
        <f t="shared" si="61"/>
        <v>2681996.3141999999</v>
      </c>
      <c r="Z238" s="66">
        <v>140631590.45829999</v>
      </c>
      <c r="AA238" s="71">
        <f t="shared" si="55"/>
        <v>237156144.47710001</v>
      </c>
    </row>
    <row r="239" spans="1:27" ht="24.95" customHeight="1">
      <c r="A239" s="181"/>
      <c r="B239" s="176"/>
      <c r="C239" s="62">
        <v>12</v>
      </c>
      <c r="D239" s="66" t="s">
        <v>599</v>
      </c>
      <c r="E239" s="66">
        <v>37040883.829899997</v>
      </c>
      <c r="F239" s="66">
        <f>-381521.1034</f>
        <v>-381521.10340000002</v>
      </c>
      <c r="G239" s="66">
        <v>114272607.2324</v>
      </c>
      <c r="H239" s="66">
        <v>6167578.9540999997</v>
      </c>
      <c r="I239" s="66">
        <v>4539404.7319</v>
      </c>
      <c r="J239" s="66">
        <v>0</v>
      </c>
      <c r="K239" s="66">
        <f t="shared" si="65"/>
        <v>4539404.7319</v>
      </c>
      <c r="L239" s="81">
        <v>211659956.58250001</v>
      </c>
      <c r="M239" s="71">
        <f t="shared" si="54"/>
        <v>373298910.2274</v>
      </c>
      <c r="N239" s="70"/>
      <c r="O239" s="176"/>
      <c r="P239" s="72">
        <v>16</v>
      </c>
      <c r="Q239" s="176"/>
      <c r="R239" s="66" t="s">
        <v>338</v>
      </c>
      <c r="S239" s="66">
        <v>28200508.0634</v>
      </c>
      <c r="T239" s="66">
        <v>0</v>
      </c>
      <c r="U239" s="66">
        <v>86999694.620800003</v>
      </c>
      <c r="V239" s="66">
        <v>5115092.9342999998</v>
      </c>
      <c r="W239" s="66">
        <v>3456006.0805000002</v>
      </c>
      <c r="X239" s="66">
        <v>0</v>
      </c>
      <c r="Y239" s="66">
        <f t="shared" si="61"/>
        <v>3456006.0805000002</v>
      </c>
      <c r="Z239" s="66">
        <v>164537256.1566</v>
      </c>
      <c r="AA239" s="71">
        <f t="shared" si="55"/>
        <v>288308557.8556</v>
      </c>
    </row>
    <row r="240" spans="1:27" ht="24.95" customHeight="1">
      <c r="A240" s="181"/>
      <c r="B240" s="177"/>
      <c r="C240" s="62">
        <v>13</v>
      </c>
      <c r="D240" s="66" t="s">
        <v>600</v>
      </c>
      <c r="E240" s="66">
        <v>40568958.555</v>
      </c>
      <c r="F240" s="66">
        <f>-417860.2731</f>
        <v>-417860.27309999999</v>
      </c>
      <c r="G240" s="66">
        <v>125156858.7852</v>
      </c>
      <c r="H240" s="66">
        <v>6623713.1352000004</v>
      </c>
      <c r="I240" s="66">
        <v>4971774.5202000001</v>
      </c>
      <c r="J240" s="66">
        <v>0</v>
      </c>
      <c r="K240" s="66">
        <f t="shared" si="65"/>
        <v>4971774.5202000001</v>
      </c>
      <c r="L240" s="81">
        <v>227876480.45230001</v>
      </c>
      <c r="M240" s="71">
        <f t="shared" si="54"/>
        <v>404779925.17479998</v>
      </c>
      <c r="N240" s="70"/>
      <c r="O240" s="176"/>
      <c r="P240" s="72">
        <v>17</v>
      </c>
      <c r="Q240" s="176"/>
      <c r="R240" s="66" t="s">
        <v>601</v>
      </c>
      <c r="S240" s="66">
        <v>24862603.5748</v>
      </c>
      <c r="T240" s="66">
        <v>0</v>
      </c>
      <c r="U240" s="66">
        <v>76702125.848800004</v>
      </c>
      <c r="V240" s="66">
        <v>4724206.0718</v>
      </c>
      <c r="W240" s="66">
        <v>3046941.8827</v>
      </c>
      <c r="X240" s="66">
        <v>0</v>
      </c>
      <c r="Y240" s="66">
        <f t="shared" si="61"/>
        <v>3046941.8827</v>
      </c>
      <c r="Z240" s="66">
        <v>150640410.8883</v>
      </c>
      <c r="AA240" s="71">
        <f t="shared" si="55"/>
        <v>259976288.26640001</v>
      </c>
    </row>
    <row r="241" spans="1:27" ht="24.95" customHeight="1">
      <c r="A241" s="62"/>
      <c r="B241" s="188" t="s">
        <v>602</v>
      </c>
      <c r="C241" s="189"/>
      <c r="D241" s="67"/>
      <c r="E241" s="67">
        <f>SUM(E228:E240)</f>
        <v>457779174.87110001</v>
      </c>
      <c r="F241" s="67">
        <f t="shared" ref="F241:M241" si="66">SUM(F228:F240)</f>
        <v>-4715125.5010000002</v>
      </c>
      <c r="G241" s="67">
        <f t="shared" si="66"/>
        <v>1412267053.0611</v>
      </c>
      <c r="H241" s="67">
        <f t="shared" si="66"/>
        <v>75910414.514300004</v>
      </c>
      <c r="I241" s="67">
        <f t="shared" si="66"/>
        <v>56101386.837899998</v>
      </c>
      <c r="J241" s="67">
        <f t="shared" si="66"/>
        <v>0</v>
      </c>
      <c r="K241" s="67">
        <f t="shared" si="66"/>
        <v>56101386.837899998</v>
      </c>
      <c r="L241" s="67">
        <f t="shared" si="66"/>
        <v>2599839133.6824002</v>
      </c>
      <c r="M241" s="67">
        <f t="shared" si="66"/>
        <v>4597182037.4658003</v>
      </c>
      <c r="N241" s="70"/>
      <c r="O241" s="176"/>
      <c r="P241" s="72">
        <v>18</v>
      </c>
      <c r="Q241" s="176"/>
      <c r="R241" s="66" t="s">
        <v>603</v>
      </c>
      <c r="S241" s="66">
        <v>25919533.391199999</v>
      </c>
      <c r="T241" s="66">
        <v>0</v>
      </c>
      <c r="U241" s="66">
        <v>79962796.580799997</v>
      </c>
      <c r="V241" s="66">
        <v>5225918.7492000004</v>
      </c>
      <c r="W241" s="66">
        <v>3176469.8991</v>
      </c>
      <c r="X241" s="66">
        <v>0</v>
      </c>
      <c r="Y241" s="66">
        <f t="shared" si="61"/>
        <v>3176469.8991</v>
      </c>
      <c r="Z241" s="66">
        <v>168477345.6045</v>
      </c>
      <c r="AA241" s="71">
        <f t="shared" si="55"/>
        <v>282762064.22479999</v>
      </c>
    </row>
    <row r="242" spans="1:27" ht="24.95" customHeight="1">
      <c r="A242" s="181">
        <v>12</v>
      </c>
      <c r="B242" s="175" t="s">
        <v>604</v>
      </c>
      <c r="C242" s="62">
        <v>1</v>
      </c>
      <c r="D242" s="66" t="s">
        <v>605</v>
      </c>
      <c r="E242" s="66">
        <v>42119200.9384</v>
      </c>
      <c r="F242" s="66">
        <v>0</v>
      </c>
      <c r="G242" s="66">
        <v>129939418.5054</v>
      </c>
      <c r="H242" s="66">
        <v>8700821.1351999994</v>
      </c>
      <c r="I242" s="66">
        <v>5161758.5833999999</v>
      </c>
      <c r="J242" s="66">
        <f t="shared" ref="J242:J259" si="67">I242/2</f>
        <v>2580879.2916999999</v>
      </c>
      <c r="K242" s="66">
        <f t="shared" ref="K242:K259" si="68">I242-J242</f>
        <v>2580879.2916999999</v>
      </c>
      <c r="L242" s="81">
        <v>244611908.4639</v>
      </c>
      <c r="M242" s="71">
        <f t="shared" si="54"/>
        <v>427952228.33459997</v>
      </c>
      <c r="N242" s="70"/>
      <c r="O242" s="176"/>
      <c r="P242" s="72">
        <v>19</v>
      </c>
      <c r="Q242" s="176"/>
      <c r="R242" s="66" t="s">
        <v>606</v>
      </c>
      <c r="S242" s="66">
        <v>27466784.1382</v>
      </c>
      <c r="T242" s="66">
        <v>0</v>
      </c>
      <c r="U242" s="66">
        <v>84736126.982600003</v>
      </c>
      <c r="V242" s="66">
        <v>5191774.3047000002</v>
      </c>
      <c r="W242" s="66">
        <v>3366087.3336</v>
      </c>
      <c r="X242" s="66">
        <v>0</v>
      </c>
      <c r="Y242" s="66">
        <f t="shared" si="61"/>
        <v>3366087.3336</v>
      </c>
      <c r="Z242" s="66">
        <v>167263439.20919999</v>
      </c>
      <c r="AA242" s="71">
        <f t="shared" si="55"/>
        <v>288024211.96829998</v>
      </c>
    </row>
    <row r="243" spans="1:27" ht="24.95" customHeight="1">
      <c r="A243" s="181"/>
      <c r="B243" s="176"/>
      <c r="C243" s="62">
        <v>2</v>
      </c>
      <c r="D243" s="66" t="s">
        <v>607</v>
      </c>
      <c r="E243" s="66">
        <v>40004075.819200002</v>
      </c>
      <c r="F243" s="66">
        <v>0</v>
      </c>
      <c r="G243" s="66">
        <v>123414172.9658</v>
      </c>
      <c r="H243" s="66">
        <v>9577120.1105000004</v>
      </c>
      <c r="I243" s="66">
        <v>4902547.4636000004</v>
      </c>
      <c r="J243" s="66">
        <f t="shared" si="67"/>
        <v>2451273.7318000002</v>
      </c>
      <c r="K243" s="66">
        <f t="shared" si="68"/>
        <v>2451273.7318000002</v>
      </c>
      <c r="L243" s="81">
        <v>275766169.29500002</v>
      </c>
      <c r="M243" s="71">
        <f t="shared" si="54"/>
        <v>451212811.92229998</v>
      </c>
      <c r="N243" s="70"/>
      <c r="O243" s="176"/>
      <c r="P243" s="72">
        <v>20</v>
      </c>
      <c r="Q243" s="176"/>
      <c r="R243" s="66" t="s">
        <v>346</v>
      </c>
      <c r="S243" s="66">
        <v>27182441.838500001</v>
      </c>
      <c r="T243" s="66">
        <v>0</v>
      </c>
      <c r="U243" s="66">
        <v>83858919.622400001</v>
      </c>
      <c r="V243" s="66">
        <v>5371362.1419000002</v>
      </c>
      <c r="W243" s="66">
        <v>3331240.8439000002</v>
      </c>
      <c r="X243" s="66">
        <v>0</v>
      </c>
      <c r="Y243" s="66">
        <f t="shared" si="61"/>
        <v>3331240.8439000002</v>
      </c>
      <c r="Z243" s="66">
        <v>173648162.32139999</v>
      </c>
      <c r="AA243" s="71">
        <f t="shared" si="55"/>
        <v>293392126.76810002</v>
      </c>
    </row>
    <row r="244" spans="1:27" ht="24.95" customHeight="1">
      <c r="A244" s="181"/>
      <c r="B244" s="176"/>
      <c r="C244" s="62">
        <v>3</v>
      </c>
      <c r="D244" s="66" t="s">
        <v>608</v>
      </c>
      <c r="E244" s="66">
        <v>26471429.682</v>
      </c>
      <c r="F244" s="66">
        <v>0</v>
      </c>
      <c r="G244" s="66">
        <v>81665418.698599994</v>
      </c>
      <c r="H244" s="66">
        <v>6934457.2620000001</v>
      </c>
      <c r="I244" s="66">
        <v>3244105.4515</v>
      </c>
      <c r="J244" s="66">
        <f t="shared" si="67"/>
        <v>1622052.72575</v>
      </c>
      <c r="K244" s="66">
        <f t="shared" si="68"/>
        <v>1622052.72575</v>
      </c>
      <c r="L244" s="81">
        <v>181813979.47240001</v>
      </c>
      <c r="M244" s="71">
        <f t="shared" si="54"/>
        <v>298507337.84074998</v>
      </c>
      <c r="N244" s="70"/>
      <c r="O244" s="176"/>
      <c r="P244" s="72">
        <v>21</v>
      </c>
      <c r="Q244" s="176"/>
      <c r="R244" s="66" t="s">
        <v>609</v>
      </c>
      <c r="S244" s="66">
        <v>29410377.616500001</v>
      </c>
      <c r="T244" s="66">
        <v>0</v>
      </c>
      <c r="U244" s="66">
        <v>90732190.553499997</v>
      </c>
      <c r="V244" s="66">
        <v>5642872.9968999997</v>
      </c>
      <c r="W244" s="66">
        <v>3604277.0451000002</v>
      </c>
      <c r="X244" s="66">
        <v>0</v>
      </c>
      <c r="Y244" s="66">
        <f t="shared" si="61"/>
        <v>3604277.0451000002</v>
      </c>
      <c r="Z244" s="66">
        <v>183300940.92179999</v>
      </c>
      <c r="AA244" s="71">
        <f t="shared" si="55"/>
        <v>312690659.13380003</v>
      </c>
    </row>
    <row r="245" spans="1:27" ht="24.95" customHeight="1">
      <c r="A245" s="181"/>
      <c r="B245" s="176"/>
      <c r="C245" s="62">
        <v>4</v>
      </c>
      <c r="D245" s="66" t="s">
        <v>610</v>
      </c>
      <c r="E245" s="66">
        <v>27253116.796500001</v>
      </c>
      <c r="F245" s="66">
        <v>0</v>
      </c>
      <c r="G245" s="66">
        <v>84076954.692900002</v>
      </c>
      <c r="H245" s="66">
        <v>7092573.8649000004</v>
      </c>
      <c r="I245" s="66">
        <v>3339902.1447000001</v>
      </c>
      <c r="J245" s="66">
        <f t="shared" si="67"/>
        <v>1669951.07235</v>
      </c>
      <c r="K245" s="66">
        <f t="shared" si="68"/>
        <v>1669951.07235</v>
      </c>
      <c r="L245" s="81">
        <v>187435355.30989999</v>
      </c>
      <c r="M245" s="71">
        <f t="shared" si="54"/>
        <v>307527951.73654997</v>
      </c>
      <c r="N245" s="70"/>
      <c r="O245" s="176"/>
      <c r="P245" s="72">
        <v>22</v>
      </c>
      <c r="Q245" s="176"/>
      <c r="R245" s="66" t="s">
        <v>611</v>
      </c>
      <c r="S245" s="66">
        <v>26694795.541999999</v>
      </c>
      <c r="T245" s="66">
        <v>0</v>
      </c>
      <c r="U245" s="66">
        <v>82354511.305299997</v>
      </c>
      <c r="V245" s="66">
        <v>5187516.1061000004</v>
      </c>
      <c r="W245" s="66">
        <v>3271479.2055000002</v>
      </c>
      <c r="X245" s="66">
        <v>0</v>
      </c>
      <c r="Y245" s="66">
        <f t="shared" si="61"/>
        <v>3271479.2055000002</v>
      </c>
      <c r="Z245" s="66">
        <v>167112051.34470001</v>
      </c>
      <c r="AA245" s="71">
        <f t="shared" si="55"/>
        <v>284620353.5036</v>
      </c>
    </row>
    <row r="246" spans="1:27" ht="24.95" customHeight="1">
      <c r="A246" s="181"/>
      <c r="B246" s="176"/>
      <c r="C246" s="62">
        <v>5</v>
      </c>
      <c r="D246" s="66" t="s">
        <v>612</v>
      </c>
      <c r="E246" s="66">
        <v>32631380.504700001</v>
      </c>
      <c r="F246" s="66">
        <v>0</v>
      </c>
      <c r="G246" s="66">
        <v>100669113.21520001</v>
      </c>
      <c r="H246" s="66">
        <v>7637521.9029000001</v>
      </c>
      <c r="I246" s="66">
        <v>3999014.8116000001</v>
      </c>
      <c r="J246" s="66">
        <f t="shared" si="67"/>
        <v>1999507.4058000001</v>
      </c>
      <c r="K246" s="66">
        <f t="shared" si="68"/>
        <v>1999507.4058000001</v>
      </c>
      <c r="L246" s="81">
        <v>206809397.49720001</v>
      </c>
      <c r="M246" s="71">
        <f t="shared" si="54"/>
        <v>349746920.52579999</v>
      </c>
      <c r="N246" s="70"/>
      <c r="O246" s="176"/>
      <c r="P246" s="72">
        <v>23</v>
      </c>
      <c r="Q246" s="176"/>
      <c r="R246" s="66" t="s">
        <v>613</v>
      </c>
      <c r="S246" s="66">
        <v>32824997.218699999</v>
      </c>
      <c r="T246" s="66">
        <v>0</v>
      </c>
      <c r="U246" s="66">
        <v>101266428.5176</v>
      </c>
      <c r="V246" s="66">
        <v>6181095.7847999996</v>
      </c>
      <c r="W246" s="66">
        <v>4022742.7721000002</v>
      </c>
      <c r="X246" s="66">
        <v>0</v>
      </c>
      <c r="Y246" s="66">
        <f t="shared" si="61"/>
        <v>4022742.7721000002</v>
      </c>
      <c r="Z246" s="66">
        <v>202435886.40239999</v>
      </c>
      <c r="AA246" s="71">
        <f t="shared" si="55"/>
        <v>346731150.69559997</v>
      </c>
    </row>
    <row r="247" spans="1:27" ht="24.95" customHeight="1">
      <c r="A247" s="181"/>
      <c r="B247" s="176"/>
      <c r="C247" s="62">
        <v>6</v>
      </c>
      <c r="D247" s="66" t="s">
        <v>614</v>
      </c>
      <c r="E247" s="66">
        <v>27735493.736099999</v>
      </c>
      <c r="F247" s="66">
        <v>0</v>
      </c>
      <c r="G247" s="66">
        <v>85565106.833499998</v>
      </c>
      <c r="H247" s="66">
        <v>7165751.7966999998</v>
      </c>
      <c r="I247" s="66">
        <v>3399018.0170999998</v>
      </c>
      <c r="J247" s="66">
        <f t="shared" si="67"/>
        <v>1699509.0085499999</v>
      </c>
      <c r="K247" s="66">
        <f t="shared" si="68"/>
        <v>1699509.0085499999</v>
      </c>
      <c r="L247" s="81">
        <v>190036983.7967</v>
      </c>
      <c r="M247" s="71">
        <f t="shared" si="54"/>
        <v>312202845.17154998</v>
      </c>
      <c r="N247" s="70"/>
      <c r="O247" s="176"/>
      <c r="P247" s="72">
        <v>24</v>
      </c>
      <c r="Q247" s="176"/>
      <c r="R247" s="66" t="s">
        <v>615</v>
      </c>
      <c r="S247" s="66">
        <v>27220572.261100002</v>
      </c>
      <c r="T247" s="66">
        <v>0</v>
      </c>
      <c r="U247" s="66">
        <v>83976553.500200003</v>
      </c>
      <c r="V247" s="66">
        <v>5337724.6257999996</v>
      </c>
      <c r="W247" s="66">
        <v>3335913.7727999999</v>
      </c>
      <c r="X247" s="66">
        <v>0</v>
      </c>
      <c r="Y247" s="66">
        <f t="shared" si="61"/>
        <v>3335913.7727999999</v>
      </c>
      <c r="Z247" s="66">
        <v>172452278.29089999</v>
      </c>
      <c r="AA247" s="71">
        <f t="shared" si="55"/>
        <v>292323042.4508</v>
      </c>
    </row>
    <row r="248" spans="1:27" ht="24.95" customHeight="1">
      <c r="A248" s="181"/>
      <c r="B248" s="176"/>
      <c r="C248" s="62">
        <v>7</v>
      </c>
      <c r="D248" s="66" t="s">
        <v>616</v>
      </c>
      <c r="E248" s="66">
        <v>27761004.369600002</v>
      </c>
      <c r="F248" s="66">
        <v>0</v>
      </c>
      <c r="G248" s="66">
        <v>85643808.157600001</v>
      </c>
      <c r="H248" s="66">
        <v>6813526.6742000002</v>
      </c>
      <c r="I248" s="66">
        <v>3402144.3758</v>
      </c>
      <c r="J248" s="66">
        <f t="shared" si="67"/>
        <v>1701072.1879</v>
      </c>
      <c r="K248" s="66">
        <f t="shared" si="68"/>
        <v>1701072.1879</v>
      </c>
      <c r="L248" s="81">
        <v>177514644.21900001</v>
      </c>
      <c r="M248" s="71">
        <f t="shared" si="54"/>
        <v>299434055.60829997</v>
      </c>
      <c r="N248" s="70"/>
      <c r="O248" s="176"/>
      <c r="P248" s="72">
        <v>25</v>
      </c>
      <c r="Q248" s="176"/>
      <c r="R248" s="66" t="s">
        <v>617</v>
      </c>
      <c r="S248" s="66">
        <v>35862765.231399998</v>
      </c>
      <c r="T248" s="66">
        <v>0</v>
      </c>
      <c r="U248" s="66">
        <v>110638064.26369999</v>
      </c>
      <c r="V248" s="66">
        <v>5535978.6934000002</v>
      </c>
      <c r="W248" s="66">
        <v>4395024.8848000001</v>
      </c>
      <c r="X248" s="66">
        <v>0</v>
      </c>
      <c r="Y248" s="66">
        <f t="shared" si="61"/>
        <v>4395024.8848000001</v>
      </c>
      <c r="Z248" s="66">
        <v>179500624.92559999</v>
      </c>
      <c r="AA248" s="71">
        <f t="shared" si="55"/>
        <v>335932457.9989</v>
      </c>
    </row>
    <row r="249" spans="1:27" ht="24.95" customHeight="1">
      <c r="A249" s="181"/>
      <c r="B249" s="176"/>
      <c r="C249" s="62">
        <v>8</v>
      </c>
      <c r="D249" s="66" t="s">
        <v>618</v>
      </c>
      <c r="E249" s="66">
        <v>32205079.4463</v>
      </c>
      <c r="F249" s="66">
        <v>0</v>
      </c>
      <c r="G249" s="66">
        <v>99353957.409999996</v>
      </c>
      <c r="H249" s="66">
        <v>7392788.1327999998</v>
      </c>
      <c r="I249" s="66">
        <v>3946771.1057000002</v>
      </c>
      <c r="J249" s="66">
        <f t="shared" si="67"/>
        <v>1973385.5528500001</v>
      </c>
      <c r="K249" s="66">
        <f t="shared" si="68"/>
        <v>1973385.5528500001</v>
      </c>
      <c r="L249" s="81">
        <v>198108600.25650001</v>
      </c>
      <c r="M249" s="71">
        <f t="shared" si="54"/>
        <v>339033810.79844999</v>
      </c>
      <c r="N249" s="70"/>
      <c r="O249" s="176"/>
      <c r="P249" s="72">
        <v>26</v>
      </c>
      <c r="Q249" s="176"/>
      <c r="R249" s="66" t="s">
        <v>619</v>
      </c>
      <c r="S249" s="66">
        <v>24547226.605</v>
      </c>
      <c r="T249" s="66">
        <v>0</v>
      </c>
      <c r="U249" s="66">
        <v>75729175.2905</v>
      </c>
      <c r="V249" s="66">
        <v>4888045.3331000004</v>
      </c>
      <c r="W249" s="66">
        <v>3008292.0567999999</v>
      </c>
      <c r="X249" s="66">
        <v>0</v>
      </c>
      <c r="Y249" s="66">
        <f t="shared" si="61"/>
        <v>3008292.0567999999</v>
      </c>
      <c r="Z249" s="66">
        <v>156465239.1999</v>
      </c>
      <c r="AA249" s="71">
        <f t="shared" si="55"/>
        <v>264637978.4853</v>
      </c>
    </row>
    <row r="250" spans="1:27" ht="24.95" customHeight="1">
      <c r="A250" s="181"/>
      <c r="B250" s="176"/>
      <c r="C250" s="62">
        <v>9</v>
      </c>
      <c r="D250" s="66" t="s">
        <v>620</v>
      </c>
      <c r="E250" s="66">
        <v>35445642.823399998</v>
      </c>
      <c r="F250" s="66">
        <v>0</v>
      </c>
      <c r="G250" s="66">
        <v>109351224.96160001</v>
      </c>
      <c r="H250" s="66">
        <v>7974212.4861000003</v>
      </c>
      <c r="I250" s="66">
        <v>4343906.0334999999</v>
      </c>
      <c r="J250" s="66">
        <f t="shared" si="67"/>
        <v>2171953.01675</v>
      </c>
      <c r="K250" s="66">
        <f t="shared" si="68"/>
        <v>2171953.01675</v>
      </c>
      <c r="L250" s="81">
        <v>218779451.71720001</v>
      </c>
      <c r="M250" s="71">
        <f t="shared" si="54"/>
        <v>373722485.00505</v>
      </c>
      <c r="N250" s="70"/>
      <c r="O250" s="176"/>
      <c r="P250" s="72">
        <v>27</v>
      </c>
      <c r="Q250" s="176"/>
      <c r="R250" s="66" t="s">
        <v>621</v>
      </c>
      <c r="S250" s="66">
        <v>29691041.0112</v>
      </c>
      <c r="T250" s="66">
        <v>0</v>
      </c>
      <c r="U250" s="66">
        <v>91598048.345100001</v>
      </c>
      <c r="V250" s="66">
        <v>5509517.0305000003</v>
      </c>
      <c r="W250" s="66">
        <v>3638672.6806999999</v>
      </c>
      <c r="X250" s="66">
        <v>0</v>
      </c>
      <c r="Y250" s="66">
        <f t="shared" si="61"/>
        <v>3638672.6806999999</v>
      </c>
      <c r="Z250" s="66">
        <v>178559857.48179999</v>
      </c>
      <c r="AA250" s="71">
        <f t="shared" si="55"/>
        <v>308997136.54930001</v>
      </c>
    </row>
    <row r="251" spans="1:27" ht="24.95" customHeight="1">
      <c r="A251" s="181"/>
      <c r="B251" s="176"/>
      <c r="C251" s="62">
        <v>10</v>
      </c>
      <c r="D251" s="66" t="s">
        <v>622</v>
      </c>
      <c r="E251" s="66">
        <v>25791906.6041</v>
      </c>
      <c r="F251" s="66">
        <v>0</v>
      </c>
      <c r="G251" s="66">
        <v>79569062.841000006</v>
      </c>
      <c r="H251" s="66">
        <v>6532620.7460000003</v>
      </c>
      <c r="I251" s="66">
        <v>3160829.0833000001</v>
      </c>
      <c r="J251" s="66">
        <f t="shared" si="67"/>
        <v>1580414.54165</v>
      </c>
      <c r="K251" s="66">
        <f t="shared" si="68"/>
        <v>1580414.54165</v>
      </c>
      <c r="L251" s="81">
        <v>167527851.12380001</v>
      </c>
      <c r="M251" s="71">
        <f t="shared" si="54"/>
        <v>281001855.85654998</v>
      </c>
      <c r="N251" s="70"/>
      <c r="O251" s="176"/>
      <c r="P251" s="72">
        <v>28</v>
      </c>
      <c r="Q251" s="176"/>
      <c r="R251" s="66" t="s">
        <v>623</v>
      </c>
      <c r="S251" s="66">
        <v>29786241.025899999</v>
      </c>
      <c r="T251" s="66">
        <v>0</v>
      </c>
      <c r="U251" s="66">
        <v>91891744.195999995</v>
      </c>
      <c r="V251" s="66">
        <v>5699401.1469000001</v>
      </c>
      <c r="W251" s="66">
        <v>3650339.5567000001</v>
      </c>
      <c r="X251" s="66">
        <v>0</v>
      </c>
      <c r="Y251" s="66">
        <f t="shared" si="61"/>
        <v>3650339.5567000001</v>
      </c>
      <c r="Z251" s="66">
        <v>185310634.84830001</v>
      </c>
      <c r="AA251" s="71">
        <f t="shared" si="55"/>
        <v>316338360.77380002</v>
      </c>
    </row>
    <row r="252" spans="1:27" ht="24.95" customHeight="1">
      <c r="A252" s="181"/>
      <c r="B252" s="176"/>
      <c r="C252" s="62">
        <v>11</v>
      </c>
      <c r="D252" s="66" t="s">
        <v>624</v>
      </c>
      <c r="E252" s="66">
        <v>44256035.335000001</v>
      </c>
      <c r="F252" s="66">
        <v>0</v>
      </c>
      <c r="G252" s="66">
        <v>136531638.03330001</v>
      </c>
      <c r="H252" s="66">
        <v>9928669.3286000006</v>
      </c>
      <c r="I252" s="66">
        <v>5423630.2010000004</v>
      </c>
      <c r="J252" s="66">
        <f t="shared" si="67"/>
        <v>2711815.1005000002</v>
      </c>
      <c r="K252" s="66">
        <f t="shared" si="68"/>
        <v>2711815.1005000002</v>
      </c>
      <c r="L252" s="81">
        <v>288264479.0528</v>
      </c>
      <c r="M252" s="71">
        <f t="shared" si="54"/>
        <v>481692636.8502</v>
      </c>
      <c r="N252" s="70"/>
      <c r="O252" s="176"/>
      <c r="P252" s="72">
        <v>29</v>
      </c>
      <c r="Q252" s="176"/>
      <c r="R252" s="66" t="s">
        <v>625</v>
      </c>
      <c r="S252" s="66">
        <v>26248397.905699998</v>
      </c>
      <c r="T252" s="66">
        <v>0</v>
      </c>
      <c r="U252" s="66">
        <v>80977356.753700003</v>
      </c>
      <c r="V252" s="66">
        <v>5186389.5985000003</v>
      </c>
      <c r="W252" s="66">
        <v>3216772.6398</v>
      </c>
      <c r="X252" s="66">
        <v>0</v>
      </c>
      <c r="Y252" s="66">
        <f t="shared" si="61"/>
        <v>3216772.6398</v>
      </c>
      <c r="Z252" s="66">
        <v>167072001.6451</v>
      </c>
      <c r="AA252" s="71">
        <f t="shared" si="55"/>
        <v>282700918.54280001</v>
      </c>
    </row>
    <row r="253" spans="1:27" ht="24.95" customHeight="1">
      <c r="A253" s="181"/>
      <c r="B253" s="176"/>
      <c r="C253" s="62">
        <v>12</v>
      </c>
      <c r="D253" s="66" t="s">
        <v>626</v>
      </c>
      <c r="E253" s="66">
        <v>45546501.199900001</v>
      </c>
      <c r="F253" s="66">
        <v>0</v>
      </c>
      <c r="G253" s="66">
        <v>140512776.81</v>
      </c>
      <c r="H253" s="66">
        <v>9968829.3234999999</v>
      </c>
      <c r="I253" s="66">
        <v>5581778.3403000003</v>
      </c>
      <c r="J253" s="66">
        <f t="shared" si="67"/>
        <v>2790889.1701500001</v>
      </c>
      <c r="K253" s="66">
        <f t="shared" si="68"/>
        <v>2790889.1701500001</v>
      </c>
      <c r="L253" s="81">
        <v>289692250.84399998</v>
      </c>
      <c r="M253" s="71">
        <f t="shared" si="54"/>
        <v>488511247.34754997</v>
      </c>
      <c r="N253" s="70"/>
      <c r="O253" s="177"/>
      <c r="P253" s="72">
        <v>30</v>
      </c>
      <c r="Q253" s="177"/>
      <c r="R253" s="66" t="s">
        <v>627</v>
      </c>
      <c r="S253" s="66">
        <v>29203307.949900001</v>
      </c>
      <c r="T253" s="66">
        <v>0</v>
      </c>
      <c r="U253" s="66">
        <v>90093372.355100006</v>
      </c>
      <c r="V253" s="66">
        <v>5790389.1634999998</v>
      </c>
      <c r="W253" s="66">
        <v>3578900.4092000001</v>
      </c>
      <c r="X253" s="66">
        <v>0</v>
      </c>
      <c r="Y253" s="66">
        <f t="shared" si="61"/>
        <v>3578900.4092000001</v>
      </c>
      <c r="Z253" s="66">
        <v>188545449.086</v>
      </c>
      <c r="AA253" s="71">
        <f t="shared" si="55"/>
        <v>317211418.9637</v>
      </c>
    </row>
    <row r="254" spans="1:27" ht="24.95" customHeight="1">
      <c r="A254" s="181"/>
      <c r="B254" s="176"/>
      <c r="C254" s="62">
        <v>13</v>
      </c>
      <c r="D254" s="66" t="s">
        <v>628</v>
      </c>
      <c r="E254" s="66">
        <v>35699678.7421</v>
      </c>
      <c r="F254" s="66">
        <v>0</v>
      </c>
      <c r="G254" s="66">
        <v>110134935.9253</v>
      </c>
      <c r="H254" s="66">
        <v>7806452.9784000004</v>
      </c>
      <c r="I254" s="66">
        <v>4375038.4401000002</v>
      </c>
      <c r="J254" s="66">
        <f t="shared" si="67"/>
        <v>2187519.2200500001</v>
      </c>
      <c r="K254" s="66">
        <f t="shared" si="68"/>
        <v>2187519.2200500001</v>
      </c>
      <c r="L254" s="81">
        <v>212815250.45100001</v>
      </c>
      <c r="M254" s="71">
        <f t="shared" si="54"/>
        <v>368643837.31685001</v>
      </c>
      <c r="N254" s="70"/>
      <c r="O254" s="62"/>
      <c r="P254" s="189" t="s">
        <v>629</v>
      </c>
      <c r="Q254" s="190"/>
      <c r="R254" s="67"/>
      <c r="S254" s="67">
        <f t="shared" ref="S254:W254" si="69">SUM(S224:S253)</f>
        <v>832243126.68859994</v>
      </c>
      <c r="T254" s="67">
        <f t="shared" si="69"/>
        <v>0</v>
      </c>
      <c r="U254" s="67">
        <f t="shared" si="69"/>
        <v>2567503312.6848001</v>
      </c>
      <c r="V254" s="67">
        <f t="shared" si="69"/>
        <v>159322962.6618</v>
      </c>
      <c r="W254" s="67">
        <f t="shared" si="69"/>
        <v>101992393.1813</v>
      </c>
      <c r="X254" s="67">
        <f t="shared" ref="X254" si="70">SUM(X224:X253)</f>
        <v>0</v>
      </c>
      <c r="Y254" s="67">
        <f t="shared" si="61"/>
        <v>101992393.1813</v>
      </c>
      <c r="Z254" s="67">
        <f>SUM(Z224:Z253)</f>
        <v>5144814666.8919001</v>
      </c>
      <c r="AA254" s="67">
        <f>SUM(AA224:AA253)</f>
        <v>8805876462.1084003</v>
      </c>
    </row>
    <row r="255" spans="1:27" ht="24.95" customHeight="1">
      <c r="A255" s="181"/>
      <c r="B255" s="176"/>
      <c r="C255" s="62">
        <v>14</v>
      </c>
      <c r="D255" s="66" t="s">
        <v>630</v>
      </c>
      <c r="E255" s="66">
        <v>34045898.674400002</v>
      </c>
      <c r="F255" s="66">
        <v>0</v>
      </c>
      <c r="G255" s="66">
        <v>105032958.3107</v>
      </c>
      <c r="H255" s="66">
        <v>7481252.7725</v>
      </c>
      <c r="I255" s="66">
        <v>4172365.7094999999</v>
      </c>
      <c r="J255" s="66">
        <f t="shared" si="67"/>
        <v>2086182.8547499999</v>
      </c>
      <c r="K255" s="66">
        <f t="shared" si="68"/>
        <v>2086182.8547499999</v>
      </c>
      <c r="L255" s="81">
        <v>201253703.167</v>
      </c>
      <c r="M255" s="71">
        <f t="shared" si="54"/>
        <v>349899995.77934998</v>
      </c>
      <c r="N255" s="70"/>
      <c r="O255" s="175">
        <v>30</v>
      </c>
      <c r="P255" s="72">
        <v>1</v>
      </c>
      <c r="Q255" s="175" t="s">
        <v>117</v>
      </c>
      <c r="R255" s="66" t="s">
        <v>631</v>
      </c>
      <c r="S255" s="66">
        <v>28741606.692400001</v>
      </c>
      <c r="T255" s="66">
        <v>0</v>
      </c>
      <c r="U255" s="66">
        <v>88669005.520500004</v>
      </c>
      <c r="V255" s="66">
        <v>7046435.2505000001</v>
      </c>
      <c r="W255" s="66">
        <v>3522318.3664000002</v>
      </c>
      <c r="X255" s="66">
        <v>0</v>
      </c>
      <c r="Y255" s="66">
        <f t="shared" si="61"/>
        <v>3522318.3664000002</v>
      </c>
      <c r="Z255" s="66">
        <v>225709500.44139999</v>
      </c>
      <c r="AA255" s="71">
        <f t="shared" si="55"/>
        <v>353688866.2712</v>
      </c>
    </row>
    <row r="256" spans="1:27" ht="24.95" customHeight="1">
      <c r="A256" s="181"/>
      <c r="B256" s="176"/>
      <c r="C256" s="62">
        <v>15</v>
      </c>
      <c r="D256" s="66" t="s">
        <v>632</v>
      </c>
      <c r="E256" s="66">
        <v>37158297.100699998</v>
      </c>
      <c r="F256" s="66">
        <v>0</v>
      </c>
      <c r="G256" s="66">
        <v>114634831.8662</v>
      </c>
      <c r="H256" s="66">
        <v>7272927.7271999996</v>
      </c>
      <c r="I256" s="66">
        <v>4553793.8689999999</v>
      </c>
      <c r="J256" s="66">
        <f t="shared" si="67"/>
        <v>2276896.9345</v>
      </c>
      <c r="K256" s="66">
        <f t="shared" si="68"/>
        <v>2276896.9345</v>
      </c>
      <c r="L256" s="81">
        <v>193847312.21779999</v>
      </c>
      <c r="M256" s="71">
        <f t="shared" si="54"/>
        <v>355190265.84640002</v>
      </c>
      <c r="N256" s="70"/>
      <c r="O256" s="176"/>
      <c r="P256" s="72">
        <v>2</v>
      </c>
      <c r="Q256" s="176"/>
      <c r="R256" s="66" t="s">
        <v>633</v>
      </c>
      <c r="S256" s="66">
        <v>33377579.553199999</v>
      </c>
      <c r="T256" s="66">
        <v>0</v>
      </c>
      <c r="U256" s="66">
        <v>102971167.1075</v>
      </c>
      <c r="V256" s="66">
        <v>7915941.3850999996</v>
      </c>
      <c r="W256" s="66">
        <v>4090462.3997999998</v>
      </c>
      <c r="X256" s="66">
        <v>0</v>
      </c>
      <c r="Y256" s="66">
        <f t="shared" si="61"/>
        <v>4090462.3997999998</v>
      </c>
      <c r="Z256" s="66">
        <v>256622261.5839</v>
      </c>
      <c r="AA256" s="71">
        <f t="shared" si="55"/>
        <v>404977412.02950001</v>
      </c>
    </row>
    <row r="257" spans="1:27" ht="24.95" customHeight="1">
      <c r="A257" s="181"/>
      <c r="B257" s="176"/>
      <c r="C257" s="62">
        <v>16</v>
      </c>
      <c r="D257" s="66" t="s">
        <v>634</v>
      </c>
      <c r="E257" s="66">
        <v>32595545.590100002</v>
      </c>
      <c r="F257" s="66">
        <v>0</v>
      </c>
      <c r="G257" s="66">
        <v>100558561.0714</v>
      </c>
      <c r="H257" s="66">
        <v>7487290.8530999999</v>
      </c>
      <c r="I257" s="66">
        <v>3994623.1998000001</v>
      </c>
      <c r="J257" s="66">
        <f t="shared" si="67"/>
        <v>1997311.5999</v>
      </c>
      <c r="K257" s="66">
        <f t="shared" si="68"/>
        <v>1997311.5999</v>
      </c>
      <c r="L257" s="81">
        <v>201468369.55689999</v>
      </c>
      <c r="M257" s="71">
        <f t="shared" si="54"/>
        <v>344107078.67140001</v>
      </c>
      <c r="N257" s="70"/>
      <c r="O257" s="176"/>
      <c r="P257" s="72">
        <v>3</v>
      </c>
      <c r="Q257" s="176"/>
      <c r="R257" s="66" t="s">
        <v>635</v>
      </c>
      <c r="S257" s="66">
        <v>33247716.3796</v>
      </c>
      <c r="T257" s="66">
        <v>0</v>
      </c>
      <c r="U257" s="66">
        <v>102570534.02590001</v>
      </c>
      <c r="V257" s="66">
        <v>7446672.1257999996</v>
      </c>
      <c r="W257" s="66">
        <v>4074547.5122000002</v>
      </c>
      <c r="X257" s="66">
        <v>0</v>
      </c>
      <c r="Y257" s="66">
        <f t="shared" si="61"/>
        <v>4074547.5122000002</v>
      </c>
      <c r="Z257" s="66">
        <v>239938758.2166</v>
      </c>
      <c r="AA257" s="71">
        <f t="shared" si="55"/>
        <v>387278228.26010001</v>
      </c>
    </row>
    <row r="258" spans="1:27" ht="24.95" customHeight="1">
      <c r="A258" s="181"/>
      <c r="B258" s="176"/>
      <c r="C258" s="62">
        <v>17</v>
      </c>
      <c r="D258" s="66" t="s">
        <v>636</v>
      </c>
      <c r="E258" s="66">
        <v>26732773.4397</v>
      </c>
      <c r="F258" s="66">
        <v>0</v>
      </c>
      <c r="G258" s="66">
        <v>82471674.637600005</v>
      </c>
      <c r="H258" s="66">
        <v>6845215.3322000001</v>
      </c>
      <c r="I258" s="66">
        <v>3276133.4423000002</v>
      </c>
      <c r="J258" s="66">
        <f t="shared" si="67"/>
        <v>1638066.7211500001</v>
      </c>
      <c r="K258" s="66">
        <f t="shared" si="68"/>
        <v>1638066.7211500001</v>
      </c>
      <c r="L258" s="81">
        <v>178641242.26910001</v>
      </c>
      <c r="M258" s="71">
        <f t="shared" si="54"/>
        <v>296328972.39974999</v>
      </c>
      <c r="N258" s="70"/>
      <c r="O258" s="176"/>
      <c r="P258" s="72">
        <v>4</v>
      </c>
      <c r="Q258" s="176"/>
      <c r="R258" s="66" t="s">
        <v>637</v>
      </c>
      <c r="S258" s="66">
        <v>35621016.324900001</v>
      </c>
      <c r="T258" s="66">
        <v>0</v>
      </c>
      <c r="U258" s="66">
        <v>109892259.22390001</v>
      </c>
      <c r="V258" s="66">
        <v>6783046.5149999997</v>
      </c>
      <c r="W258" s="66">
        <v>4365398.2664000001</v>
      </c>
      <c r="X258" s="66">
        <v>0</v>
      </c>
      <c r="Y258" s="66">
        <f t="shared" si="61"/>
        <v>4365398.2664000001</v>
      </c>
      <c r="Z258" s="66">
        <v>216345480.17519999</v>
      </c>
      <c r="AA258" s="71">
        <f t="shared" si="55"/>
        <v>373007200.5054</v>
      </c>
    </row>
    <row r="259" spans="1:27" ht="24.95" customHeight="1">
      <c r="A259" s="181"/>
      <c r="B259" s="177"/>
      <c r="C259" s="62">
        <v>18</v>
      </c>
      <c r="D259" s="66" t="s">
        <v>638</v>
      </c>
      <c r="E259" s="66">
        <v>33266239.5777</v>
      </c>
      <c r="F259" s="66">
        <v>0</v>
      </c>
      <c r="G259" s="66">
        <v>102627678.83230001</v>
      </c>
      <c r="H259" s="66">
        <v>7109099.7308999998</v>
      </c>
      <c r="I259" s="66">
        <v>4076817.5523000001</v>
      </c>
      <c r="J259" s="66">
        <f t="shared" si="67"/>
        <v>2038408.77615</v>
      </c>
      <c r="K259" s="66">
        <f t="shared" si="68"/>
        <v>2038408.77615</v>
      </c>
      <c r="L259" s="81">
        <v>188022884.4032</v>
      </c>
      <c r="M259" s="71">
        <f t="shared" si="54"/>
        <v>333064311.32024997</v>
      </c>
      <c r="N259" s="70"/>
      <c r="O259" s="176"/>
      <c r="P259" s="72">
        <v>5</v>
      </c>
      <c r="Q259" s="176"/>
      <c r="R259" s="66" t="s">
        <v>639</v>
      </c>
      <c r="S259" s="66">
        <v>36141094.4045</v>
      </c>
      <c r="T259" s="66">
        <v>0</v>
      </c>
      <c r="U259" s="66">
        <v>111496720.8882</v>
      </c>
      <c r="V259" s="66">
        <v>8706907.4118000008</v>
      </c>
      <c r="W259" s="66">
        <v>4429134.4587000003</v>
      </c>
      <c r="X259" s="66">
        <v>0</v>
      </c>
      <c r="Y259" s="66">
        <f t="shared" si="61"/>
        <v>4429134.4587000003</v>
      </c>
      <c r="Z259" s="66">
        <v>284742757.66939998</v>
      </c>
      <c r="AA259" s="71">
        <f t="shared" si="55"/>
        <v>445516614.8326</v>
      </c>
    </row>
    <row r="260" spans="1:27" ht="24.95" customHeight="1">
      <c r="A260" s="62"/>
      <c r="B260" s="188" t="s">
        <v>604</v>
      </c>
      <c r="C260" s="189"/>
      <c r="D260" s="67"/>
      <c r="E260" s="67">
        <f>SUM(E242:E259)</f>
        <v>606719300.37989998</v>
      </c>
      <c r="F260" s="67">
        <f t="shared" ref="F260:M260" si="71">SUM(F242:F259)</f>
        <v>0</v>
      </c>
      <c r="G260" s="67">
        <f t="shared" si="71"/>
        <v>1871753293.7684</v>
      </c>
      <c r="H260" s="67">
        <f t="shared" si="71"/>
        <v>139721132.1577</v>
      </c>
      <c r="I260" s="67">
        <f t="shared" si="71"/>
        <v>74354177.824499995</v>
      </c>
      <c r="J260" s="67">
        <f t="shared" si="71"/>
        <v>37177088.912249997</v>
      </c>
      <c r="K260" s="67">
        <f t="shared" si="71"/>
        <v>37177088.912249997</v>
      </c>
      <c r="L260" s="67">
        <f t="shared" si="71"/>
        <v>3802409833.1134</v>
      </c>
      <c r="M260" s="67">
        <f t="shared" si="71"/>
        <v>6457780648.3316498</v>
      </c>
      <c r="N260" s="70"/>
      <c r="O260" s="176"/>
      <c r="P260" s="72">
        <v>6</v>
      </c>
      <c r="Q260" s="176"/>
      <c r="R260" s="66" t="s">
        <v>640</v>
      </c>
      <c r="S260" s="66">
        <v>37145688.476099998</v>
      </c>
      <c r="T260" s="66">
        <v>0</v>
      </c>
      <c r="U260" s="66">
        <v>114595933.7554</v>
      </c>
      <c r="V260" s="66">
        <v>8991035.1516999993</v>
      </c>
      <c r="W260" s="66">
        <v>4552248.6670000004</v>
      </c>
      <c r="X260" s="66">
        <v>0</v>
      </c>
      <c r="Y260" s="66">
        <f t="shared" si="61"/>
        <v>4552248.6670000004</v>
      </c>
      <c r="Z260" s="66">
        <v>294844092.90549999</v>
      </c>
      <c r="AA260" s="71">
        <f t="shared" si="55"/>
        <v>460128998.95569998</v>
      </c>
    </row>
    <row r="261" spans="1:27" ht="24.95" customHeight="1">
      <c r="A261" s="181">
        <v>13</v>
      </c>
      <c r="B261" s="175" t="s">
        <v>641</v>
      </c>
      <c r="C261" s="62">
        <v>1</v>
      </c>
      <c r="D261" s="66" t="s">
        <v>642</v>
      </c>
      <c r="E261" s="66">
        <v>39088539.348200001</v>
      </c>
      <c r="F261" s="66">
        <v>0</v>
      </c>
      <c r="G261" s="66">
        <v>120589706.3564</v>
      </c>
      <c r="H261" s="66">
        <v>7478291.2993000001</v>
      </c>
      <c r="I261" s="66">
        <v>4790347.3711000001</v>
      </c>
      <c r="J261" s="66">
        <v>0</v>
      </c>
      <c r="K261" s="66">
        <f t="shared" ref="K261:K276" si="72">I261-J261</f>
        <v>4790347.3711000001</v>
      </c>
      <c r="L261" s="81">
        <v>263535681.06169999</v>
      </c>
      <c r="M261" s="71">
        <f t="shared" si="54"/>
        <v>435482565.43669999</v>
      </c>
      <c r="N261" s="70"/>
      <c r="O261" s="176"/>
      <c r="P261" s="72">
        <v>7</v>
      </c>
      <c r="Q261" s="176"/>
      <c r="R261" s="66" t="s">
        <v>643</v>
      </c>
      <c r="S261" s="66">
        <v>40271139.3983</v>
      </c>
      <c r="T261" s="66">
        <v>0</v>
      </c>
      <c r="U261" s="66">
        <v>124238074.7823</v>
      </c>
      <c r="V261" s="66">
        <v>9256935.9989999998</v>
      </c>
      <c r="W261" s="66">
        <v>4935276.4254000001</v>
      </c>
      <c r="X261" s="66">
        <v>0</v>
      </c>
      <c r="Y261" s="66">
        <f t="shared" si="61"/>
        <v>4935276.4254000001</v>
      </c>
      <c r="Z261" s="66">
        <v>304297424.00190002</v>
      </c>
      <c r="AA261" s="71">
        <f t="shared" si="55"/>
        <v>482998850.60689998</v>
      </c>
    </row>
    <row r="262" spans="1:27" ht="24.95" customHeight="1">
      <c r="A262" s="181"/>
      <c r="B262" s="176"/>
      <c r="C262" s="62">
        <v>2</v>
      </c>
      <c r="D262" s="66" t="s">
        <v>644</v>
      </c>
      <c r="E262" s="66">
        <v>29743737.093800001</v>
      </c>
      <c r="F262" s="66">
        <v>0</v>
      </c>
      <c r="G262" s="66">
        <v>91760617.866400003</v>
      </c>
      <c r="H262" s="66">
        <v>5671057.7313999999</v>
      </c>
      <c r="I262" s="66">
        <v>3645130.6488000001</v>
      </c>
      <c r="J262" s="66">
        <v>0</v>
      </c>
      <c r="K262" s="66">
        <f t="shared" si="72"/>
        <v>3645130.6488000001</v>
      </c>
      <c r="L262" s="81">
        <v>199284748.96830001</v>
      </c>
      <c r="M262" s="71">
        <f t="shared" si="54"/>
        <v>330105292.30870003</v>
      </c>
      <c r="N262" s="70"/>
      <c r="O262" s="176"/>
      <c r="P262" s="72">
        <v>8</v>
      </c>
      <c r="Q262" s="176"/>
      <c r="R262" s="66" t="s">
        <v>645</v>
      </c>
      <c r="S262" s="66">
        <v>29638080.697700001</v>
      </c>
      <c r="T262" s="66">
        <v>0</v>
      </c>
      <c r="U262" s="66">
        <v>91434663.660899997</v>
      </c>
      <c r="V262" s="66">
        <v>7256652.8284999998</v>
      </c>
      <c r="W262" s="66">
        <v>3632182.3306999998</v>
      </c>
      <c r="X262" s="66">
        <v>0</v>
      </c>
      <c r="Y262" s="66">
        <f t="shared" si="61"/>
        <v>3632182.3306999998</v>
      </c>
      <c r="Z262" s="66">
        <v>233183174.88600001</v>
      </c>
      <c r="AA262" s="71">
        <f t="shared" si="55"/>
        <v>365144754.40380001</v>
      </c>
    </row>
    <row r="263" spans="1:27" ht="24.95" customHeight="1">
      <c r="A263" s="181"/>
      <c r="B263" s="176"/>
      <c r="C263" s="62">
        <v>3</v>
      </c>
      <c r="D263" s="66" t="s">
        <v>646</v>
      </c>
      <c r="E263" s="66">
        <v>28360235.104800001</v>
      </c>
      <c r="F263" s="66">
        <v>0</v>
      </c>
      <c r="G263" s="66">
        <v>87492458.928200006</v>
      </c>
      <c r="H263" s="66">
        <v>4981049.3132999996</v>
      </c>
      <c r="I263" s="66">
        <v>3475580.8209000002</v>
      </c>
      <c r="J263" s="66">
        <v>0</v>
      </c>
      <c r="K263" s="66">
        <f t="shared" si="72"/>
        <v>3475580.8209000002</v>
      </c>
      <c r="L263" s="81">
        <v>174753506.96200001</v>
      </c>
      <c r="M263" s="71">
        <f t="shared" si="54"/>
        <v>299062831.12919998</v>
      </c>
      <c r="N263" s="70"/>
      <c r="O263" s="176"/>
      <c r="P263" s="72">
        <v>9</v>
      </c>
      <c r="Q263" s="176"/>
      <c r="R263" s="66" t="s">
        <v>647</v>
      </c>
      <c r="S263" s="66">
        <v>35174146.953500003</v>
      </c>
      <c r="T263" s="66">
        <v>0</v>
      </c>
      <c r="U263" s="66">
        <v>108513649.3506</v>
      </c>
      <c r="V263" s="66">
        <v>8531994.5811000001</v>
      </c>
      <c r="W263" s="66">
        <v>4310633.8891000003</v>
      </c>
      <c r="X263" s="66">
        <v>0</v>
      </c>
      <c r="Y263" s="66">
        <f t="shared" si="61"/>
        <v>4310633.8891000003</v>
      </c>
      <c r="Z263" s="66">
        <v>278524240.8107</v>
      </c>
      <c r="AA263" s="71">
        <f t="shared" si="55"/>
        <v>435054665.58499998</v>
      </c>
    </row>
    <row r="264" spans="1:27" ht="24.95" customHeight="1">
      <c r="A264" s="181"/>
      <c r="B264" s="176"/>
      <c r="C264" s="62">
        <v>4</v>
      </c>
      <c r="D264" s="66" t="s">
        <v>648</v>
      </c>
      <c r="E264" s="66">
        <v>29283482.385200001</v>
      </c>
      <c r="F264" s="66">
        <v>0</v>
      </c>
      <c r="G264" s="66">
        <v>90340713.693000004</v>
      </c>
      <c r="H264" s="66">
        <v>5555725.8860999998</v>
      </c>
      <c r="I264" s="66">
        <v>3588725.8824</v>
      </c>
      <c r="J264" s="66">
        <v>0</v>
      </c>
      <c r="K264" s="66">
        <f t="shared" si="72"/>
        <v>3588725.8824</v>
      </c>
      <c r="L264" s="81">
        <v>195184460.722</v>
      </c>
      <c r="M264" s="71">
        <f t="shared" ref="M264:M327" si="73">E264+F264+G264+H264+K264+L264</f>
        <v>323953108.56870002</v>
      </c>
      <c r="N264" s="70"/>
      <c r="O264" s="176"/>
      <c r="P264" s="72">
        <v>10</v>
      </c>
      <c r="Q264" s="176"/>
      <c r="R264" s="66" t="s">
        <v>649</v>
      </c>
      <c r="S264" s="66">
        <v>36825715.533200003</v>
      </c>
      <c r="T264" s="66">
        <v>0</v>
      </c>
      <c r="U264" s="66">
        <v>113608804.43619999</v>
      </c>
      <c r="V264" s="66">
        <v>8718307.6685000006</v>
      </c>
      <c r="W264" s="66">
        <v>4513035.5991000002</v>
      </c>
      <c r="X264" s="66">
        <v>0</v>
      </c>
      <c r="Y264" s="66">
        <f t="shared" si="61"/>
        <v>4513035.5991000002</v>
      </c>
      <c r="Z264" s="66">
        <v>285148060.62949997</v>
      </c>
      <c r="AA264" s="71">
        <f t="shared" ref="AA264:AA327" si="74">S264+T264+U264+V264+Y264+Z264</f>
        <v>448813923.86650002</v>
      </c>
    </row>
    <row r="265" spans="1:27" ht="24.95" customHeight="1">
      <c r="A265" s="181"/>
      <c r="B265" s="176"/>
      <c r="C265" s="62">
        <v>5</v>
      </c>
      <c r="D265" s="66" t="s">
        <v>650</v>
      </c>
      <c r="E265" s="66">
        <v>31016914.345100001</v>
      </c>
      <c r="F265" s="66">
        <v>0</v>
      </c>
      <c r="G265" s="66">
        <v>95688420.578700006</v>
      </c>
      <c r="H265" s="66">
        <v>5863510.2850000001</v>
      </c>
      <c r="I265" s="66">
        <v>3801160.0477999998</v>
      </c>
      <c r="J265" s="66">
        <v>0</v>
      </c>
      <c r="K265" s="66">
        <f t="shared" si="72"/>
        <v>3801160.0477999998</v>
      </c>
      <c r="L265" s="81">
        <v>206126839.65000001</v>
      </c>
      <c r="M265" s="71">
        <f t="shared" si="73"/>
        <v>342496844.9066</v>
      </c>
      <c r="N265" s="70"/>
      <c r="O265" s="176"/>
      <c r="P265" s="72">
        <v>11</v>
      </c>
      <c r="Q265" s="176"/>
      <c r="R265" s="66" t="s">
        <v>651</v>
      </c>
      <c r="S265" s="66">
        <v>26633675.392099999</v>
      </c>
      <c r="T265" s="66">
        <v>0</v>
      </c>
      <c r="U265" s="66">
        <v>82165953.199599996</v>
      </c>
      <c r="V265" s="66">
        <v>6695032.4784000004</v>
      </c>
      <c r="W265" s="66">
        <v>3263988.8577999999</v>
      </c>
      <c r="X265" s="66">
        <v>0</v>
      </c>
      <c r="Y265" s="66">
        <f t="shared" si="61"/>
        <v>3263988.8577999999</v>
      </c>
      <c r="Z265" s="66">
        <v>213216397.14449999</v>
      </c>
      <c r="AA265" s="71">
        <f t="shared" si="74"/>
        <v>331975047.07239997</v>
      </c>
    </row>
    <row r="266" spans="1:27" ht="24.95" customHeight="1">
      <c r="A266" s="181"/>
      <c r="B266" s="176"/>
      <c r="C266" s="62">
        <v>6</v>
      </c>
      <c r="D266" s="66" t="s">
        <v>652</v>
      </c>
      <c r="E266" s="66">
        <v>31618898.822700001</v>
      </c>
      <c r="F266" s="66">
        <v>0</v>
      </c>
      <c r="G266" s="66">
        <v>97545566.754999995</v>
      </c>
      <c r="H266" s="66">
        <v>6028149.3667000001</v>
      </c>
      <c r="I266" s="66">
        <v>3874933.9674</v>
      </c>
      <c r="J266" s="66">
        <v>0</v>
      </c>
      <c r="K266" s="66">
        <f t="shared" si="72"/>
        <v>3874933.9674</v>
      </c>
      <c r="L266" s="81">
        <v>211980103.24829999</v>
      </c>
      <c r="M266" s="71">
        <f t="shared" si="73"/>
        <v>351047652.16009998</v>
      </c>
      <c r="N266" s="70"/>
      <c r="O266" s="176"/>
      <c r="P266" s="72">
        <v>12</v>
      </c>
      <c r="Q266" s="176"/>
      <c r="R266" s="66" t="s">
        <v>653</v>
      </c>
      <c r="S266" s="66">
        <v>27775737.881499998</v>
      </c>
      <c r="T266" s="66">
        <v>0</v>
      </c>
      <c r="U266" s="66">
        <v>85689261.630500004</v>
      </c>
      <c r="V266" s="66">
        <v>6673775.2805000003</v>
      </c>
      <c r="W266" s="66">
        <v>3403949.9852999998</v>
      </c>
      <c r="X266" s="66">
        <v>0</v>
      </c>
      <c r="Y266" s="66">
        <f t="shared" si="61"/>
        <v>3403949.9852999998</v>
      </c>
      <c r="Z266" s="66">
        <v>212460659.31279999</v>
      </c>
      <c r="AA266" s="71">
        <f t="shared" si="74"/>
        <v>336003384.09060001</v>
      </c>
    </row>
    <row r="267" spans="1:27" ht="24.95" customHeight="1">
      <c r="A267" s="181"/>
      <c r="B267" s="176"/>
      <c r="C267" s="62">
        <v>7</v>
      </c>
      <c r="D267" s="66" t="s">
        <v>654</v>
      </c>
      <c r="E267" s="66">
        <v>26054168.968800001</v>
      </c>
      <c r="F267" s="66">
        <v>0</v>
      </c>
      <c r="G267" s="66">
        <v>80378152.719600007</v>
      </c>
      <c r="H267" s="66">
        <v>5059262.7340000002</v>
      </c>
      <c r="I267" s="66">
        <v>3192969.6507000001</v>
      </c>
      <c r="J267" s="66">
        <v>0</v>
      </c>
      <c r="K267" s="66">
        <f t="shared" si="72"/>
        <v>3192969.6507000001</v>
      </c>
      <c r="L267" s="81">
        <v>177534157.60609999</v>
      </c>
      <c r="M267" s="71">
        <f t="shared" si="73"/>
        <v>292218711.67919999</v>
      </c>
      <c r="N267" s="70"/>
      <c r="O267" s="176"/>
      <c r="P267" s="72">
        <v>13</v>
      </c>
      <c r="Q267" s="176"/>
      <c r="R267" s="66" t="s">
        <v>655</v>
      </c>
      <c r="S267" s="66">
        <v>27228644.2795</v>
      </c>
      <c r="T267" s="66">
        <v>0</v>
      </c>
      <c r="U267" s="66">
        <v>84001455.999799997</v>
      </c>
      <c r="V267" s="66">
        <v>6698209.2297</v>
      </c>
      <c r="W267" s="66">
        <v>3336903.0084000002</v>
      </c>
      <c r="X267" s="66">
        <v>0</v>
      </c>
      <c r="Y267" s="66">
        <f t="shared" si="61"/>
        <v>3336903.0084000002</v>
      </c>
      <c r="Z267" s="66">
        <v>213329337.2974</v>
      </c>
      <c r="AA267" s="71">
        <f t="shared" si="74"/>
        <v>334594549.81480002</v>
      </c>
    </row>
    <row r="268" spans="1:27" ht="24.95" customHeight="1">
      <c r="A268" s="181"/>
      <c r="B268" s="176"/>
      <c r="C268" s="62">
        <v>8</v>
      </c>
      <c r="D268" s="66" t="s">
        <v>656</v>
      </c>
      <c r="E268" s="66">
        <v>32096651.934700001</v>
      </c>
      <c r="F268" s="66">
        <v>0</v>
      </c>
      <c r="G268" s="66">
        <v>99019454.202299997</v>
      </c>
      <c r="H268" s="66">
        <v>5794083.6233000001</v>
      </c>
      <c r="I268" s="66">
        <v>3933483.1841000002</v>
      </c>
      <c r="J268" s="66">
        <v>0</v>
      </c>
      <c r="K268" s="66">
        <f t="shared" si="72"/>
        <v>3933483.1841000002</v>
      </c>
      <c r="L268" s="81">
        <v>203658576.6629</v>
      </c>
      <c r="M268" s="71">
        <f t="shared" si="73"/>
        <v>344502249.60729998</v>
      </c>
      <c r="N268" s="70"/>
      <c r="O268" s="176"/>
      <c r="P268" s="72">
        <v>14</v>
      </c>
      <c r="Q268" s="176"/>
      <c r="R268" s="66" t="s">
        <v>657</v>
      </c>
      <c r="S268" s="66">
        <v>40441724.031599998</v>
      </c>
      <c r="T268" s="66">
        <v>0</v>
      </c>
      <c r="U268" s="66">
        <v>124764335.1947</v>
      </c>
      <c r="V268" s="66">
        <v>8666679.8264000006</v>
      </c>
      <c r="W268" s="66">
        <v>4956181.7767000003</v>
      </c>
      <c r="X268" s="66">
        <v>0</v>
      </c>
      <c r="Y268" s="66">
        <f t="shared" si="61"/>
        <v>4956181.7767000003</v>
      </c>
      <c r="Z268" s="66">
        <v>283312582.89630002</v>
      </c>
      <c r="AA268" s="71">
        <f t="shared" si="74"/>
        <v>462141503.72570002</v>
      </c>
    </row>
    <row r="269" spans="1:27" ht="24.95" customHeight="1">
      <c r="A269" s="181"/>
      <c r="B269" s="176"/>
      <c r="C269" s="62">
        <v>9</v>
      </c>
      <c r="D269" s="66" t="s">
        <v>658</v>
      </c>
      <c r="E269" s="66">
        <v>34342141.791699998</v>
      </c>
      <c r="F269" s="66">
        <v>0</v>
      </c>
      <c r="G269" s="66">
        <v>105946880.16940001</v>
      </c>
      <c r="H269" s="66">
        <v>6495796.4550999999</v>
      </c>
      <c r="I269" s="66">
        <v>4208670.6589000002</v>
      </c>
      <c r="J269" s="66">
        <v>0</v>
      </c>
      <c r="K269" s="66">
        <f t="shared" si="72"/>
        <v>4208670.6589000002</v>
      </c>
      <c r="L269" s="81">
        <v>228605935.04820001</v>
      </c>
      <c r="M269" s="71">
        <f t="shared" si="73"/>
        <v>379599424.12330002</v>
      </c>
      <c r="N269" s="70"/>
      <c r="O269" s="176"/>
      <c r="P269" s="72">
        <v>15</v>
      </c>
      <c r="Q269" s="176"/>
      <c r="R269" s="66" t="s">
        <v>659</v>
      </c>
      <c r="S269" s="66">
        <v>27577477.610100001</v>
      </c>
      <c r="T269" s="66">
        <v>0</v>
      </c>
      <c r="U269" s="66">
        <v>85077620.768299997</v>
      </c>
      <c r="V269" s="66">
        <v>6866791.0878999997</v>
      </c>
      <c r="W269" s="66">
        <v>3379652.9512999998</v>
      </c>
      <c r="X269" s="66">
        <v>0</v>
      </c>
      <c r="Y269" s="66">
        <f t="shared" si="61"/>
        <v>3379652.9512999998</v>
      </c>
      <c r="Z269" s="66">
        <v>219322774.8443</v>
      </c>
      <c r="AA269" s="71">
        <f t="shared" si="74"/>
        <v>342224317.26190001</v>
      </c>
    </row>
    <row r="270" spans="1:27" ht="24.95" customHeight="1">
      <c r="A270" s="181"/>
      <c r="B270" s="176"/>
      <c r="C270" s="62">
        <v>10</v>
      </c>
      <c r="D270" s="66" t="s">
        <v>660</v>
      </c>
      <c r="E270" s="66">
        <v>29988231.3695</v>
      </c>
      <c r="F270" s="66">
        <v>0</v>
      </c>
      <c r="G270" s="66">
        <v>92514892.480000004</v>
      </c>
      <c r="H270" s="66">
        <v>5661617.5979000004</v>
      </c>
      <c r="I270" s="66">
        <v>3675093.7154999999</v>
      </c>
      <c r="J270" s="66">
        <v>0</v>
      </c>
      <c r="K270" s="66">
        <f t="shared" si="72"/>
        <v>3675093.7154999999</v>
      </c>
      <c r="L270" s="81">
        <v>198949132.48559999</v>
      </c>
      <c r="M270" s="71">
        <f t="shared" si="73"/>
        <v>330788967.64850003</v>
      </c>
      <c r="N270" s="70"/>
      <c r="O270" s="176"/>
      <c r="P270" s="72">
        <v>16</v>
      </c>
      <c r="Q270" s="176"/>
      <c r="R270" s="66" t="s">
        <v>661</v>
      </c>
      <c r="S270" s="66">
        <v>28938648.355</v>
      </c>
      <c r="T270" s="66">
        <v>0</v>
      </c>
      <c r="U270" s="66">
        <v>89276886.925600007</v>
      </c>
      <c r="V270" s="66">
        <v>6915535.0706000002</v>
      </c>
      <c r="W270" s="66">
        <v>3546466.0584</v>
      </c>
      <c r="X270" s="66">
        <v>0</v>
      </c>
      <c r="Y270" s="66">
        <f t="shared" si="61"/>
        <v>3546466.0584</v>
      </c>
      <c r="Z270" s="66">
        <v>221055725.34650001</v>
      </c>
      <c r="AA270" s="71">
        <f t="shared" si="74"/>
        <v>349733261.7561</v>
      </c>
    </row>
    <row r="271" spans="1:27" ht="24.95" customHeight="1">
      <c r="A271" s="181"/>
      <c r="B271" s="176"/>
      <c r="C271" s="62">
        <v>11</v>
      </c>
      <c r="D271" s="66" t="s">
        <v>662</v>
      </c>
      <c r="E271" s="66">
        <v>32137334.440200001</v>
      </c>
      <c r="F271" s="66">
        <v>0</v>
      </c>
      <c r="G271" s="66">
        <v>99144961.357999995</v>
      </c>
      <c r="H271" s="66">
        <v>5899096.6591999996</v>
      </c>
      <c r="I271" s="66">
        <v>3938468.8739</v>
      </c>
      <c r="J271" s="66">
        <v>0</v>
      </c>
      <c r="K271" s="66">
        <f t="shared" si="72"/>
        <v>3938468.8739</v>
      </c>
      <c r="L271" s="81">
        <v>207392009.66069999</v>
      </c>
      <c r="M271" s="71">
        <f t="shared" si="73"/>
        <v>348511870.99199998</v>
      </c>
      <c r="N271" s="70"/>
      <c r="O271" s="176"/>
      <c r="P271" s="72">
        <v>17</v>
      </c>
      <c r="Q271" s="176"/>
      <c r="R271" s="66" t="s">
        <v>663</v>
      </c>
      <c r="S271" s="66">
        <v>37808832.159100004</v>
      </c>
      <c r="T271" s="66">
        <v>0</v>
      </c>
      <c r="U271" s="66">
        <v>116641758.52500001</v>
      </c>
      <c r="V271" s="66">
        <v>8429257.0905000009</v>
      </c>
      <c r="W271" s="66">
        <v>4633517.7204999998</v>
      </c>
      <c r="X271" s="66">
        <v>0</v>
      </c>
      <c r="Y271" s="66">
        <f t="shared" si="61"/>
        <v>4633517.7204999998</v>
      </c>
      <c r="Z271" s="66">
        <v>274871708.20599997</v>
      </c>
      <c r="AA271" s="71">
        <f t="shared" si="74"/>
        <v>442385073.70109999</v>
      </c>
    </row>
    <row r="272" spans="1:27" ht="24.95" customHeight="1">
      <c r="A272" s="181"/>
      <c r="B272" s="176"/>
      <c r="C272" s="62">
        <v>12</v>
      </c>
      <c r="D272" s="66" t="s">
        <v>664</v>
      </c>
      <c r="E272" s="66">
        <v>22552705.030299999</v>
      </c>
      <c r="F272" s="66">
        <v>0</v>
      </c>
      <c r="G272" s="66">
        <v>69575996.506699994</v>
      </c>
      <c r="H272" s="66">
        <v>4492021.1111000003</v>
      </c>
      <c r="I272" s="66">
        <v>2763861.0460999999</v>
      </c>
      <c r="J272" s="66">
        <v>0</v>
      </c>
      <c r="K272" s="66">
        <f t="shared" si="72"/>
        <v>2763861.0460999999</v>
      </c>
      <c r="L272" s="81">
        <v>157367531.8635</v>
      </c>
      <c r="M272" s="71">
        <f t="shared" si="73"/>
        <v>256752115.55770001</v>
      </c>
      <c r="N272" s="70"/>
      <c r="O272" s="176"/>
      <c r="P272" s="72">
        <v>18</v>
      </c>
      <c r="Q272" s="176"/>
      <c r="R272" s="66" t="s">
        <v>665</v>
      </c>
      <c r="S272" s="66">
        <v>32692358.967500001</v>
      </c>
      <c r="T272" s="66">
        <v>0</v>
      </c>
      <c r="U272" s="66">
        <v>100857234.2104</v>
      </c>
      <c r="V272" s="66">
        <v>6984240.7674000002</v>
      </c>
      <c r="W272" s="66">
        <v>4006487.7952999999</v>
      </c>
      <c r="X272" s="66">
        <v>0</v>
      </c>
      <c r="Y272" s="66">
        <f t="shared" ref="Y272:Y335" si="75">W272-X272</f>
        <v>4006487.7952999999</v>
      </c>
      <c r="Z272" s="66">
        <v>223498356.52590001</v>
      </c>
      <c r="AA272" s="71">
        <f t="shared" si="74"/>
        <v>368038678.2665</v>
      </c>
    </row>
    <row r="273" spans="1:27" ht="24.95" customHeight="1">
      <c r="A273" s="181"/>
      <c r="B273" s="176"/>
      <c r="C273" s="62">
        <v>13</v>
      </c>
      <c r="D273" s="66" t="s">
        <v>666</v>
      </c>
      <c r="E273" s="66">
        <v>28584031.782400001</v>
      </c>
      <c r="F273" s="66">
        <v>0</v>
      </c>
      <c r="G273" s="66">
        <v>88182880.624599993</v>
      </c>
      <c r="H273" s="66">
        <v>5456525.6293000001</v>
      </c>
      <c r="I273" s="66">
        <v>3503007.3722000001</v>
      </c>
      <c r="J273" s="66">
        <v>0</v>
      </c>
      <c r="K273" s="66">
        <f t="shared" si="72"/>
        <v>3503007.3722000001</v>
      </c>
      <c r="L273" s="81">
        <v>191657684.1742</v>
      </c>
      <c r="M273" s="71">
        <f t="shared" si="73"/>
        <v>317384129.58270001</v>
      </c>
      <c r="N273" s="70"/>
      <c r="O273" s="176"/>
      <c r="P273" s="72">
        <v>19</v>
      </c>
      <c r="Q273" s="176"/>
      <c r="R273" s="66" t="s">
        <v>667</v>
      </c>
      <c r="S273" s="66">
        <v>30012063.527800001</v>
      </c>
      <c r="T273" s="66">
        <v>0</v>
      </c>
      <c r="U273" s="66">
        <v>92588415.640699998</v>
      </c>
      <c r="V273" s="66">
        <v>6695043.7434999999</v>
      </c>
      <c r="W273" s="66">
        <v>3678014.375</v>
      </c>
      <c r="X273" s="66">
        <v>0</v>
      </c>
      <c r="Y273" s="66">
        <f t="shared" si="75"/>
        <v>3678014.375</v>
      </c>
      <c r="Z273" s="66">
        <v>213216797.6415</v>
      </c>
      <c r="AA273" s="71">
        <f t="shared" si="74"/>
        <v>346190334.9285</v>
      </c>
    </row>
    <row r="274" spans="1:27" ht="24.95" customHeight="1">
      <c r="A274" s="181"/>
      <c r="B274" s="176"/>
      <c r="C274" s="62">
        <v>14</v>
      </c>
      <c r="D274" s="66" t="s">
        <v>668</v>
      </c>
      <c r="E274" s="66">
        <v>27893359.8222</v>
      </c>
      <c r="F274" s="66">
        <v>0</v>
      </c>
      <c r="G274" s="66">
        <v>86052130.019400001</v>
      </c>
      <c r="H274" s="66">
        <v>5283099.7885999996</v>
      </c>
      <c r="I274" s="66">
        <v>3418364.6952999998</v>
      </c>
      <c r="J274" s="66">
        <v>0</v>
      </c>
      <c r="K274" s="66">
        <f t="shared" si="72"/>
        <v>3418364.6952999998</v>
      </c>
      <c r="L274" s="81">
        <v>185492032.919</v>
      </c>
      <c r="M274" s="71">
        <f t="shared" si="73"/>
        <v>308138987.24449998</v>
      </c>
      <c r="N274" s="70"/>
      <c r="O274" s="176"/>
      <c r="P274" s="72">
        <v>20</v>
      </c>
      <c r="Q274" s="176"/>
      <c r="R274" s="66" t="s">
        <v>669</v>
      </c>
      <c r="S274" s="66">
        <v>27099182.054499999</v>
      </c>
      <c r="T274" s="66">
        <v>0</v>
      </c>
      <c r="U274" s="66">
        <v>83602059.860499993</v>
      </c>
      <c r="V274" s="66">
        <v>6455987.5716000004</v>
      </c>
      <c r="W274" s="66">
        <v>3321037.2574</v>
      </c>
      <c r="X274" s="66">
        <v>0</v>
      </c>
      <c r="Y274" s="66">
        <f t="shared" si="75"/>
        <v>3321037.2574</v>
      </c>
      <c r="Z274" s="66">
        <v>204717850.88690001</v>
      </c>
      <c r="AA274" s="71">
        <f t="shared" si="74"/>
        <v>325196117.63090003</v>
      </c>
    </row>
    <row r="275" spans="1:27" ht="24.95" customHeight="1">
      <c r="A275" s="181"/>
      <c r="B275" s="176"/>
      <c r="C275" s="62">
        <v>15</v>
      </c>
      <c r="D275" s="66" t="s">
        <v>670</v>
      </c>
      <c r="E275" s="66">
        <v>29916004.662500001</v>
      </c>
      <c r="F275" s="66">
        <v>0</v>
      </c>
      <c r="G275" s="66">
        <v>92292070.201900005</v>
      </c>
      <c r="H275" s="66">
        <v>5651940.8979000002</v>
      </c>
      <c r="I275" s="66">
        <v>3666242.2459999998</v>
      </c>
      <c r="J275" s="66">
        <v>0</v>
      </c>
      <c r="K275" s="66">
        <f t="shared" si="72"/>
        <v>3666242.2459999998</v>
      </c>
      <c r="L275" s="81">
        <v>198605105.5659</v>
      </c>
      <c r="M275" s="71">
        <f t="shared" si="73"/>
        <v>330131363.57419997</v>
      </c>
      <c r="N275" s="70"/>
      <c r="O275" s="176"/>
      <c r="P275" s="72">
        <v>21</v>
      </c>
      <c r="Q275" s="176"/>
      <c r="R275" s="66" t="s">
        <v>671</v>
      </c>
      <c r="S275" s="66">
        <v>33467330.235399999</v>
      </c>
      <c r="T275" s="66">
        <v>0</v>
      </c>
      <c r="U275" s="66">
        <v>103248051.5495</v>
      </c>
      <c r="V275" s="66">
        <v>7799212.6705</v>
      </c>
      <c r="W275" s="66">
        <v>4101461.4536000001</v>
      </c>
      <c r="X275" s="66">
        <v>0</v>
      </c>
      <c r="Y275" s="66">
        <f t="shared" si="75"/>
        <v>4101461.4536000001</v>
      </c>
      <c r="Z275" s="66">
        <v>252472311.7101</v>
      </c>
      <c r="AA275" s="71">
        <f t="shared" si="74"/>
        <v>401088367.61909997</v>
      </c>
    </row>
    <row r="276" spans="1:27" ht="24.95" customHeight="1">
      <c r="A276" s="181"/>
      <c r="B276" s="177"/>
      <c r="C276" s="62">
        <v>16</v>
      </c>
      <c r="D276" s="66" t="s">
        <v>672</v>
      </c>
      <c r="E276" s="66">
        <v>29080689.879999999</v>
      </c>
      <c r="F276" s="66">
        <v>0</v>
      </c>
      <c r="G276" s="66">
        <v>89715090.708100006</v>
      </c>
      <c r="H276" s="66">
        <v>5513538.1776000001</v>
      </c>
      <c r="I276" s="66">
        <v>3563873.4175999998</v>
      </c>
      <c r="J276" s="66">
        <v>0</v>
      </c>
      <c r="K276" s="66">
        <f t="shared" si="72"/>
        <v>3563873.4175999998</v>
      </c>
      <c r="L276" s="81">
        <v>193684599.4716</v>
      </c>
      <c r="M276" s="71">
        <f t="shared" si="73"/>
        <v>321557791.65490001</v>
      </c>
      <c r="N276" s="70"/>
      <c r="O276" s="176"/>
      <c r="P276" s="72">
        <v>22</v>
      </c>
      <c r="Q276" s="176"/>
      <c r="R276" s="66" t="s">
        <v>673</v>
      </c>
      <c r="S276" s="66">
        <v>30999604.214899998</v>
      </c>
      <c r="T276" s="66">
        <v>0</v>
      </c>
      <c r="U276" s="66">
        <v>95635018.135000005</v>
      </c>
      <c r="V276" s="66">
        <v>7201713.0542000001</v>
      </c>
      <c r="W276" s="66">
        <v>3799038.6705</v>
      </c>
      <c r="X276" s="66">
        <v>0</v>
      </c>
      <c r="Y276" s="66">
        <f t="shared" si="75"/>
        <v>3799038.6705</v>
      </c>
      <c r="Z276" s="66">
        <v>231229951.03600001</v>
      </c>
      <c r="AA276" s="71">
        <f t="shared" si="74"/>
        <v>368865325.11059999</v>
      </c>
    </row>
    <row r="277" spans="1:27" ht="24.95" customHeight="1">
      <c r="A277" s="62"/>
      <c r="B277" s="188" t="s">
        <v>674</v>
      </c>
      <c r="C277" s="189"/>
      <c r="D277" s="67"/>
      <c r="E277" s="67">
        <f>SUM(E261:E276)</f>
        <v>481757126.78210002</v>
      </c>
      <c r="F277" s="67">
        <f t="shared" ref="F277:G277" si="76">SUM(F261:F276)</f>
        <v>0</v>
      </c>
      <c r="G277" s="67">
        <f t="shared" si="76"/>
        <v>1486239993.1677001</v>
      </c>
      <c r="H277" s="67">
        <f t="shared" ref="H277:M277" si="77">SUM(H261:H276)</f>
        <v>90884766.555800006</v>
      </c>
      <c r="I277" s="67">
        <f t="shared" si="77"/>
        <v>59039913.598700002</v>
      </c>
      <c r="J277" s="67">
        <f t="shared" si="77"/>
        <v>0</v>
      </c>
      <c r="K277" s="67">
        <f t="shared" si="77"/>
        <v>59039913.598700002</v>
      </c>
      <c r="L277" s="67">
        <f t="shared" si="77"/>
        <v>3193812106.0700002</v>
      </c>
      <c r="M277" s="67">
        <f t="shared" si="77"/>
        <v>5311733906.1743002</v>
      </c>
      <c r="N277" s="70"/>
      <c r="O277" s="176"/>
      <c r="P277" s="72">
        <v>23</v>
      </c>
      <c r="Q277" s="176"/>
      <c r="R277" s="66" t="s">
        <v>675</v>
      </c>
      <c r="S277" s="66">
        <v>32092377.871800002</v>
      </c>
      <c r="T277" s="66">
        <v>0</v>
      </c>
      <c r="U277" s="66">
        <v>99006268.547700003</v>
      </c>
      <c r="V277" s="66">
        <v>7773562.0931000002</v>
      </c>
      <c r="W277" s="66">
        <v>3932959.3925999999</v>
      </c>
      <c r="X277" s="66">
        <v>0</v>
      </c>
      <c r="Y277" s="66">
        <f t="shared" si="75"/>
        <v>3932959.3925999999</v>
      </c>
      <c r="Z277" s="66">
        <v>251560380.0499</v>
      </c>
      <c r="AA277" s="71">
        <f t="shared" si="74"/>
        <v>394365547.9551</v>
      </c>
    </row>
    <row r="278" spans="1:27" ht="24.95" customHeight="1">
      <c r="A278" s="181">
        <v>14</v>
      </c>
      <c r="B278" s="175" t="s">
        <v>101</v>
      </c>
      <c r="C278" s="62">
        <v>1</v>
      </c>
      <c r="D278" s="66" t="s">
        <v>676</v>
      </c>
      <c r="E278" s="66">
        <v>36428571.995700002</v>
      </c>
      <c r="F278" s="66">
        <v>0</v>
      </c>
      <c r="G278" s="66">
        <v>112383600.7485</v>
      </c>
      <c r="H278" s="66">
        <v>7139365.1131999996</v>
      </c>
      <c r="I278" s="66">
        <v>4464365.1824000003</v>
      </c>
      <c r="J278" s="66">
        <v>0</v>
      </c>
      <c r="K278" s="66">
        <f t="shared" ref="K278:K294" si="78">I278-J278</f>
        <v>4464365.1824000003</v>
      </c>
      <c r="L278" s="81">
        <v>205413965.80180001</v>
      </c>
      <c r="M278" s="71">
        <f t="shared" si="73"/>
        <v>365829868.8416</v>
      </c>
      <c r="N278" s="70"/>
      <c r="O278" s="176"/>
      <c r="P278" s="72">
        <v>24</v>
      </c>
      <c r="Q278" s="176"/>
      <c r="R278" s="66" t="s">
        <v>677</v>
      </c>
      <c r="S278" s="66">
        <v>27473415.887400001</v>
      </c>
      <c r="T278" s="66">
        <v>0</v>
      </c>
      <c r="U278" s="66">
        <v>84756586.194199994</v>
      </c>
      <c r="V278" s="66">
        <v>6670654.8545000004</v>
      </c>
      <c r="W278" s="66">
        <v>3366900.0624000002</v>
      </c>
      <c r="X278" s="66">
        <v>0</v>
      </c>
      <c r="Y278" s="66">
        <f t="shared" si="75"/>
        <v>3366900.0624000002</v>
      </c>
      <c r="Z278" s="66">
        <v>212349721.64489999</v>
      </c>
      <c r="AA278" s="71">
        <f t="shared" si="74"/>
        <v>334617278.64340001</v>
      </c>
    </row>
    <row r="279" spans="1:27" ht="24.95" customHeight="1">
      <c r="A279" s="181"/>
      <c r="B279" s="176"/>
      <c r="C279" s="62">
        <v>2</v>
      </c>
      <c r="D279" s="66" t="s">
        <v>678</v>
      </c>
      <c r="E279" s="66">
        <v>30693689.9223</v>
      </c>
      <c r="F279" s="66">
        <v>0</v>
      </c>
      <c r="G279" s="66">
        <v>94691260.314400002</v>
      </c>
      <c r="H279" s="66">
        <v>6413770.3208999997</v>
      </c>
      <c r="I279" s="66">
        <v>3761548.5071</v>
      </c>
      <c r="J279" s="66">
        <v>0</v>
      </c>
      <c r="K279" s="66">
        <f t="shared" si="78"/>
        <v>3761548.5071</v>
      </c>
      <c r="L279" s="81">
        <v>179617553.78479999</v>
      </c>
      <c r="M279" s="71">
        <f t="shared" si="73"/>
        <v>315177822.8495</v>
      </c>
      <c r="N279" s="70"/>
      <c r="O279" s="176"/>
      <c r="P279" s="72">
        <v>25</v>
      </c>
      <c r="Q279" s="176"/>
      <c r="R279" s="66" t="s">
        <v>679</v>
      </c>
      <c r="S279" s="66">
        <v>25140881.323800001</v>
      </c>
      <c r="T279" s="66">
        <v>0</v>
      </c>
      <c r="U279" s="66">
        <v>77560623.828099996</v>
      </c>
      <c r="V279" s="66">
        <v>6269268.9414999997</v>
      </c>
      <c r="W279" s="66">
        <v>3081045.1545000002</v>
      </c>
      <c r="X279" s="66">
        <v>0</v>
      </c>
      <c r="Y279" s="66">
        <f t="shared" si="75"/>
        <v>3081045.1545000002</v>
      </c>
      <c r="Z279" s="66">
        <v>198079613.1762</v>
      </c>
      <c r="AA279" s="71">
        <f t="shared" si="74"/>
        <v>310131432.42409998</v>
      </c>
    </row>
    <row r="280" spans="1:27" ht="24.95" customHeight="1">
      <c r="A280" s="181"/>
      <c r="B280" s="176"/>
      <c r="C280" s="62">
        <v>3</v>
      </c>
      <c r="D280" s="66" t="s">
        <v>680</v>
      </c>
      <c r="E280" s="66">
        <v>41547162.509999998</v>
      </c>
      <c r="F280" s="66">
        <v>0</v>
      </c>
      <c r="G280" s="66">
        <v>128174657.0878</v>
      </c>
      <c r="H280" s="66">
        <v>8051329.3181999996</v>
      </c>
      <c r="I280" s="66">
        <v>5091654.5878999997</v>
      </c>
      <c r="J280" s="66">
        <v>0</v>
      </c>
      <c r="K280" s="66">
        <f t="shared" si="78"/>
        <v>5091654.5878999997</v>
      </c>
      <c r="L280" s="81">
        <v>237836200.12270001</v>
      </c>
      <c r="M280" s="71">
        <f t="shared" si="73"/>
        <v>420701003.62660003</v>
      </c>
      <c r="N280" s="70"/>
      <c r="O280" s="176"/>
      <c r="P280" s="72">
        <v>26</v>
      </c>
      <c r="Q280" s="176"/>
      <c r="R280" s="66" t="s">
        <v>681</v>
      </c>
      <c r="S280" s="66">
        <v>33325670.1668</v>
      </c>
      <c r="T280" s="66">
        <v>0</v>
      </c>
      <c r="U280" s="66">
        <v>102811024.57539999</v>
      </c>
      <c r="V280" s="66">
        <v>7818678.7213000003</v>
      </c>
      <c r="W280" s="66">
        <v>4084100.8423000001</v>
      </c>
      <c r="X280" s="66">
        <v>0</v>
      </c>
      <c r="Y280" s="66">
        <f t="shared" si="75"/>
        <v>4084100.8423000001</v>
      </c>
      <c r="Z280" s="66">
        <v>253164370.5194</v>
      </c>
      <c r="AA280" s="71">
        <f t="shared" si="74"/>
        <v>401203844.82520002</v>
      </c>
    </row>
    <row r="281" spans="1:27" ht="24.95" customHeight="1">
      <c r="A281" s="181"/>
      <c r="B281" s="176"/>
      <c r="C281" s="62">
        <v>4</v>
      </c>
      <c r="D281" s="66" t="s">
        <v>682</v>
      </c>
      <c r="E281" s="66">
        <v>39055858.961499996</v>
      </c>
      <c r="F281" s="66">
        <v>0</v>
      </c>
      <c r="G281" s="66">
        <v>120488886.057</v>
      </c>
      <c r="H281" s="66">
        <v>7665646.9208000004</v>
      </c>
      <c r="I281" s="66">
        <v>4786342.3504999997</v>
      </c>
      <c r="J281" s="66">
        <v>0</v>
      </c>
      <c r="K281" s="66">
        <f t="shared" si="78"/>
        <v>4786342.3504999997</v>
      </c>
      <c r="L281" s="81">
        <v>224124384.46650001</v>
      </c>
      <c r="M281" s="71">
        <f t="shared" si="73"/>
        <v>396121118.75629997</v>
      </c>
      <c r="N281" s="70"/>
      <c r="O281" s="176"/>
      <c r="P281" s="72">
        <v>27</v>
      </c>
      <c r="Q281" s="176"/>
      <c r="R281" s="66" t="s">
        <v>683</v>
      </c>
      <c r="S281" s="66">
        <v>36309249.090700001</v>
      </c>
      <c r="T281" s="66">
        <v>0</v>
      </c>
      <c r="U281" s="66">
        <v>112015484.81659999</v>
      </c>
      <c r="V281" s="66">
        <v>8520875.9514000006</v>
      </c>
      <c r="W281" s="66">
        <v>4449742.0171999997</v>
      </c>
      <c r="X281" s="66">
        <v>0</v>
      </c>
      <c r="Y281" s="66">
        <f t="shared" si="75"/>
        <v>4449742.0171999997</v>
      </c>
      <c r="Z281" s="66">
        <v>278128950.2755</v>
      </c>
      <c r="AA281" s="71">
        <f t="shared" si="74"/>
        <v>439424302.15140003</v>
      </c>
    </row>
    <row r="282" spans="1:27" ht="24.95" customHeight="1">
      <c r="A282" s="181"/>
      <c r="B282" s="176"/>
      <c r="C282" s="62">
        <v>5</v>
      </c>
      <c r="D282" s="66" t="s">
        <v>684</v>
      </c>
      <c r="E282" s="66">
        <v>37762517.8376</v>
      </c>
      <c r="F282" s="66">
        <v>0</v>
      </c>
      <c r="G282" s="66">
        <v>116498876.99169999</v>
      </c>
      <c r="H282" s="66">
        <v>7146000.2428000001</v>
      </c>
      <c r="I282" s="66">
        <v>4627841.8448000001</v>
      </c>
      <c r="J282" s="66">
        <v>0</v>
      </c>
      <c r="K282" s="66">
        <f t="shared" si="78"/>
        <v>4627841.8448000001</v>
      </c>
      <c r="L282" s="81">
        <v>205649858.53259999</v>
      </c>
      <c r="M282" s="71">
        <f t="shared" si="73"/>
        <v>371685095.44950002</v>
      </c>
      <c r="N282" s="70"/>
      <c r="O282" s="176"/>
      <c r="P282" s="72">
        <v>28</v>
      </c>
      <c r="Q282" s="176"/>
      <c r="R282" s="66" t="s">
        <v>685</v>
      </c>
      <c r="S282" s="66">
        <v>27809432.823600002</v>
      </c>
      <c r="T282" s="66">
        <v>0</v>
      </c>
      <c r="U282" s="66">
        <v>85793211.873699993</v>
      </c>
      <c r="V282" s="66">
        <v>6711502.0191000002</v>
      </c>
      <c r="W282" s="66">
        <v>3408079.3409000002</v>
      </c>
      <c r="X282" s="66">
        <v>0</v>
      </c>
      <c r="Y282" s="66">
        <f t="shared" si="75"/>
        <v>3408079.3409000002</v>
      </c>
      <c r="Z282" s="66">
        <v>213801923.75279999</v>
      </c>
      <c r="AA282" s="71">
        <f t="shared" si="74"/>
        <v>337524149.81010002</v>
      </c>
    </row>
    <row r="283" spans="1:27" ht="24.95" customHeight="1">
      <c r="A283" s="181"/>
      <c r="B283" s="176"/>
      <c r="C283" s="62">
        <v>6</v>
      </c>
      <c r="D283" s="66" t="s">
        <v>686</v>
      </c>
      <c r="E283" s="66">
        <v>36307463.090499997</v>
      </c>
      <c r="F283" s="66">
        <v>0</v>
      </c>
      <c r="G283" s="66">
        <v>112009974.9348</v>
      </c>
      <c r="H283" s="66">
        <v>6819256.7215</v>
      </c>
      <c r="I283" s="66">
        <v>4449523.1407000003</v>
      </c>
      <c r="J283" s="66">
        <v>0</v>
      </c>
      <c r="K283" s="66">
        <f t="shared" si="78"/>
        <v>4449523.1407000003</v>
      </c>
      <c r="L283" s="81">
        <v>194033443.16010001</v>
      </c>
      <c r="M283" s="71">
        <f t="shared" si="73"/>
        <v>353619661.04759997</v>
      </c>
      <c r="N283" s="70"/>
      <c r="O283" s="176"/>
      <c r="P283" s="72">
        <v>29</v>
      </c>
      <c r="Q283" s="176"/>
      <c r="R283" s="66" t="s">
        <v>687</v>
      </c>
      <c r="S283" s="66">
        <v>33444065.821899999</v>
      </c>
      <c r="T283" s="66">
        <v>0</v>
      </c>
      <c r="U283" s="66">
        <v>103176279.9041</v>
      </c>
      <c r="V283" s="66">
        <v>7231802.0714999996</v>
      </c>
      <c r="W283" s="66">
        <v>4098610.3717999998</v>
      </c>
      <c r="X283" s="66">
        <v>0</v>
      </c>
      <c r="Y283" s="66">
        <f t="shared" si="75"/>
        <v>4098610.3717999998</v>
      </c>
      <c r="Z283" s="66">
        <v>232299678.5126</v>
      </c>
      <c r="AA283" s="71">
        <f t="shared" si="74"/>
        <v>380250436.68190002</v>
      </c>
    </row>
    <row r="284" spans="1:27" ht="24.95" customHeight="1">
      <c r="A284" s="181"/>
      <c r="B284" s="176"/>
      <c r="C284" s="62">
        <v>7</v>
      </c>
      <c r="D284" s="66" t="s">
        <v>688</v>
      </c>
      <c r="E284" s="66">
        <v>36659134.102799997</v>
      </c>
      <c r="F284" s="66">
        <v>0</v>
      </c>
      <c r="G284" s="66">
        <v>113094894.065</v>
      </c>
      <c r="H284" s="66">
        <v>7264565.1648000004</v>
      </c>
      <c r="I284" s="66">
        <v>4492620.8450999996</v>
      </c>
      <c r="J284" s="66">
        <v>0</v>
      </c>
      <c r="K284" s="66">
        <f t="shared" si="78"/>
        <v>4492620.8450999996</v>
      </c>
      <c r="L284" s="81">
        <v>209865089.41670001</v>
      </c>
      <c r="M284" s="71">
        <f t="shared" si="73"/>
        <v>371376303.59439999</v>
      </c>
      <c r="N284" s="70"/>
      <c r="O284" s="176"/>
      <c r="P284" s="72">
        <v>30</v>
      </c>
      <c r="Q284" s="176"/>
      <c r="R284" s="66" t="s">
        <v>689</v>
      </c>
      <c r="S284" s="66">
        <v>28237950.6316</v>
      </c>
      <c r="T284" s="66">
        <v>0</v>
      </c>
      <c r="U284" s="66">
        <v>87115206.440099999</v>
      </c>
      <c r="V284" s="66">
        <v>6930100.8135000002</v>
      </c>
      <c r="W284" s="66">
        <v>3460594.7121000001</v>
      </c>
      <c r="X284" s="66">
        <v>0</v>
      </c>
      <c r="Y284" s="66">
        <f t="shared" si="75"/>
        <v>3460594.7121000001</v>
      </c>
      <c r="Z284" s="66">
        <v>221573567.96250001</v>
      </c>
      <c r="AA284" s="71">
        <f t="shared" si="74"/>
        <v>347317420.55980003</v>
      </c>
    </row>
    <row r="285" spans="1:27" ht="24.95" customHeight="1">
      <c r="A285" s="181"/>
      <c r="B285" s="176"/>
      <c r="C285" s="62">
        <v>8</v>
      </c>
      <c r="D285" s="66" t="s">
        <v>690</v>
      </c>
      <c r="E285" s="66">
        <v>39676814.231200002</v>
      </c>
      <c r="F285" s="66">
        <v>0</v>
      </c>
      <c r="G285" s="66">
        <v>122404557.8853</v>
      </c>
      <c r="H285" s="66">
        <v>7829880.4596999995</v>
      </c>
      <c r="I285" s="66">
        <v>4862441.1634999998</v>
      </c>
      <c r="J285" s="66">
        <v>0</v>
      </c>
      <c r="K285" s="66">
        <f t="shared" si="78"/>
        <v>4862441.1634999998</v>
      </c>
      <c r="L285" s="81">
        <v>229963230.17289999</v>
      </c>
      <c r="M285" s="71">
        <f t="shared" si="73"/>
        <v>404736923.91259998</v>
      </c>
      <c r="N285" s="70"/>
      <c r="O285" s="176"/>
      <c r="P285" s="72">
        <v>31</v>
      </c>
      <c r="Q285" s="176"/>
      <c r="R285" s="66" t="s">
        <v>691</v>
      </c>
      <c r="S285" s="66">
        <v>28361221.902100001</v>
      </c>
      <c r="T285" s="66">
        <v>0</v>
      </c>
      <c r="U285" s="66">
        <v>87495503.237599999</v>
      </c>
      <c r="V285" s="66">
        <v>7069675.1017000005</v>
      </c>
      <c r="W285" s="66">
        <v>3475701.7541999999</v>
      </c>
      <c r="X285" s="66">
        <v>0</v>
      </c>
      <c r="Y285" s="66">
        <f t="shared" si="75"/>
        <v>3475701.7541999999</v>
      </c>
      <c r="Z285" s="66">
        <v>226535725.74439999</v>
      </c>
      <c r="AA285" s="71">
        <f t="shared" si="74"/>
        <v>352937827.74000001</v>
      </c>
    </row>
    <row r="286" spans="1:27" ht="24.95" customHeight="1">
      <c r="A286" s="181"/>
      <c r="B286" s="176"/>
      <c r="C286" s="62">
        <v>9</v>
      </c>
      <c r="D286" s="66" t="s">
        <v>692</v>
      </c>
      <c r="E286" s="66">
        <v>36102978.575199999</v>
      </c>
      <c r="F286" s="66">
        <v>0</v>
      </c>
      <c r="G286" s="66">
        <v>111379132.0316</v>
      </c>
      <c r="H286" s="66">
        <v>6567031.6760999998</v>
      </c>
      <c r="I286" s="66">
        <v>4424463.3181999996</v>
      </c>
      <c r="J286" s="66">
        <v>0</v>
      </c>
      <c r="K286" s="66">
        <f t="shared" si="78"/>
        <v>4424463.3181999996</v>
      </c>
      <c r="L286" s="81">
        <v>185066315.417</v>
      </c>
      <c r="M286" s="71">
        <f t="shared" si="73"/>
        <v>343539921.01810002</v>
      </c>
      <c r="N286" s="70"/>
      <c r="O286" s="176"/>
      <c r="P286" s="72">
        <v>32</v>
      </c>
      <c r="Q286" s="176"/>
      <c r="R286" s="66" t="s">
        <v>693</v>
      </c>
      <c r="S286" s="66">
        <v>28223501.723099999</v>
      </c>
      <c r="T286" s="66">
        <v>0</v>
      </c>
      <c r="U286" s="66">
        <v>87070630.980100006</v>
      </c>
      <c r="V286" s="66">
        <v>6776636.6869000001</v>
      </c>
      <c r="W286" s="66">
        <v>3458823.9811</v>
      </c>
      <c r="X286" s="66">
        <v>0</v>
      </c>
      <c r="Y286" s="66">
        <f t="shared" si="75"/>
        <v>3458823.9811</v>
      </c>
      <c r="Z286" s="66">
        <v>216117597.38440001</v>
      </c>
      <c r="AA286" s="71">
        <f t="shared" si="74"/>
        <v>341647190.75559998</v>
      </c>
    </row>
    <row r="287" spans="1:27" ht="24.95" customHeight="1">
      <c r="A287" s="181"/>
      <c r="B287" s="176"/>
      <c r="C287" s="62">
        <v>10</v>
      </c>
      <c r="D287" s="66" t="s">
        <v>694</v>
      </c>
      <c r="E287" s="66">
        <v>33762332.546700001</v>
      </c>
      <c r="F287" s="66">
        <v>0</v>
      </c>
      <c r="G287" s="66">
        <v>104158145.4719</v>
      </c>
      <c r="H287" s="66">
        <v>6579276.8134000003</v>
      </c>
      <c r="I287" s="66">
        <v>4137614.3406000002</v>
      </c>
      <c r="J287" s="66">
        <v>0</v>
      </c>
      <c r="K287" s="66">
        <f t="shared" si="78"/>
        <v>4137614.3406000002</v>
      </c>
      <c r="L287" s="81">
        <v>185501655.65180001</v>
      </c>
      <c r="M287" s="71">
        <f t="shared" si="73"/>
        <v>334139024.82440001</v>
      </c>
      <c r="N287" s="70"/>
      <c r="O287" s="177"/>
      <c r="P287" s="72">
        <v>33</v>
      </c>
      <c r="Q287" s="177"/>
      <c r="R287" s="66" t="s">
        <v>695</v>
      </c>
      <c r="S287" s="66">
        <v>32532938.738200001</v>
      </c>
      <c r="T287" s="66">
        <v>0</v>
      </c>
      <c r="U287" s="66">
        <v>100365416.4307</v>
      </c>
      <c r="V287" s="66">
        <v>7135395.5533999996</v>
      </c>
      <c r="W287" s="66">
        <v>3986950.6549999998</v>
      </c>
      <c r="X287" s="66">
        <v>0</v>
      </c>
      <c r="Y287" s="66">
        <f t="shared" si="75"/>
        <v>3986950.6549999998</v>
      </c>
      <c r="Z287" s="66">
        <v>228872225.2198</v>
      </c>
      <c r="AA287" s="71">
        <f t="shared" si="74"/>
        <v>372892926.59710002</v>
      </c>
    </row>
    <row r="288" spans="1:27" ht="24.95" customHeight="1">
      <c r="A288" s="181"/>
      <c r="B288" s="176"/>
      <c r="C288" s="62">
        <v>11</v>
      </c>
      <c r="D288" s="66" t="s">
        <v>696</v>
      </c>
      <c r="E288" s="66">
        <v>35346892.680299997</v>
      </c>
      <c r="F288" s="66">
        <v>0</v>
      </c>
      <c r="G288" s="66">
        <v>109046576.82269999</v>
      </c>
      <c r="H288" s="66">
        <v>6583320.9755999995</v>
      </c>
      <c r="I288" s="66">
        <v>4331804.0850999998</v>
      </c>
      <c r="J288" s="66">
        <v>0</v>
      </c>
      <c r="K288" s="66">
        <f t="shared" si="78"/>
        <v>4331804.0850999998</v>
      </c>
      <c r="L288" s="81">
        <v>185645434.07339999</v>
      </c>
      <c r="M288" s="71">
        <f t="shared" si="73"/>
        <v>340954028.63709998</v>
      </c>
      <c r="N288" s="70"/>
      <c r="O288" s="62"/>
      <c r="P288" s="189" t="s">
        <v>697</v>
      </c>
      <c r="Q288" s="190"/>
      <c r="R288" s="67"/>
      <c r="S288" s="67">
        <f>SUM(S255:S287)</f>
        <v>1049809769.1034</v>
      </c>
      <c r="T288" s="67">
        <f t="shared" ref="T288:AA288" si="79">SUM(T255:T287)</f>
        <v>0</v>
      </c>
      <c r="U288" s="67">
        <f t="shared" si="79"/>
        <v>3238705101.2192998</v>
      </c>
      <c r="V288" s="67">
        <f t="shared" ref="V288" si="80">SUM(V255:V287)</f>
        <v>245643559.5961</v>
      </c>
      <c r="W288" s="67">
        <f t="shared" si="79"/>
        <v>128655446.1091</v>
      </c>
      <c r="X288" s="67">
        <f t="shared" si="79"/>
        <v>0</v>
      </c>
      <c r="Y288" s="67">
        <f t="shared" si="75"/>
        <v>128655446.1091</v>
      </c>
      <c r="Z288" s="67">
        <f t="shared" si="79"/>
        <v>7914543958.4106998</v>
      </c>
      <c r="AA288" s="67">
        <f t="shared" si="79"/>
        <v>12577357834.438601</v>
      </c>
    </row>
    <row r="289" spans="1:27" ht="24.95" customHeight="1">
      <c r="A289" s="181"/>
      <c r="B289" s="176"/>
      <c r="C289" s="62">
        <v>12</v>
      </c>
      <c r="D289" s="66" t="s">
        <v>698</v>
      </c>
      <c r="E289" s="66">
        <v>34319354.862999998</v>
      </c>
      <c r="F289" s="66">
        <v>0</v>
      </c>
      <c r="G289" s="66">
        <v>105876581.58319999</v>
      </c>
      <c r="H289" s="66">
        <v>6559900.8831000002</v>
      </c>
      <c r="I289" s="66">
        <v>4205878.0933999997</v>
      </c>
      <c r="J289" s="66">
        <v>0</v>
      </c>
      <c r="K289" s="66">
        <f t="shared" si="78"/>
        <v>4205878.0933999997</v>
      </c>
      <c r="L289" s="81">
        <v>184812800.81850001</v>
      </c>
      <c r="M289" s="71">
        <f t="shared" si="73"/>
        <v>335774516.24119997</v>
      </c>
      <c r="N289" s="70"/>
      <c r="O289" s="175">
        <v>31</v>
      </c>
      <c r="P289" s="72">
        <v>1</v>
      </c>
      <c r="Q289" s="175" t="s">
        <v>118</v>
      </c>
      <c r="R289" s="66" t="s">
        <v>699</v>
      </c>
      <c r="S289" s="66">
        <v>38375423.077200003</v>
      </c>
      <c r="T289" s="66">
        <v>0</v>
      </c>
      <c r="U289" s="66">
        <v>118389714.15530001</v>
      </c>
      <c r="V289" s="66">
        <v>6242936.1407000003</v>
      </c>
      <c r="W289" s="66">
        <v>4702954.1169999996</v>
      </c>
      <c r="X289" s="66">
        <f t="shared" ref="X289:X329" si="81">W289/2</f>
        <v>2351477.0584999998</v>
      </c>
      <c r="Y289" s="66">
        <f t="shared" si="75"/>
        <v>2351477.0584999998</v>
      </c>
      <c r="Z289" s="66">
        <v>203652750.1611</v>
      </c>
      <c r="AA289" s="71">
        <f t="shared" si="74"/>
        <v>369012300.59280002</v>
      </c>
    </row>
    <row r="290" spans="1:27" ht="24.95" customHeight="1">
      <c r="A290" s="181"/>
      <c r="B290" s="176"/>
      <c r="C290" s="62">
        <v>13</v>
      </c>
      <c r="D290" s="66" t="s">
        <v>700</v>
      </c>
      <c r="E290" s="66">
        <v>44448054.130400002</v>
      </c>
      <c r="F290" s="66">
        <v>0</v>
      </c>
      <c r="G290" s="66">
        <v>137124023.69279999</v>
      </c>
      <c r="H290" s="66">
        <v>8395409.7910999991</v>
      </c>
      <c r="I290" s="66">
        <v>5447162.3346999995</v>
      </c>
      <c r="J290" s="66">
        <v>0</v>
      </c>
      <c r="K290" s="66">
        <f t="shared" si="78"/>
        <v>5447162.3346999995</v>
      </c>
      <c r="L290" s="81">
        <v>250068980.3721</v>
      </c>
      <c r="M290" s="71">
        <f t="shared" si="73"/>
        <v>445483630.3211</v>
      </c>
      <c r="N290" s="70"/>
      <c r="O290" s="176"/>
      <c r="P290" s="72">
        <v>2</v>
      </c>
      <c r="Q290" s="176"/>
      <c r="R290" s="66" t="s">
        <v>294</v>
      </c>
      <c r="S290" s="66">
        <v>38711353.484800003</v>
      </c>
      <c r="T290" s="66">
        <v>0</v>
      </c>
      <c r="U290" s="66">
        <v>119426072.89049999</v>
      </c>
      <c r="V290" s="66">
        <v>6373520.8985000001</v>
      </c>
      <c r="W290" s="66">
        <v>4744122.7911999999</v>
      </c>
      <c r="X290" s="66">
        <f t="shared" si="81"/>
        <v>2372061.3955999999</v>
      </c>
      <c r="Y290" s="66">
        <f t="shared" si="75"/>
        <v>2372061.3955999999</v>
      </c>
      <c r="Z290" s="66">
        <v>208295311.34009999</v>
      </c>
      <c r="AA290" s="71">
        <f t="shared" si="74"/>
        <v>375178320.00950003</v>
      </c>
    </row>
    <row r="291" spans="1:27" ht="24.95" customHeight="1">
      <c r="A291" s="181"/>
      <c r="B291" s="176"/>
      <c r="C291" s="62">
        <v>14</v>
      </c>
      <c r="D291" s="66" t="s">
        <v>701</v>
      </c>
      <c r="E291" s="66">
        <v>30497617.195099998</v>
      </c>
      <c r="F291" s="66">
        <v>0</v>
      </c>
      <c r="G291" s="66">
        <v>94086368.113600001</v>
      </c>
      <c r="H291" s="66">
        <v>6333382.7405000003</v>
      </c>
      <c r="I291" s="66">
        <v>3737519.5592999998</v>
      </c>
      <c r="J291" s="66">
        <v>0</v>
      </c>
      <c r="K291" s="66">
        <f t="shared" si="78"/>
        <v>3737519.5592999998</v>
      </c>
      <c r="L291" s="81">
        <v>176759607.22049999</v>
      </c>
      <c r="M291" s="71">
        <f t="shared" si="73"/>
        <v>311414494.829</v>
      </c>
      <c r="N291" s="70"/>
      <c r="O291" s="176"/>
      <c r="P291" s="72">
        <v>3</v>
      </c>
      <c r="Q291" s="176"/>
      <c r="R291" s="66" t="s">
        <v>702</v>
      </c>
      <c r="S291" s="66">
        <v>38542664.5616</v>
      </c>
      <c r="T291" s="66">
        <v>0</v>
      </c>
      <c r="U291" s="66">
        <v>118905660.8195</v>
      </c>
      <c r="V291" s="66">
        <v>6278837.9369999999</v>
      </c>
      <c r="W291" s="66">
        <v>4723449.7614000002</v>
      </c>
      <c r="X291" s="66">
        <f t="shared" si="81"/>
        <v>2361724.8807000001</v>
      </c>
      <c r="Y291" s="66">
        <f t="shared" si="75"/>
        <v>2361724.8807000001</v>
      </c>
      <c r="Z291" s="66">
        <v>204929134.08770001</v>
      </c>
      <c r="AA291" s="71">
        <f t="shared" si="74"/>
        <v>371018022.28649998</v>
      </c>
    </row>
    <row r="292" spans="1:27" ht="24.95" customHeight="1">
      <c r="A292" s="181"/>
      <c r="B292" s="176"/>
      <c r="C292" s="62">
        <v>15</v>
      </c>
      <c r="D292" s="66" t="s">
        <v>703</v>
      </c>
      <c r="E292" s="66">
        <v>33755930.218199998</v>
      </c>
      <c r="F292" s="66">
        <v>0</v>
      </c>
      <c r="G292" s="66">
        <v>104138394.0323</v>
      </c>
      <c r="H292" s="66">
        <v>6917803.6039000005</v>
      </c>
      <c r="I292" s="66">
        <v>4136829.7275</v>
      </c>
      <c r="J292" s="66">
        <v>0</v>
      </c>
      <c r="K292" s="66">
        <f t="shared" si="78"/>
        <v>4136829.7275</v>
      </c>
      <c r="L292" s="81">
        <v>197536990.8822</v>
      </c>
      <c r="M292" s="71">
        <f t="shared" si="73"/>
        <v>346485948.4641</v>
      </c>
      <c r="N292" s="70"/>
      <c r="O292" s="176"/>
      <c r="P292" s="72">
        <v>4</v>
      </c>
      <c r="Q292" s="176"/>
      <c r="R292" s="66" t="s">
        <v>704</v>
      </c>
      <c r="S292" s="66">
        <v>29261302.509799998</v>
      </c>
      <c r="T292" s="66">
        <v>0</v>
      </c>
      <c r="U292" s="66">
        <v>90272287.890699998</v>
      </c>
      <c r="V292" s="66">
        <v>5232853.1261</v>
      </c>
      <c r="W292" s="66">
        <v>3586007.7119999998</v>
      </c>
      <c r="X292" s="66">
        <f t="shared" si="81"/>
        <v>1793003.8559999999</v>
      </c>
      <c r="Y292" s="66">
        <f t="shared" si="75"/>
        <v>1793003.8559999999</v>
      </c>
      <c r="Z292" s="66">
        <v>167742187.00409999</v>
      </c>
      <c r="AA292" s="71">
        <f t="shared" si="74"/>
        <v>294301634.38669997</v>
      </c>
    </row>
    <row r="293" spans="1:27" ht="24.95" customHeight="1">
      <c r="A293" s="181"/>
      <c r="B293" s="176"/>
      <c r="C293" s="62">
        <v>16</v>
      </c>
      <c r="D293" s="66" t="s">
        <v>705</v>
      </c>
      <c r="E293" s="66">
        <v>38329408.671700001</v>
      </c>
      <c r="F293" s="66">
        <v>0</v>
      </c>
      <c r="G293" s="66">
        <v>118247757.87530001</v>
      </c>
      <c r="H293" s="66">
        <v>7543420.8492000001</v>
      </c>
      <c r="I293" s="66">
        <v>4697314.9965000004</v>
      </c>
      <c r="J293" s="66">
        <v>0</v>
      </c>
      <c r="K293" s="66">
        <f t="shared" si="78"/>
        <v>4697314.9965000004</v>
      </c>
      <c r="L293" s="81">
        <v>219778992.05860001</v>
      </c>
      <c r="M293" s="71">
        <f t="shared" si="73"/>
        <v>388596894.45130002</v>
      </c>
      <c r="N293" s="70"/>
      <c r="O293" s="176"/>
      <c r="P293" s="72">
        <v>5</v>
      </c>
      <c r="Q293" s="176"/>
      <c r="R293" s="66" t="s">
        <v>706</v>
      </c>
      <c r="S293" s="66">
        <v>50910672.873300001</v>
      </c>
      <c r="T293" s="66">
        <v>0</v>
      </c>
      <c r="U293" s="66">
        <v>157061460.8418</v>
      </c>
      <c r="V293" s="66">
        <v>9104637.1215000004</v>
      </c>
      <c r="W293" s="66">
        <v>6239164.0115</v>
      </c>
      <c r="X293" s="66">
        <f t="shared" si="81"/>
        <v>3119582.00575</v>
      </c>
      <c r="Y293" s="66">
        <f t="shared" si="75"/>
        <v>3119582.00575</v>
      </c>
      <c r="Z293" s="66">
        <v>305392203.57620001</v>
      </c>
      <c r="AA293" s="71">
        <f t="shared" si="74"/>
        <v>525588556.41855001</v>
      </c>
    </row>
    <row r="294" spans="1:27" ht="24.95" customHeight="1">
      <c r="A294" s="181"/>
      <c r="B294" s="177"/>
      <c r="C294" s="62">
        <v>17</v>
      </c>
      <c r="D294" s="66" t="s">
        <v>707</v>
      </c>
      <c r="E294" s="66">
        <v>31742047.7509</v>
      </c>
      <c r="F294" s="66">
        <v>0</v>
      </c>
      <c r="G294" s="66">
        <v>97925486.121000007</v>
      </c>
      <c r="H294" s="66">
        <v>6309647.2259999998</v>
      </c>
      <c r="I294" s="66">
        <v>3890026.0161000001</v>
      </c>
      <c r="J294" s="66">
        <v>0</v>
      </c>
      <c r="K294" s="66">
        <f t="shared" si="78"/>
        <v>3890026.0161000001</v>
      </c>
      <c r="L294" s="81">
        <v>175915760.04969999</v>
      </c>
      <c r="M294" s="71">
        <f t="shared" si="73"/>
        <v>315782967.16369998</v>
      </c>
      <c r="N294" s="70"/>
      <c r="O294" s="176"/>
      <c r="P294" s="72">
        <v>6</v>
      </c>
      <c r="Q294" s="176"/>
      <c r="R294" s="66" t="s">
        <v>708</v>
      </c>
      <c r="S294" s="66">
        <v>44024779.1105</v>
      </c>
      <c r="T294" s="66">
        <v>0</v>
      </c>
      <c r="U294" s="66">
        <v>135818203.3369</v>
      </c>
      <c r="V294" s="66">
        <v>7723719.0791999996</v>
      </c>
      <c r="W294" s="66">
        <v>5395289.4733999996</v>
      </c>
      <c r="X294" s="66">
        <f t="shared" si="81"/>
        <v>2697644.7366999998</v>
      </c>
      <c r="Y294" s="66">
        <f t="shared" si="75"/>
        <v>2697644.7366999998</v>
      </c>
      <c r="Z294" s="66">
        <v>256297679.80399999</v>
      </c>
      <c r="AA294" s="71">
        <f t="shared" si="74"/>
        <v>446562026.06730002</v>
      </c>
    </row>
    <row r="295" spans="1:27" ht="24.95" customHeight="1">
      <c r="A295" s="62"/>
      <c r="B295" s="188" t="s">
        <v>709</v>
      </c>
      <c r="C295" s="189"/>
      <c r="D295" s="67"/>
      <c r="E295" s="67">
        <f>SUM(E278:E294)</f>
        <v>616435829.28310001</v>
      </c>
      <c r="F295" s="67">
        <f t="shared" ref="F295:M295" si="82">SUM(F278:F294)</f>
        <v>0</v>
      </c>
      <c r="G295" s="67">
        <f t="shared" si="82"/>
        <v>1901729173.8289001</v>
      </c>
      <c r="H295" s="67">
        <f t="shared" si="82"/>
        <v>120119008.82080001</v>
      </c>
      <c r="I295" s="67">
        <f t="shared" si="82"/>
        <v>75544950.093400002</v>
      </c>
      <c r="J295" s="67">
        <f t="shared" si="82"/>
        <v>0</v>
      </c>
      <c r="K295" s="67">
        <f t="shared" si="82"/>
        <v>75544950.093400002</v>
      </c>
      <c r="L295" s="67">
        <f t="shared" si="82"/>
        <v>3447590262.0019002</v>
      </c>
      <c r="M295" s="67">
        <f t="shared" si="82"/>
        <v>6161419224.0281</v>
      </c>
      <c r="N295" s="70"/>
      <c r="O295" s="176"/>
      <c r="P295" s="72">
        <v>7</v>
      </c>
      <c r="Q295" s="176"/>
      <c r="R295" s="66" t="s">
        <v>710</v>
      </c>
      <c r="S295" s="66">
        <v>38646866.188299999</v>
      </c>
      <c r="T295" s="66">
        <v>0</v>
      </c>
      <c r="U295" s="66">
        <v>119227127.00319999</v>
      </c>
      <c r="V295" s="66">
        <v>6137393.6463000001</v>
      </c>
      <c r="W295" s="66">
        <v>4736219.7956999997</v>
      </c>
      <c r="X295" s="66">
        <f t="shared" si="81"/>
        <v>2368109.8978499998</v>
      </c>
      <c r="Y295" s="66">
        <f t="shared" si="75"/>
        <v>2368109.8978499998</v>
      </c>
      <c r="Z295" s="66">
        <v>199900493.80450001</v>
      </c>
      <c r="AA295" s="71">
        <f t="shared" si="74"/>
        <v>366279990.54014999</v>
      </c>
    </row>
    <row r="296" spans="1:27" ht="24.95" customHeight="1">
      <c r="A296" s="181">
        <v>15</v>
      </c>
      <c r="B296" s="175" t="s">
        <v>711</v>
      </c>
      <c r="C296" s="62">
        <v>1</v>
      </c>
      <c r="D296" s="66" t="s">
        <v>712</v>
      </c>
      <c r="E296" s="66">
        <v>50644996.165899999</v>
      </c>
      <c r="F296" s="66">
        <v>0</v>
      </c>
      <c r="G296" s="66">
        <v>156241837.57960001</v>
      </c>
      <c r="H296" s="66">
        <v>7686378.1337000001</v>
      </c>
      <c r="I296" s="66">
        <v>6206605.0124000004</v>
      </c>
      <c r="J296" s="66">
        <v>6206605.0124000004</v>
      </c>
      <c r="K296" s="66">
        <f t="shared" ref="K296:K306" si="83">I296-J296</f>
        <v>0</v>
      </c>
      <c r="L296" s="81">
        <v>275500466.72509998</v>
      </c>
      <c r="M296" s="71">
        <f t="shared" si="73"/>
        <v>490073678.60430002</v>
      </c>
      <c r="N296" s="70"/>
      <c r="O296" s="176"/>
      <c r="P296" s="72">
        <v>8</v>
      </c>
      <c r="Q296" s="176"/>
      <c r="R296" s="66" t="s">
        <v>713</v>
      </c>
      <c r="S296" s="66">
        <v>34131417.082000002</v>
      </c>
      <c r="T296" s="66">
        <v>0</v>
      </c>
      <c r="U296" s="66">
        <v>105296786.0168</v>
      </c>
      <c r="V296" s="66">
        <v>5636390.6686000004</v>
      </c>
      <c r="W296" s="66">
        <v>4182846.0929999999</v>
      </c>
      <c r="X296" s="66">
        <f t="shared" si="81"/>
        <v>2091423.0464999999</v>
      </c>
      <c r="Y296" s="66">
        <f t="shared" si="75"/>
        <v>2091423.0464999999</v>
      </c>
      <c r="Z296" s="66">
        <v>182088790.39910001</v>
      </c>
      <c r="AA296" s="71">
        <f t="shared" si="74"/>
        <v>329244807.213</v>
      </c>
    </row>
    <row r="297" spans="1:27" ht="24.95" customHeight="1">
      <c r="A297" s="181"/>
      <c r="B297" s="176"/>
      <c r="C297" s="62">
        <v>2</v>
      </c>
      <c r="D297" s="66" t="s">
        <v>714</v>
      </c>
      <c r="E297" s="66">
        <v>36780041.906999998</v>
      </c>
      <c r="F297" s="66">
        <v>0</v>
      </c>
      <c r="G297" s="66">
        <v>113467899.4738</v>
      </c>
      <c r="H297" s="66">
        <v>6274819.0855</v>
      </c>
      <c r="I297" s="66">
        <v>4507438.2413999997</v>
      </c>
      <c r="J297" s="66">
        <v>4507438.2413999997</v>
      </c>
      <c r="K297" s="66">
        <f t="shared" si="83"/>
        <v>0</v>
      </c>
      <c r="L297" s="81">
        <v>225316591.1234</v>
      </c>
      <c r="M297" s="71">
        <f t="shared" si="73"/>
        <v>381839351.58969998</v>
      </c>
      <c r="N297" s="70"/>
      <c r="O297" s="176"/>
      <c r="P297" s="72">
        <v>9</v>
      </c>
      <c r="Q297" s="176"/>
      <c r="R297" s="66" t="s">
        <v>715</v>
      </c>
      <c r="S297" s="66">
        <v>35007765.905100003</v>
      </c>
      <c r="T297" s="66">
        <v>0</v>
      </c>
      <c r="U297" s="66">
        <v>108000357.1656</v>
      </c>
      <c r="V297" s="66">
        <v>5852894.1589000002</v>
      </c>
      <c r="W297" s="66">
        <v>4290243.6922000004</v>
      </c>
      <c r="X297" s="66">
        <f t="shared" si="81"/>
        <v>2145121.8461000002</v>
      </c>
      <c r="Y297" s="66">
        <f t="shared" si="75"/>
        <v>2145121.8461000002</v>
      </c>
      <c r="Z297" s="66">
        <v>189785942.16749999</v>
      </c>
      <c r="AA297" s="71">
        <f t="shared" si="74"/>
        <v>340792081.2432</v>
      </c>
    </row>
    <row r="298" spans="1:27" ht="24.95" customHeight="1">
      <c r="A298" s="181"/>
      <c r="B298" s="176"/>
      <c r="C298" s="62">
        <v>3</v>
      </c>
      <c r="D298" s="66" t="s">
        <v>716</v>
      </c>
      <c r="E298" s="66">
        <v>37018304.092299998</v>
      </c>
      <c r="F298" s="66">
        <v>0</v>
      </c>
      <c r="G298" s="66">
        <v>114202947.8396</v>
      </c>
      <c r="H298" s="66">
        <v>6157605.9726</v>
      </c>
      <c r="I298" s="66">
        <v>4536637.5580000002</v>
      </c>
      <c r="J298" s="66">
        <v>4536637.5580000002</v>
      </c>
      <c r="K298" s="66">
        <f t="shared" si="83"/>
        <v>0</v>
      </c>
      <c r="L298" s="81">
        <v>221149419.8788</v>
      </c>
      <c r="M298" s="71">
        <f t="shared" si="73"/>
        <v>378528277.78329998</v>
      </c>
      <c r="N298" s="70"/>
      <c r="O298" s="176"/>
      <c r="P298" s="72">
        <v>10</v>
      </c>
      <c r="Q298" s="176"/>
      <c r="R298" s="66" t="s">
        <v>717</v>
      </c>
      <c r="S298" s="66">
        <v>33209939.394099999</v>
      </c>
      <c r="T298" s="66">
        <v>0</v>
      </c>
      <c r="U298" s="66">
        <v>102453990.51540001</v>
      </c>
      <c r="V298" s="66">
        <v>5466073.9888000004</v>
      </c>
      <c r="W298" s="66">
        <v>4069917.8972999998</v>
      </c>
      <c r="X298" s="66">
        <f t="shared" si="81"/>
        <v>2034958.9486499999</v>
      </c>
      <c r="Y298" s="66">
        <f t="shared" si="75"/>
        <v>2034958.9486499999</v>
      </c>
      <c r="Z298" s="66">
        <v>176033676.31479999</v>
      </c>
      <c r="AA298" s="71">
        <f t="shared" si="74"/>
        <v>319198639.16175002</v>
      </c>
    </row>
    <row r="299" spans="1:27" ht="24.95" customHeight="1">
      <c r="A299" s="181"/>
      <c r="B299" s="176"/>
      <c r="C299" s="62">
        <v>4</v>
      </c>
      <c r="D299" s="66" t="s">
        <v>718</v>
      </c>
      <c r="E299" s="66">
        <v>40336437.500100002</v>
      </c>
      <c r="F299" s="66">
        <v>0</v>
      </c>
      <c r="G299" s="66">
        <v>124439522.03650001</v>
      </c>
      <c r="H299" s="66">
        <v>6214449.5447000004</v>
      </c>
      <c r="I299" s="66">
        <v>4943278.7861000001</v>
      </c>
      <c r="J299" s="66">
        <v>4943278.7861000001</v>
      </c>
      <c r="K299" s="66">
        <f t="shared" si="83"/>
        <v>0</v>
      </c>
      <c r="L299" s="81">
        <v>223170327.72119999</v>
      </c>
      <c r="M299" s="71">
        <f t="shared" si="73"/>
        <v>394160736.80250001</v>
      </c>
      <c r="N299" s="70"/>
      <c r="O299" s="176"/>
      <c r="P299" s="72">
        <v>11</v>
      </c>
      <c r="Q299" s="176"/>
      <c r="R299" s="66" t="s">
        <v>719</v>
      </c>
      <c r="S299" s="66">
        <v>45883838.348300003</v>
      </c>
      <c r="T299" s="66">
        <v>0</v>
      </c>
      <c r="U299" s="66">
        <v>141553475.3969</v>
      </c>
      <c r="V299" s="66">
        <v>7590960.1618999997</v>
      </c>
      <c r="W299" s="66">
        <v>5623119.4123</v>
      </c>
      <c r="X299" s="66">
        <f t="shared" si="81"/>
        <v>2811559.70615</v>
      </c>
      <c r="Y299" s="66">
        <f t="shared" si="75"/>
        <v>2811559.70615</v>
      </c>
      <c r="Z299" s="66">
        <v>251577822.70469999</v>
      </c>
      <c r="AA299" s="71">
        <f t="shared" si="74"/>
        <v>449417656.31795001</v>
      </c>
    </row>
    <row r="300" spans="1:27" ht="24.95" customHeight="1">
      <c r="A300" s="181"/>
      <c r="B300" s="176"/>
      <c r="C300" s="62">
        <v>5</v>
      </c>
      <c r="D300" s="66" t="s">
        <v>720</v>
      </c>
      <c r="E300" s="66">
        <v>39232705.829000004</v>
      </c>
      <c r="F300" s="66">
        <v>0</v>
      </c>
      <c r="G300" s="66">
        <v>121034465.7124</v>
      </c>
      <c r="H300" s="66">
        <v>6539976.4378000004</v>
      </c>
      <c r="I300" s="66">
        <v>4808015.1463000001</v>
      </c>
      <c r="J300" s="66">
        <v>4808015.1463000001</v>
      </c>
      <c r="K300" s="66">
        <f t="shared" si="83"/>
        <v>0</v>
      </c>
      <c r="L300" s="81">
        <v>234743489.4181</v>
      </c>
      <c r="M300" s="71">
        <f t="shared" si="73"/>
        <v>401550637.3973</v>
      </c>
      <c r="N300" s="70"/>
      <c r="O300" s="176"/>
      <c r="P300" s="72">
        <v>12</v>
      </c>
      <c r="Q300" s="176"/>
      <c r="R300" s="66" t="s">
        <v>721</v>
      </c>
      <c r="S300" s="66">
        <v>30891401.3237</v>
      </c>
      <c r="T300" s="66">
        <v>0</v>
      </c>
      <c r="U300" s="66">
        <v>95301207.890499994</v>
      </c>
      <c r="V300" s="66">
        <v>5365882.4052999998</v>
      </c>
      <c r="W300" s="66">
        <v>3785778.2763999999</v>
      </c>
      <c r="X300" s="66">
        <f t="shared" si="81"/>
        <v>1892889.1381999999</v>
      </c>
      <c r="Y300" s="66">
        <f t="shared" si="75"/>
        <v>1892889.1381999999</v>
      </c>
      <c r="Z300" s="66">
        <v>172471656.03130001</v>
      </c>
      <c r="AA300" s="71">
        <f t="shared" si="74"/>
        <v>305923036.78899997</v>
      </c>
    </row>
    <row r="301" spans="1:27" ht="24.95" customHeight="1">
      <c r="A301" s="181"/>
      <c r="B301" s="176"/>
      <c r="C301" s="62">
        <v>6</v>
      </c>
      <c r="D301" s="66" t="s">
        <v>102</v>
      </c>
      <c r="E301" s="66">
        <v>42719432.9551</v>
      </c>
      <c r="F301" s="66">
        <v>0</v>
      </c>
      <c r="G301" s="66">
        <v>131791158.26980001</v>
      </c>
      <c r="H301" s="66">
        <v>6899478.7993000001</v>
      </c>
      <c r="I301" s="66">
        <v>5235317.7368000001</v>
      </c>
      <c r="J301" s="66">
        <v>5235317.7368000001</v>
      </c>
      <c r="K301" s="66">
        <f t="shared" si="83"/>
        <v>0</v>
      </c>
      <c r="L301" s="81">
        <v>247524550.05520001</v>
      </c>
      <c r="M301" s="71">
        <f t="shared" si="73"/>
        <v>428934620.0794</v>
      </c>
      <c r="N301" s="70"/>
      <c r="O301" s="176"/>
      <c r="P301" s="72">
        <v>13</v>
      </c>
      <c r="Q301" s="176"/>
      <c r="R301" s="66" t="s">
        <v>722</v>
      </c>
      <c r="S301" s="66">
        <v>41240618.528300002</v>
      </c>
      <c r="T301" s="66">
        <v>0</v>
      </c>
      <c r="U301" s="66">
        <v>127228956.6513</v>
      </c>
      <c r="V301" s="66">
        <v>6427886.1539000003</v>
      </c>
      <c r="W301" s="66">
        <v>5054087.2554000001</v>
      </c>
      <c r="X301" s="66">
        <f t="shared" si="81"/>
        <v>2527043.6277000001</v>
      </c>
      <c r="Y301" s="66">
        <f t="shared" si="75"/>
        <v>2527043.6277000001</v>
      </c>
      <c r="Z301" s="66">
        <v>210228109.8434</v>
      </c>
      <c r="AA301" s="71">
        <f t="shared" si="74"/>
        <v>387652614.8046</v>
      </c>
    </row>
    <row r="302" spans="1:27" ht="24.95" customHeight="1">
      <c r="A302" s="181"/>
      <c r="B302" s="176"/>
      <c r="C302" s="62">
        <v>7</v>
      </c>
      <c r="D302" s="66" t="s">
        <v>723</v>
      </c>
      <c r="E302" s="66">
        <v>33495983.021699999</v>
      </c>
      <c r="F302" s="66">
        <v>0</v>
      </c>
      <c r="G302" s="66">
        <v>103336446.5407</v>
      </c>
      <c r="H302" s="66">
        <v>5568003.1743999999</v>
      </c>
      <c r="I302" s="66">
        <v>4104972.8868999998</v>
      </c>
      <c r="J302" s="66">
        <v>4104972.8868999998</v>
      </c>
      <c r="K302" s="66">
        <f t="shared" si="83"/>
        <v>0</v>
      </c>
      <c r="L302" s="81">
        <v>200187807.59889999</v>
      </c>
      <c r="M302" s="71">
        <f t="shared" si="73"/>
        <v>342588240.33569998</v>
      </c>
      <c r="N302" s="70"/>
      <c r="O302" s="176"/>
      <c r="P302" s="72">
        <v>14</v>
      </c>
      <c r="Q302" s="176"/>
      <c r="R302" s="66" t="s">
        <v>724</v>
      </c>
      <c r="S302" s="66">
        <v>41180970.955799997</v>
      </c>
      <c r="T302" s="66">
        <v>0</v>
      </c>
      <c r="U302" s="66">
        <v>127044941.50570001</v>
      </c>
      <c r="V302" s="66">
        <v>6486960.2110000001</v>
      </c>
      <c r="W302" s="66">
        <v>5046777.3739</v>
      </c>
      <c r="X302" s="66">
        <f t="shared" si="81"/>
        <v>2523388.68695</v>
      </c>
      <c r="Y302" s="66">
        <f t="shared" si="75"/>
        <v>2523388.68695</v>
      </c>
      <c r="Z302" s="66">
        <v>212328316.09099999</v>
      </c>
      <c r="AA302" s="71">
        <f t="shared" si="74"/>
        <v>389564577.45045</v>
      </c>
    </row>
    <row r="303" spans="1:27" ht="24.95" customHeight="1">
      <c r="A303" s="181"/>
      <c r="B303" s="176"/>
      <c r="C303" s="62">
        <v>8</v>
      </c>
      <c r="D303" s="66" t="s">
        <v>725</v>
      </c>
      <c r="E303" s="66">
        <v>35930611.8002</v>
      </c>
      <c r="F303" s="66">
        <v>0</v>
      </c>
      <c r="G303" s="66">
        <v>110847373.6407</v>
      </c>
      <c r="H303" s="66">
        <v>6080485.2642000001</v>
      </c>
      <c r="I303" s="66">
        <v>4403339.5631999997</v>
      </c>
      <c r="J303" s="66">
        <v>4403339.5631999997</v>
      </c>
      <c r="K303" s="66">
        <f t="shared" si="83"/>
        <v>0</v>
      </c>
      <c r="L303" s="81">
        <v>218407617.4434</v>
      </c>
      <c r="M303" s="71">
        <f t="shared" si="73"/>
        <v>371266088.14850003</v>
      </c>
      <c r="N303" s="70"/>
      <c r="O303" s="176"/>
      <c r="P303" s="72">
        <v>15</v>
      </c>
      <c r="Q303" s="176"/>
      <c r="R303" s="66" t="s">
        <v>726</v>
      </c>
      <c r="S303" s="66">
        <v>32544344.082199998</v>
      </c>
      <c r="T303" s="66">
        <v>0</v>
      </c>
      <c r="U303" s="66">
        <v>100400602.37279999</v>
      </c>
      <c r="V303" s="66">
        <v>5750539.6809</v>
      </c>
      <c r="W303" s="66">
        <v>3988348.3936999999</v>
      </c>
      <c r="X303" s="66">
        <f t="shared" si="81"/>
        <v>1994174.1968499999</v>
      </c>
      <c r="Y303" s="66">
        <f t="shared" si="75"/>
        <v>1994174.1968499999</v>
      </c>
      <c r="Z303" s="66">
        <v>186147026.46079999</v>
      </c>
      <c r="AA303" s="71">
        <f t="shared" si="74"/>
        <v>326836686.79355001</v>
      </c>
    </row>
    <row r="304" spans="1:27" ht="24.95" customHeight="1">
      <c r="A304" s="181"/>
      <c r="B304" s="176"/>
      <c r="C304" s="62">
        <v>9</v>
      </c>
      <c r="D304" s="66" t="s">
        <v>727</v>
      </c>
      <c r="E304" s="66">
        <v>32757311.041900001</v>
      </c>
      <c r="F304" s="66">
        <v>0</v>
      </c>
      <c r="G304" s="66">
        <v>101057613.95649999</v>
      </c>
      <c r="H304" s="66">
        <v>5437102.9945</v>
      </c>
      <c r="I304" s="66">
        <v>4014447.75</v>
      </c>
      <c r="J304" s="66">
        <v>4014447.75</v>
      </c>
      <c r="K304" s="66">
        <f t="shared" si="83"/>
        <v>0</v>
      </c>
      <c r="L304" s="81">
        <v>195534032.50400001</v>
      </c>
      <c r="M304" s="71">
        <f t="shared" si="73"/>
        <v>334786060.49690002</v>
      </c>
      <c r="N304" s="70"/>
      <c r="O304" s="176"/>
      <c r="P304" s="72">
        <v>16</v>
      </c>
      <c r="Q304" s="176"/>
      <c r="R304" s="66" t="s">
        <v>728</v>
      </c>
      <c r="S304" s="66">
        <v>41467405.309199996</v>
      </c>
      <c r="T304" s="66">
        <v>0</v>
      </c>
      <c r="U304" s="66">
        <v>127928602.9355</v>
      </c>
      <c r="V304" s="66">
        <v>6611867.3706</v>
      </c>
      <c r="W304" s="66">
        <v>5081880.2473999998</v>
      </c>
      <c r="X304" s="66">
        <f t="shared" si="81"/>
        <v>2540940.1236999999</v>
      </c>
      <c r="Y304" s="66">
        <f t="shared" si="75"/>
        <v>2540940.1236999999</v>
      </c>
      <c r="Z304" s="66">
        <v>216769026.78400001</v>
      </c>
      <c r="AA304" s="71">
        <f t="shared" si="74"/>
        <v>395317842.523</v>
      </c>
    </row>
    <row r="305" spans="1:27" ht="24.95" customHeight="1">
      <c r="A305" s="181"/>
      <c r="B305" s="176"/>
      <c r="C305" s="62">
        <v>10</v>
      </c>
      <c r="D305" s="66" t="s">
        <v>729</v>
      </c>
      <c r="E305" s="66">
        <v>31066162.653299998</v>
      </c>
      <c r="F305" s="66">
        <v>0</v>
      </c>
      <c r="G305" s="66">
        <v>95840353.578199998</v>
      </c>
      <c r="H305" s="66">
        <v>5587322.7792999996</v>
      </c>
      <c r="I305" s="66">
        <v>3807195.4868999999</v>
      </c>
      <c r="J305" s="66">
        <v>3807195.4868999999</v>
      </c>
      <c r="K305" s="66">
        <f t="shared" si="83"/>
        <v>0</v>
      </c>
      <c r="L305" s="81">
        <v>200874659.94729999</v>
      </c>
      <c r="M305" s="71">
        <f t="shared" si="73"/>
        <v>333368498.95810002</v>
      </c>
      <c r="N305" s="70"/>
      <c r="O305" s="177"/>
      <c r="P305" s="72">
        <v>17</v>
      </c>
      <c r="Q305" s="177"/>
      <c r="R305" s="66" t="s">
        <v>730</v>
      </c>
      <c r="S305" s="66">
        <v>44059302.7359</v>
      </c>
      <c r="T305" s="66">
        <v>0</v>
      </c>
      <c r="U305" s="66">
        <v>135924710.10159999</v>
      </c>
      <c r="V305" s="66">
        <v>6090260.5694000004</v>
      </c>
      <c r="W305" s="66">
        <v>5399520.3850999996</v>
      </c>
      <c r="X305" s="66">
        <f t="shared" si="81"/>
        <v>2699760.1925499998</v>
      </c>
      <c r="Y305" s="66">
        <f t="shared" si="75"/>
        <v>2699760.1925499998</v>
      </c>
      <c r="Z305" s="66">
        <v>198224814.37270001</v>
      </c>
      <c r="AA305" s="71">
        <f t="shared" si="74"/>
        <v>386998847.97215003</v>
      </c>
    </row>
    <row r="306" spans="1:27" ht="24.95" customHeight="1">
      <c r="A306" s="181"/>
      <c r="B306" s="177"/>
      <c r="C306" s="62">
        <v>11</v>
      </c>
      <c r="D306" s="66" t="s">
        <v>731</v>
      </c>
      <c r="E306" s="66">
        <v>42400273.793300003</v>
      </c>
      <c r="F306" s="66">
        <v>0</v>
      </c>
      <c r="G306" s="66">
        <v>130806539.498</v>
      </c>
      <c r="H306" s="66">
        <v>6755826.5537</v>
      </c>
      <c r="I306" s="66">
        <v>5196204.3986999998</v>
      </c>
      <c r="J306" s="66">
        <v>5196204.3986999998</v>
      </c>
      <c r="K306" s="66">
        <f t="shared" si="83"/>
        <v>0</v>
      </c>
      <c r="L306" s="81">
        <v>242417412.36070001</v>
      </c>
      <c r="M306" s="71">
        <f t="shared" si="73"/>
        <v>422380052.20569998</v>
      </c>
      <c r="N306" s="70"/>
      <c r="O306" s="62"/>
      <c r="P306" s="189" t="s">
        <v>732</v>
      </c>
      <c r="Q306" s="190"/>
      <c r="R306" s="67"/>
      <c r="S306" s="67">
        <f t="shared" ref="S306:W306" si="84">SUM(S289:S305)</f>
        <v>658090065.47010005</v>
      </c>
      <c r="T306" s="67">
        <f t="shared" si="84"/>
        <v>0</v>
      </c>
      <c r="U306" s="67">
        <f t="shared" si="84"/>
        <v>2030234157.49</v>
      </c>
      <c r="V306" s="67">
        <f t="shared" si="84"/>
        <v>108373613.3186</v>
      </c>
      <c r="W306" s="67">
        <f t="shared" si="84"/>
        <v>80649726.688899994</v>
      </c>
      <c r="X306" s="67">
        <f t="shared" ref="X306:AA306" si="85">SUM(X289:X305)</f>
        <v>40324863.344449997</v>
      </c>
      <c r="Y306" s="67">
        <f t="shared" si="75"/>
        <v>40324863.344449997</v>
      </c>
      <c r="Z306" s="67">
        <f t="shared" si="85"/>
        <v>3541864940.947</v>
      </c>
      <c r="AA306" s="67">
        <f t="shared" si="85"/>
        <v>6378887640.5701504</v>
      </c>
    </row>
    <row r="307" spans="1:27" ht="24.95" customHeight="1">
      <c r="A307" s="62"/>
      <c r="B307" s="188" t="s">
        <v>733</v>
      </c>
      <c r="C307" s="189"/>
      <c r="D307" s="67"/>
      <c r="E307" s="67">
        <f>SUM(E296:E306)</f>
        <v>422382260.75980002</v>
      </c>
      <c r="F307" s="67">
        <f t="shared" ref="F307:M307" si="86">SUM(F296:F306)</f>
        <v>0</v>
      </c>
      <c r="G307" s="67">
        <f t="shared" si="86"/>
        <v>1303066158.1257999</v>
      </c>
      <c r="H307" s="67">
        <f t="shared" si="86"/>
        <v>69201448.739700004</v>
      </c>
      <c r="I307" s="67">
        <f t="shared" si="86"/>
        <v>51763452.566699997</v>
      </c>
      <c r="J307" s="67">
        <f t="shared" si="86"/>
        <v>51763452.566699997</v>
      </c>
      <c r="K307" s="67">
        <f t="shared" si="86"/>
        <v>0</v>
      </c>
      <c r="L307" s="67">
        <f t="shared" si="86"/>
        <v>2484826374.7761002</v>
      </c>
      <c r="M307" s="67">
        <f t="shared" si="86"/>
        <v>4279476242.4014001</v>
      </c>
      <c r="N307" s="70"/>
      <c r="O307" s="175">
        <v>32</v>
      </c>
      <c r="P307" s="72">
        <v>1</v>
      </c>
      <c r="Q307" s="175" t="s">
        <v>119</v>
      </c>
      <c r="R307" s="66" t="s">
        <v>734</v>
      </c>
      <c r="S307" s="66">
        <v>29315146.677499998</v>
      </c>
      <c r="T307" s="66">
        <v>0</v>
      </c>
      <c r="U307" s="66">
        <v>90438399.300099999</v>
      </c>
      <c r="V307" s="66">
        <v>7360012.3005999997</v>
      </c>
      <c r="W307" s="66">
        <v>3592606.3793000001</v>
      </c>
      <c r="X307" s="66">
        <f t="shared" si="81"/>
        <v>1796303.1896500001</v>
      </c>
      <c r="Y307" s="66">
        <f t="shared" si="75"/>
        <v>1796303.1896500001</v>
      </c>
      <c r="Z307" s="66">
        <v>445533523.4849</v>
      </c>
      <c r="AA307" s="71">
        <f t="shared" si="74"/>
        <v>574443384.95274997</v>
      </c>
    </row>
    <row r="308" spans="1:27" ht="24.95" customHeight="1">
      <c r="A308" s="181">
        <v>16</v>
      </c>
      <c r="B308" s="175" t="s">
        <v>735</v>
      </c>
      <c r="C308" s="62">
        <v>1</v>
      </c>
      <c r="D308" s="66" t="s">
        <v>736</v>
      </c>
      <c r="E308" s="66">
        <v>33144131.849800002</v>
      </c>
      <c r="F308" s="66">
        <v>0</v>
      </c>
      <c r="G308" s="66">
        <v>102250971.6109</v>
      </c>
      <c r="H308" s="66">
        <v>6490586.3921999997</v>
      </c>
      <c r="I308" s="66">
        <v>4061853.1038000002</v>
      </c>
      <c r="J308" s="66">
        <f t="shared" ref="J308:J334" si="87">I308/2</f>
        <v>2030926.5519000001</v>
      </c>
      <c r="K308" s="66">
        <f t="shared" ref="K308:K334" si="88">I308-J308</f>
        <v>2030926.5519000001</v>
      </c>
      <c r="L308" s="81">
        <v>199804310.23519999</v>
      </c>
      <c r="M308" s="71">
        <f t="shared" si="73"/>
        <v>343720926.63999999</v>
      </c>
      <c r="N308" s="70"/>
      <c r="O308" s="176"/>
      <c r="P308" s="72">
        <v>2</v>
      </c>
      <c r="Q308" s="176"/>
      <c r="R308" s="66" t="s">
        <v>737</v>
      </c>
      <c r="S308" s="66">
        <v>36626999.085000001</v>
      </c>
      <c r="T308" s="66">
        <v>0</v>
      </c>
      <c r="U308" s="66">
        <v>112995756.25049999</v>
      </c>
      <c r="V308" s="66">
        <v>8291386.2311000004</v>
      </c>
      <c r="W308" s="66">
        <v>4488682.66</v>
      </c>
      <c r="X308" s="66">
        <f t="shared" si="81"/>
        <v>2244341.33</v>
      </c>
      <c r="Y308" s="66">
        <f t="shared" si="75"/>
        <v>2244341.33</v>
      </c>
      <c r="Z308" s="66">
        <v>478645814.13</v>
      </c>
      <c r="AA308" s="71">
        <f t="shared" si="74"/>
        <v>638804297.0266</v>
      </c>
    </row>
    <row r="309" spans="1:27" ht="24.95" customHeight="1">
      <c r="A309" s="181"/>
      <c r="B309" s="176"/>
      <c r="C309" s="62">
        <v>2</v>
      </c>
      <c r="D309" s="66" t="s">
        <v>738</v>
      </c>
      <c r="E309" s="66">
        <v>31190298.7467</v>
      </c>
      <c r="F309" s="66">
        <v>0</v>
      </c>
      <c r="G309" s="66">
        <v>96223318.388400003</v>
      </c>
      <c r="H309" s="66">
        <v>6211775.7680000002</v>
      </c>
      <c r="I309" s="66">
        <v>3822408.514</v>
      </c>
      <c r="J309" s="66">
        <f t="shared" si="87"/>
        <v>1911204.257</v>
      </c>
      <c r="K309" s="66">
        <f t="shared" si="88"/>
        <v>1911204.257</v>
      </c>
      <c r="L309" s="81">
        <v>189892009.58129999</v>
      </c>
      <c r="M309" s="71">
        <f t="shared" si="73"/>
        <v>325428606.7414</v>
      </c>
      <c r="N309" s="70"/>
      <c r="O309" s="176"/>
      <c r="P309" s="72">
        <v>3</v>
      </c>
      <c r="Q309" s="176"/>
      <c r="R309" s="66" t="s">
        <v>739</v>
      </c>
      <c r="S309" s="66">
        <v>33741148.948399998</v>
      </c>
      <c r="T309" s="66">
        <v>-1E-4</v>
      </c>
      <c r="U309" s="66">
        <v>104092793.22409999</v>
      </c>
      <c r="V309" s="66">
        <v>7239014.1222999999</v>
      </c>
      <c r="W309" s="66">
        <v>4135018.2651</v>
      </c>
      <c r="X309" s="66">
        <f t="shared" si="81"/>
        <v>2067509.13255</v>
      </c>
      <c r="Y309" s="66">
        <f t="shared" si="75"/>
        <v>2067509.13255</v>
      </c>
      <c r="Z309" s="66">
        <v>441231785.24959999</v>
      </c>
      <c r="AA309" s="71">
        <f t="shared" si="74"/>
        <v>588372250.67684996</v>
      </c>
    </row>
    <row r="310" spans="1:27" ht="24.95" customHeight="1">
      <c r="A310" s="181"/>
      <c r="B310" s="176"/>
      <c r="C310" s="62">
        <v>3</v>
      </c>
      <c r="D310" s="66" t="s">
        <v>740</v>
      </c>
      <c r="E310" s="66">
        <v>28654202.386500001</v>
      </c>
      <c r="F310" s="66">
        <v>0</v>
      </c>
      <c r="G310" s="66">
        <v>88399359.743000001</v>
      </c>
      <c r="H310" s="66">
        <v>5761499.4264000002</v>
      </c>
      <c r="I310" s="66">
        <v>3511606.8639000002</v>
      </c>
      <c r="J310" s="66">
        <f t="shared" si="87"/>
        <v>1755803.4319500001</v>
      </c>
      <c r="K310" s="66">
        <f t="shared" si="88"/>
        <v>1755803.4319500001</v>
      </c>
      <c r="L310" s="81">
        <v>173883744.1494</v>
      </c>
      <c r="M310" s="71">
        <f t="shared" si="73"/>
        <v>298454609.13725001</v>
      </c>
      <c r="N310" s="70"/>
      <c r="O310" s="176"/>
      <c r="P310" s="72">
        <v>4</v>
      </c>
      <c r="Q310" s="176"/>
      <c r="R310" s="66" t="s">
        <v>741</v>
      </c>
      <c r="S310" s="66">
        <v>36018000.460299999</v>
      </c>
      <c r="T310" s="66">
        <v>0</v>
      </c>
      <c r="U310" s="66">
        <v>111116971.15019999</v>
      </c>
      <c r="V310" s="66">
        <v>7858627.0822000001</v>
      </c>
      <c r="W310" s="66">
        <v>4414049.1482999995</v>
      </c>
      <c r="X310" s="66">
        <f t="shared" si="81"/>
        <v>2207024.5741499998</v>
      </c>
      <c r="Y310" s="66">
        <f t="shared" si="75"/>
        <v>2207024.5741499998</v>
      </c>
      <c r="Z310" s="66">
        <v>463260321.52710003</v>
      </c>
      <c r="AA310" s="71">
        <f t="shared" si="74"/>
        <v>620460944.79394996</v>
      </c>
    </row>
    <row r="311" spans="1:27" ht="24.95" customHeight="1">
      <c r="A311" s="181"/>
      <c r="B311" s="176"/>
      <c r="C311" s="62">
        <v>4</v>
      </c>
      <c r="D311" s="66" t="s">
        <v>742</v>
      </c>
      <c r="E311" s="66">
        <v>30475954.6611</v>
      </c>
      <c r="F311" s="66">
        <v>0</v>
      </c>
      <c r="G311" s="66">
        <v>94019538.329999998</v>
      </c>
      <c r="H311" s="66">
        <v>6151969.4809999997</v>
      </c>
      <c r="I311" s="66">
        <v>3734864.7897000001</v>
      </c>
      <c r="J311" s="66">
        <f t="shared" si="87"/>
        <v>1867432.39485</v>
      </c>
      <c r="K311" s="66">
        <f t="shared" si="88"/>
        <v>1867432.39485</v>
      </c>
      <c r="L311" s="81">
        <v>187765771.0289</v>
      </c>
      <c r="M311" s="71">
        <f t="shared" si="73"/>
        <v>320280665.89585</v>
      </c>
      <c r="N311" s="70"/>
      <c r="O311" s="176"/>
      <c r="P311" s="72">
        <v>5</v>
      </c>
      <c r="Q311" s="176"/>
      <c r="R311" s="66" t="s">
        <v>743</v>
      </c>
      <c r="S311" s="66">
        <v>33433715.4712</v>
      </c>
      <c r="T311" s="66">
        <v>0</v>
      </c>
      <c r="U311" s="66">
        <v>103144348.6584</v>
      </c>
      <c r="V311" s="66">
        <v>7961037.8855999997</v>
      </c>
      <c r="W311" s="66">
        <v>4097341.9238</v>
      </c>
      <c r="X311" s="66">
        <f t="shared" si="81"/>
        <v>2048670.9619</v>
      </c>
      <c r="Y311" s="66">
        <f t="shared" si="75"/>
        <v>2048670.9619</v>
      </c>
      <c r="Z311" s="66">
        <v>466901239.71880001</v>
      </c>
      <c r="AA311" s="71">
        <f t="shared" si="74"/>
        <v>613489012.69589996</v>
      </c>
    </row>
    <row r="312" spans="1:27" ht="24.95" customHeight="1">
      <c r="A312" s="181"/>
      <c r="B312" s="176"/>
      <c r="C312" s="62">
        <v>5</v>
      </c>
      <c r="D312" s="66" t="s">
        <v>744</v>
      </c>
      <c r="E312" s="66">
        <v>32679558.4639</v>
      </c>
      <c r="F312" s="66">
        <v>0</v>
      </c>
      <c r="G312" s="66">
        <v>100817744.1453</v>
      </c>
      <c r="H312" s="66">
        <v>6071007.3817999996</v>
      </c>
      <c r="I312" s="66">
        <v>4004919.0783000002</v>
      </c>
      <c r="J312" s="66">
        <f t="shared" si="87"/>
        <v>2002459.5391500001</v>
      </c>
      <c r="K312" s="66">
        <f t="shared" si="88"/>
        <v>2002459.5391500001</v>
      </c>
      <c r="L312" s="81">
        <v>184887399.1178</v>
      </c>
      <c r="M312" s="71">
        <f t="shared" si="73"/>
        <v>326458168.64794999</v>
      </c>
      <c r="N312" s="70"/>
      <c r="O312" s="176"/>
      <c r="P312" s="72">
        <v>6</v>
      </c>
      <c r="Q312" s="176"/>
      <c r="R312" s="66" t="s">
        <v>745</v>
      </c>
      <c r="S312" s="66">
        <v>33428128.7533</v>
      </c>
      <c r="T312" s="66">
        <v>0</v>
      </c>
      <c r="U312" s="66">
        <v>103127113.4102</v>
      </c>
      <c r="V312" s="66">
        <v>7907618.8964999998</v>
      </c>
      <c r="W312" s="66">
        <v>4096657.2648999998</v>
      </c>
      <c r="X312" s="66">
        <f t="shared" si="81"/>
        <v>2048328.6324499999</v>
      </c>
      <c r="Y312" s="66">
        <f t="shared" si="75"/>
        <v>2048328.6324499999</v>
      </c>
      <c r="Z312" s="66">
        <v>465002082.96319997</v>
      </c>
      <c r="AA312" s="71">
        <f t="shared" si="74"/>
        <v>611513272.65565002</v>
      </c>
    </row>
    <row r="313" spans="1:27" ht="24.95" customHeight="1">
      <c r="A313" s="181"/>
      <c r="B313" s="176"/>
      <c r="C313" s="62">
        <v>6</v>
      </c>
      <c r="D313" s="66" t="s">
        <v>746</v>
      </c>
      <c r="E313" s="66">
        <v>32788985.090500001</v>
      </c>
      <c r="F313" s="66">
        <v>0</v>
      </c>
      <c r="G313" s="66">
        <v>101155329.66240001</v>
      </c>
      <c r="H313" s="66">
        <v>6087600.8383999998</v>
      </c>
      <c r="I313" s="66">
        <v>4018329.4426000002</v>
      </c>
      <c r="J313" s="66">
        <f t="shared" si="87"/>
        <v>2009164.7213000001</v>
      </c>
      <c r="K313" s="66">
        <f t="shared" si="88"/>
        <v>2009164.7213000001</v>
      </c>
      <c r="L313" s="81">
        <v>185477331.19310001</v>
      </c>
      <c r="M313" s="71">
        <f t="shared" si="73"/>
        <v>327518411.50569999</v>
      </c>
      <c r="N313" s="70"/>
      <c r="O313" s="176"/>
      <c r="P313" s="72">
        <v>7</v>
      </c>
      <c r="Q313" s="176"/>
      <c r="R313" s="66" t="s">
        <v>747</v>
      </c>
      <c r="S313" s="66">
        <v>36228442.515699998</v>
      </c>
      <c r="T313" s="66">
        <v>0</v>
      </c>
      <c r="U313" s="66">
        <v>111766193.3029</v>
      </c>
      <c r="V313" s="66">
        <v>8295306.4775</v>
      </c>
      <c r="W313" s="66">
        <v>4439839.0745999999</v>
      </c>
      <c r="X313" s="66">
        <f t="shared" si="81"/>
        <v>2219919.5373</v>
      </c>
      <c r="Y313" s="66">
        <f t="shared" si="75"/>
        <v>2219919.5373</v>
      </c>
      <c r="Z313" s="66">
        <v>478785187.08459997</v>
      </c>
      <c r="AA313" s="71">
        <f t="shared" si="74"/>
        <v>637295048.91799998</v>
      </c>
    </row>
    <row r="314" spans="1:27" ht="24.95" customHeight="1">
      <c r="A314" s="181"/>
      <c r="B314" s="176"/>
      <c r="C314" s="62">
        <v>7</v>
      </c>
      <c r="D314" s="66" t="s">
        <v>748</v>
      </c>
      <c r="E314" s="66">
        <v>29347871.015900001</v>
      </c>
      <c r="F314" s="66">
        <v>0</v>
      </c>
      <c r="G314" s="66">
        <v>90539355.192399994</v>
      </c>
      <c r="H314" s="66">
        <v>5646742.0999999996</v>
      </c>
      <c r="I314" s="66">
        <v>3596616.7862999998</v>
      </c>
      <c r="J314" s="66">
        <f t="shared" si="87"/>
        <v>1798308.3931499999</v>
      </c>
      <c r="K314" s="66">
        <f t="shared" si="88"/>
        <v>1798308.3931499999</v>
      </c>
      <c r="L314" s="81">
        <v>169803881.24990001</v>
      </c>
      <c r="M314" s="71">
        <f t="shared" si="73"/>
        <v>297136157.95134997</v>
      </c>
      <c r="N314" s="70"/>
      <c r="O314" s="176"/>
      <c r="P314" s="72">
        <v>8</v>
      </c>
      <c r="Q314" s="176"/>
      <c r="R314" s="66" t="s">
        <v>749</v>
      </c>
      <c r="S314" s="66">
        <v>35098507.777099997</v>
      </c>
      <c r="T314" s="66">
        <v>0</v>
      </c>
      <c r="U314" s="66">
        <v>108280299.46789999</v>
      </c>
      <c r="V314" s="66">
        <v>7631917.4332999997</v>
      </c>
      <c r="W314" s="66">
        <v>4301364.2172999997</v>
      </c>
      <c r="X314" s="66">
        <f t="shared" si="81"/>
        <v>2150682.1086499998</v>
      </c>
      <c r="Y314" s="66">
        <f t="shared" si="75"/>
        <v>2150682.1086499998</v>
      </c>
      <c r="Z314" s="66">
        <v>455200319.48019999</v>
      </c>
      <c r="AA314" s="71">
        <f t="shared" si="74"/>
        <v>608361726.26715004</v>
      </c>
    </row>
    <row r="315" spans="1:27" ht="24.95" customHeight="1">
      <c r="A315" s="181"/>
      <c r="B315" s="176"/>
      <c r="C315" s="62">
        <v>8</v>
      </c>
      <c r="D315" s="66" t="s">
        <v>750</v>
      </c>
      <c r="E315" s="66">
        <v>31085473.629700001</v>
      </c>
      <c r="F315" s="66">
        <v>0</v>
      </c>
      <c r="G315" s="66">
        <v>95899928.712200001</v>
      </c>
      <c r="H315" s="66">
        <v>5968607.8435000004</v>
      </c>
      <c r="I315" s="66">
        <v>3809562.0702999998</v>
      </c>
      <c r="J315" s="66">
        <f t="shared" si="87"/>
        <v>1904781.0351499999</v>
      </c>
      <c r="K315" s="66">
        <f t="shared" si="88"/>
        <v>1904781.0351499999</v>
      </c>
      <c r="L315" s="81">
        <v>181246881.42309999</v>
      </c>
      <c r="M315" s="71">
        <f t="shared" si="73"/>
        <v>316105672.64365</v>
      </c>
      <c r="N315" s="70"/>
      <c r="O315" s="176"/>
      <c r="P315" s="72">
        <v>9</v>
      </c>
      <c r="Q315" s="176"/>
      <c r="R315" s="66" t="s">
        <v>751</v>
      </c>
      <c r="S315" s="66">
        <v>33477894.5623</v>
      </c>
      <c r="T315" s="66">
        <v>0</v>
      </c>
      <c r="U315" s="66">
        <v>103280642.92039999</v>
      </c>
      <c r="V315" s="66">
        <v>7756024.7725</v>
      </c>
      <c r="W315" s="66">
        <v>4102756.1244999999</v>
      </c>
      <c r="X315" s="66">
        <f t="shared" si="81"/>
        <v>2051378.06225</v>
      </c>
      <c r="Y315" s="66">
        <f t="shared" si="75"/>
        <v>2051378.06225</v>
      </c>
      <c r="Z315" s="66">
        <v>459612594.88639998</v>
      </c>
      <c r="AA315" s="71">
        <f t="shared" si="74"/>
        <v>606178535.20385003</v>
      </c>
    </row>
    <row r="316" spans="1:27" ht="24.95" customHeight="1">
      <c r="A316" s="181"/>
      <c r="B316" s="176"/>
      <c r="C316" s="62">
        <v>9</v>
      </c>
      <c r="D316" s="66" t="s">
        <v>752</v>
      </c>
      <c r="E316" s="66">
        <v>34973671.942400001</v>
      </c>
      <c r="F316" s="66">
        <v>0</v>
      </c>
      <c r="G316" s="66">
        <v>107895175.9279</v>
      </c>
      <c r="H316" s="66">
        <v>6525327.8857000005</v>
      </c>
      <c r="I316" s="66">
        <v>4286065.4360999996</v>
      </c>
      <c r="J316" s="66">
        <f t="shared" si="87"/>
        <v>2143032.7180499998</v>
      </c>
      <c r="K316" s="66">
        <f t="shared" si="88"/>
        <v>2143032.7180499998</v>
      </c>
      <c r="L316" s="81">
        <v>201039442.97130001</v>
      </c>
      <c r="M316" s="71">
        <f t="shared" si="73"/>
        <v>352576651.44534999</v>
      </c>
      <c r="N316" s="70"/>
      <c r="O316" s="176"/>
      <c r="P316" s="72">
        <v>10</v>
      </c>
      <c r="Q316" s="176"/>
      <c r="R316" s="66" t="s">
        <v>753</v>
      </c>
      <c r="S316" s="66">
        <v>39258219.536700003</v>
      </c>
      <c r="T316" s="66">
        <v>0</v>
      </c>
      <c r="U316" s="66">
        <v>121113176.52060001</v>
      </c>
      <c r="V316" s="66">
        <v>8291712.9183</v>
      </c>
      <c r="W316" s="66">
        <v>4811141.8816999998</v>
      </c>
      <c r="X316" s="66">
        <f t="shared" si="81"/>
        <v>2405570.9408499999</v>
      </c>
      <c r="Y316" s="66">
        <f t="shared" si="75"/>
        <v>2405570.9408499999</v>
      </c>
      <c r="Z316" s="66">
        <v>478657428.54290003</v>
      </c>
      <c r="AA316" s="71">
        <f t="shared" si="74"/>
        <v>649726108.45934999</v>
      </c>
    </row>
    <row r="317" spans="1:27" ht="24.95" customHeight="1">
      <c r="A317" s="181"/>
      <c r="B317" s="176"/>
      <c r="C317" s="62">
        <v>10</v>
      </c>
      <c r="D317" s="66" t="s">
        <v>754</v>
      </c>
      <c r="E317" s="66">
        <v>30911831.219500002</v>
      </c>
      <c r="F317" s="66">
        <v>0</v>
      </c>
      <c r="G317" s="66">
        <v>95364234.935699999</v>
      </c>
      <c r="H317" s="66">
        <v>6139296.2708999999</v>
      </c>
      <c r="I317" s="66">
        <v>3788281.9846999999</v>
      </c>
      <c r="J317" s="66">
        <f t="shared" si="87"/>
        <v>1894140.99235</v>
      </c>
      <c r="K317" s="66">
        <f t="shared" si="88"/>
        <v>1894140.99235</v>
      </c>
      <c r="L317" s="81">
        <v>187315211.90830001</v>
      </c>
      <c r="M317" s="71">
        <f t="shared" si="73"/>
        <v>321624715.32674998</v>
      </c>
      <c r="N317" s="70"/>
      <c r="O317" s="176"/>
      <c r="P317" s="72">
        <v>11</v>
      </c>
      <c r="Q317" s="176"/>
      <c r="R317" s="66" t="s">
        <v>755</v>
      </c>
      <c r="S317" s="66">
        <v>34963381.7553</v>
      </c>
      <c r="T317" s="66">
        <v>0</v>
      </c>
      <c r="U317" s="66">
        <v>107863430.2894</v>
      </c>
      <c r="V317" s="66">
        <v>8059359.4665000001</v>
      </c>
      <c r="W317" s="66">
        <v>4284804.3613999998</v>
      </c>
      <c r="X317" s="66">
        <f t="shared" si="81"/>
        <v>2142402.1806999999</v>
      </c>
      <c r="Y317" s="66">
        <f t="shared" si="75"/>
        <v>2142402.1806999999</v>
      </c>
      <c r="Z317" s="66">
        <v>470396777.50089997</v>
      </c>
      <c r="AA317" s="71">
        <f t="shared" si="74"/>
        <v>623425351.19280005</v>
      </c>
    </row>
    <row r="318" spans="1:27" ht="24.95" customHeight="1">
      <c r="A318" s="181"/>
      <c r="B318" s="176"/>
      <c r="C318" s="62">
        <v>11</v>
      </c>
      <c r="D318" s="66" t="s">
        <v>756</v>
      </c>
      <c r="E318" s="66">
        <v>38128446.454999998</v>
      </c>
      <c r="F318" s="66">
        <v>0</v>
      </c>
      <c r="G318" s="66">
        <v>117627781.40369999</v>
      </c>
      <c r="H318" s="66">
        <v>6962626.8601000002</v>
      </c>
      <c r="I318" s="66">
        <v>4672686.8357999995</v>
      </c>
      <c r="J318" s="66">
        <f t="shared" si="87"/>
        <v>2336343.4178999998</v>
      </c>
      <c r="K318" s="66">
        <f t="shared" si="88"/>
        <v>2336343.4178999998</v>
      </c>
      <c r="L318" s="81">
        <v>216586335.86359999</v>
      </c>
      <c r="M318" s="71">
        <f t="shared" si="73"/>
        <v>381641534.00029999</v>
      </c>
      <c r="N318" s="70"/>
      <c r="O318" s="176"/>
      <c r="P318" s="72">
        <v>12</v>
      </c>
      <c r="Q318" s="176"/>
      <c r="R318" s="66" t="s">
        <v>757</v>
      </c>
      <c r="S318" s="66">
        <v>33462955.661200002</v>
      </c>
      <c r="T318" s="66">
        <v>0</v>
      </c>
      <c r="U318" s="66">
        <v>103234555.8133</v>
      </c>
      <c r="V318" s="66">
        <v>7618872.4755999995</v>
      </c>
      <c r="W318" s="66">
        <v>4100925.3442000002</v>
      </c>
      <c r="X318" s="66">
        <f t="shared" si="81"/>
        <v>2050462.6721000001</v>
      </c>
      <c r="Y318" s="66">
        <f t="shared" si="75"/>
        <v>2050462.6721000001</v>
      </c>
      <c r="Z318" s="66">
        <v>454736543.9587</v>
      </c>
      <c r="AA318" s="71">
        <f t="shared" si="74"/>
        <v>601103390.58089995</v>
      </c>
    </row>
    <row r="319" spans="1:27" ht="24.95" customHeight="1">
      <c r="A319" s="181"/>
      <c r="B319" s="176"/>
      <c r="C319" s="62">
        <v>12</v>
      </c>
      <c r="D319" s="66" t="s">
        <v>758</v>
      </c>
      <c r="E319" s="66">
        <v>32382313.531599998</v>
      </c>
      <c r="F319" s="66">
        <v>0</v>
      </c>
      <c r="G319" s="66">
        <v>99900731.647400007</v>
      </c>
      <c r="H319" s="66">
        <v>6088197.8874000004</v>
      </c>
      <c r="I319" s="66">
        <v>3968491.3552999999</v>
      </c>
      <c r="J319" s="66">
        <f t="shared" si="87"/>
        <v>1984245.67765</v>
      </c>
      <c r="K319" s="66">
        <f t="shared" si="88"/>
        <v>1984245.67765</v>
      </c>
      <c r="L319" s="81">
        <v>185498557.53389999</v>
      </c>
      <c r="M319" s="71">
        <f t="shared" si="73"/>
        <v>325854046.27794999</v>
      </c>
      <c r="N319" s="70"/>
      <c r="O319" s="176"/>
      <c r="P319" s="72">
        <v>13</v>
      </c>
      <c r="Q319" s="176"/>
      <c r="R319" s="66" t="s">
        <v>759</v>
      </c>
      <c r="S319" s="66">
        <v>39726344.693099998</v>
      </c>
      <c r="T319" s="66">
        <v>0</v>
      </c>
      <c r="U319" s="66">
        <v>122557361.34029999</v>
      </c>
      <c r="V319" s="66">
        <v>8795971.5029000007</v>
      </c>
      <c r="W319" s="66">
        <v>4868511.1809999999</v>
      </c>
      <c r="X319" s="66">
        <f t="shared" si="81"/>
        <v>2434255.5904999999</v>
      </c>
      <c r="Y319" s="66">
        <f t="shared" si="75"/>
        <v>2434255.5904999999</v>
      </c>
      <c r="Z319" s="66">
        <v>496584875.58020002</v>
      </c>
      <c r="AA319" s="71">
        <f t="shared" si="74"/>
        <v>670098808.70700002</v>
      </c>
    </row>
    <row r="320" spans="1:27" ht="24.95" customHeight="1">
      <c r="A320" s="181"/>
      <c r="B320" s="176"/>
      <c r="C320" s="62">
        <v>13</v>
      </c>
      <c r="D320" s="66" t="s">
        <v>760</v>
      </c>
      <c r="E320" s="66">
        <v>29253343.619800001</v>
      </c>
      <c r="F320" s="66">
        <v>0</v>
      </c>
      <c r="G320" s="66">
        <v>90247734.396699995</v>
      </c>
      <c r="H320" s="66">
        <v>5921226.9349999996</v>
      </c>
      <c r="I320" s="66">
        <v>3585032.3404999999</v>
      </c>
      <c r="J320" s="66">
        <f t="shared" si="87"/>
        <v>1792516.17025</v>
      </c>
      <c r="K320" s="66">
        <f t="shared" si="88"/>
        <v>1792516.17025</v>
      </c>
      <c r="L320" s="81">
        <v>179562391.05739999</v>
      </c>
      <c r="M320" s="71">
        <f t="shared" si="73"/>
        <v>306777212.17914999</v>
      </c>
      <c r="N320" s="70"/>
      <c r="O320" s="176"/>
      <c r="P320" s="72">
        <v>14</v>
      </c>
      <c r="Q320" s="176"/>
      <c r="R320" s="66" t="s">
        <v>761</v>
      </c>
      <c r="S320" s="66">
        <v>48649217.7104</v>
      </c>
      <c r="T320" s="66">
        <v>0</v>
      </c>
      <c r="U320" s="66">
        <v>150084781.26809999</v>
      </c>
      <c r="V320" s="66">
        <v>10717477.9989</v>
      </c>
      <c r="W320" s="66">
        <v>5962019.9693</v>
      </c>
      <c r="X320" s="66">
        <f t="shared" si="81"/>
        <v>2981009.98465</v>
      </c>
      <c r="Y320" s="66">
        <f t="shared" si="75"/>
        <v>2981009.98465</v>
      </c>
      <c r="Z320" s="66">
        <v>564898449.20220006</v>
      </c>
      <c r="AA320" s="71">
        <f t="shared" si="74"/>
        <v>777330936.16425002</v>
      </c>
    </row>
    <row r="321" spans="1:27" ht="24.95" customHeight="1">
      <c r="A321" s="181"/>
      <c r="B321" s="176"/>
      <c r="C321" s="62">
        <v>14</v>
      </c>
      <c r="D321" s="66" t="s">
        <v>762</v>
      </c>
      <c r="E321" s="66">
        <v>28468268.1954</v>
      </c>
      <c r="F321" s="66">
        <v>0</v>
      </c>
      <c r="G321" s="66">
        <v>87825745.331100002</v>
      </c>
      <c r="H321" s="66">
        <v>5733798.6052000001</v>
      </c>
      <c r="I321" s="66">
        <v>3488820.4057999998</v>
      </c>
      <c r="J321" s="66">
        <f t="shared" si="87"/>
        <v>1744410.2028999999</v>
      </c>
      <c r="K321" s="66">
        <f t="shared" si="88"/>
        <v>1744410.2028999999</v>
      </c>
      <c r="L321" s="81">
        <v>172898922.03600001</v>
      </c>
      <c r="M321" s="71">
        <f t="shared" si="73"/>
        <v>296671144.37059999</v>
      </c>
      <c r="N321" s="70"/>
      <c r="O321" s="176"/>
      <c r="P321" s="72">
        <v>15</v>
      </c>
      <c r="Q321" s="176"/>
      <c r="R321" s="66" t="s">
        <v>763</v>
      </c>
      <c r="S321" s="66">
        <v>39276619.198299997</v>
      </c>
      <c r="T321" s="66">
        <v>0</v>
      </c>
      <c r="U321" s="66">
        <v>121169940.21170001</v>
      </c>
      <c r="V321" s="66">
        <v>8669475.9675999992</v>
      </c>
      <c r="W321" s="66">
        <v>4813396.7823000001</v>
      </c>
      <c r="X321" s="66">
        <f t="shared" si="81"/>
        <v>2406698.39115</v>
      </c>
      <c r="Y321" s="66">
        <f t="shared" si="75"/>
        <v>2406698.39115</v>
      </c>
      <c r="Z321" s="66">
        <v>492087694.8107</v>
      </c>
      <c r="AA321" s="71">
        <f t="shared" si="74"/>
        <v>663610428.57945001</v>
      </c>
    </row>
    <row r="322" spans="1:27" ht="24.95" customHeight="1">
      <c r="A322" s="181"/>
      <c r="B322" s="176"/>
      <c r="C322" s="62">
        <v>15</v>
      </c>
      <c r="D322" s="66" t="s">
        <v>764</v>
      </c>
      <c r="E322" s="66">
        <v>25360714.285700001</v>
      </c>
      <c r="F322" s="66">
        <v>0</v>
      </c>
      <c r="G322" s="66">
        <v>78238817.303000003</v>
      </c>
      <c r="H322" s="66">
        <v>5189470.1463000001</v>
      </c>
      <c r="I322" s="66">
        <v>3107985.9476999999</v>
      </c>
      <c r="J322" s="66">
        <f t="shared" si="87"/>
        <v>1553992.97385</v>
      </c>
      <c r="K322" s="66">
        <f t="shared" si="88"/>
        <v>1553992.97385</v>
      </c>
      <c r="L322" s="81">
        <v>153546907.18349999</v>
      </c>
      <c r="M322" s="71">
        <f t="shared" si="73"/>
        <v>263889901.89234999</v>
      </c>
      <c r="N322" s="70"/>
      <c r="O322" s="176"/>
      <c r="P322" s="72">
        <v>16</v>
      </c>
      <c r="Q322" s="176"/>
      <c r="R322" s="66" t="s">
        <v>765</v>
      </c>
      <c r="S322" s="66">
        <v>39633552.5647</v>
      </c>
      <c r="T322" s="66">
        <v>0</v>
      </c>
      <c r="U322" s="66">
        <v>122271093.9148</v>
      </c>
      <c r="V322" s="66">
        <v>8680988.875</v>
      </c>
      <c r="W322" s="66">
        <v>4857139.3942999998</v>
      </c>
      <c r="X322" s="66">
        <f t="shared" si="81"/>
        <v>2428569.6971499999</v>
      </c>
      <c r="Y322" s="66">
        <f t="shared" si="75"/>
        <v>2428569.6971499999</v>
      </c>
      <c r="Z322" s="66">
        <v>492497002.74080002</v>
      </c>
      <c r="AA322" s="71">
        <f t="shared" si="74"/>
        <v>665511207.79244995</v>
      </c>
    </row>
    <row r="323" spans="1:27" ht="24.95" customHeight="1">
      <c r="A323" s="181"/>
      <c r="B323" s="176"/>
      <c r="C323" s="62">
        <v>16</v>
      </c>
      <c r="D323" s="66" t="s">
        <v>766</v>
      </c>
      <c r="E323" s="66">
        <v>27490683.063299999</v>
      </c>
      <c r="F323" s="66">
        <v>0</v>
      </c>
      <c r="G323" s="66">
        <v>84809856.121900007</v>
      </c>
      <c r="H323" s="66">
        <v>5617114.9508999996</v>
      </c>
      <c r="I323" s="66">
        <v>3369016.1756000002</v>
      </c>
      <c r="J323" s="66">
        <f t="shared" si="87"/>
        <v>1684508.0878000001</v>
      </c>
      <c r="K323" s="66">
        <f t="shared" si="88"/>
        <v>1684508.0878000001</v>
      </c>
      <c r="L323" s="81">
        <v>168750574.15020001</v>
      </c>
      <c r="M323" s="71">
        <f t="shared" si="73"/>
        <v>288352736.37410003</v>
      </c>
      <c r="N323" s="70"/>
      <c r="O323" s="176"/>
      <c r="P323" s="72">
        <v>17</v>
      </c>
      <c r="Q323" s="176"/>
      <c r="R323" s="66" t="s">
        <v>767</v>
      </c>
      <c r="S323" s="66">
        <v>27230020.952799998</v>
      </c>
      <c r="T323" s="66">
        <v>0</v>
      </c>
      <c r="U323" s="66">
        <v>84005703.091700003</v>
      </c>
      <c r="V323" s="66">
        <v>6322904.3694000002</v>
      </c>
      <c r="W323" s="66">
        <v>3337071.7214000002</v>
      </c>
      <c r="X323" s="66">
        <f t="shared" si="81"/>
        <v>1668535.8607000001</v>
      </c>
      <c r="Y323" s="66">
        <f t="shared" si="75"/>
        <v>1668535.8607000001</v>
      </c>
      <c r="Z323" s="66">
        <v>408662168.03420001</v>
      </c>
      <c r="AA323" s="71">
        <f t="shared" si="74"/>
        <v>527889332.30879998</v>
      </c>
    </row>
    <row r="324" spans="1:27" ht="24.95" customHeight="1">
      <c r="A324" s="181"/>
      <c r="B324" s="176"/>
      <c r="C324" s="62">
        <v>17</v>
      </c>
      <c r="D324" s="66" t="s">
        <v>768</v>
      </c>
      <c r="E324" s="66">
        <v>32273075.8178</v>
      </c>
      <c r="F324" s="66">
        <v>0</v>
      </c>
      <c r="G324" s="66">
        <v>99563728.933699995</v>
      </c>
      <c r="H324" s="66">
        <v>5897547.7459000004</v>
      </c>
      <c r="I324" s="66">
        <v>3955104.1425000001</v>
      </c>
      <c r="J324" s="66">
        <f t="shared" si="87"/>
        <v>1977552.07125</v>
      </c>
      <c r="K324" s="66">
        <f t="shared" si="88"/>
        <v>1977552.07125</v>
      </c>
      <c r="L324" s="81">
        <v>178720546.37149999</v>
      </c>
      <c r="M324" s="71">
        <f t="shared" si="73"/>
        <v>318432450.94015002</v>
      </c>
      <c r="N324" s="70"/>
      <c r="O324" s="176"/>
      <c r="P324" s="72">
        <v>18</v>
      </c>
      <c r="Q324" s="176"/>
      <c r="R324" s="66" t="s">
        <v>769</v>
      </c>
      <c r="S324" s="66">
        <v>33506657.0942</v>
      </c>
      <c r="T324" s="66">
        <v>0</v>
      </c>
      <c r="U324" s="66">
        <v>103369376.4808</v>
      </c>
      <c r="V324" s="66">
        <v>7982734.4214000003</v>
      </c>
      <c r="W324" s="66">
        <v>4106281.0071999999</v>
      </c>
      <c r="X324" s="66">
        <f t="shared" si="81"/>
        <v>2053140.5035999999</v>
      </c>
      <c r="Y324" s="66">
        <f t="shared" si="75"/>
        <v>2053140.5035999999</v>
      </c>
      <c r="Z324" s="66">
        <v>467672596.93330002</v>
      </c>
      <c r="AA324" s="71">
        <f t="shared" si="74"/>
        <v>614584505.43330002</v>
      </c>
    </row>
    <row r="325" spans="1:27" ht="24.95" customHeight="1">
      <c r="A325" s="181"/>
      <c r="B325" s="176"/>
      <c r="C325" s="62">
        <v>18</v>
      </c>
      <c r="D325" s="66" t="s">
        <v>770</v>
      </c>
      <c r="E325" s="66">
        <v>34931806.978799999</v>
      </c>
      <c r="F325" s="66">
        <v>0</v>
      </c>
      <c r="G325" s="66">
        <v>107766020.8417</v>
      </c>
      <c r="H325" s="66">
        <v>6342856.1891000001</v>
      </c>
      <c r="I325" s="66">
        <v>4280934.8346999995</v>
      </c>
      <c r="J325" s="66">
        <f t="shared" si="87"/>
        <v>2140467.4173499998</v>
      </c>
      <c r="K325" s="66">
        <f t="shared" si="88"/>
        <v>2140467.4173499998</v>
      </c>
      <c r="L325" s="81">
        <v>194552192.62810001</v>
      </c>
      <c r="M325" s="71">
        <f t="shared" si="73"/>
        <v>345733344.05505002</v>
      </c>
      <c r="N325" s="70"/>
      <c r="O325" s="176"/>
      <c r="P325" s="72">
        <v>19</v>
      </c>
      <c r="Q325" s="176"/>
      <c r="R325" s="66" t="s">
        <v>771</v>
      </c>
      <c r="S325" s="66">
        <v>26557329.426399998</v>
      </c>
      <c r="T325" s="66">
        <v>0</v>
      </c>
      <c r="U325" s="66">
        <v>81930422.843700007</v>
      </c>
      <c r="V325" s="66">
        <v>6612225.3091000002</v>
      </c>
      <c r="W325" s="66">
        <v>3254632.5680999998</v>
      </c>
      <c r="X325" s="66">
        <f t="shared" si="81"/>
        <v>1627316.2840499999</v>
      </c>
      <c r="Y325" s="66">
        <f t="shared" si="75"/>
        <v>1627316.2840499999</v>
      </c>
      <c r="Z325" s="66">
        <v>418948132.38550001</v>
      </c>
      <c r="AA325" s="71">
        <f t="shared" si="74"/>
        <v>535675426.24874997</v>
      </c>
    </row>
    <row r="326" spans="1:27" ht="24.95" customHeight="1">
      <c r="A326" s="181"/>
      <c r="B326" s="176"/>
      <c r="C326" s="62">
        <v>19</v>
      </c>
      <c r="D326" s="66" t="s">
        <v>772</v>
      </c>
      <c r="E326" s="66">
        <v>30605374.402100001</v>
      </c>
      <c r="F326" s="66">
        <v>0</v>
      </c>
      <c r="G326" s="66">
        <v>94418803.404400006</v>
      </c>
      <c r="H326" s="66">
        <v>5776211.6152999997</v>
      </c>
      <c r="I326" s="66">
        <v>3750725.3341999999</v>
      </c>
      <c r="J326" s="66">
        <f t="shared" si="87"/>
        <v>1875362.6671</v>
      </c>
      <c r="K326" s="66">
        <f t="shared" si="88"/>
        <v>1875362.6671</v>
      </c>
      <c r="L326" s="81">
        <v>174406793.2263</v>
      </c>
      <c r="M326" s="71">
        <f t="shared" si="73"/>
        <v>307082545.31519997</v>
      </c>
      <c r="N326" s="70"/>
      <c r="O326" s="176"/>
      <c r="P326" s="72">
        <v>20</v>
      </c>
      <c r="Q326" s="176"/>
      <c r="R326" s="66" t="s">
        <v>773</v>
      </c>
      <c r="S326" s="66">
        <v>28726250.555599999</v>
      </c>
      <c r="T326" s="66">
        <v>0</v>
      </c>
      <c r="U326" s="66">
        <v>88621631.224600002</v>
      </c>
      <c r="V326" s="66">
        <v>7188377.6069</v>
      </c>
      <c r="W326" s="66">
        <v>3520436.4534</v>
      </c>
      <c r="X326" s="66">
        <f t="shared" si="81"/>
        <v>1760218.2267</v>
      </c>
      <c r="Y326" s="66">
        <f t="shared" si="75"/>
        <v>1760218.2267</v>
      </c>
      <c r="Z326" s="66">
        <v>439431551.25199997</v>
      </c>
      <c r="AA326" s="71">
        <f t="shared" si="74"/>
        <v>565728028.86580002</v>
      </c>
    </row>
    <row r="327" spans="1:27" ht="24.95" customHeight="1">
      <c r="A327" s="181"/>
      <c r="B327" s="176"/>
      <c r="C327" s="62">
        <v>20</v>
      </c>
      <c r="D327" s="66" t="s">
        <v>774</v>
      </c>
      <c r="E327" s="66">
        <v>27189669.411600001</v>
      </c>
      <c r="F327" s="66">
        <v>0</v>
      </c>
      <c r="G327" s="66">
        <v>83881216.974199995</v>
      </c>
      <c r="H327" s="66">
        <v>5404576.7671999997</v>
      </c>
      <c r="I327" s="66">
        <v>3332126.5915000001</v>
      </c>
      <c r="J327" s="66">
        <f t="shared" si="87"/>
        <v>1666063.29575</v>
      </c>
      <c r="K327" s="66">
        <f t="shared" si="88"/>
        <v>1666063.29575</v>
      </c>
      <c r="L327" s="81">
        <v>161194397.32440001</v>
      </c>
      <c r="M327" s="71">
        <f t="shared" si="73"/>
        <v>279335923.77315003</v>
      </c>
      <c r="N327" s="70"/>
      <c r="O327" s="176"/>
      <c r="P327" s="72">
        <v>21</v>
      </c>
      <c r="Q327" s="176"/>
      <c r="R327" s="66" t="s">
        <v>775</v>
      </c>
      <c r="S327" s="66">
        <v>29668988.303800002</v>
      </c>
      <c r="T327" s="66">
        <v>0</v>
      </c>
      <c r="U327" s="66">
        <v>91530014.861399993</v>
      </c>
      <c r="V327" s="66">
        <v>6863673.0642999997</v>
      </c>
      <c r="W327" s="66">
        <v>3635970.0948999999</v>
      </c>
      <c r="X327" s="66">
        <f t="shared" si="81"/>
        <v>1817985.04745</v>
      </c>
      <c r="Y327" s="66">
        <f t="shared" si="75"/>
        <v>1817985.04745</v>
      </c>
      <c r="Z327" s="66">
        <v>427887625.83590001</v>
      </c>
      <c r="AA327" s="71">
        <f t="shared" si="74"/>
        <v>557768287.11284995</v>
      </c>
    </row>
    <row r="328" spans="1:27" ht="24.95" customHeight="1">
      <c r="A328" s="181"/>
      <c r="B328" s="176"/>
      <c r="C328" s="62">
        <v>21</v>
      </c>
      <c r="D328" s="66" t="s">
        <v>776</v>
      </c>
      <c r="E328" s="66">
        <v>29904900.1686</v>
      </c>
      <c r="F328" s="66">
        <v>0</v>
      </c>
      <c r="G328" s="66">
        <v>92257812.394299999</v>
      </c>
      <c r="H328" s="66">
        <v>5894269.6087999996</v>
      </c>
      <c r="I328" s="66">
        <v>3664881.3769</v>
      </c>
      <c r="J328" s="66">
        <f t="shared" si="87"/>
        <v>1832440.68845</v>
      </c>
      <c r="K328" s="66">
        <f t="shared" si="88"/>
        <v>1832440.68845</v>
      </c>
      <c r="L328" s="81">
        <v>178604001.7457</v>
      </c>
      <c r="M328" s="71">
        <f t="shared" ref="M328:M391" si="89">E328+F328+G328+H328+K328+L328</f>
        <v>308493424.60584998</v>
      </c>
      <c r="N328" s="70"/>
      <c r="O328" s="176"/>
      <c r="P328" s="72">
        <v>22</v>
      </c>
      <c r="Q328" s="176"/>
      <c r="R328" s="66" t="s">
        <v>777</v>
      </c>
      <c r="S328" s="66">
        <v>55099163.534100004</v>
      </c>
      <c r="T328" s="66">
        <v>0</v>
      </c>
      <c r="U328" s="66">
        <v>169983121.9549</v>
      </c>
      <c r="V328" s="66">
        <v>11577296.168400001</v>
      </c>
      <c r="W328" s="66">
        <v>6752468.5646000002</v>
      </c>
      <c r="X328" s="66">
        <f t="shared" si="81"/>
        <v>3376234.2823000001</v>
      </c>
      <c r="Y328" s="66">
        <f t="shared" si="75"/>
        <v>3376234.2823000001</v>
      </c>
      <c r="Z328" s="66">
        <v>595466782.92799997</v>
      </c>
      <c r="AA328" s="71">
        <f t="shared" ref="AA328:AA391" si="90">S328+T328+U328+V328+Y328+Z328</f>
        <v>835502598.86769998</v>
      </c>
    </row>
    <row r="329" spans="1:27" ht="24.95" customHeight="1">
      <c r="A329" s="181"/>
      <c r="B329" s="176"/>
      <c r="C329" s="62">
        <v>22</v>
      </c>
      <c r="D329" s="66" t="s">
        <v>778</v>
      </c>
      <c r="E329" s="66">
        <v>29090981.843899999</v>
      </c>
      <c r="F329" s="66">
        <v>0</v>
      </c>
      <c r="G329" s="66">
        <v>89746841.828199998</v>
      </c>
      <c r="H329" s="66">
        <v>5638394.6788999997</v>
      </c>
      <c r="I329" s="66">
        <v>3565134.7100999998</v>
      </c>
      <c r="J329" s="66">
        <f t="shared" si="87"/>
        <v>1782567.3550499999</v>
      </c>
      <c r="K329" s="66">
        <f t="shared" si="88"/>
        <v>1782567.3550499999</v>
      </c>
      <c r="L329" s="81">
        <v>169507112.97580001</v>
      </c>
      <c r="M329" s="71">
        <f t="shared" si="89"/>
        <v>295765898.68185002</v>
      </c>
      <c r="N329" s="70"/>
      <c r="O329" s="177"/>
      <c r="P329" s="72">
        <v>23</v>
      </c>
      <c r="Q329" s="177"/>
      <c r="R329" s="66" t="s">
        <v>779</v>
      </c>
      <c r="S329" s="66">
        <v>32612433.385899998</v>
      </c>
      <c r="T329" s="66">
        <v>0</v>
      </c>
      <c r="U329" s="66">
        <v>100610660.59649999</v>
      </c>
      <c r="V329" s="66">
        <v>6808586.8439999996</v>
      </c>
      <c r="W329" s="66">
        <v>3996692.8195000002</v>
      </c>
      <c r="X329" s="66">
        <f t="shared" si="81"/>
        <v>1998346.4097500001</v>
      </c>
      <c r="Y329" s="66">
        <f t="shared" si="75"/>
        <v>1998346.4097500001</v>
      </c>
      <c r="Z329" s="66">
        <v>425929195.5248</v>
      </c>
      <c r="AA329" s="71">
        <f t="shared" si="90"/>
        <v>567959222.76094997</v>
      </c>
    </row>
    <row r="330" spans="1:27" ht="24.95" customHeight="1">
      <c r="A330" s="181"/>
      <c r="B330" s="176"/>
      <c r="C330" s="62">
        <v>23</v>
      </c>
      <c r="D330" s="66" t="s">
        <v>780</v>
      </c>
      <c r="E330" s="66">
        <v>28138486.578899998</v>
      </c>
      <c r="F330" s="66">
        <v>0</v>
      </c>
      <c r="G330" s="66">
        <v>86808355.862000003</v>
      </c>
      <c r="H330" s="66">
        <v>5546235.0943999998</v>
      </c>
      <c r="I330" s="66">
        <v>3448405.2733</v>
      </c>
      <c r="J330" s="66">
        <f t="shared" si="87"/>
        <v>1724202.63665</v>
      </c>
      <c r="K330" s="66">
        <f t="shared" si="88"/>
        <v>1724202.63665</v>
      </c>
      <c r="L330" s="81">
        <v>166230647.05059999</v>
      </c>
      <c r="M330" s="71">
        <f t="shared" si="89"/>
        <v>288447927.22254997</v>
      </c>
      <c r="N330" s="70"/>
      <c r="O330" s="62"/>
      <c r="P330" s="189" t="s">
        <v>781</v>
      </c>
      <c r="Q330" s="190"/>
      <c r="R330" s="67"/>
      <c r="S330" s="67">
        <f t="shared" ref="S330:W330" si="91">SUM(S307:S329)</f>
        <v>815739118.62329996</v>
      </c>
      <c r="T330" s="67">
        <f t="shared" si="91"/>
        <v>-1E-4</v>
      </c>
      <c r="U330" s="67">
        <f t="shared" si="91"/>
        <v>2516587788.0964999</v>
      </c>
      <c r="V330" s="67">
        <f t="shared" si="91"/>
        <v>184490602.18990001</v>
      </c>
      <c r="W330" s="67">
        <f t="shared" si="91"/>
        <v>99969807.201100007</v>
      </c>
      <c r="X330" s="67">
        <f t="shared" ref="X330:AA330" si="92">SUM(X307:X329)</f>
        <v>49984903.600550003</v>
      </c>
      <c r="Y330" s="67">
        <f t="shared" si="75"/>
        <v>49984903.600550003</v>
      </c>
      <c r="Z330" s="67">
        <f t="shared" si="92"/>
        <v>10788029693.7549</v>
      </c>
      <c r="AA330" s="67">
        <f t="shared" si="92"/>
        <v>14354832106.2651</v>
      </c>
    </row>
    <row r="331" spans="1:27" ht="24.95" customHeight="1">
      <c r="A331" s="181"/>
      <c r="B331" s="176"/>
      <c r="C331" s="62">
        <v>24</v>
      </c>
      <c r="D331" s="66" t="s">
        <v>782</v>
      </c>
      <c r="E331" s="66">
        <v>29108893.882599998</v>
      </c>
      <c r="F331" s="66">
        <v>0</v>
      </c>
      <c r="G331" s="66">
        <v>89802101.183699995</v>
      </c>
      <c r="H331" s="66">
        <v>5610108.0738000004</v>
      </c>
      <c r="I331" s="66">
        <v>3567329.852</v>
      </c>
      <c r="J331" s="66">
        <f t="shared" si="87"/>
        <v>1783664.926</v>
      </c>
      <c r="K331" s="66">
        <f t="shared" si="88"/>
        <v>1783664.926</v>
      </c>
      <c r="L331" s="81">
        <v>168501465.01859999</v>
      </c>
      <c r="M331" s="71">
        <f t="shared" si="89"/>
        <v>294806233.08469999</v>
      </c>
      <c r="N331" s="70"/>
      <c r="O331" s="175">
        <v>33</v>
      </c>
      <c r="P331" s="72">
        <v>1</v>
      </c>
      <c r="Q331" s="185" t="s">
        <v>120</v>
      </c>
      <c r="R331" s="66" t="s">
        <v>783</v>
      </c>
      <c r="S331" s="66">
        <v>30555013.959800001</v>
      </c>
      <c r="T331" s="66">
        <v>0</v>
      </c>
      <c r="U331" s="66">
        <v>94263439.426799998</v>
      </c>
      <c r="V331" s="66">
        <v>4996930.8984000003</v>
      </c>
      <c r="W331" s="66">
        <v>3744553.6016000002</v>
      </c>
      <c r="X331" s="66">
        <v>0</v>
      </c>
      <c r="Y331" s="66">
        <f t="shared" si="75"/>
        <v>3744553.6016000002</v>
      </c>
      <c r="Z331" s="66">
        <v>169493061.39820001</v>
      </c>
      <c r="AA331" s="71">
        <f t="shared" si="90"/>
        <v>303052999.28479999</v>
      </c>
    </row>
    <row r="332" spans="1:27" ht="24.95" customHeight="1">
      <c r="A332" s="181"/>
      <c r="B332" s="176"/>
      <c r="C332" s="62">
        <v>25</v>
      </c>
      <c r="D332" s="66" t="s">
        <v>784</v>
      </c>
      <c r="E332" s="66">
        <v>29375469.559799999</v>
      </c>
      <c r="F332" s="66">
        <v>0</v>
      </c>
      <c r="G332" s="66">
        <v>90624497.803299993</v>
      </c>
      <c r="H332" s="66">
        <v>5719615.8748000003</v>
      </c>
      <c r="I332" s="66">
        <v>3599999.0208999999</v>
      </c>
      <c r="J332" s="66">
        <f t="shared" si="87"/>
        <v>1799999.5104499999</v>
      </c>
      <c r="K332" s="66">
        <f t="shared" si="88"/>
        <v>1799999.5104499999</v>
      </c>
      <c r="L332" s="81">
        <v>172394696.31779999</v>
      </c>
      <c r="M332" s="71">
        <f t="shared" si="89"/>
        <v>299914279.06615001</v>
      </c>
      <c r="N332" s="70"/>
      <c r="O332" s="176"/>
      <c r="P332" s="72">
        <v>2</v>
      </c>
      <c r="Q332" s="186"/>
      <c r="R332" s="66" t="s">
        <v>785</v>
      </c>
      <c r="S332" s="66">
        <v>34781844.165200002</v>
      </c>
      <c r="T332" s="66">
        <v>0</v>
      </c>
      <c r="U332" s="66">
        <v>107303379.5676</v>
      </c>
      <c r="V332" s="66">
        <v>5789755.6626000004</v>
      </c>
      <c r="W332" s="66">
        <v>4262556.7120000003</v>
      </c>
      <c r="X332" s="66">
        <v>0</v>
      </c>
      <c r="Y332" s="66">
        <f t="shared" si="75"/>
        <v>4262556.7120000003</v>
      </c>
      <c r="Z332" s="66">
        <v>197679639.48809999</v>
      </c>
      <c r="AA332" s="71">
        <f t="shared" si="90"/>
        <v>349817175.59549999</v>
      </c>
    </row>
    <row r="333" spans="1:27" ht="24.95" customHeight="1">
      <c r="A333" s="181"/>
      <c r="B333" s="176"/>
      <c r="C333" s="62">
        <v>26</v>
      </c>
      <c r="D333" s="66" t="s">
        <v>786</v>
      </c>
      <c r="E333" s="66">
        <v>31250506.268199999</v>
      </c>
      <c r="F333" s="66">
        <v>0</v>
      </c>
      <c r="G333" s="66">
        <v>96409060.998400003</v>
      </c>
      <c r="H333" s="66">
        <v>6262389.7533</v>
      </c>
      <c r="I333" s="66">
        <v>3829787.0180000002</v>
      </c>
      <c r="J333" s="66">
        <f t="shared" si="87"/>
        <v>1914893.5090000001</v>
      </c>
      <c r="K333" s="66">
        <f t="shared" si="88"/>
        <v>1914893.5090000001</v>
      </c>
      <c r="L333" s="81">
        <v>191691442.58489999</v>
      </c>
      <c r="M333" s="71">
        <f t="shared" si="89"/>
        <v>327528293.11379999</v>
      </c>
      <c r="N333" s="70"/>
      <c r="O333" s="176"/>
      <c r="P333" s="72">
        <v>3</v>
      </c>
      <c r="Q333" s="186"/>
      <c r="R333" s="66" t="s">
        <v>787</v>
      </c>
      <c r="S333" s="66">
        <v>37483218.857600003</v>
      </c>
      <c r="T333" s="66">
        <v>0</v>
      </c>
      <c r="U333" s="66">
        <v>115637228.4742</v>
      </c>
      <c r="V333" s="66">
        <v>6005369.2119000005</v>
      </c>
      <c r="W333" s="66">
        <v>4593613.4199000001</v>
      </c>
      <c r="X333" s="66">
        <v>0</v>
      </c>
      <c r="Y333" s="66">
        <f t="shared" si="75"/>
        <v>4593613.4199000001</v>
      </c>
      <c r="Z333" s="66">
        <v>205345151.99380001</v>
      </c>
      <c r="AA333" s="71">
        <f t="shared" si="90"/>
        <v>369064581.95740002</v>
      </c>
    </row>
    <row r="334" spans="1:27" ht="24.95" customHeight="1">
      <c r="A334" s="181"/>
      <c r="B334" s="177"/>
      <c r="C334" s="62">
        <v>27</v>
      </c>
      <c r="D334" s="66" t="s">
        <v>788</v>
      </c>
      <c r="E334" s="66">
        <v>27956223.175500002</v>
      </c>
      <c r="F334" s="66">
        <v>0</v>
      </c>
      <c r="G334" s="66">
        <v>86246065.976899996</v>
      </c>
      <c r="H334" s="66">
        <v>5404779.5385999996</v>
      </c>
      <c r="I334" s="66">
        <v>3426068.6746</v>
      </c>
      <c r="J334" s="66">
        <f t="shared" si="87"/>
        <v>1713034.3373</v>
      </c>
      <c r="K334" s="66">
        <f t="shared" si="88"/>
        <v>1713034.3373</v>
      </c>
      <c r="L334" s="81">
        <v>161201606.2703</v>
      </c>
      <c r="M334" s="71">
        <f t="shared" si="89"/>
        <v>282521709.29860002</v>
      </c>
      <c r="N334" s="70"/>
      <c r="O334" s="176"/>
      <c r="P334" s="72">
        <v>4</v>
      </c>
      <c r="Q334" s="186"/>
      <c r="R334" s="66" t="s">
        <v>789</v>
      </c>
      <c r="S334" s="66">
        <v>40697866.468000002</v>
      </c>
      <c r="T334" s="66">
        <v>0</v>
      </c>
      <c r="U334" s="66">
        <v>125554544.84980001</v>
      </c>
      <c r="V334" s="66">
        <v>6610540.3448000001</v>
      </c>
      <c r="W334" s="66">
        <v>4987572.3394999998</v>
      </c>
      <c r="X334" s="66">
        <v>0</v>
      </c>
      <c r="Y334" s="66">
        <f t="shared" si="75"/>
        <v>4987572.3394999998</v>
      </c>
      <c r="Z334" s="66">
        <v>226860251.1223</v>
      </c>
      <c r="AA334" s="71">
        <f t="shared" si="90"/>
        <v>404710775.12440002</v>
      </c>
    </row>
    <row r="335" spans="1:27" ht="24.95" customHeight="1">
      <c r="A335" s="62"/>
      <c r="B335" s="188" t="s">
        <v>790</v>
      </c>
      <c r="C335" s="189"/>
      <c r="D335" s="67"/>
      <c r="E335" s="67">
        <f>SUM(E308:E334)</f>
        <v>826161136.24460006</v>
      </c>
      <c r="F335" s="67">
        <f t="shared" ref="F335:N335" si="93">SUM(F308:F334)</f>
        <v>0</v>
      </c>
      <c r="G335" s="67">
        <f t="shared" si="93"/>
        <v>2548740129.0528002</v>
      </c>
      <c r="H335" s="67">
        <f t="shared" si="93"/>
        <v>160063833.71290001</v>
      </c>
      <c r="I335" s="67">
        <f t="shared" si="93"/>
        <v>101247037.95909999</v>
      </c>
      <c r="J335" s="67">
        <f t="shared" si="93"/>
        <v>50623518.979549997</v>
      </c>
      <c r="K335" s="67">
        <f t="shared" si="93"/>
        <v>50623518.979549997</v>
      </c>
      <c r="L335" s="67">
        <f t="shared" si="93"/>
        <v>4854964572.1969004</v>
      </c>
      <c r="M335" s="67">
        <f t="shared" si="93"/>
        <v>8440553190.1867504</v>
      </c>
      <c r="N335" s="67">
        <f t="shared" si="93"/>
        <v>0</v>
      </c>
      <c r="O335" s="176"/>
      <c r="P335" s="72">
        <v>5</v>
      </c>
      <c r="Q335" s="186"/>
      <c r="R335" s="66" t="s">
        <v>791</v>
      </c>
      <c r="S335" s="66">
        <v>38284683.027599998</v>
      </c>
      <c r="T335" s="66">
        <v>0</v>
      </c>
      <c r="U335" s="66">
        <v>118109777.47499999</v>
      </c>
      <c r="V335" s="66">
        <v>5867372.0344000002</v>
      </c>
      <c r="W335" s="66">
        <v>4691833.8151000002</v>
      </c>
      <c r="X335" s="66">
        <v>0</v>
      </c>
      <c r="Y335" s="66">
        <f t="shared" si="75"/>
        <v>4691833.8151000002</v>
      </c>
      <c r="Z335" s="66">
        <v>200439063.7913</v>
      </c>
      <c r="AA335" s="71">
        <f t="shared" si="90"/>
        <v>367392730.14340001</v>
      </c>
    </row>
    <row r="336" spans="1:27" ht="24.95" customHeight="1">
      <c r="A336" s="181">
        <v>17</v>
      </c>
      <c r="B336" s="175" t="s">
        <v>792</v>
      </c>
      <c r="C336" s="62">
        <v>1</v>
      </c>
      <c r="D336" s="66" t="s">
        <v>793</v>
      </c>
      <c r="E336" s="66">
        <v>29194073.7687</v>
      </c>
      <c r="F336" s="66">
        <v>0</v>
      </c>
      <c r="G336" s="66">
        <v>90064884.537300006</v>
      </c>
      <c r="H336" s="66">
        <v>5066077.0547000002</v>
      </c>
      <c r="I336" s="66">
        <v>3577768.7492</v>
      </c>
      <c r="J336" s="66">
        <v>0</v>
      </c>
      <c r="K336" s="66">
        <f t="shared" ref="K336:K362" si="94">I336-J336</f>
        <v>3577768.7492</v>
      </c>
      <c r="L336" s="81">
        <v>178533276.04300001</v>
      </c>
      <c r="M336" s="71">
        <f t="shared" si="89"/>
        <v>306436080.15289998</v>
      </c>
      <c r="N336" s="70"/>
      <c r="O336" s="176"/>
      <c r="P336" s="72">
        <v>6</v>
      </c>
      <c r="Q336" s="186"/>
      <c r="R336" s="66" t="s">
        <v>794</v>
      </c>
      <c r="S336" s="66">
        <v>34690256.296499997</v>
      </c>
      <c r="T336" s="66">
        <v>0</v>
      </c>
      <c r="U336" s="66">
        <v>107020827.33149999</v>
      </c>
      <c r="V336" s="66">
        <v>4890104.1853</v>
      </c>
      <c r="W336" s="66">
        <v>4251332.5088</v>
      </c>
      <c r="X336" s="66">
        <v>0</v>
      </c>
      <c r="Y336" s="66">
        <f t="shared" ref="Y336:Y399" si="95">W336-X336</f>
        <v>4251332.5088</v>
      </c>
      <c r="Z336" s="66">
        <v>165695148.384</v>
      </c>
      <c r="AA336" s="71">
        <f t="shared" si="90"/>
        <v>316547668.70609999</v>
      </c>
    </row>
    <row r="337" spans="1:27" ht="24.95" customHeight="1">
      <c r="A337" s="181"/>
      <c r="B337" s="176"/>
      <c r="C337" s="62">
        <v>2</v>
      </c>
      <c r="D337" s="66" t="s">
        <v>795</v>
      </c>
      <c r="E337" s="66">
        <v>34528159.011399999</v>
      </c>
      <c r="F337" s="66">
        <v>0</v>
      </c>
      <c r="G337" s="66">
        <v>106520750.7273</v>
      </c>
      <c r="H337" s="66">
        <v>5923349.3170999996</v>
      </c>
      <c r="I337" s="66">
        <v>4231467.2921000002</v>
      </c>
      <c r="J337" s="66">
        <v>0</v>
      </c>
      <c r="K337" s="66">
        <f t="shared" si="94"/>
        <v>4231467.2921000002</v>
      </c>
      <c r="L337" s="81">
        <v>209011097.44769999</v>
      </c>
      <c r="M337" s="71">
        <f t="shared" si="89"/>
        <v>360214823.7956</v>
      </c>
      <c r="N337" s="70"/>
      <c r="O337" s="176"/>
      <c r="P337" s="72">
        <v>7</v>
      </c>
      <c r="Q337" s="186"/>
      <c r="R337" s="66" t="s">
        <v>796</v>
      </c>
      <c r="S337" s="66">
        <v>39621222.761699997</v>
      </c>
      <c r="T337" s="66">
        <v>0</v>
      </c>
      <c r="U337" s="66">
        <v>122233055.97939999</v>
      </c>
      <c r="V337" s="66">
        <v>6420059.1793999998</v>
      </c>
      <c r="W337" s="66">
        <v>4855628.3622000003</v>
      </c>
      <c r="X337" s="66">
        <v>0</v>
      </c>
      <c r="Y337" s="66">
        <f t="shared" si="95"/>
        <v>4855628.3622000003</v>
      </c>
      <c r="Z337" s="66">
        <v>220088247.4149</v>
      </c>
      <c r="AA337" s="71">
        <f t="shared" si="90"/>
        <v>393218213.69760001</v>
      </c>
    </row>
    <row r="338" spans="1:27" ht="24.95" customHeight="1">
      <c r="A338" s="181"/>
      <c r="B338" s="176"/>
      <c r="C338" s="62">
        <v>3</v>
      </c>
      <c r="D338" s="66" t="s">
        <v>797</v>
      </c>
      <c r="E338" s="66">
        <v>42850386.987300001</v>
      </c>
      <c r="F338" s="66">
        <v>0</v>
      </c>
      <c r="G338" s="66">
        <v>132195156.6934</v>
      </c>
      <c r="H338" s="66">
        <v>7109246.3684999999</v>
      </c>
      <c r="I338" s="66">
        <v>5251366.3103999998</v>
      </c>
      <c r="J338" s="66">
        <v>0</v>
      </c>
      <c r="K338" s="66">
        <f t="shared" si="94"/>
        <v>5251366.3103999998</v>
      </c>
      <c r="L338" s="81">
        <v>251172217.22310001</v>
      </c>
      <c r="M338" s="71">
        <f t="shared" si="89"/>
        <v>438578373.58270001</v>
      </c>
      <c r="N338" s="70"/>
      <c r="O338" s="176"/>
      <c r="P338" s="72">
        <v>8</v>
      </c>
      <c r="Q338" s="186"/>
      <c r="R338" s="66" t="s">
        <v>798</v>
      </c>
      <c r="S338" s="66">
        <v>33809214.172399998</v>
      </c>
      <c r="T338" s="66">
        <v>0</v>
      </c>
      <c r="U338" s="66">
        <v>104302777.1613</v>
      </c>
      <c r="V338" s="66">
        <v>5509063.7708999999</v>
      </c>
      <c r="W338" s="66">
        <v>4143359.74</v>
      </c>
      <c r="X338" s="66">
        <v>0</v>
      </c>
      <c r="Y338" s="66">
        <f t="shared" si="95"/>
        <v>4143359.74</v>
      </c>
      <c r="Z338" s="66">
        <v>187700455.83579999</v>
      </c>
      <c r="AA338" s="71">
        <f t="shared" si="90"/>
        <v>335464870.68040001</v>
      </c>
    </row>
    <row r="339" spans="1:27" ht="24.95" customHeight="1">
      <c r="A339" s="181"/>
      <c r="B339" s="176"/>
      <c r="C339" s="62">
        <v>4</v>
      </c>
      <c r="D339" s="66" t="s">
        <v>799</v>
      </c>
      <c r="E339" s="66">
        <v>32411308.617199998</v>
      </c>
      <c r="F339" s="66">
        <v>0</v>
      </c>
      <c r="G339" s="66">
        <v>99990182.645500004</v>
      </c>
      <c r="H339" s="66">
        <v>5182422.7566999998</v>
      </c>
      <c r="I339" s="66">
        <v>3972044.7379000001</v>
      </c>
      <c r="J339" s="66">
        <v>0</v>
      </c>
      <c r="K339" s="66">
        <f t="shared" si="94"/>
        <v>3972044.7379000001</v>
      </c>
      <c r="L339" s="81">
        <v>182669609.01890001</v>
      </c>
      <c r="M339" s="71">
        <f t="shared" si="89"/>
        <v>324225567.7762</v>
      </c>
      <c r="N339" s="70"/>
      <c r="O339" s="176"/>
      <c r="P339" s="72">
        <v>9</v>
      </c>
      <c r="Q339" s="186"/>
      <c r="R339" s="66" t="s">
        <v>800</v>
      </c>
      <c r="S339" s="66">
        <v>38269512.158</v>
      </c>
      <c r="T339" s="66">
        <v>0</v>
      </c>
      <c r="U339" s="66">
        <v>118062974.736</v>
      </c>
      <c r="V339" s="66">
        <v>5459655.1487999996</v>
      </c>
      <c r="W339" s="66">
        <v>4689974.6068000002</v>
      </c>
      <c r="X339" s="66">
        <v>0</v>
      </c>
      <c r="Y339" s="66">
        <f t="shared" si="95"/>
        <v>4689974.6068000002</v>
      </c>
      <c r="Z339" s="66">
        <v>185943876.0108</v>
      </c>
      <c r="AA339" s="71">
        <f t="shared" si="90"/>
        <v>352425992.66039997</v>
      </c>
    </row>
    <row r="340" spans="1:27" ht="24.95" customHeight="1">
      <c r="A340" s="181"/>
      <c r="B340" s="176"/>
      <c r="C340" s="62">
        <v>5</v>
      </c>
      <c r="D340" s="66" t="s">
        <v>801</v>
      </c>
      <c r="E340" s="66">
        <v>27811730.1514</v>
      </c>
      <c r="F340" s="66">
        <v>0</v>
      </c>
      <c r="G340" s="66">
        <v>85800299.221799999</v>
      </c>
      <c r="H340" s="66">
        <v>4484720.2918999996</v>
      </c>
      <c r="I340" s="66">
        <v>3408360.8812000002</v>
      </c>
      <c r="J340" s="66">
        <v>0</v>
      </c>
      <c r="K340" s="66">
        <f t="shared" si="94"/>
        <v>3408360.8812000002</v>
      </c>
      <c r="L340" s="81">
        <v>157864827.5643</v>
      </c>
      <c r="M340" s="71">
        <f t="shared" si="89"/>
        <v>279369938.11059999</v>
      </c>
      <c r="N340" s="70"/>
      <c r="O340" s="176"/>
      <c r="P340" s="72">
        <v>10</v>
      </c>
      <c r="Q340" s="186"/>
      <c r="R340" s="66" t="s">
        <v>802</v>
      </c>
      <c r="S340" s="66">
        <v>34552041.548900001</v>
      </c>
      <c r="T340" s="66">
        <v>0</v>
      </c>
      <c r="U340" s="66">
        <v>106594429.31039999</v>
      </c>
      <c r="V340" s="66">
        <v>5218075.5998999998</v>
      </c>
      <c r="W340" s="66">
        <v>4234394.1257999996</v>
      </c>
      <c r="X340" s="66">
        <v>0</v>
      </c>
      <c r="Y340" s="66">
        <f t="shared" si="95"/>
        <v>4234394.1257999996</v>
      </c>
      <c r="Z340" s="66">
        <v>177355217.92899999</v>
      </c>
      <c r="AA340" s="71">
        <f t="shared" si="90"/>
        <v>327954158.514</v>
      </c>
    </row>
    <row r="341" spans="1:27" ht="24.95" customHeight="1">
      <c r="A341" s="181"/>
      <c r="B341" s="176"/>
      <c r="C341" s="62">
        <v>6</v>
      </c>
      <c r="D341" s="66" t="s">
        <v>803</v>
      </c>
      <c r="E341" s="66">
        <v>27282568.720600002</v>
      </c>
      <c r="F341" s="66">
        <v>0</v>
      </c>
      <c r="G341" s="66">
        <v>84167815.055899993</v>
      </c>
      <c r="H341" s="66">
        <v>4675967.4824000001</v>
      </c>
      <c r="I341" s="66">
        <v>3343511.5133000002</v>
      </c>
      <c r="J341" s="66">
        <v>0</v>
      </c>
      <c r="K341" s="66">
        <f t="shared" si="94"/>
        <v>3343511.5133000002</v>
      </c>
      <c r="L341" s="81">
        <v>164664065.06740001</v>
      </c>
      <c r="M341" s="71">
        <f t="shared" si="89"/>
        <v>284133927.83960003</v>
      </c>
      <c r="N341" s="70"/>
      <c r="O341" s="176"/>
      <c r="P341" s="72">
        <v>11</v>
      </c>
      <c r="Q341" s="186"/>
      <c r="R341" s="66" t="s">
        <v>804</v>
      </c>
      <c r="S341" s="66">
        <v>32040354.067600001</v>
      </c>
      <c r="T341" s="66">
        <v>0</v>
      </c>
      <c r="U341" s="66">
        <v>98845773.032000005</v>
      </c>
      <c r="V341" s="66">
        <v>5322176.1645999998</v>
      </c>
      <c r="W341" s="66">
        <v>3926583.8130000001</v>
      </c>
      <c r="X341" s="66">
        <v>0</v>
      </c>
      <c r="Y341" s="66">
        <f t="shared" si="95"/>
        <v>3926583.8130000001</v>
      </c>
      <c r="Z341" s="66">
        <v>181056210.67019999</v>
      </c>
      <c r="AA341" s="71">
        <f t="shared" si="90"/>
        <v>321191097.74739999</v>
      </c>
    </row>
    <row r="342" spans="1:27" ht="24.95" customHeight="1">
      <c r="A342" s="181"/>
      <c r="B342" s="176"/>
      <c r="C342" s="62">
        <v>7</v>
      </c>
      <c r="D342" s="66" t="s">
        <v>805</v>
      </c>
      <c r="E342" s="66">
        <v>38297236.386200003</v>
      </c>
      <c r="F342" s="66">
        <v>0</v>
      </c>
      <c r="G342" s="66">
        <v>118148505.0883</v>
      </c>
      <c r="H342" s="66">
        <v>6351895.3277000003</v>
      </c>
      <c r="I342" s="66">
        <v>4693372.2441999996</v>
      </c>
      <c r="J342" s="66">
        <v>0</v>
      </c>
      <c r="K342" s="66">
        <f t="shared" si="94"/>
        <v>4693372.2441999996</v>
      </c>
      <c r="L342" s="81">
        <v>224246804.17399999</v>
      </c>
      <c r="M342" s="71">
        <f t="shared" si="89"/>
        <v>391737813.22039998</v>
      </c>
      <c r="N342" s="70"/>
      <c r="O342" s="176"/>
      <c r="P342" s="72">
        <v>12</v>
      </c>
      <c r="Q342" s="186"/>
      <c r="R342" s="66" t="s">
        <v>806</v>
      </c>
      <c r="S342" s="66">
        <v>38147939.842900001</v>
      </c>
      <c r="T342" s="66">
        <v>0</v>
      </c>
      <c r="U342" s="66">
        <v>117687919.2844</v>
      </c>
      <c r="V342" s="66">
        <v>5494148.8106000004</v>
      </c>
      <c r="W342" s="66">
        <v>4675075.7737999996</v>
      </c>
      <c r="X342" s="66">
        <v>0</v>
      </c>
      <c r="Y342" s="66">
        <f t="shared" si="95"/>
        <v>4675075.7737999996</v>
      </c>
      <c r="Z342" s="66">
        <v>187170197.81290001</v>
      </c>
      <c r="AA342" s="71">
        <f t="shared" si="90"/>
        <v>353175281.52460003</v>
      </c>
    </row>
    <row r="343" spans="1:27" ht="24.95" customHeight="1">
      <c r="A343" s="181"/>
      <c r="B343" s="176"/>
      <c r="C343" s="62">
        <v>8</v>
      </c>
      <c r="D343" s="66" t="s">
        <v>807</v>
      </c>
      <c r="E343" s="66">
        <v>32141683.4219</v>
      </c>
      <c r="F343" s="66">
        <v>0</v>
      </c>
      <c r="G343" s="66">
        <v>99158378.140799999</v>
      </c>
      <c r="H343" s="66">
        <v>5293992.0667000003</v>
      </c>
      <c r="I343" s="66">
        <v>3939001.8468999998</v>
      </c>
      <c r="J343" s="66">
        <v>0</v>
      </c>
      <c r="K343" s="66">
        <f t="shared" si="94"/>
        <v>3939001.8468999998</v>
      </c>
      <c r="L343" s="81">
        <v>186636131.2685</v>
      </c>
      <c r="M343" s="71">
        <f t="shared" si="89"/>
        <v>327169186.74479997</v>
      </c>
      <c r="N343" s="70"/>
      <c r="O343" s="176"/>
      <c r="P343" s="72">
        <v>13</v>
      </c>
      <c r="Q343" s="186"/>
      <c r="R343" s="66" t="s">
        <v>808</v>
      </c>
      <c r="S343" s="66">
        <v>40024886.902999997</v>
      </c>
      <c r="T343" s="66">
        <v>0</v>
      </c>
      <c r="U343" s="66">
        <v>123478375.9911</v>
      </c>
      <c r="V343" s="66">
        <v>6152412.2452999996</v>
      </c>
      <c r="W343" s="66">
        <v>4905097.8868000004</v>
      </c>
      <c r="X343" s="66">
        <v>0</v>
      </c>
      <c r="Y343" s="66">
        <f t="shared" si="95"/>
        <v>4905097.8868000004</v>
      </c>
      <c r="Z343" s="66">
        <v>210572839.2841</v>
      </c>
      <c r="AA343" s="71">
        <f t="shared" si="90"/>
        <v>385133612.31029999</v>
      </c>
    </row>
    <row r="344" spans="1:27" ht="24.95" customHeight="1">
      <c r="A344" s="181"/>
      <c r="B344" s="176"/>
      <c r="C344" s="62">
        <v>9</v>
      </c>
      <c r="D344" s="66" t="s">
        <v>809</v>
      </c>
      <c r="E344" s="66">
        <v>28153981.614799999</v>
      </c>
      <c r="F344" s="66">
        <v>0</v>
      </c>
      <c r="G344" s="66">
        <v>86856158.666999996</v>
      </c>
      <c r="H344" s="66">
        <v>4786252.5738000004</v>
      </c>
      <c r="I344" s="66">
        <v>3450304.2083999999</v>
      </c>
      <c r="J344" s="66">
        <v>0</v>
      </c>
      <c r="K344" s="66">
        <f t="shared" si="94"/>
        <v>3450304.2083999999</v>
      </c>
      <c r="L344" s="81">
        <v>168584930.65939999</v>
      </c>
      <c r="M344" s="71">
        <f t="shared" si="89"/>
        <v>291831627.7234</v>
      </c>
      <c r="N344" s="70"/>
      <c r="O344" s="176"/>
      <c r="P344" s="72">
        <v>14</v>
      </c>
      <c r="Q344" s="186"/>
      <c r="R344" s="66" t="s">
        <v>810</v>
      </c>
      <c r="S344" s="66">
        <v>36064543.484300002</v>
      </c>
      <c r="T344" s="66">
        <v>0</v>
      </c>
      <c r="U344" s="66">
        <v>111260558.2395</v>
      </c>
      <c r="V344" s="66">
        <v>5575798.0794000002</v>
      </c>
      <c r="W344" s="66">
        <v>4419753.0516999997</v>
      </c>
      <c r="X344" s="66">
        <v>0</v>
      </c>
      <c r="Y344" s="66">
        <f t="shared" si="95"/>
        <v>4419753.0516999997</v>
      </c>
      <c r="Z344" s="66">
        <v>190073000.04080001</v>
      </c>
      <c r="AA344" s="71">
        <f t="shared" si="90"/>
        <v>347393652.89569998</v>
      </c>
    </row>
    <row r="345" spans="1:27" ht="24.95" customHeight="1">
      <c r="A345" s="181"/>
      <c r="B345" s="176"/>
      <c r="C345" s="62">
        <v>10</v>
      </c>
      <c r="D345" s="66" t="s">
        <v>811</v>
      </c>
      <c r="E345" s="66">
        <v>29743149.095800001</v>
      </c>
      <c r="F345" s="66">
        <v>0</v>
      </c>
      <c r="G345" s="66">
        <v>91758803.868900001</v>
      </c>
      <c r="H345" s="66">
        <v>4874762.2736999998</v>
      </c>
      <c r="I345" s="66">
        <v>3645058.5890000002</v>
      </c>
      <c r="J345" s="66">
        <v>0</v>
      </c>
      <c r="K345" s="66">
        <f t="shared" si="94"/>
        <v>3645058.5890000002</v>
      </c>
      <c r="L345" s="81">
        <v>171731635.55790001</v>
      </c>
      <c r="M345" s="71">
        <f t="shared" si="89"/>
        <v>301753409.38529998</v>
      </c>
      <c r="N345" s="70"/>
      <c r="O345" s="176"/>
      <c r="P345" s="72">
        <v>15</v>
      </c>
      <c r="Q345" s="186"/>
      <c r="R345" s="66" t="s">
        <v>812</v>
      </c>
      <c r="S345" s="66">
        <v>32293589.3979</v>
      </c>
      <c r="T345" s="66">
        <v>0</v>
      </c>
      <c r="U345" s="66">
        <v>99627014.148300007</v>
      </c>
      <c r="V345" s="66">
        <v>4989619.8642999995</v>
      </c>
      <c r="W345" s="66">
        <v>3957618.1063000001</v>
      </c>
      <c r="X345" s="66">
        <v>0</v>
      </c>
      <c r="Y345" s="66">
        <f t="shared" si="95"/>
        <v>3957618.1063000001</v>
      </c>
      <c r="Z345" s="66">
        <v>169233138.8477</v>
      </c>
      <c r="AA345" s="71">
        <f t="shared" si="90"/>
        <v>310100980.36449999</v>
      </c>
    </row>
    <row r="346" spans="1:27" ht="24.95" customHeight="1">
      <c r="A346" s="181"/>
      <c r="B346" s="176"/>
      <c r="C346" s="62">
        <v>11</v>
      </c>
      <c r="D346" s="66" t="s">
        <v>813</v>
      </c>
      <c r="E346" s="66">
        <v>41374446.160700001</v>
      </c>
      <c r="F346" s="66">
        <v>0</v>
      </c>
      <c r="G346" s="66">
        <v>127641820.2462</v>
      </c>
      <c r="H346" s="66">
        <v>6649732.6646999996</v>
      </c>
      <c r="I346" s="66">
        <v>5070487.9922000002</v>
      </c>
      <c r="J346" s="66">
        <v>0</v>
      </c>
      <c r="K346" s="66">
        <f t="shared" si="94"/>
        <v>5070487.9922000002</v>
      </c>
      <c r="L346" s="81">
        <v>234835544.25440001</v>
      </c>
      <c r="M346" s="71">
        <f t="shared" si="89"/>
        <v>415572031.31819999</v>
      </c>
      <c r="N346" s="70"/>
      <c r="O346" s="176"/>
      <c r="P346" s="72">
        <v>16</v>
      </c>
      <c r="Q346" s="186"/>
      <c r="R346" s="66" t="s">
        <v>814</v>
      </c>
      <c r="S346" s="66">
        <v>35885860.243500002</v>
      </c>
      <c r="T346" s="66">
        <v>0</v>
      </c>
      <c r="U346" s="66">
        <v>110709313.2992</v>
      </c>
      <c r="V346" s="66">
        <v>6436821.6120999996</v>
      </c>
      <c r="W346" s="66">
        <v>4397855.2062999997</v>
      </c>
      <c r="X346" s="66">
        <v>0</v>
      </c>
      <c r="Y346" s="66">
        <f t="shared" si="95"/>
        <v>4397855.2062999997</v>
      </c>
      <c r="Z346" s="66">
        <v>220684186.94510001</v>
      </c>
      <c r="AA346" s="71">
        <f t="shared" si="90"/>
        <v>378114037.30620003</v>
      </c>
    </row>
    <row r="347" spans="1:27" ht="24.95" customHeight="1">
      <c r="A347" s="181"/>
      <c r="B347" s="176"/>
      <c r="C347" s="62">
        <v>12</v>
      </c>
      <c r="D347" s="66" t="s">
        <v>815</v>
      </c>
      <c r="E347" s="66">
        <v>30590757.2381</v>
      </c>
      <c r="F347" s="66">
        <v>0</v>
      </c>
      <c r="G347" s="66">
        <v>94373708.868799999</v>
      </c>
      <c r="H347" s="66">
        <v>4981769.2280000001</v>
      </c>
      <c r="I347" s="66">
        <v>3748933.9832000001</v>
      </c>
      <c r="J347" s="66">
        <v>0</v>
      </c>
      <c r="K347" s="66">
        <f t="shared" si="94"/>
        <v>3748933.9832000001</v>
      </c>
      <c r="L347" s="81">
        <v>175535956.52399999</v>
      </c>
      <c r="M347" s="71">
        <f t="shared" si="89"/>
        <v>309231125.84210002</v>
      </c>
      <c r="N347" s="70"/>
      <c r="O347" s="176"/>
      <c r="P347" s="72">
        <v>17</v>
      </c>
      <c r="Q347" s="186"/>
      <c r="R347" s="66" t="s">
        <v>816</v>
      </c>
      <c r="S347" s="66">
        <v>35595956.376599997</v>
      </c>
      <c r="T347" s="66">
        <v>0</v>
      </c>
      <c r="U347" s="66">
        <v>109814948.2817</v>
      </c>
      <c r="V347" s="66">
        <v>6009514.7598000001</v>
      </c>
      <c r="W347" s="66">
        <v>4362327.1397000002</v>
      </c>
      <c r="X347" s="66">
        <v>0</v>
      </c>
      <c r="Y347" s="66">
        <f t="shared" si="95"/>
        <v>4362327.1397000002</v>
      </c>
      <c r="Z347" s="66">
        <v>205492534.88839999</v>
      </c>
      <c r="AA347" s="71">
        <f t="shared" si="90"/>
        <v>361275281.44620001</v>
      </c>
    </row>
    <row r="348" spans="1:27" ht="24.95" customHeight="1">
      <c r="A348" s="181"/>
      <c r="B348" s="176"/>
      <c r="C348" s="62">
        <v>13</v>
      </c>
      <c r="D348" s="66" t="s">
        <v>817</v>
      </c>
      <c r="E348" s="66">
        <v>25823585.480999999</v>
      </c>
      <c r="F348" s="66">
        <v>0</v>
      </c>
      <c r="G348" s="66">
        <v>79666793.442499995</v>
      </c>
      <c r="H348" s="66">
        <v>4768983.2127</v>
      </c>
      <c r="I348" s="66">
        <v>3164711.3676999998</v>
      </c>
      <c r="J348" s="66">
        <v>0</v>
      </c>
      <c r="K348" s="66">
        <f t="shared" si="94"/>
        <v>3164711.3676999998</v>
      </c>
      <c r="L348" s="81">
        <v>167970968.76440001</v>
      </c>
      <c r="M348" s="71">
        <f t="shared" si="89"/>
        <v>281395042.2683</v>
      </c>
      <c r="N348" s="70"/>
      <c r="O348" s="176"/>
      <c r="P348" s="72">
        <v>18</v>
      </c>
      <c r="Q348" s="186"/>
      <c r="R348" s="66" t="s">
        <v>818</v>
      </c>
      <c r="S348" s="66">
        <v>39857380.104699999</v>
      </c>
      <c r="T348" s="66">
        <v>0</v>
      </c>
      <c r="U348" s="66">
        <v>122961610.82250001</v>
      </c>
      <c r="V348" s="66">
        <v>6347658.5377000002</v>
      </c>
      <c r="W348" s="66">
        <v>4884569.7278000005</v>
      </c>
      <c r="X348" s="66">
        <v>0</v>
      </c>
      <c r="Y348" s="66">
        <f t="shared" si="95"/>
        <v>4884569.7278000005</v>
      </c>
      <c r="Z348" s="66">
        <v>217514253.2209</v>
      </c>
      <c r="AA348" s="71">
        <f t="shared" si="90"/>
        <v>391565472.41360003</v>
      </c>
    </row>
    <row r="349" spans="1:27" ht="24.95" customHeight="1">
      <c r="A349" s="181"/>
      <c r="B349" s="176"/>
      <c r="C349" s="62">
        <v>14</v>
      </c>
      <c r="D349" s="66" t="s">
        <v>819</v>
      </c>
      <c r="E349" s="66">
        <v>35493694.201399997</v>
      </c>
      <c r="F349" s="66">
        <v>0</v>
      </c>
      <c r="G349" s="66">
        <v>109499465.38330001</v>
      </c>
      <c r="H349" s="66">
        <v>6159837.0516999997</v>
      </c>
      <c r="I349" s="66">
        <v>4349794.7874999996</v>
      </c>
      <c r="J349" s="66">
        <v>0</v>
      </c>
      <c r="K349" s="66">
        <f t="shared" si="94"/>
        <v>4349794.7874999996</v>
      </c>
      <c r="L349" s="81">
        <v>217418730.8872</v>
      </c>
      <c r="M349" s="71">
        <f t="shared" si="89"/>
        <v>372921522.31110001</v>
      </c>
      <c r="N349" s="70"/>
      <c r="O349" s="176"/>
      <c r="P349" s="72">
        <v>19</v>
      </c>
      <c r="Q349" s="186"/>
      <c r="R349" s="66" t="s">
        <v>820</v>
      </c>
      <c r="S349" s="66">
        <v>36746898.199900001</v>
      </c>
      <c r="T349" s="66">
        <v>0</v>
      </c>
      <c r="U349" s="66">
        <v>113365649.8126</v>
      </c>
      <c r="V349" s="66">
        <v>5096356.4567</v>
      </c>
      <c r="W349" s="66">
        <v>4503376.4403999997</v>
      </c>
      <c r="X349" s="66">
        <v>0</v>
      </c>
      <c r="Y349" s="66">
        <f t="shared" si="95"/>
        <v>4503376.4403999997</v>
      </c>
      <c r="Z349" s="66">
        <v>173027847.88589999</v>
      </c>
      <c r="AA349" s="71">
        <f t="shared" si="90"/>
        <v>332740128.79549998</v>
      </c>
    </row>
    <row r="350" spans="1:27" ht="24.95" customHeight="1">
      <c r="A350" s="181"/>
      <c r="B350" s="176"/>
      <c r="C350" s="62">
        <v>15</v>
      </c>
      <c r="D350" s="66" t="s">
        <v>821</v>
      </c>
      <c r="E350" s="66">
        <v>39921319.4736</v>
      </c>
      <c r="F350" s="66">
        <v>0</v>
      </c>
      <c r="G350" s="66">
        <v>123158866.33149999</v>
      </c>
      <c r="H350" s="66">
        <v>6632564.6892999997</v>
      </c>
      <c r="I350" s="66">
        <v>4892405.5740999999</v>
      </c>
      <c r="J350" s="66">
        <v>0</v>
      </c>
      <c r="K350" s="66">
        <f t="shared" si="94"/>
        <v>4892405.5740999999</v>
      </c>
      <c r="L350" s="81">
        <v>234225186.83230001</v>
      </c>
      <c r="M350" s="71">
        <f t="shared" si="89"/>
        <v>408830342.90079999</v>
      </c>
      <c r="N350" s="70"/>
      <c r="O350" s="176"/>
      <c r="P350" s="72">
        <v>20</v>
      </c>
      <c r="Q350" s="186"/>
      <c r="R350" s="66" t="s">
        <v>822</v>
      </c>
      <c r="S350" s="66">
        <v>33440213.5317</v>
      </c>
      <c r="T350" s="66">
        <v>0</v>
      </c>
      <c r="U350" s="66">
        <v>103164395.435</v>
      </c>
      <c r="V350" s="66">
        <v>4583987.0176999997</v>
      </c>
      <c r="W350" s="66">
        <v>4098138.2691000002</v>
      </c>
      <c r="X350" s="66">
        <v>0</v>
      </c>
      <c r="Y350" s="66">
        <f t="shared" si="95"/>
        <v>4098138.2691000002</v>
      </c>
      <c r="Z350" s="66">
        <v>154812043.0115</v>
      </c>
      <c r="AA350" s="71">
        <f t="shared" si="90"/>
        <v>300098777.26499999</v>
      </c>
    </row>
    <row r="351" spans="1:27" ht="24.95" customHeight="1">
      <c r="A351" s="181"/>
      <c r="B351" s="176"/>
      <c r="C351" s="62">
        <v>16</v>
      </c>
      <c r="D351" s="66" t="s">
        <v>823</v>
      </c>
      <c r="E351" s="66">
        <v>29258482.999499999</v>
      </c>
      <c r="F351" s="66">
        <v>0</v>
      </c>
      <c r="G351" s="66">
        <v>90263589.588599995</v>
      </c>
      <c r="H351" s="66">
        <v>5020509.8234000001</v>
      </c>
      <c r="I351" s="66">
        <v>3585662.1776999999</v>
      </c>
      <c r="J351" s="66">
        <v>0</v>
      </c>
      <c r="K351" s="66">
        <f t="shared" si="94"/>
        <v>3585662.1776999999</v>
      </c>
      <c r="L351" s="81">
        <v>176913265.69369999</v>
      </c>
      <c r="M351" s="71">
        <f t="shared" si="89"/>
        <v>305041510.28289998</v>
      </c>
      <c r="N351" s="70"/>
      <c r="O351" s="176"/>
      <c r="P351" s="72">
        <v>21</v>
      </c>
      <c r="Q351" s="186"/>
      <c r="R351" s="66" t="s">
        <v>824</v>
      </c>
      <c r="S351" s="66">
        <v>34471715.061700001</v>
      </c>
      <c r="T351" s="66">
        <v>0</v>
      </c>
      <c r="U351" s="66">
        <v>106346618.8867</v>
      </c>
      <c r="V351" s="66">
        <v>5837215.4265999999</v>
      </c>
      <c r="W351" s="66">
        <v>4224550.0185000002</v>
      </c>
      <c r="X351" s="66">
        <v>0</v>
      </c>
      <c r="Y351" s="66">
        <f t="shared" si="95"/>
        <v>4224550.0185000002</v>
      </c>
      <c r="Z351" s="66">
        <v>199366933.33270001</v>
      </c>
      <c r="AA351" s="71">
        <f t="shared" si="90"/>
        <v>350247032.72619998</v>
      </c>
    </row>
    <row r="352" spans="1:27" ht="24.95" customHeight="1">
      <c r="A352" s="181"/>
      <c r="B352" s="176"/>
      <c r="C352" s="62">
        <v>17</v>
      </c>
      <c r="D352" s="66" t="s">
        <v>825</v>
      </c>
      <c r="E352" s="66">
        <v>30961021.287599999</v>
      </c>
      <c r="F352" s="66">
        <v>0</v>
      </c>
      <c r="G352" s="66">
        <v>95515988.262099996</v>
      </c>
      <c r="H352" s="66">
        <v>5398317.9329000004</v>
      </c>
      <c r="I352" s="66">
        <v>3794310.2864999999</v>
      </c>
      <c r="J352" s="66">
        <v>0</v>
      </c>
      <c r="K352" s="66">
        <f t="shared" si="94"/>
        <v>3794310.2864999999</v>
      </c>
      <c r="L352" s="81">
        <v>190345133.94949999</v>
      </c>
      <c r="M352" s="71">
        <f t="shared" si="89"/>
        <v>326014771.71859998</v>
      </c>
      <c r="N352" s="70"/>
      <c r="O352" s="176"/>
      <c r="P352" s="72">
        <v>22</v>
      </c>
      <c r="Q352" s="186"/>
      <c r="R352" s="66" t="s">
        <v>826</v>
      </c>
      <c r="S352" s="66">
        <v>33167146.2755</v>
      </c>
      <c r="T352" s="66">
        <v>0</v>
      </c>
      <c r="U352" s="66">
        <v>102321972.0344</v>
      </c>
      <c r="V352" s="66">
        <v>5642194.4357000003</v>
      </c>
      <c r="W352" s="66">
        <v>4064673.5493000001</v>
      </c>
      <c r="X352" s="66">
        <v>0</v>
      </c>
      <c r="Y352" s="66">
        <f t="shared" si="95"/>
        <v>4064673.5493000001</v>
      </c>
      <c r="Z352" s="66">
        <v>192433529.33590001</v>
      </c>
      <c r="AA352" s="71">
        <f t="shared" si="90"/>
        <v>337629515.63080001</v>
      </c>
    </row>
    <row r="353" spans="1:27" ht="24.95" customHeight="1">
      <c r="A353" s="181"/>
      <c r="B353" s="176"/>
      <c r="C353" s="62">
        <v>18</v>
      </c>
      <c r="D353" s="66" t="s">
        <v>827</v>
      </c>
      <c r="E353" s="66">
        <v>32291803.951299999</v>
      </c>
      <c r="F353" s="66">
        <v>0</v>
      </c>
      <c r="G353" s="66">
        <v>99621505.974299997</v>
      </c>
      <c r="H353" s="66">
        <v>5736596.8918000003</v>
      </c>
      <c r="I353" s="66">
        <v>3957399.2977</v>
      </c>
      <c r="J353" s="66">
        <v>0</v>
      </c>
      <c r="K353" s="66">
        <f t="shared" si="94"/>
        <v>3957399.2977</v>
      </c>
      <c r="L353" s="81">
        <v>202371658.24599999</v>
      </c>
      <c r="M353" s="71">
        <f t="shared" si="89"/>
        <v>343978964.36110002</v>
      </c>
      <c r="N353" s="70"/>
      <c r="O353" s="177"/>
      <c r="P353" s="72">
        <v>23</v>
      </c>
      <c r="Q353" s="187"/>
      <c r="R353" s="66" t="s">
        <v>828</v>
      </c>
      <c r="S353" s="66">
        <v>31094192.332899999</v>
      </c>
      <c r="T353" s="66">
        <v>0</v>
      </c>
      <c r="U353" s="66">
        <v>95926826.260199994</v>
      </c>
      <c r="V353" s="66">
        <v>5109401.4144000001</v>
      </c>
      <c r="W353" s="66">
        <v>3810630.5578000001</v>
      </c>
      <c r="X353" s="66">
        <v>0</v>
      </c>
      <c r="Y353" s="66">
        <f t="shared" si="95"/>
        <v>3810630.5578000001</v>
      </c>
      <c r="Z353" s="66">
        <v>173491623.4075</v>
      </c>
      <c r="AA353" s="71">
        <f t="shared" si="90"/>
        <v>309432673.97280002</v>
      </c>
    </row>
    <row r="354" spans="1:27" ht="24.95" customHeight="1">
      <c r="A354" s="181"/>
      <c r="B354" s="176"/>
      <c r="C354" s="62">
        <v>19</v>
      </c>
      <c r="D354" s="66" t="s">
        <v>829</v>
      </c>
      <c r="E354" s="66">
        <v>33362167.181200001</v>
      </c>
      <c r="F354" s="66">
        <v>0</v>
      </c>
      <c r="G354" s="66">
        <v>102923619.3238</v>
      </c>
      <c r="H354" s="66">
        <v>5526953.8326000003</v>
      </c>
      <c r="I354" s="66">
        <v>4088573.5951</v>
      </c>
      <c r="J354" s="66">
        <v>0</v>
      </c>
      <c r="K354" s="66">
        <f t="shared" si="94"/>
        <v>4088573.5951</v>
      </c>
      <c r="L354" s="81">
        <v>194918409.14820001</v>
      </c>
      <c r="M354" s="71">
        <f t="shared" si="89"/>
        <v>340819723.08090001</v>
      </c>
      <c r="N354" s="70"/>
      <c r="O354" s="62"/>
      <c r="P354" s="189" t="s">
        <v>830</v>
      </c>
      <c r="Q354" s="190"/>
      <c r="R354" s="67"/>
      <c r="S354" s="67">
        <f t="shared" ref="S354:W354" si="96">SUM(S331:S353)</f>
        <v>821575549.23790002</v>
      </c>
      <c r="T354" s="67">
        <f t="shared" si="96"/>
        <v>0</v>
      </c>
      <c r="U354" s="67">
        <f t="shared" si="96"/>
        <v>2534593409.8396001</v>
      </c>
      <c r="V354" s="67">
        <f t="shared" si="96"/>
        <v>129364230.86130001</v>
      </c>
      <c r="W354" s="67">
        <f t="shared" si="96"/>
        <v>100685068.7722</v>
      </c>
      <c r="X354" s="67">
        <f t="shared" ref="X354:AA354" si="97">SUM(X331:X353)</f>
        <v>0</v>
      </c>
      <c r="Y354" s="67">
        <f t="shared" si="95"/>
        <v>100685068.7722</v>
      </c>
      <c r="Z354" s="67">
        <f t="shared" si="97"/>
        <v>4411528452.0517998</v>
      </c>
      <c r="AA354" s="67">
        <f t="shared" si="97"/>
        <v>7997746710.7628002</v>
      </c>
    </row>
    <row r="355" spans="1:27" ht="24.95" customHeight="1">
      <c r="A355" s="181"/>
      <c r="B355" s="176"/>
      <c r="C355" s="62">
        <v>20</v>
      </c>
      <c r="D355" s="66" t="s">
        <v>831</v>
      </c>
      <c r="E355" s="66">
        <v>33650639.342699997</v>
      </c>
      <c r="F355" s="66">
        <v>0</v>
      </c>
      <c r="G355" s="66">
        <v>103813567.4728</v>
      </c>
      <c r="H355" s="66">
        <v>5603578.8777000001</v>
      </c>
      <c r="I355" s="66">
        <v>4123926.2045</v>
      </c>
      <c r="J355" s="66">
        <v>0</v>
      </c>
      <c r="K355" s="66">
        <f t="shared" si="94"/>
        <v>4123926.2045</v>
      </c>
      <c r="L355" s="81">
        <v>197642589.71579999</v>
      </c>
      <c r="M355" s="71">
        <f t="shared" si="89"/>
        <v>344834301.6135</v>
      </c>
      <c r="N355" s="70"/>
      <c r="O355" s="175">
        <v>34</v>
      </c>
      <c r="P355" s="72">
        <v>1</v>
      </c>
      <c r="Q355" s="175" t="s">
        <v>121</v>
      </c>
      <c r="R355" s="66" t="s">
        <v>832</v>
      </c>
      <c r="S355" s="66">
        <v>30863239.694699999</v>
      </c>
      <c r="T355" s="66">
        <v>0</v>
      </c>
      <c r="U355" s="66">
        <v>95214328.139400005</v>
      </c>
      <c r="V355" s="66">
        <v>4760589.7582999999</v>
      </c>
      <c r="W355" s="66">
        <v>3782327.0350000001</v>
      </c>
      <c r="X355" s="66">
        <v>3782327.0350000001</v>
      </c>
      <c r="Y355" s="66">
        <f t="shared" si="95"/>
        <v>0</v>
      </c>
      <c r="Z355" s="66">
        <v>165404507.57539999</v>
      </c>
      <c r="AA355" s="71">
        <f t="shared" si="90"/>
        <v>296242665.16780001</v>
      </c>
    </row>
    <row r="356" spans="1:27" ht="24.95" customHeight="1">
      <c r="A356" s="181"/>
      <c r="B356" s="176"/>
      <c r="C356" s="62">
        <v>21</v>
      </c>
      <c r="D356" s="66" t="s">
        <v>833</v>
      </c>
      <c r="E356" s="66">
        <v>31523901.741500001</v>
      </c>
      <c r="F356" s="66">
        <v>0</v>
      </c>
      <c r="G356" s="66">
        <v>97252496.961999997</v>
      </c>
      <c r="H356" s="66">
        <v>5397405.4617999997</v>
      </c>
      <c r="I356" s="66">
        <v>3863291.9611</v>
      </c>
      <c r="J356" s="66">
        <v>0</v>
      </c>
      <c r="K356" s="66">
        <f t="shared" si="94"/>
        <v>3863291.9611</v>
      </c>
      <c r="L356" s="81">
        <v>190312693.6929</v>
      </c>
      <c r="M356" s="71">
        <f t="shared" si="89"/>
        <v>328349789.8193</v>
      </c>
      <c r="N356" s="70"/>
      <c r="O356" s="176"/>
      <c r="P356" s="72">
        <v>2</v>
      </c>
      <c r="Q356" s="176"/>
      <c r="R356" s="66" t="s">
        <v>834</v>
      </c>
      <c r="S356" s="66">
        <v>52814110.568899997</v>
      </c>
      <c r="T356" s="66">
        <v>0</v>
      </c>
      <c r="U356" s="66">
        <v>162933642.21810001</v>
      </c>
      <c r="V356" s="66">
        <v>6135086.7073999997</v>
      </c>
      <c r="W356" s="66">
        <v>6472432.5835999995</v>
      </c>
      <c r="X356" s="66">
        <v>6472432.5835999995</v>
      </c>
      <c r="Y356" s="66">
        <f t="shared" si="95"/>
        <v>0</v>
      </c>
      <c r="Z356" s="66">
        <v>214270748.05989999</v>
      </c>
      <c r="AA356" s="71">
        <f t="shared" si="90"/>
        <v>436153587.55430001</v>
      </c>
    </row>
    <row r="357" spans="1:27" ht="24.95" customHeight="1">
      <c r="A357" s="181"/>
      <c r="B357" s="176"/>
      <c r="C357" s="62">
        <v>22</v>
      </c>
      <c r="D357" s="66" t="s">
        <v>835</v>
      </c>
      <c r="E357" s="66">
        <v>28915586.333299998</v>
      </c>
      <c r="F357" s="66">
        <v>0</v>
      </c>
      <c r="G357" s="66">
        <v>89205739.666999996</v>
      </c>
      <c r="H357" s="66">
        <v>5025781.8788000001</v>
      </c>
      <c r="I357" s="66">
        <v>3543639.78</v>
      </c>
      <c r="J357" s="66">
        <v>0</v>
      </c>
      <c r="K357" s="66">
        <f t="shared" si="94"/>
        <v>3543639.78</v>
      </c>
      <c r="L357" s="81">
        <v>177100698.2879</v>
      </c>
      <c r="M357" s="71">
        <f t="shared" si="89"/>
        <v>303791445.94700003</v>
      </c>
      <c r="N357" s="70"/>
      <c r="O357" s="176"/>
      <c r="P357" s="72">
        <v>3</v>
      </c>
      <c r="Q357" s="176"/>
      <c r="R357" s="66" t="s">
        <v>836</v>
      </c>
      <c r="S357" s="66">
        <v>36273578.996799998</v>
      </c>
      <c r="T357" s="66">
        <v>0</v>
      </c>
      <c r="U357" s="66">
        <v>111905441.1514</v>
      </c>
      <c r="V357" s="66">
        <v>5292188.6815999998</v>
      </c>
      <c r="W357" s="66">
        <v>4445370.6043999996</v>
      </c>
      <c r="X357" s="66">
        <v>4445370.6043999996</v>
      </c>
      <c r="Y357" s="66">
        <f t="shared" si="95"/>
        <v>0</v>
      </c>
      <c r="Z357" s="66">
        <v>184303960.82229999</v>
      </c>
      <c r="AA357" s="71">
        <f t="shared" si="90"/>
        <v>337775169.65210003</v>
      </c>
    </row>
    <row r="358" spans="1:27" ht="24.95" customHeight="1">
      <c r="A358" s="181"/>
      <c r="B358" s="176"/>
      <c r="C358" s="62">
        <v>23</v>
      </c>
      <c r="D358" s="66" t="s">
        <v>837</v>
      </c>
      <c r="E358" s="66">
        <v>35485742.437200002</v>
      </c>
      <c r="F358" s="66">
        <v>0</v>
      </c>
      <c r="G358" s="66">
        <v>109474933.8732</v>
      </c>
      <c r="H358" s="66">
        <v>5742240.6946999999</v>
      </c>
      <c r="I358" s="66">
        <v>4348820.2893000003</v>
      </c>
      <c r="J358" s="66">
        <v>0</v>
      </c>
      <c r="K358" s="66">
        <f t="shared" si="94"/>
        <v>4348820.2893000003</v>
      </c>
      <c r="L358" s="81">
        <v>202572307.24110001</v>
      </c>
      <c r="M358" s="71">
        <f t="shared" si="89"/>
        <v>357624044.53549999</v>
      </c>
      <c r="N358" s="70"/>
      <c r="O358" s="176"/>
      <c r="P358" s="72">
        <v>4</v>
      </c>
      <c r="Q358" s="176"/>
      <c r="R358" s="66" t="s">
        <v>838</v>
      </c>
      <c r="S358" s="66">
        <v>43310870.249799997</v>
      </c>
      <c r="T358" s="66">
        <v>0</v>
      </c>
      <c r="U358" s="66">
        <v>133615765.96510001</v>
      </c>
      <c r="V358" s="66">
        <v>4770277.7233999996</v>
      </c>
      <c r="W358" s="66">
        <v>5307799.0865000002</v>
      </c>
      <c r="X358" s="66">
        <v>5307799.0865000002</v>
      </c>
      <c r="Y358" s="66">
        <f t="shared" si="95"/>
        <v>0</v>
      </c>
      <c r="Z358" s="66">
        <v>165748934.9921</v>
      </c>
      <c r="AA358" s="71">
        <f t="shared" si="90"/>
        <v>347445848.93040001</v>
      </c>
    </row>
    <row r="359" spans="1:27" ht="24.95" customHeight="1">
      <c r="A359" s="181"/>
      <c r="B359" s="176"/>
      <c r="C359" s="62">
        <v>24</v>
      </c>
      <c r="D359" s="66" t="s">
        <v>839</v>
      </c>
      <c r="E359" s="66">
        <v>26242006.618299998</v>
      </c>
      <c r="F359" s="66">
        <v>0</v>
      </c>
      <c r="G359" s="66">
        <v>80957639.376399994</v>
      </c>
      <c r="H359" s="66">
        <v>4455712.7219000002</v>
      </c>
      <c r="I359" s="66">
        <v>3215989.3798000002</v>
      </c>
      <c r="J359" s="66">
        <v>0</v>
      </c>
      <c r="K359" s="66">
        <f t="shared" si="94"/>
        <v>3215989.3798000002</v>
      </c>
      <c r="L359" s="81">
        <v>156833547.79929999</v>
      </c>
      <c r="M359" s="71">
        <f t="shared" si="89"/>
        <v>271704895.89569998</v>
      </c>
      <c r="N359" s="70"/>
      <c r="O359" s="176"/>
      <c r="P359" s="72">
        <v>5</v>
      </c>
      <c r="Q359" s="176"/>
      <c r="R359" s="66" t="s">
        <v>840</v>
      </c>
      <c r="S359" s="66">
        <v>46790702.341300003</v>
      </c>
      <c r="T359" s="66">
        <v>0</v>
      </c>
      <c r="U359" s="66">
        <v>144351187.06479999</v>
      </c>
      <c r="V359" s="66">
        <v>6538534.1293000001</v>
      </c>
      <c r="W359" s="66">
        <v>5734256.6820999999</v>
      </c>
      <c r="X359" s="66">
        <v>5734256.6820999999</v>
      </c>
      <c r="Y359" s="66">
        <f t="shared" si="95"/>
        <v>0</v>
      </c>
      <c r="Z359" s="66">
        <v>228614147.47889999</v>
      </c>
      <c r="AA359" s="71">
        <f t="shared" si="90"/>
        <v>426294571.01429999</v>
      </c>
    </row>
    <row r="360" spans="1:27" ht="24.95" customHeight="1">
      <c r="A360" s="181"/>
      <c r="B360" s="176"/>
      <c r="C360" s="62">
        <v>25</v>
      </c>
      <c r="D360" s="66" t="s">
        <v>841</v>
      </c>
      <c r="E360" s="66">
        <v>32936851.955200002</v>
      </c>
      <c r="F360" s="66">
        <v>0</v>
      </c>
      <c r="G360" s="66">
        <v>101611504.85070001</v>
      </c>
      <c r="H360" s="66">
        <v>5053099.6875</v>
      </c>
      <c r="I360" s="66">
        <v>4036450.7042</v>
      </c>
      <c r="J360" s="66">
        <v>0</v>
      </c>
      <c r="K360" s="66">
        <f t="shared" si="94"/>
        <v>4036450.7042</v>
      </c>
      <c r="L360" s="81">
        <v>178071903.50350001</v>
      </c>
      <c r="M360" s="71">
        <f t="shared" si="89"/>
        <v>321709810.70109999</v>
      </c>
      <c r="N360" s="70"/>
      <c r="O360" s="176"/>
      <c r="P360" s="72">
        <v>6</v>
      </c>
      <c r="Q360" s="176"/>
      <c r="R360" s="66" t="s">
        <v>842</v>
      </c>
      <c r="S360" s="66">
        <v>32414281.090700001</v>
      </c>
      <c r="T360" s="66">
        <v>0</v>
      </c>
      <c r="U360" s="66">
        <v>99999352.844999999</v>
      </c>
      <c r="V360" s="66">
        <v>4728292.7862</v>
      </c>
      <c r="W360" s="66">
        <v>3972409.0180000002</v>
      </c>
      <c r="X360" s="66">
        <v>3972409.0180000002</v>
      </c>
      <c r="Y360" s="66">
        <f t="shared" si="95"/>
        <v>0</v>
      </c>
      <c r="Z360" s="66">
        <v>164256282.6875</v>
      </c>
      <c r="AA360" s="71">
        <f t="shared" si="90"/>
        <v>301398209.40939999</v>
      </c>
    </row>
    <row r="361" spans="1:27" ht="24.95" customHeight="1">
      <c r="A361" s="181"/>
      <c r="B361" s="176"/>
      <c r="C361" s="62">
        <v>26</v>
      </c>
      <c r="D361" s="66" t="s">
        <v>843</v>
      </c>
      <c r="E361" s="66">
        <v>29955899.921700001</v>
      </c>
      <c r="F361" s="66">
        <v>0</v>
      </c>
      <c r="G361" s="66">
        <v>92415148.671100006</v>
      </c>
      <c r="H361" s="66">
        <v>5063328.3761999998</v>
      </c>
      <c r="I361" s="66">
        <v>3671131.4578</v>
      </c>
      <c r="J361" s="66">
        <v>0</v>
      </c>
      <c r="K361" s="66">
        <f t="shared" si="94"/>
        <v>3671131.4578</v>
      </c>
      <c r="L361" s="81">
        <v>178435554.77590001</v>
      </c>
      <c r="M361" s="71">
        <f t="shared" si="89"/>
        <v>309541063.20270002</v>
      </c>
      <c r="N361" s="70"/>
      <c r="O361" s="176"/>
      <c r="P361" s="72">
        <v>7</v>
      </c>
      <c r="Q361" s="176"/>
      <c r="R361" s="66" t="s">
        <v>844</v>
      </c>
      <c r="S361" s="66">
        <v>31176966.556299999</v>
      </c>
      <c r="T361" s="66">
        <v>0</v>
      </c>
      <c r="U361" s="66">
        <v>96182188.047999993</v>
      </c>
      <c r="V361" s="66">
        <v>5356782.6257999996</v>
      </c>
      <c r="W361" s="66">
        <v>3820774.6381000001</v>
      </c>
      <c r="X361" s="66">
        <v>3820774.6381000001</v>
      </c>
      <c r="Y361" s="66">
        <f t="shared" si="95"/>
        <v>0</v>
      </c>
      <c r="Z361" s="66">
        <v>186600410.59799999</v>
      </c>
      <c r="AA361" s="71">
        <f t="shared" si="90"/>
        <v>319316347.82810003</v>
      </c>
    </row>
    <row r="362" spans="1:27" ht="24.95" customHeight="1">
      <c r="A362" s="181"/>
      <c r="B362" s="177"/>
      <c r="C362" s="62">
        <v>27</v>
      </c>
      <c r="D362" s="66" t="s">
        <v>845</v>
      </c>
      <c r="E362" s="66">
        <v>27757875.2269</v>
      </c>
      <c r="F362" s="66">
        <v>0</v>
      </c>
      <c r="G362" s="66">
        <v>85634154.627200007</v>
      </c>
      <c r="H362" s="66">
        <v>4657808.1804</v>
      </c>
      <c r="I362" s="66">
        <v>3401760.8955999999</v>
      </c>
      <c r="J362" s="66">
        <v>0</v>
      </c>
      <c r="K362" s="66">
        <f t="shared" si="94"/>
        <v>3401760.8955999999</v>
      </c>
      <c r="L362" s="81">
        <v>164018463.90970001</v>
      </c>
      <c r="M362" s="71">
        <f t="shared" si="89"/>
        <v>285470062.8398</v>
      </c>
      <c r="N362" s="70"/>
      <c r="O362" s="176"/>
      <c r="P362" s="72">
        <v>8</v>
      </c>
      <c r="Q362" s="176"/>
      <c r="R362" s="66" t="s">
        <v>846</v>
      </c>
      <c r="S362" s="66">
        <v>48390915.822999999</v>
      </c>
      <c r="T362" s="66">
        <v>0</v>
      </c>
      <c r="U362" s="66">
        <v>149287909.6205</v>
      </c>
      <c r="V362" s="66">
        <v>5987615.6010999996</v>
      </c>
      <c r="W362" s="66">
        <v>5930364.7632999998</v>
      </c>
      <c r="X362" s="66">
        <v>5930364.7632999998</v>
      </c>
      <c r="Y362" s="66">
        <f t="shared" si="95"/>
        <v>0</v>
      </c>
      <c r="Z362" s="66">
        <v>209027841.88370001</v>
      </c>
      <c r="AA362" s="71">
        <f t="shared" si="90"/>
        <v>412694282.92830002</v>
      </c>
    </row>
    <row r="363" spans="1:27" ht="24.95" customHeight="1">
      <c r="A363" s="62"/>
      <c r="B363" s="188" t="s">
        <v>847</v>
      </c>
      <c r="C363" s="189"/>
      <c r="D363" s="67"/>
      <c r="E363" s="67">
        <f>SUM(E336:E362)</f>
        <v>867960059.32650006</v>
      </c>
      <c r="F363" s="67">
        <f t="shared" ref="F363:M363" si="98">SUM(F336:F362)</f>
        <v>0</v>
      </c>
      <c r="G363" s="67">
        <f t="shared" si="98"/>
        <v>2677691477.5676999</v>
      </c>
      <c r="H363" s="67">
        <f t="shared" si="98"/>
        <v>145622906.7193</v>
      </c>
      <c r="I363" s="67">
        <f t="shared" si="98"/>
        <v>106369546.1066</v>
      </c>
      <c r="J363" s="67">
        <f t="shared" si="98"/>
        <v>0</v>
      </c>
      <c r="K363" s="67">
        <f t="shared" si="98"/>
        <v>106369546.1066</v>
      </c>
      <c r="L363" s="67">
        <f t="shared" si="98"/>
        <v>5134637207.25</v>
      </c>
      <c r="M363" s="67">
        <f t="shared" si="98"/>
        <v>8932281196.9701004</v>
      </c>
      <c r="N363" s="70"/>
      <c r="O363" s="176"/>
      <c r="P363" s="72">
        <v>9</v>
      </c>
      <c r="Q363" s="176"/>
      <c r="R363" s="66" t="s">
        <v>848</v>
      </c>
      <c r="S363" s="66">
        <v>34446554.447099999</v>
      </c>
      <c r="T363" s="66">
        <v>0</v>
      </c>
      <c r="U363" s="66">
        <v>106268997.3847</v>
      </c>
      <c r="V363" s="66">
        <v>4812521.7572999997</v>
      </c>
      <c r="W363" s="66">
        <v>4221466.5548999999</v>
      </c>
      <c r="X363" s="66">
        <v>4221466.5548999999</v>
      </c>
      <c r="Y363" s="66">
        <f t="shared" si="95"/>
        <v>0</v>
      </c>
      <c r="Z363" s="66">
        <v>167250798.72749999</v>
      </c>
      <c r="AA363" s="71">
        <f t="shared" si="90"/>
        <v>312778872.31660002</v>
      </c>
    </row>
    <row r="364" spans="1:27" ht="24.95" customHeight="1">
      <c r="A364" s="181">
        <v>18</v>
      </c>
      <c r="B364" s="175" t="s">
        <v>849</v>
      </c>
      <c r="C364" s="62">
        <v>1</v>
      </c>
      <c r="D364" s="66" t="s">
        <v>850</v>
      </c>
      <c r="E364" s="66">
        <v>51970745.063900001</v>
      </c>
      <c r="F364" s="66">
        <v>0</v>
      </c>
      <c r="G364" s="66">
        <v>160331825.92359999</v>
      </c>
      <c r="H364" s="66">
        <v>7397861.6021999996</v>
      </c>
      <c r="I364" s="66">
        <v>6369077.1295999996</v>
      </c>
      <c r="J364" s="66">
        <v>6369077.1295999996</v>
      </c>
      <c r="K364" s="66">
        <f>I364-J364</f>
        <v>0</v>
      </c>
      <c r="L364" s="81">
        <v>229192427.37709999</v>
      </c>
      <c r="M364" s="71">
        <f t="shared" si="89"/>
        <v>448892859.96679997</v>
      </c>
      <c r="N364" s="70"/>
      <c r="O364" s="176"/>
      <c r="P364" s="72">
        <v>10</v>
      </c>
      <c r="Q364" s="176"/>
      <c r="R364" s="66" t="s">
        <v>851</v>
      </c>
      <c r="S364" s="66">
        <v>31804425.019400001</v>
      </c>
      <c r="T364" s="66">
        <v>0</v>
      </c>
      <c r="U364" s="66">
        <v>98117922.487800002</v>
      </c>
      <c r="V364" s="66">
        <v>4869511.7753999997</v>
      </c>
      <c r="W364" s="66">
        <v>3897670.4251999999</v>
      </c>
      <c r="X364" s="66">
        <v>3897670.4251999999</v>
      </c>
      <c r="Y364" s="66">
        <f t="shared" si="95"/>
        <v>0</v>
      </c>
      <c r="Z364" s="66">
        <v>169276913.0309</v>
      </c>
      <c r="AA364" s="71">
        <f t="shared" si="90"/>
        <v>304068772.31349999</v>
      </c>
    </row>
    <row r="365" spans="1:27" ht="24.95" customHeight="1">
      <c r="A365" s="181"/>
      <c r="B365" s="176"/>
      <c r="C365" s="62">
        <v>2</v>
      </c>
      <c r="D365" s="66" t="s">
        <v>852</v>
      </c>
      <c r="E365" s="66">
        <v>52845222.463799998</v>
      </c>
      <c r="F365" s="66">
        <v>0</v>
      </c>
      <c r="G365" s="66">
        <v>163029623.65720001</v>
      </c>
      <c r="H365" s="66">
        <v>8703337.4323999994</v>
      </c>
      <c r="I365" s="66">
        <v>6476245.3836000003</v>
      </c>
      <c r="J365" s="66">
        <v>6476245.3836000003</v>
      </c>
      <c r="K365" s="66">
        <f t="shared" ref="K365:K386" si="99">I365-J365</f>
        <v>0</v>
      </c>
      <c r="L365" s="81">
        <v>275604822.76639998</v>
      </c>
      <c r="M365" s="71">
        <f t="shared" si="89"/>
        <v>500183006.31980002</v>
      </c>
      <c r="N365" s="70"/>
      <c r="O365" s="176"/>
      <c r="P365" s="72">
        <v>11</v>
      </c>
      <c r="Q365" s="176"/>
      <c r="R365" s="66" t="s">
        <v>853</v>
      </c>
      <c r="S365" s="66">
        <v>47462316.698799998</v>
      </c>
      <c r="T365" s="66">
        <v>0</v>
      </c>
      <c r="U365" s="66">
        <v>146423144.20410001</v>
      </c>
      <c r="V365" s="66">
        <v>6309717.9112</v>
      </c>
      <c r="W365" s="66">
        <v>5816563.8271000003</v>
      </c>
      <c r="X365" s="66">
        <v>5816563.8271000003</v>
      </c>
      <c r="Y365" s="66">
        <f t="shared" si="95"/>
        <v>0</v>
      </c>
      <c r="Z365" s="66">
        <v>220479252.4937</v>
      </c>
      <c r="AA365" s="71">
        <f t="shared" si="90"/>
        <v>420674431.30779999</v>
      </c>
    </row>
    <row r="366" spans="1:27" ht="24.95" customHeight="1">
      <c r="A366" s="181"/>
      <c r="B366" s="176"/>
      <c r="C366" s="62">
        <v>3</v>
      </c>
      <c r="D366" s="66" t="s">
        <v>854</v>
      </c>
      <c r="E366" s="66">
        <v>43733641.699100003</v>
      </c>
      <c r="F366" s="66">
        <v>0</v>
      </c>
      <c r="G366" s="66">
        <v>134920032.7854</v>
      </c>
      <c r="H366" s="66">
        <v>7781595.1415999997</v>
      </c>
      <c r="I366" s="66">
        <v>5359610.2346000001</v>
      </c>
      <c r="J366" s="66">
        <v>5359610.2346000001</v>
      </c>
      <c r="K366" s="66">
        <f t="shared" si="99"/>
        <v>0</v>
      </c>
      <c r="L366" s="81">
        <v>242834957.05289999</v>
      </c>
      <c r="M366" s="71">
        <f t="shared" si="89"/>
        <v>429270226.67900002</v>
      </c>
      <c r="N366" s="70"/>
      <c r="O366" s="176"/>
      <c r="P366" s="72">
        <v>12</v>
      </c>
      <c r="Q366" s="176"/>
      <c r="R366" s="66" t="s">
        <v>855</v>
      </c>
      <c r="S366" s="66">
        <v>37567958.111599997</v>
      </c>
      <c r="T366" s="66">
        <v>0</v>
      </c>
      <c r="U366" s="66">
        <v>115898652.45990001</v>
      </c>
      <c r="V366" s="66">
        <v>5306134.8453000002</v>
      </c>
      <c r="W366" s="66">
        <v>4603998.3170999996</v>
      </c>
      <c r="X366" s="66">
        <v>4603998.3170999996</v>
      </c>
      <c r="Y366" s="66">
        <f t="shared" si="95"/>
        <v>0</v>
      </c>
      <c r="Z366" s="66">
        <v>184799776.10350001</v>
      </c>
      <c r="AA366" s="71">
        <f t="shared" si="90"/>
        <v>343572521.52029997</v>
      </c>
    </row>
    <row r="367" spans="1:27" ht="24.95" customHeight="1">
      <c r="A367" s="181"/>
      <c r="B367" s="176"/>
      <c r="C367" s="62">
        <v>4</v>
      </c>
      <c r="D367" s="66" t="s">
        <v>856</v>
      </c>
      <c r="E367" s="66">
        <v>33674278.451800004</v>
      </c>
      <c r="F367" s="66">
        <v>0</v>
      </c>
      <c r="G367" s="66">
        <v>103886495.0695</v>
      </c>
      <c r="H367" s="66">
        <v>5803909.7130000005</v>
      </c>
      <c r="I367" s="66">
        <v>4126823.2056999998</v>
      </c>
      <c r="J367" s="66">
        <v>4126823.2056999998</v>
      </c>
      <c r="K367" s="66">
        <f t="shared" si="99"/>
        <v>0</v>
      </c>
      <c r="L367" s="81">
        <v>172524104.91119999</v>
      </c>
      <c r="M367" s="71">
        <f t="shared" si="89"/>
        <v>315888788.1455</v>
      </c>
      <c r="N367" s="70"/>
      <c r="O367" s="176"/>
      <c r="P367" s="72">
        <v>13</v>
      </c>
      <c r="Q367" s="176"/>
      <c r="R367" s="66" t="s">
        <v>857</v>
      </c>
      <c r="S367" s="66">
        <v>32289158.782000002</v>
      </c>
      <c r="T367" s="66">
        <v>0</v>
      </c>
      <c r="U367" s="66">
        <v>99613345.521599993</v>
      </c>
      <c r="V367" s="66">
        <v>5046148.1627000002</v>
      </c>
      <c r="W367" s="66">
        <v>3957075.1291</v>
      </c>
      <c r="X367" s="66">
        <v>3957075.1291</v>
      </c>
      <c r="Y367" s="66">
        <f t="shared" si="95"/>
        <v>0</v>
      </c>
      <c r="Z367" s="66">
        <v>175556705.93000001</v>
      </c>
      <c r="AA367" s="71">
        <f t="shared" si="90"/>
        <v>312505358.39630002</v>
      </c>
    </row>
    <row r="368" spans="1:27" ht="24.95" customHeight="1">
      <c r="A368" s="181"/>
      <c r="B368" s="176"/>
      <c r="C368" s="62">
        <v>5</v>
      </c>
      <c r="D368" s="66" t="s">
        <v>858</v>
      </c>
      <c r="E368" s="66">
        <v>55358993.597900003</v>
      </c>
      <c r="F368" s="66">
        <v>0</v>
      </c>
      <c r="G368" s="66">
        <v>170784708.08759999</v>
      </c>
      <c r="H368" s="66">
        <v>9401535.5604999997</v>
      </c>
      <c r="I368" s="66">
        <v>6784311.0504999999</v>
      </c>
      <c r="J368" s="66">
        <v>6784311.0504999999</v>
      </c>
      <c r="K368" s="66">
        <f t="shared" si="99"/>
        <v>0</v>
      </c>
      <c r="L368" s="81">
        <v>300427226.08880001</v>
      </c>
      <c r="M368" s="71">
        <f t="shared" si="89"/>
        <v>535972463.3348</v>
      </c>
      <c r="N368" s="70"/>
      <c r="O368" s="176"/>
      <c r="P368" s="72">
        <v>14</v>
      </c>
      <c r="Q368" s="176"/>
      <c r="R368" s="66" t="s">
        <v>859</v>
      </c>
      <c r="S368" s="66">
        <v>46249634.163199998</v>
      </c>
      <c r="T368" s="66">
        <v>0</v>
      </c>
      <c r="U368" s="66">
        <v>142681970.1076</v>
      </c>
      <c r="V368" s="66">
        <v>6502452.0916999998</v>
      </c>
      <c r="W368" s="66">
        <v>5667948.1281000003</v>
      </c>
      <c r="X368" s="66">
        <v>5667948.1281000003</v>
      </c>
      <c r="Y368" s="66">
        <f t="shared" si="95"/>
        <v>0</v>
      </c>
      <c r="Z368" s="66">
        <v>227331355.60030001</v>
      </c>
      <c r="AA368" s="71">
        <f t="shared" si="90"/>
        <v>422765411.96280003</v>
      </c>
    </row>
    <row r="369" spans="1:27" ht="24.95" customHeight="1">
      <c r="A369" s="181"/>
      <c r="B369" s="176"/>
      <c r="C369" s="62">
        <v>6</v>
      </c>
      <c r="D369" s="66" t="s">
        <v>860</v>
      </c>
      <c r="E369" s="66">
        <v>37085532.053000003</v>
      </c>
      <c r="F369" s="66">
        <v>0</v>
      </c>
      <c r="G369" s="66">
        <v>114410348.78560001</v>
      </c>
      <c r="H369" s="66">
        <v>6739564.3722999999</v>
      </c>
      <c r="I369" s="66">
        <v>4544876.4252000004</v>
      </c>
      <c r="J369" s="66">
        <v>4544876.4252000004</v>
      </c>
      <c r="K369" s="66">
        <f t="shared" si="99"/>
        <v>0</v>
      </c>
      <c r="L369" s="81">
        <v>205788584.4149</v>
      </c>
      <c r="M369" s="71">
        <f t="shared" si="89"/>
        <v>364024029.62580001</v>
      </c>
      <c r="N369" s="70"/>
      <c r="O369" s="176"/>
      <c r="P369" s="72">
        <v>15</v>
      </c>
      <c r="Q369" s="176"/>
      <c r="R369" s="66" t="s">
        <v>861</v>
      </c>
      <c r="S369" s="66">
        <v>30659497.3662</v>
      </c>
      <c r="T369" s="66">
        <v>0</v>
      </c>
      <c r="U369" s="66">
        <v>94585774.912100002</v>
      </c>
      <c r="V369" s="66">
        <v>4788628.5317000002</v>
      </c>
      <c r="W369" s="66">
        <v>3757358.1683999998</v>
      </c>
      <c r="X369" s="66">
        <v>3757358.1683999998</v>
      </c>
      <c r="Y369" s="66">
        <f t="shared" si="95"/>
        <v>0</v>
      </c>
      <c r="Z369" s="66">
        <v>166401344.5988</v>
      </c>
      <c r="AA369" s="71">
        <f t="shared" si="90"/>
        <v>296435245.40880001</v>
      </c>
    </row>
    <row r="370" spans="1:27" ht="24.95" customHeight="1">
      <c r="A370" s="181"/>
      <c r="B370" s="176"/>
      <c r="C370" s="62">
        <v>7</v>
      </c>
      <c r="D370" s="66" t="s">
        <v>862</v>
      </c>
      <c r="E370" s="66">
        <v>32338511.0077</v>
      </c>
      <c r="F370" s="66">
        <v>0</v>
      </c>
      <c r="G370" s="66">
        <v>99765599.110100001</v>
      </c>
      <c r="H370" s="66">
        <v>6305306.9682999998</v>
      </c>
      <c r="I370" s="66">
        <v>3963123.3034999999</v>
      </c>
      <c r="J370" s="66">
        <v>3963123.3034999999</v>
      </c>
      <c r="K370" s="66">
        <f t="shared" si="99"/>
        <v>0</v>
      </c>
      <c r="L370" s="81">
        <v>190349825.71149999</v>
      </c>
      <c r="M370" s="71">
        <f t="shared" si="89"/>
        <v>328759242.79759997</v>
      </c>
      <c r="N370" s="70"/>
      <c r="O370" s="177"/>
      <c r="P370" s="72">
        <v>16</v>
      </c>
      <c r="Q370" s="177"/>
      <c r="R370" s="66" t="s">
        <v>863</v>
      </c>
      <c r="S370" s="66">
        <v>33259412.8752</v>
      </c>
      <c r="T370" s="66">
        <v>0</v>
      </c>
      <c r="U370" s="66">
        <v>102606618.1825</v>
      </c>
      <c r="V370" s="66">
        <v>5216171.9506000001</v>
      </c>
      <c r="W370" s="66">
        <v>4075980.9317999999</v>
      </c>
      <c r="X370" s="66">
        <v>4075980.9317999999</v>
      </c>
      <c r="Y370" s="66">
        <f t="shared" si="95"/>
        <v>0</v>
      </c>
      <c r="Z370" s="66">
        <v>181601407.0925</v>
      </c>
      <c r="AA370" s="71">
        <f t="shared" si="90"/>
        <v>322683610.10079998</v>
      </c>
    </row>
    <row r="371" spans="1:27" ht="24.95" customHeight="1">
      <c r="A371" s="181"/>
      <c r="B371" s="176"/>
      <c r="C371" s="62">
        <v>8</v>
      </c>
      <c r="D371" s="66" t="s">
        <v>864</v>
      </c>
      <c r="E371" s="66">
        <v>43088945.604800001</v>
      </c>
      <c r="F371" s="66">
        <v>0</v>
      </c>
      <c r="G371" s="66">
        <v>132931119.5643</v>
      </c>
      <c r="H371" s="66">
        <v>7694944.1791000003</v>
      </c>
      <c r="I371" s="66">
        <v>5280601.9550000001</v>
      </c>
      <c r="J371" s="66">
        <v>5280601.9550000001</v>
      </c>
      <c r="K371" s="66">
        <f t="shared" si="99"/>
        <v>0</v>
      </c>
      <c r="L371" s="81">
        <v>239754334.15880001</v>
      </c>
      <c r="M371" s="71">
        <f t="shared" si="89"/>
        <v>423469343.50700003</v>
      </c>
      <c r="N371" s="70"/>
      <c r="O371" s="62"/>
      <c r="P371" s="189" t="s">
        <v>865</v>
      </c>
      <c r="Q371" s="190"/>
      <c r="R371" s="67"/>
      <c r="S371" s="67">
        <f t="shared" ref="S371:W371" si="100">SUM(S355:S370)</f>
        <v>615773622.78499997</v>
      </c>
      <c r="T371" s="67">
        <f t="shared" si="100"/>
        <v>0</v>
      </c>
      <c r="U371" s="67">
        <f t="shared" si="100"/>
        <v>1899686240.3125999</v>
      </c>
      <c r="V371" s="67">
        <f t="shared" si="100"/>
        <v>86420655.039000005</v>
      </c>
      <c r="W371" s="67">
        <f t="shared" si="100"/>
        <v>75463795.892700002</v>
      </c>
      <c r="X371" s="67">
        <f t="shared" ref="X371:AA371" si="101">SUM(X355:X370)</f>
        <v>75463795.892700002</v>
      </c>
      <c r="Y371" s="67">
        <f t="shared" si="95"/>
        <v>0</v>
      </c>
      <c r="Z371" s="67">
        <f t="shared" si="101"/>
        <v>3010924387.6750002</v>
      </c>
      <c r="AA371" s="67">
        <f t="shared" si="101"/>
        <v>5612804905.8115997</v>
      </c>
    </row>
    <row r="372" spans="1:27" ht="24.95" customHeight="1">
      <c r="A372" s="181"/>
      <c r="B372" s="176"/>
      <c r="C372" s="62">
        <v>9</v>
      </c>
      <c r="D372" s="66" t="s">
        <v>866</v>
      </c>
      <c r="E372" s="66">
        <v>47531589.212300003</v>
      </c>
      <c r="F372" s="66">
        <v>0</v>
      </c>
      <c r="G372" s="66">
        <v>146636852.67719999</v>
      </c>
      <c r="H372" s="66">
        <v>7306738.4046999998</v>
      </c>
      <c r="I372" s="66">
        <v>5825053.2566999998</v>
      </c>
      <c r="J372" s="66">
        <v>5825053.2566999998</v>
      </c>
      <c r="K372" s="66">
        <f t="shared" si="99"/>
        <v>0</v>
      </c>
      <c r="L372" s="81">
        <v>225952807.17550001</v>
      </c>
      <c r="M372" s="71">
        <f t="shared" si="89"/>
        <v>427427987.46969998</v>
      </c>
      <c r="N372" s="70"/>
      <c r="O372" s="175">
        <v>35</v>
      </c>
      <c r="P372" s="72">
        <v>1</v>
      </c>
      <c r="Q372" s="63"/>
      <c r="R372" s="66" t="s">
        <v>867</v>
      </c>
      <c r="S372" s="66">
        <v>34371625.402900003</v>
      </c>
      <c r="T372" s="66">
        <v>0</v>
      </c>
      <c r="U372" s="66">
        <v>106037838.28829999</v>
      </c>
      <c r="V372" s="66">
        <v>5307440.2170000002</v>
      </c>
      <c r="W372" s="66">
        <v>4212283.9107999997</v>
      </c>
      <c r="X372" s="66">
        <v>0</v>
      </c>
      <c r="Y372" s="66">
        <f t="shared" si="95"/>
        <v>4212283.9107999997</v>
      </c>
      <c r="Z372" s="66">
        <v>185142642.1812</v>
      </c>
      <c r="AA372" s="71">
        <f t="shared" si="90"/>
        <v>335071830.00019997</v>
      </c>
    </row>
    <row r="373" spans="1:27" ht="24.95" customHeight="1">
      <c r="A373" s="181"/>
      <c r="B373" s="176"/>
      <c r="C373" s="62">
        <v>10</v>
      </c>
      <c r="D373" s="66" t="s">
        <v>868</v>
      </c>
      <c r="E373" s="66">
        <v>44903134.7654</v>
      </c>
      <c r="F373" s="66">
        <v>0</v>
      </c>
      <c r="G373" s="66">
        <v>138527965.64250001</v>
      </c>
      <c r="H373" s="66">
        <v>8584423.2930999994</v>
      </c>
      <c r="I373" s="66">
        <v>5502933.0122999996</v>
      </c>
      <c r="J373" s="66">
        <v>5502933.0122999996</v>
      </c>
      <c r="K373" s="66">
        <f t="shared" si="99"/>
        <v>0</v>
      </c>
      <c r="L373" s="81">
        <v>271377176.47530001</v>
      </c>
      <c r="M373" s="71">
        <f t="shared" si="89"/>
        <v>463392700.17629999</v>
      </c>
      <c r="N373" s="70"/>
      <c r="O373" s="176"/>
      <c r="P373" s="72">
        <v>2</v>
      </c>
      <c r="Q373" s="175" t="s">
        <v>122</v>
      </c>
      <c r="R373" s="66" t="s">
        <v>869</v>
      </c>
      <c r="S373" s="66">
        <v>38035606.413400002</v>
      </c>
      <c r="T373" s="66">
        <v>0</v>
      </c>
      <c r="U373" s="66">
        <v>117341366.16429999</v>
      </c>
      <c r="V373" s="66">
        <v>4962075.5256000003</v>
      </c>
      <c r="W373" s="66">
        <v>4661309.1772999996</v>
      </c>
      <c r="X373" s="66">
        <v>0</v>
      </c>
      <c r="Y373" s="66">
        <f t="shared" si="95"/>
        <v>4661309.1772999996</v>
      </c>
      <c r="Z373" s="66">
        <v>172864205.27419999</v>
      </c>
      <c r="AA373" s="71">
        <f t="shared" si="90"/>
        <v>337864562.55479997</v>
      </c>
    </row>
    <row r="374" spans="1:27" ht="24.95" customHeight="1">
      <c r="A374" s="181"/>
      <c r="B374" s="176"/>
      <c r="C374" s="62">
        <v>11</v>
      </c>
      <c r="D374" s="66" t="s">
        <v>870</v>
      </c>
      <c r="E374" s="66">
        <v>47941120.466399997</v>
      </c>
      <c r="F374" s="66">
        <v>0</v>
      </c>
      <c r="G374" s="66">
        <v>147900272.9659</v>
      </c>
      <c r="H374" s="66">
        <v>9087927.1174999997</v>
      </c>
      <c r="I374" s="66">
        <v>5875241.8030000003</v>
      </c>
      <c r="J374" s="66">
        <v>5875241.8030000003</v>
      </c>
      <c r="K374" s="66">
        <f t="shared" si="99"/>
        <v>0</v>
      </c>
      <c r="L374" s="81">
        <v>289277790.21390003</v>
      </c>
      <c r="M374" s="71">
        <f t="shared" si="89"/>
        <v>494207110.76370001</v>
      </c>
      <c r="N374" s="70"/>
      <c r="O374" s="176"/>
      <c r="P374" s="72">
        <v>3</v>
      </c>
      <c r="Q374" s="176"/>
      <c r="R374" s="66" t="s">
        <v>871</v>
      </c>
      <c r="S374" s="66">
        <v>31846829.212499999</v>
      </c>
      <c r="T374" s="66">
        <v>0</v>
      </c>
      <c r="U374" s="66">
        <v>98248741.118599996</v>
      </c>
      <c r="V374" s="66">
        <v>4724269.7770999996</v>
      </c>
      <c r="W374" s="66">
        <v>3902867.11</v>
      </c>
      <c r="X374" s="66">
        <v>0</v>
      </c>
      <c r="Y374" s="66">
        <f t="shared" si="95"/>
        <v>3902867.11</v>
      </c>
      <c r="Z374" s="66">
        <v>164409713.68610001</v>
      </c>
      <c r="AA374" s="71">
        <f t="shared" si="90"/>
        <v>303132420.90429997</v>
      </c>
    </row>
    <row r="375" spans="1:27" ht="24.95" customHeight="1">
      <c r="A375" s="181"/>
      <c r="B375" s="176"/>
      <c r="C375" s="62">
        <v>12</v>
      </c>
      <c r="D375" s="66" t="s">
        <v>872</v>
      </c>
      <c r="E375" s="66">
        <v>41429472.945600003</v>
      </c>
      <c r="F375" s="66">
        <v>0</v>
      </c>
      <c r="G375" s="66">
        <v>127811580.0776</v>
      </c>
      <c r="H375" s="66">
        <v>7269214.4375</v>
      </c>
      <c r="I375" s="66">
        <v>5077231.5906999996</v>
      </c>
      <c r="J375" s="66">
        <v>5077231.5906999996</v>
      </c>
      <c r="K375" s="66">
        <f t="shared" si="99"/>
        <v>0</v>
      </c>
      <c r="L375" s="81">
        <v>224618751.6814</v>
      </c>
      <c r="M375" s="71">
        <f t="shared" si="89"/>
        <v>401129019.14209998</v>
      </c>
      <c r="N375" s="70"/>
      <c r="O375" s="176"/>
      <c r="P375" s="72">
        <v>4</v>
      </c>
      <c r="Q375" s="176"/>
      <c r="R375" s="66" t="s">
        <v>873</v>
      </c>
      <c r="S375" s="66">
        <v>35656837.952799998</v>
      </c>
      <c r="T375" s="66">
        <v>0</v>
      </c>
      <c r="U375" s="66">
        <v>110002770.3778</v>
      </c>
      <c r="V375" s="66">
        <v>5274917.9434000002</v>
      </c>
      <c r="W375" s="66">
        <v>4369788.2499000002</v>
      </c>
      <c r="X375" s="66">
        <v>0</v>
      </c>
      <c r="Y375" s="66">
        <f t="shared" si="95"/>
        <v>4369788.2499000002</v>
      </c>
      <c r="Z375" s="66">
        <v>183986407.35339999</v>
      </c>
      <c r="AA375" s="71">
        <f t="shared" si="90"/>
        <v>339290721.87730002</v>
      </c>
    </row>
    <row r="376" spans="1:27" ht="24.95" customHeight="1">
      <c r="A376" s="181"/>
      <c r="B376" s="176"/>
      <c r="C376" s="62">
        <v>13</v>
      </c>
      <c r="D376" s="66" t="s">
        <v>874</v>
      </c>
      <c r="E376" s="66">
        <v>35893157.102300003</v>
      </c>
      <c r="F376" s="66">
        <v>0</v>
      </c>
      <c r="G376" s="66">
        <v>110731824.4005</v>
      </c>
      <c r="H376" s="66">
        <v>7062342.5869000005</v>
      </c>
      <c r="I376" s="66">
        <v>4398749.4451000001</v>
      </c>
      <c r="J376" s="66">
        <v>4398749.4451000001</v>
      </c>
      <c r="K376" s="66">
        <f t="shared" si="99"/>
        <v>0</v>
      </c>
      <c r="L376" s="81">
        <v>217264024.84470001</v>
      </c>
      <c r="M376" s="71">
        <f t="shared" si="89"/>
        <v>370951348.93440002</v>
      </c>
      <c r="N376" s="70"/>
      <c r="O376" s="176"/>
      <c r="P376" s="72">
        <v>5</v>
      </c>
      <c r="Q376" s="176"/>
      <c r="R376" s="66" t="s">
        <v>875</v>
      </c>
      <c r="S376" s="66">
        <v>50011442.992200002</v>
      </c>
      <c r="T376" s="66">
        <v>0</v>
      </c>
      <c r="U376" s="66">
        <v>154287300.7141</v>
      </c>
      <c r="V376" s="66">
        <v>7120869.5766000003</v>
      </c>
      <c r="W376" s="66">
        <v>6128962.3112000003</v>
      </c>
      <c r="X376" s="66">
        <v>0</v>
      </c>
      <c r="Y376" s="66">
        <f t="shared" si="95"/>
        <v>6128962.3112000003</v>
      </c>
      <c r="Z376" s="66">
        <v>249613847.62239999</v>
      </c>
      <c r="AA376" s="71">
        <f t="shared" si="90"/>
        <v>467162423.21649998</v>
      </c>
    </row>
    <row r="377" spans="1:27" ht="24.95" customHeight="1">
      <c r="A377" s="181"/>
      <c r="B377" s="176"/>
      <c r="C377" s="62">
        <v>14</v>
      </c>
      <c r="D377" s="66" t="s">
        <v>876</v>
      </c>
      <c r="E377" s="66">
        <v>36958170.576499999</v>
      </c>
      <c r="F377" s="66">
        <v>0</v>
      </c>
      <c r="G377" s="66">
        <v>114017433.5395</v>
      </c>
      <c r="H377" s="66">
        <v>6470126.2911999999</v>
      </c>
      <c r="I377" s="66">
        <v>4529268.1234999998</v>
      </c>
      <c r="J377" s="66">
        <v>4529268.1234999998</v>
      </c>
      <c r="K377" s="66">
        <f t="shared" si="99"/>
        <v>0</v>
      </c>
      <c r="L377" s="81">
        <v>196209497.2617</v>
      </c>
      <c r="M377" s="71">
        <f t="shared" si="89"/>
        <v>353655227.66890001</v>
      </c>
      <c r="N377" s="70"/>
      <c r="O377" s="176"/>
      <c r="P377" s="72">
        <v>6</v>
      </c>
      <c r="Q377" s="176"/>
      <c r="R377" s="66" t="s">
        <v>877</v>
      </c>
      <c r="S377" s="66">
        <v>41446569.403399996</v>
      </c>
      <c r="T377" s="66">
        <v>0</v>
      </c>
      <c r="U377" s="66">
        <v>127864323.33319999</v>
      </c>
      <c r="V377" s="66">
        <v>5504725.4881999996</v>
      </c>
      <c r="W377" s="66">
        <v>5079326.7821000004</v>
      </c>
      <c r="X377" s="66">
        <v>0</v>
      </c>
      <c r="Y377" s="66">
        <f t="shared" si="95"/>
        <v>5079326.7821000004</v>
      </c>
      <c r="Z377" s="66">
        <v>192156546.0742</v>
      </c>
      <c r="AA377" s="71">
        <f t="shared" si="90"/>
        <v>372051491.08109999</v>
      </c>
    </row>
    <row r="378" spans="1:27" ht="24.95" customHeight="1">
      <c r="A378" s="181"/>
      <c r="B378" s="176"/>
      <c r="C378" s="62">
        <v>15</v>
      </c>
      <c r="D378" s="66" t="s">
        <v>878</v>
      </c>
      <c r="E378" s="66">
        <v>42782700.4221</v>
      </c>
      <c r="F378" s="66">
        <v>0</v>
      </c>
      <c r="G378" s="66">
        <v>131986340.93430001</v>
      </c>
      <c r="H378" s="66">
        <v>7732231.5798000004</v>
      </c>
      <c r="I378" s="66">
        <v>5243071.2407</v>
      </c>
      <c r="J378" s="66">
        <v>5243071.2407</v>
      </c>
      <c r="K378" s="66">
        <f t="shared" si="99"/>
        <v>0</v>
      </c>
      <c r="L378" s="81">
        <v>241079979.2159</v>
      </c>
      <c r="M378" s="71">
        <f t="shared" si="89"/>
        <v>423581252.15210003</v>
      </c>
      <c r="N378" s="70"/>
      <c r="O378" s="176"/>
      <c r="P378" s="72">
        <v>7</v>
      </c>
      <c r="Q378" s="176"/>
      <c r="R378" s="66" t="s">
        <v>879</v>
      </c>
      <c r="S378" s="66">
        <v>38158620.403300002</v>
      </c>
      <c r="T378" s="66">
        <v>0</v>
      </c>
      <c r="U378" s="66">
        <v>117720869.2402</v>
      </c>
      <c r="V378" s="66">
        <v>5198236.5729999999</v>
      </c>
      <c r="W378" s="66">
        <v>4676384.6892999997</v>
      </c>
      <c r="X378" s="66">
        <v>0</v>
      </c>
      <c r="Y378" s="66">
        <f t="shared" si="95"/>
        <v>4676384.6892999997</v>
      </c>
      <c r="Z378" s="66">
        <v>181260224.3008</v>
      </c>
      <c r="AA378" s="71">
        <f t="shared" si="90"/>
        <v>347014335.20660001</v>
      </c>
    </row>
    <row r="379" spans="1:27" ht="24.95" customHeight="1">
      <c r="A379" s="181"/>
      <c r="B379" s="176"/>
      <c r="C379" s="62">
        <v>16</v>
      </c>
      <c r="D379" s="66" t="s">
        <v>880</v>
      </c>
      <c r="E379" s="66">
        <v>33183697.965500001</v>
      </c>
      <c r="F379" s="66">
        <v>0</v>
      </c>
      <c r="G379" s="66">
        <v>102373034.6594</v>
      </c>
      <c r="H379" s="66">
        <v>6120728.7026000004</v>
      </c>
      <c r="I379" s="66">
        <v>4066701.9788000002</v>
      </c>
      <c r="J379" s="66">
        <v>4066701.9788000002</v>
      </c>
      <c r="K379" s="66">
        <f t="shared" si="99"/>
        <v>0</v>
      </c>
      <c r="L379" s="81">
        <v>183787682.43009999</v>
      </c>
      <c r="M379" s="71">
        <f t="shared" si="89"/>
        <v>325465143.75760001</v>
      </c>
      <c r="N379" s="70"/>
      <c r="O379" s="176"/>
      <c r="P379" s="72">
        <v>8</v>
      </c>
      <c r="Q379" s="176"/>
      <c r="R379" s="66" t="s">
        <v>881</v>
      </c>
      <c r="S379" s="66">
        <v>33152014.285100002</v>
      </c>
      <c r="T379" s="66">
        <v>0</v>
      </c>
      <c r="U379" s="66">
        <v>102275289.23909999</v>
      </c>
      <c r="V379" s="66">
        <v>4898833.3904999997</v>
      </c>
      <c r="W379" s="66">
        <v>4062819.1058</v>
      </c>
      <c r="X379" s="66">
        <v>0</v>
      </c>
      <c r="Y379" s="66">
        <f t="shared" si="95"/>
        <v>4062819.1058</v>
      </c>
      <c r="Z379" s="66">
        <v>170615815.13800001</v>
      </c>
      <c r="AA379" s="71">
        <f t="shared" si="90"/>
        <v>315004771.15850002</v>
      </c>
    </row>
    <row r="380" spans="1:27" ht="24.95" customHeight="1">
      <c r="A380" s="181"/>
      <c r="B380" s="176"/>
      <c r="C380" s="62">
        <v>17</v>
      </c>
      <c r="D380" s="66" t="s">
        <v>882</v>
      </c>
      <c r="E380" s="66">
        <v>46172561.906099997</v>
      </c>
      <c r="F380" s="66">
        <v>0</v>
      </c>
      <c r="G380" s="66">
        <v>142444199.11379999</v>
      </c>
      <c r="H380" s="66">
        <v>8285527.0389</v>
      </c>
      <c r="I380" s="66">
        <v>5658502.8306</v>
      </c>
      <c r="J380" s="66">
        <v>5658502.8306</v>
      </c>
      <c r="K380" s="66">
        <f t="shared" si="99"/>
        <v>0</v>
      </c>
      <c r="L380" s="81">
        <v>260750789.67730001</v>
      </c>
      <c r="M380" s="71">
        <f t="shared" si="89"/>
        <v>457653077.73610002</v>
      </c>
      <c r="N380" s="70"/>
      <c r="O380" s="176"/>
      <c r="P380" s="72">
        <v>9</v>
      </c>
      <c r="Q380" s="176"/>
      <c r="R380" s="66" t="s">
        <v>883</v>
      </c>
      <c r="S380" s="66">
        <v>43722202.232199997</v>
      </c>
      <c r="T380" s="66">
        <v>0</v>
      </c>
      <c r="U380" s="66">
        <v>134884741.57260001</v>
      </c>
      <c r="V380" s="66">
        <v>6313422.7440999998</v>
      </c>
      <c r="W380" s="66">
        <v>5358208.3141999999</v>
      </c>
      <c r="X380" s="66">
        <v>0</v>
      </c>
      <c r="Y380" s="66">
        <f t="shared" si="95"/>
        <v>5358208.3141999999</v>
      </c>
      <c r="Z380" s="66">
        <v>220907424.4316</v>
      </c>
      <c r="AA380" s="71">
        <f t="shared" si="90"/>
        <v>411185999.29470003</v>
      </c>
    </row>
    <row r="381" spans="1:27" ht="24.95" customHeight="1">
      <c r="A381" s="181"/>
      <c r="B381" s="176"/>
      <c r="C381" s="62">
        <v>18</v>
      </c>
      <c r="D381" s="66" t="s">
        <v>884</v>
      </c>
      <c r="E381" s="66">
        <v>31056317.0361</v>
      </c>
      <c r="F381" s="66">
        <v>0</v>
      </c>
      <c r="G381" s="66">
        <v>95809979.455500007</v>
      </c>
      <c r="H381" s="66">
        <v>6202592.0077999998</v>
      </c>
      <c r="I381" s="66">
        <v>3805988.8947999999</v>
      </c>
      <c r="J381" s="66">
        <v>3805988.8947999999</v>
      </c>
      <c r="K381" s="66">
        <f t="shared" si="99"/>
        <v>0</v>
      </c>
      <c r="L381" s="81">
        <v>186698094.10089999</v>
      </c>
      <c r="M381" s="71">
        <f t="shared" si="89"/>
        <v>319766982.60030001</v>
      </c>
      <c r="N381" s="70"/>
      <c r="O381" s="176"/>
      <c r="P381" s="72">
        <v>10</v>
      </c>
      <c r="Q381" s="176"/>
      <c r="R381" s="66" t="s">
        <v>885</v>
      </c>
      <c r="S381" s="66">
        <v>30835283.8671</v>
      </c>
      <c r="T381" s="66">
        <v>0</v>
      </c>
      <c r="U381" s="66">
        <v>95128083.293899998</v>
      </c>
      <c r="V381" s="66">
        <v>4938058.3841000004</v>
      </c>
      <c r="W381" s="66">
        <v>3778901.0148</v>
      </c>
      <c r="X381" s="66">
        <v>0</v>
      </c>
      <c r="Y381" s="66">
        <f t="shared" si="95"/>
        <v>3778901.0148</v>
      </c>
      <c r="Z381" s="66">
        <v>172010345.67840001</v>
      </c>
      <c r="AA381" s="71">
        <f t="shared" si="90"/>
        <v>306690672.23830003</v>
      </c>
    </row>
    <row r="382" spans="1:27" ht="24.95" customHeight="1">
      <c r="A382" s="181"/>
      <c r="B382" s="176"/>
      <c r="C382" s="62">
        <v>19</v>
      </c>
      <c r="D382" s="66" t="s">
        <v>886</v>
      </c>
      <c r="E382" s="66">
        <v>40978770.717799999</v>
      </c>
      <c r="F382" s="66">
        <v>0</v>
      </c>
      <c r="G382" s="66">
        <v>126421145.68870001</v>
      </c>
      <c r="H382" s="66">
        <v>7786596.8351999996</v>
      </c>
      <c r="I382" s="66">
        <v>5021997.4922000002</v>
      </c>
      <c r="J382" s="66">
        <v>5021997.4922000002</v>
      </c>
      <c r="K382" s="66">
        <f t="shared" si="99"/>
        <v>0</v>
      </c>
      <c r="L382" s="81">
        <v>243012777.71919999</v>
      </c>
      <c r="M382" s="71">
        <f t="shared" si="89"/>
        <v>418199290.96090001</v>
      </c>
      <c r="N382" s="70"/>
      <c r="O382" s="176"/>
      <c r="P382" s="72">
        <v>11</v>
      </c>
      <c r="Q382" s="176"/>
      <c r="R382" s="66" t="s">
        <v>887</v>
      </c>
      <c r="S382" s="66">
        <v>29535299.346000001</v>
      </c>
      <c r="T382" s="66">
        <v>0</v>
      </c>
      <c r="U382" s="66">
        <v>91117579.082599998</v>
      </c>
      <c r="V382" s="66">
        <v>4426781.6573999999</v>
      </c>
      <c r="W382" s="66">
        <v>3619586.3528999998</v>
      </c>
      <c r="X382" s="66">
        <v>0</v>
      </c>
      <c r="Y382" s="66">
        <f t="shared" si="95"/>
        <v>3619586.3528999998</v>
      </c>
      <c r="Z382" s="66">
        <v>153833389.0126</v>
      </c>
      <c r="AA382" s="71">
        <f t="shared" si="90"/>
        <v>282532635.4515</v>
      </c>
    </row>
    <row r="383" spans="1:27" ht="24.95" customHeight="1">
      <c r="A383" s="181"/>
      <c r="B383" s="176"/>
      <c r="C383" s="62">
        <v>20</v>
      </c>
      <c r="D383" s="66" t="s">
        <v>888</v>
      </c>
      <c r="E383" s="66">
        <v>34357710.487199999</v>
      </c>
      <c r="F383" s="66">
        <v>0</v>
      </c>
      <c r="G383" s="66">
        <v>105994910.21699999</v>
      </c>
      <c r="H383" s="66">
        <v>6237220.8505999995</v>
      </c>
      <c r="I383" s="66">
        <v>4210578.6211000001</v>
      </c>
      <c r="J383" s="66">
        <v>4210578.6211000001</v>
      </c>
      <c r="K383" s="66">
        <f t="shared" si="99"/>
        <v>0</v>
      </c>
      <c r="L383" s="81">
        <v>187929221.86700001</v>
      </c>
      <c r="M383" s="71">
        <f t="shared" si="89"/>
        <v>334519063.42180002</v>
      </c>
      <c r="N383" s="70"/>
      <c r="O383" s="176"/>
      <c r="P383" s="72">
        <v>12</v>
      </c>
      <c r="Q383" s="176"/>
      <c r="R383" s="66" t="s">
        <v>889</v>
      </c>
      <c r="S383" s="66">
        <v>31666357.6325</v>
      </c>
      <c r="T383" s="66">
        <v>0</v>
      </c>
      <c r="U383" s="66">
        <v>97691979.080400005</v>
      </c>
      <c r="V383" s="66">
        <v>4722118.1475999998</v>
      </c>
      <c r="W383" s="66">
        <v>3880750.1014</v>
      </c>
      <c r="X383" s="66">
        <v>0</v>
      </c>
      <c r="Y383" s="66">
        <f t="shared" si="95"/>
        <v>3880750.1014</v>
      </c>
      <c r="Z383" s="66">
        <v>164333218.75979999</v>
      </c>
      <c r="AA383" s="71">
        <f t="shared" si="90"/>
        <v>302294423.72170001</v>
      </c>
    </row>
    <row r="384" spans="1:27" ht="24.95" customHeight="1">
      <c r="A384" s="181"/>
      <c r="B384" s="176"/>
      <c r="C384" s="62">
        <v>21</v>
      </c>
      <c r="D384" s="66" t="s">
        <v>890</v>
      </c>
      <c r="E384" s="66">
        <v>43793547.278300002</v>
      </c>
      <c r="F384" s="66">
        <v>0</v>
      </c>
      <c r="G384" s="66">
        <v>135104843.8917</v>
      </c>
      <c r="H384" s="66">
        <v>7858682.0548</v>
      </c>
      <c r="I384" s="66">
        <v>5366951.7350000003</v>
      </c>
      <c r="J384" s="66">
        <v>5366951.7350000003</v>
      </c>
      <c r="K384" s="66">
        <f t="shared" si="99"/>
        <v>0</v>
      </c>
      <c r="L384" s="81">
        <v>245575557.9973</v>
      </c>
      <c r="M384" s="71">
        <f t="shared" si="89"/>
        <v>432332631.22210002</v>
      </c>
      <c r="N384" s="70"/>
      <c r="O384" s="176"/>
      <c r="P384" s="72">
        <v>13</v>
      </c>
      <c r="Q384" s="176"/>
      <c r="R384" s="66" t="s">
        <v>891</v>
      </c>
      <c r="S384" s="66">
        <v>34440909.205200002</v>
      </c>
      <c r="T384" s="66">
        <v>0</v>
      </c>
      <c r="U384" s="66">
        <v>106251581.588</v>
      </c>
      <c r="V384" s="66">
        <v>5429666.2885999996</v>
      </c>
      <c r="W384" s="66">
        <v>4220774.7237999998</v>
      </c>
      <c r="X384" s="66">
        <v>0</v>
      </c>
      <c r="Y384" s="66">
        <f t="shared" si="95"/>
        <v>4220774.7237999998</v>
      </c>
      <c r="Z384" s="66">
        <v>189488034.5891</v>
      </c>
      <c r="AA384" s="71">
        <f t="shared" si="90"/>
        <v>339830966.39469999</v>
      </c>
    </row>
    <row r="385" spans="1:27" ht="24.95" customHeight="1">
      <c r="A385" s="181"/>
      <c r="B385" s="176"/>
      <c r="C385" s="62">
        <v>22</v>
      </c>
      <c r="D385" s="66" t="s">
        <v>892</v>
      </c>
      <c r="E385" s="66">
        <v>48996150.377700001</v>
      </c>
      <c r="F385" s="66">
        <v>0</v>
      </c>
      <c r="G385" s="66">
        <v>151155082.4145</v>
      </c>
      <c r="H385" s="66">
        <v>8118905.3038999997</v>
      </c>
      <c r="I385" s="66">
        <v>6004536.9836999997</v>
      </c>
      <c r="J385" s="66">
        <v>6004536.9836999997</v>
      </c>
      <c r="K385" s="66">
        <f t="shared" si="99"/>
        <v>0</v>
      </c>
      <c r="L385" s="81">
        <v>254827038.60769999</v>
      </c>
      <c r="M385" s="71">
        <f t="shared" si="89"/>
        <v>463097176.70380002</v>
      </c>
      <c r="N385" s="70"/>
      <c r="O385" s="176"/>
      <c r="P385" s="72">
        <v>14</v>
      </c>
      <c r="Q385" s="176"/>
      <c r="R385" s="66" t="s">
        <v>893</v>
      </c>
      <c r="S385" s="66">
        <v>37898302.629199997</v>
      </c>
      <c r="T385" s="66">
        <v>0</v>
      </c>
      <c r="U385" s="66">
        <v>116917778.5017</v>
      </c>
      <c r="V385" s="66">
        <v>6051994.1317999996</v>
      </c>
      <c r="W385" s="66">
        <v>4644482.4340000004</v>
      </c>
      <c r="X385" s="66">
        <v>0</v>
      </c>
      <c r="Y385" s="66">
        <f t="shared" si="95"/>
        <v>4644482.4340000004</v>
      </c>
      <c r="Z385" s="66">
        <v>211613090.64269999</v>
      </c>
      <c r="AA385" s="71">
        <f t="shared" si="90"/>
        <v>377125648.33939999</v>
      </c>
    </row>
    <row r="386" spans="1:27" ht="24.95" customHeight="1">
      <c r="A386" s="181"/>
      <c r="B386" s="177"/>
      <c r="C386" s="62">
        <v>23</v>
      </c>
      <c r="D386" s="66" t="s">
        <v>894</v>
      </c>
      <c r="E386" s="66">
        <v>50029302.681199998</v>
      </c>
      <c r="F386" s="66">
        <v>0</v>
      </c>
      <c r="G386" s="66">
        <v>154342398.5684</v>
      </c>
      <c r="H386" s="66">
        <v>9153354.6773000006</v>
      </c>
      <c r="I386" s="66">
        <v>6131151.0373999998</v>
      </c>
      <c r="J386" s="66">
        <v>6131151.0373999998</v>
      </c>
      <c r="K386" s="66">
        <f t="shared" si="99"/>
        <v>0</v>
      </c>
      <c r="L386" s="81">
        <v>291603876.76730001</v>
      </c>
      <c r="M386" s="71">
        <f t="shared" si="89"/>
        <v>505128932.69419998</v>
      </c>
      <c r="N386" s="70"/>
      <c r="O386" s="176"/>
      <c r="P386" s="72">
        <v>15</v>
      </c>
      <c r="Q386" s="176"/>
      <c r="R386" s="66" t="s">
        <v>895</v>
      </c>
      <c r="S386" s="66">
        <v>35150296.645099998</v>
      </c>
      <c r="T386" s="66">
        <v>0</v>
      </c>
      <c r="U386" s="66">
        <v>108440070.1961</v>
      </c>
      <c r="V386" s="66">
        <v>4602494.3085000003</v>
      </c>
      <c r="W386" s="66">
        <v>4307711.0053000003</v>
      </c>
      <c r="X386" s="66">
        <v>0</v>
      </c>
      <c r="Y386" s="66">
        <f t="shared" si="95"/>
        <v>4307711.0053000003</v>
      </c>
      <c r="Z386" s="66">
        <v>160080341.15799999</v>
      </c>
      <c r="AA386" s="71">
        <f t="shared" si="90"/>
        <v>312580913.31300002</v>
      </c>
    </row>
    <row r="387" spans="1:27" ht="24.95" customHeight="1">
      <c r="A387" s="62"/>
      <c r="B387" s="188" t="s">
        <v>896</v>
      </c>
      <c r="C387" s="189"/>
      <c r="D387" s="67"/>
      <c r="E387" s="67">
        <f>SUM(E364:E386)</f>
        <v>976103273.88250005</v>
      </c>
      <c r="F387" s="67">
        <f t="shared" ref="F387:M387" si="102">SUM(F364:F386)</f>
        <v>0</v>
      </c>
      <c r="G387" s="67">
        <f t="shared" si="102"/>
        <v>3011317617.2298002</v>
      </c>
      <c r="H387" s="67">
        <f t="shared" si="102"/>
        <v>173104666.1512</v>
      </c>
      <c r="I387" s="67">
        <f t="shared" si="102"/>
        <v>119622626.7333</v>
      </c>
      <c r="J387" s="67">
        <f t="shared" si="102"/>
        <v>119622626.7333</v>
      </c>
      <c r="K387" s="67">
        <f t="shared" si="102"/>
        <v>0</v>
      </c>
      <c r="L387" s="67">
        <f t="shared" si="102"/>
        <v>5376441348.5167999</v>
      </c>
      <c r="M387" s="67">
        <f t="shared" si="102"/>
        <v>9536966905.7803001</v>
      </c>
      <c r="N387" s="89"/>
      <c r="O387" s="176"/>
      <c r="P387" s="72">
        <v>16</v>
      </c>
      <c r="Q387" s="176"/>
      <c r="R387" s="66" t="s">
        <v>897</v>
      </c>
      <c r="S387" s="66">
        <v>36632633.625399999</v>
      </c>
      <c r="T387" s="66">
        <v>0</v>
      </c>
      <c r="U387" s="66">
        <v>113013139.0328</v>
      </c>
      <c r="V387" s="66">
        <v>5150168.4949000003</v>
      </c>
      <c r="W387" s="66">
        <v>4489373.1798</v>
      </c>
      <c r="X387" s="66">
        <v>0</v>
      </c>
      <c r="Y387" s="66">
        <f t="shared" si="95"/>
        <v>4489373.1798</v>
      </c>
      <c r="Z387" s="66">
        <v>179551303.61840001</v>
      </c>
      <c r="AA387" s="71">
        <f t="shared" si="90"/>
        <v>338836617.95130002</v>
      </c>
    </row>
    <row r="388" spans="1:27" ht="24.95" customHeight="1">
      <c r="A388" s="181">
        <v>19</v>
      </c>
      <c r="B388" s="181" t="s">
        <v>106</v>
      </c>
      <c r="C388" s="62">
        <v>1</v>
      </c>
      <c r="D388" s="66" t="s">
        <v>898</v>
      </c>
      <c r="E388" s="66">
        <v>32104810.151700001</v>
      </c>
      <c r="F388" s="66">
        <v>0</v>
      </c>
      <c r="G388" s="66">
        <v>99044622.628299996</v>
      </c>
      <c r="H388" s="66">
        <v>6138723.6771</v>
      </c>
      <c r="I388" s="66">
        <v>3934482.9833999998</v>
      </c>
      <c r="J388" s="66">
        <v>0</v>
      </c>
      <c r="K388" s="66">
        <f t="shared" ref="K388:K412" si="103">I388-J388</f>
        <v>3934482.9833999998</v>
      </c>
      <c r="L388" s="81">
        <v>199342540.64899999</v>
      </c>
      <c r="M388" s="71">
        <f t="shared" si="89"/>
        <v>340565180.08950001</v>
      </c>
      <c r="N388" s="70"/>
      <c r="O388" s="177"/>
      <c r="P388" s="72">
        <v>17</v>
      </c>
      <c r="Q388" s="177"/>
      <c r="R388" s="66" t="s">
        <v>899</v>
      </c>
      <c r="S388" s="66">
        <v>36545581.672399998</v>
      </c>
      <c r="T388" s="66">
        <v>0</v>
      </c>
      <c r="U388" s="66">
        <v>112744580.2783</v>
      </c>
      <c r="V388" s="66">
        <v>4984177.6041000001</v>
      </c>
      <c r="W388" s="66">
        <v>4478704.8585000001</v>
      </c>
      <c r="X388" s="66">
        <v>0</v>
      </c>
      <c r="Y388" s="66">
        <f t="shared" si="95"/>
        <v>4478704.8585000001</v>
      </c>
      <c r="Z388" s="66">
        <v>173649980.38049999</v>
      </c>
      <c r="AA388" s="71">
        <f t="shared" si="90"/>
        <v>332403024.7938</v>
      </c>
    </row>
    <row r="389" spans="1:27" ht="24.95" customHeight="1">
      <c r="A389" s="181"/>
      <c r="B389" s="181"/>
      <c r="C389" s="62">
        <v>2</v>
      </c>
      <c r="D389" s="66" t="s">
        <v>900</v>
      </c>
      <c r="E389" s="66">
        <v>32883762.896200001</v>
      </c>
      <c r="F389" s="66">
        <v>0</v>
      </c>
      <c r="G389" s="66">
        <v>101447722.9815</v>
      </c>
      <c r="H389" s="66">
        <v>6319145.1299000001</v>
      </c>
      <c r="I389" s="66">
        <v>4029944.5762999998</v>
      </c>
      <c r="J389" s="66">
        <v>0</v>
      </c>
      <c r="K389" s="66">
        <f t="shared" si="103"/>
        <v>4029944.5762999998</v>
      </c>
      <c r="L389" s="81">
        <v>205756900.53889999</v>
      </c>
      <c r="M389" s="71">
        <f t="shared" si="89"/>
        <v>350437476.12279999</v>
      </c>
      <c r="N389" s="70"/>
      <c r="O389" s="62"/>
      <c r="P389" s="189"/>
      <c r="Q389" s="190"/>
      <c r="R389" s="67"/>
      <c r="S389" s="67">
        <f t="shared" ref="S389:W389" si="104">SUM(S372:S388)</f>
        <v>619106412.92069995</v>
      </c>
      <c r="T389" s="67">
        <f t="shared" si="104"/>
        <v>0</v>
      </c>
      <c r="U389" s="67">
        <f t="shared" si="104"/>
        <v>1909968031.102</v>
      </c>
      <c r="V389" s="67">
        <f t="shared" si="104"/>
        <v>89610250.252499998</v>
      </c>
      <c r="W389" s="67">
        <f t="shared" si="104"/>
        <v>75872233.321099997</v>
      </c>
      <c r="X389" s="67">
        <f t="shared" ref="X389" si="105">SUM(X372:X388)</f>
        <v>0</v>
      </c>
      <c r="Y389" s="67">
        <f t="shared" si="95"/>
        <v>75872233.321099997</v>
      </c>
      <c r="Z389" s="67">
        <f>SUM(Z372:Z388)</f>
        <v>3125516529.9014001</v>
      </c>
      <c r="AA389" s="67">
        <f>SUM(AA372:AA388)</f>
        <v>5820073457.4976997</v>
      </c>
    </row>
    <row r="390" spans="1:27" ht="24.95" customHeight="1">
      <c r="A390" s="181"/>
      <c r="B390" s="181"/>
      <c r="C390" s="62">
        <v>3</v>
      </c>
      <c r="D390" s="66" t="s">
        <v>901</v>
      </c>
      <c r="E390" s="66">
        <v>29983513.149900001</v>
      </c>
      <c r="F390" s="66">
        <v>0</v>
      </c>
      <c r="G390" s="66">
        <v>92500336.583900005</v>
      </c>
      <c r="H390" s="66">
        <v>6011540.9721999997</v>
      </c>
      <c r="I390" s="66">
        <v>3674515.4920000001</v>
      </c>
      <c r="J390" s="66">
        <v>0</v>
      </c>
      <c r="K390" s="66">
        <f t="shared" si="103"/>
        <v>3674515.4920000001</v>
      </c>
      <c r="L390" s="81">
        <v>194820929.56290001</v>
      </c>
      <c r="M390" s="71">
        <f t="shared" si="89"/>
        <v>326990835.76090002</v>
      </c>
      <c r="N390" s="70"/>
      <c r="O390" s="175">
        <v>36</v>
      </c>
      <c r="P390" s="72">
        <v>1</v>
      </c>
      <c r="Q390" s="175" t="s">
        <v>123</v>
      </c>
      <c r="R390" s="66" t="s">
        <v>902</v>
      </c>
      <c r="S390" s="66">
        <v>34399275.087899998</v>
      </c>
      <c r="T390" s="66">
        <v>0</v>
      </c>
      <c r="U390" s="66">
        <v>106123138.6717</v>
      </c>
      <c r="V390" s="66">
        <v>5373223.5506999996</v>
      </c>
      <c r="W390" s="66">
        <v>4215672.4128</v>
      </c>
      <c r="X390" s="66">
        <v>0</v>
      </c>
      <c r="Y390" s="66">
        <f t="shared" si="95"/>
        <v>4215672.4128</v>
      </c>
      <c r="Z390" s="66">
        <v>180296433.2588</v>
      </c>
      <c r="AA390" s="71">
        <f t="shared" si="90"/>
        <v>330407742.98189998</v>
      </c>
    </row>
    <row r="391" spans="1:27" ht="24.95" customHeight="1">
      <c r="A391" s="181"/>
      <c r="B391" s="181"/>
      <c r="C391" s="62">
        <v>4</v>
      </c>
      <c r="D391" s="66" t="s">
        <v>903</v>
      </c>
      <c r="E391" s="66">
        <v>32527966.5693</v>
      </c>
      <c r="F391" s="66">
        <v>0</v>
      </c>
      <c r="G391" s="66">
        <v>100350077.0909</v>
      </c>
      <c r="H391" s="66">
        <v>6304568.1218999997</v>
      </c>
      <c r="I391" s="66">
        <v>3986341.3097999999</v>
      </c>
      <c r="J391" s="66">
        <v>0</v>
      </c>
      <c r="K391" s="66">
        <f t="shared" si="103"/>
        <v>3986341.3097999999</v>
      </c>
      <c r="L391" s="81">
        <v>205238657.42590001</v>
      </c>
      <c r="M391" s="71">
        <f t="shared" si="89"/>
        <v>348407610.51779997</v>
      </c>
      <c r="N391" s="70"/>
      <c r="O391" s="176"/>
      <c r="P391" s="72">
        <v>2</v>
      </c>
      <c r="Q391" s="176"/>
      <c r="R391" s="66" t="s">
        <v>904</v>
      </c>
      <c r="S391" s="66">
        <v>33307095.817899998</v>
      </c>
      <c r="T391" s="66">
        <v>0</v>
      </c>
      <c r="U391" s="66">
        <v>102753721.9665</v>
      </c>
      <c r="V391" s="66">
        <v>5875927.5548</v>
      </c>
      <c r="W391" s="66">
        <v>4081824.5334999999</v>
      </c>
      <c r="X391" s="66">
        <v>0</v>
      </c>
      <c r="Y391" s="66">
        <f t="shared" si="95"/>
        <v>4081824.5334999999</v>
      </c>
      <c r="Z391" s="66">
        <v>198168611.71059999</v>
      </c>
      <c r="AA391" s="71">
        <f t="shared" si="90"/>
        <v>344187181.58329999</v>
      </c>
    </row>
    <row r="392" spans="1:27" ht="24.95" customHeight="1">
      <c r="A392" s="181"/>
      <c r="B392" s="181"/>
      <c r="C392" s="62">
        <v>5</v>
      </c>
      <c r="D392" s="66" t="s">
        <v>905</v>
      </c>
      <c r="E392" s="66">
        <v>39424966.274999999</v>
      </c>
      <c r="F392" s="66">
        <v>0</v>
      </c>
      <c r="G392" s="66">
        <v>121627596.8734</v>
      </c>
      <c r="H392" s="66">
        <v>7298598.4035999998</v>
      </c>
      <c r="I392" s="66">
        <v>4831576.8943999996</v>
      </c>
      <c r="J392" s="66">
        <v>0</v>
      </c>
      <c r="K392" s="66">
        <f t="shared" si="103"/>
        <v>4831576.8943999996</v>
      </c>
      <c r="L392" s="81">
        <v>240578512.3635</v>
      </c>
      <c r="M392" s="71">
        <f t="shared" ref="M392:M413" si="106">E392+F392+G392+H392+K392+L392</f>
        <v>413761250.80989999</v>
      </c>
      <c r="N392" s="70"/>
      <c r="O392" s="176"/>
      <c r="P392" s="72">
        <v>3</v>
      </c>
      <c r="Q392" s="176"/>
      <c r="R392" s="66" t="s">
        <v>906</v>
      </c>
      <c r="S392" s="66">
        <v>39307828.6818</v>
      </c>
      <c r="T392" s="66">
        <v>0</v>
      </c>
      <c r="U392" s="66">
        <v>121266222.7163</v>
      </c>
      <c r="V392" s="66">
        <v>6154490.3471999997</v>
      </c>
      <c r="W392" s="66">
        <v>4817221.5420000004</v>
      </c>
      <c r="X392" s="66">
        <v>0</v>
      </c>
      <c r="Y392" s="66">
        <f t="shared" si="95"/>
        <v>4817221.5420000004</v>
      </c>
      <c r="Z392" s="66">
        <v>208072101.43059999</v>
      </c>
      <c r="AA392" s="71">
        <f t="shared" ref="AA392:AA412" si="107">S392+T392+U392+V392+Y392+Z392</f>
        <v>379617864.71789998</v>
      </c>
    </row>
    <row r="393" spans="1:27" ht="24.95" customHeight="1">
      <c r="A393" s="181"/>
      <c r="B393" s="181"/>
      <c r="C393" s="62">
        <v>6</v>
      </c>
      <c r="D393" s="66" t="s">
        <v>907</v>
      </c>
      <c r="E393" s="66">
        <v>31410064.57</v>
      </c>
      <c r="F393" s="66">
        <v>0</v>
      </c>
      <c r="G393" s="66">
        <v>96901304.737800002</v>
      </c>
      <c r="H393" s="66">
        <v>6102157.2412999999</v>
      </c>
      <c r="I393" s="66">
        <v>3849341.0792</v>
      </c>
      <c r="J393" s="66">
        <v>0</v>
      </c>
      <c r="K393" s="66">
        <f t="shared" si="103"/>
        <v>3849341.0792</v>
      </c>
      <c r="L393" s="81">
        <v>198042527.3996</v>
      </c>
      <c r="M393" s="71">
        <f t="shared" si="106"/>
        <v>336305395.02789998</v>
      </c>
      <c r="N393" s="70"/>
      <c r="O393" s="176"/>
      <c r="P393" s="72">
        <v>4</v>
      </c>
      <c r="Q393" s="176"/>
      <c r="R393" s="66" t="s">
        <v>908</v>
      </c>
      <c r="S393" s="66">
        <v>43384375.395900004</v>
      </c>
      <c r="T393" s="66">
        <v>0</v>
      </c>
      <c r="U393" s="66">
        <v>133842532.2791</v>
      </c>
      <c r="V393" s="66">
        <v>6675883.1118999999</v>
      </c>
      <c r="W393" s="66">
        <v>5316807.2302999999</v>
      </c>
      <c r="X393" s="66">
        <v>0</v>
      </c>
      <c r="Y393" s="66">
        <f t="shared" si="95"/>
        <v>5316807.2302999999</v>
      </c>
      <c r="Z393" s="66">
        <v>226608704.39899999</v>
      </c>
      <c r="AA393" s="71">
        <f t="shared" si="107"/>
        <v>415828302.41619998</v>
      </c>
    </row>
    <row r="394" spans="1:27" ht="24.95" customHeight="1">
      <c r="A394" s="181"/>
      <c r="B394" s="181"/>
      <c r="C394" s="62">
        <v>7</v>
      </c>
      <c r="D394" s="66" t="s">
        <v>909</v>
      </c>
      <c r="E394" s="66">
        <v>50699260.673199996</v>
      </c>
      <c r="F394" s="66">
        <v>0</v>
      </c>
      <c r="G394" s="66">
        <v>156409245.7538</v>
      </c>
      <c r="H394" s="66">
        <v>8894611.8016999997</v>
      </c>
      <c r="I394" s="66">
        <v>6213255.1928000003</v>
      </c>
      <c r="J394" s="66">
        <v>0</v>
      </c>
      <c r="K394" s="66">
        <f t="shared" si="103"/>
        <v>6213255.1928000003</v>
      </c>
      <c r="L394" s="81">
        <v>297320125.77960002</v>
      </c>
      <c r="M394" s="71">
        <f t="shared" si="106"/>
        <v>519536499.20109999</v>
      </c>
      <c r="N394" s="70"/>
      <c r="O394" s="176"/>
      <c r="P394" s="72">
        <v>5</v>
      </c>
      <c r="Q394" s="176"/>
      <c r="R394" s="66" t="s">
        <v>910</v>
      </c>
      <c r="S394" s="66">
        <v>37761475.234099999</v>
      </c>
      <c r="T394" s="66">
        <v>0</v>
      </c>
      <c r="U394" s="66">
        <v>116495660.5183</v>
      </c>
      <c r="V394" s="66">
        <v>6074575.9000000004</v>
      </c>
      <c r="W394" s="66">
        <v>4627714.0724999998</v>
      </c>
      <c r="X394" s="66">
        <v>0</v>
      </c>
      <c r="Y394" s="66">
        <f t="shared" si="95"/>
        <v>4627714.0724999998</v>
      </c>
      <c r="Z394" s="66">
        <v>205230975.7401</v>
      </c>
      <c r="AA394" s="71">
        <f t="shared" si="107"/>
        <v>370190401.46499997</v>
      </c>
    </row>
    <row r="395" spans="1:27" ht="24.95" customHeight="1">
      <c r="A395" s="181"/>
      <c r="B395" s="181"/>
      <c r="C395" s="62">
        <v>8</v>
      </c>
      <c r="D395" s="66" t="s">
        <v>911</v>
      </c>
      <c r="E395" s="66">
        <v>34542206.668700002</v>
      </c>
      <c r="F395" s="66">
        <v>0</v>
      </c>
      <c r="G395" s="66">
        <v>106564088.3118</v>
      </c>
      <c r="H395" s="66">
        <v>6519832.4539000001</v>
      </c>
      <c r="I395" s="66">
        <v>4233188.8494999995</v>
      </c>
      <c r="J395" s="66">
        <v>0</v>
      </c>
      <c r="K395" s="66">
        <f t="shared" si="103"/>
        <v>4233188.8494999995</v>
      </c>
      <c r="L395" s="81">
        <v>212891754.52469999</v>
      </c>
      <c r="M395" s="71">
        <f t="shared" si="106"/>
        <v>364751070.80860001</v>
      </c>
      <c r="N395" s="70"/>
      <c r="O395" s="176"/>
      <c r="P395" s="72">
        <v>6</v>
      </c>
      <c r="Q395" s="176"/>
      <c r="R395" s="66" t="s">
        <v>912</v>
      </c>
      <c r="S395" s="66">
        <v>52433984.075000003</v>
      </c>
      <c r="T395" s="66">
        <v>0</v>
      </c>
      <c r="U395" s="66">
        <v>161760936.78929999</v>
      </c>
      <c r="V395" s="66">
        <v>8086777.5207000002</v>
      </c>
      <c r="W395" s="66">
        <v>6425847.6259000003</v>
      </c>
      <c r="X395" s="66">
        <v>0</v>
      </c>
      <c r="Y395" s="66">
        <f t="shared" si="95"/>
        <v>6425847.6259000003</v>
      </c>
      <c r="Z395" s="66">
        <v>276768950.67790002</v>
      </c>
      <c r="AA395" s="71">
        <f t="shared" si="107"/>
        <v>505476496.68879998</v>
      </c>
    </row>
    <row r="396" spans="1:27" ht="24.95" customHeight="1">
      <c r="A396" s="181"/>
      <c r="B396" s="181"/>
      <c r="C396" s="62">
        <v>9</v>
      </c>
      <c r="D396" s="66" t="s">
        <v>913</v>
      </c>
      <c r="E396" s="66">
        <v>37131531.334700003</v>
      </c>
      <c r="F396" s="66">
        <v>0</v>
      </c>
      <c r="G396" s="66">
        <v>114552258.40800001</v>
      </c>
      <c r="H396" s="66">
        <v>6716081.3380000005</v>
      </c>
      <c r="I396" s="66">
        <v>4550513.6922000004</v>
      </c>
      <c r="J396" s="66">
        <v>0</v>
      </c>
      <c r="K396" s="66">
        <f t="shared" si="103"/>
        <v>4550513.6922000004</v>
      </c>
      <c r="L396" s="81">
        <v>219868812.69409999</v>
      </c>
      <c r="M396" s="71">
        <f t="shared" si="106"/>
        <v>382819197.46700001</v>
      </c>
      <c r="N396" s="70"/>
      <c r="O396" s="176"/>
      <c r="P396" s="72">
        <v>7</v>
      </c>
      <c r="Q396" s="176"/>
      <c r="R396" s="66" t="s">
        <v>914</v>
      </c>
      <c r="S396" s="66">
        <v>39821336.1021</v>
      </c>
      <c r="T396" s="66">
        <v>0</v>
      </c>
      <c r="U396" s="66">
        <v>122850413.634</v>
      </c>
      <c r="V396" s="66">
        <v>6940049.1376</v>
      </c>
      <c r="W396" s="66">
        <v>4880152.4921000004</v>
      </c>
      <c r="X396" s="66">
        <v>0</v>
      </c>
      <c r="Y396" s="66">
        <f t="shared" si="95"/>
        <v>4880152.4921000004</v>
      </c>
      <c r="Z396" s="66">
        <v>236000358.958</v>
      </c>
      <c r="AA396" s="71">
        <f t="shared" si="107"/>
        <v>410492310.32380003</v>
      </c>
    </row>
    <row r="397" spans="1:27" ht="24.95" customHeight="1">
      <c r="A397" s="181"/>
      <c r="B397" s="181"/>
      <c r="C397" s="62">
        <v>10</v>
      </c>
      <c r="D397" s="66" t="s">
        <v>915</v>
      </c>
      <c r="E397" s="66">
        <v>37391590.060099997</v>
      </c>
      <c r="F397" s="66">
        <v>0</v>
      </c>
      <c r="G397" s="66">
        <v>115354549.97130001</v>
      </c>
      <c r="H397" s="66">
        <v>6969387.8306999998</v>
      </c>
      <c r="I397" s="66">
        <v>4582384.2008999996</v>
      </c>
      <c r="J397" s="66">
        <v>0</v>
      </c>
      <c r="K397" s="66">
        <f t="shared" si="103"/>
        <v>4582384.2008999996</v>
      </c>
      <c r="L397" s="81">
        <v>228874388.1489</v>
      </c>
      <c r="M397" s="71">
        <f t="shared" si="106"/>
        <v>393172300.2119</v>
      </c>
      <c r="N397" s="70"/>
      <c r="O397" s="176"/>
      <c r="P397" s="72">
        <v>8</v>
      </c>
      <c r="Q397" s="176"/>
      <c r="R397" s="66" t="s">
        <v>829</v>
      </c>
      <c r="S397" s="66">
        <v>36128794.403200001</v>
      </c>
      <c r="T397" s="66">
        <v>0</v>
      </c>
      <c r="U397" s="66">
        <v>111458774.8925</v>
      </c>
      <c r="V397" s="66">
        <v>5782585.1372999996</v>
      </c>
      <c r="W397" s="66">
        <v>4427627.0789000001</v>
      </c>
      <c r="X397" s="66">
        <v>0</v>
      </c>
      <c r="Y397" s="66">
        <f t="shared" si="95"/>
        <v>4427627.0789000001</v>
      </c>
      <c r="Z397" s="66">
        <v>194850093.60069999</v>
      </c>
      <c r="AA397" s="71">
        <f t="shared" si="107"/>
        <v>352647875.11260003</v>
      </c>
    </row>
    <row r="398" spans="1:27" ht="24.95" customHeight="1">
      <c r="A398" s="181"/>
      <c r="B398" s="181"/>
      <c r="C398" s="62">
        <v>11</v>
      </c>
      <c r="D398" s="66" t="s">
        <v>916</v>
      </c>
      <c r="E398" s="66">
        <v>34656836.257299997</v>
      </c>
      <c r="F398" s="66">
        <v>0</v>
      </c>
      <c r="G398" s="66">
        <v>106917725.1745</v>
      </c>
      <c r="H398" s="66">
        <v>5880122.5988999996</v>
      </c>
      <c r="I398" s="66">
        <v>4247236.8428999996</v>
      </c>
      <c r="J398" s="66">
        <v>0</v>
      </c>
      <c r="K398" s="66">
        <f t="shared" si="103"/>
        <v>4247236.8428999996</v>
      </c>
      <c r="L398" s="81">
        <v>190148731.60609999</v>
      </c>
      <c r="M398" s="71">
        <f t="shared" si="106"/>
        <v>341850652.47970003</v>
      </c>
      <c r="N398" s="70"/>
      <c r="O398" s="176"/>
      <c r="P398" s="72">
        <v>9</v>
      </c>
      <c r="Q398" s="176"/>
      <c r="R398" s="66" t="s">
        <v>917</v>
      </c>
      <c r="S398" s="66">
        <v>39056248.435699999</v>
      </c>
      <c r="T398" s="66">
        <v>0</v>
      </c>
      <c r="U398" s="66">
        <v>120490087.6006</v>
      </c>
      <c r="V398" s="66">
        <v>6145692.3230999997</v>
      </c>
      <c r="W398" s="66">
        <v>4786390.0811000001</v>
      </c>
      <c r="X398" s="66">
        <v>0</v>
      </c>
      <c r="Y398" s="66">
        <f t="shared" si="95"/>
        <v>4786390.0811000001</v>
      </c>
      <c r="Z398" s="66">
        <v>207759313.2766</v>
      </c>
      <c r="AA398" s="71">
        <f t="shared" si="107"/>
        <v>378237731.71710002</v>
      </c>
    </row>
    <row r="399" spans="1:27" ht="24.95" customHeight="1">
      <c r="A399" s="181"/>
      <c r="B399" s="181"/>
      <c r="C399" s="62">
        <v>12</v>
      </c>
      <c r="D399" s="66" t="s">
        <v>918</v>
      </c>
      <c r="E399" s="66">
        <v>33952744.882700004</v>
      </c>
      <c r="F399" s="66">
        <v>0</v>
      </c>
      <c r="G399" s="66">
        <v>104745575.1398</v>
      </c>
      <c r="H399" s="66">
        <v>6416869.6617999999</v>
      </c>
      <c r="I399" s="66">
        <v>4160949.6006999998</v>
      </c>
      <c r="J399" s="66">
        <v>0</v>
      </c>
      <c r="K399" s="66">
        <f t="shared" si="103"/>
        <v>4160949.6006999998</v>
      </c>
      <c r="L399" s="81">
        <v>209231211.98019999</v>
      </c>
      <c r="M399" s="71">
        <f t="shared" si="106"/>
        <v>358507351.26520002</v>
      </c>
      <c r="N399" s="70"/>
      <c r="O399" s="176"/>
      <c r="P399" s="72">
        <v>10</v>
      </c>
      <c r="Q399" s="176"/>
      <c r="R399" s="66" t="s">
        <v>919</v>
      </c>
      <c r="S399" s="66">
        <v>51551062.771899998</v>
      </c>
      <c r="T399" s="66">
        <v>0</v>
      </c>
      <c r="U399" s="66">
        <v>159037089.27700001</v>
      </c>
      <c r="V399" s="66">
        <v>7058704.1802000003</v>
      </c>
      <c r="W399" s="66">
        <v>6317644.5614999998</v>
      </c>
      <c r="X399" s="66">
        <v>0</v>
      </c>
      <c r="Y399" s="66">
        <f t="shared" si="95"/>
        <v>6317644.5614999998</v>
      </c>
      <c r="Z399" s="66">
        <v>240218793.81810001</v>
      </c>
      <c r="AA399" s="71">
        <f t="shared" si="107"/>
        <v>464183294.60869998</v>
      </c>
    </row>
    <row r="400" spans="1:27" ht="24.95" customHeight="1">
      <c r="A400" s="181"/>
      <c r="B400" s="181"/>
      <c r="C400" s="62">
        <v>13</v>
      </c>
      <c r="D400" s="66" t="s">
        <v>920</v>
      </c>
      <c r="E400" s="66">
        <v>35475818.050999999</v>
      </c>
      <c r="F400" s="66">
        <v>0</v>
      </c>
      <c r="G400" s="66">
        <v>109444316.745</v>
      </c>
      <c r="H400" s="66">
        <v>6554607.7426000005</v>
      </c>
      <c r="I400" s="66">
        <v>4347604.0438000001</v>
      </c>
      <c r="J400" s="66">
        <v>0</v>
      </c>
      <c r="K400" s="66">
        <f t="shared" si="103"/>
        <v>4347604.0438000001</v>
      </c>
      <c r="L400" s="81">
        <v>214128088.7518</v>
      </c>
      <c r="M400" s="71">
        <f t="shared" si="106"/>
        <v>369950435.33420002</v>
      </c>
      <c r="N400" s="70"/>
      <c r="O400" s="176"/>
      <c r="P400" s="72">
        <v>11</v>
      </c>
      <c r="Q400" s="176"/>
      <c r="R400" s="66" t="s">
        <v>921</v>
      </c>
      <c r="S400" s="66">
        <v>32187450.882199999</v>
      </c>
      <c r="T400" s="66">
        <v>0</v>
      </c>
      <c r="U400" s="66">
        <v>99299572.584999993</v>
      </c>
      <c r="V400" s="66">
        <v>5298524.8335999995</v>
      </c>
      <c r="W400" s="66">
        <v>3944610.7041000002</v>
      </c>
      <c r="X400" s="66">
        <v>0</v>
      </c>
      <c r="Y400" s="66">
        <f t="shared" ref="Y400:Y412" si="108">W400-X400</f>
        <v>3944610.7041000002</v>
      </c>
      <c r="Z400" s="66">
        <v>177640737.67750001</v>
      </c>
      <c r="AA400" s="71">
        <f t="shared" si="107"/>
        <v>318370896.68239999</v>
      </c>
    </row>
    <row r="401" spans="1:27" ht="24.95" customHeight="1">
      <c r="A401" s="181"/>
      <c r="B401" s="181"/>
      <c r="C401" s="62">
        <v>14</v>
      </c>
      <c r="D401" s="66" t="s">
        <v>922</v>
      </c>
      <c r="E401" s="66">
        <v>31644588.8946</v>
      </c>
      <c r="F401" s="66">
        <v>0</v>
      </c>
      <c r="G401" s="66">
        <v>97624821.653500006</v>
      </c>
      <c r="H401" s="66">
        <v>6007631.9910000004</v>
      </c>
      <c r="I401" s="66">
        <v>3878082.3163999999</v>
      </c>
      <c r="J401" s="66">
        <v>0</v>
      </c>
      <c r="K401" s="66">
        <f t="shared" si="103"/>
        <v>3878082.3163999999</v>
      </c>
      <c r="L401" s="81">
        <v>194681957.10519999</v>
      </c>
      <c r="M401" s="71">
        <f t="shared" si="106"/>
        <v>333837081.96069998</v>
      </c>
      <c r="N401" s="70"/>
      <c r="O401" s="176"/>
      <c r="P401" s="72">
        <v>12</v>
      </c>
      <c r="Q401" s="176"/>
      <c r="R401" s="66" t="s">
        <v>923</v>
      </c>
      <c r="S401" s="66">
        <v>37177037.782899998</v>
      </c>
      <c r="T401" s="66">
        <v>0</v>
      </c>
      <c r="U401" s="66">
        <v>114692647.62</v>
      </c>
      <c r="V401" s="66">
        <v>6194425.0405999999</v>
      </c>
      <c r="W401" s="66">
        <v>4556090.5620999997</v>
      </c>
      <c r="X401" s="66">
        <v>0</v>
      </c>
      <c r="Y401" s="66">
        <f t="shared" si="108"/>
        <v>4556090.5620999997</v>
      </c>
      <c r="Z401" s="66">
        <v>209491863.2818</v>
      </c>
      <c r="AA401" s="71">
        <f t="shared" si="107"/>
        <v>372112064.28740001</v>
      </c>
    </row>
    <row r="402" spans="1:27" ht="24.95" customHeight="1">
      <c r="A402" s="181"/>
      <c r="B402" s="181"/>
      <c r="C402" s="62">
        <v>15</v>
      </c>
      <c r="D402" s="66" t="s">
        <v>924</v>
      </c>
      <c r="E402" s="66">
        <v>31479459.7753</v>
      </c>
      <c r="F402" s="66">
        <v>0</v>
      </c>
      <c r="G402" s="66">
        <v>97115391.720200002</v>
      </c>
      <c r="H402" s="66">
        <v>5489370.9172999999</v>
      </c>
      <c r="I402" s="66">
        <v>3857845.5449000001</v>
      </c>
      <c r="J402" s="66">
        <v>0</v>
      </c>
      <c r="K402" s="66">
        <f t="shared" si="103"/>
        <v>3857845.5449000001</v>
      </c>
      <c r="L402" s="81">
        <v>176256692.30180001</v>
      </c>
      <c r="M402" s="71">
        <f t="shared" si="106"/>
        <v>314198760.25950003</v>
      </c>
      <c r="N402" s="70"/>
      <c r="O402" s="176"/>
      <c r="P402" s="72">
        <v>13</v>
      </c>
      <c r="Q402" s="176"/>
      <c r="R402" s="66" t="s">
        <v>925</v>
      </c>
      <c r="S402" s="66">
        <v>39387849.370399997</v>
      </c>
      <c r="T402" s="66">
        <v>0</v>
      </c>
      <c r="U402" s="66">
        <v>121513089.7392</v>
      </c>
      <c r="V402" s="66">
        <v>6767028.8395999996</v>
      </c>
      <c r="W402" s="66">
        <v>4827028.1732999999</v>
      </c>
      <c r="X402" s="66">
        <v>0</v>
      </c>
      <c r="Y402" s="66">
        <f t="shared" si="108"/>
        <v>4827028.1732999999</v>
      </c>
      <c r="Z402" s="66">
        <v>229849125.59459999</v>
      </c>
      <c r="AA402" s="71">
        <f t="shared" si="107"/>
        <v>402344121.71710002</v>
      </c>
    </row>
    <row r="403" spans="1:27" ht="24.95" customHeight="1">
      <c r="A403" s="181"/>
      <c r="B403" s="181"/>
      <c r="C403" s="62">
        <v>16</v>
      </c>
      <c r="D403" s="66" t="s">
        <v>926</v>
      </c>
      <c r="E403" s="66">
        <v>34022082.931199998</v>
      </c>
      <c r="F403" s="66">
        <v>0</v>
      </c>
      <c r="G403" s="66">
        <v>104959485.79090001</v>
      </c>
      <c r="H403" s="66">
        <v>6441517.6475</v>
      </c>
      <c r="I403" s="66">
        <v>4169447.0616000001</v>
      </c>
      <c r="J403" s="66">
        <v>0</v>
      </c>
      <c r="K403" s="66">
        <f t="shared" si="103"/>
        <v>4169447.0616000001</v>
      </c>
      <c r="L403" s="81">
        <v>210107499.4077</v>
      </c>
      <c r="M403" s="71">
        <f t="shared" si="106"/>
        <v>359700032.83890003</v>
      </c>
      <c r="N403" s="70"/>
      <c r="O403" s="177"/>
      <c r="P403" s="72">
        <v>14</v>
      </c>
      <c r="Q403" s="177"/>
      <c r="R403" s="66" t="s">
        <v>927</v>
      </c>
      <c r="S403" s="66">
        <v>43500216.143399999</v>
      </c>
      <c r="T403" s="66">
        <v>0</v>
      </c>
      <c r="U403" s="66">
        <v>134199905.6153</v>
      </c>
      <c r="V403" s="66">
        <v>7080524.6317999996</v>
      </c>
      <c r="W403" s="66">
        <v>5331003.6528000003</v>
      </c>
      <c r="X403" s="66">
        <v>0</v>
      </c>
      <c r="Y403" s="66">
        <f t="shared" si="108"/>
        <v>5331003.6528000003</v>
      </c>
      <c r="Z403" s="66">
        <v>240994556.49959999</v>
      </c>
      <c r="AA403" s="71">
        <f t="shared" si="107"/>
        <v>431106206.54290003</v>
      </c>
    </row>
    <row r="404" spans="1:27" ht="24.95" customHeight="1">
      <c r="A404" s="181"/>
      <c r="B404" s="181"/>
      <c r="C404" s="62">
        <v>17</v>
      </c>
      <c r="D404" s="66" t="s">
        <v>928</v>
      </c>
      <c r="E404" s="66">
        <v>38850860.211599998</v>
      </c>
      <c r="F404" s="66">
        <v>0</v>
      </c>
      <c r="G404" s="66">
        <v>119856456.7193</v>
      </c>
      <c r="H404" s="66">
        <v>7354585.8299000002</v>
      </c>
      <c r="I404" s="66">
        <v>4761219.5078999996</v>
      </c>
      <c r="J404" s="66">
        <v>0</v>
      </c>
      <c r="K404" s="66">
        <f t="shared" si="103"/>
        <v>4761219.5078999996</v>
      </c>
      <c r="L404" s="81">
        <v>242568982.43419999</v>
      </c>
      <c r="M404" s="71">
        <f t="shared" si="106"/>
        <v>413392104.70289999</v>
      </c>
      <c r="N404" s="70"/>
      <c r="O404" s="62"/>
      <c r="P404" s="189" t="s">
        <v>929</v>
      </c>
      <c r="Q404" s="190"/>
      <c r="R404" s="67"/>
      <c r="S404" s="67">
        <f t="shared" ref="S404:W404" si="109">SUM(S390:S403)</f>
        <v>559404030.18439996</v>
      </c>
      <c r="T404" s="67">
        <f t="shared" si="109"/>
        <v>0</v>
      </c>
      <c r="U404" s="67">
        <f t="shared" si="109"/>
        <v>1725783793.9047999</v>
      </c>
      <c r="V404" s="67">
        <f t="shared" si="109"/>
        <v>89508412.109099999</v>
      </c>
      <c r="W404" s="67">
        <f t="shared" si="109"/>
        <v>68555634.722900003</v>
      </c>
      <c r="X404" s="67">
        <f t="shared" ref="X404:AA404" si="110">SUM(X390:X403)</f>
        <v>0</v>
      </c>
      <c r="Y404" s="67">
        <f t="shared" si="108"/>
        <v>68555634.722900003</v>
      </c>
      <c r="Z404" s="67">
        <f t="shared" si="110"/>
        <v>3031950619.9239001</v>
      </c>
      <c r="AA404" s="67">
        <f t="shared" si="110"/>
        <v>5475202490.8451004</v>
      </c>
    </row>
    <row r="405" spans="1:27" ht="24.95" customHeight="1">
      <c r="A405" s="181"/>
      <c r="B405" s="181"/>
      <c r="C405" s="62">
        <v>18</v>
      </c>
      <c r="D405" s="66" t="s">
        <v>930</v>
      </c>
      <c r="E405" s="66">
        <v>46709288.6061</v>
      </c>
      <c r="F405" s="66">
        <v>0</v>
      </c>
      <c r="G405" s="66">
        <v>144100022.4375</v>
      </c>
      <c r="H405" s="66">
        <v>8255679.2368999999</v>
      </c>
      <c r="I405" s="66">
        <v>5724279.3312999997</v>
      </c>
      <c r="J405" s="66">
        <v>0</v>
      </c>
      <c r="K405" s="66">
        <f t="shared" si="103"/>
        <v>5724279.3312999997</v>
      </c>
      <c r="L405" s="81">
        <v>274604737.15369999</v>
      </c>
      <c r="M405" s="71">
        <f t="shared" si="106"/>
        <v>479394006.76550001</v>
      </c>
      <c r="N405" s="70"/>
      <c r="O405" s="175">
        <v>37</v>
      </c>
      <c r="P405" s="72">
        <v>1</v>
      </c>
      <c r="Q405" s="175" t="s">
        <v>931</v>
      </c>
      <c r="R405" s="66" t="s">
        <v>932</v>
      </c>
      <c r="S405" s="66">
        <v>28734970.9142</v>
      </c>
      <c r="T405" s="66">
        <v>0</v>
      </c>
      <c r="U405" s="66">
        <v>88648533.879099995</v>
      </c>
      <c r="V405" s="66">
        <v>13965441.572899999</v>
      </c>
      <c r="W405" s="66">
        <v>3521505.1438000002</v>
      </c>
      <c r="X405" s="66">
        <v>0</v>
      </c>
      <c r="Y405" s="66">
        <f t="shared" si="108"/>
        <v>3521505.1438000002</v>
      </c>
      <c r="Z405" s="66">
        <v>398858647.63239998</v>
      </c>
      <c r="AA405" s="71">
        <f t="shared" si="107"/>
        <v>533729099.14240003</v>
      </c>
    </row>
    <row r="406" spans="1:27" ht="24.95" customHeight="1">
      <c r="A406" s="181"/>
      <c r="B406" s="181"/>
      <c r="C406" s="62">
        <v>19</v>
      </c>
      <c r="D406" s="66" t="s">
        <v>933</v>
      </c>
      <c r="E406" s="66">
        <v>32113789.779300001</v>
      </c>
      <c r="F406" s="66">
        <v>0</v>
      </c>
      <c r="G406" s="66">
        <v>99072325.138099998</v>
      </c>
      <c r="H406" s="66">
        <v>6249684.6730000004</v>
      </c>
      <c r="I406" s="66">
        <v>3935583.4474999998</v>
      </c>
      <c r="J406" s="66">
        <v>0</v>
      </c>
      <c r="K406" s="66">
        <f t="shared" si="103"/>
        <v>3935583.4474999998</v>
      </c>
      <c r="L406" s="81">
        <v>203287436.06079999</v>
      </c>
      <c r="M406" s="71">
        <f t="shared" si="106"/>
        <v>344658819.09869999</v>
      </c>
      <c r="N406" s="70"/>
      <c r="O406" s="176"/>
      <c r="P406" s="72">
        <v>2</v>
      </c>
      <c r="Q406" s="176"/>
      <c r="R406" s="66" t="s">
        <v>934</v>
      </c>
      <c r="S406" s="66">
        <v>73353579.416700006</v>
      </c>
      <c r="T406" s="66">
        <v>0</v>
      </c>
      <c r="U406" s="66">
        <v>226298724.62740001</v>
      </c>
      <c r="V406" s="66">
        <v>22077681.696899999</v>
      </c>
      <c r="W406" s="66">
        <v>8989569.1213000007</v>
      </c>
      <c r="X406" s="66">
        <v>0</v>
      </c>
      <c r="Y406" s="66">
        <f t="shared" si="108"/>
        <v>8989569.1213000007</v>
      </c>
      <c r="Z406" s="66">
        <v>687265745.96860003</v>
      </c>
      <c r="AA406" s="71">
        <f t="shared" si="107"/>
        <v>1017985300.8309</v>
      </c>
    </row>
    <row r="407" spans="1:27" ht="24.95" customHeight="1">
      <c r="A407" s="181"/>
      <c r="B407" s="181"/>
      <c r="C407" s="62">
        <v>20</v>
      </c>
      <c r="D407" s="66" t="s">
        <v>935</v>
      </c>
      <c r="E407" s="66">
        <v>30943775.2837</v>
      </c>
      <c r="F407" s="66">
        <v>0</v>
      </c>
      <c r="G407" s="66">
        <v>95462783.650800005</v>
      </c>
      <c r="H407" s="66">
        <v>5909941.2543000001</v>
      </c>
      <c r="I407" s="66">
        <v>3792196.7680000002</v>
      </c>
      <c r="J407" s="66">
        <v>0</v>
      </c>
      <c r="K407" s="66">
        <f t="shared" si="103"/>
        <v>3792196.7680000002</v>
      </c>
      <c r="L407" s="81">
        <v>191208847.15490001</v>
      </c>
      <c r="M407" s="71">
        <f t="shared" si="106"/>
        <v>327317544.1117</v>
      </c>
      <c r="N407" s="70"/>
      <c r="O407" s="176"/>
      <c r="P407" s="72">
        <v>3</v>
      </c>
      <c r="Q407" s="176"/>
      <c r="R407" s="66" t="s">
        <v>936</v>
      </c>
      <c r="S407" s="66">
        <v>41318065.324299999</v>
      </c>
      <c r="T407" s="66">
        <v>0</v>
      </c>
      <c r="U407" s="66">
        <v>127467883.11220001</v>
      </c>
      <c r="V407" s="66">
        <v>15866670.932600001</v>
      </c>
      <c r="W407" s="66">
        <v>5063578.4530999996</v>
      </c>
      <c r="X407" s="66">
        <v>0</v>
      </c>
      <c r="Y407" s="66">
        <f t="shared" si="108"/>
        <v>5063578.4530999996</v>
      </c>
      <c r="Z407" s="66">
        <v>466451326.66140002</v>
      </c>
      <c r="AA407" s="71">
        <f t="shared" si="107"/>
        <v>656167524.48360002</v>
      </c>
    </row>
    <row r="408" spans="1:27" ht="24.95" customHeight="1">
      <c r="A408" s="181"/>
      <c r="B408" s="181"/>
      <c r="C408" s="62">
        <v>21</v>
      </c>
      <c r="D408" s="66" t="s">
        <v>937</v>
      </c>
      <c r="E408" s="66">
        <v>45085400.328100003</v>
      </c>
      <c r="F408" s="66">
        <v>0</v>
      </c>
      <c r="G408" s="66">
        <v>139090262.18889999</v>
      </c>
      <c r="H408" s="66">
        <v>8294723.9894000003</v>
      </c>
      <c r="I408" s="66">
        <v>5525269.8755000001</v>
      </c>
      <c r="J408" s="66">
        <v>0</v>
      </c>
      <c r="K408" s="66">
        <f t="shared" si="103"/>
        <v>5525269.8755000001</v>
      </c>
      <c r="L408" s="81">
        <v>275992859.74229997</v>
      </c>
      <c r="M408" s="71">
        <f t="shared" si="106"/>
        <v>473988516.12419999</v>
      </c>
      <c r="N408" s="70"/>
      <c r="O408" s="176"/>
      <c r="P408" s="72">
        <v>4</v>
      </c>
      <c r="Q408" s="176"/>
      <c r="R408" s="66" t="s">
        <v>938</v>
      </c>
      <c r="S408" s="66">
        <v>35410129.760399997</v>
      </c>
      <c r="T408" s="66">
        <v>0</v>
      </c>
      <c r="U408" s="66">
        <v>109241665.7428</v>
      </c>
      <c r="V408" s="66">
        <v>15084356.483999999</v>
      </c>
      <c r="W408" s="66">
        <v>4339553.8651000001</v>
      </c>
      <c r="X408" s="66">
        <v>0</v>
      </c>
      <c r="Y408" s="66">
        <f t="shared" si="108"/>
        <v>4339553.8651000001</v>
      </c>
      <c r="Z408" s="66">
        <v>438638412.26889998</v>
      </c>
      <c r="AA408" s="71">
        <f t="shared" si="107"/>
        <v>602714118.12119997</v>
      </c>
    </row>
    <row r="409" spans="1:27" ht="24.95" customHeight="1">
      <c r="A409" s="181"/>
      <c r="B409" s="181"/>
      <c r="C409" s="62">
        <v>22</v>
      </c>
      <c r="D409" s="66" t="s">
        <v>939</v>
      </c>
      <c r="E409" s="66">
        <v>30006085.577799998</v>
      </c>
      <c r="F409" s="66">
        <v>0</v>
      </c>
      <c r="G409" s="66">
        <v>92569973.425999999</v>
      </c>
      <c r="H409" s="66">
        <v>5770017.7488000002</v>
      </c>
      <c r="I409" s="66">
        <v>3677281.7700999998</v>
      </c>
      <c r="J409" s="66">
        <v>0</v>
      </c>
      <c r="K409" s="66">
        <f t="shared" si="103"/>
        <v>3677281.7700999998</v>
      </c>
      <c r="L409" s="81">
        <v>186234273.96610001</v>
      </c>
      <c r="M409" s="71">
        <f t="shared" si="106"/>
        <v>318257632.48879999</v>
      </c>
      <c r="N409" s="70"/>
      <c r="O409" s="176"/>
      <c r="P409" s="72">
        <v>5</v>
      </c>
      <c r="Q409" s="176"/>
      <c r="R409" s="66" t="s">
        <v>940</v>
      </c>
      <c r="S409" s="66">
        <v>33645644.3226</v>
      </c>
      <c r="T409" s="66">
        <v>0</v>
      </c>
      <c r="U409" s="66">
        <v>103798157.6364</v>
      </c>
      <c r="V409" s="66">
        <v>14403912.1152</v>
      </c>
      <c r="W409" s="66">
        <v>4123314.0588000002</v>
      </c>
      <c r="X409" s="66">
        <v>0</v>
      </c>
      <c r="Y409" s="66">
        <f t="shared" si="108"/>
        <v>4123314.0588000002</v>
      </c>
      <c r="Z409" s="66">
        <v>414447192.2123</v>
      </c>
      <c r="AA409" s="71">
        <f t="shared" si="107"/>
        <v>570418220.34529996</v>
      </c>
    </row>
    <row r="410" spans="1:27" ht="24.95" customHeight="1">
      <c r="A410" s="181"/>
      <c r="B410" s="181"/>
      <c r="C410" s="62">
        <v>23</v>
      </c>
      <c r="D410" s="66" t="s">
        <v>941</v>
      </c>
      <c r="E410" s="66">
        <v>30282286.988000002</v>
      </c>
      <c r="F410" s="66">
        <v>0</v>
      </c>
      <c r="G410" s="66">
        <v>93422065.817100003</v>
      </c>
      <c r="H410" s="66">
        <v>5717398.5800999999</v>
      </c>
      <c r="I410" s="66">
        <v>3711130.5841000001</v>
      </c>
      <c r="J410" s="66">
        <v>0</v>
      </c>
      <c r="K410" s="66">
        <f t="shared" si="103"/>
        <v>3711130.5841000001</v>
      </c>
      <c r="L410" s="81">
        <v>184363552.49720001</v>
      </c>
      <c r="M410" s="71">
        <f t="shared" si="106"/>
        <v>317496434.46649998</v>
      </c>
      <c r="N410" s="70"/>
      <c r="O410" s="177"/>
      <c r="P410" s="72">
        <v>6</v>
      </c>
      <c r="Q410" s="177"/>
      <c r="R410" s="66" t="s">
        <v>942</v>
      </c>
      <c r="S410" s="66">
        <v>34609186.649700001</v>
      </c>
      <c r="T410" s="66">
        <v>0</v>
      </c>
      <c r="U410" s="66">
        <v>106770724.2306</v>
      </c>
      <c r="V410" s="66">
        <v>14274025.792199999</v>
      </c>
      <c r="W410" s="66">
        <v>4241397.3263999997</v>
      </c>
      <c r="X410" s="66">
        <v>0</v>
      </c>
      <c r="Y410" s="66">
        <f t="shared" si="108"/>
        <v>4241397.3263999997</v>
      </c>
      <c r="Z410" s="66">
        <v>409829461.84710002</v>
      </c>
      <c r="AA410" s="71">
        <f t="shared" si="107"/>
        <v>569724795.84599996</v>
      </c>
    </row>
    <row r="411" spans="1:27" ht="24.95" customHeight="1">
      <c r="A411" s="181"/>
      <c r="B411" s="181"/>
      <c r="C411" s="62">
        <v>24</v>
      </c>
      <c r="D411" s="66" t="s">
        <v>943</v>
      </c>
      <c r="E411" s="66">
        <v>39067793.822300002</v>
      </c>
      <c r="F411" s="66">
        <v>0</v>
      </c>
      <c r="G411" s="66">
        <v>120525705.5799</v>
      </c>
      <c r="H411" s="66">
        <v>7159835.2008999996</v>
      </c>
      <c r="I411" s="66">
        <v>4787804.9820999997</v>
      </c>
      <c r="J411" s="66">
        <v>0</v>
      </c>
      <c r="K411" s="66">
        <f t="shared" si="103"/>
        <v>4787804.9820999997</v>
      </c>
      <c r="L411" s="81">
        <v>235645190.3653</v>
      </c>
      <c r="M411" s="71">
        <f t="shared" si="106"/>
        <v>407186329.95050001</v>
      </c>
      <c r="N411" s="70"/>
      <c r="O411" s="62"/>
      <c r="P411" s="189" t="s">
        <v>944</v>
      </c>
      <c r="Q411" s="190"/>
      <c r="R411" s="91"/>
      <c r="S411" s="91">
        <f>SUM(S405:S410)</f>
        <v>247071576.38789999</v>
      </c>
      <c r="T411" s="91">
        <f t="shared" ref="T411:W411" si="111">SUM(T405:T410)</f>
        <v>0</v>
      </c>
      <c r="U411" s="91">
        <f t="shared" si="111"/>
        <v>762225689.22850001</v>
      </c>
      <c r="V411" s="91">
        <f t="shared" si="111"/>
        <v>95672088.593799993</v>
      </c>
      <c r="W411" s="91">
        <f t="shared" si="111"/>
        <v>30278917.968499999</v>
      </c>
      <c r="X411" s="91">
        <f t="shared" ref="X411" si="112">SUM(X405:X410)</f>
        <v>0</v>
      </c>
      <c r="Y411" s="67">
        <f t="shared" si="108"/>
        <v>30278917.968499999</v>
      </c>
      <c r="Z411" s="91">
        <f>SUM(Z405:Z410)</f>
        <v>2815490786.5907001</v>
      </c>
      <c r="AA411" s="91">
        <f>SUM(AA405:AA410)</f>
        <v>3950739058.7694001</v>
      </c>
    </row>
    <row r="412" spans="1:27" ht="24.95" customHeight="1">
      <c r="A412" s="181"/>
      <c r="B412" s="181"/>
      <c r="C412" s="62">
        <v>25</v>
      </c>
      <c r="D412" s="66" t="s">
        <v>945</v>
      </c>
      <c r="E412" s="66">
        <v>39918622.526900001</v>
      </c>
      <c r="F412" s="66">
        <v>0</v>
      </c>
      <c r="G412" s="66">
        <v>123150546.1433</v>
      </c>
      <c r="H412" s="66">
        <v>7511283.0332000004</v>
      </c>
      <c r="I412" s="66">
        <v>4892075.0601000004</v>
      </c>
      <c r="J412" s="66">
        <v>0</v>
      </c>
      <c r="K412" s="66">
        <f t="shared" si="103"/>
        <v>4892075.0601000004</v>
      </c>
      <c r="L412" s="81">
        <v>248139895.65020001</v>
      </c>
      <c r="M412" s="71">
        <f t="shared" si="106"/>
        <v>423612422.41369998</v>
      </c>
      <c r="N412" s="70"/>
      <c r="O412" s="188" t="s">
        <v>946</v>
      </c>
      <c r="P412" s="191"/>
      <c r="Q412" s="192"/>
      <c r="R412" s="92"/>
      <c r="S412" s="93">
        <v>27192252178.330002</v>
      </c>
      <c r="T412" s="93">
        <f>-4715125.5</f>
        <v>-4715125.5</v>
      </c>
      <c r="U412" s="93">
        <v>83889184912.839996</v>
      </c>
      <c r="V412" s="93">
        <v>5256041832.2200003</v>
      </c>
      <c r="W412" s="93">
        <v>3332443112.73</v>
      </c>
      <c r="X412" s="93">
        <v>957717616.19000006</v>
      </c>
      <c r="Y412" s="96">
        <f t="shared" si="108"/>
        <v>2374725496.54</v>
      </c>
      <c r="Z412" s="93">
        <v>186863277023.81</v>
      </c>
      <c r="AA412" s="71">
        <f t="shared" si="107"/>
        <v>305570766318.23999</v>
      </c>
    </row>
    <row r="413" spans="1:27" ht="13.5">
      <c r="A413" s="62"/>
      <c r="B413" s="63"/>
      <c r="C413" s="82"/>
      <c r="D413" s="83"/>
      <c r="E413" s="84">
        <f>SUM(E388:E412)</f>
        <v>892309106.26470006</v>
      </c>
      <c r="F413" s="84">
        <f t="shared" ref="F413:L413" si="113">SUM(F388:F412)</f>
        <v>0</v>
      </c>
      <c r="G413" s="84">
        <f t="shared" si="113"/>
        <v>2752809260.6655002</v>
      </c>
      <c r="H413" s="84">
        <f t="shared" si="113"/>
        <v>166287917.07589999</v>
      </c>
      <c r="I413" s="84">
        <f t="shared" si="113"/>
        <v>109353551.00740001</v>
      </c>
      <c r="J413" s="84">
        <f t="shared" si="113"/>
        <v>0</v>
      </c>
      <c r="K413" s="84">
        <f t="shared" si="113"/>
        <v>109353551.00740001</v>
      </c>
      <c r="L413" s="84">
        <f t="shared" si="113"/>
        <v>5439335105.2645998</v>
      </c>
      <c r="M413" s="71">
        <f t="shared" si="106"/>
        <v>9360094940.2780991</v>
      </c>
      <c r="N413" s="80">
        <v>0</v>
      </c>
      <c r="O413" s="90"/>
      <c r="P413" s="193"/>
      <c r="Q413" s="191"/>
      <c r="R413" s="192"/>
      <c r="S413" s="88"/>
      <c r="T413" s="88"/>
      <c r="U413" s="88"/>
      <c r="V413" s="88"/>
      <c r="W413" s="88"/>
      <c r="X413" s="88"/>
      <c r="Y413" s="88"/>
      <c r="Z413" s="88"/>
      <c r="AA413" s="88"/>
    </row>
    <row r="414" spans="1:27" ht="15">
      <c r="D414" s="85"/>
      <c r="E414" s="86"/>
      <c r="F414" s="86"/>
      <c r="G414" s="86"/>
      <c r="H414" s="86"/>
      <c r="I414" s="86"/>
      <c r="J414" s="86"/>
      <c r="K414" s="86"/>
      <c r="L414" s="86"/>
      <c r="M414" s="86"/>
      <c r="R414" s="80"/>
      <c r="S414" s="28"/>
      <c r="T414" s="94"/>
      <c r="U414" s="94"/>
      <c r="V414" s="94"/>
      <c r="W414" s="28"/>
      <c r="X414" s="28"/>
      <c r="Y414" s="28"/>
      <c r="Z414" s="95"/>
      <c r="AA414" s="80"/>
    </row>
    <row r="415" spans="1:27">
      <c r="C415" s="87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S415" s="95"/>
      <c r="W415" s="95"/>
      <c r="X415" s="95"/>
      <c r="Y415" s="95"/>
      <c r="Z415" s="95"/>
    </row>
    <row r="419" spans="12:12">
      <c r="L419" s="80"/>
    </row>
  </sheetData>
  <mergeCells count="118">
    <mergeCell ref="A1:Z1"/>
    <mergeCell ref="A2:AA2"/>
    <mergeCell ref="B3:Z3"/>
    <mergeCell ref="B24:C24"/>
    <mergeCell ref="P26:Q26"/>
    <mergeCell ref="B46:C46"/>
    <mergeCell ref="P61:Q61"/>
    <mergeCell ref="B78:C78"/>
    <mergeCell ref="P83:Q83"/>
    <mergeCell ref="O7:O25"/>
    <mergeCell ref="O27:O60"/>
    <mergeCell ref="O62:O82"/>
    <mergeCell ref="P105:Q105"/>
    <mergeCell ref="B121:C121"/>
    <mergeCell ref="P122:Q122"/>
    <mergeCell ref="B130:C130"/>
    <mergeCell ref="P143:Q143"/>
    <mergeCell ref="B154:C154"/>
    <mergeCell ref="P157:Q157"/>
    <mergeCell ref="B182:C182"/>
    <mergeCell ref="O84:O104"/>
    <mergeCell ref="O106:O121"/>
    <mergeCell ref="O123:O142"/>
    <mergeCell ref="O144:O156"/>
    <mergeCell ref="O158:O182"/>
    <mergeCell ref="P183:Q183"/>
    <mergeCell ref="B201:C201"/>
    <mergeCell ref="P204:Q204"/>
    <mergeCell ref="P223:Q223"/>
    <mergeCell ref="B227:C227"/>
    <mergeCell ref="B241:C241"/>
    <mergeCell ref="P254:Q254"/>
    <mergeCell ref="B260:C260"/>
    <mergeCell ref="B277:C277"/>
    <mergeCell ref="O184:O203"/>
    <mergeCell ref="O205:O222"/>
    <mergeCell ref="O224:O253"/>
    <mergeCell ref="O255:O287"/>
    <mergeCell ref="P330:Q330"/>
    <mergeCell ref="B335:C335"/>
    <mergeCell ref="P354:Q354"/>
    <mergeCell ref="B363:C363"/>
    <mergeCell ref="P371:Q371"/>
    <mergeCell ref="O289:O305"/>
    <mergeCell ref="O307:O329"/>
    <mergeCell ref="O331:O353"/>
    <mergeCell ref="O355:O370"/>
    <mergeCell ref="P411:Q411"/>
    <mergeCell ref="O412:Q412"/>
    <mergeCell ref="P413:R413"/>
    <mergeCell ref="A7:A23"/>
    <mergeCell ref="A25:A45"/>
    <mergeCell ref="A47:A77"/>
    <mergeCell ref="A79:A99"/>
    <mergeCell ref="A101:A120"/>
    <mergeCell ref="A122:A129"/>
    <mergeCell ref="A131:A153"/>
    <mergeCell ref="A155:A181"/>
    <mergeCell ref="A183:A200"/>
    <mergeCell ref="A202:A226"/>
    <mergeCell ref="A228:A240"/>
    <mergeCell ref="A242:A259"/>
    <mergeCell ref="A261:A276"/>
    <mergeCell ref="A278:A294"/>
    <mergeCell ref="A296:A306"/>
    <mergeCell ref="A308:A334"/>
    <mergeCell ref="A336:A362"/>
    <mergeCell ref="A364:A386"/>
    <mergeCell ref="P288:Q288"/>
    <mergeCell ref="B295:C295"/>
    <mergeCell ref="P306:Q306"/>
    <mergeCell ref="A388:A412"/>
    <mergeCell ref="B7:B23"/>
    <mergeCell ref="B25:B45"/>
    <mergeCell ref="B47:B77"/>
    <mergeCell ref="B79:B99"/>
    <mergeCell ref="B101:B120"/>
    <mergeCell ref="B122:B129"/>
    <mergeCell ref="B131:B153"/>
    <mergeCell ref="B155:B181"/>
    <mergeCell ref="B183:B200"/>
    <mergeCell ref="B202:B226"/>
    <mergeCell ref="B228:B240"/>
    <mergeCell ref="B242:B259"/>
    <mergeCell ref="B261:B276"/>
    <mergeCell ref="B278:B294"/>
    <mergeCell ref="B296:B306"/>
    <mergeCell ref="B308:B334"/>
    <mergeCell ref="B336:B362"/>
    <mergeCell ref="B364:B386"/>
    <mergeCell ref="B388:B412"/>
    <mergeCell ref="B387:C387"/>
    <mergeCell ref="B307:C307"/>
    <mergeCell ref="B100:C100"/>
    <mergeCell ref="O372:O388"/>
    <mergeCell ref="O390:O403"/>
    <mergeCell ref="O405:O410"/>
    <mergeCell ref="Q7:Q25"/>
    <mergeCell ref="Q27:Q60"/>
    <mergeCell ref="Q62:Q82"/>
    <mergeCell ref="Q84:Q104"/>
    <mergeCell ref="Q106:Q121"/>
    <mergeCell ref="Q123:Q142"/>
    <mergeCell ref="Q144:Q156"/>
    <mergeCell ref="Q158:Q182"/>
    <mergeCell ref="Q184:Q203"/>
    <mergeCell ref="Q205:Q222"/>
    <mergeCell ref="Q224:Q253"/>
    <mergeCell ref="Q255:Q287"/>
    <mergeCell ref="Q289:Q305"/>
    <mergeCell ref="Q307:Q329"/>
    <mergeCell ref="Q331:Q353"/>
    <mergeCell ref="Q355:Q370"/>
    <mergeCell ref="Q373:Q388"/>
    <mergeCell ref="Q390:Q403"/>
    <mergeCell ref="Q405:Q410"/>
    <mergeCell ref="P389:Q389"/>
    <mergeCell ref="P404:Q404"/>
  </mergeCells>
  <pageMargins left="0.109722222222222" right="0.109722222222222" top="0.16111111111111101" bottom="0.16111111111111101" header="0.29861111111111099" footer="0.29861111111111099"/>
  <pageSetup paperSize="9" scale="3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O49"/>
  <sheetViews>
    <sheetView topLeftCell="E27" workbookViewId="0">
      <selection sqref="A1:K43"/>
    </sheetView>
  </sheetViews>
  <sheetFormatPr defaultColWidth="8.85546875" defaultRowHeight="18.75"/>
  <cols>
    <col min="1" max="1" width="8.85546875" style="30"/>
    <col min="2" max="2" width="19.7109375" style="30" customWidth="1"/>
    <col min="3" max="3" width="24.85546875" style="30" customWidth="1"/>
    <col min="4" max="4" width="23.28515625" style="30" customWidth="1"/>
    <col min="5" max="5" width="24.85546875" style="30" customWidth="1"/>
    <col min="6" max="6" width="23.85546875" style="30" customWidth="1"/>
    <col min="7" max="8" width="25.42578125" style="30" customWidth="1"/>
    <col min="9" max="9" width="24.7109375" style="30" customWidth="1"/>
    <col min="10" max="10" width="26.28515625" style="30" customWidth="1"/>
    <col min="11" max="11" width="27.28515625" style="30" customWidth="1"/>
    <col min="12" max="12" width="25.5703125" style="30"/>
    <col min="13" max="13" width="23.85546875" style="30" customWidth="1"/>
    <col min="14" max="14" width="8.85546875" style="30" customWidth="1"/>
    <col min="15" max="16384" width="8.85546875" style="30"/>
  </cols>
  <sheetData>
    <row r="1" spans="1:821" ht="30">
      <c r="A1" s="196" t="s">
        <v>61</v>
      </c>
      <c r="B1" s="197"/>
      <c r="C1" s="197"/>
      <c r="D1" s="197"/>
      <c r="E1" s="197"/>
      <c r="F1" s="197"/>
      <c r="G1" s="197"/>
      <c r="H1" s="197"/>
      <c r="I1" s="197"/>
      <c r="J1" s="197"/>
      <c r="K1" s="198"/>
    </row>
    <row r="2" spans="1:821" ht="26.25" customHeight="1">
      <c r="A2" s="157" t="s">
        <v>62</v>
      </c>
      <c r="B2" s="158"/>
      <c r="C2" s="158"/>
      <c r="D2" s="158"/>
      <c r="E2" s="158"/>
      <c r="F2" s="158"/>
      <c r="G2" s="158"/>
      <c r="H2" s="158"/>
      <c r="I2" s="158"/>
      <c r="J2" s="158"/>
      <c r="K2" s="199"/>
    </row>
    <row r="3" spans="1:821" ht="51" customHeight="1">
      <c r="A3" s="200" t="s">
        <v>947</v>
      </c>
      <c r="B3" s="201"/>
      <c r="C3" s="201"/>
      <c r="D3" s="201"/>
      <c r="E3" s="201"/>
      <c r="F3" s="201"/>
      <c r="G3" s="201"/>
      <c r="H3" s="201"/>
      <c r="I3" s="201"/>
      <c r="J3" s="201"/>
      <c r="K3" s="202"/>
      <c r="AEO3" s="30" t="s">
        <v>948</v>
      </c>
    </row>
    <row r="4" spans="1:821" ht="55.5" customHeight="1">
      <c r="A4" s="47" t="s">
        <v>21</v>
      </c>
      <c r="B4" s="47" t="s">
        <v>131</v>
      </c>
      <c r="C4" s="48" t="s">
        <v>48</v>
      </c>
      <c r="D4" s="49" t="s">
        <v>129</v>
      </c>
      <c r="E4" s="48" t="s">
        <v>24</v>
      </c>
      <c r="F4" s="48" t="s">
        <v>25</v>
      </c>
      <c r="G4" s="48" t="s">
        <v>949</v>
      </c>
      <c r="H4" s="50" t="s">
        <v>77</v>
      </c>
      <c r="I4" s="56" t="s">
        <v>78</v>
      </c>
      <c r="J4" s="57" t="s">
        <v>950</v>
      </c>
      <c r="K4" s="12" t="s">
        <v>951</v>
      </c>
      <c r="M4" s="43"/>
    </row>
    <row r="5" spans="1:821">
      <c r="A5" s="47"/>
      <c r="B5" s="47"/>
      <c r="C5" s="149" t="s">
        <v>28</v>
      </c>
      <c r="D5" s="149" t="s">
        <v>28</v>
      </c>
      <c r="E5" s="149" t="s">
        <v>28</v>
      </c>
      <c r="F5" s="149" t="s">
        <v>28</v>
      </c>
      <c r="G5" s="149" t="s">
        <v>28</v>
      </c>
      <c r="H5" s="149" t="s">
        <v>28</v>
      </c>
      <c r="I5" s="149" t="s">
        <v>28</v>
      </c>
      <c r="J5" s="149" t="s">
        <v>28</v>
      </c>
      <c r="K5" s="149" t="s">
        <v>28</v>
      </c>
    </row>
    <row r="6" spans="1:821">
      <c r="A6" s="51">
        <v>1</v>
      </c>
      <c r="B6" s="52" t="s">
        <v>88</v>
      </c>
      <c r="C6" s="53">
        <v>564406985.00436902</v>
      </c>
      <c r="D6" s="53">
        <v>0</v>
      </c>
      <c r="E6" s="53">
        <v>1741218109.5055001</v>
      </c>
      <c r="F6" s="53">
        <v>118158932.7967</v>
      </c>
      <c r="G6" s="53">
        <v>69168752.840000004</v>
      </c>
      <c r="H6" s="54">
        <f>G6/2</f>
        <v>34584376.420000002</v>
      </c>
      <c r="I6" s="54">
        <f t="shared" ref="I6:I42" si="0">G6-H6</f>
        <v>34584376.420000002</v>
      </c>
      <c r="J6" s="53">
        <v>3242941376.1090999</v>
      </c>
      <c r="K6" s="58">
        <f>C6+D6+E6+F6+I6+J6</f>
        <v>5701309779.8356705</v>
      </c>
      <c r="M6" s="59"/>
    </row>
    <row r="7" spans="1:821">
      <c r="A7" s="51">
        <v>2</v>
      </c>
      <c r="B7" s="52" t="s">
        <v>89</v>
      </c>
      <c r="C7" s="53">
        <v>711918405.982427</v>
      </c>
      <c r="D7" s="53">
        <v>0</v>
      </c>
      <c r="E7" s="53">
        <v>2196296739.6244001</v>
      </c>
      <c r="F7" s="53">
        <v>116143729.97409999</v>
      </c>
      <c r="G7" s="53">
        <v>87246454.370000005</v>
      </c>
      <c r="H7" s="53">
        <v>0</v>
      </c>
      <c r="I7" s="54">
        <f t="shared" si="0"/>
        <v>87246454.370000005</v>
      </c>
      <c r="J7" s="53">
        <v>4022298762.7915001</v>
      </c>
      <c r="K7" s="58">
        <f t="shared" ref="K7:K42" si="1">C7+D7+E7+F7+I7+J7</f>
        <v>7133904092.7424297</v>
      </c>
    </row>
    <row r="8" spans="1:821">
      <c r="A8" s="51">
        <v>3</v>
      </c>
      <c r="B8" s="52" t="s">
        <v>90</v>
      </c>
      <c r="C8" s="53">
        <v>948233482.48330104</v>
      </c>
      <c r="D8" s="53">
        <v>0</v>
      </c>
      <c r="E8" s="53">
        <v>2925338196.7377</v>
      </c>
      <c r="F8" s="53">
        <v>162518591.6031</v>
      </c>
      <c r="G8" s="53">
        <v>116207150.37</v>
      </c>
      <c r="H8" s="54">
        <f>G8/2</f>
        <v>58103575.185000002</v>
      </c>
      <c r="I8" s="54">
        <f t="shared" si="0"/>
        <v>58103575.185000002</v>
      </c>
      <c r="J8" s="53">
        <v>5690277861.4777002</v>
      </c>
      <c r="K8" s="58">
        <f t="shared" si="1"/>
        <v>9784471707.4867992</v>
      </c>
    </row>
    <row r="9" spans="1:821">
      <c r="A9" s="51">
        <v>4</v>
      </c>
      <c r="B9" s="52" t="s">
        <v>91</v>
      </c>
      <c r="C9" s="53">
        <v>715765688.52572799</v>
      </c>
      <c r="D9" s="53">
        <v>0</v>
      </c>
      <c r="E9" s="53">
        <v>2208165760.0558</v>
      </c>
      <c r="F9" s="53">
        <v>166437443.24680001</v>
      </c>
      <c r="G9" s="53">
        <v>87717943.459999993</v>
      </c>
      <c r="H9" s="53">
        <v>0</v>
      </c>
      <c r="I9" s="54">
        <f t="shared" si="0"/>
        <v>87717943.459999993</v>
      </c>
      <c r="J9" s="53">
        <v>4569950445.8059998</v>
      </c>
      <c r="K9" s="58">
        <f t="shared" si="1"/>
        <v>7748037281.0943298</v>
      </c>
    </row>
    <row r="10" spans="1:821">
      <c r="A10" s="51">
        <v>5</v>
      </c>
      <c r="B10" s="52" t="s">
        <v>92</v>
      </c>
      <c r="C10" s="53">
        <v>812535697.58106804</v>
      </c>
      <c r="D10" s="53">
        <v>0</v>
      </c>
      <c r="E10" s="53">
        <v>2506705106.1329999</v>
      </c>
      <c r="F10" s="53">
        <v>127904865.6234</v>
      </c>
      <c r="G10" s="53">
        <v>99577224.109999999</v>
      </c>
      <c r="H10" s="53">
        <v>0</v>
      </c>
      <c r="I10" s="54">
        <f t="shared" si="0"/>
        <v>99577224.109999999</v>
      </c>
      <c r="J10" s="53">
        <v>4333311203.3785</v>
      </c>
      <c r="K10" s="58">
        <f t="shared" si="1"/>
        <v>7880034096.8259697</v>
      </c>
    </row>
    <row r="11" spans="1:821">
      <c r="A11" s="51">
        <v>6</v>
      </c>
      <c r="B11" s="52" t="s">
        <v>93</v>
      </c>
      <c r="C11" s="53">
        <v>330731770.430291</v>
      </c>
      <c r="D11" s="53">
        <v>0</v>
      </c>
      <c r="E11" s="53">
        <v>1020320731.9578</v>
      </c>
      <c r="F11" s="53">
        <v>53203415.6052</v>
      </c>
      <c r="G11" s="53">
        <v>40531575.07</v>
      </c>
      <c r="H11" s="54">
        <f>G11/2</f>
        <v>20265787.535</v>
      </c>
      <c r="I11" s="54">
        <f t="shared" si="0"/>
        <v>20265787.535</v>
      </c>
      <c r="J11" s="53">
        <v>2247087663.8785</v>
      </c>
      <c r="K11" s="58">
        <f t="shared" si="1"/>
        <v>3671609369.4067898</v>
      </c>
    </row>
    <row r="12" spans="1:821">
      <c r="A12" s="51">
        <v>7</v>
      </c>
      <c r="B12" s="52" t="s">
        <v>94</v>
      </c>
      <c r="C12" s="53">
        <v>884164594.09029102</v>
      </c>
      <c r="D12" s="53">
        <v>0</v>
      </c>
      <c r="E12" s="53">
        <v>2727683115.0503001</v>
      </c>
      <c r="F12" s="53">
        <v>136104298.9641</v>
      </c>
      <c r="G12" s="53">
        <v>108355431.27</v>
      </c>
      <c r="H12" s="54">
        <f>G12/2</f>
        <v>54177715.634999998</v>
      </c>
      <c r="I12" s="54">
        <f t="shared" si="0"/>
        <v>54177715.634999998</v>
      </c>
      <c r="J12" s="53">
        <v>4681743305.8017998</v>
      </c>
      <c r="K12" s="58">
        <f t="shared" si="1"/>
        <v>8483873029.5414896</v>
      </c>
    </row>
    <row r="13" spans="1:821">
      <c r="A13" s="51">
        <v>8</v>
      </c>
      <c r="B13" s="52" t="s">
        <v>95</v>
      </c>
      <c r="C13" s="53">
        <v>959937786.18495095</v>
      </c>
      <c r="D13" s="53">
        <v>0</v>
      </c>
      <c r="E13" s="53">
        <v>2961446441.5071998</v>
      </c>
      <c r="F13" s="53">
        <v>149508512.63119999</v>
      </c>
      <c r="G13" s="53">
        <v>117641526.84</v>
      </c>
      <c r="H13" s="53">
        <v>0</v>
      </c>
      <c r="I13" s="54">
        <f t="shared" si="0"/>
        <v>117641526.84</v>
      </c>
      <c r="J13" s="53">
        <v>5174274978.21</v>
      </c>
      <c r="K13" s="58">
        <f t="shared" si="1"/>
        <v>9362809245.3733501</v>
      </c>
    </row>
    <row r="14" spans="1:821">
      <c r="A14" s="51">
        <v>9</v>
      </c>
      <c r="B14" s="52" t="s">
        <v>96</v>
      </c>
      <c r="C14" s="53">
        <v>618841656.64320397</v>
      </c>
      <c r="D14" s="53">
        <v>0</v>
      </c>
      <c r="E14" s="53">
        <v>1909151247.4017</v>
      </c>
      <c r="F14" s="53">
        <v>105324895.4121</v>
      </c>
      <c r="G14" s="53">
        <v>75839787.120000005</v>
      </c>
      <c r="H14" s="54">
        <f>G14/2</f>
        <v>37919893.560000002</v>
      </c>
      <c r="I14" s="54">
        <f t="shared" si="0"/>
        <v>37919893.560000002</v>
      </c>
      <c r="J14" s="53">
        <v>3420707841.4780998</v>
      </c>
      <c r="K14" s="58">
        <f t="shared" si="1"/>
        <v>6091945534.4951</v>
      </c>
    </row>
    <row r="15" spans="1:821">
      <c r="A15" s="51">
        <v>10</v>
      </c>
      <c r="B15" s="52" t="s">
        <v>97</v>
      </c>
      <c r="C15" s="53">
        <v>792956827.50097096</v>
      </c>
      <c r="D15" s="53">
        <v>0</v>
      </c>
      <c r="E15" s="53">
        <v>2446303509.3190999</v>
      </c>
      <c r="F15" s="53">
        <v>180110453.7304</v>
      </c>
      <c r="G15" s="53">
        <v>97177810.109999999</v>
      </c>
      <c r="H15" s="54">
        <f>G15/2</f>
        <v>48588905.055</v>
      </c>
      <c r="I15" s="54">
        <f t="shared" si="0"/>
        <v>48588905.055</v>
      </c>
      <c r="J15" s="53">
        <v>5760634582.9004002</v>
      </c>
      <c r="K15" s="58">
        <f t="shared" si="1"/>
        <v>9228594278.5058708</v>
      </c>
    </row>
    <row r="16" spans="1:821">
      <c r="A16" s="51">
        <v>11</v>
      </c>
      <c r="B16" s="52" t="s">
        <v>98</v>
      </c>
      <c r="C16" s="53">
        <v>457779174.87097102</v>
      </c>
      <c r="D16" s="53">
        <f>-4715125.501</f>
        <v>-4715125.5010000002</v>
      </c>
      <c r="E16" s="53">
        <v>1412267053.0611</v>
      </c>
      <c r="F16" s="53">
        <v>75910414.514300004</v>
      </c>
      <c r="G16" s="53">
        <v>56101386.840000004</v>
      </c>
      <c r="H16" s="53">
        <v>0</v>
      </c>
      <c r="I16" s="54">
        <f t="shared" si="0"/>
        <v>56101386.840000004</v>
      </c>
      <c r="J16" s="53">
        <v>2599839133.6824002</v>
      </c>
      <c r="K16" s="58">
        <f t="shared" si="1"/>
        <v>4597182037.4677696</v>
      </c>
    </row>
    <row r="17" spans="1:11">
      <c r="A17" s="51">
        <v>12</v>
      </c>
      <c r="B17" s="52" t="s">
        <v>99</v>
      </c>
      <c r="C17" s="53">
        <v>606719300.37990296</v>
      </c>
      <c r="D17" s="53">
        <v>0</v>
      </c>
      <c r="E17" s="53">
        <v>1871753293.7684</v>
      </c>
      <c r="F17" s="53">
        <v>139721132.1577</v>
      </c>
      <c r="G17" s="53">
        <v>74354177.819999993</v>
      </c>
      <c r="H17" s="54">
        <f>G17/2</f>
        <v>37177088.909999996</v>
      </c>
      <c r="I17" s="54">
        <f t="shared" si="0"/>
        <v>37177088.909999996</v>
      </c>
      <c r="J17" s="53">
        <v>3802409833.1134</v>
      </c>
      <c r="K17" s="58">
        <f t="shared" si="1"/>
        <v>6457780648.3294001</v>
      </c>
    </row>
    <row r="18" spans="1:11">
      <c r="A18" s="51">
        <v>13</v>
      </c>
      <c r="B18" s="52" t="s">
        <v>100</v>
      </c>
      <c r="C18" s="53">
        <v>481757126.782233</v>
      </c>
      <c r="D18" s="53">
        <v>0</v>
      </c>
      <c r="E18" s="53">
        <v>1486239993.1677001</v>
      </c>
      <c r="F18" s="53">
        <v>90884766.555800006</v>
      </c>
      <c r="G18" s="53">
        <v>59039913.600000001</v>
      </c>
      <c r="H18" s="53">
        <v>0</v>
      </c>
      <c r="I18" s="54">
        <f t="shared" si="0"/>
        <v>59039913.600000001</v>
      </c>
      <c r="J18" s="53">
        <v>3193812106.0700002</v>
      </c>
      <c r="K18" s="58">
        <f t="shared" si="1"/>
        <v>5311733906.1757298</v>
      </c>
    </row>
    <row r="19" spans="1:11">
      <c r="A19" s="51">
        <v>14</v>
      </c>
      <c r="B19" s="52" t="s">
        <v>101</v>
      </c>
      <c r="C19" s="53">
        <v>616435829.28310704</v>
      </c>
      <c r="D19" s="53">
        <v>0</v>
      </c>
      <c r="E19" s="53">
        <v>1901729173.8289001</v>
      </c>
      <c r="F19" s="53">
        <v>120119008.82080001</v>
      </c>
      <c r="G19" s="53">
        <v>75544950.090000004</v>
      </c>
      <c r="H19" s="53">
        <v>0</v>
      </c>
      <c r="I19" s="54">
        <f t="shared" si="0"/>
        <v>75544950.090000004</v>
      </c>
      <c r="J19" s="53">
        <v>3447590262.0019002</v>
      </c>
      <c r="K19" s="58">
        <f t="shared" si="1"/>
        <v>6161419224.0247097</v>
      </c>
    </row>
    <row r="20" spans="1:11">
      <c r="A20" s="51">
        <v>15</v>
      </c>
      <c r="B20" s="52" t="s">
        <v>102</v>
      </c>
      <c r="C20" s="53">
        <v>422382260.75999999</v>
      </c>
      <c r="D20" s="53">
        <v>0</v>
      </c>
      <c r="E20" s="53">
        <v>1303066158.1257999</v>
      </c>
      <c r="F20" s="53">
        <v>69201448.739700004</v>
      </c>
      <c r="G20" s="53">
        <v>51763452.560000002</v>
      </c>
      <c r="H20" s="53">
        <v>51763452.560000002</v>
      </c>
      <c r="I20" s="54">
        <f t="shared" si="0"/>
        <v>0</v>
      </c>
      <c r="J20" s="53">
        <v>2484826374.7761002</v>
      </c>
      <c r="K20" s="58">
        <f t="shared" si="1"/>
        <v>4279476242.4015999</v>
      </c>
    </row>
    <row r="21" spans="1:11">
      <c r="A21" s="51">
        <v>16</v>
      </c>
      <c r="B21" s="52" t="s">
        <v>103</v>
      </c>
      <c r="C21" s="53">
        <v>826161136.24475706</v>
      </c>
      <c r="D21" s="53">
        <v>0</v>
      </c>
      <c r="E21" s="53">
        <v>2548740129.0528002</v>
      </c>
      <c r="F21" s="53">
        <v>160063833.71290001</v>
      </c>
      <c r="G21" s="53">
        <v>101247037.95999999</v>
      </c>
      <c r="H21" s="54">
        <f>G21/2</f>
        <v>50623518.979999997</v>
      </c>
      <c r="I21" s="54">
        <f t="shared" si="0"/>
        <v>50623518.979999997</v>
      </c>
      <c r="J21" s="53">
        <v>4854964572.1969004</v>
      </c>
      <c r="K21" s="58">
        <f t="shared" si="1"/>
        <v>8440553190.1873598</v>
      </c>
    </row>
    <row r="22" spans="1:11">
      <c r="A22" s="51">
        <v>17</v>
      </c>
      <c r="B22" s="52" t="s">
        <v>104</v>
      </c>
      <c r="C22" s="53">
        <v>867960059.32621396</v>
      </c>
      <c r="D22" s="53">
        <v>0</v>
      </c>
      <c r="E22" s="53">
        <v>2677691477.5676999</v>
      </c>
      <c r="F22" s="53">
        <v>145622906.7193</v>
      </c>
      <c r="G22" s="53">
        <v>106369546.11</v>
      </c>
      <c r="H22" s="53">
        <v>0</v>
      </c>
      <c r="I22" s="54">
        <f t="shared" si="0"/>
        <v>106369546.11</v>
      </c>
      <c r="J22" s="53">
        <v>5134637207.25</v>
      </c>
      <c r="K22" s="58">
        <f t="shared" si="1"/>
        <v>8932281196.9732094</v>
      </c>
    </row>
    <row r="23" spans="1:11">
      <c r="A23" s="51">
        <v>18</v>
      </c>
      <c r="B23" s="52" t="s">
        <v>105</v>
      </c>
      <c r="C23" s="53">
        <v>976103273.88252401</v>
      </c>
      <c r="D23" s="53">
        <v>0</v>
      </c>
      <c r="E23" s="53">
        <v>3011317617.2298002</v>
      </c>
      <c r="F23" s="53">
        <v>173104666.1512</v>
      </c>
      <c r="G23" s="53">
        <v>119622626.73999999</v>
      </c>
      <c r="H23" s="53">
        <v>119622626.73999999</v>
      </c>
      <c r="I23" s="54">
        <f t="shared" si="0"/>
        <v>0</v>
      </c>
      <c r="J23" s="53">
        <v>5376441348.5167999</v>
      </c>
      <c r="K23" s="58">
        <f t="shared" si="1"/>
        <v>9536966905.7803192</v>
      </c>
    </row>
    <row r="24" spans="1:11">
      <c r="A24" s="51">
        <v>19</v>
      </c>
      <c r="B24" s="52" t="s">
        <v>106</v>
      </c>
      <c r="C24" s="53">
        <v>1554040069.6633999</v>
      </c>
      <c r="D24" s="53">
        <v>0</v>
      </c>
      <c r="E24" s="53">
        <v>4794275733.8014002</v>
      </c>
      <c r="F24" s="53">
        <v>289498404.47070003</v>
      </c>
      <c r="G24" s="53">
        <v>190449474.09999999</v>
      </c>
      <c r="H24" s="53">
        <v>0</v>
      </c>
      <c r="I24" s="54">
        <f t="shared" si="0"/>
        <v>190449474.09999999</v>
      </c>
      <c r="J24" s="53">
        <v>9460589043.9141998</v>
      </c>
      <c r="K24" s="58">
        <f t="shared" si="1"/>
        <v>16288852725.949699</v>
      </c>
    </row>
    <row r="25" spans="1:11">
      <c r="A25" s="51">
        <v>20</v>
      </c>
      <c r="B25" s="52" t="s">
        <v>107</v>
      </c>
      <c r="C25" s="53">
        <v>1183117157.0215499</v>
      </c>
      <c r="D25" s="53">
        <v>0</v>
      </c>
      <c r="E25" s="53">
        <v>3649963721.5791001</v>
      </c>
      <c r="F25" s="53">
        <v>192731432.50799999</v>
      </c>
      <c r="G25" s="53">
        <v>144992426.36000001</v>
      </c>
      <c r="H25" s="53">
        <v>0</v>
      </c>
      <c r="I25" s="54">
        <f t="shared" si="0"/>
        <v>144992426.36000001</v>
      </c>
      <c r="J25" s="53">
        <v>6565639742.4477997</v>
      </c>
      <c r="K25" s="58">
        <f t="shared" si="1"/>
        <v>11736444479.9165</v>
      </c>
    </row>
    <row r="26" spans="1:11">
      <c r="A26" s="51">
        <v>21</v>
      </c>
      <c r="B26" s="52" t="s">
        <v>108</v>
      </c>
      <c r="C26" s="53">
        <v>746673920.85388398</v>
      </c>
      <c r="D26" s="53">
        <v>0</v>
      </c>
      <c r="E26" s="53">
        <v>2303518892.2683001</v>
      </c>
      <c r="F26" s="53">
        <v>114046803.8769</v>
      </c>
      <c r="G26" s="53">
        <v>91505784.400000006</v>
      </c>
      <c r="H26" s="54">
        <f>G26/2</f>
        <v>45752892.200000003</v>
      </c>
      <c r="I26" s="54">
        <f t="shared" si="0"/>
        <v>45752892.200000003</v>
      </c>
      <c r="J26" s="53">
        <v>3887992712.3583999</v>
      </c>
      <c r="K26" s="58">
        <f t="shared" si="1"/>
        <v>7097985221.5574799</v>
      </c>
    </row>
    <row r="27" spans="1:11">
      <c r="A27" s="51">
        <v>22</v>
      </c>
      <c r="B27" s="52" t="s">
        <v>109</v>
      </c>
      <c r="C27" s="53">
        <v>771742189.95844698</v>
      </c>
      <c r="D27" s="53">
        <v>0</v>
      </c>
      <c r="E27" s="53">
        <v>2380855504.4970999</v>
      </c>
      <c r="F27" s="53">
        <v>119710222.6561</v>
      </c>
      <c r="G27" s="53">
        <v>94577930.829999998</v>
      </c>
      <c r="H27" s="54">
        <f>G27/2</f>
        <v>47288965.414999999</v>
      </c>
      <c r="I27" s="54">
        <f t="shared" si="0"/>
        <v>47288965.414999999</v>
      </c>
      <c r="J27" s="53">
        <v>4052697235.5450001</v>
      </c>
      <c r="K27" s="58">
        <f t="shared" si="1"/>
        <v>7372294118.0716496</v>
      </c>
    </row>
    <row r="28" spans="1:11">
      <c r="A28" s="51">
        <v>23</v>
      </c>
      <c r="B28" s="52" t="s">
        <v>110</v>
      </c>
      <c r="C28" s="53">
        <v>546088435.469612</v>
      </c>
      <c r="D28" s="53">
        <v>0</v>
      </c>
      <c r="E28" s="53">
        <v>1684704651.9514</v>
      </c>
      <c r="F28" s="53">
        <v>96539030.549099997</v>
      </c>
      <c r="G28" s="53">
        <v>66923792.619999997</v>
      </c>
      <c r="H28" s="54">
        <f>G28/2</f>
        <v>33461896.309999999</v>
      </c>
      <c r="I28" s="54">
        <f t="shared" si="0"/>
        <v>33461896.309999999</v>
      </c>
      <c r="J28" s="53">
        <v>3124645891.6145</v>
      </c>
      <c r="K28" s="58">
        <f t="shared" si="1"/>
        <v>5485439905.8946104</v>
      </c>
    </row>
    <row r="29" spans="1:11">
      <c r="A29" s="51">
        <v>24</v>
      </c>
      <c r="B29" s="52" t="s">
        <v>111</v>
      </c>
      <c r="C29" s="53">
        <v>930259568.19679594</v>
      </c>
      <c r="D29" s="53">
        <v>0</v>
      </c>
      <c r="E29" s="53">
        <v>2869887952.7014999</v>
      </c>
      <c r="F29" s="53">
        <v>474061565.35600001</v>
      </c>
      <c r="G29" s="53">
        <v>114004425.63</v>
      </c>
      <c r="H29" s="53">
        <v>0</v>
      </c>
      <c r="I29" s="54">
        <f t="shared" si="0"/>
        <v>114004425.63</v>
      </c>
      <c r="J29" s="53">
        <v>27038399856.9282</v>
      </c>
      <c r="K29" s="58">
        <f t="shared" si="1"/>
        <v>31426613368.8125</v>
      </c>
    </row>
    <row r="30" spans="1:11">
      <c r="A30" s="51">
        <v>25</v>
      </c>
      <c r="B30" s="52" t="s">
        <v>112</v>
      </c>
      <c r="C30" s="53">
        <v>487205005.169029</v>
      </c>
      <c r="D30" s="53">
        <v>0</v>
      </c>
      <c r="E30" s="53">
        <v>1503046915.7556</v>
      </c>
      <c r="F30" s="53">
        <v>77056117.310100004</v>
      </c>
      <c r="G30" s="53">
        <v>59707557.630000003</v>
      </c>
      <c r="H30" s="53">
        <v>59707557.630000003</v>
      </c>
      <c r="I30" s="54">
        <f t="shared" si="0"/>
        <v>0</v>
      </c>
      <c r="J30" s="53">
        <v>2439126998.9713998</v>
      </c>
      <c r="K30" s="58">
        <f t="shared" si="1"/>
        <v>4506435037.20613</v>
      </c>
    </row>
    <row r="31" spans="1:11">
      <c r="A31" s="51">
        <v>26</v>
      </c>
      <c r="B31" s="52" t="s">
        <v>113</v>
      </c>
      <c r="C31" s="53">
        <v>901778882.97038805</v>
      </c>
      <c r="D31" s="53">
        <v>0</v>
      </c>
      <c r="E31" s="53">
        <v>2782023900.3327999</v>
      </c>
      <c r="F31" s="53">
        <v>143896024.01280001</v>
      </c>
      <c r="G31" s="53">
        <v>110514083.5</v>
      </c>
      <c r="H31" s="54">
        <f>G31/2</f>
        <v>55257041.75</v>
      </c>
      <c r="I31" s="54">
        <f t="shared" si="0"/>
        <v>55257041.75</v>
      </c>
      <c r="J31" s="53">
        <v>4745318856.0925999</v>
      </c>
      <c r="K31" s="58">
        <f t="shared" si="1"/>
        <v>8628274705.1585903</v>
      </c>
    </row>
    <row r="32" spans="1:11">
      <c r="A32" s="51">
        <v>27</v>
      </c>
      <c r="B32" s="52" t="s">
        <v>114</v>
      </c>
      <c r="C32" s="53">
        <v>643325794.60708702</v>
      </c>
      <c r="D32" s="53">
        <v>0</v>
      </c>
      <c r="E32" s="53">
        <v>1984685791.7119999</v>
      </c>
      <c r="F32" s="53">
        <v>150834976.44319999</v>
      </c>
      <c r="G32" s="53">
        <v>78840347.590000004</v>
      </c>
      <c r="H32" s="53">
        <v>0</v>
      </c>
      <c r="I32" s="54">
        <f t="shared" si="0"/>
        <v>78840347.590000004</v>
      </c>
      <c r="J32" s="53">
        <v>4053347862.5689998</v>
      </c>
      <c r="K32" s="58">
        <f t="shared" si="1"/>
        <v>6911034772.9212904</v>
      </c>
    </row>
    <row r="33" spans="1:12">
      <c r="A33" s="51">
        <v>28</v>
      </c>
      <c r="B33" s="52" t="s">
        <v>115</v>
      </c>
      <c r="C33" s="53">
        <v>614416827.06116498</v>
      </c>
      <c r="D33" s="53">
        <v>0</v>
      </c>
      <c r="E33" s="53">
        <v>1895500471.2693</v>
      </c>
      <c r="F33" s="53">
        <v>119217563.4601</v>
      </c>
      <c r="G33" s="53">
        <v>75297518.950000003</v>
      </c>
      <c r="H33" s="54">
        <f>G33/2</f>
        <v>37648759.475000001</v>
      </c>
      <c r="I33" s="54">
        <f t="shared" si="0"/>
        <v>37648759.475000001</v>
      </c>
      <c r="J33" s="53">
        <v>3673105927.7839999</v>
      </c>
      <c r="K33" s="58">
        <f t="shared" si="1"/>
        <v>6339889549.0495596</v>
      </c>
    </row>
    <row r="34" spans="1:12">
      <c r="A34" s="51">
        <v>29</v>
      </c>
      <c r="B34" s="52" t="s">
        <v>116</v>
      </c>
      <c r="C34" s="53">
        <v>832243126.68864095</v>
      </c>
      <c r="D34" s="53">
        <v>0</v>
      </c>
      <c r="E34" s="53">
        <v>2567503312.6848001</v>
      </c>
      <c r="F34" s="53">
        <v>159322962.6618</v>
      </c>
      <c r="G34" s="53">
        <v>101992393.18000001</v>
      </c>
      <c r="H34" s="53">
        <v>0</v>
      </c>
      <c r="I34" s="54">
        <f t="shared" si="0"/>
        <v>101992393.18000001</v>
      </c>
      <c r="J34" s="53">
        <v>5144814666.8919001</v>
      </c>
      <c r="K34" s="58">
        <f t="shared" si="1"/>
        <v>8805876462.1071396</v>
      </c>
    </row>
    <row r="35" spans="1:12">
      <c r="A35" s="51">
        <v>30</v>
      </c>
      <c r="B35" s="52" t="s">
        <v>117</v>
      </c>
      <c r="C35" s="53">
        <v>1049809769.10311</v>
      </c>
      <c r="D35" s="53">
        <v>0</v>
      </c>
      <c r="E35" s="53">
        <v>3238705101.2192998</v>
      </c>
      <c r="F35" s="53">
        <v>245643559.5961</v>
      </c>
      <c r="G35" s="53">
        <v>128655446.11</v>
      </c>
      <c r="H35" s="53">
        <v>0</v>
      </c>
      <c r="I35" s="54">
        <f t="shared" si="0"/>
        <v>128655446.11</v>
      </c>
      <c r="J35" s="53">
        <v>7914543958.4106998</v>
      </c>
      <c r="K35" s="58">
        <f t="shared" si="1"/>
        <v>12577357834.439199</v>
      </c>
    </row>
    <row r="36" spans="1:12">
      <c r="A36" s="51">
        <v>31</v>
      </c>
      <c r="B36" s="52" t="s">
        <v>118</v>
      </c>
      <c r="C36" s="53">
        <v>658090065.47009695</v>
      </c>
      <c r="D36" s="53">
        <v>0</v>
      </c>
      <c r="E36" s="53">
        <v>2030234157.49</v>
      </c>
      <c r="F36" s="53">
        <v>108373613.3186</v>
      </c>
      <c r="G36" s="53">
        <v>80649726.680000007</v>
      </c>
      <c r="H36" s="54">
        <f>G36/2</f>
        <v>40324863.340000004</v>
      </c>
      <c r="I36" s="54">
        <f t="shared" si="0"/>
        <v>40324863.340000004</v>
      </c>
      <c r="J36" s="53">
        <v>3541864940.947</v>
      </c>
      <c r="K36" s="58">
        <f t="shared" si="1"/>
        <v>6378887640.5656996</v>
      </c>
    </row>
    <row r="37" spans="1:12">
      <c r="A37" s="51">
        <v>32</v>
      </c>
      <c r="B37" s="52" t="s">
        <v>119</v>
      </c>
      <c r="C37" s="53">
        <v>815739118.62310696</v>
      </c>
      <c r="D37" s="53">
        <v>0</v>
      </c>
      <c r="E37" s="53">
        <v>2516587788.0964999</v>
      </c>
      <c r="F37" s="53">
        <v>184490602.18990001</v>
      </c>
      <c r="G37" s="53">
        <v>99969807.200000003</v>
      </c>
      <c r="H37" s="54">
        <f>G37/2</f>
        <v>49984903.600000001</v>
      </c>
      <c r="I37" s="54">
        <f t="shared" si="0"/>
        <v>49984903.600000001</v>
      </c>
      <c r="J37" s="53">
        <v>10788029693.7549</v>
      </c>
      <c r="K37" s="58">
        <f t="shared" si="1"/>
        <v>14354832106.2644</v>
      </c>
    </row>
    <row r="38" spans="1:12">
      <c r="A38" s="51">
        <v>33</v>
      </c>
      <c r="B38" s="52" t="s">
        <v>120</v>
      </c>
      <c r="C38" s="53">
        <v>821575549.23786402</v>
      </c>
      <c r="D38" s="53">
        <v>0</v>
      </c>
      <c r="E38" s="53">
        <v>2534593409.8396001</v>
      </c>
      <c r="F38" s="53">
        <v>129364230.86130001</v>
      </c>
      <c r="G38" s="53">
        <v>100685068.78</v>
      </c>
      <c r="H38" s="53">
        <v>0</v>
      </c>
      <c r="I38" s="54">
        <f t="shared" si="0"/>
        <v>100685068.78</v>
      </c>
      <c r="J38" s="53">
        <v>4411528452.0517998</v>
      </c>
      <c r="K38" s="58">
        <f t="shared" si="1"/>
        <v>7997746710.7705603</v>
      </c>
    </row>
    <row r="39" spans="1:12">
      <c r="A39" s="51">
        <v>34</v>
      </c>
      <c r="B39" s="52" t="s">
        <v>121</v>
      </c>
      <c r="C39" s="53">
        <v>615773622.78504896</v>
      </c>
      <c r="D39" s="53">
        <v>0</v>
      </c>
      <c r="E39" s="53">
        <v>1899686240.3125999</v>
      </c>
      <c r="F39" s="53">
        <v>86420655.039000005</v>
      </c>
      <c r="G39" s="53">
        <v>75463795.890000001</v>
      </c>
      <c r="H39" s="53">
        <v>75463795.890000001</v>
      </c>
      <c r="I39" s="54">
        <f t="shared" si="0"/>
        <v>0</v>
      </c>
      <c r="J39" s="53">
        <v>3010924387.6750002</v>
      </c>
      <c r="K39" s="58">
        <f t="shared" si="1"/>
        <v>5612804905.8116503</v>
      </c>
    </row>
    <row r="40" spans="1:12">
      <c r="A40" s="51">
        <v>35</v>
      </c>
      <c r="B40" s="52" t="s">
        <v>122</v>
      </c>
      <c r="C40" s="53">
        <v>619106412.92106795</v>
      </c>
      <c r="D40" s="53">
        <v>0</v>
      </c>
      <c r="E40" s="53">
        <v>1909968031.102</v>
      </c>
      <c r="F40" s="53">
        <v>89610250.252499998</v>
      </c>
      <c r="G40" s="53">
        <v>75872233.299999997</v>
      </c>
      <c r="H40" s="53">
        <v>0</v>
      </c>
      <c r="I40" s="54">
        <f t="shared" si="0"/>
        <v>75872233.299999997</v>
      </c>
      <c r="J40" s="53">
        <v>3125516529.9014001</v>
      </c>
      <c r="K40" s="58">
        <f t="shared" si="1"/>
        <v>5820073457.4769697</v>
      </c>
    </row>
    <row r="41" spans="1:12">
      <c r="A41" s="51">
        <v>36</v>
      </c>
      <c r="B41" s="52" t="s">
        <v>123</v>
      </c>
      <c r="C41" s="53">
        <v>559404030.184466</v>
      </c>
      <c r="D41" s="53">
        <v>0</v>
      </c>
      <c r="E41" s="53">
        <v>1725783793.9047999</v>
      </c>
      <c r="F41" s="53">
        <v>89508412.109099999</v>
      </c>
      <c r="G41" s="53">
        <v>68555634.730000004</v>
      </c>
      <c r="H41" s="53">
        <v>0</v>
      </c>
      <c r="I41" s="54">
        <f t="shared" si="0"/>
        <v>68555634.730000004</v>
      </c>
      <c r="J41" s="53">
        <v>3031950619.9239001</v>
      </c>
      <c r="K41" s="58">
        <f t="shared" si="1"/>
        <v>5475202490.8522701</v>
      </c>
    </row>
    <row r="42" spans="1:12">
      <c r="A42" s="51">
        <v>37</v>
      </c>
      <c r="B42" s="52" t="s">
        <v>931</v>
      </c>
      <c r="C42" s="53">
        <v>247071576.38786399</v>
      </c>
      <c r="D42" s="53">
        <v>0</v>
      </c>
      <c r="E42" s="53">
        <v>762225689.22850001</v>
      </c>
      <c r="F42" s="53">
        <v>95672088.593799993</v>
      </c>
      <c r="G42" s="53">
        <v>30278917.969999999</v>
      </c>
      <c r="H42" s="53">
        <v>0</v>
      </c>
      <c r="I42" s="54">
        <f t="shared" si="0"/>
        <v>30278917.969999999</v>
      </c>
      <c r="J42" s="53">
        <v>2815490786.5907001</v>
      </c>
      <c r="K42" s="58">
        <f t="shared" si="1"/>
        <v>3950739058.7708602</v>
      </c>
    </row>
    <row r="43" spans="1:12">
      <c r="A43" s="29"/>
      <c r="B43" s="29"/>
      <c r="C43" s="45">
        <f>SUM(C6:C42)</f>
        <v>27192252178.328899</v>
      </c>
      <c r="D43" s="45">
        <f t="shared" ref="D43:K43" si="2">SUM(D6:D42)</f>
        <v>-4715125.5010000002</v>
      </c>
      <c r="E43" s="45">
        <f t="shared" si="2"/>
        <v>83889184912.841293</v>
      </c>
      <c r="F43" s="45">
        <f t="shared" si="2"/>
        <v>5256041832.2238998</v>
      </c>
      <c r="G43" s="45">
        <f t="shared" si="2"/>
        <v>3332443112.73</v>
      </c>
      <c r="H43" s="45">
        <f t="shared" si="2"/>
        <v>957717616.19000006</v>
      </c>
      <c r="I43" s="45">
        <f t="shared" si="2"/>
        <v>2374725496.54</v>
      </c>
      <c r="J43" s="45">
        <f t="shared" si="2"/>
        <v>186863277023.811</v>
      </c>
      <c r="K43" s="45">
        <f t="shared" si="2"/>
        <v>305570766318.245</v>
      </c>
    </row>
    <row r="45" spans="1:12">
      <c r="I45" s="43"/>
    </row>
    <row r="46" spans="1:12">
      <c r="C46" s="43"/>
      <c r="D46" s="55"/>
      <c r="K46" s="44"/>
    </row>
    <row r="47" spans="1:12">
      <c r="L47" s="44"/>
    </row>
    <row r="49" spans="11:11">
      <c r="K49" s="44"/>
    </row>
  </sheetData>
  <mergeCells count="3">
    <mergeCell ref="A1:K1"/>
    <mergeCell ref="A2:K2"/>
    <mergeCell ref="A3:K3"/>
  </mergeCells>
  <printOptions horizontalCentered="1" verticalCentered="1"/>
  <pageMargins left="0.118055555555556" right="0.118055555555556" top="0.35416666666666702" bottom="0.35416666666666702" header="0.31458333333333299" footer="0.31458333333333299"/>
  <pageSetup paperSize="9" scale="52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4"/>
  <sheetViews>
    <sheetView workbookViewId="0">
      <selection activeCell="A3" sqref="A3:E3"/>
    </sheetView>
  </sheetViews>
  <sheetFormatPr defaultColWidth="8.85546875" defaultRowHeight="18.75"/>
  <cols>
    <col min="1" max="1" width="8.85546875" style="30"/>
    <col min="2" max="2" width="20.140625" style="30" customWidth="1"/>
    <col min="3" max="3" width="26.28515625" style="30" customWidth="1"/>
    <col min="4" max="4" width="28.7109375" style="30" customWidth="1"/>
    <col min="5" max="6" width="24.85546875" style="30" customWidth="1"/>
    <col min="7" max="7" width="19.5703125" style="30" customWidth="1"/>
    <col min="8" max="8" width="23" style="30" customWidth="1"/>
    <col min="9" max="9" width="21.7109375" style="30" customWidth="1"/>
    <col min="10" max="10" width="22.7109375" style="30" customWidth="1"/>
    <col min="11" max="16384" width="8.85546875" style="30"/>
  </cols>
  <sheetData>
    <row r="1" spans="1:10" ht="20.25">
      <c r="A1" s="203" t="s">
        <v>125</v>
      </c>
      <c r="B1" s="160"/>
      <c r="C1" s="160"/>
      <c r="D1" s="160"/>
      <c r="E1" s="160"/>
      <c r="F1" s="31"/>
    </row>
    <row r="2" spans="1:10" ht="20.25">
      <c r="A2" s="203" t="s">
        <v>62</v>
      </c>
      <c r="B2" s="160"/>
      <c r="C2" s="160"/>
      <c r="D2" s="160"/>
      <c r="E2" s="160"/>
      <c r="F2" s="31"/>
    </row>
    <row r="3" spans="1:10" ht="45.75" customHeight="1">
      <c r="A3" s="204" t="s">
        <v>952</v>
      </c>
      <c r="B3" s="205"/>
      <c r="C3" s="205"/>
      <c r="D3" s="205"/>
      <c r="E3" s="205"/>
      <c r="F3" s="32"/>
    </row>
    <row r="4" spans="1:10" ht="62.25" customHeight="1">
      <c r="A4" s="33" t="s">
        <v>953</v>
      </c>
      <c r="B4" s="33" t="s">
        <v>127</v>
      </c>
      <c r="C4" s="3" t="s">
        <v>954</v>
      </c>
      <c r="D4" s="4" t="s">
        <v>955</v>
      </c>
      <c r="E4" s="12" t="s">
        <v>949</v>
      </c>
      <c r="F4" s="34"/>
      <c r="G4" s="35"/>
      <c r="H4" s="36"/>
      <c r="I4" s="36"/>
    </row>
    <row r="5" spans="1:10">
      <c r="A5" s="37"/>
      <c r="B5" s="37"/>
      <c r="C5" s="149" t="s">
        <v>28</v>
      </c>
      <c r="D5" s="149" t="s">
        <v>28</v>
      </c>
      <c r="E5" s="149" t="s">
        <v>28</v>
      </c>
      <c r="F5" s="38"/>
    </row>
    <row r="6" spans="1:10">
      <c r="A6" s="39">
        <v>1</v>
      </c>
      <c r="B6" s="40" t="s">
        <v>88</v>
      </c>
      <c r="C6" s="41">
        <v>24172826.379999999</v>
      </c>
      <c r="D6" s="41">
        <v>74574135.629999995</v>
      </c>
      <c r="E6" s="42">
        <f>C6+D6</f>
        <v>98746962.010000005</v>
      </c>
      <c r="F6" s="43"/>
      <c r="G6" s="44"/>
      <c r="H6" s="44"/>
      <c r="I6" s="44"/>
      <c r="J6" s="44"/>
    </row>
    <row r="7" spans="1:10">
      <c r="A7" s="39">
        <v>2</v>
      </c>
      <c r="B7" s="40" t="s">
        <v>89</v>
      </c>
      <c r="C7" s="41">
        <v>25715730.350000001</v>
      </c>
      <c r="D7" s="41">
        <v>79334056.060000002</v>
      </c>
      <c r="E7" s="42">
        <f t="shared" ref="E7:E41" si="0">C7+D7</f>
        <v>105049786.41</v>
      </c>
      <c r="F7" s="43"/>
      <c r="G7" s="44"/>
      <c r="H7" s="44"/>
      <c r="I7" s="44"/>
      <c r="J7" s="44"/>
    </row>
    <row r="8" spans="1:10">
      <c r="A8" s="39">
        <v>3</v>
      </c>
      <c r="B8" s="40" t="s">
        <v>90</v>
      </c>
      <c r="C8" s="41">
        <v>25954704.620000001</v>
      </c>
      <c r="D8" s="41">
        <v>80071301.209999993</v>
      </c>
      <c r="E8" s="42">
        <f t="shared" si="0"/>
        <v>106026005.83</v>
      </c>
      <c r="F8" s="43"/>
      <c r="G8" s="44"/>
      <c r="H8" s="44"/>
      <c r="I8" s="44"/>
      <c r="J8" s="44"/>
    </row>
    <row r="9" spans="1:10">
      <c r="A9" s="39">
        <v>4</v>
      </c>
      <c r="B9" s="40" t="s">
        <v>91</v>
      </c>
      <c r="C9" s="41">
        <v>25667554.960000001</v>
      </c>
      <c r="D9" s="41">
        <v>79185433.049999997</v>
      </c>
      <c r="E9" s="42">
        <f t="shared" si="0"/>
        <v>104852988.01000001</v>
      </c>
      <c r="F9" s="43"/>
      <c r="G9" s="44"/>
      <c r="H9" s="44"/>
      <c r="I9" s="44"/>
      <c r="J9" s="44"/>
    </row>
    <row r="10" spans="1:10">
      <c r="A10" s="39">
        <v>5</v>
      </c>
      <c r="B10" s="40" t="s">
        <v>92</v>
      </c>
      <c r="C10" s="41">
        <v>30878928.579999998</v>
      </c>
      <c r="D10" s="41">
        <v>95262728.980000004</v>
      </c>
      <c r="E10" s="42">
        <f t="shared" si="0"/>
        <v>126141657.56</v>
      </c>
      <c r="F10" s="43"/>
      <c r="G10" s="44"/>
      <c r="H10" s="44"/>
      <c r="I10" s="44"/>
      <c r="J10" s="44"/>
    </row>
    <row r="11" spans="1:10">
      <c r="A11" s="39">
        <v>6</v>
      </c>
      <c r="B11" s="40" t="s">
        <v>93</v>
      </c>
      <c r="C11" s="41">
        <v>22841630.359999999</v>
      </c>
      <c r="D11" s="41">
        <v>70467342.709999993</v>
      </c>
      <c r="E11" s="42">
        <f t="shared" si="0"/>
        <v>93308973.069999993</v>
      </c>
      <c r="F11" s="43"/>
      <c r="G11" s="44"/>
      <c r="H11" s="44"/>
      <c r="I11" s="44"/>
      <c r="J11" s="44"/>
    </row>
    <row r="12" spans="1:10" ht="30" customHeight="1">
      <c r="A12" s="39">
        <v>7</v>
      </c>
      <c r="B12" s="40" t="s">
        <v>94</v>
      </c>
      <c r="C12" s="41">
        <v>28950991.68</v>
      </c>
      <c r="D12" s="41">
        <v>89314966.590000004</v>
      </c>
      <c r="E12" s="42">
        <f t="shared" si="0"/>
        <v>118265958.27</v>
      </c>
      <c r="F12" s="43"/>
      <c r="G12" s="44"/>
      <c r="H12" s="44"/>
      <c r="I12" s="44"/>
      <c r="J12" s="44"/>
    </row>
    <row r="13" spans="1:10">
      <c r="A13" s="39">
        <v>8</v>
      </c>
      <c r="B13" s="40" t="s">
        <v>95</v>
      </c>
      <c r="C13" s="41">
        <v>32073549.699999999</v>
      </c>
      <c r="D13" s="41">
        <v>98948182.890000001</v>
      </c>
      <c r="E13" s="42">
        <f t="shared" si="0"/>
        <v>131021732.59</v>
      </c>
      <c r="F13" s="43"/>
      <c r="G13" s="44"/>
      <c r="H13" s="44"/>
      <c r="I13" s="44"/>
      <c r="J13" s="44"/>
    </row>
    <row r="14" spans="1:10">
      <c r="A14" s="39">
        <v>9</v>
      </c>
      <c r="B14" s="40" t="s">
        <v>96</v>
      </c>
      <c r="C14" s="41">
        <v>25959130.969999999</v>
      </c>
      <c r="D14" s="41">
        <v>80084956.680000007</v>
      </c>
      <c r="E14" s="42">
        <f t="shared" si="0"/>
        <v>106044087.65000001</v>
      </c>
      <c r="F14" s="43"/>
      <c r="G14" s="44"/>
      <c r="H14" s="44"/>
      <c r="I14" s="44"/>
      <c r="J14" s="44"/>
    </row>
    <row r="15" spans="1:10">
      <c r="A15" s="39">
        <v>10</v>
      </c>
      <c r="B15" s="40" t="s">
        <v>97</v>
      </c>
      <c r="C15" s="41">
        <v>26211478.879999999</v>
      </c>
      <c r="D15" s="41">
        <v>80863460.099999994</v>
      </c>
      <c r="E15" s="42">
        <f t="shared" si="0"/>
        <v>107074938.98</v>
      </c>
      <c r="F15" s="43"/>
      <c r="G15" s="44"/>
      <c r="H15" s="44"/>
      <c r="I15" s="44"/>
      <c r="J15" s="44"/>
    </row>
    <row r="16" spans="1:10">
      <c r="A16" s="39">
        <v>11</v>
      </c>
      <c r="B16" s="40" t="s">
        <v>98</v>
      </c>
      <c r="C16" s="41">
        <v>23095242.809999999</v>
      </c>
      <c r="D16" s="41">
        <v>71249747.25</v>
      </c>
      <c r="E16" s="42">
        <f t="shared" si="0"/>
        <v>94344990.060000002</v>
      </c>
      <c r="F16" s="43"/>
      <c r="G16" s="44"/>
      <c r="H16" s="44"/>
      <c r="I16" s="44"/>
      <c r="J16" s="44"/>
    </row>
    <row r="17" spans="1:10">
      <c r="A17" s="39">
        <v>12</v>
      </c>
      <c r="B17" s="40" t="s">
        <v>99</v>
      </c>
      <c r="C17" s="41">
        <v>24138230.199999999</v>
      </c>
      <c r="D17" s="41">
        <v>74467405.030000001</v>
      </c>
      <c r="E17" s="42">
        <f t="shared" si="0"/>
        <v>98605635.230000004</v>
      </c>
      <c r="F17" s="43"/>
      <c r="G17" s="44"/>
      <c r="H17" s="44"/>
      <c r="I17" s="44"/>
      <c r="J17" s="44"/>
    </row>
    <row r="18" spans="1:10">
      <c r="A18" s="39">
        <v>13</v>
      </c>
      <c r="B18" s="40" t="s">
        <v>100</v>
      </c>
      <c r="C18" s="41">
        <v>23082210.300000001</v>
      </c>
      <c r="D18" s="41">
        <v>71209541.430000007</v>
      </c>
      <c r="E18" s="42">
        <f t="shared" si="0"/>
        <v>94291751.730000004</v>
      </c>
      <c r="F18" s="43"/>
      <c r="G18" s="44"/>
      <c r="H18" s="44"/>
      <c r="I18" s="44"/>
      <c r="J18" s="44"/>
    </row>
    <row r="19" spans="1:10">
      <c r="A19" s="39">
        <v>14</v>
      </c>
      <c r="B19" s="40" t="s">
        <v>101</v>
      </c>
      <c r="C19" s="41">
        <v>25961371.41</v>
      </c>
      <c r="D19" s="41">
        <v>80091868.549999997</v>
      </c>
      <c r="E19" s="42">
        <f t="shared" si="0"/>
        <v>106053239.95999999</v>
      </c>
      <c r="F19" s="43"/>
      <c r="G19" s="44"/>
      <c r="H19" s="44"/>
      <c r="I19" s="44"/>
      <c r="J19" s="44"/>
    </row>
    <row r="20" spans="1:10">
      <c r="A20" s="39">
        <v>15</v>
      </c>
      <c r="B20" s="40" t="s">
        <v>102</v>
      </c>
      <c r="C20" s="41">
        <v>24315675.559999999</v>
      </c>
      <c r="D20" s="41">
        <v>75014831.060000002</v>
      </c>
      <c r="E20" s="42">
        <f t="shared" si="0"/>
        <v>99330506.620000005</v>
      </c>
      <c r="F20" s="43"/>
      <c r="G20" s="44"/>
      <c r="H20" s="44"/>
      <c r="I20" s="44"/>
      <c r="J20" s="44"/>
    </row>
    <row r="21" spans="1:10">
      <c r="A21" s="39">
        <v>16</v>
      </c>
      <c r="B21" s="40" t="s">
        <v>103</v>
      </c>
      <c r="C21" s="41">
        <v>26840235.780000001</v>
      </c>
      <c r="D21" s="41">
        <v>82803200.239999995</v>
      </c>
      <c r="E21" s="42">
        <f t="shared" si="0"/>
        <v>109643436.02</v>
      </c>
      <c r="F21" s="43"/>
      <c r="G21" s="44"/>
      <c r="H21" s="44"/>
      <c r="I21" s="44"/>
      <c r="J21" s="44"/>
    </row>
    <row r="22" spans="1:10">
      <c r="A22" s="39">
        <v>17</v>
      </c>
      <c r="B22" s="40" t="s">
        <v>104</v>
      </c>
      <c r="C22" s="41">
        <v>28869163.390000001</v>
      </c>
      <c r="D22" s="41">
        <v>89062523.030000001</v>
      </c>
      <c r="E22" s="42">
        <f t="shared" si="0"/>
        <v>117931686.42</v>
      </c>
      <c r="F22" s="43"/>
      <c r="G22" s="44"/>
      <c r="H22" s="44"/>
      <c r="I22" s="44"/>
      <c r="J22" s="44"/>
    </row>
    <row r="23" spans="1:10">
      <c r="A23" s="39">
        <v>18</v>
      </c>
      <c r="B23" s="40" t="s">
        <v>105</v>
      </c>
      <c r="C23" s="41">
        <v>33823582.700000003</v>
      </c>
      <c r="D23" s="41">
        <v>104347104.63</v>
      </c>
      <c r="E23" s="42">
        <f t="shared" si="0"/>
        <v>138170687.33000001</v>
      </c>
      <c r="F23" s="43"/>
      <c r="G23" s="44"/>
      <c r="H23" s="44"/>
      <c r="I23" s="44"/>
      <c r="J23" s="44"/>
    </row>
    <row r="24" spans="1:10">
      <c r="A24" s="39">
        <v>19</v>
      </c>
      <c r="B24" s="40" t="s">
        <v>106</v>
      </c>
      <c r="C24" s="41">
        <v>40947212.43</v>
      </c>
      <c r="D24" s="41">
        <v>126323787.11</v>
      </c>
      <c r="E24" s="42">
        <f t="shared" si="0"/>
        <v>167270999.53999999</v>
      </c>
      <c r="F24" s="43"/>
      <c r="G24" s="44"/>
      <c r="H24" s="44"/>
      <c r="I24" s="44"/>
      <c r="J24" s="44"/>
    </row>
    <row r="25" spans="1:10">
      <c r="A25" s="39">
        <v>20</v>
      </c>
      <c r="B25" s="40" t="s">
        <v>107</v>
      </c>
      <c r="C25" s="41">
        <v>31732924.280000001</v>
      </c>
      <c r="D25" s="41">
        <v>97897339.840000004</v>
      </c>
      <c r="E25" s="42">
        <f t="shared" si="0"/>
        <v>129630264.12</v>
      </c>
      <c r="F25" s="43"/>
      <c r="G25" s="44"/>
      <c r="H25" s="44"/>
      <c r="I25" s="44"/>
      <c r="J25" s="44"/>
    </row>
    <row r="26" spans="1:10">
      <c r="A26" s="39">
        <v>21</v>
      </c>
      <c r="B26" s="40" t="s">
        <v>108</v>
      </c>
      <c r="C26" s="41">
        <v>27258740.27</v>
      </c>
      <c r="D26" s="41">
        <v>84094303.340000004</v>
      </c>
      <c r="E26" s="42">
        <f t="shared" si="0"/>
        <v>111353043.61</v>
      </c>
      <c r="F26" s="43"/>
      <c r="G26" s="44"/>
      <c r="H26" s="44"/>
      <c r="I26" s="44"/>
      <c r="J26" s="44"/>
    </row>
    <row r="27" spans="1:10">
      <c r="A27" s="39">
        <v>22</v>
      </c>
      <c r="B27" s="40" t="s">
        <v>109</v>
      </c>
      <c r="C27" s="41">
        <v>28531671.91</v>
      </c>
      <c r="D27" s="41">
        <v>88021348.329999998</v>
      </c>
      <c r="E27" s="42">
        <f t="shared" si="0"/>
        <v>116553020.23999999</v>
      </c>
      <c r="F27" s="43"/>
      <c r="G27" s="44"/>
      <c r="H27" s="44"/>
      <c r="I27" s="44"/>
      <c r="J27" s="44"/>
    </row>
    <row r="28" spans="1:10">
      <c r="A28" s="39">
        <v>23</v>
      </c>
      <c r="B28" s="40" t="s">
        <v>110</v>
      </c>
      <c r="C28" s="41">
        <v>22979300.890000001</v>
      </c>
      <c r="D28" s="41">
        <v>70892061.769999996</v>
      </c>
      <c r="E28" s="42">
        <f t="shared" si="0"/>
        <v>93871362.659999996</v>
      </c>
      <c r="F28" s="43"/>
      <c r="G28" s="44"/>
      <c r="H28" s="44"/>
      <c r="I28" s="44"/>
      <c r="J28" s="44"/>
    </row>
    <row r="29" spans="1:10">
      <c r="A29" s="39">
        <v>24</v>
      </c>
      <c r="B29" s="40" t="s">
        <v>111</v>
      </c>
      <c r="C29" s="41">
        <v>34582577.259999998</v>
      </c>
      <c r="D29" s="41">
        <v>106688633.2</v>
      </c>
      <c r="E29" s="42">
        <f t="shared" si="0"/>
        <v>141271210.46000001</v>
      </c>
      <c r="F29" s="43"/>
      <c r="G29" s="44"/>
      <c r="H29" s="44"/>
      <c r="I29" s="44"/>
      <c r="J29" s="44"/>
    </row>
    <row r="30" spans="1:10">
      <c r="A30" s="39">
        <v>25</v>
      </c>
      <c r="B30" s="40" t="s">
        <v>112</v>
      </c>
      <c r="C30" s="41">
        <v>23806605.09</v>
      </c>
      <c r="D30" s="41">
        <v>73444328.329999998</v>
      </c>
      <c r="E30" s="42">
        <f t="shared" si="0"/>
        <v>97250933.420000002</v>
      </c>
      <c r="F30" s="43"/>
      <c r="G30" s="44"/>
      <c r="H30" s="44"/>
      <c r="I30" s="44"/>
      <c r="J30" s="44"/>
    </row>
    <row r="31" spans="1:10">
      <c r="A31" s="39">
        <v>26</v>
      </c>
      <c r="B31" s="40" t="s">
        <v>113</v>
      </c>
      <c r="C31" s="41">
        <v>30578524.280000001</v>
      </c>
      <c r="D31" s="41">
        <v>94335969.700000003</v>
      </c>
      <c r="E31" s="42">
        <f t="shared" si="0"/>
        <v>124914493.98</v>
      </c>
      <c r="F31" s="43"/>
      <c r="G31" s="44"/>
      <c r="H31" s="44"/>
      <c r="I31" s="44"/>
      <c r="J31" s="44"/>
    </row>
    <row r="32" spans="1:10">
      <c r="A32" s="39">
        <v>27</v>
      </c>
      <c r="B32" s="40" t="s">
        <v>114</v>
      </c>
      <c r="C32" s="41">
        <v>23983416.789999999</v>
      </c>
      <c r="D32" s="41">
        <v>73989799.480000004</v>
      </c>
      <c r="E32" s="42">
        <f t="shared" si="0"/>
        <v>97973216.269999996</v>
      </c>
      <c r="F32" s="43"/>
      <c r="G32" s="44"/>
      <c r="H32" s="44"/>
      <c r="I32" s="44"/>
      <c r="J32" s="44"/>
    </row>
    <row r="33" spans="1:10">
      <c r="A33" s="39">
        <v>28</v>
      </c>
      <c r="B33" s="40" t="s">
        <v>115</v>
      </c>
      <c r="C33" s="41">
        <v>24030930.629999999</v>
      </c>
      <c r="D33" s="41">
        <v>74136381.560000002</v>
      </c>
      <c r="E33" s="42">
        <f t="shared" si="0"/>
        <v>98167312.189999998</v>
      </c>
      <c r="F33" s="43"/>
      <c r="G33" s="44"/>
      <c r="H33" s="44"/>
      <c r="I33" s="44"/>
      <c r="J33" s="44"/>
    </row>
    <row r="34" spans="1:10">
      <c r="A34" s="39">
        <v>29</v>
      </c>
      <c r="B34" s="40" t="s">
        <v>116</v>
      </c>
      <c r="C34" s="41">
        <v>23543753.09</v>
      </c>
      <c r="D34" s="41">
        <v>72633419.390000001</v>
      </c>
      <c r="E34" s="42">
        <f t="shared" si="0"/>
        <v>96177172.480000004</v>
      </c>
      <c r="F34" s="43"/>
      <c r="G34" s="44"/>
      <c r="H34" s="44"/>
      <c r="I34" s="44"/>
      <c r="J34" s="44"/>
    </row>
    <row r="35" spans="1:10">
      <c r="A35" s="39">
        <v>30</v>
      </c>
      <c r="B35" s="40" t="s">
        <v>117</v>
      </c>
      <c r="C35" s="41">
        <v>28954190.420000002</v>
      </c>
      <c r="D35" s="41">
        <v>89324834.829999998</v>
      </c>
      <c r="E35" s="42">
        <f t="shared" si="0"/>
        <v>118279025.25</v>
      </c>
      <c r="F35" s="43"/>
      <c r="G35" s="44"/>
      <c r="H35" s="44"/>
      <c r="I35" s="44"/>
      <c r="J35" s="44"/>
    </row>
    <row r="36" spans="1:10">
      <c r="A36" s="39">
        <v>31</v>
      </c>
      <c r="B36" s="40" t="s">
        <v>118</v>
      </c>
      <c r="C36" s="41">
        <v>26957305.440000001</v>
      </c>
      <c r="D36" s="41">
        <v>83164364.829999998</v>
      </c>
      <c r="E36" s="42">
        <f t="shared" si="0"/>
        <v>110121670.27</v>
      </c>
      <c r="F36" s="43"/>
      <c r="G36" s="44"/>
      <c r="H36" s="44"/>
      <c r="I36" s="44"/>
      <c r="J36" s="44"/>
    </row>
    <row r="37" spans="1:10">
      <c r="A37" s="39">
        <v>32</v>
      </c>
      <c r="B37" s="40" t="s">
        <v>119</v>
      </c>
      <c r="C37" s="41">
        <v>27840517.789999999</v>
      </c>
      <c r="D37" s="41">
        <v>85889110.230000004</v>
      </c>
      <c r="E37" s="42">
        <f t="shared" si="0"/>
        <v>113729628.02</v>
      </c>
      <c r="F37" s="43"/>
      <c r="G37" s="44"/>
      <c r="H37" s="44"/>
      <c r="I37" s="44"/>
      <c r="J37" s="44"/>
    </row>
    <row r="38" spans="1:10">
      <c r="A38" s="39">
        <v>33</v>
      </c>
      <c r="B38" s="40" t="s">
        <v>120</v>
      </c>
      <c r="C38" s="41">
        <v>28450481.739999998</v>
      </c>
      <c r="D38" s="41">
        <v>87770873.409999996</v>
      </c>
      <c r="E38" s="42">
        <f t="shared" si="0"/>
        <v>116221355.15000001</v>
      </c>
      <c r="F38" s="43"/>
      <c r="G38" s="44"/>
      <c r="H38" s="44"/>
      <c r="I38" s="44"/>
      <c r="J38" s="44"/>
    </row>
    <row r="39" spans="1:10">
      <c r="A39" s="39">
        <v>34</v>
      </c>
      <c r="B39" s="40" t="s">
        <v>121</v>
      </c>
      <c r="C39" s="41">
        <v>24866909.73</v>
      </c>
      <c r="D39" s="41">
        <v>76715410.510000005</v>
      </c>
      <c r="E39" s="42">
        <f t="shared" si="0"/>
        <v>101582320.23999999</v>
      </c>
      <c r="F39" s="43"/>
      <c r="G39" s="44"/>
      <c r="H39" s="44"/>
      <c r="I39" s="44"/>
      <c r="J39" s="44"/>
    </row>
    <row r="40" spans="1:10">
      <c r="A40" s="39">
        <v>35</v>
      </c>
      <c r="B40" s="40" t="s">
        <v>122</v>
      </c>
      <c r="C40" s="41">
        <v>25634591.780000001</v>
      </c>
      <c r="D40" s="41">
        <v>79083740.319999993</v>
      </c>
      <c r="E40" s="42">
        <f t="shared" si="0"/>
        <v>104718332.09999999</v>
      </c>
      <c r="F40" s="43"/>
      <c r="G40" s="44"/>
      <c r="H40" s="44"/>
      <c r="I40" s="44"/>
      <c r="J40" s="44"/>
    </row>
    <row r="41" spans="1:10">
      <c r="A41" s="39">
        <v>36</v>
      </c>
      <c r="B41" s="40" t="s">
        <v>123</v>
      </c>
      <c r="C41" s="41">
        <v>25689185.969999999</v>
      </c>
      <c r="D41" s="41">
        <v>79252165.590000004</v>
      </c>
      <c r="E41" s="42">
        <f t="shared" si="0"/>
        <v>104941351.56</v>
      </c>
      <c r="F41" s="43"/>
      <c r="G41" s="44"/>
      <c r="H41" s="44"/>
      <c r="I41" s="44"/>
      <c r="J41" s="44"/>
    </row>
    <row r="42" spans="1:10">
      <c r="A42" s="206" t="s">
        <v>27</v>
      </c>
      <c r="B42" s="207"/>
      <c r="C42" s="45">
        <f>SUM(C6:C41)</f>
        <v>978921078.41999996</v>
      </c>
      <c r="D42" s="45">
        <f t="shared" ref="D42:E42" si="1">SUM(D6:D41)</f>
        <v>3020010656.8899999</v>
      </c>
      <c r="E42" s="45">
        <f t="shared" si="1"/>
        <v>3998931735.3099999</v>
      </c>
      <c r="F42" s="46"/>
    </row>
    <row r="44" spans="1:10">
      <c r="E44" s="44"/>
    </row>
  </sheetData>
  <mergeCells count="4">
    <mergeCell ref="A1:E1"/>
    <mergeCell ref="A2:E2"/>
    <mergeCell ref="A3:E3"/>
    <mergeCell ref="A42:B4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80"/>
  <sheetViews>
    <sheetView zoomScale="106" zoomScaleNormal="106" workbookViewId="0">
      <selection sqref="A1:F1"/>
    </sheetView>
  </sheetViews>
  <sheetFormatPr defaultColWidth="9.140625" defaultRowHeight="12.75"/>
  <cols>
    <col min="1" max="1" width="5.85546875" style="14" customWidth="1"/>
    <col min="2" max="2" width="16" style="14" customWidth="1"/>
    <col min="3" max="3" width="22.28515625" style="14" customWidth="1"/>
    <col min="4" max="4" width="22.7109375" style="14" customWidth="1"/>
    <col min="5" max="5" width="23.5703125" style="14" customWidth="1"/>
    <col min="6" max="6" width="24.85546875" style="14" customWidth="1"/>
    <col min="7" max="8" width="17.42578125" style="14" customWidth="1"/>
    <col min="9" max="10" width="14.42578125" style="14" customWidth="1"/>
    <col min="11" max="12" width="13.28515625" style="14" customWidth="1"/>
    <col min="13" max="14" width="15.28515625" style="14" customWidth="1"/>
    <col min="15" max="15" width="14.42578125" style="14" customWidth="1"/>
    <col min="16" max="16" width="14" style="14" customWidth="1"/>
    <col min="17" max="17" width="12.85546875" style="14" customWidth="1"/>
    <col min="18" max="16384" width="9.140625" style="14"/>
  </cols>
  <sheetData>
    <row r="1" spans="1:17" ht="18.75">
      <c r="A1" s="208" t="s">
        <v>17</v>
      </c>
      <c r="B1" s="208"/>
      <c r="C1" s="208"/>
      <c r="D1" s="208"/>
      <c r="E1" s="208"/>
      <c r="F1" s="208"/>
    </row>
    <row r="2" spans="1:17" ht="18.75">
      <c r="A2" s="208" t="s">
        <v>62</v>
      </c>
      <c r="B2" s="208"/>
      <c r="C2" s="208"/>
      <c r="D2" s="208"/>
      <c r="E2" s="208"/>
      <c r="F2" s="208"/>
    </row>
    <row r="3" spans="1:17" ht="38.450000000000003" customHeight="1">
      <c r="A3" s="209" t="s">
        <v>956</v>
      </c>
      <c r="B3" s="209"/>
      <c r="C3" s="209"/>
      <c r="D3" s="209"/>
      <c r="E3" s="209"/>
      <c r="F3" s="209"/>
    </row>
    <row r="4" spans="1:17" ht="56.25">
      <c r="A4" s="15" t="s">
        <v>957</v>
      </c>
      <c r="B4" s="15" t="s">
        <v>958</v>
      </c>
      <c r="C4" s="16" t="s">
        <v>959</v>
      </c>
      <c r="D4" s="17" t="s">
        <v>954</v>
      </c>
      <c r="E4" s="18" t="s">
        <v>955</v>
      </c>
      <c r="F4" s="19" t="s">
        <v>960</v>
      </c>
    </row>
    <row r="5" spans="1:17" ht="15.75">
      <c r="A5" s="20"/>
      <c r="B5" s="20"/>
      <c r="C5" s="21"/>
      <c r="D5" s="149" t="s">
        <v>28</v>
      </c>
      <c r="E5" s="149" t="s">
        <v>28</v>
      </c>
      <c r="F5" s="149" t="s">
        <v>28</v>
      </c>
      <c r="P5" s="27"/>
      <c r="Q5" s="27"/>
    </row>
    <row r="6" spans="1:17" ht="18.75">
      <c r="A6" s="22">
        <v>1</v>
      </c>
      <c r="B6" s="23" t="s">
        <v>88</v>
      </c>
      <c r="C6" s="23" t="s">
        <v>132</v>
      </c>
      <c r="D6" s="24">
        <v>867450.95070000004</v>
      </c>
      <c r="E6" s="24">
        <v>2676120.8571000001</v>
      </c>
      <c r="F6" s="25">
        <f>D6+E6</f>
        <v>3543571.8078000001</v>
      </c>
      <c r="G6" s="26"/>
      <c r="H6" s="26"/>
      <c r="I6" s="28"/>
      <c r="J6" s="28"/>
      <c r="K6" s="28"/>
      <c r="L6" s="28"/>
      <c r="M6" s="26"/>
      <c r="N6" s="26"/>
      <c r="O6" s="28"/>
      <c r="P6" s="28"/>
      <c r="Q6" s="28"/>
    </row>
    <row r="7" spans="1:17" ht="18.75">
      <c r="A7" s="22">
        <v>2</v>
      </c>
      <c r="B7" s="23" t="s">
        <v>88</v>
      </c>
      <c r="C7" s="23" t="s">
        <v>134</v>
      </c>
      <c r="D7" s="24">
        <v>1447228.9077000001</v>
      </c>
      <c r="E7" s="24">
        <v>4464759.0296999998</v>
      </c>
      <c r="F7" s="25">
        <f t="shared" ref="F7:F70" si="0">D7+E7</f>
        <v>5911987.9374000002</v>
      </c>
      <c r="G7" s="26"/>
      <c r="H7" s="26"/>
      <c r="I7" s="28"/>
      <c r="J7" s="28"/>
      <c r="K7" s="28"/>
      <c r="L7" s="28"/>
      <c r="M7" s="26"/>
      <c r="N7" s="26"/>
      <c r="O7" s="28"/>
      <c r="P7" s="28"/>
      <c r="Q7" s="28"/>
    </row>
    <row r="8" spans="1:17" ht="18.75">
      <c r="A8" s="22">
        <v>3</v>
      </c>
      <c r="B8" s="23" t="s">
        <v>88</v>
      </c>
      <c r="C8" s="23" t="s">
        <v>136</v>
      </c>
      <c r="D8" s="24">
        <v>1018284.8763</v>
      </c>
      <c r="E8" s="24">
        <v>3141449.5466999998</v>
      </c>
      <c r="F8" s="25">
        <f t="shared" si="0"/>
        <v>4159734.423</v>
      </c>
      <c r="G8" s="26"/>
      <c r="H8" s="26"/>
      <c r="I8" s="28"/>
      <c r="J8" s="28"/>
      <c r="K8" s="28"/>
      <c r="L8" s="28"/>
      <c r="M8" s="26"/>
      <c r="N8" s="26"/>
      <c r="O8" s="28"/>
      <c r="P8" s="28"/>
      <c r="Q8" s="28"/>
    </row>
    <row r="9" spans="1:17" ht="18.75">
      <c r="A9" s="22">
        <v>4</v>
      </c>
      <c r="B9" s="23" t="s">
        <v>88</v>
      </c>
      <c r="C9" s="23" t="s">
        <v>138</v>
      </c>
      <c r="D9" s="24">
        <v>1037522.0027</v>
      </c>
      <c r="E9" s="24">
        <v>3200796.8506999998</v>
      </c>
      <c r="F9" s="25">
        <f t="shared" si="0"/>
        <v>4238318.8534000004</v>
      </c>
      <c r="G9" s="26"/>
      <c r="H9" s="26"/>
      <c r="I9" s="28"/>
      <c r="J9" s="28"/>
      <c r="K9" s="28"/>
      <c r="L9" s="28"/>
      <c r="M9" s="26"/>
      <c r="N9" s="26"/>
      <c r="O9" s="28"/>
      <c r="P9" s="28"/>
      <c r="Q9" s="28"/>
    </row>
    <row r="10" spans="1:17" ht="18.75">
      <c r="A10" s="22">
        <v>5</v>
      </c>
      <c r="B10" s="23" t="s">
        <v>88</v>
      </c>
      <c r="C10" s="23" t="s">
        <v>140</v>
      </c>
      <c r="D10" s="24">
        <v>944348.22230000002</v>
      </c>
      <c r="E10" s="24">
        <v>2913352.0136000002</v>
      </c>
      <c r="F10" s="25">
        <f t="shared" si="0"/>
        <v>3857700.2359000002</v>
      </c>
      <c r="G10" s="26"/>
      <c r="H10" s="26"/>
      <c r="I10" s="28"/>
      <c r="J10" s="28"/>
      <c r="K10" s="28"/>
      <c r="L10" s="28"/>
      <c r="M10" s="26"/>
      <c r="N10" s="26"/>
      <c r="O10" s="28"/>
      <c r="P10" s="28"/>
      <c r="Q10" s="28"/>
    </row>
    <row r="11" spans="1:17" ht="37.5">
      <c r="A11" s="22">
        <v>6</v>
      </c>
      <c r="B11" s="23" t="s">
        <v>88</v>
      </c>
      <c r="C11" s="23" t="s">
        <v>142</v>
      </c>
      <c r="D11" s="24">
        <v>975267.61880000005</v>
      </c>
      <c r="E11" s="24">
        <v>3008739.5877999999</v>
      </c>
      <c r="F11" s="25">
        <f t="shared" si="0"/>
        <v>3984007.2066000002</v>
      </c>
      <c r="G11" s="26"/>
      <c r="H11" s="26"/>
      <c r="I11" s="28"/>
      <c r="J11" s="28"/>
      <c r="K11" s="28"/>
      <c r="L11" s="28"/>
      <c r="M11" s="26"/>
      <c r="N11" s="26"/>
      <c r="O11" s="28"/>
      <c r="P11" s="28"/>
      <c r="Q11" s="28"/>
    </row>
    <row r="12" spans="1:17" ht="37.5">
      <c r="A12" s="22">
        <v>7</v>
      </c>
      <c r="B12" s="23" t="s">
        <v>88</v>
      </c>
      <c r="C12" s="23" t="s">
        <v>143</v>
      </c>
      <c r="D12" s="24">
        <v>946270.8112</v>
      </c>
      <c r="E12" s="24">
        <v>2919283.2774</v>
      </c>
      <c r="F12" s="25">
        <f t="shared" si="0"/>
        <v>3865554.0885999999</v>
      </c>
      <c r="G12" s="26"/>
      <c r="H12" s="26"/>
      <c r="I12" s="28"/>
      <c r="J12" s="28"/>
      <c r="K12" s="28"/>
      <c r="L12" s="28"/>
      <c r="M12" s="26"/>
      <c r="N12" s="26"/>
      <c r="O12" s="28"/>
      <c r="P12" s="28"/>
      <c r="Q12" s="28"/>
    </row>
    <row r="13" spans="1:17" ht="18.75">
      <c r="A13" s="22">
        <v>8</v>
      </c>
      <c r="B13" s="23" t="s">
        <v>88</v>
      </c>
      <c r="C13" s="23" t="s">
        <v>145</v>
      </c>
      <c r="D13" s="24">
        <v>922673.04650000005</v>
      </c>
      <c r="E13" s="24">
        <v>2846483.23</v>
      </c>
      <c r="F13" s="25">
        <f t="shared" si="0"/>
        <v>3769156.2765000002</v>
      </c>
      <c r="G13" s="26"/>
      <c r="H13" s="26"/>
      <c r="I13" s="28"/>
      <c r="J13" s="28"/>
      <c r="K13" s="28"/>
      <c r="L13" s="28"/>
      <c r="M13" s="26"/>
      <c r="N13" s="26"/>
      <c r="O13" s="28"/>
      <c r="P13" s="28"/>
      <c r="Q13" s="28"/>
    </row>
    <row r="14" spans="1:17" ht="18.75">
      <c r="A14" s="22">
        <v>9</v>
      </c>
      <c r="B14" s="23" t="s">
        <v>88</v>
      </c>
      <c r="C14" s="23" t="s">
        <v>147</v>
      </c>
      <c r="D14" s="24">
        <v>995432.82350000006</v>
      </c>
      <c r="E14" s="24">
        <v>3070950.0506000002</v>
      </c>
      <c r="F14" s="25">
        <f t="shared" si="0"/>
        <v>4066382.8741000001</v>
      </c>
      <c r="G14" s="26"/>
      <c r="H14" s="26"/>
      <c r="I14" s="28"/>
      <c r="J14" s="28"/>
      <c r="K14" s="28"/>
      <c r="L14" s="28"/>
      <c r="M14" s="26"/>
      <c r="N14" s="26"/>
      <c r="O14" s="28"/>
      <c r="P14" s="28"/>
      <c r="Q14" s="28"/>
    </row>
    <row r="15" spans="1:17" ht="18.75">
      <c r="A15" s="22">
        <v>10</v>
      </c>
      <c r="B15" s="23" t="s">
        <v>88</v>
      </c>
      <c r="C15" s="23" t="s">
        <v>149</v>
      </c>
      <c r="D15" s="24">
        <v>1010162.8985</v>
      </c>
      <c r="E15" s="24">
        <v>3116392.9207000001</v>
      </c>
      <c r="F15" s="25">
        <f t="shared" si="0"/>
        <v>4126555.8191999998</v>
      </c>
      <c r="G15" s="26"/>
      <c r="H15" s="26"/>
      <c r="I15" s="28"/>
      <c r="J15" s="28"/>
      <c r="K15" s="28"/>
      <c r="L15" s="28"/>
      <c r="M15" s="26"/>
      <c r="N15" s="26"/>
      <c r="O15" s="28"/>
      <c r="P15" s="28"/>
      <c r="Q15" s="28"/>
    </row>
    <row r="16" spans="1:17" ht="18.75">
      <c r="A16" s="22">
        <v>11</v>
      </c>
      <c r="B16" s="23" t="s">
        <v>88</v>
      </c>
      <c r="C16" s="23" t="s">
        <v>151</v>
      </c>
      <c r="D16" s="24">
        <v>1104693.9310000001</v>
      </c>
      <c r="E16" s="24">
        <v>3408024.9345999998</v>
      </c>
      <c r="F16" s="25">
        <f t="shared" si="0"/>
        <v>4512718.8656000001</v>
      </c>
      <c r="G16" s="26"/>
      <c r="H16" s="26"/>
      <c r="I16" s="28"/>
      <c r="J16" s="28"/>
      <c r="K16" s="28"/>
      <c r="L16" s="28"/>
      <c r="M16" s="26"/>
      <c r="N16" s="26"/>
      <c r="O16" s="28"/>
      <c r="P16" s="28"/>
      <c r="Q16" s="28"/>
    </row>
    <row r="17" spans="1:17" ht="18.75">
      <c r="A17" s="22">
        <v>12</v>
      </c>
      <c r="B17" s="23" t="s">
        <v>88</v>
      </c>
      <c r="C17" s="23" t="s">
        <v>153</v>
      </c>
      <c r="D17" s="24">
        <v>1063623.8758</v>
      </c>
      <c r="E17" s="24">
        <v>3281322.1724999999</v>
      </c>
      <c r="F17" s="25">
        <f t="shared" si="0"/>
        <v>4344946.0482999999</v>
      </c>
      <c r="G17" s="26"/>
      <c r="H17" s="26"/>
      <c r="I17" s="28"/>
      <c r="J17" s="28"/>
      <c r="K17" s="28"/>
      <c r="L17" s="28"/>
      <c r="M17" s="26"/>
      <c r="N17" s="26"/>
      <c r="O17" s="28"/>
      <c r="P17" s="28"/>
      <c r="Q17" s="28"/>
    </row>
    <row r="18" spans="1:17" ht="18.75">
      <c r="A18" s="22">
        <v>13</v>
      </c>
      <c r="B18" s="23" t="s">
        <v>88</v>
      </c>
      <c r="C18" s="23" t="s">
        <v>155</v>
      </c>
      <c r="D18" s="24">
        <v>812206.65260000003</v>
      </c>
      <c r="E18" s="24">
        <v>2505689.9890999999</v>
      </c>
      <c r="F18" s="25">
        <f t="shared" si="0"/>
        <v>3317896.6417</v>
      </c>
      <c r="G18" s="26"/>
      <c r="H18" s="26"/>
      <c r="I18" s="28"/>
      <c r="J18" s="28"/>
      <c r="K18" s="28"/>
      <c r="L18" s="28"/>
      <c r="M18" s="26"/>
      <c r="N18" s="26"/>
      <c r="O18" s="28"/>
      <c r="P18" s="28"/>
      <c r="Q18" s="28"/>
    </row>
    <row r="19" spans="1:17" ht="18.75">
      <c r="A19" s="22">
        <v>14</v>
      </c>
      <c r="B19" s="23" t="s">
        <v>88</v>
      </c>
      <c r="C19" s="23" t="s">
        <v>157</v>
      </c>
      <c r="D19" s="24">
        <v>767424.34710000001</v>
      </c>
      <c r="E19" s="24">
        <v>2367534.7866000002</v>
      </c>
      <c r="F19" s="25">
        <f t="shared" si="0"/>
        <v>3134959.1337000001</v>
      </c>
      <c r="G19" s="26"/>
      <c r="H19" s="26"/>
      <c r="I19" s="28"/>
      <c r="J19" s="28"/>
      <c r="K19" s="28"/>
      <c r="L19" s="28"/>
      <c r="M19" s="26"/>
      <c r="N19" s="26"/>
      <c r="O19" s="28"/>
      <c r="P19" s="28"/>
      <c r="Q19" s="28"/>
    </row>
    <row r="20" spans="1:17" ht="18.75">
      <c r="A20" s="22">
        <v>15</v>
      </c>
      <c r="B20" s="23" t="s">
        <v>88</v>
      </c>
      <c r="C20" s="23" t="s">
        <v>159</v>
      </c>
      <c r="D20" s="24">
        <v>799113.53489999997</v>
      </c>
      <c r="E20" s="24">
        <v>2465297.1978000002</v>
      </c>
      <c r="F20" s="25">
        <f t="shared" si="0"/>
        <v>3264410.7327000001</v>
      </c>
      <c r="G20" s="26"/>
      <c r="H20" s="26"/>
      <c r="I20" s="28"/>
      <c r="J20" s="28"/>
      <c r="K20" s="28"/>
      <c r="L20" s="28"/>
      <c r="M20" s="26"/>
      <c r="N20" s="26"/>
      <c r="O20" s="28"/>
      <c r="P20" s="28"/>
      <c r="Q20" s="28"/>
    </row>
    <row r="21" spans="1:17" ht="37.5">
      <c r="A21" s="22">
        <v>16</v>
      </c>
      <c r="B21" s="23" t="s">
        <v>88</v>
      </c>
      <c r="C21" s="23" t="s">
        <v>161</v>
      </c>
      <c r="D21" s="24">
        <v>1191220.5852000001</v>
      </c>
      <c r="E21" s="24">
        <v>3674963.1214999999</v>
      </c>
      <c r="F21" s="25">
        <f t="shared" si="0"/>
        <v>4866183.7067</v>
      </c>
      <c r="G21" s="26"/>
      <c r="H21" s="26"/>
      <c r="I21" s="28"/>
      <c r="J21" s="28"/>
      <c r="K21" s="28"/>
      <c r="L21" s="28"/>
      <c r="M21" s="26"/>
      <c r="N21" s="26"/>
      <c r="O21" s="28"/>
      <c r="P21" s="28"/>
      <c r="Q21" s="28"/>
    </row>
    <row r="22" spans="1:17" ht="37.5">
      <c r="A22" s="22">
        <v>17</v>
      </c>
      <c r="B22" s="23" t="s">
        <v>88</v>
      </c>
      <c r="C22" s="23" t="s">
        <v>163</v>
      </c>
      <c r="D22" s="24">
        <v>1029284.4653</v>
      </c>
      <c r="E22" s="24">
        <v>3175383.7185999998</v>
      </c>
      <c r="F22" s="25">
        <f t="shared" si="0"/>
        <v>4204668.1838999996</v>
      </c>
      <c r="G22" s="26"/>
      <c r="H22" s="26"/>
      <c r="I22" s="28"/>
      <c r="J22" s="28"/>
      <c r="K22" s="28"/>
      <c r="L22" s="28"/>
      <c r="M22" s="26"/>
      <c r="N22" s="26"/>
      <c r="O22" s="28"/>
      <c r="P22" s="28"/>
      <c r="Q22" s="28"/>
    </row>
    <row r="23" spans="1:17" ht="18.75">
      <c r="A23" s="22">
        <v>18</v>
      </c>
      <c r="B23" s="23" t="s">
        <v>89</v>
      </c>
      <c r="C23" s="23" t="s">
        <v>168</v>
      </c>
      <c r="D23" s="24">
        <v>1055564.8052999999</v>
      </c>
      <c r="E23" s="24">
        <v>3256459.6179</v>
      </c>
      <c r="F23" s="25">
        <f t="shared" si="0"/>
        <v>4312024.4232000001</v>
      </c>
      <c r="G23" s="26"/>
      <c r="H23" s="26"/>
      <c r="I23" s="28"/>
      <c r="J23" s="28"/>
      <c r="K23" s="28"/>
      <c r="L23" s="28"/>
      <c r="M23" s="26"/>
      <c r="N23" s="26"/>
      <c r="O23" s="28"/>
      <c r="P23" s="28"/>
      <c r="Q23" s="28"/>
    </row>
    <row r="24" spans="1:17" ht="18.75">
      <c r="A24" s="22">
        <v>19</v>
      </c>
      <c r="B24" s="23" t="s">
        <v>89</v>
      </c>
      <c r="C24" s="23" t="s">
        <v>170</v>
      </c>
      <c r="D24" s="24">
        <v>1289527.9881</v>
      </c>
      <c r="E24" s="24">
        <v>3978245.389</v>
      </c>
      <c r="F24" s="25">
        <f t="shared" si="0"/>
        <v>5267773.3771000002</v>
      </c>
      <c r="G24" s="26"/>
      <c r="H24" s="26"/>
      <c r="I24" s="28"/>
      <c r="J24" s="28"/>
      <c r="K24" s="28"/>
      <c r="L24" s="28"/>
      <c r="M24" s="26"/>
      <c r="N24" s="26"/>
      <c r="O24" s="28"/>
      <c r="P24" s="28"/>
      <c r="Q24" s="28"/>
    </row>
    <row r="25" spans="1:17" ht="18.75">
      <c r="A25" s="22">
        <v>20</v>
      </c>
      <c r="B25" s="23" t="s">
        <v>89</v>
      </c>
      <c r="C25" s="23" t="s">
        <v>172</v>
      </c>
      <c r="D25" s="24">
        <v>1098033.4513000001</v>
      </c>
      <c r="E25" s="24">
        <v>3387477.0883999998</v>
      </c>
      <c r="F25" s="25">
        <f t="shared" si="0"/>
        <v>4485510.5396999996</v>
      </c>
      <c r="G25" s="26"/>
      <c r="H25" s="26"/>
      <c r="I25" s="28"/>
      <c r="J25" s="28"/>
      <c r="K25" s="28"/>
      <c r="L25" s="28"/>
      <c r="M25" s="26"/>
      <c r="N25" s="26"/>
      <c r="O25" s="28"/>
      <c r="P25" s="28"/>
      <c r="Q25" s="28"/>
    </row>
    <row r="26" spans="1:17" ht="18.75">
      <c r="A26" s="22">
        <v>21</v>
      </c>
      <c r="B26" s="23" t="s">
        <v>89</v>
      </c>
      <c r="C26" s="23" t="s">
        <v>174</v>
      </c>
      <c r="D26" s="24">
        <v>961344.10770000005</v>
      </c>
      <c r="E26" s="24">
        <v>2965784.9997</v>
      </c>
      <c r="F26" s="25">
        <f t="shared" si="0"/>
        <v>3927129.1074000001</v>
      </c>
      <c r="G26" s="26"/>
      <c r="H26" s="26"/>
      <c r="I26" s="28"/>
      <c r="J26" s="28"/>
      <c r="K26" s="28"/>
      <c r="L26" s="28"/>
      <c r="M26" s="26"/>
      <c r="N26" s="26"/>
      <c r="O26" s="28"/>
      <c r="P26" s="28"/>
      <c r="Q26" s="28"/>
    </row>
    <row r="27" spans="1:17" ht="18.75">
      <c r="A27" s="22">
        <v>22</v>
      </c>
      <c r="B27" s="23" t="s">
        <v>89</v>
      </c>
      <c r="C27" s="23" t="s">
        <v>176</v>
      </c>
      <c r="D27" s="24">
        <v>951284.44409999996</v>
      </c>
      <c r="E27" s="24">
        <v>2934750.5353000001</v>
      </c>
      <c r="F27" s="25">
        <f t="shared" si="0"/>
        <v>3886034.9794000001</v>
      </c>
      <c r="G27" s="26"/>
      <c r="H27" s="26"/>
      <c r="I27" s="28"/>
      <c r="J27" s="28"/>
      <c r="K27" s="28"/>
      <c r="L27" s="28"/>
      <c r="M27" s="26"/>
      <c r="N27" s="26"/>
      <c r="O27" s="28"/>
      <c r="P27" s="28"/>
      <c r="Q27" s="28"/>
    </row>
    <row r="28" spans="1:17" ht="18.75">
      <c r="A28" s="22">
        <v>23</v>
      </c>
      <c r="B28" s="23" t="s">
        <v>89</v>
      </c>
      <c r="C28" s="23" t="s">
        <v>178</v>
      </c>
      <c r="D28" s="24">
        <v>1017060.1517</v>
      </c>
      <c r="E28" s="24">
        <v>3137671.2223</v>
      </c>
      <c r="F28" s="25">
        <f t="shared" si="0"/>
        <v>4154731.3739999998</v>
      </c>
      <c r="G28" s="26"/>
      <c r="H28" s="26"/>
      <c r="I28" s="28"/>
      <c r="J28" s="28"/>
      <c r="K28" s="28"/>
      <c r="L28" s="28"/>
      <c r="M28" s="26"/>
      <c r="N28" s="26"/>
      <c r="O28" s="28"/>
      <c r="P28" s="28"/>
      <c r="Q28" s="28"/>
    </row>
    <row r="29" spans="1:17" ht="18.75">
      <c r="A29" s="22">
        <v>24</v>
      </c>
      <c r="B29" s="23" t="s">
        <v>89</v>
      </c>
      <c r="C29" s="23" t="s">
        <v>180</v>
      </c>
      <c r="D29" s="24">
        <v>1107822.3561</v>
      </c>
      <c r="E29" s="24">
        <v>3417676.2508999999</v>
      </c>
      <c r="F29" s="25">
        <f t="shared" si="0"/>
        <v>4525498.6069999998</v>
      </c>
      <c r="G29" s="26"/>
      <c r="H29" s="26"/>
      <c r="I29" s="28"/>
      <c r="J29" s="28"/>
      <c r="K29" s="28"/>
      <c r="L29" s="28"/>
      <c r="M29" s="26"/>
      <c r="N29" s="26"/>
      <c r="O29" s="28"/>
      <c r="P29" s="28"/>
      <c r="Q29" s="28"/>
    </row>
    <row r="30" spans="1:17" ht="18.75">
      <c r="A30" s="22">
        <v>25</v>
      </c>
      <c r="B30" s="23" t="s">
        <v>89</v>
      </c>
      <c r="C30" s="23" t="s">
        <v>182</v>
      </c>
      <c r="D30" s="24">
        <v>1158874.5981999999</v>
      </c>
      <c r="E30" s="24">
        <v>3575174.4586</v>
      </c>
      <c r="F30" s="25">
        <f t="shared" si="0"/>
        <v>4734049.0568000004</v>
      </c>
      <c r="G30" s="26"/>
      <c r="H30" s="26"/>
      <c r="I30" s="28"/>
      <c r="J30" s="28"/>
      <c r="K30" s="28"/>
      <c r="L30" s="28"/>
      <c r="M30" s="26"/>
      <c r="N30" s="26"/>
      <c r="O30" s="28"/>
      <c r="P30" s="28"/>
      <c r="Q30" s="28"/>
    </row>
    <row r="31" spans="1:17" ht="18.75">
      <c r="A31" s="22">
        <v>26</v>
      </c>
      <c r="B31" s="23" t="s">
        <v>89</v>
      </c>
      <c r="C31" s="23" t="s">
        <v>184</v>
      </c>
      <c r="D31" s="24">
        <v>1007583.8037</v>
      </c>
      <c r="E31" s="24">
        <v>3108436.31</v>
      </c>
      <c r="F31" s="25">
        <f t="shared" si="0"/>
        <v>4116020.1137000001</v>
      </c>
      <c r="G31" s="26"/>
      <c r="H31" s="26"/>
      <c r="I31" s="28"/>
      <c r="J31" s="28"/>
      <c r="K31" s="28"/>
      <c r="L31" s="28"/>
      <c r="M31" s="26"/>
      <c r="N31" s="26"/>
      <c r="O31" s="28"/>
      <c r="P31" s="28"/>
      <c r="Q31" s="28"/>
    </row>
    <row r="32" spans="1:17" ht="18.75">
      <c r="A32" s="22">
        <v>27</v>
      </c>
      <c r="B32" s="23" t="s">
        <v>89</v>
      </c>
      <c r="C32" s="23" t="s">
        <v>186</v>
      </c>
      <c r="D32" s="24">
        <v>902158.78969999996</v>
      </c>
      <c r="E32" s="24">
        <v>2783195.9279</v>
      </c>
      <c r="F32" s="25">
        <f t="shared" si="0"/>
        <v>3685354.7176000001</v>
      </c>
      <c r="G32" s="26"/>
      <c r="H32" s="26"/>
      <c r="I32" s="28"/>
      <c r="J32" s="28"/>
      <c r="K32" s="28"/>
      <c r="L32" s="28"/>
      <c r="M32" s="26"/>
      <c r="N32" s="26"/>
      <c r="O32" s="28"/>
      <c r="P32" s="28"/>
      <c r="Q32" s="28"/>
    </row>
    <row r="33" spans="1:17" ht="18.75">
      <c r="A33" s="22">
        <v>28</v>
      </c>
      <c r="B33" s="23" t="s">
        <v>89</v>
      </c>
      <c r="C33" s="23" t="s">
        <v>188</v>
      </c>
      <c r="D33" s="24">
        <v>916795.05249999999</v>
      </c>
      <c r="E33" s="24">
        <v>2828349.3837000001</v>
      </c>
      <c r="F33" s="25">
        <f t="shared" si="0"/>
        <v>3745144.4361999999</v>
      </c>
      <c r="G33" s="26"/>
      <c r="H33" s="26"/>
      <c r="I33" s="28"/>
      <c r="J33" s="28"/>
      <c r="K33" s="28"/>
      <c r="L33" s="28"/>
      <c r="M33" s="26"/>
      <c r="N33" s="26"/>
      <c r="O33" s="28"/>
      <c r="P33" s="28"/>
      <c r="Q33" s="28"/>
    </row>
    <row r="34" spans="1:17" ht="18.75">
      <c r="A34" s="22">
        <v>29</v>
      </c>
      <c r="B34" s="23" t="s">
        <v>89</v>
      </c>
      <c r="C34" s="23" t="s">
        <v>190</v>
      </c>
      <c r="D34" s="24">
        <v>897601.37650000001</v>
      </c>
      <c r="E34" s="24">
        <v>2769136.1258999999</v>
      </c>
      <c r="F34" s="25">
        <f t="shared" si="0"/>
        <v>3666737.5024000001</v>
      </c>
      <c r="G34" s="26"/>
      <c r="H34" s="26"/>
      <c r="I34" s="28"/>
      <c r="J34" s="28"/>
      <c r="K34" s="28"/>
      <c r="L34" s="28"/>
      <c r="M34" s="26"/>
      <c r="N34" s="26"/>
      <c r="O34" s="28"/>
      <c r="P34" s="28"/>
      <c r="Q34" s="28"/>
    </row>
    <row r="35" spans="1:17" ht="18.75">
      <c r="A35" s="22">
        <v>30</v>
      </c>
      <c r="B35" s="23" t="s">
        <v>89</v>
      </c>
      <c r="C35" s="23" t="s">
        <v>192</v>
      </c>
      <c r="D35" s="24">
        <v>1040788.0934</v>
      </c>
      <c r="E35" s="24">
        <v>3210872.8711000001</v>
      </c>
      <c r="F35" s="25">
        <f t="shared" si="0"/>
        <v>4251660.9644999998</v>
      </c>
      <c r="G35" s="26"/>
      <c r="H35" s="26"/>
      <c r="I35" s="28"/>
      <c r="J35" s="28"/>
      <c r="K35" s="28"/>
      <c r="L35" s="28"/>
      <c r="M35" s="26"/>
      <c r="N35" s="26"/>
      <c r="O35" s="28"/>
      <c r="P35" s="28"/>
      <c r="Q35" s="28"/>
    </row>
    <row r="36" spans="1:17" ht="18.75">
      <c r="A36" s="22">
        <v>31</v>
      </c>
      <c r="B36" s="23" t="s">
        <v>89</v>
      </c>
      <c r="C36" s="23" t="s">
        <v>194</v>
      </c>
      <c r="D36" s="24">
        <v>1008982.4177</v>
      </c>
      <c r="E36" s="24">
        <v>3112751.0901000001</v>
      </c>
      <c r="F36" s="25">
        <f t="shared" si="0"/>
        <v>4121733.5077999998</v>
      </c>
      <c r="G36" s="26"/>
      <c r="H36" s="26"/>
      <c r="I36" s="28"/>
      <c r="J36" s="28"/>
      <c r="K36" s="28"/>
      <c r="L36" s="28"/>
      <c r="M36" s="26"/>
      <c r="N36" s="26"/>
      <c r="O36" s="28"/>
      <c r="P36" s="28"/>
      <c r="Q36" s="28"/>
    </row>
    <row r="37" spans="1:17" ht="18.75">
      <c r="A37" s="22">
        <v>32</v>
      </c>
      <c r="B37" s="23" t="s">
        <v>89</v>
      </c>
      <c r="C37" s="23" t="s">
        <v>196</v>
      </c>
      <c r="D37" s="24">
        <v>962811.99679999996</v>
      </c>
      <c r="E37" s="24">
        <v>2970313.4963000002</v>
      </c>
      <c r="F37" s="25">
        <f t="shared" si="0"/>
        <v>3933125.4931000001</v>
      </c>
      <c r="G37" s="26"/>
      <c r="H37" s="26"/>
      <c r="I37" s="28"/>
      <c r="J37" s="28"/>
      <c r="K37" s="28"/>
      <c r="L37" s="28"/>
      <c r="M37" s="26"/>
      <c r="N37" s="26"/>
      <c r="O37" s="28"/>
      <c r="P37" s="28"/>
      <c r="Q37" s="28"/>
    </row>
    <row r="38" spans="1:17" ht="18.75">
      <c r="A38" s="22">
        <v>33</v>
      </c>
      <c r="B38" s="23" t="s">
        <v>89</v>
      </c>
      <c r="C38" s="23" t="s">
        <v>198</v>
      </c>
      <c r="D38" s="24">
        <v>896979.70449999999</v>
      </c>
      <c r="E38" s="24">
        <v>2767218.2428000001</v>
      </c>
      <c r="F38" s="25">
        <f t="shared" si="0"/>
        <v>3664197.9473000001</v>
      </c>
      <c r="G38" s="26"/>
      <c r="H38" s="26"/>
      <c r="I38" s="28"/>
      <c r="J38" s="28"/>
      <c r="K38" s="28"/>
      <c r="L38" s="28"/>
      <c r="M38" s="26"/>
      <c r="N38" s="26"/>
      <c r="O38" s="28"/>
      <c r="P38" s="28"/>
      <c r="Q38" s="28"/>
    </row>
    <row r="39" spans="1:17" ht="18.75">
      <c r="A39" s="22">
        <v>34</v>
      </c>
      <c r="B39" s="23" t="s">
        <v>89</v>
      </c>
      <c r="C39" s="23" t="s">
        <v>200</v>
      </c>
      <c r="D39" s="24">
        <v>852450.95409999997</v>
      </c>
      <c r="E39" s="24">
        <v>2629845.2680000002</v>
      </c>
      <c r="F39" s="25">
        <f t="shared" si="0"/>
        <v>3482296.2220999999</v>
      </c>
      <c r="G39" s="26"/>
      <c r="H39" s="26"/>
      <c r="I39" s="28"/>
      <c r="J39" s="28"/>
      <c r="K39" s="28"/>
      <c r="L39" s="28"/>
      <c r="M39" s="26"/>
      <c r="N39" s="26"/>
      <c r="O39" s="28"/>
      <c r="P39" s="28"/>
      <c r="Q39" s="28"/>
    </row>
    <row r="40" spans="1:17" ht="18.75">
      <c r="A40" s="22">
        <v>35</v>
      </c>
      <c r="B40" s="23" t="s">
        <v>89</v>
      </c>
      <c r="C40" s="23" t="s">
        <v>202</v>
      </c>
      <c r="D40" s="24">
        <v>965686.59470000002</v>
      </c>
      <c r="E40" s="24">
        <v>2979181.7456</v>
      </c>
      <c r="F40" s="25">
        <f t="shared" si="0"/>
        <v>3944868.3402999998</v>
      </c>
      <c r="G40" s="26"/>
      <c r="H40" s="26"/>
      <c r="I40" s="28"/>
      <c r="J40" s="28"/>
      <c r="K40" s="28"/>
      <c r="L40" s="28"/>
      <c r="M40" s="26"/>
      <c r="N40" s="26"/>
      <c r="O40" s="28"/>
      <c r="P40" s="28"/>
      <c r="Q40" s="28"/>
    </row>
    <row r="41" spans="1:17" ht="18.75">
      <c r="A41" s="22">
        <v>36</v>
      </c>
      <c r="B41" s="23" t="s">
        <v>89</v>
      </c>
      <c r="C41" s="23" t="s">
        <v>204</v>
      </c>
      <c r="D41" s="24">
        <v>1215527.0098000001</v>
      </c>
      <c r="E41" s="24">
        <v>3749949.4130000002</v>
      </c>
      <c r="F41" s="25">
        <f t="shared" si="0"/>
        <v>4965476.4227999998</v>
      </c>
      <c r="G41" s="26"/>
      <c r="H41" s="26"/>
      <c r="I41" s="28"/>
      <c r="J41" s="28"/>
      <c r="K41" s="28"/>
      <c r="L41" s="28"/>
      <c r="M41" s="26"/>
      <c r="N41" s="26"/>
      <c r="O41" s="28"/>
      <c r="P41" s="28"/>
      <c r="Q41" s="28"/>
    </row>
    <row r="42" spans="1:17" ht="18.75">
      <c r="A42" s="22">
        <v>37</v>
      </c>
      <c r="B42" s="23" t="s">
        <v>89</v>
      </c>
      <c r="C42" s="23" t="s">
        <v>206</v>
      </c>
      <c r="D42" s="24">
        <v>1041440.2799</v>
      </c>
      <c r="E42" s="24">
        <v>3212884.8925000001</v>
      </c>
      <c r="F42" s="25">
        <f t="shared" si="0"/>
        <v>4254325.1723999996</v>
      </c>
      <c r="G42" s="26"/>
      <c r="H42" s="26"/>
      <c r="I42" s="28"/>
      <c r="J42" s="28"/>
      <c r="K42" s="28"/>
      <c r="L42" s="28"/>
      <c r="M42" s="26"/>
      <c r="N42" s="26"/>
      <c r="O42" s="28"/>
      <c r="P42" s="28"/>
      <c r="Q42" s="28"/>
    </row>
    <row r="43" spans="1:17" ht="18.75">
      <c r="A43" s="22">
        <v>38</v>
      </c>
      <c r="B43" s="23" t="s">
        <v>89</v>
      </c>
      <c r="C43" s="23" t="s">
        <v>208</v>
      </c>
      <c r="D43" s="24">
        <v>1009234.2036</v>
      </c>
      <c r="E43" s="24">
        <v>3113527.8596999999</v>
      </c>
      <c r="F43" s="25">
        <f t="shared" si="0"/>
        <v>4122762.0633</v>
      </c>
      <c r="G43" s="26"/>
      <c r="H43" s="26"/>
      <c r="I43" s="28"/>
      <c r="J43" s="28"/>
      <c r="K43" s="28"/>
      <c r="L43" s="28"/>
      <c r="M43" s="26"/>
      <c r="N43" s="26"/>
      <c r="O43" s="28"/>
      <c r="P43" s="28"/>
      <c r="Q43" s="28"/>
    </row>
    <row r="44" spans="1:17" ht="37.5">
      <c r="A44" s="22">
        <v>39</v>
      </c>
      <c r="B44" s="23" t="s">
        <v>90</v>
      </c>
      <c r="C44" s="23" t="s">
        <v>213</v>
      </c>
      <c r="D44" s="24">
        <v>969103.42090000003</v>
      </c>
      <c r="E44" s="24">
        <v>2989722.7910000002</v>
      </c>
      <c r="F44" s="25">
        <f t="shared" si="0"/>
        <v>3958826.2119</v>
      </c>
      <c r="G44" s="26"/>
      <c r="H44" s="26"/>
      <c r="I44" s="28"/>
      <c r="J44" s="28"/>
      <c r="K44" s="28"/>
      <c r="L44" s="28"/>
      <c r="M44" s="26"/>
      <c r="N44" s="26"/>
      <c r="O44" s="28"/>
      <c r="P44" s="28"/>
      <c r="Q44" s="28"/>
    </row>
    <row r="45" spans="1:17" ht="37.5">
      <c r="A45" s="22">
        <v>40</v>
      </c>
      <c r="B45" s="23" t="s">
        <v>90</v>
      </c>
      <c r="C45" s="23" t="s">
        <v>214</v>
      </c>
      <c r="D45" s="24">
        <v>756674.47759999998</v>
      </c>
      <c r="E45" s="24">
        <v>2334371.0093999999</v>
      </c>
      <c r="F45" s="25">
        <f t="shared" si="0"/>
        <v>3091045.4870000002</v>
      </c>
      <c r="G45" s="26"/>
      <c r="H45" s="26"/>
      <c r="I45" s="28"/>
      <c r="J45" s="28"/>
      <c r="K45" s="28"/>
      <c r="L45" s="28"/>
      <c r="M45" s="26"/>
      <c r="N45" s="26"/>
      <c r="O45" s="28"/>
      <c r="P45" s="28"/>
      <c r="Q45" s="28"/>
    </row>
    <row r="46" spans="1:17" ht="37.5">
      <c r="A46" s="22">
        <v>41</v>
      </c>
      <c r="B46" s="23" t="s">
        <v>90</v>
      </c>
      <c r="C46" s="23" t="s">
        <v>216</v>
      </c>
      <c r="D46" s="24">
        <v>999024.67350000003</v>
      </c>
      <c r="E46" s="24">
        <v>3082031.0514000002</v>
      </c>
      <c r="F46" s="25">
        <f t="shared" si="0"/>
        <v>4081055.7248999998</v>
      </c>
      <c r="G46" s="26"/>
      <c r="H46" s="26"/>
      <c r="I46" s="28"/>
      <c r="J46" s="28"/>
      <c r="K46" s="28"/>
      <c r="L46" s="28"/>
      <c r="M46" s="26"/>
      <c r="N46" s="26"/>
      <c r="O46" s="28"/>
      <c r="P46" s="28"/>
      <c r="Q46" s="28"/>
    </row>
    <row r="47" spans="1:17" ht="37.5">
      <c r="A47" s="22">
        <v>42</v>
      </c>
      <c r="B47" s="23" t="s">
        <v>90</v>
      </c>
      <c r="C47" s="23" t="s">
        <v>218</v>
      </c>
      <c r="D47" s="24">
        <v>765865.88470000005</v>
      </c>
      <c r="E47" s="24">
        <v>2362726.8678000001</v>
      </c>
      <c r="F47" s="25">
        <f t="shared" si="0"/>
        <v>3128592.7524999999</v>
      </c>
      <c r="G47" s="26"/>
      <c r="H47" s="26"/>
      <c r="I47" s="28"/>
      <c r="J47" s="28"/>
      <c r="K47" s="28"/>
      <c r="L47" s="28"/>
      <c r="M47" s="26"/>
      <c r="N47" s="26"/>
      <c r="O47" s="28"/>
      <c r="P47" s="28"/>
      <c r="Q47" s="28"/>
    </row>
    <row r="48" spans="1:17" ht="37.5">
      <c r="A48" s="22">
        <v>43</v>
      </c>
      <c r="B48" s="23" t="s">
        <v>90</v>
      </c>
      <c r="C48" s="23" t="s">
        <v>220</v>
      </c>
      <c r="D48" s="24">
        <v>1029197.9898</v>
      </c>
      <c r="E48" s="24">
        <v>3175116.9380999999</v>
      </c>
      <c r="F48" s="25">
        <f t="shared" si="0"/>
        <v>4204314.9278999995</v>
      </c>
      <c r="G48" s="26"/>
      <c r="H48" s="26"/>
      <c r="I48" s="28"/>
      <c r="J48" s="28"/>
      <c r="K48" s="28"/>
      <c r="L48" s="28"/>
      <c r="M48" s="26"/>
      <c r="N48" s="26"/>
      <c r="O48" s="28"/>
      <c r="P48" s="28"/>
      <c r="Q48" s="28"/>
    </row>
    <row r="49" spans="1:17" ht="37.5">
      <c r="A49" s="22">
        <v>44</v>
      </c>
      <c r="B49" s="23" t="s">
        <v>90</v>
      </c>
      <c r="C49" s="23" t="s">
        <v>222</v>
      </c>
      <c r="D49" s="24">
        <v>897061.9841</v>
      </c>
      <c r="E49" s="24">
        <v>2767472.0789000001</v>
      </c>
      <c r="F49" s="25">
        <f t="shared" si="0"/>
        <v>3664534.0630000001</v>
      </c>
      <c r="G49" s="26"/>
      <c r="H49" s="26"/>
      <c r="I49" s="28"/>
      <c r="J49" s="28"/>
      <c r="K49" s="28"/>
      <c r="L49" s="28"/>
      <c r="M49" s="26"/>
      <c r="N49" s="26"/>
      <c r="O49" s="28"/>
      <c r="P49" s="28"/>
      <c r="Q49" s="28"/>
    </row>
    <row r="50" spans="1:17" ht="37.5">
      <c r="A50" s="22">
        <v>45</v>
      </c>
      <c r="B50" s="23" t="s">
        <v>90</v>
      </c>
      <c r="C50" s="23" t="s">
        <v>224</v>
      </c>
      <c r="D50" s="24">
        <v>1017424.5268</v>
      </c>
      <c r="E50" s="24">
        <v>3138795.3341000001</v>
      </c>
      <c r="F50" s="25">
        <f t="shared" si="0"/>
        <v>4156219.8609000002</v>
      </c>
      <c r="G50" s="26"/>
      <c r="H50" s="26"/>
      <c r="I50" s="28"/>
      <c r="J50" s="28"/>
      <c r="K50" s="28"/>
      <c r="L50" s="28"/>
      <c r="M50" s="26"/>
      <c r="N50" s="26"/>
      <c r="O50" s="28"/>
      <c r="P50" s="28"/>
      <c r="Q50" s="28"/>
    </row>
    <row r="51" spans="1:17" ht="37.5">
      <c r="A51" s="22">
        <v>46</v>
      </c>
      <c r="B51" s="23" t="s">
        <v>90</v>
      </c>
      <c r="C51" s="23" t="s">
        <v>226</v>
      </c>
      <c r="D51" s="24">
        <v>815210.44400000002</v>
      </c>
      <c r="E51" s="24">
        <v>2514956.8056000001</v>
      </c>
      <c r="F51" s="25">
        <f t="shared" si="0"/>
        <v>3330167.2496000002</v>
      </c>
      <c r="G51" s="26"/>
      <c r="H51" s="26"/>
      <c r="I51" s="28"/>
      <c r="J51" s="28"/>
      <c r="K51" s="28"/>
      <c r="L51" s="28"/>
      <c r="M51" s="26"/>
      <c r="N51" s="26"/>
      <c r="O51" s="28"/>
      <c r="P51" s="28"/>
      <c r="Q51" s="28"/>
    </row>
    <row r="52" spans="1:17" ht="37.5">
      <c r="A52" s="22">
        <v>47</v>
      </c>
      <c r="B52" s="23" t="s">
        <v>90</v>
      </c>
      <c r="C52" s="23" t="s">
        <v>228</v>
      </c>
      <c r="D52" s="24">
        <v>946079.92709999997</v>
      </c>
      <c r="E52" s="24">
        <v>2918694.3922999999</v>
      </c>
      <c r="F52" s="25">
        <f t="shared" si="0"/>
        <v>3864774.3193999999</v>
      </c>
      <c r="G52" s="26"/>
      <c r="H52" s="26"/>
      <c r="I52" s="28"/>
      <c r="J52" s="28"/>
      <c r="K52" s="28"/>
      <c r="L52" s="28"/>
      <c r="M52" s="26"/>
      <c r="N52" s="26"/>
      <c r="O52" s="28"/>
      <c r="P52" s="28"/>
      <c r="Q52" s="28"/>
    </row>
    <row r="53" spans="1:17" ht="37.5">
      <c r="A53" s="22">
        <v>48</v>
      </c>
      <c r="B53" s="23" t="s">
        <v>90</v>
      </c>
      <c r="C53" s="23" t="s">
        <v>230</v>
      </c>
      <c r="D53" s="24">
        <v>1029291.162</v>
      </c>
      <c r="E53" s="24">
        <v>3175404.3783</v>
      </c>
      <c r="F53" s="25">
        <f t="shared" si="0"/>
        <v>4204695.5403000005</v>
      </c>
      <c r="G53" s="26"/>
      <c r="H53" s="26"/>
      <c r="I53" s="28"/>
      <c r="J53" s="28"/>
      <c r="K53" s="28"/>
      <c r="L53" s="28"/>
      <c r="M53" s="26"/>
      <c r="N53" s="26"/>
      <c r="O53" s="28"/>
      <c r="P53" s="28"/>
      <c r="Q53" s="28"/>
    </row>
    <row r="54" spans="1:17" ht="37.5">
      <c r="A54" s="22">
        <v>49</v>
      </c>
      <c r="B54" s="23" t="s">
        <v>90</v>
      </c>
      <c r="C54" s="23" t="s">
        <v>232</v>
      </c>
      <c r="D54" s="24">
        <v>792170.98010000004</v>
      </c>
      <c r="E54" s="24">
        <v>2443879.1386000002</v>
      </c>
      <c r="F54" s="25">
        <f t="shared" si="0"/>
        <v>3236050.1187</v>
      </c>
      <c r="G54" s="26"/>
      <c r="H54" s="26"/>
      <c r="I54" s="28"/>
      <c r="J54" s="28"/>
      <c r="K54" s="28"/>
      <c r="L54" s="28"/>
      <c r="M54" s="26"/>
      <c r="N54" s="26"/>
      <c r="O54" s="28"/>
      <c r="P54" s="28"/>
      <c r="Q54" s="28"/>
    </row>
    <row r="55" spans="1:17" ht="37.5">
      <c r="A55" s="22">
        <v>50</v>
      </c>
      <c r="B55" s="23" t="s">
        <v>90</v>
      </c>
      <c r="C55" s="23" t="s">
        <v>234</v>
      </c>
      <c r="D55" s="24">
        <v>936995.92139999999</v>
      </c>
      <c r="E55" s="24">
        <v>2890669.8717</v>
      </c>
      <c r="F55" s="25">
        <f t="shared" si="0"/>
        <v>3827665.7930999999</v>
      </c>
      <c r="G55" s="26"/>
      <c r="H55" s="26"/>
      <c r="I55" s="28"/>
      <c r="J55" s="28"/>
      <c r="K55" s="28"/>
      <c r="L55" s="28"/>
      <c r="M55" s="26"/>
      <c r="N55" s="26"/>
      <c r="O55" s="28"/>
      <c r="P55" s="28"/>
      <c r="Q55" s="28"/>
    </row>
    <row r="56" spans="1:17" ht="37.5">
      <c r="A56" s="22">
        <v>51</v>
      </c>
      <c r="B56" s="23" t="s">
        <v>90</v>
      </c>
      <c r="C56" s="23" t="s">
        <v>236</v>
      </c>
      <c r="D56" s="24">
        <v>937260.10100000002</v>
      </c>
      <c r="E56" s="24">
        <v>2891484.8761999998</v>
      </c>
      <c r="F56" s="25">
        <f t="shared" si="0"/>
        <v>3828744.9772000001</v>
      </c>
      <c r="G56" s="26"/>
      <c r="H56" s="26"/>
      <c r="I56" s="28"/>
      <c r="J56" s="28"/>
      <c r="K56" s="28"/>
      <c r="L56" s="28"/>
      <c r="M56" s="26"/>
      <c r="N56" s="26"/>
      <c r="O56" s="28"/>
      <c r="P56" s="28"/>
      <c r="Q56" s="28"/>
    </row>
    <row r="57" spans="1:17" ht="37.5">
      <c r="A57" s="22">
        <v>52</v>
      </c>
      <c r="B57" s="23" t="s">
        <v>90</v>
      </c>
      <c r="C57" s="23" t="s">
        <v>238</v>
      </c>
      <c r="D57" s="24">
        <v>966644.36659999995</v>
      </c>
      <c r="E57" s="24">
        <v>2982136.5101999999</v>
      </c>
      <c r="F57" s="25">
        <f t="shared" si="0"/>
        <v>3948780.8768000002</v>
      </c>
      <c r="G57" s="26"/>
      <c r="H57" s="26"/>
      <c r="I57" s="28"/>
      <c r="J57" s="28"/>
      <c r="K57" s="28"/>
      <c r="L57" s="28"/>
      <c r="M57" s="26"/>
      <c r="N57" s="26"/>
      <c r="O57" s="28"/>
      <c r="P57" s="28"/>
      <c r="Q57" s="28"/>
    </row>
    <row r="58" spans="1:17" ht="37.5">
      <c r="A58" s="22">
        <v>53</v>
      </c>
      <c r="B58" s="23" t="s">
        <v>90</v>
      </c>
      <c r="C58" s="23" t="s">
        <v>240</v>
      </c>
      <c r="D58" s="24">
        <v>883124.35900000005</v>
      </c>
      <c r="E58" s="24">
        <v>2724473.9481000002</v>
      </c>
      <c r="F58" s="25">
        <f t="shared" si="0"/>
        <v>3607598.3070999999</v>
      </c>
      <c r="G58" s="26"/>
      <c r="H58" s="26"/>
      <c r="I58" s="28"/>
      <c r="J58" s="28"/>
      <c r="K58" s="28"/>
      <c r="L58" s="28"/>
      <c r="M58" s="26"/>
      <c r="N58" s="26"/>
      <c r="O58" s="28"/>
      <c r="P58" s="28"/>
      <c r="Q58" s="28"/>
    </row>
    <row r="59" spans="1:17" ht="37.5">
      <c r="A59" s="22">
        <v>54</v>
      </c>
      <c r="B59" s="23" t="s">
        <v>90</v>
      </c>
      <c r="C59" s="23" t="s">
        <v>242</v>
      </c>
      <c r="D59" s="24">
        <v>901714.45860000001</v>
      </c>
      <c r="E59" s="24">
        <v>2781825.1486</v>
      </c>
      <c r="F59" s="25">
        <f t="shared" si="0"/>
        <v>3683539.6072</v>
      </c>
      <c r="G59" s="26"/>
      <c r="H59" s="26"/>
      <c r="I59" s="28"/>
      <c r="J59" s="28"/>
      <c r="K59" s="28"/>
      <c r="L59" s="28"/>
      <c r="M59" s="26"/>
      <c r="N59" s="26"/>
      <c r="O59" s="28"/>
      <c r="P59" s="28"/>
      <c r="Q59" s="28"/>
    </row>
    <row r="60" spans="1:17" ht="37.5">
      <c r="A60" s="22">
        <v>55</v>
      </c>
      <c r="B60" s="23" t="s">
        <v>90</v>
      </c>
      <c r="C60" s="23" t="s">
        <v>244</v>
      </c>
      <c r="D60" s="24">
        <v>841696.84680000006</v>
      </c>
      <c r="E60" s="24">
        <v>2596668.4169999999</v>
      </c>
      <c r="F60" s="25">
        <f t="shared" si="0"/>
        <v>3438365.2637999998</v>
      </c>
      <c r="G60" s="26"/>
      <c r="H60" s="26"/>
      <c r="I60" s="28"/>
      <c r="J60" s="28"/>
      <c r="K60" s="28"/>
      <c r="L60" s="28"/>
      <c r="M60" s="26"/>
      <c r="N60" s="26"/>
      <c r="O60" s="28"/>
      <c r="P60" s="28"/>
      <c r="Q60" s="28"/>
    </row>
    <row r="61" spans="1:17" ht="37.5">
      <c r="A61" s="22">
        <v>56</v>
      </c>
      <c r="B61" s="23" t="s">
        <v>90</v>
      </c>
      <c r="C61" s="23" t="s">
        <v>246</v>
      </c>
      <c r="D61" s="24">
        <v>1045728.0333</v>
      </c>
      <c r="E61" s="24">
        <v>3226112.7831000001</v>
      </c>
      <c r="F61" s="25">
        <f t="shared" si="0"/>
        <v>4271840.8163999999</v>
      </c>
      <c r="G61" s="26"/>
      <c r="H61" s="26"/>
      <c r="I61" s="28"/>
      <c r="J61" s="28"/>
      <c r="K61" s="28"/>
      <c r="L61" s="28"/>
      <c r="M61" s="26"/>
      <c r="N61" s="26"/>
      <c r="O61" s="28"/>
      <c r="P61" s="28"/>
      <c r="Q61" s="28"/>
    </row>
    <row r="62" spans="1:17" ht="37.5">
      <c r="A62" s="22">
        <v>57</v>
      </c>
      <c r="B62" s="23" t="s">
        <v>90</v>
      </c>
      <c r="C62" s="23" t="s">
        <v>248</v>
      </c>
      <c r="D62" s="24">
        <v>872582.61840000004</v>
      </c>
      <c r="E62" s="24">
        <v>2691952.2570000002</v>
      </c>
      <c r="F62" s="25">
        <f t="shared" si="0"/>
        <v>3564534.8753999998</v>
      </c>
      <c r="G62" s="26"/>
      <c r="H62" s="26"/>
      <c r="I62" s="28"/>
      <c r="J62" s="28"/>
      <c r="K62" s="28"/>
      <c r="L62" s="28"/>
      <c r="M62" s="26"/>
      <c r="N62" s="26"/>
      <c r="O62" s="28"/>
      <c r="P62" s="28"/>
      <c r="Q62" s="28"/>
    </row>
    <row r="63" spans="1:17" ht="37.5">
      <c r="A63" s="22">
        <v>58</v>
      </c>
      <c r="B63" s="23" t="s">
        <v>90</v>
      </c>
      <c r="C63" s="23" t="s">
        <v>250</v>
      </c>
      <c r="D63" s="24">
        <v>918102.40249999997</v>
      </c>
      <c r="E63" s="24">
        <v>2832382.6104000001</v>
      </c>
      <c r="F63" s="25">
        <f t="shared" si="0"/>
        <v>3750485.0129</v>
      </c>
      <c r="G63" s="26"/>
      <c r="H63" s="26"/>
      <c r="I63" s="28"/>
      <c r="J63" s="28"/>
      <c r="K63" s="28"/>
      <c r="L63" s="28"/>
      <c r="M63" s="26"/>
      <c r="N63" s="26"/>
      <c r="O63" s="28"/>
      <c r="P63" s="28"/>
      <c r="Q63" s="28"/>
    </row>
    <row r="64" spans="1:17" ht="37.5">
      <c r="A64" s="22">
        <v>59</v>
      </c>
      <c r="B64" s="23" t="s">
        <v>90</v>
      </c>
      <c r="C64" s="23" t="s">
        <v>252</v>
      </c>
      <c r="D64" s="24">
        <v>954959.84730000002</v>
      </c>
      <c r="E64" s="24">
        <v>2946089.3012000001</v>
      </c>
      <c r="F64" s="25">
        <f t="shared" si="0"/>
        <v>3901049.1485000001</v>
      </c>
      <c r="G64" s="26"/>
      <c r="H64" s="26"/>
      <c r="I64" s="28"/>
      <c r="J64" s="28"/>
      <c r="K64" s="28"/>
      <c r="L64" s="28"/>
      <c r="M64" s="26"/>
      <c r="N64" s="26"/>
      <c r="O64" s="28"/>
      <c r="P64" s="28"/>
      <c r="Q64" s="28"/>
    </row>
    <row r="65" spans="1:17" ht="37.5">
      <c r="A65" s="22">
        <v>60</v>
      </c>
      <c r="B65" s="23" t="s">
        <v>90</v>
      </c>
      <c r="C65" s="23" t="s">
        <v>254</v>
      </c>
      <c r="D65" s="24">
        <v>820812.98309999995</v>
      </c>
      <c r="E65" s="24">
        <v>2532240.8627999998</v>
      </c>
      <c r="F65" s="25">
        <f t="shared" si="0"/>
        <v>3353053.8459000001</v>
      </c>
      <c r="G65" s="26"/>
      <c r="H65" s="26"/>
      <c r="I65" s="28"/>
      <c r="J65" s="28"/>
      <c r="K65" s="28"/>
      <c r="L65" s="28"/>
      <c r="M65" s="26"/>
      <c r="N65" s="26"/>
      <c r="O65" s="28"/>
      <c r="P65" s="28"/>
      <c r="Q65" s="28"/>
    </row>
    <row r="66" spans="1:17" ht="37.5">
      <c r="A66" s="22">
        <v>61</v>
      </c>
      <c r="B66" s="23" t="s">
        <v>90</v>
      </c>
      <c r="C66" s="23" t="s">
        <v>256</v>
      </c>
      <c r="D66" s="24">
        <v>857088.429</v>
      </c>
      <c r="E66" s="24">
        <v>2644152.0636</v>
      </c>
      <c r="F66" s="25">
        <f t="shared" si="0"/>
        <v>3501240.4926</v>
      </c>
      <c r="G66" s="26"/>
      <c r="H66" s="26"/>
      <c r="I66" s="28"/>
      <c r="J66" s="28"/>
      <c r="K66" s="28"/>
      <c r="L66" s="28"/>
      <c r="M66" s="26"/>
      <c r="N66" s="26"/>
      <c r="O66" s="28"/>
      <c r="P66" s="28"/>
      <c r="Q66" s="28"/>
    </row>
    <row r="67" spans="1:17" ht="37.5">
      <c r="A67" s="22">
        <v>62</v>
      </c>
      <c r="B67" s="23" t="s">
        <v>90</v>
      </c>
      <c r="C67" s="23" t="s">
        <v>258</v>
      </c>
      <c r="D67" s="24">
        <v>877899.60349999997</v>
      </c>
      <c r="E67" s="24">
        <v>2708355.3686000002</v>
      </c>
      <c r="F67" s="25">
        <f t="shared" si="0"/>
        <v>3586254.9720999999</v>
      </c>
      <c r="G67" s="26"/>
      <c r="H67" s="26"/>
      <c r="I67" s="28"/>
      <c r="J67" s="28"/>
      <c r="K67" s="28"/>
      <c r="L67" s="28"/>
      <c r="M67" s="26"/>
      <c r="N67" s="26"/>
      <c r="O67" s="28"/>
      <c r="P67" s="28"/>
      <c r="Q67" s="28"/>
    </row>
    <row r="68" spans="1:17" ht="37.5">
      <c r="A68" s="22">
        <v>63</v>
      </c>
      <c r="B68" s="23" t="s">
        <v>90</v>
      </c>
      <c r="C68" s="23" t="s">
        <v>260</v>
      </c>
      <c r="D68" s="24">
        <v>1034360.2106</v>
      </c>
      <c r="E68" s="24">
        <v>3191042.5957999998</v>
      </c>
      <c r="F68" s="25">
        <f t="shared" si="0"/>
        <v>4225402.8064000001</v>
      </c>
      <c r="G68" s="26"/>
      <c r="H68" s="26"/>
      <c r="I68" s="28"/>
      <c r="J68" s="28"/>
      <c r="K68" s="28"/>
      <c r="L68" s="28"/>
      <c r="M68" s="26"/>
      <c r="N68" s="26"/>
      <c r="O68" s="28"/>
      <c r="P68" s="28"/>
      <c r="Q68" s="28"/>
    </row>
    <row r="69" spans="1:17" ht="37.5">
      <c r="A69" s="22">
        <v>64</v>
      </c>
      <c r="B69" s="23" t="s">
        <v>90</v>
      </c>
      <c r="C69" s="23" t="s">
        <v>262</v>
      </c>
      <c r="D69" s="24">
        <v>770501.85959999997</v>
      </c>
      <c r="E69" s="24">
        <v>2377029.0359</v>
      </c>
      <c r="F69" s="25">
        <f t="shared" si="0"/>
        <v>3147530.8955000001</v>
      </c>
      <c r="G69" s="26"/>
      <c r="H69" s="26"/>
      <c r="I69" s="28"/>
      <c r="J69" s="28"/>
      <c r="K69" s="28"/>
      <c r="L69" s="28"/>
      <c r="M69" s="26"/>
      <c r="N69" s="26"/>
      <c r="O69" s="28"/>
      <c r="P69" s="28"/>
      <c r="Q69" s="28"/>
    </row>
    <row r="70" spans="1:17" ht="37.5">
      <c r="A70" s="22">
        <v>65</v>
      </c>
      <c r="B70" s="23" t="s">
        <v>90</v>
      </c>
      <c r="C70" s="23" t="s">
        <v>264</v>
      </c>
      <c r="D70" s="24">
        <v>945412.07400000002</v>
      </c>
      <c r="E70" s="24">
        <v>2916634.0386999999</v>
      </c>
      <c r="F70" s="25">
        <f t="shared" si="0"/>
        <v>3862046.1126999999</v>
      </c>
      <c r="G70" s="26"/>
      <c r="H70" s="26"/>
      <c r="I70" s="28"/>
      <c r="J70" s="28"/>
      <c r="K70" s="28"/>
      <c r="L70" s="28"/>
      <c r="M70" s="26"/>
      <c r="N70" s="26"/>
      <c r="O70" s="28"/>
      <c r="P70" s="28"/>
      <c r="Q70" s="28"/>
    </row>
    <row r="71" spans="1:17" ht="37.5">
      <c r="A71" s="22">
        <v>66</v>
      </c>
      <c r="B71" s="23" t="s">
        <v>90</v>
      </c>
      <c r="C71" s="23" t="s">
        <v>266</v>
      </c>
      <c r="D71" s="24">
        <v>770776.24479999999</v>
      </c>
      <c r="E71" s="24">
        <v>2377875.5249999999</v>
      </c>
      <c r="F71" s="25">
        <f t="shared" ref="F71:F134" si="1">D71+E71</f>
        <v>3148651.7697999999</v>
      </c>
      <c r="G71" s="26"/>
      <c r="H71" s="26"/>
      <c r="I71" s="28"/>
      <c r="J71" s="28"/>
      <c r="K71" s="28"/>
      <c r="L71" s="28"/>
      <c r="M71" s="26"/>
      <c r="N71" s="26"/>
      <c r="O71" s="28"/>
      <c r="P71" s="28"/>
      <c r="Q71" s="28"/>
    </row>
    <row r="72" spans="1:17" ht="37.5">
      <c r="A72" s="22">
        <v>67</v>
      </c>
      <c r="B72" s="23" t="s">
        <v>90</v>
      </c>
      <c r="C72" s="23" t="s">
        <v>268</v>
      </c>
      <c r="D72" s="24">
        <v>1005215.9614</v>
      </c>
      <c r="E72" s="24">
        <v>3101131.4219</v>
      </c>
      <c r="F72" s="25">
        <f t="shared" si="1"/>
        <v>4106347.3832999999</v>
      </c>
      <c r="G72" s="26"/>
      <c r="H72" s="26"/>
      <c r="I72" s="28"/>
      <c r="J72" s="28"/>
      <c r="K72" s="28"/>
      <c r="L72" s="28"/>
      <c r="M72" s="26"/>
      <c r="N72" s="26"/>
      <c r="O72" s="28"/>
      <c r="P72" s="28"/>
      <c r="Q72" s="28"/>
    </row>
    <row r="73" spans="1:17" ht="37.5">
      <c r="A73" s="22">
        <v>68</v>
      </c>
      <c r="B73" s="23" t="s">
        <v>90</v>
      </c>
      <c r="C73" s="23" t="s">
        <v>270</v>
      </c>
      <c r="D73" s="24">
        <v>831766.72239999997</v>
      </c>
      <c r="E73" s="24">
        <v>2566033.5863000001</v>
      </c>
      <c r="F73" s="25">
        <f t="shared" si="1"/>
        <v>3397800.3086999999</v>
      </c>
      <c r="G73" s="26"/>
      <c r="H73" s="26"/>
      <c r="I73" s="28"/>
      <c r="J73" s="28"/>
      <c r="K73" s="28"/>
      <c r="L73" s="28"/>
      <c r="M73" s="26"/>
      <c r="N73" s="26"/>
      <c r="O73" s="28"/>
      <c r="P73" s="28"/>
      <c r="Q73" s="28"/>
    </row>
    <row r="74" spans="1:17" ht="37.5">
      <c r="A74" s="22">
        <v>69</v>
      </c>
      <c r="B74" s="23" t="s">
        <v>90</v>
      </c>
      <c r="C74" s="23" t="s">
        <v>272</v>
      </c>
      <c r="D74" s="24">
        <v>1257255.9608</v>
      </c>
      <c r="E74" s="24">
        <v>3878684.8947000001</v>
      </c>
      <c r="F74" s="25">
        <f t="shared" si="1"/>
        <v>5135940.8554999996</v>
      </c>
      <c r="G74" s="26"/>
      <c r="H74" s="26"/>
      <c r="I74" s="28"/>
      <c r="J74" s="28"/>
      <c r="K74" s="28"/>
      <c r="L74" s="28"/>
      <c r="M74" s="26"/>
      <c r="N74" s="26"/>
      <c r="O74" s="28"/>
      <c r="P74" s="28"/>
      <c r="Q74" s="28"/>
    </row>
    <row r="75" spans="1:17" ht="18.75">
      <c r="A75" s="22">
        <v>70</v>
      </c>
      <c r="B75" s="23" t="s">
        <v>91</v>
      </c>
      <c r="C75" s="23" t="s">
        <v>277</v>
      </c>
      <c r="D75" s="24">
        <v>1414133.4861999999</v>
      </c>
      <c r="E75" s="24">
        <v>4362658.3313999996</v>
      </c>
      <c r="F75" s="25">
        <f t="shared" si="1"/>
        <v>5776791.8175999997</v>
      </c>
      <c r="G75" s="26"/>
      <c r="H75" s="26"/>
      <c r="I75" s="28"/>
      <c r="J75" s="28"/>
      <c r="K75" s="28"/>
      <c r="L75" s="28"/>
      <c r="M75" s="26"/>
      <c r="N75" s="26"/>
      <c r="O75" s="28"/>
      <c r="P75" s="28"/>
      <c r="Q75" s="28"/>
    </row>
    <row r="76" spans="1:17" ht="18.75">
      <c r="A76" s="22">
        <v>71</v>
      </c>
      <c r="B76" s="23" t="s">
        <v>91</v>
      </c>
      <c r="C76" s="23" t="s">
        <v>279</v>
      </c>
      <c r="D76" s="24">
        <v>930014.66480000003</v>
      </c>
      <c r="E76" s="24">
        <v>2869132.4160000002</v>
      </c>
      <c r="F76" s="25">
        <f t="shared" si="1"/>
        <v>3799147.0808000001</v>
      </c>
      <c r="G76" s="26"/>
      <c r="H76" s="26"/>
      <c r="I76" s="28"/>
      <c r="J76" s="28"/>
      <c r="K76" s="28"/>
      <c r="L76" s="28"/>
      <c r="M76" s="26"/>
      <c r="N76" s="26"/>
      <c r="O76" s="28"/>
      <c r="P76" s="28"/>
      <c r="Q76" s="28"/>
    </row>
    <row r="77" spans="1:17" ht="18.75">
      <c r="A77" s="22">
        <v>72</v>
      </c>
      <c r="B77" s="23" t="s">
        <v>91</v>
      </c>
      <c r="C77" s="23" t="s">
        <v>281</v>
      </c>
      <c r="D77" s="24">
        <v>956722.08940000006</v>
      </c>
      <c r="E77" s="24">
        <v>2951525.8883000002</v>
      </c>
      <c r="F77" s="25">
        <f t="shared" si="1"/>
        <v>3908247.9777000002</v>
      </c>
      <c r="G77" s="26"/>
      <c r="H77" s="26"/>
      <c r="I77" s="28"/>
      <c r="J77" s="28"/>
      <c r="K77" s="28"/>
      <c r="L77" s="28"/>
      <c r="M77" s="26"/>
      <c r="N77" s="26"/>
      <c r="O77" s="28"/>
      <c r="P77" s="28"/>
      <c r="Q77" s="28"/>
    </row>
    <row r="78" spans="1:17" ht="18.75">
      <c r="A78" s="22">
        <v>73</v>
      </c>
      <c r="B78" s="23" t="s">
        <v>91</v>
      </c>
      <c r="C78" s="23" t="s">
        <v>283</v>
      </c>
      <c r="D78" s="24">
        <v>1156385.2886999999</v>
      </c>
      <c r="E78" s="24">
        <v>3567494.8393999999</v>
      </c>
      <c r="F78" s="25">
        <f t="shared" si="1"/>
        <v>4723880.1281000003</v>
      </c>
      <c r="G78" s="26"/>
      <c r="H78" s="26"/>
      <c r="I78" s="28"/>
      <c r="J78" s="28"/>
      <c r="K78" s="28"/>
      <c r="L78" s="28"/>
      <c r="M78" s="26"/>
      <c r="N78" s="26"/>
      <c r="O78" s="28"/>
      <c r="P78" s="28"/>
      <c r="Q78" s="28"/>
    </row>
    <row r="79" spans="1:17" ht="18.75">
      <c r="A79" s="22">
        <v>74</v>
      </c>
      <c r="B79" s="23" t="s">
        <v>91</v>
      </c>
      <c r="C79" s="23" t="s">
        <v>285</v>
      </c>
      <c r="D79" s="24">
        <v>878237.00540000002</v>
      </c>
      <c r="E79" s="24">
        <v>2709396.2669000002</v>
      </c>
      <c r="F79" s="25">
        <f t="shared" si="1"/>
        <v>3587633.2722999998</v>
      </c>
      <c r="G79" s="26"/>
      <c r="H79" s="26"/>
      <c r="I79" s="28"/>
      <c r="J79" s="28"/>
      <c r="K79" s="28"/>
      <c r="L79" s="28"/>
      <c r="M79" s="26"/>
      <c r="N79" s="26"/>
      <c r="O79" s="28"/>
      <c r="P79" s="28"/>
      <c r="Q79" s="28"/>
    </row>
    <row r="80" spans="1:17" ht="18.75">
      <c r="A80" s="22">
        <v>75</v>
      </c>
      <c r="B80" s="23" t="s">
        <v>91</v>
      </c>
      <c r="C80" s="23" t="s">
        <v>287</v>
      </c>
      <c r="D80" s="24">
        <v>1011046.6297</v>
      </c>
      <c r="E80" s="24">
        <v>3119119.2666000002</v>
      </c>
      <c r="F80" s="25">
        <f t="shared" si="1"/>
        <v>4130165.8963000001</v>
      </c>
      <c r="G80" s="26"/>
      <c r="H80" s="26"/>
      <c r="I80" s="28"/>
      <c r="J80" s="28"/>
      <c r="K80" s="28"/>
      <c r="L80" s="28"/>
      <c r="M80" s="26"/>
      <c r="N80" s="26"/>
      <c r="O80" s="28"/>
      <c r="P80" s="28"/>
      <c r="Q80" s="28"/>
    </row>
    <row r="81" spans="1:17" ht="18.75">
      <c r="A81" s="22">
        <v>76</v>
      </c>
      <c r="B81" s="23" t="s">
        <v>91</v>
      </c>
      <c r="C81" s="23" t="s">
        <v>289</v>
      </c>
      <c r="D81" s="24">
        <v>937012.14610000001</v>
      </c>
      <c r="E81" s="24">
        <v>2890719.9254000001</v>
      </c>
      <c r="F81" s="25">
        <f t="shared" si="1"/>
        <v>3827732.0715000001</v>
      </c>
      <c r="G81" s="26"/>
      <c r="H81" s="26"/>
      <c r="I81" s="28"/>
      <c r="J81" s="28"/>
      <c r="K81" s="28"/>
      <c r="L81" s="28"/>
      <c r="M81" s="26"/>
      <c r="N81" s="26"/>
      <c r="O81" s="28"/>
      <c r="P81" s="28"/>
      <c r="Q81" s="28"/>
    </row>
    <row r="82" spans="1:17" ht="18.75">
      <c r="A82" s="22">
        <v>77</v>
      </c>
      <c r="B82" s="23" t="s">
        <v>91</v>
      </c>
      <c r="C82" s="23" t="s">
        <v>291</v>
      </c>
      <c r="D82" s="24">
        <v>837805.28570000001</v>
      </c>
      <c r="E82" s="24">
        <v>2584662.7955999998</v>
      </c>
      <c r="F82" s="25">
        <f t="shared" si="1"/>
        <v>3422468.0813000002</v>
      </c>
      <c r="G82" s="26"/>
      <c r="H82" s="26"/>
      <c r="I82" s="28"/>
      <c r="J82" s="28"/>
      <c r="K82" s="28"/>
      <c r="L82" s="28"/>
      <c r="M82" s="26"/>
      <c r="N82" s="26"/>
      <c r="O82" s="28"/>
      <c r="P82" s="28"/>
      <c r="Q82" s="28"/>
    </row>
    <row r="83" spans="1:17" ht="18.75">
      <c r="A83" s="22">
        <v>78</v>
      </c>
      <c r="B83" s="23" t="s">
        <v>91</v>
      </c>
      <c r="C83" s="23" t="s">
        <v>293</v>
      </c>
      <c r="D83" s="24">
        <v>930539.81909999996</v>
      </c>
      <c r="E83" s="24">
        <v>2870752.5380000002</v>
      </c>
      <c r="F83" s="25">
        <f t="shared" si="1"/>
        <v>3801292.3571000001</v>
      </c>
      <c r="G83" s="26"/>
      <c r="H83" s="26"/>
      <c r="I83" s="28"/>
      <c r="J83" s="28"/>
      <c r="K83" s="28"/>
      <c r="L83" s="28"/>
      <c r="M83" s="26"/>
      <c r="N83" s="26"/>
      <c r="O83" s="28"/>
      <c r="P83" s="28"/>
      <c r="Q83" s="28"/>
    </row>
    <row r="84" spans="1:17" ht="18.75">
      <c r="A84" s="22">
        <v>79</v>
      </c>
      <c r="B84" s="23" t="s">
        <v>91</v>
      </c>
      <c r="C84" s="23" t="s">
        <v>295</v>
      </c>
      <c r="D84" s="24">
        <v>1472147.5384</v>
      </c>
      <c r="E84" s="24">
        <v>4541634.0012999997</v>
      </c>
      <c r="F84" s="25">
        <f t="shared" si="1"/>
        <v>6013781.5396999996</v>
      </c>
      <c r="G84" s="26"/>
      <c r="H84" s="26"/>
      <c r="I84" s="28"/>
      <c r="J84" s="28"/>
      <c r="K84" s="28"/>
      <c r="L84" s="28"/>
      <c r="M84" s="26"/>
      <c r="N84" s="26"/>
      <c r="O84" s="28"/>
      <c r="P84" s="28"/>
      <c r="Q84" s="28"/>
    </row>
    <row r="85" spans="1:17" ht="18.75">
      <c r="A85" s="22">
        <v>80</v>
      </c>
      <c r="B85" s="23" t="s">
        <v>91</v>
      </c>
      <c r="C85" s="23" t="s">
        <v>297</v>
      </c>
      <c r="D85" s="24">
        <v>1023144.317</v>
      </c>
      <c r="E85" s="24">
        <v>3156441.1154999998</v>
      </c>
      <c r="F85" s="25">
        <f t="shared" si="1"/>
        <v>4179585.4325000001</v>
      </c>
      <c r="G85" s="26"/>
      <c r="H85" s="26"/>
      <c r="I85" s="28"/>
      <c r="J85" s="28"/>
      <c r="K85" s="28"/>
      <c r="L85" s="28"/>
      <c r="M85" s="26"/>
      <c r="N85" s="26"/>
      <c r="O85" s="28"/>
      <c r="P85" s="28"/>
      <c r="Q85" s="28"/>
    </row>
    <row r="86" spans="1:17" ht="18.75">
      <c r="A86" s="22">
        <v>81</v>
      </c>
      <c r="B86" s="23" t="s">
        <v>91</v>
      </c>
      <c r="C86" s="23" t="s">
        <v>299</v>
      </c>
      <c r="D86" s="24">
        <v>1250896.6524</v>
      </c>
      <c r="E86" s="24">
        <v>3859066.1740999999</v>
      </c>
      <c r="F86" s="25">
        <f t="shared" si="1"/>
        <v>5109962.8265000004</v>
      </c>
      <c r="G86" s="26"/>
      <c r="H86" s="26"/>
      <c r="I86" s="28"/>
      <c r="J86" s="28"/>
      <c r="K86" s="28"/>
      <c r="L86" s="28"/>
      <c r="M86" s="26"/>
      <c r="N86" s="26"/>
      <c r="O86" s="28"/>
      <c r="P86" s="28"/>
      <c r="Q86" s="28"/>
    </row>
    <row r="87" spans="1:17" ht="18.75">
      <c r="A87" s="22">
        <v>82</v>
      </c>
      <c r="B87" s="23" t="s">
        <v>91</v>
      </c>
      <c r="C87" s="23" t="s">
        <v>301</v>
      </c>
      <c r="D87" s="24">
        <v>919089.75650000002</v>
      </c>
      <c r="E87" s="24">
        <v>2835428.6370000001</v>
      </c>
      <c r="F87" s="25">
        <f t="shared" si="1"/>
        <v>3754518.3934999998</v>
      </c>
      <c r="G87" s="26"/>
      <c r="H87" s="26"/>
      <c r="I87" s="28"/>
      <c r="J87" s="28"/>
      <c r="K87" s="28"/>
      <c r="L87" s="28"/>
      <c r="M87" s="26"/>
      <c r="N87" s="26"/>
      <c r="O87" s="28"/>
      <c r="P87" s="28"/>
      <c r="Q87" s="28"/>
    </row>
    <row r="88" spans="1:17" ht="18.75">
      <c r="A88" s="22">
        <v>83</v>
      </c>
      <c r="B88" s="23" t="s">
        <v>91</v>
      </c>
      <c r="C88" s="23" t="s">
        <v>303</v>
      </c>
      <c r="D88" s="24">
        <v>911282.96250000002</v>
      </c>
      <c r="E88" s="24">
        <v>2811344.3656000001</v>
      </c>
      <c r="F88" s="25">
        <f t="shared" si="1"/>
        <v>3722627.3281</v>
      </c>
      <c r="G88" s="26"/>
      <c r="H88" s="26"/>
      <c r="I88" s="28"/>
      <c r="J88" s="28"/>
      <c r="K88" s="28"/>
      <c r="L88" s="28"/>
      <c r="M88" s="26"/>
      <c r="N88" s="26"/>
      <c r="O88" s="28"/>
      <c r="P88" s="28"/>
      <c r="Q88" s="28"/>
    </row>
    <row r="89" spans="1:17" ht="18.75">
      <c r="A89" s="22">
        <v>84</v>
      </c>
      <c r="B89" s="23" t="s">
        <v>91</v>
      </c>
      <c r="C89" s="23" t="s">
        <v>305</v>
      </c>
      <c r="D89" s="24">
        <v>1093739.0996999999</v>
      </c>
      <c r="E89" s="24">
        <v>3374228.8420000002</v>
      </c>
      <c r="F89" s="25">
        <f t="shared" si="1"/>
        <v>4467967.9417000003</v>
      </c>
      <c r="G89" s="26"/>
      <c r="H89" s="26"/>
      <c r="I89" s="28"/>
      <c r="J89" s="28"/>
      <c r="K89" s="28"/>
      <c r="L89" s="28"/>
      <c r="M89" s="26"/>
      <c r="N89" s="26"/>
      <c r="O89" s="28"/>
      <c r="P89" s="28"/>
      <c r="Q89" s="28"/>
    </row>
    <row r="90" spans="1:17" ht="18.75">
      <c r="A90" s="22">
        <v>85</v>
      </c>
      <c r="B90" s="23" t="s">
        <v>91</v>
      </c>
      <c r="C90" s="23" t="s">
        <v>307</v>
      </c>
      <c r="D90" s="24">
        <v>1045098.6597</v>
      </c>
      <c r="E90" s="24">
        <v>3224171.1403000001</v>
      </c>
      <c r="F90" s="25">
        <f t="shared" si="1"/>
        <v>4269269.8</v>
      </c>
      <c r="G90" s="26"/>
      <c r="H90" s="26"/>
      <c r="I90" s="28"/>
      <c r="J90" s="28"/>
      <c r="K90" s="28"/>
      <c r="L90" s="28"/>
      <c r="M90" s="26"/>
      <c r="N90" s="26"/>
      <c r="O90" s="28"/>
      <c r="P90" s="28"/>
      <c r="Q90" s="28"/>
    </row>
    <row r="91" spans="1:17" ht="18.75">
      <c r="A91" s="22">
        <v>86</v>
      </c>
      <c r="B91" s="23" t="s">
        <v>91</v>
      </c>
      <c r="C91" s="23" t="s">
        <v>308</v>
      </c>
      <c r="D91" s="24">
        <v>875504.00439999998</v>
      </c>
      <c r="E91" s="24">
        <v>2700964.8497000001</v>
      </c>
      <c r="F91" s="25">
        <f t="shared" si="1"/>
        <v>3576468.8541000001</v>
      </c>
      <c r="G91" s="26"/>
      <c r="H91" s="26"/>
      <c r="I91" s="28"/>
      <c r="J91" s="28"/>
      <c r="K91" s="28"/>
      <c r="L91" s="28"/>
      <c r="M91" s="26"/>
      <c r="N91" s="26"/>
      <c r="O91" s="28"/>
      <c r="P91" s="28"/>
      <c r="Q91" s="28"/>
    </row>
    <row r="92" spans="1:17" ht="18.75">
      <c r="A92" s="22">
        <v>87</v>
      </c>
      <c r="B92" s="23" t="s">
        <v>91</v>
      </c>
      <c r="C92" s="23" t="s">
        <v>310</v>
      </c>
      <c r="D92" s="24">
        <v>907181.60369999998</v>
      </c>
      <c r="E92" s="24">
        <v>2798691.5098000001</v>
      </c>
      <c r="F92" s="25">
        <f t="shared" si="1"/>
        <v>3705873.1135</v>
      </c>
      <c r="G92" s="26"/>
      <c r="H92" s="26"/>
      <c r="I92" s="28"/>
      <c r="J92" s="28"/>
      <c r="K92" s="28"/>
      <c r="L92" s="28"/>
      <c r="M92" s="26"/>
      <c r="N92" s="26"/>
      <c r="O92" s="28"/>
      <c r="P92" s="28"/>
      <c r="Q92" s="28"/>
    </row>
    <row r="93" spans="1:17" ht="18.75">
      <c r="A93" s="22">
        <v>88</v>
      </c>
      <c r="B93" s="23" t="s">
        <v>91</v>
      </c>
      <c r="C93" s="23" t="s">
        <v>312</v>
      </c>
      <c r="D93" s="24">
        <v>979679.10470000003</v>
      </c>
      <c r="E93" s="24">
        <v>3022349.1982</v>
      </c>
      <c r="F93" s="25">
        <f t="shared" si="1"/>
        <v>4002028.3029</v>
      </c>
      <c r="G93" s="26"/>
      <c r="H93" s="26"/>
      <c r="I93" s="28"/>
      <c r="J93" s="28"/>
      <c r="K93" s="28"/>
      <c r="L93" s="28"/>
      <c r="M93" s="26"/>
      <c r="N93" s="26"/>
      <c r="O93" s="28"/>
      <c r="P93" s="28"/>
      <c r="Q93" s="28"/>
    </row>
    <row r="94" spans="1:17" ht="18.75">
      <c r="A94" s="22">
        <v>89</v>
      </c>
      <c r="B94" s="23" t="s">
        <v>91</v>
      </c>
      <c r="C94" s="23" t="s">
        <v>314</v>
      </c>
      <c r="D94" s="24">
        <v>991410.48300000001</v>
      </c>
      <c r="E94" s="24">
        <v>3058540.9692000002</v>
      </c>
      <c r="F94" s="25">
        <f t="shared" si="1"/>
        <v>4049951.4522000002</v>
      </c>
      <c r="G94" s="26"/>
      <c r="H94" s="26"/>
      <c r="I94" s="28"/>
      <c r="J94" s="28"/>
      <c r="K94" s="28"/>
      <c r="L94" s="28"/>
      <c r="M94" s="26"/>
      <c r="N94" s="26"/>
      <c r="O94" s="28"/>
      <c r="P94" s="28"/>
      <c r="Q94" s="28"/>
    </row>
    <row r="95" spans="1:17" ht="18.75">
      <c r="A95" s="22">
        <v>90</v>
      </c>
      <c r="B95" s="23" t="s">
        <v>91</v>
      </c>
      <c r="C95" s="23" t="s">
        <v>316</v>
      </c>
      <c r="D95" s="24">
        <v>951900.05889999995</v>
      </c>
      <c r="E95" s="24">
        <v>2936649.7313999999</v>
      </c>
      <c r="F95" s="25">
        <f t="shared" si="1"/>
        <v>3888549.7903</v>
      </c>
      <c r="G95" s="26"/>
      <c r="H95" s="26"/>
      <c r="I95" s="28"/>
      <c r="J95" s="28"/>
      <c r="K95" s="28"/>
      <c r="L95" s="28"/>
      <c r="M95" s="26"/>
      <c r="N95" s="26"/>
      <c r="O95" s="28"/>
      <c r="P95" s="28"/>
      <c r="Q95" s="28"/>
    </row>
    <row r="96" spans="1:17" ht="18.75">
      <c r="A96" s="22">
        <v>91</v>
      </c>
      <c r="B96" s="23" t="s">
        <v>92</v>
      </c>
      <c r="C96" s="23" t="s">
        <v>321</v>
      </c>
      <c r="D96" s="24">
        <v>1605006.4092000001</v>
      </c>
      <c r="E96" s="24">
        <v>4951508.9285000004</v>
      </c>
      <c r="F96" s="25">
        <f t="shared" si="1"/>
        <v>6556515.3377</v>
      </c>
      <c r="G96" s="26"/>
      <c r="H96" s="26"/>
      <c r="I96" s="28"/>
      <c r="J96" s="28"/>
      <c r="K96" s="28"/>
      <c r="L96" s="28"/>
      <c r="M96" s="26"/>
      <c r="N96" s="26"/>
      <c r="O96" s="28"/>
      <c r="P96" s="28"/>
      <c r="Q96" s="28"/>
    </row>
    <row r="97" spans="1:17" ht="18.75">
      <c r="A97" s="22">
        <v>92</v>
      </c>
      <c r="B97" s="23" t="s">
        <v>92</v>
      </c>
      <c r="C97" s="23" t="s">
        <v>92</v>
      </c>
      <c r="D97" s="24">
        <v>1938214.2805999999</v>
      </c>
      <c r="E97" s="24">
        <v>5979468.5307999998</v>
      </c>
      <c r="F97" s="25">
        <f t="shared" si="1"/>
        <v>7917682.8114</v>
      </c>
      <c r="G97" s="26"/>
      <c r="H97" s="26"/>
      <c r="I97" s="28"/>
      <c r="J97" s="28"/>
      <c r="K97" s="28"/>
      <c r="L97" s="28"/>
      <c r="M97" s="26"/>
      <c r="N97" s="26"/>
      <c r="O97" s="28"/>
      <c r="P97" s="28"/>
      <c r="Q97" s="28"/>
    </row>
    <row r="98" spans="1:17" ht="18.75">
      <c r="A98" s="22">
        <v>93</v>
      </c>
      <c r="B98" s="23" t="s">
        <v>92</v>
      </c>
      <c r="C98" s="23" t="s">
        <v>324</v>
      </c>
      <c r="D98" s="24">
        <v>847671.16700000002</v>
      </c>
      <c r="E98" s="24">
        <v>2615099.4338000002</v>
      </c>
      <c r="F98" s="25">
        <f t="shared" si="1"/>
        <v>3462770.6008000001</v>
      </c>
      <c r="G98" s="26"/>
      <c r="H98" s="26"/>
      <c r="I98" s="28"/>
      <c r="J98" s="28"/>
      <c r="K98" s="28"/>
      <c r="L98" s="28"/>
      <c r="M98" s="26"/>
      <c r="N98" s="26"/>
      <c r="O98" s="28"/>
      <c r="P98" s="28"/>
      <c r="Q98" s="28"/>
    </row>
    <row r="99" spans="1:17" ht="18.75">
      <c r="A99" s="22">
        <v>94</v>
      </c>
      <c r="B99" s="23" t="s">
        <v>92</v>
      </c>
      <c r="C99" s="23" t="s">
        <v>326</v>
      </c>
      <c r="D99" s="24">
        <v>1001808.8215</v>
      </c>
      <c r="E99" s="24">
        <v>3090620.2590999999</v>
      </c>
      <c r="F99" s="25">
        <f t="shared" si="1"/>
        <v>4092429.0806</v>
      </c>
      <c r="G99" s="26"/>
      <c r="H99" s="26"/>
      <c r="I99" s="28"/>
      <c r="J99" s="28"/>
      <c r="K99" s="28"/>
      <c r="L99" s="28"/>
      <c r="M99" s="26"/>
      <c r="N99" s="26"/>
      <c r="O99" s="28"/>
      <c r="P99" s="28"/>
      <c r="Q99" s="28"/>
    </row>
    <row r="100" spans="1:17" ht="18.75">
      <c r="A100" s="22">
        <v>95</v>
      </c>
      <c r="B100" s="23" t="s">
        <v>92</v>
      </c>
      <c r="C100" s="23" t="s">
        <v>328</v>
      </c>
      <c r="D100" s="24">
        <v>1270835.7475000001</v>
      </c>
      <c r="E100" s="24">
        <v>3920579.0794000002</v>
      </c>
      <c r="F100" s="25">
        <f t="shared" si="1"/>
        <v>5191414.8268999998</v>
      </c>
      <c r="G100" s="26"/>
      <c r="H100" s="26"/>
      <c r="I100" s="28"/>
      <c r="J100" s="28"/>
      <c r="K100" s="28"/>
      <c r="L100" s="28"/>
      <c r="M100" s="26"/>
      <c r="N100" s="26"/>
      <c r="O100" s="28"/>
      <c r="P100" s="28"/>
      <c r="Q100" s="28"/>
    </row>
    <row r="101" spans="1:17" ht="18.75">
      <c r="A101" s="22">
        <v>96</v>
      </c>
      <c r="B101" s="23" t="s">
        <v>92</v>
      </c>
      <c r="C101" s="23" t="s">
        <v>330</v>
      </c>
      <c r="D101" s="24">
        <v>841528.06709999999</v>
      </c>
      <c r="E101" s="24">
        <v>2596147.7250000001</v>
      </c>
      <c r="F101" s="25">
        <f t="shared" si="1"/>
        <v>3437675.7921000002</v>
      </c>
      <c r="G101" s="26"/>
      <c r="H101" s="26"/>
      <c r="I101" s="28"/>
      <c r="J101" s="28"/>
      <c r="K101" s="28"/>
      <c r="L101" s="28"/>
      <c r="M101" s="26"/>
      <c r="N101" s="26"/>
      <c r="O101" s="28"/>
      <c r="P101" s="28"/>
      <c r="Q101" s="28"/>
    </row>
    <row r="102" spans="1:17" ht="18.75">
      <c r="A102" s="22">
        <v>97</v>
      </c>
      <c r="B102" s="23" t="s">
        <v>92</v>
      </c>
      <c r="C102" s="23" t="s">
        <v>332</v>
      </c>
      <c r="D102" s="24">
        <v>1342550.2479999999</v>
      </c>
      <c r="E102" s="24">
        <v>4141821.1803000001</v>
      </c>
      <c r="F102" s="25">
        <f t="shared" si="1"/>
        <v>5484371.4282999998</v>
      </c>
      <c r="G102" s="26"/>
      <c r="H102" s="26"/>
      <c r="I102" s="28"/>
      <c r="J102" s="28"/>
      <c r="K102" s="28"/>
      <c r="L102" s="28"/>
      <c r="M102" s="26"/>
      <c r="N102" s="26"/>
      <c r="O102" s="28"/>
      <c r="P102" s="28"/>
      <c r="Q102" s="28"/>
    </row>
    <row r="103" spans="1:17" ht="18.75">
      <c r="A103" s="22">
        <v>98</v>
      </c>
      <c r="B103" s="23" t="s">
        <v>92</v>
      </c>
      <c r="C103" s="23" t="s">
        <v>334</v>
      </c>
      <c r="D103" s="24">
        <v>1355265.3478999999</v>
      </c>
      <c r="E103" s="24">
        <v>4181047.7716999999</v>
      </c>
      <c r="F103" s="25">
        <f t="shared" si="1"/>
        <v>5536313.1195999999</v>
      </c>
      <c r="G103" s="26"/>
      <c r="H103" s="26"/>
      <c r="I103" s="28"/>
      <c r="J103" s="28"/>
      <c r="K103" s="28"/>
      <c r="L103" s="28"/>
      <c r="M103" s="26"/>
      <c r="N103" s="26"/>
      <c r="O103" s="28"/>
      <c r="P103" s="28"/>
      <c r="Q103" s="28"/>
    </row>
    <row r="104" spans="1:17" ht="18.75">
      <c r="A104" s="22">
        <v>99</v>
      </c>
      <c r="B104" s="23" t="s">
        <v>92</v>
      </c>
      <c r="C104" s="23" t="s">
        <v>336</v>
      </c>
      <c r="D104" s="24">
        <v>953279.16599999997</v>
      </c>
      <c r="E104" s="24">
        <v>2940904.3321000002</v>
      </c>
      <c r="F104" s="25">
        <f t="shared" si="1"/>
        <v>3894183.4981</v>
      </c>
      <c r="G104" s="26"/>
      <c r="H104" s="26"/>
      <c r="I104" s="28"/>
      <c r="J104" s="28"/>
      <c r="K104" s="28"/>
      <c r="L104" s="28"/>
      <c r="M104" s="26"/>
      <c r="N104" s="26"/>
      <c r="O104" s="28"/>
      <c r="P104" s="28"/>
      <c r="Q104" s="28"/>
    </row>
    <row r="105" spans="1:17" ht="18.75">
      <c r="A105" s="22">
        <v>100</v>
      </c>
      <c r="B105" s="23" t="s">
        <v>92</v>
      </c>
      <c r="C105" s="23" t="s">
        <v>337</v>
      </c>
      <c r="D105" s="24">
        <v>1091782.8568</v>
      </c>
      <c r="E105" s="24">
        <v>3368193.7544</v>
      </c>
      <c r="F105" s="25">
        <f t="shared" si="1"/>
        <v>4459976.6112000002</v>
      </c>
      <c r="G105" s="26"/>
      <c r="H105" s="26"/>
      <c r="I105" s="28"/>
      <c r="J105" s="28"/>
      <c r="K105" s="28"/>
      <c r="L105" s="28"/>
      <c r="M105" s="26"/>
      <c r="N105" s="26"/>
      <c r="O105" s="28"/>
      <c r="P105" s="28"/>
      <c r="Q105" s="28"/>
    </row>
    <row r="106" spans="1:17" ht="18.75">
      <c r="A106" s="22">
        <v>101</v>
      </c>
      <c r="B106" s="23" t="s">
        <v>92</v>
      </c>
      <c r="C106" s="23" t="s">
        <v>339</v>
      </c>
      <c r="D106" s="24">
        <v>844787.05330000003</v>
      </c>
      <c r="E106" s="24">
        <v>2606201.8276999998</v>
      </c>
      <c r="F106" s="25">
        <f t="shared" si="1"/>
        <v>3450988.8810000001</v>
      </c>
      <c r="G106" s="26"/>
      <c r="H106" s="26"/>
      <c r="I106" s="28"/>
      <c r="J106" s="28"/>
      <c r="K106" s="28"/>
      <c r="L106" s="28"/>
      <c r="M106" s="26"/>
      <c r="N106" s="26"/>
      <c r="O106" s="28"/>
      <c r="P106" s="28"/>
      <c r="Q106" s="28"/>
    </row>
    <row r="107" spans="1:17" ht="18.75">
      <c r="A107" s="22">
        <v>102</v>
      </c>
      <c r="B107" s="23" t="s">
        <v>92</v>
      </c>
      <c r="C107" s="23" t="s">
        <v>341</v>
      </c>
      <c r="D107" s="24">
        <v>1308240.7826</v>
      </c>
      <c r="E107" s="24">
        <v>4035975.1079000002</v>
      </c>
      <c r="F107" s="25">
        <f t="shared" si="1"/>
        <v>5344215.8904999997</v>
      </c>
      <c r="G107" s="26"/>
      <c r="H107" s="26"/>
      <c r="I107" s="28"/>
      <c r="J107" s="28"/>
      <c r="K107" s="28"/>
      <c r="L107" s="28"/>
      <c r="M107" s="26"/>
      <c r="N107" s="26"/>
      <c r="O107" s="28"/>
      <c r="P107" s="28"/>
      <c r="Q107" s="28"/>
    </row>
    <row r="108" spans="1:17" ht="18.75">
      <c r="A108" s="22">
        <v>103</v>
      </c>
      <c r="B108" s="23" t="s">
        <v>92</v>
      </c>
      <c r="C108" s="23" t="s">
        <v>343</v>
      </c>
      <c r="D108" s="24">
        <v>1075965.6096999999</v>
      </c>
      <c r="E108" s="24">
        <v>3319396.9150999999</v>
      </c>
      <c r="F108" s="25">
        <f t="shared" si="1"/>
        <v>4395362.5247999998</v>
      </c>
      <c r="G108" s="26"/>
      <c r="H108" s="26"/>
      <c r="I108" s="28"/>
      <c r="J108" s="28"/>
      <c r="K108" s="28"/>
      <c r="L108" s="28"/>
      <c r="M108" s="26"/>
      <c r="N108" s="26"/>
      <c r="O108" s="28"/>
      <c r="P108" s="28"/>
      <c r="Q108" s="28"/>
    </row>
    <row r="109" spans="1:17" ht="18.75">
      <c r="A109" s="22">
        <v>104</v>
      </c>
      <c r="B109" s="23" t="s">
        <v>92</v>
      </c>
      <c r="C109" s="23" t="s">
        <v>345</v>
      </c>
      <c r="D109" s="24">
        <v>1256389.5104</v>
      </c>
      <c r="E109" s="24">
        <v>3876011.8607000001</v>
      </c>
      <c r="F109" s="25">
        <f t="shared" si="1"/>
        <v>5132401.3711000001</v>
      </c>
      <c r="G109" s="26"/>
      <c r="H109" s="26"/>
      <c r="I109" s="28"/>
      <c r="J109" s="28"/>
      <c r="K109" s="28"/>
      <c r="L109" s="28"/>
      <c r="M109" s="26"/>
      <c r="N109" s="26"/>
      <c r="O109" s="28"/>
      <c r="P109" s="28"/>
      <c r="Q109" s="28"/>
    </row>
    <row r="110" spans="1:17" ht="18.75">
      <c r="A110" s="22">
        <v>105</v>
      </c>
      <c r="B110" s="23" t="s">
        <v>92</v>
      </c>
      <c r="C110" s="23" t="s">
        <v>347</v>
      </c>
      <c r="D110" s="24">
        <v>1610035.3687</v>
      </c>
      <c r="E110" s="24">
        <v>4967023.4694999997</v>
      </c>
      <c r="F110" s="25">
        <f t="shared" si="1"/>
        <v>6577058.8382000001</v>
      </c>
      <c r="G110" s="26"/>
      <c r="H110" s="26"/>
      <c r="I110" s="28"/>
      <c r="J110" s="28"/>
      <c r="K110" s="28"/>
      <c r="L110" s="28"/>
      <c r="M110" s="26"/>
      <c r="N110" s="26"/>
      <c r="O110" s="28"/>
      <c r="P110" s="28"/>
      <c r="Q110" s="28"/>
    </row>
    <row r="111" spans="1:17" ht="18.75">
      <c r="A111" s="22">
        <v>106</v>
      </c>
      <c r="B111" s="23" t="s">
        <v>92</v>
      </c>
      <c r="C111" s="23" t="s">
        <v>349</v>
      </c>
      <c r="D111" s="24">
        <v>1207011.5427000001</v>
      </c>
      <c r="E111" s="24">
        <v>3723678.8563999999</v>
      </c>
      <c r="F111" s="25">
        <f t="shared" si="1"/>
        <v>4930690.3991</v>
      </c>
      <c r="G111" s="26"/>
      <c r="H111" s="26"/>
      <c r="I111" s="28"/>
      <c r="J111" s="28"/>
      <c r="K111" s="28"/>
      <c r="L111" s="28"/>
      <c r="M111" s="26"/>
      <c r="N111" s="26"/>
      <c r="O111" s="28"/>
      <c r="P111" s="28"/>
      <c r="Q111" s="28"/>
    </row>
    <row r="112" spans="1:17" ht="37.5">
      <c r="A112" s="22">
        <v>107</v>
      </c>
      <c r="B112" s="23" t="s">
        <v>92</v>
      </c>
      <c r="C112" s="23" t="s">
        <v>351</v>
      </c>
      <c r="D112" s="24">
        <v>1187188.4018000001</v>
      </c>
      <c r="E112" s="24">
        <v>3662523.6746</v>
      </c>
      <c r="F112" s="25">
        <f t="shared" si="1"/>
        <v>4849712.0763999997</v>
      </c>
      <c r="G112" s="26"/>
      <c r="H112" s="26"/>
      <c r="I112" s="28"/>
      <c r="J112" s="28"/>
      <c r="K112" s="28"/>
      <c r="L112" s="28"/>
      <c r="M112" s="26"/>
      <c r="N112" s="26"/>
      <c r="O112" s="28"/>
      <c r="P112" s="28"/>
      <c r="Q112" s="28"/>
    </row>
    <row r="113" spans="1:17" ht="18.75">
      <c r="A113" s="22">
        <v>108</v>
      </c>
      <c r="B113" s="23" t="s">
        <v>92</v>
      </c>
      <c r="C113" s="23" t="s">
        <v>353</v>
      </c>
      <c r="D113" s="24">
        <v>1669554.5869</v>
      </c>
      <c r="E113" s="24">
        <v>5150642.6369000003</v>
      </c>
      <c r="F113" s="25">
        <f t="shared" si="1"/>
        <v>6820197.2237999998</v>
      </c>
      <c r="G113" s="26"/>
      <c r="H113" s="26"/>
      <c r="I113" s="28"/>
      <c r="J113" s="28"/>
      <c r="K113" s="28"/>
      <c r="L113" s="28"/>
      <c r="M113" s="26"/>
      <c r="N113" s="26"/>
      <c r="O113" s="28"/>
      <c r="P113" s="28"/>
      <c r="Q113" s="28"/>
    </row>
    <row r="114" spans="1:17" ht="18.75">
      <c r="A114" s="22">
        <v>109</v>
      </c>
      <c r="B114" s="23" t="s">
        <v>92</v>
      </c>
      <c r="C114" s="23" t="s">
        <v>355</v>
      </c>
      <c r="D114" s="24">
        <v>929203.94350000005</v>
      </c>
      <c r="E114" s="24">
        <v>2866631.3083000001</v>
      </c>
      <c r="F114" s="25">
        <f t="shared" si="1"/>
        <v>3795835.2518000002</v>
      </c>
      <c r="G114" s="26"/>
      <c r="H114" s="26"/>
      <c r="I114" s="28"/>
      <c r="J114" s="28"/>
      <c r="K114" s="28"/>
      <c r="L114" s="28"/>
      <c r="M114" s="26"/>
      <c r="N114" s="26"/>
      <c r="O114" s="28"/>
      <c r="P114" s="28"/>
      <c r="Q114" s="28"/>
    </row>
    <row r="115" spans="1:17" ht="18.75">
      <c r="A115" s="22">
        <v>110</v>
      </c>
      <c r="B115" s="23" t="s">
        <v>92</v>
      </c>
      <c r="C115" s="23" t="s">
        <v>357</v>
      </c>
      <c r="D115" s="24">
        <v>1039752.0163</v>
      </c>
      <c r="E115" s="24">
        <v>3207676.5317000002</v>
      </c>
      <c r="F115" s="25">
        <f t="shared" si="1"/>
        <v>4247428.5480000004</v>
      </c>
      <c r="G115" s="26"/>
      <c r="H115" s="26"/>
      <c r="I115" s="28"/>
      <c r="J115" s="28"/>
      <c r="K115" s="28"/>
      <c r="L115" s="28"/>
      <c r="M115" s="26"/>
      <c r="N115" s="26"/>
      <c r="O115" s="28"/>
      <c r="P115" s="28"/>
      <c r="Q115" s="28"/>
    </row>
    <row r="116" spans="1:17" ht="18.75">
      <c r="A116" s="22">
        <v>111</v>
      </c>
      <c r="B116" s="23" t="s">
        <v>93</v>
      </c>
      <c r="C116" s="23" t="s">
        <v>362</v>
      </c>
      <c r="D116" s="24">
        <v>1180715.6214000001</v>
      </c>
      <c r="E116" s="24">
        <v>3642554.8881000001</v>
      </c>
      <c r="F116" s="25">
        <f t="shared" si="1"/>
        <v>4823270.5094999997</v>
      </c>
      <c r="G116" s="26"/>
      <c r="H116" s="26"/>
      <c r="I116" s="28"/>
      <c r="J116" s="28"/>
      <c r="K116" s="28"/>
      <c r="L116" s="28"/>
      <c r="M116" s="26"/>
      <c r="N116" s="26"/>
      <c r="O116" s="28"/>
      <c r="P116" s="28"/>
      <c r="Q116" s="28"/>
    </row>
    <row r="117" spans="1:17" ht="18.75">
      <c r="A117" s="22">
        <v>112</v>
      </c>
      <c r="B117" s="23" t="s">
        <v>93</v>
      </c>
      <c r="C117" s="23" t="s">
        <v>364</v>
      </c>
      <c r="D117" s="24">
        <v>1355467.655</v>
      </c>
      <c r="E117" s="24">
        <v>4181671.8972</v>
      </c>
      <c r="F117" s="25">
        <f t="shared" si="1"/>
        <v>5537139.5521999998</v>
      </c>
      <c r="G117" s="26"/>
      <c r="H117" s="26"/>
      <c r="I117" s="28"/>
      <c r="J117" s="28"/>
      <c r="K117" s="28"/>
      <c r="L117" s="28"/>
      <c r="M117" s="26"/>
      <c r="N117" s="26"/>
      <c r="O117" s="28"/>
      <c r="P117" s="28"/>
      <c r="Q117" s="28"/>
    </row>
    <row r="118" spans="1:17" ht="37.5">
      <c r="A118" s="22">
        <v>113</v>
      </c>
      <c r="B118" s="23" t="s">
        <v>93</v>
      </c>
      <c r="C118" s="23" t="s">
        <v>366</v>
      </c>
      <c r="D118" s="24">
        <v>902065.1642</v>
      </c>
      <c r="E118" s="24">
        <v>2782907.0893000001</v>
      </c>
      <c r="F118" s="25">
        <f t="shared" si="1"/>
        <v>3684972.2535000001</v>
      </c>
      <c r="G118" s="26"/>
      <c r="H118" s="26"/>
      <c r="I118" s="28"/>
      <c r="J118" s="28"/>
      <c r="K118" s="28"/>
      <c r="L118" s="28"/>
      <c r="M118" s="26"/>
      <c r="N118" s="26"/>
      <c r="O118" s="28"/>
      <c r="P118" s="28"/>
      <c r="Q118" s="28"/>
    </row>
    <row r="119" spans="1:17" ht="18.75">
      <c r="A119" s="22">
        <v>114</v>
      </c>
      <c r="B119" s="23" t="s">
        <v>93</v>
      </c>
      <c r="C119" s="23" t="s">
        <v>368</v>
      </c>
      <c r="D119" s="24">
        <v>1112287.1003</v>
      </c>
      <c r="E119" s="24">
        <v>3431450.1653999998</v>
      </c>
      <c r="F119" s="25">
        <f t="shared" si="1"/>
        <v>4543737.2657000003</v>
      </c>
      <c r="G119" s="26"/>
      <c r="H119" s="26"/>
      <c r="I119" s="28"/>
      <c r="J119" s="28"/>
      <c r="K119" s="28"/>
      <c r="L119" s="28"/>
      <c r="M119" s="26"/>
      <c r="N119" s="26"/>
      <c r="O119" s="28"/>
      <c r="P119" s="28"/>
      <c r="Q119" s="28"/>
    </row>
    <row r="120" spans="1:17" ht="18.75">
      <c r="A120" s="22">
        <v>115</v>
      </c>
      <c r="B120" s="23" t="s">
        <v>93</v>
      </c>
      <c r="C120" s="23" t="s">
        <v>370</v>
      </c>
      <c r="D120" s="24">
        <v>1168916.7686999999</v>
      </c>
      <c r="E120" s="24">
        <v>3606154.9559999998</v>
      </c>
      <c r="F120" s="25">
        <f t="shared" si="1"/>
        <v>4775071.7247000001</v>
      </c>
      <c r="G120" s="26"/>
      <c r="H120" s="26"/>
      <c r="I120" s="28"/>
      <c r="J120" s="28"/>
      <c r="K120" s="28"/>
      <c r="L120" s="28"/>
      <c r="M120" s="26"/>
      <c r="N120" s="26"/>
      <c r="O120" s="28"/>
      <c r="P120" s="28"/>
      <c r="Q120" s="28"/>
    </row>
    <row r="121" spans="1:17" ht="18.75">
      <c r="A121" s="22">
        <v>116</v>
      </c>
      <c r="B121" s="23" t="s">
        <v>93</v>
      </c>
      <c r="C121" s="23" t="s">
        <v>372</v>
      </c>
      <c r="D121" s="24">
        <v>1149226.6396000001</v>
      </c>
      <c r="E121" s="24">
        <v>3545410.1206999999</v>
      </c>
      <c r="F121" s="25">
        <f t="shared" si="1"/>
        <v>4694636.7603000002</v>
      </c>
      <c r="G121" s="26"/>
      <c r="H121" s="26"/>
      <c r="I121" s="28"/>
      <c r="J121" s="28"/>
      <c r="K121" s="28"/>
      <c r="L121" s="28"/>
      <c r="M121" s="26"/>
      <c r="N121" s="26"/>
      <c r="O121" s="28"/>
      <c r="P121" s="28"/>
      <c r="Q121" s="28"/>
    </row>
    <row r="122" spans="1:17" ht="18.75">
      <c r="A122" s="22">
        <v>117</v>
      </c>
      <c r="B122" s="23" t="s">
        <v>93</v>
      </c>
      <c r="C122" s="23" t="s">
        <v>374</v>
      </c>
      <c r="D122" s="24">
        <v>1587735.2124999999</v>
      </c>
      <c r="E122" s="24">
        <v>4898226.5963000003</v>
      </c>
      <c r="F122" s="25">
        <f t="shared" si="1"/>
        <v>6485961.8087999998</v>
      </c>
      <c r="G122" s="26"/>
      <c r="H122" s="26"/>
      <c r="I122" s="28"/>
      <c r="J122" s="28"/>
      <c r="K122" s="28"/>
      <c r="L122" s="28"/>
      <c r="M122" s="26"/>
      <c r="N122" s="26"/>
      <c r="O122" s="28"/>
      <c r="P122" s="28"/>
      <c r="Q122" s="28"/>
    </row>
    <row r="123" spans="1:17" ht="18.75">
      <c r="A123" s="22">
        <v>118</v>
      </c>
      <c r="B123" s="23" t="s">
        <v>93</v>
      </c>
      <c r="C123" s="23" t="s">
        <v>376</v>
      </c>
      <c r="D123" s="24">
        <v>1465538.9512</v>
      </c>
      <c r="E123" s="24">
        <v>4521246.2456999999</v>
      </c>
      <c r="F123" s="25">
        <f t="shared" si="1"/>
        <v>5986785.1968999999</v>
      </c>
      <c r="G123" s="26"/>
      <c r="H123" s="26"/>
      <c r="I123" s="28"/>
      <c r="J123" s="28"/>
      <c r="K123" s="28"/>
      <c r="L123" s="28"/>
      <c r="M123" s="26"/>
      <c r="N123" s="26"/>
      <c r="O123" s="28"/>
      <c r="P123" s="28"/>
      <c r="Q123" s="28"/>
    </row>
    <row r="124" spans="1:17" ht="18.75">
      <c r="A124" s="22">
        <v>119</v>
      </c>
      <c r="B124" s="23" t="s">
        <v>94</v>
      </c>
      <c r="C124" s="23" t="s">
        <v>381</v>
      </c>
      <c r="D124" s="24">
        <v>1167768.5212000001</v>
      </c>
      <c r="E124" s="24">
        <v>3602612.5666</v>
      </c>
      <c r="F124" s="25">
        <f t="shared" si="1"/>
        <v>4770381.0877999999</v>
      </c>
      <c r="G124" s="26"/>
      <c r="H124" s="26"/>
      <c r="I124" s="28"/>
      <c r="J124" s="28"/>
      <c r="K124" s="28"/>
      <c r="L124" s="28"/>
      <c r="M124" s="26"/>
      <c r="N124" s="26"/>
      <c r="O124" s="28"/>
      <c r="P124" s="28"/>
      <c r="Q124" s="28"/>
    </row>
    <row r="125" spans="1:17" ht="18.75">
      <c r="A125" s="22">
        <v>120</v>
      </c>
      <c r="B125" s="23" t="s">
        <v>94</v>
      </c>
      <c r="C125" s="23" t="s">
        <v>383</v>
      </c>
      <c r="D125" s="24">
        <v>1030379.0274</v>
      </c>
      <c r="E125" s="24">
        <v>3178760.4865000001</v>
      </c>
      <c r="F125" s="25">
        <f t="shared" si="1"/>
        <v>4209139.5138999997</v>
      </c>
      <c r="G125" s="26"/>
      <c r="H125" s="26"/>
      <c r="I125" s="28"/>
      <c r="J125" s="28"/>
      <c r="K125" s="28"/>
      <c r="L125" s="28"/>
      <c r="M125" s="26"/>
      <c r="N125" s="26"/>
      <c r="O125" s="28"/>
      <c r="P125" s="28"/>
      <c r="Q125" s="28"/>
    </row>
    <row r="126" spans="1:17" ht="18.75">
      <c r="A126" s="22">
        <v>121</v>
      </c>
      <c r="B126" s="23" t="s">
        <v>94</v>
      </c>
      <c r="C126" s="23" t="s">
        <v>385</v>
      </c>
      <c r="D126" s="24">
        <v>997713.23750000005</v>
      </c>
      <c r="E126" s="24">
        <v>3077985.2189000002</v>
      </c>
      <c r="F126" s="25">
        <f t="shared" si="1"/>
        <v>4075698.4564</v>
      </c>
      <c r="G126" s="26"/>
      <c r="H126" s="26"/>
      <c r="I126" s="28"/>
      <c r="J126" s="28"/>
      <c r="K126" s="28"/>
      <c r="L126" s="28"/>
      <c r="M126" s="26"/>
      <c r="N126" s="26"/>
      <c r="O126" s="28"/>
      <c r="P126" s="28"/>
      <c r="Q126" s="28"/>
    </row>
    <row r="127" spans="1:17" ht="18.75">
      <c r="A127" s="22">
        <v>122</v>
      </c>
      <c r="B127" s="23" t="s">
        <v>94</v>
      </c>
      <c r="C127" s="23" t="s">
        <v>387</v>
      </c>
      <c r="D127" s="24">
        <v>1182776.0018</v>
      </c>
      <c r="E127" s="24">
        <v>3648911.2440999998</v>
      </c>
      <c r="F127" s="25">
        <f t="shared" si="1"/>
        <v>4831687.2459000004</v>
      </c>
      <c r="G127" s="26"/>
      <c r="H127" s="26"/>
      <c r="I127" s="28"/>
      <c r="J127" s="28"/>
      <c r="K127" s="28"/>
      <c r="L127" s="28"/>
      <c r="M127" s="26"/>
      <c r="N127" s="26"/>
      <c r="O127" s="28"/>
      <c r="P127" s="28"/>
      <c r="Q127" s="28"/>
    </row>
    <row r="128" spans="1:17" ht="18.75">
      <c r="A128" s="22">
        <v>123</v>
      </c>
      <c r="B128" s="23" t="s">
        <v>94</v>
      </c>
      <c r="C128" s="23" t="s">
        <v>389</v>
      </c>
      <c r="D128" s="24">
        <v>1535059.0977</v>
      </c>
      <c r="E128" s="24">
        <v>4735718.6765000001</v>
      </c>
      <c r="F128" s="25">
        <f t="shared" si="1"/>
        <v>6270777.7741999999</v>
      </c>
      <c r="G128" s="26"/>
      <c r="H128" s="26"/>
      <c r="I128" s="28"/>
      <c r="J128" s="28"/>
      <c r="K128" s="28"/>
      <c r="L128" s="28"/>
      <c r="M128" s="26"/>
      <c r="N128" s="26"/>
      <c r="O128" s="28"/>
      <c r="P128" s="28"/>
      <c r="Q128" s="28"/>
    </row>
    <row r="129" spans="1:17" ht="18.75">
      <c r="A129" s="22">
        <v>124</v>
      </c>
      <c r="B129" s="23" t="s">
        <v>94</v>
      </c>
      <c r="C129" s="23" t="s">
        <v>391</v>
      </c>
      <c r="D129" s="24">
        <v>1254162.5226</v>
      </c>
      <c r="E129" s="24">
        <v>3869141.5144000002</v>
      </c>
      <c r="F129" s="25">
        <f t="shared" si="1"/>
        <v>5123304.0369999995</v>
      </c>
      <c r="G129" s="26"/>
      <c r="H129" s="26"/>
      <c r="I129" s="28"/>
      <c r="J129" s="28"/>
      <c r="K129" s="28"/>
      <c r="L129" s="28"/>
      <c r="M129" s="26"/>
      <c r="N129" s="26"/>
      <c r="O129" s="28"/>
      <c r="P129" s="28"/>
      <c r="Q129" s="28"/>
    </row>
    <row r="130" spans="1:17" ht="18.75">
      <c r="A130" s="22">
        <v>125</v>
      </c>
      <c r="B130" s="23" t="s">
        <v>94</v>
      </c>
      <c r="C130" s="23" t="s">
        <v>393</v>
      </c>
      <c r="D130" s="24">
        <v>1189690.2268999999</v>
      </c>
      <c r="E130" s="24">
        <v>3670241.9048000001</v>
      </c>
      <c r="F130" s="25">
        <f t="shared" si="1"/>
        <v>4859932.1316999998</v>
      </c>
      <c r="G130" s="26"/>
      <c r="H130" s="26"/>
      <c r="I130" s="28"/>
      <c r="J130" s="28"/>
      <c r="K130" s="28"/>
      <c r="L130" s="28"/>
      <c r="M130" s="26"/>
      <c r="N130" s="26"/>
      <c r="O130" s="28"/>
      <c r="P130" s="28"/>
      <c r="Q130" s="28"/>
    </row>
    <row r="131" spans="1:17" ht="18.75">
      <c r="A131" s="22">
        <v>126</v>
      </c>
      <c r="B131" s="23" t="s">
        <v>94</v>
      </c>
      <c r="C131" s="23" t="s">
        <v>395</v>
      </c>
      <c r="D131" s="24">
        <v>1022363.273</v>
      </c>
      <c r="E131" s="24">
        <v>3154031.5636</v>
      </c>
      <c r="F131" s="25">
        <f t="shared" si="1"/>
        <v>4176394.8366</v>
      </c>
      <c r="G131" s="26"/>
      <c r="H131" s="26"/>
      <c r="I131" s="28"/>
      <c r="J131" s="28"/>
      <c r="K131" s="28"/>
      <c r="L131" s="28"/>
      <c r="M131" s="26"/>
      <c r="N131" s="26"/>
      <c r="O131" s="28"/>
      <c r="P131" s="28"/>
      <c r="Q131" s="28"/>
    </row>
    <row r="132" spans="1:17" ht="18.75">
      <c r="A132" s="22">
        <v>127</v>
      </c>
      <c r="B132" s="23" t="s">
        <v>94</v>
      </c>
      <c r="C132" s="23" t="s">
        <v>397</v>
      </c>
      <c r="D132" s="24">
        <v>1291508.5001999999</v>
      </c>
      <c r="E132" s="24">
        <v>3984355.3480000002</v>
      </c>
      <c r="F132" s="25">
        <f t="shared" si="1"/>
        <v>5275863.8481999999</v>
      </c>
      <c r="G132" s="26"/>
      <c r="H132" s="26"/>
      <c r="I132" s="28"/>
      <c r="J132" s="28"/>
      <c r="K132" s="28"/>
      <c r="L132" s="28"/>
      <c r="M132" s="26"/>
      <c r="N132" s="26"/>
      <c r="O132" s="28"/>
      <c r="P132" s="28"/>
      <c r="Q132" s="28"/>
    </row>
    <row r="133" spans="1:17" ht="18.75">
      <c r="A133" s="22">
        <v>128</v>
      </c>
      <c r="B133" s="23" t="s">
        <v>94</v>
      </c>
      <c r="C133" s="23" t="s">
        <v>399</v>
      </c>
      <c r="D133" s="24">
        <v>1221913.4524999999</v>
      </c>
      <c r="E133" s="24">
        <v>3769651.8439000002</v>
      </c>
      <c r="F133" s="25">
        <f t="shared" si="1"/>
        <v>4991565.2964000003</v>
      </c>
      <c r="G133" s="26"/>
      <c r="H133" s="26"/>
      <c r="I133" s="28"/>
      <c r="J133" s="28"/>
      <c r="K133" s="28"/>
      <c r="L133" s="28"/>
      <c r="M133" s="26"/>
      <c r="N133" s="26"/>
      <c r="O133" s="28"/>
      <c r="P133" s="28"/>
      <c r="Q133" s="28"/>
    </row>
    <row r="134" spans="1:17" ht="18.75">
      <c r="A134" s="22">
        <v>129</v>
      </c>
      <c r="B134" s="23" t="s">
        <v>94</v>
      </c>
      <c r="C134" s="23" t="s">
        <v>401</v>
      </c>
      <c r="D134" s="24">
        <v>1399009.3529999999</v>
      </c>
      <c r="E134" s="24">
        <v>4315999.7761000004</v>
      </c>
      <c r="F134" s="25">
        <f t="shared" si="1"/>
        <v>5715009.1290999996</v>
      </c>
      <c r="G134" s="26"/>
      <c r="H134" s="26"/>
      <c r="I134" s="28"/>
      <c r="J134" s="28"/>
      <c r="K134" s="28"/>
      <c r="L134" s="28"/>
      <c r="M134" s="26"/>
      <c r="N134" s="26"/>
      <c r="O134" s="28"/>
      <c r="P134" s="28"/>
      <c r="Q134" s="28"/>
    </row>
    <row r="135" spans="1:17" ht="18.75">
      <c r="A135" s="22">
        <v>130</v>
      </c>
      <c r="B135" s="23" t="s">
        <v>94</v>
      </c>
      <c r="C135" s="23" t="s">
        <v>403</v>
      </c>
      <c r="D135" s="24">
        <v>1074356.7801000001</v>
      </c>
      <c r="E135" s="24">
        <v>3314433.6113</v>
      </c>
      <c r="F135" s="25">
        <f t="shared" ref="F135:F198" si="2">D135+E135</f>
        <v>4388790.3914000001</v>
      </c>
      <c r="G135" s="26"/>
      <c r="H135" s="26"/>
      <c r="I135" s="28"/>
      <c r="J135" s="28"/>
      <c r="K135" s="28"/>
      <c r="L135" s="28"/>
      <c r="M135" s="26"/>
      <c r="N135" s="26"/>
      <c r="O135" s="28"/>
      <c r="P135" s="28"/>
      <c r="Q135" s="28"/>
    </row>
    <row r="136" spans="1:17" ht="18.75">
      <c r="A136" s="22">
        <v>131</v>
      </c>
      <c r="B136" s="23" t="s">
        <v>94</v>
      </c>
      <c r="C136" s="23" t="s">
        <v>405</v>
      </c>
      <c r="D136" s="24">
        <v>1290555.0127999999</v>
      </c>
      <c r="E136" s="24">
        <v>3981413.8012999999</v>
      </c>
      <c r="F136" s="25">
        <f t="shared" si="2"/>
        <v>5271968.8141000001</v>
      </c>
      <c r="G136" s="26"/>
      <c r="H136" s="26"/>
      <c r="I136" s="28"/>
      <c r="J136" s="28"/>
      <c r="K136" s="28"/>
      <c r="L136" s="28"/>
      <c r="M136" s="26"/>
      <c r="N136" s="26"/>
      <c r="O136" s="28"/>
      <c r="P136" s="28"/>
      <c r="Q136" s="28"/>
    </row>
    <row r="137" spans="1:17" ht="18.75">
      <c r="A137" s="22">
        <v>132</v>
      </c>
      <c r="B137" s="23" t="s">
        <v>94</v>
      </c>
      <c r="C137" s="23" t="s">
        <v>407</v>
      </c>
      <c r="D137" s="24">
        <v>953338.152</v>
      </c>
      <c r="E137" s="24">
        <v>2941086.3062999998</v>
      </c>
      <c r="F137" s="25">
        <f t="shared" si="2"/>
        <v>3894424.4583000001</v>
      </c>
      <c r="G137" s="26"/>
      <c r="H137" s="26"/>
      <c r="I137" s="28"/>
      <c r="J137" s="28"/>
      <c r="K137" s="28"/>
      <c r="L137" s="28"/>
      <c r="M137" s="26"/>
      <c r="N137" s="26"/>
      <c r="O137" s="28"/>
      <c r="P137" s="28"/>
      <c r="Q137" s="28"/>
    </row>
    <row r="138" spans="1:17" ht="18.75">
      <c r="A138" s="22">
        <v>133</v>
      </c>
      <c r="B138" s="23" t="s">
        <v>94</v>
      </c>
      <c r="C138" s="23" t="s">
        <v>409</v>
      </c>
      <c r="D138" s="24">
        <v>1001501.9011</v>
      </c>
      <c r="E138" s="24">
        <v>3089673.3975</v>
      </c>
      <c r="F138" s="25">
        <f t="shared" si="2"/>
        <v>4091175.2985999999</v>
      </c>
      <c r="G138" s="26"/>
      <c r="H138" s="26"/>
      <c r="I138" s="28"/>
      <c r="J138" s="28"/>
      <c r="K138" s="28"/>
      <c r="L138" s="28"/>
      <c r="M138" s="26"/>
      <c r="N138" s="26"/>
      <c r="O138" s="28"/>
      <c r="P138" s="28"/>
      <c r="Q138" s="28"/>
    </row>
    <row r="139" spans="1:17" ht="18.75">
      <c r="A139" s="22">
        <v>134</v>
      </c>
      <c r="B139" s="23" t="s">
        <v>94</v>
      </c>
      <c r="C139" s="23" t="s">
        <v>411</v>
      </c>
      <c r="D139" s="24">
        <v>913491.87</v>
      </c>
      <c r="E139" s="24">
        <v>2818158.9336000001</v>
      </c>
      <c r="F139" s="25">
        <f t="shared" si="2"/>
        <v>3731650.8036000002</v>
      </c>
      <c r="G139" s="26"/>
      <c r="H139" s="26"/>
      <c r="I139" s="28"/>
      <c r="J139" s="28"/>
      <c r="K139" s="28"/>
      <c r="L139" s="28"/>
      <c r="M139" s="26"/>
      <c r="N139" s="26"/>
      <c r="O139" s="28"/>
      <c r="P139" s="28"/>
      <c r="Q139" s="28"/>
    </row>
    <row r="140" spans="1:17" ht="18.75">
      <c r="A140" s="22">
        <v>135</v>
      </c>
      <c r="B140" s="23" t="s">
        <v>94</v>
      </c>
      <c r="C140" s="23" t="s">
        <v>413</v>
      </c>
      <c r="D140" s="24">
        <v>1155846.2760999999</v>
      </c>
      <c r="E140" s="24">
        <v>3565831.9638</v>
      </c>
      <c r="F140" s="25">
        <f t="shared" si="2"/>
        <v>4721678.2399000004</v>
      </c>
      <c r="G140" s="26"/>
      <c r="H140" s="26"/>
      <c r="I140" s="28"/>
      <c r="J140" s="28"/>
      <c r="K140" s="28"/>
      <c r="L140" s="28"/>
      <c r="M140" s="26"/>
      <c r="N140" s="26"/>
      <c r="O140" s="28"/>
      <c r="P140" s="28"/>
      <c r="Q140" s="28"/>
    </row>
    <row r="141" spans="1:17" ht="18.75">
      <c r="A141" s="22">
        <v>136</v>
      </c>
      <c r="B141" s="23" t="s">
        <v>94</v>
      </c>
      <c r="C141" s="23" t="s">
        <v>415</v>
      </c>
      <c r="D141" s="24">
        <v>1083145.4125999999</v>
      </c>
      <c r="E141" s="24">
        <v>3341546.8941000002</v>
      </c>
      <c r="F141" s="25">
        <f t="shared" si="2"/>
        <v>4424692.3066999996</v>
      </c>
      <c r="G141" s="26"/>
      <c r="H141" s="26"/>
      <c r="I141" s="28"/>
      <c r="J141" s="28"/>
      <c r="K141" s="28"/>
      <c r="L141" s="28"/>
      <c r="M141" s="26"/>
      <c r="N141" s="26"/>
      <c r="O141" s="28"/>
      <c r="P141" s="28"/>
      <c r="Q141" s="28"/>
    </row>
    <row r="142" spans="1:17" ht="18.75">
      <c r="A142" s="22">
        <v>137</v>
      </c>
      <c r="B142" s="23" t="s">
        <v>94</v>
      </c>
      <c r="C142" s="23" t="s">
        <v>417</v>
      </c>
      <c r="D142" s="24">
        <v>1268562.6555000001</v>
      </c>
      <c r="E142" s="24">
        <v>3913566.4997999999</v>
      </c>
      <c r="F142" s="25">
        <f t="shared" si="2"/>
        <v>5182129.1552999998</v>
      </c>
      <c r="G142" s="26"/>
      <c r="H142" s="26"/>
      <c r="I142" s="28"/>
      <c r="J142" s="28"/>
      <c r="K142" s="28"/>
      <c r="L142" s="28"/>
      <c r="M142" s="26"/>
      <c r="N142" s="26"/>
      <c r="O142" s="28"/>
      <c r="P142" s="28"/>
      <c r="Q142" s="28"/>
    </row>
    <row r="143" spans="1:17" ht="18.75">
      <c r="A143" s="22">
        <v>138</v>
      </c>
      <c r="B143" s="23" t="s">
        <v>94</v>
      </c>
      <c r="C143" s="23" t="s">
        <v>419</v>
      </c>
      <c r="D143" s="24">
        <v>879212.55160000001</v>
      </c>
      <c r="E143" s="24">
        <v>2712405.8661000002</v>
      </c>
      <c r="F143" s="25">
        <f t="shared" si="2"/>
        <v>3591618.4177000001</v>
      </c>
      <c r="G143" s="26"/>
      <c r="H143" s="26"/>
      <c r="I143" s="28"/>
      <c r="J143" s="28"/>
      <c r="K143" s="28"/>
      <c r="L143" s="28"/>
      <c r="M143" s="26"/>
      <c r="N143" s="26"/>
      <c r="O143" s="28"/>
      <c r="P143" s="28"/>
      <c r="Q143" s="28"/>
    </row>
    <row r="144" spans="1:17" ht="18.75">
      <c r="A144" s="22">
        <v>139</v>
      </c>
      <c r="B144" s="23" t="s">
        <v>94</v>
      </c>
      <c r="C144" s="23" t="s">
        <v>421</v>
      </c>
      <c r="D144" s="24">
        <v>1202167.8403</v>
      </c>
      <c r="E144" s="24">
        <v>3708735.8409000002</v>
      </c>
      <c r="F144" s="25">
        <f t="shared" si="2"/>
        <v>4910903.6812000005</v>
      </c>
      <c r="G144" s="26"/>
      <c r="H144" s="26"/>
      <c r="I144" s="28"/>
      <c r="J144" s="28"/>
      <c r="K144" s="28"/>
      <c r="L144" s="28"/>
      <c r="M144" s="26"/>
      <c r="N144" s="26"/>
      <c r="O144" s="28"/>
      <c r="P144" s="28"/>
      <c r="Q144" s="28"/>
    </row>
    <row r="145" spans="1:17" ht="18.75">
      <c r="A145" s="22">
        <v>140</v>
      </c>
      <c r="B145" s="23" t="s">
        <v>94</v>
      </c>
      <c r="C145" s="23" t="s">
        <v>423</v>
      </c>
      <c r="D145" s="24">
        <v>1170572.6232</v>
      </c>
      <c r="E145" s="24">
        <v>3611263.3332000002</v>
      </c>
      <c r="F145" s="25">
        <f t="shared" si="2"/>
        <v>4781835.9563999996</v>
      </c>
      <c r="G145" s="26"/>
      <c r="H145" s="26"/>
      <c r="I145" s="28"/>
      <c r="J145" s="28"/>
      <c r="K145" s="28"/>
      <c r="L145" s="28"/>
      <c r="M145" s="26"/>
      <c r="N145" s="26"/>
      <c r="O145" s="28"/>
      <c r="P145" s="28"/>
      <c r="Q145" s="28"/>
    </row>
    <row r="146" spans="1:17" ht="18.75">
      <c r="A146" s="22">
        <v>141</v>
      </c>
      <c r="B146" s="23" t="s">
        <v>94</v>
      </c>
      <c r="C146" s="23" t="s">
        <v>425</v>
      </c>
      <c r="D146" s="24">
        <v>1239843.5334000001</v>
      </c>
      <c r="E146" s="24">
        <v>3824966.8601000002</v>
      </c>
      <c r="F146" s="25">
        <f t="shared" si="2"/>
        <v>5064810.3935000002</v>
      </c>
      <c r="G146" s="26"/>
      <c r="H146" s="26"/>
      <c r="I146" s="28"/>
      <c r="J146" s="28"/>
      <c r="K146" s="28"/>
      <c r="L146" s="28"/>
      <c r="M146" s="26"/>
      <c r="N146" s="26"/>
      <c r="O146" s="28"/>
      <c r="P146" s="28"/>
      <c r="Q146" s="28"/>
    </row>
    <row r="147" spans="1:17" ht="18.75">
      <c r="A147" s="22">
        <v>142</v>
      </c>
      <c r="B147" s="23" t="s">
        <v>95</v>
      </c>
      <c r="C147" s="23" t="s">
        <v>429</v>
      </c>
      <c r="D147" s="24">
        <v>1041220.2699</v>
      </c>
      <c r="E147" s="24">
        <v>3212206.1527999998</v>
      </c>
      <c r="F147" s="25">
        <f t="shared" si="2"/>
        <v>4253426.4227</v>
      </c>
      <c r="G147" s="26"/>
      <c r="H147" s="26"/>
      <c r="I147" s="28"/>
      <c r="J147" s="28"/>
      <c r="K147" s="28"/>
      <c r="L147" s="28"/>
      <c r="M147" s="26"/>
      <c r="N147" s="26"/>
      <c r="O147" s="28"/>
      <c r="P147" s="28"/>
      <c r="Q147" s="28"/>
    </row>
    <row r="148" spans="1:17" ht="18.75">
      <c r="A148" s="22">
        <v>143</v>
      </c>
      <c r="B148" s="23" t="s">
        <v>95</v>
      </c>
      <c r="C148" s="23" t="s">
        <v>431</v>
      </c>
      <c r="D148" s="24">
        <v>1006821.9632999999</v>
      </c>
      <c r="E148" s="24">
        <v>3106086.0019</v>
      </c>
      <c r="F148" s="25">
        <f t="shared" si="2"/>
        <v>4112907.9652</v>
      </c>
      <c r="G148" s="26"/>
      <c r="H148" s="26"/>
      <c r="I148" s="28"/>
      <c r="J148" s="28"/>
      <c r="K148" s="28"/>
      <c r="L148" s="28"/>
      <c r="M148" s="26"/>
      <c r="N148" s="26"/>
      <c r="O148" s="28"/>
      <c r="P148" s="28"/>
      <c r="Q148" s="28"/>
    </row>
    <row r="149" spans="1:17" ht="18.75">
      <c r="A149" s="22">
        <v>144</v>
      </c>
      <c r="B149" s="23" t="s">
        <v>95</v>
      </c>
      <c r="C149" s="23" t="s">
        <v>433</v>
      </c>
      <c r="D149" s="24">
        <v>1412527.5977</v>
      </c>
      <c r="E149" s="24">
        <v>4357704.1010999996</v>
      </c>
      <c r="F149" s="25">
        <f t="shared" si="2"/>
        <v>5770231.6988000004</v>
      </c>
      <c r="G149" s="26"/>
      <c r="H149" s="26"/>
      <c r="I149" s="28"/>
      <c r="J149" s="28"/>
      <c r="K149" s="28"/>
      <c r="L149" s="28"/>
      <c r="M149" s="26"/>
      <c r="N149" s="26"/>
      <c r="O149" s="28"/>
      <c r="P149" s="28"/>
      <c r="Q149" s="28"/>
    </row>
    <row r="150" spans="1:17" ht="18.75">
      <c r="A150" s="22">
        <v>145</v>
      </c>
      <c r="B150" s="23" t="s">
        <v>95</v>
      </c>
      <c r="C150" s="23" t="s">
        <v>435</v>
      </c>
      <c r="D150" s="24">
        <v>813658.60679999995</v>
      </c>
      <c r="E150" s="24">
        <v>2510169.3259000001</v>
      </c>
      <c r="F150" s="25">
        <f t="shared" si="2"/>
        <v>3323827.9326999998</v>
      </c>
      <c r="G150" s="26"/>
      <c r="H150" s="26"/>
      <c r="I150" s="28"/>
      <c r="J150" s="28"/>
      <c r="K150" s="28"/>
      <c r="L150" s="28"/>
      <c r="M150" s="26"/>
      <c r="N150" s="26"/>
      <c r="O150" s="28"/>
      <c r="P150" s="28"/>
      <c r="Q150" s="28"/>
    </row>
    <row r="151" spans="1:17" ht="18.75">
      <c r="A151" s="22">
        <v>146</v>
      </c>
      <c r="B151" s="23" t="s">
        <v>95</v>
      </c>
      <c r="C151" s="23" t="s">
        <v>437</v>
      </c>
      <c r="D151" s="24">
        <v>1126169.6162</v>
      </c>
      <c r="E151" s="24">
        <v>3474278.2818999998</v>
      </c>
      <c r="F151" s="25">
        <f t="shared" si="2"/>
        <v>4600447.8980999999</v>
      </c>
      <c r="G151" s="26"/>
      <c r="H151" s="26"/>
      <c r="I151" s="28"/>
      <c r="J151" s="28"/>
      <c r="K151" s="28"/>
      <c r="L151" s="28"/>
      <c r="M151" s="26"/>
      <c r="N151" s="26"/>
      <c r="O151" s="28"/>
      <c r="P151" s="28"/>
      <c r="Q151" s="28"/>
    </row>
    <row r="152" spans="1:17" ht="18.75">
      <c r="A152" s="22">
        <v>147</v>
      </c>
      <c r="B152" s="23" t="s">
        <v>95</v>
      </c>
      <c r="C152" s="23" t="s">
        <v>439</v>
      </c>
      <c r="D152" s="24">
        <v>811287.43980000005</v>
      </c>
      <c r="E152" s="24">
        <v>2502854.1809</v>
      </c>
      <c r="F152" s="25">
        <f t="shared" si="2"/>
        <v>3314141.6206999999</v>
      </c>
      <c r="G152" s="26"/>
      <c r="H152" s="26"/>
      <c r="I152" s="28"/>
      <c r="J152" s="28"/>
      <c r="K152" s="28"/>
      <c r="L152" s="28"/>
      <c r="M152" s="26"/>
      <c r="N152" s="26"/>
      <c r="O152" s="28"/>
      <c r="P152" s="28"/>
      <c r="Q152" s="28"/>
    </row>
    <row r="153" spans="1:17" ht="18.75">
      <c r="A153" s="22">
        <v>148</v>
      </c>
      <c r="B153" s="23" t="s">
        <v>95</v>
      </c>
      <c r="C153" s="23" t="s">
        <v>441</v>
      </c>
      <c r="D153" s="24">
        <v>1359980.9608</v>
      </c>
      <c r="E153" s="24">
        <v>4195595.6260000002</v>
      </c>
      <c r="F153" s="25">
        <f t="shared" si="2"/>
        <v>5555576.5867999997</v>
      </c>
      <c r="G153" s="26"/>
      <c r="H153" s="26"/>
      <c r="I153" s="28"/>
      <c r="J153" s="28"/>
      <c r="K153" s="28"/>
      <c r="L153" s="28"/>
      <c r="M153" s="26"/>
      <c r="N153" s="26"/>
      <c r="O153" s="28"/>
      <c r="P153" s="28"/>
      <c r="Q153" s="28"/>
    </row>
    <row r="154" spans="1:17" ht="18.75">
      <c r="A154" s="22">
        <v>149</v>
      </c>
      <c r="B154" s="23" t="s">
        <v>95</v>
      </c>
      <c r="C154" s="23" t="s">
        <v>443</v>
      </c>
      <c r="D154" s="24">
        <v>899988.52630000003</v>
      </c>
      <c r="E154" s="24">
        <v>2776500.5783000002</v>
      </c>
      <c r="F154" s="25">
        <f t="shared" si="2"/>
        <v>3676489.1046000002</v>
      </c>
      <c r="G154" s="26"/>
      <c r="H154" s="26"/>
      <c r="I154" s="28"/>
      <c r="J154" s="28"/>
      <c r="K154" s="28"/>
      <c r="L154" s="28"/>
      <c r="M154" s="26"/>
      <c r="N154" s="26"/>
      <c r="O154" s="28"/>
      <c r="P154" s="28"/>
      <c r="Q154" s="28"/>
    </row>
    <row r="155" spans="1:17" ht="18.75">
      <c r="A155" s="22">
        <v>150</v>
      </c>
      <c r="B155" s="23" t="s">
        <v>95</v>
      </c>
      <c r="C155" s="23" t="s">
        <v>445</v>
      </c>
      <c r="D155" s="24">
        <v>1068872.8456999999</v>
      </c>
      <c r="E155" s="24">
        <v>3297515.4544000002</v>
      </c>
      <c r="F155" s="25">
        <f t="shared" si="2"/>
        <v>4366388.3000999996</v>
      </c>
      <c r="G155" s="26"/>
      <c r="H155" s="26"/>
      <c r="I155" s="28"/>
      <c r="J155" s="28"/>
      <c r="K155" s="28"/>
      <c r="L155" s="28"/>
      <c r="M155" s="26"/>
      <c r="N155" s="26"/>
      <c r="O155" s="28"/>
      <c r="P155" s="28"/>
      <c r="Q155" s="28"/>
    </row>
    <row r="156" spans="1:17" ht="18.75">
      <c r="A156" s="22">
        <v>151</v>
      </c>
      <c r="B156" s="23" t="s">
        <v>95</v>
      </c>
      <c r="C156" s="23" t="s">
        <v>447</v>
      </c>
      <c r="D156" s="24">
        <v>911066.65480000002</v>
      </c>
      <c r="E156" s="24">
        <v>2810677.0477</v>
      </c>
      <c r="F156" s="25">
        <f t="shared" si="2"/>
        <v>3721743.7025000001</v>
      </c>
      <c r="G156" s="26"/>
      <c r="H156" s="26"/>
      <c r="I156" s="28"/>
      <c r="J156" s="28"/>
      <c r="K156" s="28"/>
      <c r="L156" s="28"/>
      <c r="M156" s="26"/>
      <c r="N156" s="26"/>
      <c r="O156" s="28"/>
      <c r="P156" s="28"/>
      <c r="Q156" s="28"/>
    </row>
    <row r="157" spans="1:17" ht="18.75">
      <c r="A157" s="22">
        <v>152</v>
      </c>
      <c r="B157" s="23" t="s">
        <v>95</v>
      </c>
      <c r="C157" s="23" t="s">
        <v>449</v>
      </c>
      <c r="D157" s="24">
        <v>1312662.6218999999</v>
      </c>
      <c r="E157" s="24">
        <v>4049616.6590999998</v>
      </c>
      <c r="F157" s="25">
        <f t="shared" si="2"/>
        <v>5362279.2810000004</v>
      </c>
      <c r="G157" s="26"/>
      <c r="H157" s="26"/>
      <c r="I157" s="28"/>
      <c r="J157" s="28"/>
      <c r="K157" s="28"/>
      <c r="L157" s="28"/>
      <c r="M157" s="26"/>
      <c r="N157" s="26"/>
      <c r="O157" s="28"/>
      <c r="P157" s="28"/>
      <c r="Q157" s="28"/>
    </row>
    <row r="158" spans="1:17" ht="18.75">
      <c r="A158" s="22">
        <v>153</v>
      </c>
      <c r="B158" s="23" t="s">
        <v>95</v>
      </c>
      <c r="C158" s="23" t="s">
        <v>451</v>
      </c>
      <c r="D158" s="24">
        <v>929648.63170000003</v>
      </c>
      <c r="E158" s="24">
        <v>2868003.1893000002</v>
      </c>
      <c r="F158" s="25">
        <f t="shared" si="2"/>
        <v>3797651.821</v>
      </c>
      <c r="G158" s="26"/>
      <c r="H158" s="26"/>
      <c r="I158" s="28"/>
      <c r="J158" s="28"/>
      <c r="K158" s="28"/>
      <c r="L158" s="28"/>
      <c r="M158" s="26"/>
      <c r="N158" s="26"/>
      <c r="O158" s="28"/>
      <c r="P158" s="28"/>
      <c r="Q158" s="28"/>
    </row>
    <row r="159" spans="1:17" ht="18.75">
      <c r="A159" s="22">
        <v>154</v>
      </c>
      <c r="B159" s="23" t="s">
        <v>95</v>
      </c>
      <c r="C159" s="23" t="s">
        <v>453</v>
      </c>
      <c r="D159" s="24">
        <v>1072597.9883999999</v>
      </c>
      <c r="E159" s="24">
        <v>3309007.6686999998</v>
      </c>
      <c r="F159" s="25">
        <f t="shared" si="2"/>
        <v>4381605.6571000004</v>
      </c>
      <c r="G159" s="26"/>
      <c r="H159" s="26"/>
      <c r="I159" s="28"/>
      <c r="J159" s="28"/>
      <c r="K159" s="28"/>
      <c r="L159" s="28"/>
      <c r="M159" s="26"/>
      <c r="N159" s="26"/>
      <c r="O159" s="28"/>
      <c r="P159" s="28"/>
      <c r="Q159" s="28"/>
    </row>
    <row r="160" spans="1:17" ht="18.75">
      <c r="A160" s="22">
        <v>155</v>
      </c>
      <c r="B160" s="23" t="s">
        <v>95</v>
      </c>
      <c r="C160" s="23" t="s">
        <v>455</v>
      </c>
      <c r="D160" s="24">
        <v>948120.73609999998</v>
      </c>
      <c r="E160" s="24">
        <v>2924990.3698</v>
      </c>
      <c r="F160" s="25">
        <f t="shared" si="2"/>
        <v>3873111.1058999998</v>
      </c>
      <c r="G160" s="26"/>
      <c r="H160" s="26"/>
      <c r="I160" s="28"/>
      <c r="J160" s="28"/>
      <c r="K160" s="28"/>
      <c r="L160" s="28"/>
      <c r="M160" s="26"/>
      <c r="N160" s="26"/>
      <c r="O160" s="28"/>
      <c r="P160" s="28"/>
      <c r="Q160" s="28"/>
    </row>
    <row r="161" spans="1:17" ht="18.75">
      <c r="A161" s="22">
        <v>156</v>
      </c>
      <c r="B161" s="23" t="s">
        <v>95</v>
      </c>
      <c r="C161" s="23" t="s">
        <v>457</v>
      </c>
      <c r="D161" s="24">
        <v>872536.12459999998</v>
      </c>
      <c r="E161" s="24">
        <v>2691808.8218999999</v>
      </c>
      <c r="F161" s="25">
        <f t="shared" si="2"/>
        <v>3564344.9465000001</v>
      </c>
      <c r="G161" s="26"/>
      <c r="H161" s="26"/>
      <c r="I161" s="28"/>
      <c r="J161" s="28"/>
      <c r="K161" s="28"/>
      <c r="L161" s="28"/>
      <c r="M161" s="26"/>
      <c r="N161" s="26"/>
      <c r="O161" s="28"/>
      <c r="P161" s="28"/>
      <c r="Q161" s="28"/>
    </row>
    <row r="162" spans="1:17" ht="18.75">
      <c r="A162" s="22">
        <v>157</v>
      </c>
      <c r="B162" s="23" t="s">
        <v>95</v>
      </c>
      <c r="C162" s="23" t="s">
        <v>459</v>
      </c>
      <c r="D162" s="24">
        <v>1278509.6438</v>
      </c>
      <c r="E162" s="24">
        <v>3944253.3563000001</v>
      </c>
      <c r="F162" s="25">
        <f t="shared" si="2"/>
        <v>5222763.0000999998</v>
      </c>
      <c r="G162" s="26"/>
      <c r="H162" s="26"/>
      <c r="I162" s="28"/>
      <c r="J162" s="28"/>
      <c r="K162" s="28"/>
      <c r="L162" s="28"/>
      <c r="M162" s="26"/>
      <c r="N162" s="26"/>
      <c r="O162" s="28"/>
      <c r="P162" s="28"/>
      <c r="Q162" s="28"/>
    </row>
    <row r="163" spans="1:17" ht="18.75">
      <c r="A163" s="22">
        <v>158</v>
      </c>
      <c r="B163" s="23" t="s">
        <v>95</v>
      </c>
      <c r="C163" s="23" t="s">
        <v>461</v>
      </c>
      <c r="D163" s="24">
        <v>1317634.1539</v>
      </c>
      <c r="E163" s="24">
        <v>4064954.034</v>
      </c>
      <c r="F163" s="25">
        <f t="shared" si="2"/>
        <v>5382588.1879000003</v>
      </c>
      <c r="G163" s="26"/>
      <c r="H163" s="26"/>
      <c r="I163" s="28"/>
      <c r="J163" s="28"/>
      <c r="K163" s="28"/>
      <c r="L163" s="28"/>
      <c r="M163" s="26"/>
      <c r="N163" s="26"/>
      <c r="O163" s="28"/>
      <c r="P163" s="28"/>
      <c r="Q163" s="28"/>
    </row>
    <row r="164" spans="1:17" ht="18.75">
      <c r="A164" s="22">
        <v>159</v>
      </c>
      <c r="B164" s="23" t="s">
        <v>95</v>
      </c>
      <c r="C164" s="23" t="s">
        <v>463</v>
      </c>
      <c r="D164" s="24">
        <v>733659.34199999995</v>
      </c>
      <c r="E164" s="24">
        <v>2263368.3961999998</v>
      </c>
      <c r="F164" s="25">
        <f t="shared" si="2"/>
        <v>2997027.7382</v>
      </c>
      <c r="G164" s="26"/>
      <c r="H164" s="26"/>
      <c r="I164" s="28"/>
      <c r="J164" s="28"/>
      <c r="K164" s="28"/>
      <c r="L164" s="28"/>
      <c r="M164" s="26"/>
      <c r="N164" s="26"/>
      <c r="O164" s="28"/>
      <c r="P164" s="28"/>
      <c r="Q164" s="28"/>
    </row>
    <row r="165" spans="1:17" ht="18.75">
      <c r="A165" s="22">
        <v>160</v>
      </c>
      <c r="B165" s="23" t="s">
        <v>95</v>
      </c>
      <c r="C165" s="23" t="s">
        <v>465</v>
      </c>
      <c r="D165" s="24">
        <v>988381.83730000001</v>
      </c>
      <c r="E165" s="24">
        <v>3049197.4761999999</v>
      </c>
      <c r="F165" s="25">
        <f t="shared" si="2"/>
        <v>4037579.3135000002</v>
      </c>
      <c r="G165" s="26"/>
      <c r="H165" s="26"/>
      <c r="I165" s="28"/>
      <c r="J165" s="28"/>
      <c r="K165" s="28"/>
      <c r="L165" s="28"/>
      <c r="M165" s="26"/>
      <c r="N165" s="26"/>
      <c r="O165" s="28"/>
      <c r="P165" s="28"/>
      <c r="Q165" s="28"/>
    </row>
    <row r="166" spans="1:17" ht="18.75">
      <c r="A166" s="22">
        <v>161</v>
      </c>
      <c r="B166" s="23" t="s">
        <v>95</v>
      </c>
      <c r="C166" s="23" t="s">
        <v>467</v>
      </c>
      <c r="D166" s="24">
        <v>1169642.7975000001</v>
      </c>
      <c r="E166" s="24">
        <v>3608394.7837999999</v>
      </c>
      <c r="F166" s="25">
        <f t="shared" si="2"/>
        <v>4778037.5812999997</v>
      </c>
      <c r="G166" s="26"/>
      <c r="H166" s="26"/>
      <c r="I166" s="28"/>
      <c r="J166" s="28"/>
      <c r="K166" s="28"/>
      <c r="L166" s="28"/>
      <c r="M166" s="26"/>
      <c r="N166" s="26"/>
      <c r="O166" s="28"/>
      <c r="P166" s="28"/>
      <c r="Q166" s="28"/>
    </row>
    <row r="167" spans="1:17" ht="37.5">
      <c r="A167" s="22">
        <v>162</v>
      </c>
      <c r="B167" s="23" t="s">
        <v>95</v>
      </c>
      <c r="C167" s="23" t="s">
        <v>469</v>
      </c>
      <c r="D167" s="24">
        <v>1703279.4069999999</v>
      </c>
      <c r="E167" s="24">
        <v>5254685.0548</v>
      </c>
      <c r="F167" s="25">
        <f t="shared" si="2"/>
        <v>6957964.4617999997</v>
      </c>
      <c r="G167" s="26"/>
      <c r="H167" s="26"/>
      <c r="I167" s="28"/>
      <c r="J167" s="28"/>
      <c r="K167" s="28"/>
      <c r="L167" s="28"/>
      <c r="M167" s="26"/>
      <c r="N167" s="26"/>
      <c r="O167" s="28"/>
      <c r="P167" s="28"/>
      <c r="Q167" s="28"/>
    </row>
    <row r="168" spans="1:17" ht="18.75">
      <c r="A168" s="22">
        <v>163</v>
      </c>
      <c r="B168" s="23" t="s">
        <v>95</v>
      </c>
      <c r="C168" s="23" t="s">
        <v>471</v>
      </c>
      <c r="D168" s="24">
        <v>1063628.3193999999</v>
      </c>
      <c r="E168" s="24">
        <v>3281335.8812000002</v>
      </c>
      <c r="F168" s="25">
        <f t="shared" si="2"/>
        <v>4344964.2006000001</v>
      </c>
      <c r="G168" s="26"/>
      <c r="H168" s="26"/>
      <c r="I168" s="28"/>
      <c r="J168" s="28"/>
      <c r="K168" s="28"/>
      <c r="L168" s="28"/>
      <c r="M168" s="26"/>
      <c r="N168" s="26"/>
      <c r="O168" s="28"/>
      <c r="P168" s="28"/>
      <c r="Q168" s="28"/>
    </row>
    <row r="169" spans="1:17" ht="18.75">
      <c r="A169" s="22">
        <v>164</v>
      </c>
      <c r="B169" s="23" t="s">
        <v>95</v>
      </c>
      <c r="C169" s="23" t="s">
        <v>473</v>
      </c>
      <c r="D169" s="24">
        <v>990471.19550000003</v>
      </c>
      <c r="E169" s="24">
        <v>3055643.2297999999</v>
      </c>
      <c r="F169" s="25">
        <f t="shared" si="2"/>
        <v>4046114.4252999998</v>
      </c>
      <c r="G169" s="26"/>
      <c r="H169" s="26"/>
      <c r="I169" s="28"/>
      <c r="J169" s="28"/>
      <c r="K169" s="28"/>
      <c r="L169" s="28"/>
      <c r="M169" s="26"/>
      <c r="N169" s="26"/>
      <c r="O169" s="28"/>
      <c r="P169" s="28"/>
      <c r="Q169" s="28"/>
    </row>
    <row r="170" spans="1:17" ht="18.75">
      <c r="A170" s="22">
        <v>165</v>
      </c>
      <c r="B170" s="23" t="s">
        <v>95</v>
      </c>
      <c r="C170" s="23" t="s">
        <v>475</v>
      </c>
      <c r="D170" s="24">
        <v>966793.79689999996</v>
      </c>
      <c r="E170" s="24">
        <v>2982597.5088</v>
      </c>
      <c r="F170" s="25">
        <f t="shared" si="2"/>
        <v>3949391.3056999999</v>
      </c>
      <c r="G170" s="26"/>
      <c r="H170" s="26"/>
      <c r="I170" s="28"/>
      <c r="J170" s="28"/>
      <c r="K170" s="28"/>
      <c r="L170" s="28"/>
      <c r="M170" s="26"/>
      <c r="N170" s="26"/>
      <c r="O170" s="28"/>
      <c r="P170" s="28"/>
      <c r="Q170" s="28"/>
    </row>
    <row r="171" spans="1:17" ht="18.75">
      <c r="A171" s="22">
        <v>166</v>
      </c>
      <c r="B171" s="23" t="s">
        <v>95</v>
      </c>
      <c r="C171" s="23" t="s">
        <v>477</v>
      </c>
      <c r="D171" s="24">
        <v>1105691.8995000001</v>
      </c>
      <c r="E171" s="24">
        <v>3411103.7072999999</v>
      </c>
      <c r="F171" s="25">
        <f t="shared" si="2"/>
        <v>4516795.6068000002</v>
      </c>
      <c r="G171" s="26"/>
      <c r="H171" s="26"/>
      <c r="I171" s="28"/>
      <c r="J171" s="28"/>
      <c r="K171" s="28"/>
      <c r="L171" s="28"/>
      <c r="M171" s="26"/>
      <c r="N171" s="26"/>
      <c r="O171" s="28"/>
      <c r="P171" s="28"/>
      <c r="Q171" s="28"/>
    </row>
    <row r="172" spans="1:17" ht="18.75">
      <c r="A172" s="22">
        <v>167</v>
      </c>
      <c r="B172" s="23" t="s">
        <v>95</v>
      </c>
      <c r="C172" s="23" t="s">
        <v>479</v>
      </c>
      <c r="D172" s="24">
        <v>961121.61540000001</v>
      </c>
      <c r="E172" s="24">
        <v>2965098.6019000001</v>
      </c>
      <c r="F172" s="25">
        <f t="shared" si="2"/>
        <v>3926220.2173000001</v>
      </c>
      <c r="G172" s="26"/>
      <c r="H172" s="26"/>
      <c r="I172" s="28"/>
      <c r="J172" s="28"/>
      <c r="K172" s="28"/>
      <c r="L172" s="28"/>
      <c r="M172" s="26"/>
      <c r="N172" s="26"/>
      <c r="O172" s="28"/>
      <c r="P172" s="28"/>
      <c r="Q172" s="28"/>
    </row>
    <row r="173" spans="1:17" ht="18.75">
      <c r="A173" s="22">
        <v>168</v>
      </c>
      <c r="B173" s="23" t="s">
        <v>95</v>
      </c>
      <c r="C173" s="23" t="s">
        <v>481</v>
      </c>
      <c r="D173" s="24">
        <v>932158.99340000004</v>
      </c>
      <c r="E173" s="24">
        <v>2875747.7555</v>
      </c>
      <c r="F173" s="25">
        <f t="shared" si="2"/>
        <v>3807906.7489</v>
      </c>
      <c r="G173" s="26"/>
      <c r="H173" s="26"/>
      <c r="I173" s="28"/>
      <c r="J173" s="28"/>
      <c r="K173" s="28"/>
      <c r="L173" s="28"/>
      <c r="M173" s="26"/>
      <c r="N173" s="26"/>
      <c r="O173" s="28"/>
      <c r="P173" s="28"/>
      <c r="Q173" s="28"/>
    </row>
    <row r="174" spans="1:17" ht="37.5">
      <c r="A174" s="22">
        <v>169</v>
      </c>
      <c r="B174" s="23" t="s">
        <v>96</v>
      </c>
      <c r="C174" s="23" t="s">
        <v>486</v>
      </c>
      <c r="D174" s="24">
        <v>988212.33810000005</v>
      </c>
      <c r="E174" s="24">
        <v>3048674.5641999999</v>
      </c>
      <c r="F174" s="25">
        <f t="shared" si="2"/>
        <v>4036886.9023000002</v>
      </c>
      <c r="G174" s="26"/>
      <c r="H174" s="26"/>
      <c r="I174" s="28"/>
      <c r="J174" s="28"/>
      <c r="K174" s="28"/>
      <c r="L174" s="28"/>
      <c r="M174" s="26"/>
      <c r="N174" s="26"/>
      <c r="O174" s="28"/>
      <c r="P174" s="28"/>
      <c r="Q174" s="28"/>
    </row>
    <row r="175" spans="1:17" ht="37.5">
      <c r="A175" s="22">
        <v>170</v>
      </c>
      <c r="B175" s="23" t="s">
        <v>96</v>
      </c>
      <c r="C175" s="23" t="s">
        <v>488</v>
      </c>
      <c r="D175" s="24">
        <v>1242170.9205</v>
      </c>
      <c r="E175" s="24">
        <v>3832146.9424000001</v>
      </c>
      <c r="F175" s="25">
        <f t="shared" si="2"/>
        <v>5074317.8629000001</v>
      </c>
      <c r="G175" s="26"/>
      <c r="H175" s="26"/>
      <c r="I175" s="28"/>
      <c r="J175" s="28"/>
      <c r="K175" s="28"/>
      <c r="L175" s="28"/>
      <c r="M175" s="26"/>
      <c r="N175" s="26"/>
      <c r="O175" s="28"/>
      <c r="P175" s="28"/>
      <c r="Q175" s="28"/>
    </row>
    <row r="176" spans="1:17" ht="37.5">
      <c r="A176" s="22">
        <v>171</v>
      </c>
      <c r="B176" s="23" t="s">
        <v>96</v>
      </c>
      <c r="C176" s="23" t="s">
        <v>490</v>
      </c>
      <c r="D176" s="24">
        <v>1189123.3524</v>
      </c>
      <c r="E176" s="24">
        <v>3668493.0745000001</v>
      </c>
      <c r="F176" s="25">
        <f t="shared" si="2"/>
        <v>4857616.4269000003</v>
      </c>
      <c r="G176" s="26"/>
      <c r="H176" s="26"/>
      <c r="I176" s="28"/>
      <c r="J176" s="28"/>
      <c r="K176" s="28"/>
      <c r="L176" s="28"/>
      <c r="M176" s="26"/>
      <c r="N176" s="26"/>
      <c r="O176" s="28"/>
      <c r="P176" s="28"/>
      <c r="Q176" s="28"/>
    </row>
    <row r="177" spans="1:17" ht="37.5">
      <c r="A177" s="22">
        <v>172</v>
      </c>
      <c r="B177" s="23" t="s">
        <v>96</v>
      </c>
      <c r="C177" s="23" t="s">
        <v>492</v>
      </c>
      <c r="D177" s="24">
        <v>767243.2095</v>
      </c>
      <c r="E177" s="24">
        <v>2366975.9698000001</v>
      </c>
      <c r="F177" s="25">
        <f t="shared" si="2"/>
        <v>3134219.1793</v>
      </c>
      <c r="G177" s="26"/>
      <c r="H177" s="26"/>
      <c r="I177" s="28"/>
      <c r="J177" s="28"/>
      <c r="K177" s="28"/>
      <c r="L177" s="28"/>
      <c r="M177" s="26"/>
      <c r="N177" s="26"/>
      <c r="O177" s="28"/>
      <c r="P177" s="28"/>
      <c r="Q177" s="28"/>
    </row>
    <row r="178" spans="1:17" ht="37.5">
      <c r="A178" s="22">
        <v>173</v>
      </c>
      <c r="B178" s="23" t="s">
        <v>96</v>
      </c>
      <c r="C178" s="23" t="s">
        <v>494</v>
      </c>
      <c r="D178" s="24">
        <v>916526.94279999996</v>
      </c>
      <c r="E178" s="24">
        <v>2827522.2544999998</v>
      </c>
      <c r="F178" s="25">
        <f t="shared" si="2"/>
        <v>3744049.1973000001</v>
      </c>
      <c r="G178" s="26"/>
      <c r="H178" s="26"/>
      <c r="I178" s="28"/>
      <c r="J178" s="28"/>
      <c r="K178" s="28"/>
      <c r="L178" s="28"/>
      <c r="M178" s="26"/>
      <c r="N178" s="26"/>
      <c r="O178" s="28"/>
      <c r="P178" s="28"/>
      <c r="Q178" s="28"/>
    </row>
    <row r="179" spans="1:17" ht="37.5">
      <c r="A179" s="22">
        <v>174</v>
      </c>
      <c r="B179" s="23" t="s">
        <v>96</v>
      </c>
      <c r="C179" s="23" t="s">
        <v>496</v>
      </c>
      <c r="D179" s="24">
        <v>1054396.2653999999</v>
      </c>
      <c r="E179" s="24">
        <v>3252854.6255999999</v>
      </c>
      <c r="F179" s="25">
        <f t="shared" si="2"/>
        <v>4307250.8909999998</v>
      </c>
      <c r="G179" s="26"/>
      <c r="H179" s="26"/>
      <c r="I179" s="28"/>
      <c r="J179" s="28"/>
      <c r="K179" s="28"/>
      <c r="L179" s="28"/>
      <c r="M179" s="26"/>
      <c r="N179" s="26"/>
      <c r="O179" s="28"/>
      <c r="P179" s="28"/>
      <c r="Q179" s="28"/>
    </row>
    <row r="180" spans="1:17" ht="37.5">
      <c r="A180" s="22">
        <v>175</v>
      </c>
      <c r="B180" s="23" t="s">
        <v>96</v>
      </c>
      <c r="C180" s="23" t="s">
        <v>498</v>
      </c>
      <c r="D180" s="24">
        <v>1208809.7194999999</v>
      </c>
      <c r="E180" s="24">
        <v>3729226.3037999999</v>
      </c>
      <c r="F180" s="25">
        <f t="shared" si="2"/>
        <v>4938036.0232999995</v>
      </c>
      <c r="G180" s="26"/>
      <c r="H180" s="26"/>
      <c r="I180" s="28"/>
      <c r="J180" s="28"/>
      <c r="K180" s="28"/>
      <c r="L180" s="28"/>
      <c r="M180" s="26"/>
      <c r="N180" s="26"/>
      <c r="O180" s="28"/>
      <c r="P180" s="28"/>
      <c r="Q180" s="28"/>
    </row>
    <row r="181" spans="1:17" ht="37.5">
      <c r="A181" s="22">
        <v>176</v>
      </c>
      <c r="B181" s="23" t="s">
        <v>96</v>
      </c>
      <c r="C181" s="23" t="s">
        <v>500</v>
      </c>
      <c r="D181" s="24">
        <v>957563.38210000005</v>
      </c>
      <c r="E181" s="24">
        <v>2954121.3099000002</v>
      </c>
      <c r="F181" s="25">
        <f t="shared" si="2"/>
        <v>3911684.6919999998</v>
      </c>
      <c r="G181" s="26"/>
      <c r="H181" s="26"/>
      <c r="I181" s="28"/>
      <c r="J181" s="28"/>
      <c r="K181" s="28"/>
      <c r="L181" s="28"/>
      <c r="M181" s="26"/>
      <c r="N181" s="26"/>
      <c r="O181" s="28"/>
      <c r="P181" s="28"/>
      <c r="Q181" s="28"/>
    </row>
    <row r="182" spans="1:17" ht="37.5">
      <c r="A182" s="22">
        <v>177</v>
      </c>
      <c r="B182" s="23" t="s">
        <v>96</v>
      </c>
      <c r="C182" s="23" t="s">
        <v>502</v>
      </c>
      <c r="D182" s="24">
        <v>1020644.5358</v>
      </c>
      <c r="E182" s="24">
        <v>3148729.1905999999</v>
      </c>
      <c r="F182" s="25">
        <f t="shared" si="2"/>
        <v>4169373.7264</v>
      </c>
      <c r="G182" s="26"/>
      <c r="H182" s="26"/>
      <c r="I182" s="28"/>
      <c r="J182" s="28"/>
      <c r="K182" s="28"/>
      <c r="L182" s="28"/>
      <c r="M182" s="26"/>
      <c r="N182" s="26"/>
      <c r="O182" s="28"/>
      <c r="P182" s="28"/>
      <c r="Q182" s="28"/>
    </row>
    <row r="183" spans="1:17" ht="37.5">
      <c r="A183" s="22">
        <v>178</v>
      </c>
      <c r="B183" s="23" t="s">
        <v>96</v>
      </c>
      <c r="C183" s="23" t="s">
        <v>504</v>
      </c>
      <c r="D183" s="24">
        <v>799204.44739999995</v>
      </c>
      <c r="E183" s="24">
        <v>2465577.6664999998</v>
      </c>
      <c r="F183" s="25">
        <f t="shared" si="2"/>
        <v>3264782.1139000002</v>
      </c>
      <c r="G183" s="26"/>
      <c r="H183" s="26"/>
      <c r="I183" s="28"/>
      <c r="J183" s="28"/>
      <c r="K183" s="28"/>
      <c r="L183" s="28"/>
      <c r="M183" s="26"/>
      <c r="N183" s="26"/>
      <c r="O183" s="28"/>
      <c r="P183" s="28"/>
      <c r="Q183" s="28"/>
    </row>
    <row r="184" spans="1:17" ht="37.5">
      <c r="A184" s="22">
        <v>179</v>
      </c>
      <c r="B184" s="23" t="s">
        <v>96</v>
      </c>
      <c r="C184" s="23" t="s">
        <v>506</v>
      </c>
      <c r="D184" s="24">
        <v>1090503.1993</v>
      </c>
      <c r="E184" s="24">
        <v>3364245.9600999998</v>
      </c>
      <c r="F184" s="25">
        <f t="shared" si="2"/>
        <v>4454749.1594000002</v>
      </c>
      <c r="G184" s="26"/>
      <c r="H184" s="26"/>
      <c r="I184" s="28"/>
      <c r="J184" s="28"/>
      <c r="K184" s="28"/>
      <c r="L184" s="28"/>
      <c r="M184" s="26"/>
      <c r="N184" s="26"/>
      <c r="O184" s="28"/>
      <c r="P184" s="28"/>
      <c r="Q184" s="28"/>
    </row>
    <row r="185" spans="1:17" ht="37.5">
      <c r="A185" s="22">
        <v>180</v>
      </c>
      <c r="B185" s="23" t="s">
        <v>96</v>
      </c>
      <c r="C185" s="23" t="s">
        <v>508</v>
      </c>
      <c r="D185" s="24">
        <v>941082.25360000005</v>
      </c>
      <c r="E185" s="24">
        <v>2903276.3695999999</v>
      </c>
      <c r="F185" s="25">
        <f t="shared" si="2"/>
        <v>3844358.6231999998</v>
      </c>
      <c r="G185" s="26"/>
      <c r="H185" s="26"/>
      <c r="I185" s="28"/>
      <c r="J185" s="28"/>
      <c r="K185" s="28"/>
      <c r="L185" s="28"/>
      <c r="M185" s="26"/>
      <c r="N185" s="26"/>
      <c r="O185" s="28"/>
      <c r="P185" s="28"/>
      <c r="Q185" s="28"/>
    </row>
    <row r="186" spans="1:17" ht="37.5">
      <c r="A186" s="22">
        <v>181</v>
      </c>
      <c r="B186" s="23" t="s">
        <v>96</v>
      </c>
      <c r="C186" s="23" t="s">
        <v>510</v>
      </c>
      <c r="D186" s="24">
        <v>1037214.8397</v>
      </c>
      <c r="E186" s="24">
        <v>3199849.2404999998</v>
      </c>
      <c r="F186" s="25">
        <f t="shared" si="2"/>
        <v>4237064.0801999997</v>
      </c>
      <c r="G186" s="26"/>
      <c r="H186" s="26"/>
      <c r="I186" s="28"/>
      <c r="J186" s="28"/>
      <c r="K186" s="28"/>
      <c r="L186" s="28"/>
      <c r="M186" s="26"/>
      <c r="N186" s="26"/>
      <c r="O186" s="28"/>
      <c r="P186" s="28"/>
      <c r="Q186" s="28"/>
    </row>
    <row r="187" spans="1:17" ht="37.5">
      <c r="A187" s="22">
        <v>182</v>
      </c>
      <c r="B187" s="23" t="s">
        <v>96</v>
      </c>
      <c r="C187" s="23" t="s">
        <v>512</v>
      </c>
      <c r="D187" s="24">
        <v>981969.06270000001</v>
      </c>
      <c r="E187" s="24">
        <v>3029413.8102000002</v>
      </c>
      <c r="F187" s="25">
        <f t="shared" si="2"/>
        <v>4011382.8728999998</v>
      </c>
      <c r="G187" s="26"/>
      <c r="H187" s="26"/>
      <c r="I187" s="28"/>
      <c r="J187" s="28"/>
      <c r="K187" s="28"/>
      <c r="L187" s="28"/>
      <c r="M187" s="26"/>
      <c r="N187" s="26"/>
      <c r="O187" s="28"/>
      <c r="P187" s="28"/>
      <c r="Q187" s="28"/>
    </row>
    <row r="188" spans="1:17" ht="37.5">
      <c r="A188" s="22">
        <v>183</v>
      </c>
      <c r="B188" s="23" t="s">
        <v>96</v>
      </c>
      <c r="C188" s="23" t="s">
        <v>514</v>
      </c>
      <c r="D188" s="24">
        <v>1113842.7897000001</v>
      </c>
      <c r="E188" s="24">
        <v>3436249.5293999999</v>
      </c>
      <c r="F188" s="25">
        <f t="shared" si="2"/>
        <v>4550092.3191</v>
      </c>
      <c r="G188" s="26"/>
      <c r="H188" s="26"/>
      <c r="I188" s="28"/>
      <c r="J188" s="28"/>
      <c r="K188" s="28"/>
      <c r="L188" s="28"/>
      <c r="M188" s="26"/>
      <c r="N188" s="26"/>
      <c r="O188" s="28"/>
      <c r="P188" s="28"/>
      <c r="Q188" s="28"/>
    </row>
    <row r="189" spans="1:17" ht="37.5">
      <c r="A189" s="22">
        <v>184</v>
      </c>
      <c r="B189" s="23" t="s">
        <v>96</v>
      </c>
      <c r="C189" s="23" t="s">
        <v>516</v>
      </c>
      <c r="D189" s="24">
        <v>1046821.1433999999</v>
      </c>
      <c r="E189" s="24">
        <v>3229485.0715000001</v>
      </c>
      <c r="F189" s="25">
        <f t="shared" si="2"/>
        <v>4276306.2149</v>
      </c>
      <c r="G189" s="26"/>
      <c r="H189" s="26"/>
      <c r="I189" s="28"/>
      <c r="J189" s="28"/>
      <c r="K189" s="28"/>
      <c r="L189" s="28"/>
      <c r="M189" s="26"/>
      <c r="N189" s="26"/>
      <c r="O189" s="28"/>
      <c r="P189" s="28"/>
      <c r="Q189" s="28"/>
    </row>
    <row r="190" spans="1:17" ht="37.5">
      <c r="A190" s="22">
        <v>185</v>
      </c>
      <c r="B190" s="23" t="s">
        <v>96</v>
      </c>
      <c r="C190" s="23" t="s">
        <v>518</v>
      </c>
      <c r="D190" s="24">
        <v>1050947.9495999999</v>
      </c>
      <c r="E190" s="24">
        <v>3242216.4334999998</v>
      </c>
      <c r="F190" s="25">
        <f t="shared" si="2"/>
        <v>4293164.3831000002</v>
      </c>
      <c r="G190" s="26"/>
      <c r="H190" s="26"/>
      <c r="I190" s="28"/>
      <c r="J190" s="28"/>
      <c r="K190" s="28"/>
      <c r="L190" s="28"/>
      <c r="M190" s="26"/>
      <c r="N190" s="26"/>
      <c r="O190" s="28"/>
      <c r="P190" s="28"/>
      <c r="Q190" s="28"/>
    </row>
    <row r="191" spans="1:17" ht="37.5">
      <c r="A191" s="22">
        <v>186</v>
      </c>
      <c r="B191" s="23" t="s">
        <v>96</v>
      </c>
      <c r="C191" s="23" t="s">
        <v>520</v>
      </c>
      <c r="D191" s="24">
        <v>1158973.3478000001</v>
      </c>
      <c r="E191" s="24">
        <v>3575479.1050999998</v>
      </c>
      <c r="F191" s="25">
        <f t="shared" si="2"/>
        <v>4734452.4528999999</v>
      </c>
      <c r="G191" s="26"/>
      <c r="H191" s="26"/>
      <c r="I191" s="28"/>
      <c r="J191" s="28"/>
      <c r="K191" s="28"/>
      <c r="L191" s="28"/>
      <c r="M191" s="26"/>
      <c r="N191" s="26"/>
      <c r="O191" s="28"/>
      <c r="P191" s="28"/>
      <c r="Q191" s="28"/>
    </row>
    <row r="192" spans="1:17" ht="37.5">
      <c r="A192" s="22">
        <v>187</v>
      </c>
      <c r="B192" s="23" t="s">
        <v>97</v>
      </c>
      <c r="C192" s="23" t="s">
        <v>525</v>
      </c>
      <c r="D192" s="24">
        <v>811584.05189999996</v>
      </c>
      <c r="E192" s="24">
        <v>2503769.2412</v>
      </c>
      <c r="F192" s="25">
        <f t="shared" si="2"/>
        <v>3315353.2930999999</v>
      </c>
      <c r="G192" s="26"/>
      <c r="H192" s="26"/>
      <c r="I192" s="28"/>
      <c r="J192" s="28"/>
      <c r="K192" s="28"/>
      <c r="L192" s="28"/>
      <c r="M192" s="26"/>
      <c r="N192" s="26"/>
      <c r="O192" s="28"/>
      <c r="P192" s="28"/>
      <c r="Q192" s="28"/>
    </row>
    <row r="193" spans="1:17" ht="37.5">
      <c r="A193" s="22">
        <v>188</v>
      </c>
      <c r="B193" s="23" t="s">
        <v>97</v>
      </c>
      <c r="C193" s="23" t="s">
        <v>527</v>
      </c>
      <c r="D193" s="24">
        <v>884594.41529999999</v>
      </c>
      <c r="E193" s="24">
        <v>2729009.1305999998</v>
      </c>
      <c r="F193" s="25">
        <f t="shared" si="2"/>
        <v>3613603.5458999998</v>
      </c>
      <c r="G193" s="26"/>
      <c r="H193" s="26"/>
      <c r="I193" s="28"/>
      <c r="J193" s="28"/>
      <c r="K193" s="28"/>
      <c r="L193" s="28"/>
      <c r="M193" s="26"/>
      <c r="N193" s="26"/>
      <c r="O193" s="28"/>
      <c r="P193" s="28"/>
      <c r="Q193" s="28"/>
    </row>
    <row r="194" spans="1:17" ht="18.75">
      <c r="A194" s="22">
        <v>189</v>
      </c>
      <c r="B194" s="23" t="s">
        <v>97</v>
      </c>
      <c r="C194" s="23" t="s">
        <v>529</v>
      </c>
      <c r="D194" s="24">
        <v>756182.45109999995</v>
      </c>
      <c r="E194" s="24">
        <v>2332853.088</v>
      </c>
      <c r="F194" s="25">
        <f t="shared" si="2"/>
        <v>3089035.5391000002</v>
      </c>
      <c r="G194" s="26"/>
      <c r="H194" s="26"/>
      <c r="I194" s="28"/>
      <c r="J194" s="28"/>
      <c r="K194" s="28"/>
      <c r="L194" s="28"/>
      <c r="M194" s="26"/>
      <c r="N194" s="26"/>
      <c r="O194" s="28"/>
      <c r="P194" s="28"/>
      <c r="Q194" s="28"/>
    </row>
    <row r="195" spans="1:17" ht="18.75">
      <c r="A195" s="22">
        <v>190</v>
      </c>
      <c r="B195" s="23" t="s">
        <v>97</v>
      </c>
      <c r="C195" s="23" t="s">
        <v>531</v>
      </c>
      <c r="D195" s="24">
        <v>1086770.9147999999</v>
      </c>
      <c r="E195" s="24">
        <v>3352731.7130999998</v>
      </c>
      <c r="F195" s="25">
        <f t="shared" si="2"/>
        <v>4439502.6278999997</v>
      </c>
      <c r="G195" s="26"/>
      <c r="H195" s="26"/>
      <c r="I195" s="28"/>
      <c r="J195" s="28"/>
      <c r="K195" s="28"/>
      <c r="L195" s="28"/>
      <c r="M195" s="26"/>
      <c r="N195" s="26"/>
      <c r="O195" s="28"/>
      <c r="P195" s="28"/>
      <c r="Q195" s="28"/>
    </row>
    <row r="196" spans="1:17" ht="18.75">
      <c r="A196" s="22">
        <v>191</v>
      </c>
      <c r="B196" s="23" t="s">
        <v>97</v>
      </c>
      <c r="C196" s="23" t="s">
        <v>533</v>
      </c>
      <c r="D196" s="24">
        <v>988792.66090000002</v>
      </c>
      <c r="E196" s="24">
        <v>3050464.8834000002</v>
      </c>
      <c r="F196" s="25">
        <f t="shared" si="2"/>
        <v>4039257.5443000002</v>
      </c>
      <c r="G196" s="26"/>
      <c r="H196" s="26"/>
      <c r="I196" s="28"/>
      <c r="J196" s="28"/>
      <c r="K196" s="28"/>
      <c r="L196" s="28"/>
      <c r="M196" s="26"/>
      <c r="N196" s="26"/>
      <c r="O196" s="28"/>
      <c r="P196" s="28"/>
      <c r="Q196" s="28"/>
    </row>
    <row r="197" spans="1:17" ht="18.75">
      <c r="A197" s="22">
        <v>192</v>
      </c>
      <c r="B197" s="23" t="s">
        <v>97</v>
      </c>
      <c r="C197" s="23" t="s">
        <v>535</v>
      </c>
      <c r="D197" s="24">
        <v>1012860.5921</v>
      </c>
      <c r="E197" s="24">
        <v>3124715.4133000001</v>
      </c>
      <c r="F197" s="25">
        <f t="shared" si="2"/>
        <v>4137576.0054000001</v>
      </c>
      <c r="G197" s="26"/>
      <c r="H197" s="26"/>
      <c r="I197" s="28"/>
      <c r="J197" s="28"/>
      <c r="K197" s="28"/>
      <c r="L197" s="28"/>
      <c r="M197" s="26"/>
      <c r="N197" s="26"/>
      <c r="O197" s="28"/>
      <c r="P197" s="28"/>
      <c r="Q197" s="28"/>
    </row>
    <row r="198" spans="1:17" ht="37.5">
      <c r="A198" s="22">
        <v>193</v>
      </c>
      <c r="B198" s="23" t="s">
        <v>97</v>
      </c>
      <c r="C198" s="23" t="s">
        <v>537</v>
      </c>
      <c r="D198" s="24">
        <v>1073819.1243</v>
      </c>
      <c r="E198" s="24">
        <v>3312774.9216999998</v>
      </c>
      <c r="F198" s="25">
        <f t="shared" si="2"/>
        <v>4386594.0460000001</v>
      </c>
      <c r="G198" s="26"/>
      <c r="H198" s="26"/>
      <c r="I198" s="28"/>
      <c r="J198" s="28"/>
      <c r="K198" s="28"/>
      <c r="L198" s="28"/>
      <c r="M198" s="26"/>
      <c r="N198" s="26"/>
      <c r="O198" s="28"/>
      <c r="P198" s="28"/>
      <c r="Q198" s="28"/>
    </row>
    <row r="199" spans="1:17" ht="18.75">
      <c r="A199" s="22">
        <v>194</v>
      </c>
      <c r="B199" s="23" t="s">
        <v>97</v>
      </c>
      <c r="C199" s="23" t="s">
        <v>539</v>
      </c>
      <c r="D199" s="24">
        <v>1009942.5962</v>
      </c>
      <c r="E199" s="24">
        <v>3115713.2790999999</v>
      </c>
      <c r="F199" s="25">
        <f t="shared" ref="F199:F262" si="3">D199+E199</f>
        <v>4125655.8753</v>
      </c>
      <c r="G199" s="26"/>
      <c r="H199" s="26"/>
      <c r="I199" s="28"/>
      <c r="J199" s="28"/>
      <c r="K199" s="28"/>
      <c r="L199" s="28"/>
      <c r="M199" s="26"/>
      <c r="N199" s="26"/>
      <c r="O199" s="28"/>
      <c r="P199" s="28"/>
      <c r="Q199" s="28"/>
    </row>
    <row r="200" spans="1:17" ht="18.75">
      <c r="A200" s="22">
        <v>195</v>
      </c>
      <c r="B200" s="23" t="s">
        <v>97</v>
      </c>
      <c r="C200" s="23" t="s">
        <v>541</v>
      </c>
      <c r="D200" s="24">
        <v>950281.55660000001</v>
      </c>
      <c r="E200" s="24">
        <v>2931656.5872999998</v>
      </c>
      <c r="F200" s="25">
        <f t="shared" si="3"/>
        <v>3881938.1439</v>
      </c>
      <c r="G200" s="26"/>
      <c r="H200" s="26"/>
      <c r="I200" s="28"/>
      <c r="J200" s="28"/>
      <c r="K200" s="28"/>
      <c r="L200" s="28"/>
      <c r="M200" s="26"/>
      <c r="N200" s="26"/>
      <c r="O200" s="28"/>
      <c r="P200" s="28"/>
      <c r="Q200" s="28"/>
    </row>
    <row r="201" spans="1:17" ht="18.75">
      <c r="A201" s="22">
        <v>196</v>
      </c>
      <c r="B201" s="23" t="s">
        <v>97</v>
      </c>
      <c r="C201" s="23" t="s">
        <v>543</v>
      </c>
      <c r="D201" s="24">
        <v>1062626.8788999999</v>
      </c>
      <c r="E201" s="24">
        <v>3278246.3974000001</v>
      </c>
      <c r="F201" s="25">
        <f t="shared" si="3"/>
        <v>4340873.2763</v>
      </c>
      <c r="G201" s="26"/>
      <c r="H201" s="26"/>
      <c r="I201" s="28"/>
      <c r="J201" s="28"/>
      <c r="K201" s="28"/>
      <c r="L201" s="28"/>
      <c r="M201" s="26"/>
      <c r="N201" s="26"/>
      <c r="O201" s="28"/>
      <c r="P201" s="28"/>
      <c r="Q201" s="28"/>
    </row>
    <row r="202" spans="1:17" ht="18.75">
      <c r="A202" s="22">
        <v>197</v>
      </c>
      <c r="B202" s="23" t="s">
        <v>97</v>
      </c>
      <c r="C202" s="23" t="s">
        <v>545</v>
      </c>
      <c r="D202" s="24">
        <v>892934.09160000004</v>
      </c>
      <c r="E202" s="24">
        <v>2754737.3654</v>
      </c>
      <c r="F202" s="25">
        <f t="shared" si="3"/>
        <v>3647671.4569999999</v>
      </c>
      <c r="G202" s="26"/>
      <c r="H202" s="26"/>
      <c r="I202" s="28"/>
      <c r="J202" s="28"/>
      <c r="K202" s="28"/>
      <c r="L202" s="28"/>
      <c r="M202" s="26"/>
      <c r="N202" s="26"/>
      <c r="O202" s="28"/>
      <c r="P202" s="28"/>
      <c r="Q202" s="28"/>
    </row>
    <row r="203" spans="1:17" ht="18.75">
      <c r="A203" s="22">
        <v>198</v>
      </c>
      <c r="B203" s="23" t="s">
        <v>97</v>
      </c>
      <c r="C203" s="23" t="s">
        <v>547</v>
      </c>
      <c r="D203" s="24">
        <v>920926.47239999997</v>
      </c>
      <c r="E203" s="24">
        <v>2841094.9791999999</v>
      </c>
      <c r="F203" s="25">
        <f t="shared" si="3"/>
        <v>3762021.4515999998</v>
      </c>
      <c r="G203" s="26"/>
      <c r="H203" s="26"/>
      <c r="I203" s="28"/>
      <c r="J203" s="28"/>
      <c r="K203" s="28"/>
      <c r="L203" s="28"/>
      <c r="M203" s="26"/>
      <c r="N203" s="26"/>
      <c r="O203" s="28"/>
      <c r="P203" s="28"/>
      <c r="Q203" s="28"/>
    </row>
    <row r="204" spans="1:17" ht="18.75">
      <c r="A204" s="22">
        <v>199</v>
      </c>
      <c r="B204" s="23" t="s">
        <v>97</v>
      </c>
      <c r="C204" s="23" t="s">
        <v>549</v>
      </c>
      <c r="D204" s="24">
        <v>843548.77419999999</v>
      </c>
      <c r="E204" s="24">
        <v>2602381.6872</v>
      </c>
      <c r="F204" s="25">
        <f t="shared" si="3"/>
        <v>3445930.4613999999</v>
      </c>
      <c r="G204" s="26"/>
      <c r="H204" s="26"/>
      <c r="I204" s="28"/>
      <c r="J204" s="28"/>
      <c r="K204" s="28"/>
      <c r="L204" s="28"/>
      <c r="M204" s="26"/>
      <c r="N204" s="26"/>
      <c r="O204" s="28"/>
      <c r="P204" s="28"/>
      <c r="Q204" s="28"/>
    </row>
    <row r="205" spans="1:17" ht="37.5">
      <c r="A205" s="22">
        <v>200</v>
      </c>
      <c r="B205" s="23" t="s">
        <v>97</v>
      </c>
      <c r="C205" s="23" t="s">
        <v>551</v>
      </c>
      <c r="D205" s="24">
        <v>826142.1875</v>
      </c>
      <c r="E205" s="24">
        <v>2548681.6715000002</v>
      </c>
      <c r="F205" s="25">
        <f t="shared" si="3"/>
        <v>3374823.8590000002</v>
      </c>
      <c r="G205" s="26"/>
      <c r="H205" s="26"/>
      <c r="I205" s="28"/>
      <c r="J205" s="28"/>
      <c r="K205" s="28"/>
      <c r="L205" s="28"/>
      <c r="M205" s="26"/>
      <c r="N205" s="26"/>
      <c r="O205" s="28"/>
      <c r="P205" s="28"/>
      <c r="Q205" s="28"/>
    </row>
    <row r="206" spans="1:17" ht="18.75">
      <c r="A206" s="22">
        <v>201</v>
      </c>
      <c r="B206" s="23" t="s">
        <v>97</v>
      </c>
      <c r="C206" s="23" t="s">
        <v>553</v>
      </c>
      <c r="D206" s="24">
        <v>896459.56149999995</v>
      </c>
      <c r="E206" s="24">
        <v>2765613.5809999998</v>
      </c>
      <c r="F206" s="25">
        <f t="shared" si="3"/>
        <v>3662073.1425000001</v>
      </c>
      <c r="G206" s="26"/>
      <c r="H206" s="26"/>
      <c r="I206" s="28"/>
      <c r="J206" s="28"/>
      <c r="K206" s="28"/>
      <c r="L206" s="28"/>
      <c r="M206" s="26"/>
      <c r="N206" s="26"/>
      <c r="O206" s="28"/>
      <c r="P206" s="28"/>
      <c r="Q206" s="28"/>
    </row>
    <row r="207" spans="1:17" ht="18.75">
      <c r="A207" s="22">
        <v>202</v>
      </c>
      <c r="B207" s="23" t="s">
        <v>97</v>
      </c>
      <c r="C207" s="23" t="s">
        <v>555</v>
      </c>
      <c r="D207" s="24">
        <v>740334.48829999997</v>
      </c>
      <c r="E207" s="24">
        <v>2283961.4893999998</v>
      </c>
      <c r="F207" s="25">
        <f t="shared" si="3"/>
        <v>3024295.9777000002</v>
      </c>
      <c r="G207" s="26"/>
      <c r="H207" s="26"/>
      <c r="I207" s="28"/>
      <c r="J207" s="28"/>
      <c r="K207" s="28"/>
      <c r="L207" s="28"/>
      <c r="M207" s="26"/>
      <c r="N207" s="26"/>
      <c r="O207" s="28"/>
      <c r="P207" s="28"/>
      <c r="Q207" s="28"/>
    </row>
    <row r="208" spans="1:17" ht="18.75">
      <c r="A208" s="22">
        <v>203</v>
      </c>
      <c r="B208" s="23" t="s">
        <v>97</v>
      </c>
      <c r="C208" s="23" t="s">
        <v>557</v>
      </c>
      <c r="D208" s="24">
        <v>932508.52159999998</v>
      </c>
      <c r="E208" s="24">
        <v>2876826.0636999998</v>
      </c>
      <c r="F208" s="25">
        <f t="shared" si="3"/>
        <v>3809334.5852999999</v>
      </c>
      <c r="G208" s="26"/>
      <c r="H208" s="26"/>
      <c r="I208" s="28"/>
      <c r="J208" s="28"/>
      <c r="K208" s="28"/>
      <c r="L208" s="28"/>
      <c r="M208" s="26"/>
      <c r="N208" s="26"/>
      <c r="O208" s="28"/>
      <c r="P208" s="28"/>
      <c r="Q208" s="28"/>
    </row>
    <row r="209" spans="1:17" ht="18.75">
      <c r="A209" s="22">
        <v>204</v>
      </c>
      <c r="B209" s="23" t="s">
        <v>97</v>
      </c>
      <c r="C209" s="23" t="s">
        <v>559</v>
      </c>
      <c r="D209" s="24">
        <v>980436.13410000002</v>
      </c>
      <c r="E209" s="24">
        <v>3024684.6641000002</v>
      </c>
      <c r="F209" s="25">
        <f t="shared" si="3"/>
        <v>4005120.7982000001</v>
      </c>
      <c r="G209" s="26"/>
      <c r="H209" s="26"/>
      <c r="I209" s="28"/>
      <c r="J209" s="28"/>
      <c r="K209" s="28"/>
      <c r="L209" s="28"/>
      <c r="M209" s="26"/>
      <c r="N209" s="26"/>
      <c r="O209" s="28"/>
      <c r="P209" s="28"/>
      <c r="Q209" s="28"/>
    </row>
    <row r="210" spans="1:17" ht="18.75">
      <c r="A210" s="22">
        <v>205</v>
      </c>
      <c r="B210" s="23" t="s">
        <v>97</v>
      </c>
      <c r="C210" s="23" t="s">
        <v>561</v>
      </c>
      <c r="D210" s="24">
        <v>1280421.0541999999</v>
      </c>
      <c r="E210" s="24">
        <v>3950150.1337000001</v>
      </c>
      <c r="F210" s="25">
        <f t="shared" si="3"/>
        <v>5230571.1879000003</v>
      </c>
      <c r="G210" s="26"/>
      <c r="H210" s="26"/>
      <c r="I210" s="28"/>
      <c r="J210" s="28"/>
      <c r="K210" s="28"/>
      <c r="L210" s="28"/>
      <c r="M210" s="26"/>
      <c r="N210" s="26"/>
      <c r="O210" s="28"/>
      <c r="P210" s="28"/>
      <c r="Q210" s="28"/>
    </row>
    <row r="211" spans="1:17" ht="18.75">
      <c r="A211" s="22">
        <v>206</v>
      </c>
      <c r="B211" s="23" t="s">
        <v>97</v>
      </c>
      <c r="C211" s="23" t="s">
        <v>563</v>
      </c>
      <c r="D211" s="24">
        <v>1015009.5551999999</v>
      </c>
      <c r="E211" s="24">
        <v>3131345.0501999999</v>
      </c>
      <c r="F211" s="25">
        <f t="shared" si="3"/>
        <v>4146354.6053999998</v>
      </c>
      <c r="G211" s="26"/>
      <c r="H211" s="26"/>
      <c r="I211" s="28"/>
      <c r="J211" s="28"/>
      <c r="K211" s="28"/>
      <c r="L211" s="28"/>
      <c r="M211" s="26"/>
      <c r="N211" s="26"/>
      <c r="O211" s="28"/>
      <c r="P211" s="28"/>
      <c r="Q211" s="28"/>
    </row>
    <row r="212" spans="1:17" ht="18.75">
      <c r="A212" s="22">
        <v>207</v>
      </c>
      <c r="B212" s="23" t="s">
        <v>97</v>
      </c>
      <c r="C212" s="23" t="s">
        <v>565</v>
      </c>
      <c r="D212" s="24">
        <v>804992.7145</v>
      </c>
      <c r="E212" s="24">
        <v>2483434.7017000001</v>
      </c>
      <c r="F212" s="25">
        <f t="shared" si="3"/>
        <v>3288427.4161999999</v>
      </c>
      <c r="G212" s="26"/>
      <c r="H212" s="26"/>
      <c r="I212" s="28"/>
      <c r="J212" s="28"/>
      <c r="K212" s="28"/>
      <c r="L212" s="28"/>
      <c r="M212" s="26"/>
      <c r="N212" s="26"/>
      <c r="O212" s="28"/>
      <c r="P212" s="28"/>
      <c r="Q212" s="28"/>
    </row>
    <row r="213" spans="1:17" ht="18.75">
      <c r="A213" s="22">
        <v>208</v>
      </c>
      <c r="B213" s="23" t="s">
        <v>97</v>
      </c>
      <c r="C213" s="23" t="s">
        <v>567</v>
      </c>
      <c r="D213" s="24">
        <v>945855.72080000001</v>
      </c>
      <c r="E213" s="24">
        <v>2918002.7069000001</v>
      </c>
      <c r="F213" s="25">
        <f t="shared" si="3"/>
        <v>3863858.4276999999</v>
      </c>
      <c r="G213" s="26"/>
      <c r="H213" s="26"/>
      <c r="I213" s="28"/>
      <c r="J213" s="28"/>
      <c r="K213" s="28"/>
      <c r="L213" s="28"/>
      <c r="M213" s="26"/>
      <c r="N213" s="26"/>
      <c r="O213" s="28"/>
      <c r="P213" s="28"/>
      <c r="Q213" s="28"/>
    </row>
    <row r="214" spans="1:17" ht="18.75">
      <c r="A214" s="22">
        <v>209</v>
      </c>
      <c r="B214" s="23" t="s">
        <v>97</v>
      </c>
      <c r="C214" s="23" t="s">
        <v>569</v>
      </c>
      <c r="D214" s="24">
        <v>1175426.6912</v>
      </c>
      <c r="E214" s="24">
        <v>3626238.3272000002</v>
      </c>
      <c r="F214" s="25">
        <f t="shared" si="3"/>
        <v>4801665.0184000004</v>
      </c>
      <c r="G214" s="26"/>
      <c r="H214" s="26"/>
      <c r="I214" s="28"/>
      <c r="J214" s="28"/>
      <c r="K214" s="28"/>
      <c r="L214" s="28"/>
      <c r="M214" s="26"/>
      <c r="N214" s="26"/>
      <c r="O214" s="28"/>
      <c r="P214" s="28"/>
      <c r="Q214" s="28"/>
    </row>
    <row r="215" spans="1:17" ht="18.75">
      <c r="A215" s="22">
        <v>210</v>
      </c>
      <c r="B215" s="23" t="s">
        <v>97</v>
      </c>
      <c r="C215" s="23" t="s">
        <v>571</v>
      </c>
      <c r="D215" s="24">
        <v>967307.28619999997</v>
      </c>
      <c r="E215" s="24">
        <v>2984181.6436999999</v>
      </c>
      <c r="F215" s="25">
        <f t="shared" si="3"/>
        <v>3951488.9298999999</v>
      </c>
      <c r="G215" s="26"/>
      <c r="H215" s="26"/>
      <c r="I215" s="28"/>
      <c r="J215" s="28"/>
      <c r="K215" s="28"/>
      <c r="L215" s="28"/>
      <c r="M215" s="26"/>
      <c r="N215" s="26"/>
      <c r="O215" s="28"/>
      <c r="P215" s="28"/>
      <c r="Q215" s="28"/>
    </row>
    <row r="216" spans="1:17" ht="37.5">
      <c r="A216" s="22">
        <v>211</v>
      </c>
      <c r="B216" s="23" t="s">
        <v>97</v>
      </c>
      <c r="C216" s="23" t="s">
        <v>573</v>
      </c>
      <c r="D216" s="24">
        <v>928946.32979999995</v>
      </c>
      <c r="E216" s="24">
        <v>2865836.5597999999</v>
      </c>
      <c r="F216" s="25">
        <f t="shared" si="3"/>
        <v>3794782.8895999999</v>
      </c>
      <c r="G216" s="26"/>
      <c r="H216" s="26"/>
      <c r="I216" s="28"/>
      <c r="J216" s="28"/>
      <c r="K216" s="28"/>
      <c r="L216" s="28"/>
      <c r="M216" s="26"/>
      <c r="N216" s="26"/>
      <c r="O216" s="28"/>
      <c r="P216" s="28"/>
      <c r="Q216" s="28"/>
    </row>
    <row r="217" spans="1:17" ht="18.75">
      <c r="A217" s="22">
        <v>212</v>
      </c>
      <c r="B217" s="23" t="s">
        <v>98</v>
      </c>
      <c r="C217" s="23" t="s">
        <v>578</v>
      </c>
      <c r="D217" s="24">
        <v>1054880.7707</v>
      </c>
      <c r="E217" s="24">
        <v>3254349.344</v>
      </c>
      <c r="F217" s="25">
        <f t="shared" si="3"/>
        <v>4309230.1146999998</v>
      </c>
      <c r="G217" s="26"/>
      <c r="H217" s="26"/>
      <c r="I217" s="28"/>
      <c r="J217" s="28"/>
      <c r="K217" s="28"/>
      <c r="L217" s="28"/>
      <c r="M217" s="26"/>
      <c r="N217" s="26"/>
      <c r="O217" s="28"/>
      <c r="P217" s="28"/>
      <c r="Q217" s="28"/>
    </row>
    <row r="218" spans="1:17" ht="18.75">
      <c r="A218" s="22">
        <v>213</v>
      </c>
      <c r="B218" s="23" t="s">
        <v>98</v>
      </c>
      <c r="C218" s="23" t="s">
        <v>580</v>
      </c>
      <c r="D218" s="24">
        <v>990531.38619999995</v>
      </c>
      <c r="E218" s="24">
        <v>3055828.9204000002</v>
      </c>
      <c r="F218" s="25">
        <f t="shared" si="3"/>
        <v>4046360.3065999998</v>
      </c>
      <c r="G218" s="26"/>
      <c r="H218" s="26"/>
      <c r="I218" s="28"/>
      <c r="J218" s="28"/>
      <c r="K218" s="28"/>
      <c r="L218" s="28"/>
      <c r="M218" s="26"/>
      <c r="N218" s="26"/>
      <c r="O218" s="28"/>
      <c r="P218" s="28"/>
      <c r="Q218" s="28"/>
    </row>
    <row r="219" spans="1:17" ht="18.75">
      <c r="A219" s="22">
        <v>214</v>
      </c>
      <c r="B219" s="23" t="s">
        <v>98</v>
      </c>
      <c r="C219" s="23" t="s">
        <v>582</v>
      </c>
      <c r="D219" s="24">
        <v>999058.48789999995</v>
      </c>
      <c r="E219" s="24">
        <v>3082135.3700999999</v>
      </c>
      <c r="F219" s="25">
        <f t="shared" si="3"/>
        <v>4081193.858</v>
      </c>
      <c r="G219" s="26"/>
      <c r="H219" s="26"/>
      <c r="I219" s="28"/>
      <c r="J219" s="28"/>
      <c r="K219" s="28"/>
      <c r="L219" s="28"/>
      <c r="M219" s="26"/>
      <c r="N219" s="26"/>
      <c r="O219" s="28"/>
      <c r="P219" s="28"/>
      <c r="Q219" s="28"/>
    </row>
    <row r="220" spans="1:17" ht="18.75">
      <c r="A220" s="22">
        <v>215</v>
      </c>
      <c r="B220" s="23" t="s">
        <v>98</v>
      </c>
      <c r="C220" s="23" t="s">
        <v>98</v>
      </c>
      <c r="D220" s="24">
        <v>963371.54630000005</v>
      </c>
      <c r="E220" s="24">
        <v>2972039.7289</v>
      </c>
      <c r="F220" s="25">
        <f t="shared" si="3"/>
        <v>3935411.2752</v>
      </c>
      <c r="G220" s="26"/>
      <c r="H220" s="26"/>
      <c r="I220" s="28"/>
      <c r="J220" s="28"/>
      <c r="K220" s="28"/>
      <c r="L220" s="28"/>
      <c r="M220" s="26"/>
      <c r="N220" s="26"/>
      <c r="O220" s="28"/>
      <c r="P220" s="28"/>
      <c r="Q220" s="28"/>
    </row>
    <row r="221" spans="1:17" ht="18.75">
      <c r="A221" s="22">
        <v>216</v>
      </c>
      <c r="B221" s="23" t="s">
        <v>98</v>
      </c>
      <c r="C221" s="23" t="s">
        <v>585</v>
      </c>
      <c r="D221" s="24">
        <v>960245.35259999998</v>
      </c>
      <c r="E221" s="24">
        <v>2962395.2963</v>
      </c>
      <c r="F221" s="25">
        <f t="shared" si="3"/>
        <v>3922640.6488999999</v>
      </c>
      <c r="G221" s="26"/>
      <c r="H221" s="26"/>
      <c r="I221" s="28"/>
      <c r="J221" s="28"/>
      <c r="K221" s="28"/>
      <c r="L221" s="28"/>
      <c r="M221" s="26"/>
      <c r="N221" s="26"/>
      <c r="O221" s="28"/>
      <c r="P221" s="28"/>
      <c r="Q221" s="28"/>
    </row>
    <row r="222" spans="1:17" ht="18.75">
      <c r="A222" s="22">
        <v>217</v>
      </c>
      <c r="B222" s="23" t="s">
        <v>98</v>
      </c>
      <c r="C222" s="23" t="s">
        <v>587</v>
      </c>
      <c r="D222" s="24">
        <v>998071.31440000003</v>
      </c>
      <c r="E222" s="24">
        <v>3079089.9002</v>
      </c>
      <c r="F222" s="25">
        <f t="shared" si="3"/>
        <v>4077161.2146000001</v>
      </c>
      <c r="G222" s="26"/>
      <c r="H222" s="26"/>
      <c r="I222" s="28"/>
      <c r="J222" s="28"/>
      <c r="K222" s="28"/>
      <c r="L222" s="28"/>
      <c r="M222" s="26"/>
      <c r="N222" s="26"/>
      <c r="O222" s="28"/>
      <c r="P222" s="28"/>
      <c r="Q222" s="28"/>
    </row>
    <row r="223" spans="1:17" ht="18.75">
      <c r="A223" s="22">
        <v>218</v>
      </c>
      <c r="B223" s="23" t="s">
        <v>98</v>
      </c>
      <c r="C223" s="23" t="s">
        <v>589</v>
      </c>
      <c r="D223" s="24">
        <v>1166170.298</v>
      </c>
      <c r="E223" s="24">
        <v>3597681.9840000002</v>
      </c>
      <c r="F223" s="25">
        <f t="shared" si="3"/>
        <v>4763852.2819999997</v>
      </c>
      <c r="G223" s="26"/>
      <c r="H223" s="26"/>
      <c r="I223" s="28"/>
      <c r="J223" s="28"/>
      <c r="K223" s="28"/>
      <c r="L223" s="28"/>
      <c r="M223" s="26"/>
      <c r="N223" s="26"/>
      <c r="O223" s="28"/>
      <c r="P223" s="28"/>
      <c r="Q223" s="28"/>
    </row>
    <row r="224" spans="1:17" ht="18.75">
      <c r="A224" s="22">
        <v>219</v>
      </c>
      <c r="B224" s="23" t="s">
        <v>98</v>
      </c>
      <c r="C224" s="23" t="s">
        <v>591</v>
      </c>
      <c r="D224" s="24">
        <v>1032962.5801</v>
      </c>
      <c r="E224" s="24">
        <v>3186730.8495999998</v>
      </c>
      <c r="F224" s="25">
        <f t="shared" si="3"/>
        <v>4219693.4297000002</v>
      </c>
      <c r="G224" s="26"/>
      <c r="H224" s="26"/>
      <c r="I224" s="28"/>
      <c r="J224" s="28"/>
      <c r="K224" s="28"/>
      <c r="L224" s="28"/>
      <c r="M224" s="26"/>
      <c r="N224" s="26"/>
      <c r="O224" s="28"/>
      <c r="P224" s="28"/>
      <c r="Q224" s="28"/>
    </row>
    <row r="225" spans="1:17" ht="18.75">
      <c r="A225" s="22">
        <v>220</v>
      </c>
      <c r="B225" s="23" t="s">
        <v>98</v>
      </c>
      <c r="C225" s="23" t="s">
        <v>593</v>
      </c>
      <c r="D225" s="24">
        <v>934583.65529999998</v>
      </c>
      <c r="E225" s="24">
        <v>2883227.9342999998</v>
      </c>
      <c r="F225" s="25">
        <f t="shared" si="3"/>
        <v>3817811.5896000001</v>
      </c>
      <c r="G225" s="26"/>
      <c r="H225" s="26"/>
      <c r="I225" s="28"/>
      <c r="J225" s="28"/>
      <c r="K225" s="28"/>
      <c r="L225" s="28"/>
      <c r="M225" s="26"/>
      <c r="N225" s="26"/>
      <c r="O225" s="28"/>
      <c r="P225" s="28"/>
      <c r="Q225" s="28"/>
    </row>
    <row r="226" spans="1:17" ht="18.75">
      <c r="A226" s="22">
        <v>221</v>
      </c>
      <c r="B226" s="23" t="s">
        <v>98</v>
      </c>
      <c r="C226" s="23" t="s">
        <v>595</v>
      </c>
      <c r="D226" s="24">
        <v>1298132.6543000001</v>
      </c>
      <c r="E226" s="24">
        <v>4004791.1280999999</v>
      </c>
      <c r="F226" s="25">
        <f t="shared" si="3"/>
        <v>5302923.7823999999</v>
      </c>
      <c r="G226" s="26"/>
      <c r="H226" s="26"/>
      <c r="I226" s="28"/>
      <c r="J226" s="28"/>
      <c r="K226" s="28"/>
      <c r="L226" s="28"/>
      <c r="M226" s="26"/>
      <c r="N226" s="26"/>
      <c r="O226" s="28"/>
      <c r="P226" s="28"/>
      <c r="Q226" s="28"/>
    </row>
    <row r="227" spans="1:17" ht="18.75">
      <c r="A227" s="22">
        <v>222</v>
      </c>
      <c r="B227" s="23" t="s">
        <v>98</v>
      </c>
      <c r="C227" s="23" t="s">
        <v>597</v>
      </c>
      <c r="D227" s="24">
        <v>1007071.9287</v>
      </c>
      <c r="E227" s="24">
        <v>3106857.1554</v>
      </c>
      <c r="F227" s="25">
        <f t="shared" si="3"/>
        <v>4113929.0841000001</v>
      </c>
      <c r="G227" s="26"/>
      <c r="H227" s="26"/>
      <c r="I227" s="28"/>
      <c r="J227" s="28"/>
      <c r="K227" s="28"/>
      <c r="L227" s="28"/>
      <c r="M227" s="26"/>
      <c r="N227" s="26"/>
      <c r="O227" s="28"/>
      <c r="P227" s="28"/>
      <c r="Q227" s="28"/>
    </row>
    <row r="228" spans="1:17" ht="18.75">
      <c r="A228" s="22">
        <v>223</v>
      </c>
      <c r="B228" s="23" t="s">
        <v>98</v>
      </c>
      <c r="C228" s="23" t="s">
        <v>599</v>
      </c>
      <c r="D228" s="24">
        <v>1111226.5149000001</v>
      </c>
      <c r="E228" s="24">
        <v>3428178.2170000002</v>
      </c>
      <c r="F228" s="25">
        <f t="shared" si="3"/>
        <v>4539404.7319</v>
      </c>
      <c r="G228" s="26"/>
      <c r="H228" s="26"/>
      <c r="I228" s="28"/>
      <c r="J228" s="28"/>
      <c r="K228" s="28"/>
      <c r="L228" s="28"/>
      <c r="M228" s="26"/>
      <c r="N228" s="26"/>
      <c r="O228" s="28"/>
      <c r="P228" s="28"/>
      <c r="Q228" s="28"/>
    </row>
    <row r="229" spans="1:17" ht="18.75">
      <c r="A229" s="22">
        <v>224</v>
      </c>
      <c r="B229" s="23" t="s">
        <v>98</v>
      </c>
      <c r="C229" s="23" t="s">
        <v>600</v>
      </c>
      <c r="D229" s="24">
        <v>1217068.7566</v>
      </c>
      <c r="E229" s="24">
        <v>3754705.7636000002</v>
      </c>
      <c r="F229" s="25">
        <f t="shared" si="3"/>
        <v>4971774.5202000001</v>
      </c>
      <c r="G229" s="26"/>
      <c r="H229" s="26"/>
      <c r="I229" s="28"/>
      <c r="J229" s="28"/>
      <c r="K229" s="28"/>
      <c r="L229" s="28"/>
      <c r="M229" s="26"/>
      <c r="N229" s="26"/>
      <c r="O229" s="28"/>
      <c r="P229" s="28"/>
      <c r="Q229" s="28"/>
    </row>
    <row r="230" spans="1:17" ht="18.75">
      <c r="A230" s="22">
        <v>225</v>
      </c>
      <c r="B230" s="23" t="s">
        <v>99</v>
      </c>
      <c r="C230" s="23" t="s">
        <v>605</v>
      </c>
      <c r="D230" s="24">
        <v>1263576.0282000001</v>
      </c>
      <c r="E230" s="24">
        <v>3898182.5551999998</v>
      </c>
      <c r="F230" s="25">
        <f t="shared" si="3"/>
        <v>5161758.5833999999</v>
      </c>
      <c r="G230" s="26"/>
      <c r="H230" s="26"/>
      <c r="I230" s="28"/>
      <c r="J230" s="28"/>
      <c r="K230" s="28"/>
      <c r="L230" s="28"/>
      <c r="M230" s="26"/>
      <c r="N230" s="26"/>
      <c r="O230" s="28"/>
      <c r="P230" s="28"/>
      <c r="Q230" s="28"/>
    </row>
    <row r="231" spans="1:17" ht="18.75">
      <c r="A231" s="22">
        <v>226</v>
      </c>
      <c r="B231" s="23" t="s">
        <v>99</v>
      </c>
      <c r="C231" s="23" t="s">
        <v>607</v>
      </c>
      <c r="D231" s="24">
        <v>1200122.2745999999</v>
      </c>
      <c r="E231" s="24">
        <v>3702425.1889999998</v>
      </c>
      <c r="F231" s="25">
        <f t="shared" si="3"/>
        <v>4902547.4636000004</v>
      </c>
      <c r="G231" s="26"/>
      <c r="H231" s="26"/>
      <c r="I231" s="28"/>
      <c r="J231" s="28"/>
      <c r="K231" s="28"/>
      <c r="L231" s="28"/>
      <c r="M231" s="26"/>
      <c r="N231" s="26"/>
      <c r="O231" s="28"/>
      <c r="P231" s="28"/>
      <c r="Q231" s="28"/>
    </row>
    <row r="232" spans="1:17" ht="18.75">
      <c r="A232" s="22">
        <v>227</v>
      </c>
      <c r="B232" s="23" t="s">
        <v>99</v>
      </c>
      <c r="C232" s="23" t="s">
        <v>608</v>
      </c>
      <c r="D232" s="24">
        <v>794142.89049999998</v>
      </c>
      <c r="E232" s="24">
        <v>2449962.5610000002</v>
      </c>
      <c r="F232" s="25">
        <f t="shared" si="3"/>
        <v>3244105.4515</v>
      </c>
      <c r="G232" s="26"/>
      <c r="H232" s="26"/>
      <c r="I232" s="28"/>
      <c r="J232" s="28"/>
      <c r="K232" s="28"/>
      <c r="L232" s="28"/>
      <c r="M232" s="26"/>
      <c r="N232" s="26"/>
      <c r="O232" s="28"/>
      <c r="P232" s="28"/>
      <c r="Q232" s="28"/>
    </row>
    <row r="233" spans="1:17" ht="37.5">
      <c r="A233" s="22">
        <v>228</v>
      </c>
      <c r="B233" s="23" t="s">
        <v>99</v>
      </c>
      <c r="C233" s="23" t="s">
        <v>610</v>
      </c>
      <c r="D233" s="24">
        <v>817593.50390000001</v>
      </c>
      <c r="E233" s="24">
        <v>2522308.6408000002</v>
      </c>
      <c r="F233" s="25">
        <f t="shared" si="3"/>
        <v>3339902.1447000001</v>
      </c>
      <c r="G233" s="26"/>
      <c r="H233" s="26"/>
      <c r="I233" s="28"/>
      <c r="J233" s="28"/>
      <c r="K233" s="28"/>
      <c r="L233" s="28"/>
      <c r="M233" s="26"/>
      <c r="N233" s="26"/>
      <c r="O233" s="28"/>
      <c r="P233" s="28"/>
      <c r="Q233" s="28"/>
    </row>
    <row r="234" spans="1:17" ht="37.5">
      <c r="A234" s="22">
        <v>229</v>
      </c>
      <c r="B234" s="23" t="s">
        <v>99</v>
      </c>
      <c r="C234" s="23" t="s">
        <v>612</v>
      </c>
      <c r="D234" s="24">
        <v>978941.41509999998</v>
      </c>
      <c r="E234" s="24">
        <v>3020073.3964999998</v>
      </c>
      <c r="F234" s="25">
        <f t="shared" si="3"/>
        <v>3999014.8116000001</v>
      </c>
      <c r="G234" s="26"/>
      <c r="H234" s="26"/>
      <c r="I234" s="28"/>
      <c r="J234" s="28"/>
      <c r="K234" s="28"/>
      <c r="L234" s="28"/>
      <c r="M234" s="26"/>
      <c r="N234" s="26"/>
      <c r="O234" s="28"/>
      <c r="P234" s="28"/>
      <c r="Q234" s="28"/>
    </row>
    <row r="235" spans="1:17" ht="18.75">
      <c r="A235" s="22">
        <v>230</v>
      </c>
      <c r="B235" s="23" t="s">
        <v>99</v>
      </c>
      <c r="C235" s="23" t="s">
        <v>614</v>
      </c>
      <c r="D235" s="24">
        <v>832064.81209999998</v>
      </c>
      <c r="E235" s="24">
        <v>2566953.2050000001</v>
      </c>
      <c r="F235" s="25">
        <f t="shared" si="3"/>
        <v>3399018.0170999998</v>
      </c>
      <c r="G235" s="26"/>
      <c r="H235" s="26"/>
      <c r="I235" s="28"/>
      <c r="J235" s="28"/>
      <c r="K235" s="28"/>
      <c r="L235" s="28"/>
      <c r="M235" s="26"/>
      <c r="N235" s="26"/>
      <c r="O235" s="28"/>
      <c r="P235" s="28"/>
      <c r="Q235" s="28"/>
    </row>
    <row r="236" spans="1:17" ht="37.5">
      <c r="A236" s="22">
        <v>231</v>
      </c>
      <c r="B236" s="23" t="s">
        <v>99</v>
      </c>
      <c r="C236" s="23" t="s">
        <v>616</v>
      </c>
      <c r="D236" s="24">
        <v>832830.1311</v>
      </c>
      <c r="E236" s="24">
        <v>2569314.2447000002</v>
      </c>
      <c r="F236" s="25">
        <f t="shared" si="3"/>
        <v>3402144.3758</v>
      </c>
      <c r="G236" s="26"/>
      <c r="H236" s="26"/>
      <c r="I236" s="28"/>
      <c r="J236" s="28"/>
      <c r="K236" s="28"/>
      <c r="L236" s="28"/>
      <c r="M236" s="26"/>
      <c r="N236" s="26"/>
      <c r="O236" s="28"/>
      <c r="P236" s="28"/>
      <c r="Q236" s="28"/>
    </row>
    <row r="237" spans="1:17" ht="18.75">
      <c r="A237" s="22">
        <v>232</v>
      </c>
      <c r="B237" s="23" t="s">
        <v>99</v>
      </c>
      <c r="C237" s="23" t="s">
        <v>618</v>
      </c>
      <c r="D237" s="24">
        <v>966152.38340000005</v>
      </c>
      <c r="E237" s="24">
        <v>2980618.7223</v>
      </c>
      <c r="F237" s="25">
        <f t="shared" si="3"/>
        <v>3946771.1057000002</v>
      </c>
      <c r="G237" s="26"/>
      <c r="H237" s="26"/>
      <c r="I237" s="28"/>
      <c r="J237" s="28"/>
      <c r="K237" s="28"/>
      <c r="L237" s="28"/>
      <c r="M237" s="26"/>
      <c r="N237" s="26"/>
      <c r="O237" s="28"/>
      <c r="P237" s="28"/>
      <c r="Q237" s="28"/>
    </row>
    <row r="238" spans="1:17" ht="18.75">
      <c r="A238" s="22">
        <v>233</v>
      </c>
      <c r="B238" s="23" t="s">
        <v>99</v>
      </c>
      <c r="C238" s="23" t="s">
        <v>620</v>
      </c>
      <c r="D238" s="24">
        <v>1063369.2847</v>
      </c>
      <c r="E238" s="24">
        <v>3280536.7488000002</v>
      </c>
      <c r="F238" s="25">
        <f t="shared" si="3"/>
        <v>4343906.0334999999</v>
      </c>
      <c r="G238" s="26"/>
      <c r="H238" s="26"/>
      <c r="I238" s="28"/>
      <c r="J238" s="28"/>
      <c r="K238" s="28"/>
      <c r="L238" s="28"/>
      <c r="M238" s="26"/>
      <c r="N238" s="26"/>
      <c r="O238" s="28"/>
      <c r="P238" s="28"/>
      <c r="Q238" s="28"/>
    </row>
    <row r="239" spans="1:17" ht="18.75">
      <c r="A239" s="22">
        <v>234</v>
      </c>
      <c r="B239" s="23" t="s">
        <v>99</v>
      </c>
      <c r="C239" s="23" t="s">
        <v>622</v>
      </c>
      <c r="D239" s="24">
        <v>773757.19810000004</v>
      </c>
      <c r="E239" s="24">
        <v>2387071.8851999999</v>
      </c>
      <c r="F239" s="25">
        <f t="shared" si="3"/>
        <v>3160829.0833000001</v>
      </c>
      <c r="G239" s="26"/>
      <c r="H239" s="26"/>
      <c r="I239" s="28"/>
      <c r="J239" s="28"/>
      <c r="K239" s="28"/>
      <c r="L239" s="28"/>
      <c r="M239" s="26"/>
      <c r="N239" s="26"/>
      <c r="O239" s="28"/>
      <c r="P239" s="28"/>
      <c r="Q239" s="28"/>
    </row>
    <row r="240" spans="1:17" ht="18.75">
      <c r="A240" s="22">
        <v>235</v>
      </c>
      <c r="B240" s="23" t="s">
        <v>99</v>
      </c>
      <c r="C240" s="23" t="s">
        <v>624</v>
      </c>
      <c r="D240" s="24">
        <v>1327681.06</v>
      </c>
      <c r="E240" s="24">
        <v>4095949.1409999998</v>
      </c>
      <c r="F240" s="25">
        <f t="shared" si="3"/>
        <v>5423630.2010000004</v>
      </c>
      <c r="G240" s="26"/>
      <c r="H240" s="26"/>
      <c r="I240" s="28"/>
      <c r="J240" s="28"/>
      <c r="K240" s="28"/>
      <c r="L240" s="28"/>
      <c r="M240" s="26"/>
      <c r="N240" s="26"/>
      <c r="O240" s="28"/>
      <c r="P240" s="28"/>
      <c r="Q240" s="28"/>
    </row>
    <row r="241" spans="1:17" ht="18.75">
      <c r="A241" s="22">
        <v>236</v>
      </c>
      <c r="B241" s="23" t="s">
        <v>99</v>
      </c>
      <c r="C241" s="23" t="s">
        <v>626</v>
      </c>
      <c r="D241" s="24">
        <v>1366395.0360000001</v>
      </c>
      <c r="E241" s="24">
        <v>4215383.3043</v>
      </c>
      <c r="F241" s="25">
        <f t="shared" si="3"/>
        <v>5581778.3403000003</v>
      </c>
      <c r="G241" s="26"/>
      <c r="H241" s="26"/>
      <c r="I241" s="28"/>
      <c r="J241" s="28"/>
      <c r="K241" s="28"/>
      <c r="L241" s="28"/>
      <c r="M241" s="26"/>
      <c r="N241" s="26"/>
      <c r="O241" s="28"/>
      <c r="P241" s="28"/>
      <c r="Q241" s="28"/>
    </row>
    <row r="242" spans="1:17" ht="18.75">
      <c r="A242" s="22">
        <v>237</v>
      </c>
      <c r="B242" s="23" t="s">
        <v>99</v>
      </c>
      <c r="C242" s="23" t="s">
        <v>628</v>
      </c>
      <c r="D242" s="24">
        <v>1070990.3622999999</v>
      </c>
      <c r="E242" s="24">
        <v>3304048.0778000001</v>
      </c>
      <c r="F242" s="25">
        <f t="shared" si="3"/>
        <v>4375038.4401000002</v>
      </c>
      <c r="G242" s="26"/>
      <c r="H242" s="26"/>
      <c r="I242" s="28"/>
      <c r="J242" s="28"/>
      <c r="K242" s="28"/>
      <c r="L242" s="28"/>
      <c r="M242" s="26"/>
      <c r="N242" s="26"/>
      <c r="O242" s="28"/>
      <c r="P242" s="28"/>
      <c r="Q242" s="28"/>
    </row>
    <row r="243" spans="1:17" ht="37.5">
      <c r="A243" s="22">
        <v>238</v>
      </c>
      <c r="B243" s="23" t="s">
        <v>99</v>
      </c>
      <c r="C243" s="23" t="s">
        <v>630</v>
      </c>
      <c r="D243" s="24">
        <v>1021376.9602</v>
      </c>
      <c r="E243" s="24">
        <v>3150988.7492999998</v>
      </c>
      <c r="F243" s="25">
        <f t="shared" si="3"/>
        <v>4172365.7094999999</v>
      </c>
      <c r="G243" s="26"/>
      <c r="H243" s="26"/>
      <c r="I243" s="28"/>
      <c r="J243" s="28"/>
      <c r="K243" s="28"/>
      <c r="L243" s="28"/>
      <c r="M243" s="26"/>
      <c r="N243" s="26"/>
      <c r="O243" s="28"/>
      <c r="P243" s="28"/>
      <c r="Q243" s="28"/>
    </row>
    <row r="244" spans="1:17" ht="37.5">
      <c r="A244" s="22">
        <v>239</v>
      </c>
      <c r="B244" s="23" t="s">
        <v>99</v>
      </c>
      <c r="C244" s="23" t="s">
        <v>632</v>
      </c>
      <c r="D244" s="24">
        <v>1114748.9129999999</v>
      </c>
      <c r="E244" s="24">
        <v>3439044.9559999998</v>
      </c>
      <c r="F244" s="25">
        <f t="shared" si="3"/>
        <v>4553793.8689999999</v>
      </c>
      <c r="G244" s="26"/>
      <c r="H244" s="26"/>
      <c r="I244" s="28"/>
      <c r="J244" s="28"/>
      <c r="K244" s="28"/>
      <c r="L244" s="28"/>
      <c r="M244" s="26"/>
      <c r="N244" s="26"/>
      <c r="O244" s="28"/>
      <c r="P244" s="28"/>
      <c r="Q244" s="28"/>
    </row>
    <row r="245" spans="1:17" ht="18.75">
      <c r="A245" s="22">
        <v>240</v>
      </c>
      <c r="B245" s="23" t="s">
        <v>99</v>
      </c>
      <c r="C245" s="23" t="s">
        <v>634</v>
      </c>
      <c r="D245" s="24">
        <v>977866.36769999994</v>
      </c>
      <c r="E245" s="24">
        <v>3016756.8321000002</v>
      </c>
      <c r="F245" s="25">
        <f t="shared" si="3"/>
        <v>3994623.1998000001</v>
      </c>
      <c r="G245" s="26"/>
      <c r="H245" s="26"/>
      <c r="I245" s="28"/>
      <c r="J245" s="28"/>
      <c r="K245" s="28"/>
      <c r="L245" s="28"/>
      <c r="M245" s="26"/>
      <c r="N245" s="26"/>
      <c r="O245" s="28"/>
      <c r="P245" s="28"/>
      <c r="Q245" s="28"/>
    </row>
    <row r="246" spans="1:17" ht="18.75">
      <c r="A246" s="22">
        <v>241</v>
      </c>
      <c r="B246" s="23" t="s">
        <v>99</v>
      </c>
      <c r="C246" s="23" t="s">
        <v>636</v>
      </c>
      <c r="D246" s="24">
        <v>801983.20319999999</v>
      </c>
      <c r="E246" s="24">
        <v>2474150.2390999999</v>
      </c>
      <c r="F246" s="25">
        <f t="shared" si="3"/>
        <v>3276133.4423000002</v>
      </c>
      <c r="G246" s="26"/>
      <c r="H246" s="26"/>
      <c r="I246" s="28"/>
      <c r="J246" s="28"/>
      <c r="K246" s="28"/>
      <c r="L246" s="28"/>
      <c r="M246" s="26"/>
      <c r="N246" s="26"/>
      <c r="O246" s="28"/>
      <c r="P246" s="28"/>
      <c r="Q246" s="28"/>
    </row>
    <row r="247" spans="1:17" ht="18.75">
      <c r="A247" s="22">
        <v>242</v>
      </c>
      <c r="B247" s="23" t="s">
        <v>99</v>
      </c>
      <c r="C247" s="23" t="s">
        <v>638</v>
      </c>
      <c r="D247" s="24">
        <v>997987.18729999999</v>
      </c>
      <c r="E247" s="24">
        <v>3078830.3650000002</v>
      </c>
      <c r="F247" s="25">
        <f t="shared" si="3"/>
        <v>4076817.5523000001</v>
      </c>
      <c r="G247" s="26"/>
      <c r="H247" s="26"/>
      <c r="I247" s="28"/>
      <c r="J247" s="28"/>
      <c r="K247" s="28"/>
      <c r="L247" s="28"/>
      <c r="M247" s="26"/>
      <c r="N247" s="26"/>
      <c r="O247" s="28"/>
      <c r="P247" s="28"/>
      <c r="Q247" s="28"/>
    </row>
    <row r="248" spans="1:17" ht="18.75">
      <c r="A248" s="22">
        <v>243</v>
      </c>
      <c r="B248" s="23" t="s">
        <v>100</v>
      </c>
      <c r="C248" s="23" t="s">
        <v>642</v>
      </c>
      <c r="D248" s="24">
        <v>1172656.1804</v>
      </c>
      <c r="E248" s="24">
        <v>3617691.1907000002</v>
      </c>
      <c r="F248" s="25">
        <f t="shared" si="3"/>
        <v>4790347.3711000001</v>
      </c>
      <c r="G248" s="26"/>
      <c r="H248" s="26"/>
      <c r="I248" s="28"/>
      <c r="J248" s="28"/>
      <c r="K248" s="28"/>
      <c r="L248" s="28"/>
      <c r="M248" s="26"/>
      <c r="N248" s="26"/>
      <c r="O248" s="28"/>
      <c r="P248" s="28"/>
      <c r="Q248" s="28"/>
    </row>
    <row r="249" spans="1:17" ht="18.75">
      <c r="A249" s="22">
        <v>244</v>
      </c>
      <c r="B249" s="23" t="s">
        <v>100</v>
      </c>
      <c r="C249" s="23" t="s">
        <v>644</v>
      </c>
      <c r="D249" s="24">
        <v>892312.1128</v>
      </c>
      <c r="E249" s="24">
        <v>2752818.5359999998</v>
      </c>
      <c r="F249" s="25">
        <f t="shared" si="3"/>
        <v>3645130.6488000001</v>
      </c>
      <c r="G249" s="26"/>
      <c r="H249" s="26"/>
      <c r="I249" s="28"/>
      <c r="J249" s="28"/>
      <c r="K249" s="28"/>
      <c r="L249" s="28"/>
      <c r="M249" s="26"/>
      <c r="N249" s="26"/>
      <c r="O249" s="28"/>
      <c r="P249" s="28"/>
      <c r="Q249" s="28"/>
    </row>
    <row r="250" spans="1:17" ht="18.75">
      <c r="A250" s="22">
        <v>245</v>
      </c>
      <c r="B250" s="23" t="s">
        <v>100</v>
      </c>
      <c r="C250" s="23" t="s">
        <v>646</v>
      </c>
      <c r="D250" s="24">
        <v>850807.05310000002</v>
      </c>
      <c r="E250" s="24">
        <v>2624773.7678</v>
      </c>
      <c r="F250" s="25">
        <f t="shared" si="3"/>
        <v>3475580.8209000002</v>
      </c>
      <c r="G250" s="26"/>
      <c r="H250" s="26"/>
      <c r="I250" s="28"/>
      <c r="J250" s="28"/>
      <c r="K250" s="28"/>
      <c r="L250" s="28"/>
      <c r="M250" s="26"/>
      <c r="N250" s="26"/>
      <c r="O250" s="28"/>
      <c r="P250" s="28"/>
      <c r="Q250" s="28"/>
    </row>
    <row r="251" spans="1:17" ht="18.75">
      <c r="A251" s="22">
        <v>246</v>
      </c>
      <c r="B251" s="23" t="s">
        <v>100</v>
      </c>
      <c r="C251" s="23" t="s">
        <v>648</v>
      </c>
      <c r="D251" s="24">
        <v>878504.47160000005</v>
      </c>
      <c r="E251" s="24">
        <v>2710221.4108000002</v>
      </c>
      <c r="F251" s="25">
        <f t="shared" si="3"/>
        <v>3588725.8824</v>
      </c>
      <c r="G251" s="26"/>
      <c r="H251" s="26"/>
      <c r="I251" s="28"/>
      <c r="J251" s="28"/>
      <c r="K251" s="28"/>
      <c r="L251" s="28"/>
      <c r="M251" s="26"/>
      <c r="N251" s="26"/>
      <c r="O251" s="28"/>
      <c r="P251" s="28"/>
      <c r="Q251" s="28"/>
    </row>
    <row r="252" spans="1:17" ht="37.5">
      <c r="A252" s="22">
        <v>247</v>
      </c>
      <c r="B252" s="23" t="s">
        <v>100</v>
      </c>
      <c r="C252" s="23" t="s">
        <v>650</v>
      </c>
      <c r="D252" s="24">
        <v>930507.43039999995</v>
      </c>
      <c r="E252" s="24">
        <v>2870652.6173999999</v>
      </c>
      <c r="F252" s="25">
        <f t="shared" si="3"/>
        <v>3801160.0477999998</v>
      </c>
      <c r="G252" s="26"/>
      <c r="H252" s="26"/>
      <c r="I252" s="28"/>
      <c r="J252" s="28"/>
      <c r="K252" s="28"/>
      <c r="L252" s="28"/>
      <c r="M252" s="26"/>
      <c r="N252" s="26"/>
      <c r="O252" s="28"/>
      <c r="P252" s="28"/>
      <c r="Q252" s="28"/>
    </row>
    <row r="253" spans="1:17" ht="18.75">
      <c r="A253" s="22">
        <v>248</v>
      </c>
      <c r="B253" s="23" t="s">
        <v>100</v>
      </c>
      <c r="C253" s="23" t="s">
        <v>652</v>
      </c>
      <c r="D253" s="24">
        <v>948566.96470000001</v>
      </c>
      <c r="E253" s="24">
        <v>2926367.0027000001</v>
      </c>
      <c r="F253" s="25">
        <f t="shared" si="3"/>
        <v>3874933.9674</v>
      </c>
      <c r="G253" s="26"/>
      <c r="H253" s="26"/>
      <c r="I253" s="28"/>
      <c r="J253" s="28"/>
      <c r="K253" s="28"/>
      <c r="L253" s="28"/>
      <c r="M253" s="26"/>
      <c r="N253" s="26"/>
      <c r="O253" s="28"/>
      <c r="P253" s="28"/>
      <c r="Q253" s="28"/>
    </row>
    <row r="254" spans="1:17" ht="18.75">
      <c r="A254" s="22">
        <v>249</v>
      </c>
      <c r="B254" s="23" t="s">
        <v>100</v>
      </c>
      <c r="C254" s="23" t="s">
        <v>654</v>
      </c>
      <c r="D254" s="24">
        <v>781625.06909999996</v>
      </c>
      <c r="E254" s="24">
        <v>2411344.5816000002</v>
      </c>
      <c r="F254" s="25">
        <f t="shared" si="3"/>
        <v>3192969.6507000001</v>
      </c>
      <c r="G254" s="26"/>
      <c r="H254" s="26"/>
      <c r="I254" s="28"/>
      <c r="J254" s="28"/>
      <c r="K254" s="28"/>
      <c r="L254" s="28"/>
      <c r="M254" s="26"/>
      <c r="N254" s="26"/>
      <c r="O254" s="28"/>
      <c r="P254" s="28"/>
      <c r="Q254" s="28"/>
    </row>
    <row r="255" spans="1:17" ht="18.75">
      <c r="A255" s="22">
        <v>250</v>
      </c>
      <c r="B255" s="23" t="s">
        <v>100</v>
      </c>
      <c r="C255" s="23" t="s">
        <v>656</v>
      </c>
      <c r="D255" s="24">
        <v>962899.55799999996</v>
      </c>
      <c r="E255" s="24">
        <v>2970583.6261</v>
      </c>
      <c r="F255" s="25">
        <f t="shared" si="3"/>
        <v>3933483.1841000002</v>
      </c>
      <c r="G255" s="26"/>
      <c r="H255" s="26"/>
      <c r="I255" s="28"/>
      <c r="J255" s="28"/>
      <c r="K255" s="28"/>
      <c r="L255" s="28"/>
      <c r="M255" s="26"/>
      <c r="N255" s="26"/>
      <c r="O255" s="28"/>
      <c r="P255" s="28"/>
      <c r="Q255" s="28"/>
    </row>
    <row r="256" spans="1:17" ht="18.75">
      <c r="A256" s="22">
        <v>251</v>
      </c>
      <c r="B256" s="23" t="s">
        <v>100</v>
      </c>
      <c r="C256" s="23" t="s">
        <v>658</v>
      </c>
      <c r="D256" s="24">
        <v>1030264.2537999999</v>
      </c>
      <c r="E256" s="24">
        <v>3178406.4051000001</v>
      </c>
      <c r="F256" s="25">
        <f t="shared" si="3"/>
        <v>4208670.6589000002</v>
      </c>
      <c r="G256" s="26"/>
      <c r="H256" s="26"/>
      <c r="I256" s="28"/>
      <c r="J256" s="28"/>
      <c r="K256" s="28"/>
      <c r="L256" s="28"/>
      <c r="M256" s="26"/>
      <c r="N256" s="26"/>
      <c r="O256" s="28"/>
      <c r="P256" s="28"/>
      <c r="Q256" s="28"/>
    </row>
    <row r="257" spans="1:17" ht="18.75">
      <c r="A257" s="22">
        <v>252</v>
      </c>
      <c r="B257" s="23" t="s">
        <v>100</v>
      </c>
      <c r="C257" s="23" t="s">
        <v>660</v>
      </c>
      <c r="D257" s="24">
        <v>899646.94110000005</v>
      </c>
      <c r="E257" s="24">
        <v>2775446.7744</v>
      </c>
      <c r="F257" s="25">
        <f t="shared" si="3"/>
        <v>3675093.7154999999</v>
      </c>
      <c r="G257" s="26"/>
      <c r="H257" s="26"/>
      <c r="I257" s="28"/>
      <c r="J257" s="28"/>
      <c r="K257" s="28"/>
      <c r="L257" s="28"/>
      <c r="M257" s="26"/>
      <c r="N257" s="26"/>
      <c r="O257" s="28"/>
      <c r="P257" s="28"/>
      <c r="Q257" s="28"/>
    </row>
    <row r="258" spans="1:17" ht="18.75">
      <c r="A258" s="22">
        <v>253</v>
      </c>
      <c r="B258" s="23" t="s">
        <v>100</v>
      </c>
      <c r="C258" s="23" t="s">
        <v>662</v>
      </c>
      <c r="D258" s="24">
        <v>964120.03319999995</v>
      </c>
      <c r="E258" s="24">
        <v>2974348.8407000001</v>
      </c>
      <c r="F258" s="25">
        <f t="shared" si="3"/>
        <v>3938468.8739</v>
      </c>
      <c r="G258" s="26"/>
      <c r="H258" s="26"/>
      <c r="I258" s="28"/>
      <c r="J258" s="28"/>
      <c r="K258" s="28"/>
      <c r="L258" s="28"/>
      <c r="M258" s="26"/>
      <c r="N258" s="26"/>
      <c r="O258" s="28"/>
      <c r="P258" s="28"/>
      <c r="Q258" s="28"/>
    </row>
    <row r="259" spans="1:17" ht="18.75">
      <c r="A259" s="22">
        <v>254</v>
      </c>
      <c r="B259" s="23" t="s">
        <v>100</v>
      </c>
      <c r="C259" s="23" t="s">
        <v>664</v>
      </c>
      <c r="D259" s="24">
        <v>676581.15090000001</v>
      </c>
      <c r="E259" s="24">
        <v>2087279.8951999999</v>
      </c>
      <c r="F259" s="25">
        <f t="shared" si="3"/>
        <v>2763861.0460999999</v>
      </c>
      <c r="G259" s="26"/>
      <c r="H259" s="26"/>
      <c r="I259" s="28"/>
      <c r="J259" s="28"/>
      <c r="K259" s="28"/>
      <c r="L259" s="28"/>
      <c r="M259" s="26"/>
      <c r="N259" s="26"/>
      <c r="O259" s="28"/>
      <c r="P259" s="28"/>
      <c r="Q259" s="28"/>
    </row>
    <row r="260" spans="1:17" ht="37.5">
      <c r="A260" s="22">
        <v>255</v>
      </c>
      <c r="B260" s="23" t="s">
        <v>100</v>
      </c>
      <c r="C260" s="23" t="s">
        <v>666</v>
      </c>
      <c r="D260" s="24">
        <v>857520.95349999995</v>
      </c>
      <c r="E260" s="24">
        <v>2645486.4186999998</v>
      </c>
      <c r="F260" s="25">
        <f t="shared" si="3"/>
        <v>3503007.3722000001</v>
      </c>
      <c r="G260" s="26"/>
      <c r="H260" s="26"/>
      <c r="I260" s="28"/>
      <c r="J260" s="28"/>
      <c r="K260" s="28"/>
      <c r="L260" s="28"/>
      <c r="M260" s="26"/>
      <c r="N260" s="26"/>
      <c r="O260" s="28"/>
      <c r="P260" s="28"/>
      <c r="Q260" s="28"/>
    </row>
    <row r="261" spans="1:17" ht="18.75">
      <c r="A261" s="22">
        <v>256</v>
      </c>
      <c r="B261" s="23" t="s">
        <v>100</v>
      </c>
      <c r="C261" s="23" t="s">
        <v>668</v>
      </c>
      <c r="D261" s="24">
        <v>836800.79469999997</v>
      </c>
      <c r="E261" s="24">
        <v>2581563.9005999998</v>
      </c>
      <c r="F261" s="25">
        <f t="shared" si="3"/>
        <v>3418364.6952999998</v>
      </c>
      <c r="G261" s="26"/>
      <c r="H261" s="26"/>
      <c r="I261" s="28"/>
      <c r="J261" s="28"/>
      <c r="K261" s="28"/>
      <c r="L261" s="28"/>
      <c r="M261" s="26"/>
      <c r="N261" s="26"/>
      <c r="O261" s="28"/>
      <c r="P261" s="28"/>
      <c r="Q261" s="28"/>
    </row>
    <row r="262" spans="1:17" ht="18.75">
      <c r="A262" s="22">
        <v>257</v>
      </c>
      <c r="B262" s="23" t="s">
        <v>100</v>
      </c>
      <c r="C262" s="23" t="s">
        <v>670</v>
      </c>
      <c r="D262" s="24">
        <v>897480.13989999995</v>
      </c>
      <c r="E262" s="24">
        <v>2768762.1061</v>
      </c>
      <c r="F262" s="25">
        <f t="shared" si="3"/>
        <v>3666242.2459999998</v>
      </c>
      <c r="G262" s="26"/>
      <c r="H262" s="26"/>
      <c r="I262" s="28"/>
      <c r="J262" s="28"/>
      <c r="K262" s="28"/>
      <c r="L262" s="28"/>
      <c r="M262" s="26"/>
      <c r="N262" s="26"/>
      <c r="O262" s="28"/>
      <c r="P262" s="28"/>
      <c r="Q262" s="28"/>
    </row>
    <row r="263" spans="1:17" ht="18.75">
      <c r="A263" s="22">
        <v>258</v>
      </c>
      <c r="B263" s="23" t="s">
        <v>100</v>
      </c>
      <c r="C263" s="23" t="s">
        <v>672</v>
      </c>
      <c r="D263" s="24">
        <v>872420.69640000002</v>
      </c>
      <c r="E263" s="24">
        <v>2691452.7212</v>
      </c>
      <c r="F263" s="25">
        <f t="shared" ref="F263:F326" si="4">D263+E263</f>
        <v>3563873.4175999998</v>
      </c>
      <c r="G263" s="26"/>
      <c r="H263" s="26"/>
      <c r="I263" s="28"/>
      <c r="J263" s="28"/>
      <c r="K263" s="28"/>
      <c r="L263" s="28"/>
      <c r="M263" s="26"/>
      <c r="N263" s="26"/>
      <c r="O263" s="28"/>
      <c r="P263" s="28"/>
      <c r="Q263" s="28"/>
    </row>
    <row r="264" spans="1:17" ht="18.75">
      <c r="A264" s="22">
        <v>259</v>
      </c>
      <c r="B264" s="23" t="s">
        <v>101</v>
      </c>
      <c r="C264" s="23" t="s">
        <v>676</v>
      </c>
      <c r="D264" s="24">
        <v>1092857.1599000001</v>
      </c>
      <c r="E264" s="24">
        <v>3371508.0225</v>
      </c>
      <c r="F264" s="25">
        <f t="shared" si="4"/>
        <v>4464365.1824000003</v>
      </c>
      <c r="G264" s="26"/>
      <c r="H264" s="26"/>
      <c r="I264" s="28"/>
      <c r="J264" s="28"/>
      <c r="K264" s="28"/>
      <c r="L264" s="28"/>
      <c r="M264" s="26"/>
      <c r="N264" s="26"/>
      <c r="O264" s="28"/>
      <c r="P264" s="28"/>
      <c r="Q264" s="28"/>
    </row>
    <row r="265" spans="1:17" ht="18.75">
      <c r="A265" s="22">
        <v>260</v>
      </c>
      <c r="B265" s="23" t="s">
        <v>101</v>
      </c>
      <c r="C265" s="23" t="s">
        <v>678</v>
      </c>
      <c r="D265" s="24">
        <v>920810.69770000002</v>
      </c>
      <c r="E265" s="24">
        <v>2840737.8094000001</v>
      </c>
      <c r="F265" s="25">
        <f t="shared" si="4"/>
        <v>3761548.5071</v>
      </c>
      <c r="G265" s="26"/>
      <c r="H265" s="26"/>
      <c r="I265" s="28"/>
      <c r="J265" s="28"/>
      <c r="K265" s="28"/>
      <c r="L265" s="28"/>
      <c r="M265" s="26"/>
      <c r="N265" s="26"/>
      <c r="O265" s="28"/>
      <c r="P265" s="28"/>
      <c r="Q265" s="28"/>
    </row>
    <row r="266" spans="1:17" ht="18.75">
      <c r="A266" s="22">
        <v>261</v>
      </c>
      <c r="B266" s="23" t="s">
        <v>101</v>
      </c>
      <c r="C266" s="23" t="s">
        <v>680</v>
      </c>
      <c r="D266" s="24">
        <v>1246414.8753</v>
      </c>
      <c r="E266" s="24">
        <v>3845239.7126000002</v>
      </c>
      <c r="F266" s="25">
        <f t="shared" si="4"/>
        <v>5091654.5878999997</v>
      </c>
      <c r="G266" s="26"/>
      <c r="H266" s="26"/>
      <c r="I266" s="28"/>
      <c r="J266" s="28"/>
      <c r="K266" s="28"/>
      <c r="L266" s="28"/>
      <c r="M266" s="26"/>
      <c r="N266" s="26"/>
      <c r="O266" s="28"/>
      <c r="P266" s="28"/>
      <c r="Q266" s="28"/>
    </row>
    <row r="267" spans="1:17" ht="18.75">
      <c r="A267" s="22">
        <v>262</v>
      </c>
      <c r="B267" s="23" t="s">
        <v>101</v>
      </c>
      <c r="C267" s="23" t="s">
        <v>682</v>
      </c>
      <c r="D267" s="24">
        <v>1171675.7688</v>
      </c>
      <c r="E267" s="24">
        <v>3614666.5817</v>
      </c>
      <c r="F267" s="25">
        <f t="shared" si="4"/>
        <v>4786342.3504999997</v>
      </c>
      <c r="G267" s="26"/>
      <c r="H267" s="26"/>
      <c r="I267" s="28"/>
      <c r="J267" s="28"/>
      <c r="K267" s="28"/>
      <c r="L267" s="28"/>
      <c r="M267" s="26"/>
      <c r="N267" s="26"/>
      <c r="O267" s="28"/>
      <c r="P267" s="28"/>
      <c r="Q267" s="28"/>
    </row>
    <row r="268" spans="1:17" ht="18.75">
      <c r="A268" s="22">
        <v>263</v>
      </c>
      <c r="B268" s="23" t="s">
        <v>101</v>
      </c>
      <c r="C268" s="23" t="s">
        <v>684</v>
      </c>
      <c r="D268" s="24">
        <v>1132875.5351</v>
      </c>
      <c r="E268" s="24">
        <v>3494966.3097000001</v>
      </c>
      <c r="F268" s="25">
        <f t="shared" si="4"/>
        <v>4627841.8448000001</v>
      </c>
      <c r="G268" s="26"/>
      <c r="H268" s="26"/>
      <c r="I268" s="28"/>
      <c r="J268" s="28"/>
      <c r="K268" s="28"/>
      <c r="L268" s="28"/>
      <c r="M268" s="26"/>
      <c r="N268" s="26"/>
      <c r="O268" s="28"/>
      <c r="P268" s="28"/>
      <c r="Q268" s="28"/>
    </row>
    <row r="269" spans="1:17" ht="18.75">
      <c r="A269" s="22">
        <v>264</v>
      </c>
      <c r="B269" s="23" t="s">
        <v>101</v>
      </c>
      <c r="C269" s="23" t="s">
        <v>686</v>
      </c>
      <c r="D269" s="24">
        <v>1089223.8927</v>
      </c>
      <c r="E269" s="24">
        <v>3360299.2480000001</v>
      </c>
      <c r="F269" s="25">
        <f t="shared" si="4"/>
        <v>4449523.1407000003</v>
      </c>
      <c r="G269" s="26"/>
      <c r="H269" s="26"/>
      <c r="I269" s="28"/>
      <c r="J269" s="28"/>
      <c r="K269" s="28"/>
      <c r="L269" s="28"/>
      <c r="M269" s="26"/>
      <c r="N269" s="26"/>
      <c r="O269" s="28"/>
      <c r="P269" s="28"/>
      <c r="Q269" s="28"/>
    </row>
    <row r="270" spans="1:17" ht="18.75">
      <c r="A270" s="22">
        <v>265</v>
      </c>
      <c r="B270" s="23" t="s">
        <v>101</v>
      </c>
      <c r="C270" s="23" t="s">
        <v>688</v>
      </c>
      <c r="D270" s="24">
        <v>1099774.0231000001</v>
      </c>
      <c r="E270" s="24">
        <v>3392846.8220000002</v>
      </c>
      <c r="F270" s="25">
        <f t="shared" si="4"/>
        <v>4492620.8450999996</v>
      </c>
      <c r="G270" s="26"/>
      <c r="H270" s="26"/>
      <c r="I270" s="28"/>
      <c r="J270" s="28"/>
      <c r="K270" s="28"/>
      <c r="L270" s="28"/>
      <c r="M270" s="26"/>
      <c r="N270" s="26"/>
      <c r="O270" s="28"/>
      <c r="P270" s="28"/>
      <c r="Q270" s="28"/>
    </row>
    <row r="271" spans="1:17" ht="37.5">
      <c r="A271" s="22">
        <v>266</v>
      </c>
      <c r="B271" s="23" t="s">
        <v>101</v>
      </c>
      <c r="C271" s="23" t="s">
        <v>690</v>
      </c>
      <c r="D271" s="24">
        <v>1190304.4269000001</v>
      </c>
      <c r="E271" s="24">
        <v>3672136.7365999999</v>
      </c>
      <c r="F271" s="25">
        <f t="shared" si="4"/>
        <v>4862441.1634999998</v>
      </c>
      <c r="G271" s="26"/>
      <c r="H271" s="26"/>
      <c r="I271" s="28"/>
      <c r="J271" s="28"/>
      <c r="K271" s="28"/>
      <c r="L271" s="28"/>
      <c r="M271" s="26"/>
      <c r="N271" s="26"/>
      <c r="O271" s="28"/>
      <c r="P271" s="28"/>
      <c r="Q271" s="28"/>
    </row>
    <row r="272" spans="1:17" ht="37.5">
      <c r="A272" s="22">
        <v>267</v>
      </c>
      <c r="B272" s="23" t="s">
        <v>101</v>
      </c>
      <c r="C272" s="23" t="s">
        <v>692</v>
      </c>
      <c r="D272" s="24">
        <v>1083089.3573</v>
      </c>
      <c r="E272" s="24">
        <v>3341373.9608999998</v>
      </c>
      <c r="F272" s="25">
        <f t="shared" si="4"/>
        <v>4424463.3181999996</v>
      </c>
      <c r="G272" s="26"/>
      <c r="H272" s="26"/>
      <c r="I272" s="28"/>
      <c r="J272" s="28"/>
      <c r="K272" s="28"/>
      <c r="L272" s="28"/>
      <c r="M272" s="26"/>
      <c r="N272" s="26"/>
      <c r="O272" s="28"/>
      <c r="P272" s="28"/>
      <c r="Q272" s="28"/>
    </row>
    <row r="273" spans="1:17" ht="18.75">
      <c r="A273" s="22">
        <v>268</v>
      </c>
      <c r="B273" s="23" t="s">
        <v>101</v>
      </c>
      <c r="C273" s="23" t="s">
        <v>694</v>
      </c>
      <c r="D273" s="24">
        <v>1012869.9764</v>
      </c>
      <c r="E273" s="24">
        <v>3124744.3642000002</v>
      </c>
      <c r="F273" s="25">
        <f t="shared" si="4"/>
        <v>4137614.3406000002</v>
      </c>
      <c r="G273" s="26"/>
      <c r="H273" s="26"/>
      <c r="I273" s="28"/>
      <c r="J273" s="28"/>
      <c r="K273" s="28"/>
      <c r="L273" s="28"/>
      <c r="M273" s="26"/>
      <c r="N273" s="26"/>
      <c r="O273" s="28"/>
      <c r="P273" s="28"/>
      <c r="Q273" s="28"/>
    </row>
    <row r="274" spans="1:17" ht="18.75">
      <c r="A274" s="22">
        <v>269</v>
      </c>
      <c r="B274" s="23" t="s">
        <v>101</v>
      </c>
      <c r="C274" s="23" t="s">
        <v>696</v>
      </c>
      <c r="D274" s="24">
        <v>1060406.7804</v>
      </c>
      <c r="E274" s="24">
        <v>3271397.3047000002</v>
      </c>
      <c r="F274" s="25">
        <f t="shared" si="4"/>
        <v>4331804.0850999998</v>
      </c>
      <c r="G274" s="26"/>
      <c r="H274" s="26"/>
      <c r="I274" s="28"/>
      <c r="J274" s="28"/>
      <c r="K274" s="28"/>
      <c r="L274" s="28"/>
      <c r="M274" s="26"/>
      <c r="N274" s="26"/>
      <c r="O274" s="28"/>
      <c r="P274" s="28"/>
      <c r="Q274" s="28"/>
    </row>
    <row r="275" spans="1:17" ht="18.75">
      <c r="A275" s="22">
        <v>270</v>
      </c>
      <c r="B275" s="23" t="s">
        <v>101</v>
      </c>
      <c r="C275" s="23" t="s">
        <v>698</v>
      </c>
      <c r="D275" s="24">
        <v>1029580.6459</v>
      </c>
      <c r="E275" s="24">
        <v>3176297.4474999998</v>
      </c>
      <c r="F275" s="25">
        <f t="shared" si="4"/>
        <v>4205878.0933999997</v>
      </c>
      <c r="G275" s="26"/>
      <c r="H275" s="26"/>
      <c r="I275" s="28"/>
      <c r="J275" s="28"/>
      <c r="K275" s="28"/>
      <c r="L275" s="28"/>
      <c r="M275" s="26"/>
      <c r="N275" s="26"/>
      <c r="O275" s="28"/>
      <c r="P275" s="28"/>
      <c r="Q275" s="28"/>
    </row>
    <row r="276" spans="1:17" ht="18.75">
      <c r="A276" s="22">
        <v>271</v>
      </c>
      <c r="B276" s="23" t="s">
        <v>101</v>
      </c>
      <c r="C276" s="23" t="s">
        <v>700</v>
      </c>
      <c r="D276" s="24">
        <v>1333441.6239</v>
      </c>
      <c r="E276" s="24">
        <v>4113720.7108</v>
      </c>
      <c r="F276" s="25">
        <f t="shared" si="4"/>
        <v>5447162.3346999995</v>
      </c>
      <c r="G276" s="26"/>
      <c r="H276" s="26"/>
      <c r="I276" s="28"/>
      <c r="J276" s="28"/>
      <c r="K276" s="28"/>
      <c r="L276" s="28"/>
      <c r="M276" s="26"/>
      <c r="N276" s="26"/>
      <c r="O276" s="28"/>
      <c r="P276" s="28"/>
      <c r="Q276" s="28"/>
    </row>
    <row r="277" spans="1:17" ht="18.75">
      <c r="A277" s="22">
        <v>272</v>
      </c>
      <c r="B277" s="23" t="s">
        <v>101</v>
      </c>
      <c r="C277" s="23" t="s">
        <v>701</v>
      </c>
      <c r="D277" s="24">
        <v>914928.5159</v>
      </c>
      <c r="E277" s="24">
        <v>2822591.0433999998</v>
      </c>
      <c r="F277" s="25">
        <f t="shared" si="4"/>
        <v>3737519.5592999998</v>
      </c>
      <c r="G277" s="26"/>
      <c r="H277" s="26"/>
      <c r="I277" s="28"/>
      <c r="J277" s="28"/>
      <c r="K277" s="28"/>
      <c r="L277" s="28"/>
      <c r="M277" s="26"/>
      <c r="N277" s="26"/>
      <c r="O277" s="28"/>
      <c r="P277" s="28"/>
      <c r="Q277" s="28"/>
    </row>
    <row r="278" spans="1:17" ht="18.75">
      <c r="A278" s="22">
        <v>273</v>
      </c>
      <c r="B278" s="23" t="s">
        <v>101</v>
      </c>
      <c r="C278" s="23" t="s">
        <v>703</v>
      </c>
      <c r="D278" s="24">
        <v>1012677.9065</v>
      </c>
      <c r="E278" s="24">
        <v>3124151.821</v>
      </c>
      <c r="F278" s="25">
        <f t="shared" si="4"/>
        <v>4136829.7275</v>
      </c>
      <c r="G278" s="26"/>
      <c r="H278" s="26"/>
      <c r="I278" s="28"/>
      <c r="J278" s="28"/>
      <c r="K278" s="28"/>
      <c r="L278" s="28"/>
      <c r="M278" s="26"/>
      <c r="N278" s="26"/>
      <c r="O278" s="28"/>
      <c r="P278" s="28"/>
      <c r="Q278" s="28"/>
    </row>
    <row r="279" spans="1:17" ht="18.75">
      <c r="A279" s="22">
        <v>274</v>
      </c>
      <c r="B279" s="23" t="s">
        <v>101</v>
      </c>
      <c r="C279" s="23" t="s">
        <v>705</v>
      </c>
      <c r="D279" s="24">
        <v>1149882.2601999999</v>
      </c>
      <c r="E279" s="24">
        <v>3547432.7363</v>
      </c>
      <c r="F279" s="25">
        <f t="shared" si="4"/>
        <v>4697314.9965000004</v>
      </c>
      <c r="G279" s="26"/>
      <c r="H279" s="26"/>
      <c r="I279" s="28"/>
      <c r="J279" s="28"/>
      <c r="K279" s="28"/>
      <c r="L279" s="28"/>
      <c r="M279" s="26"/>
      <c r="N279" s="26"/>
      <c r="O279" s="28"/>
      <c r="P279" s="28"/>
      <c r="Q279" s="28"/>
    </row>
    <row r="280" spans="1:17" ht="18.75">
      <c r="A280" s="22">
        <v>275</v>
      </c>
      <c r="B280" s="23" t="s">
        <v>101</v>
      </c>
      <c r="C280" s="23" t="s">
        <v>707</v>
      </c>
      <c r="D280" s="24">
        <v>952261.4325</v>
      </c>
      <c r="E280" s="24">
        <v>2937764.5836</v>
      </c>
      <c r="F280" s="25">
        <f t="shared" si="4"/>
        <v>3890026.0161000001</v>
      </c>
      <c r="G280" s="26"/>
      <c r="H280" s="26"/>
      <c r="I280" s="28"/>
      <c r="J280" s="28"/>
      <c r="K280" s="28"/>
      <c r="L280" s="28"/>
      <c r="M280" s="26"/>
      <c r="N280" s="26"/>
      <c r="O280" s="28"/>
      <c r="P280" s="28"/>
      <c r="Q280" s="28"/>
    </row>
    <row r="281" spans="1:17" ht="18.75">
      <c r="A281" s="22">
        <v>276</v>
      </c>
      <c r="B281" s="23" t="s">
        <v>102</v>
      </c>
      <c r="C281" s="23" t="s">
        <v>712</v>
      </c>
      <c r="D281" s="24">
        <v>1519349.885</v>
      </c>
      <c r="E281" s="24">
        <v>4687255.1273999996</v>
      </c>
      <c r="F281" s="25">
        <f t="shared" si="4"/>
        <v>6206605.0124000004</v>
      </c>
      <c r="G281" s="26"/>
      <c r="H281" s="26"/>
      <c r="I281" s="28"/>
      <c r="J281" s="28"/>
      <c r="K281" s="28"/>
      <c r="L281" s="28"/>
      <c r="M281" s="26"/>
      <c r="N281" s="26"/>
      <c r="O281" s="28"/>
      <c r="P281" s="28"/>
      <c r="Q281" s="28"/>
    </row>
    <row r="282" spans="1:17" ht="18.75">
      <c r="A282" s="22">
        <v>277</v>
      </c>
      <c r="B282" s="23" t="s">
        <v>102</v>
      </c>
      <c r="C282" s="23" t="s">
        <v>714</v>
      </c>
      <c r="D282" s="24">
        <v>1103401.2572000001</v>
      </c>
      <c r="E282" s="24">
        <v>3404036.9841999998</v>
      </c>
      <c r="F282" s="25">
        <f t="shared" si="4"/>
        <v>4507438.2413999997</v>
      </c>
      <c r="G282" s="26"/>
      <c r="H282" s="26"/>
      <c r="I282" s="28"/>
      <c r="J282" s="28"/>
      <c r="K282" s="28"/>
      <c r="L282" s="28"/>
      <c r="M282" s="26"/>
      <c r="N282" s="26"/>
      <c r="O282" s="28"/>
      <c r="P282" s="28"/>
      <c r="Q282" s="28"/>
    </row>
    <row r="283" spans="1:17" ht="18.75">
      <c r="A283" s="22">
        <v>278</v>
      </c>
      <c r="B283" s="23" t="s">
        <v>102</v>
      </c>
      <c r="C283" s="23" t="s">
        <v>716</v>
      </c>
      <c r="D283" s="24">
        <v>1110549.1228</v>
      </c>
      <c r="E283" s="24">
        <v>3426088.4352000002</v>
      </c>
      <c r="F283" s="25">
        <f t="shared" si="4"/>
        <v>4536637.5580000002</v>
      </c>
      <c r="G283" s="26"/>
      <c r="H283" s="26"/>
      <c r="I283" s="28"/>
      <c r="J283" s="28"/>
      <c r="K283" s="28"/>
      <c r="L283" s="28"/>
      <c r="M283" s="26"/>
      <c r="N283" s="26"/>
      <c r="O283" s="28"/>
      <c r="P283" s="28"/>
      <c r="Q283" s="28"/>
    </row>
    <row r="284" spans="1:17" ht="18.75">
      <c r="A284" s="22">
        <v>279</v>
      </c>
      <c r="B284" s="23" t="s">
        <v>102</v>
      </c>
      <c r="C284" s="23" t="s">
        <v>718</v>
      </c>
      <c r="D284" s="24">
        <v>1210093.125</v>
      </c>
      <c r="E284" s="24">
        <v>3733185.6611000001</v>
      </c>
      <c r="F284" s="25">
        <f t="shared" si="4"/>
        <v>4943278.7861000001</v>
      </c>
      <c r="G284" s="26"/>
      <c r="H284" s="26"/>
      <c r="I284" s="28"/>
      <c r="J284" s="28"/>
      <c r="K284" s="28"/>
      <c r="L284" s="28"/>
      <c r="M284" s="26"/>
      <c r="N284" s="26"/>
      <c r="O284" s="28"/>
      <c r="P284" s="28"/>
      <c r="Q284" s="28"/>
    </row>
    <row r="285" spans="1:17" ht="18.75">
      <c r="A285" s="22">
        <v>280</v>
      </c>
      <c r="B285" s="23" t="s">
        <v>102</v>
      </c>
      <c r="C285" s="23" t="s">
        <v>720</v>
      </c>
      <c r="D285" s="24">
        <v>1176981.1749</v>
      </c>
      <c r="E285" s="24">
        <v>3631033.9714000002</v>
      </c>
      <c r="F285" s="25">
        <f t="shared" si="4"/>
        <v>4808015.1463000001</v>
      </c>
      <c r="G285" s="26"/>
      <c r="H285" s="26"/>
      <c r="I285" s="28"/>
      <c r="J285" s="28"/>
      <c r="K285" s="28"/>
      <c r="L285" s="28"/>
      <c r="M285" s="26"/>
      <c r="N285" s="26"/>
      <c r="O285" s="28"/>
      <c r="P285" s="28"/>
      <c r="Q285" s="28"/>
    </row>
    <row r="286" spans="1:17" ht="18.75">
      <c r="A286" s="22">
        <v>281</v>
      </c>
      <c r="B286" s="23" t="s">
        <v>102</v>
      </c>
      <c r="C286" s="23" t="s">
        <v>102</v>
      </c>
      <c r="D286" s="24">
        <v>1281582.9887000001</v>
      </c>
      <c r="E286" s="24">
        <v>3953734.7481</v>
      </c>
      <c r="F286" s="25">
        <f t="shared" si="4"/>
        <v>5235317.7368000001</v>
      </c>
      <c r="G286" s="26"/>
      <c r="H286" s="26"/>
      <c r="I286" s="28"/>
      <c r="J286" s="28"/>
      <c r="K286" s="28"/>
      <c r="L286" s="28"/>
      <c r="M286" s="26"/>
      <c r="N286" s="26"/>
      <c r="O286" s="28"/>
      <c r="P286" s="28"/>
      <c r="Q286" s="28"/>
    </row>
    <row r="287" spans="1:17" ht="18.75">
      <c r="A287" s="22">
        <v>282</v>
      </c>
      <c r="B287" s="23" t="s">
        <v>102</v>
      </c>
      <c r="C287" s="23" t="s">
        <v>723</v>
      </c>
      <c r="D287" s="24">
        <v>1004879.4907</v>
      </c>
      <c r="E287" s="24">
        <v>3100093.3961999998</v>
      </c>
      <c r="F287" s="25">
        <f t="shared" si="4"/>
        <v>4104972.8868999998</v>
      </c>
      <c r="G287" s="26"/>
      <c r="H287" s="26"/>
      <c r="I287" s="28"/>
      <c r="J287" s="28"/>
      <c r="K287" s="28"/>
      <c r="L287" s="28"/>
      <c r="M287" s="26"/>
      <c r="N287" s="26"/>
      <c r="O287" s="28"/>
      <c r="P287" s="28"/>
      <c r="Q287" s="28"/>
    </row>
    <row r="288" spans="1:17" ht="18.75">
      <c r="A288" s="22">
        <v>283</v>
      </c>
      <c r="B288" s="23" t="s">
        <v>102</v>
      </c>
      <c r="C288" s="23" t="s">
        <v>725</v>
      </c>
      <c r="D288" s="24">
        <v>1077918.3540000001</v>
      </c>
      <c r="E288" s="24">
        <v>3325421.2091999999</v>
      </c>
      <c r="F288" s="25">
        <f t="shared" si="4"/>
        <v>4403339.5631999997</v>
      </c>
      <c r="G288" s="26"/>
      <c r="H288" s="26"/>
      <c r="I288" s="28"/>
      <c r="J288" s="28"/>
      <c r="K288" s="28"/>
      <c r="L288" s="28"/>
      <c r="M288" s="26"/>
      <c r="N288" s="26"/>
      <c r="O288" s="28"/>
      <c r="P288" s="28"/>
      <c r="Q288" s="28"/>
    </row>
    <row r="289" spans="1:17" ht="18.75">
      <c r="A289" s="22">
        <v>284</v>
      </c>
      <c r="B289" s="23" t="s">
        <v>102</v>
      </c>
      <c r="C289" s="23" t="s">
        <v>727</v>
      </c>
      <c r="D289" s="24">
        <v>982719.33129999996</v>
      </c>
      <c r="E289" s="24">
        <v>3031728.4186999998</v>
      </c>
      <c r="F289" s="25">
        <f t="shared" si="4"/>
        <v>4014447.75</v>
      </c>
      <c r="G289" s="26"/>
      <c r="H289" s="26"/>
      <c r="I289" s="28"/>
      <c r="J289" s="28"/>
      <c r="K289" s="28"/>
      <c r="L289" s="28"/>
      <c r="M289" s="26"/>
      <c r="N289" s="26"/>
      <c r="O289" s="28"/>
      <c r="P289" s="28"/>
      <c r="Q289" s="28"/>
    </row>
    <row r="290" spans="1:17" ht="18.75">
      <c r="A290" s="22">
        <v>285</v>
      </c>
      <c r="B290" s="23" t="s">
        <v>102</v>
      </c>
      <c r="C290" s="23" t="s">
        <v>729</v>
      </c>
      <c r="D290" s="24">
        <v>931984.87959999999</v>
      </c>
      <c r="E290" s="24">
        <v>2875210.6072999998</v>
      </c>
      <c r="F290" s="25">
        <f t="shared" si="4"/>
        <v>3807195.4868999999</v>
      </c>
      <c r="G290" s="26"/>
      <c r="H290" s="26"/>
      <c r="I290" s="28"/>
      <c r="J290" s="28"/>
      <c r="K290" s="28"/>
      <c r="L290" s="28"/>
      <c r="M290" s="26"/>
      <c r="N290" s="26"/>
      <c r="O290" s="28"/>
      <c r="P290" s="28"/>
      <c r="Q290" s="28"/>
    </row>
    <row r="291" spans="1:17" ht="18.75">
      <c r="A291" s="22">
        <v>286</v>
      </c>
      <c r="B291" s="23" t="s">
        <v>102</v>
      </c>
      <c r="C291" s="23" t="s">
        <v>731</v>
      </c>
      <c r="D291" s="24">
        <v>1272008.2138</v>
      </c>
      <c r="E291" s="24">
        <v>3924196.1849000002</v>
      </c>
      <c r="F291" s="25">
        <f t="shared" si="4"/>
        <v>5196204.3986999998</v>
      </c>
      <c r="G291" s="26"/>
      <c r="H291" s="26"/>
      <c r="I291" s="28"/>
      <c r="J291" s="28"/>
      <c r="K291" s="28"/>
      <c r="L291" s="28"/>
      <c r="M291" s="26"/>
      <c r="N291" s="26"/>
      <c r="O291" s="28"/>
      <c r="P291" s="28"/>
      <c r="Q291" s="28"/>
    </row>
    <row r="292" spans="1:17" ht="18.75">
      <c r="A292" s="22">
        <v>287</v>
      </c>
      <c r="B292" s="23" t="s">
        <v>103</v>
      </c>
      <c r="C292" s="23" t="s">
        <v>736</v>
      </c>
      <c r="D292" s="24">
        <v>994323.95550000004</v>
      </c>
      <c r="E292" s="24">
        <v>3067529.1483</v>
      </c>
      <c r="F292" s="25">
        <f t="shared" si="4"/>
        <v>4061853.1038000002</v>
      </c>
      <c r="G292" s="26"/>
      <c r="H292" s="26"/>
      <c r="I292" s="28"/>
      <c r="J292" s="28"/>
      <c r="K292" s="28"/>
      <c r="L292" s="28"/>
      <c r="M292" s="26"/>
      <c r="N292" s="26"/>
      <c r="O292" s="28"/>
      <c r="P292" s="28"/>
      <c r="Q292" s="28"/>
    </row>
    <row r="293" spans="1:17" ht="18.75">
      <c r="A293" s="22">
        <v>288</v>
      </c>
      <c r="B293" s="23" t="s">
        <v>103</v>
      </c>
      <c r="C293" s="23" t="s">
        <v>738</v>
      </c>
      <c r="D293" s="24">
        <v>935708.96239999996</v>
      </c>
      <c r="E293" s="24">
        <v>2886699.5515999999</v>
      </c>
      <c r="F293" s="25">
        <f t="shared" si="4"/>
        <v>3822408.514</v>
      </c>
      <c r="G293" s="26"/>
      <c r="H293" s="26"/>
      <c r="I293" s="28"/>
      <c r="J293" s="28"/>
      <c r="K293" s="28"/>
      <c r="L293" s="28"/>
      <c r="M293" s="26"/>
      <c r="N293" s="26"/>
      <c r="O293" s="28"/>
      <c r="P293" s="28"/>
      <c r="Q293" s="28"/>
    </row>
    <row r="294" spans="1:17" ht="18.75">
      <c r="A294" s="22">
        <v>289</v>
      </c>
      <c r="B294" s="23" t="s">
        <v>103</v>
      </c>
      <c r="C294" s="23" t="s">
        <v>740</v>
      </c>
      <c r="D294" s="24">
        <v>859626.07160000002</v>
      </c>
      <c r="E294" s="24">
        <v>2651980.7922999999</v>
      </c>
      <c r="F294" s="25">
        <f t="shared" si="4"/>
        <v>3511606.8639000002</v>
      </c>
      <c r="G294" s="26"/>
      <c r="H294" s="26"/>
      <c r="I294" s="28"/>
      <c r="J294" s="28"/>
      <c r="K294" s="28"/>
      <c r="L294" s="28"/>
      <c r="M294" s="26"/>
      <c r="N294" s="26"/>
      <c r="O294" s="28"/>
      <c r="P294" s="28"/>
      <c r="Q294" s="28"/>
    </row>
    <row r="295" spans="1:17" ht="37.5">
      <c r="A295" s="22">
        <v>290</v>
      </c>
      <c r="B295" s="23" t="s">
        <v>103</v>
      </c>
      <c r="C295" s="23" t="s">
        <v>742</v>
      </c>
      <c r="D295" s="24">
        <v>914278.6398</v>
      </c>
      <c r="E295" s="24">
        <v>2820586.1499000001</v>
      </c>
      <c r="F295" s="25">
        <f t="shared" si="4"/>
        <v>3734864.7897000001</v>
      </c>
      <c r="G295" s="26"/>
      <c r="H295" s="26"/>
      <c r="I295" s="28"/>
      <c r="J295" s="28"/>
      <c r="K295" s="28"/>
      <c r="L295" s="28"/>
      <c r="M295" s="26"/>
      <c r="N295" s="26"/>
      <c r="O295" s="28"/>
      <c r="P295" s="28"/>
      <c r="Q295" s="28"/>
    </row>
    <row r="296" spans="1:17" ht="18.75">
      <c r="A296" s="22">
        <v>291</v>
      </c>
      <c r="B296" s="23" t="s">
        <v>103</v>
      </c>
      <c r="C296" s="23" t="s">
        <v>744</v>
      </c>
      <c r="D296" s="24">
        <v>980386.75390000001</v>
      </c>
      <c r="E296" s="24">
        <v>3024532.3243999998</v>
      </c>
      <c r="F296" s="25">
        <f t="shared" si="4"/>
        <v>4004919.0783000002</v>
      </c>
      <c r="G296" s="26"/>
      <c r="H296" s="26"/>
      <c r="I296" s="28"/>
      <c r="J296" s="28"/>
      <c r="K296" s="28"/>
      <c r="L296" s="28"/>
      <c r="M296" s="26"/>
      <c r="N296" s="26"/>
      <c r="O296" s="28"/>
      <c r="P296" s="28"/>
      <c r="Q296" s="28"/>
    </row>
    <row r="297" spans="1:17" ht="18.75">
      <c r="A297" s="22">
        <v>292</v>
      </c>
      <c r="B297" s="23" t="s">
        <v>103</v>
      </c>
      <c r="C297" s="23" t="s">
        <v>746</v>
      </c>
      <c r="D297" s="24">
        <v>983669.5527</v>
      </c>
      <c r="E297" s="24">
        <v>3034659.8898999998</v>
      </c>
      <c r="F297" s="25">
        <f t="shared" si="4"/>
        <v>4018329.4426000002</v>
      </c>
      <c r="G297" s="26"/>
      <c r="H297" s="26"/>
      <c r="I297" s="28"/>
      <c r="J297" s="28"/>
      <c r="K297" s="28"/>
      <c r="L297" s="28"/>
      <c r="M297" s="26"/>
      <c r="N297" s="26"/>
      <c r="O297" s="28"/>
      <c r="P297" s="28"/>
      <c r="Q297" s="28"/>
    </row>
    <row r="298" spans="1:17" ht="18.75">
      <c r="A298" s="22">
        <v>293</v>
      </c>
      <c r="B298" s="23" t="s">
        <v>103</v>
      </c>
      <c r="C298" s="23" t="s">
        <v>748</v>
      </c>
      <c r="D298" s="24">
        <v>880436.13049999997</v>
      </c>
      <c r="E298" s="24">
        <v>2716180.6557999998</v>
      </c>
      <c r="F298" s="25">
        <f t="shared" si="4"/>
        <v>3596616.7862999998</v>
      </c>
      <c r="G298" s="26"/>
      <c r="H298" s="26"/>
      <c r="I298" s="28"/>
      <c r="J298" s="28"/>
      <c r="K298" s="28"/>
      <c r="L298" s="28"/>
      <c r="M298" s="26"/>
      <c r="N298" s="26"/>
      <c r="O298" s="28"/>
      <c r="P298" s="28"/>
      <c r="Q298" s="28"/>
    </row>
    <row r="299" spans="1:17" ht="18.75">
      <c r="A299" s="22">
        <v>294</v>
      </c>
      <c r="B299" s="23" t="s">
        <v>103</v>
      </c>
      <c r="C299" s="23" t="s">
        <v>750</v>
      </c>
      <c r="D299" s="24">
        <v>932564.20889999997</v>
      </c>
      <c r="E299" s="24">
        <v>2876997.8613999998</v>
      </c>
      <c r="F299" s="25">
        <f t="shared" si="4"/>
        <v>3809562.0702999998</v>
      </c>
      <c r="G299" s="26"/>
      <c r="H299" s="26"/>
      <c r="I299" s="28"/>
      <c r="J299" s="28"/>
      <c r="K299" s="28"/>
      <c r="L299" s="28"/>
      <c r="M299" s="26"/>
      <c r="N299" s="26"/>
      <c r="O299" s="28"/>
      <c r="P299" s="28"/>
      <c r="Q299" s="28"/>
    </row>
    <row r="300" spans="1:17" ht="18.75">
      <c r="A300" s="22">
        <v>295</v>
      </c>
      <c r="B300" s="23" t="s">
        <v>103</v>
      </c>
      <c r="C300" s="23" t="s">
        <v>752</v>
      </c>
      <c r="D300" s="24">
        <v>1049210.1583</v>
      </c>
      <c r="E300" s="24">
        <v>3236855.2777999998</v>
      </c>
      <c r="F300" s="25">
        <f t="shared" si="4"/>
        <v>4286065.4360999996</v>
      </c>
      <c r="G300" s="26"/>
      <c r="H300" s="26"/>
      <c r="I300" s="28"/>
      <c r="J300" s="28"/>
      <c r="K300" s="28"/>
      <c r="L300" s="28"/>
      <c r="M300" s="26"/>
      <c r="N300" s="26"/>
      <c r="O300" s="28"/>
      <c r="P300" s="28"/>
      <c r="Q300" s="28"/>
    </row>
    <row r="301" spans="1:17" ht="18.75">
      <c r="A301" s="22">
        <v>296</v>
      </c>
      <c r="B301" s="23" t="s">
        <v>103</v>
      </c>
      <c r="C301" s="23" t="s">
        <v>754</v>
      </c>
      <c r="D301" s="24">
        <v>927354.93660000002</v>
      </c>
      <c r="E301" s="24">
        <v>2860927.0480999998</v>
      </c>
      <c r="F301" s="25">
        <f t="shared" si="4"/>
        <v>3788281.9846999999</v>
      </c>
      <c r="G301" s="26"/>
      <c r="H301" s="26"/>
      <c r="I301" s="28"/>
      <c r="J301" s="28"/>
      <c r="K301" s="28"/>
      <c r="L301" s="28"/>
      <c r="M301" s="26"/>
      <c r="N301" s="26"/>
      <c r="O301" s="28"/>
      <c r="P301" s="28"/>
      <c r="Q301" s="28"/>
    </row>
    <row r="302" spans="1:17" ht="18.75">
      <c r="A302" s="22">
        <v>297</v>
      </c>
      <c r="B302" s="23" t="s">
        <v>103</v>
      </c>
      <c r="C302" s="23" t="s">
        <v>756</v>
      </c>
      <c r="D302" s="24">
        <v>1143853.3936999999</v>
      </c>
      <c r="E302" s="24">
        <v>3528833.4421000001</v>
      </c>
      <c r="F302" s="25">
        <f t="shared" si="4"/>
        <v>4672686.8357999995</v>
      </c>
      <c r="G302" s="26"/>
      <c r="H302" s="26"/>
      <c r="I302" s="28"/>
      <c r="J302" s="28"/>
      <c r="K302" s="28"/>
      <c r="L302" s="28"/>
      <c r="M302" s="26"/>
      <c r="N302" s="26"/>
      <c r="O302" s="28"/>
      <c r="P302" s="28"/>
      <c r="Q302" s="28"/>
    </row>
    <row r="303" spans="1:17" ht="18.75">
      <c r="A303" s="22">
        <v>298</v>
      </c>
      <c r="B303" s="23" t="s">
        <v>103</v>
      </c>
      <c r="C303" s="23" t="s">
        <v>758</v>
      </c>
      <c r="D303" s="24">
        <v>971469.40590000001</v>
      </c>
      <c r="E303" s="24">
        <v>2997021.9493999998</v>
      </c>
      <c r="F303" s="25">
        <f t="shared" si="4"/>
        <v>3968491.3552999999</v>
      </c>
      <c r="G303" s="26"/>
      <c r="H303" s="26"/>
      <c r="I303" s="28"/>
      <c r="J303" s="28"/>
      <c r="K303" s="28"/>
      <c r="L303" s="28"/>
      <c r="M303" s="26"/>
      <c r="N303" s="26"/>
      <c r="O303" s="28"/>
      <c r="P303" s="28"/>
      <c r="Q303" s="28"/>
    </row>
    <row r="304" spans="1:17" ht="18.75">
      <c r="A304" s="22">
        <v>299</v>
      </c>
      <c r="B304" s="23" t="s">
        <v>103</v>
      </c>
      <c r="C304" s="23" t="s">
        <v>760</v>
      </c>
      <c r="D304" s="24">
        <v>877600.30859999999</v>
      </c>
      <c r="E304" s="24">
        <v>2707432.0318999998</v>
      </c>
      <c r="F304" s="25">
        <f t="shared" si="4"/>
        <v>3585032.3404999999</v>
      </c>
      <c r="G304" s="26"/>
      <c r="H304" s="26"/>
      <c r="I304" s="28"/>
      <c r="J304" s="28"/>
      <c r="K304" s="28"/>
      <c r="L304" s="28"/>
      <c r="M304" s="26"/>
      <c r="N304" s="26"/>
      <c r="O304" s="28"/>
      <c r="P304" s="28"/>
      <c r="Q304" s="28"/>
    </row>
    <row r="305" spans="1:17" ht="18.75">
      <c r="A305" s="22">
        <v>300</v>
      </c>
      <c r="B305" s="23" t="s">
        <v>103</v>
      </c>
      <c r="C305" s="23" t="s">
        <v>762</v>
      </c>
      <c r="D305" s="24">
        <v>854048.04590000003</v>
      </c>
      <c r="E305" s="24">
        <v>2634772.3599</v>
      </c>
      <c r="F305" s="25">
        <f t="shared" si="4"/>
        <v>3488820.4057999998</v>
      </c>
      <c r="G305" s="26"/>
      <c r="H305" s="26"/>
      <c r="I305" s="28"/>
      <c r="J305" s="28"/>
      <c r="K305" s="28"/>
      <c r="L305" s="28"/>
      <c r="M305" s="26"/>
      <c r="N305" s="26"/>
      <c r="O305" s="28"/>
      <c r="P305" s="28"/>
      <c r="Q305" s="28"/>
    </row>
    <row r="306" spans="1:17" ht="18.75">
      <c r="A306" s="22">
        <v>301</v>
      </c>
      <c r="B306" s="23" t="s">
        <v>103</v>
      </c>
      <c r="C306" s="23" t="s">
        <v>764</v>
      </c>
      <c r="D306" s="24">
        <v>760821.42859999998</v>
      </c>
      <c r="E306" s="24">
        <v>2347164.5191000002</v>
      </c>
      <c r="F306" s="25">
        <f t="shared" si="4"/>
        <v>3107985.9476999999</v>
      </c>
      <c r="G306" s="26"/>
      <c r="H306" s="26"/>
      <c r="I306" s="28"/>
      <c r="J306" s="28"/>
      <c r="K306" s="28"/>
      <c r="L306" s="28"/>
      <c r="M306" s="26"/>
      <c r="N306" s="26"/>
      <c r="O306" s="28"/>
      <c r="P306" s="28"/>
      <c r="Q306" s="28"/>
    </row>
    <row r="307" spans="1:17" ht="18.75">
      <c r="A307" s="22">
        <v>302</v>
      </c>
      <c r="B307" s="23" t="s">
        <v>103</v>
      </c>
      <c r="C307" s="23" t="s">
        <v>766</v>
      </c>
      <c r="D307" s="24">
        <v>824720.49190000002</v>
      </c>
      <c r="E307" s="24">
        <v>2544295.6836999999</v>
      </c>
      <c r="F307" s="25">
        <f t="shared" si="4"/>
        <v>3369016.1756000002</v>
      </c>
      <c r="G307" s="26"/>
      <c r="H307" s="26"/>
      <c r="I307" s="28"/>
      <c r="J307" s="28"/>
      <c r="K307" s="28"/>
      <c r="L307" s="28"/>
      <c r="M307" s="26"/>
      <c r="N307" s="26"/>
      <c r="O307" s="28"/>
      <c r="P307" s="28"/>
      <c r="Q307" s="28"/>
    </row>
    <row r="308" spans="1:17" ht="18.75">
      <c r="A308" s="22">
        <v>303</v>
      </c>
      <c r="B308" s="23" t="s">
        <v>103</v>
      </c>
      <c r="C308" s="23" t="s">
        <v>768</v>
      </c>
      <c r="D308" s="24">
        <v>968192.27450000006</v>
      </c>
      <c r="E308" s="24">
        <v>2986911.8679999998</v>
      </c>
      <c r="F308" s="25">
        <f t="shared" si="4"/>
        <v>3955104.1425000001</v>
      </c>
      <c r="G308" s="26"/>
      <c r="H308" s="26"/>
      <c r="I308" s="28"/>
      <c r="J308" s="28"/>
      <c r="K308" s="28"/>
      <c r="L308" s="28"/>
      <c r="M308" s="26"/>
      <c r="N308" s="26"/>
      <c r="O308" s="28"/>
      <c r="P308" s="28"/>
      <c r="Q308" s="28"/>
    </row>
    <row r="309" spans="1:17" ht="18.75">
      <c r="A309" s="22">
        <v>304</v>
      </c>
      <c r="B309" s="23" t="s">
        <v>103</v>
      </c>
      <c r="C309" s="23" t="s">
        <v>770</v>
      </c>
      <c r="D309" s="24">
        <v>1047954.2094000001</v>
      </c>
      <c r="E309" s="24">
        <v>3232980.6253</v>
      </c>
      <c r="F309" s="25">
        <f t="shared" si="4"/>
        <v>4280934.8346999995</v>
      </c>
      <c r="G309" s="26"/>
      <c r="H309" s="26"/>
      <c r="I309" s="28"/>
      <c r="J309" s="28"/>
      <c r="K309" s="28"/>
      <c r="L309" s="28"/>
      <c r="M309" s="26"/>
      <c r="N309" s="26"/>
      <c r="O309" s="28"/>
      <c r="P309" s="28"/>
      <c r="Q309" s="28"/>
    </row>
    <row r="310" spans="1:17" ht="18.75">
      <c r="A310" s="22">
        <v>305</v>
      </c>
      <c r="B310" s="23" t="s">
        <v>103</v>
      </c>
      <c r="C310" s="23" t="s">
        <v>772</v>
      </c>
      <c r="D310" s="24">
        <v>918161.23210000002</v>
      </c>
      <c r="E310" s="24">
        <v>2832564.1020999998</v>
      </c>
      <c r="F310" s="25">
        <f t="shared" si="4"/>
        <v>3750725.3341999999</v>
      </c>
      <c r="G310" s="26"/>
      <c r="H310" s="26"/>
      <c r="I310" s="28"/>
      <c r="J310" s="28"/>
      <c r="K310" s="28"/>
      <c r="L310" s="28"/>
      <c r="M310" s="26"/>
      <c r="N310" s="26"/>
      <c r="O310" s="28"/>
      <c r="P310" s="28"/>
      <c r="Q310" s="28"/>
    </row>
    <row r="311" spans="1:17" ht="18.75">
      <c r="A311" s="22">
        <v>306</v>
      </c>
      <c r="B311" s="23" t="s">
        <v>103</v>
      </c>
      <c r="C311" s="23" t="s">
        <v>774</v>
      </c>
      <c r="D311" s="24">
        <v>815690.08230000001</v>
      </c>
      <c r="E311" s="24">
        <v>2516436.5092000002</v>
      </c>
      <c r="F311" s="25">
        <f t="shared" si="4"/>
        <v>3332126.5915000001</v>
      </c>
      <c r="G311" s="26"/>
      <c r="H311" s="26"/>
      <c r="I311" s="28"/>
      <c r="J311" s="28"/>
      <c r="K311" s="28"/>
      <c r="L311" s="28"/>
      <c r="M311" s="26"/>
      <c r="N311" s="26"/>
      <c r="O311" s="28"/>
      <c r="P311" s="28"/>
      <c r="Q311" s="28"/>
    </row>
    <row r="312" spans="1:17" ht="18.75">
      <c r="A312" s="22">
        <v>307</v>
      </c>
      <c r="B312" s="23" t="s">
        <v>103</v>
      </c>
      <c r="C312" s="23" t="s">
        <v>776</v>
      </c>
      <c r="D312" s="24">
        <v>897147.00509999995</v>
      </c>
      <c r="E312" s="24">
        <v>2767734.3717999998</v>
      </c>
      <c r="F312" s="25">
        <f t="shared" si="4"/>
        <v>3664881.3769</v>
      </c>
      <c r="G312" s="26"/>
      <c r="H312" s="26"/>
      <c r="I312" s="28"/>
      <c r="J312" s="28"/>
      <c r="K312" s="28"/>
      <c r="L312" s="28"/>
      <c r="M312" s="26"/>
      <c r="N312" s="26"/>
      <c r="O312" s="28"/>
      <c r="P312" s="28"/>
      <c r="Q312" s="28"/>
    </row>
    <row r="313" spans="1:17" ht="18.75">
      <c r="A313" s="22">
        <v>308</v>
      </c>
      <c r="B313" s="23" t="s">
        <v>103</v>
      </c>
      <c r="C313" s="23" t="s">
        <v>778</v>
      </c>
      <c r="D313" s="24">
        <v>872729.45530000003</v>
      </c>
      <c r="E313" s="24">
        <v>2692405.2548000002</v>
      </c>
      <c r="F313" s="25">
        <f t="shared" si="4"/>
        <v>3565134.7100999998</v>
      </c>
      <c r="G313" s="26"/>
      <c r="H313" s="26"/>
      <c r="I313" s="28"/>
      <c r="J313" s="28"/>
      <c r="K313" s="28"/>
      <c r="L313" s="28"/>
      <c r="M313" s="26"/>
      <c r="N313" s="26"/>
      <c r="O313" s="28"/>
      <c r="P313" s="28"/>
      <c r="Q313" s="28"/>
    </row>
    <row r="314" spans="1:17" ht="18.75">
      <c r="A314" s="22">
        <v>309</v>
      </c>
      <c r="B314" s="23" t="s">
        <v>103</v>
      </c>
      <c r="C314" s="23" t="s">
        <v>780</v>
      </c>
      <c r="D314" s="24">
        <v>844154.59739999997</v>
      </c>
      <c r="E314" s="24">
        <v>2604250.6759000001</v>
      </c>
      <c r="F314" s="25">
        <f t="shared" si="4"/>
        <v>3448405.2733</v>
      </c>
      <c r="G314" s="26"/>
      <c r="H314" s="26"/>
      <c r="I314" s="28"/>
      <c r="J314" s="28"/>
      <c r="K314" s="28"/>
      <c r="L314" s="28"/>
      <c r="M314" s="26"/>
      <c r="N314" s="26"/>
      <c r="O314" s="28"/>
      <c r="P314" s="28"/>
      <c r="Q314" s="28"/>
    </row>
    <row r="315" spans="1:17" ht="18.75">
      <c r="A315" s="22">
        <v>310</v>
      </c>
      <c r="B315" s="23" t="s">
        <v>103</v>
      </c>
      <c r="C315" s="23" t="s">
        <v>782</v>
      </c>
      <c r="D315" s="24">
        <v>873266.81649999996</v>
      </c>
      <c r="E315" s="24">
        <v>2694063.0355000002</v>
      </c>
      <c r="F315" s="25">
        <f t="shared" si="4"/>
        <v>3567329.852</v>
      </c>
      <c r="G315" s="26"/>
      <c r="H315" s="26"/>
      <c r="I315" s="28"/>
      <c r="J315" s="28"/>
      <c r="K315" s="28"/>
      <c r="L315" s="28"/>
      <c r="M315" s="26"/>
      <c r="N315" s="26"/>
      <c r="O315" s="28"/>
      <c r="P315" s="28"/>
      <c r="Q315" s="28"/>
    </row>
    <row r="316" spans="1:17" ht="37.5">
      <c r="A316" s="22">
        <v>311</v>
      </c>
      <c r="B316" s="23" t="s">
        <v>103</v>
      </c>
      <c r="C316" s="23" t="s">
        <v>784</v>
      </c>
      <c r="D316" s="24">
        <v>881264.08680000005</v>
      </c>
      <c r="E316" s="24">
        <v>2718734.9341000002</v>
      </c>
      <c r="F316" s="25">
        <f t="shared" si="4"/>
        <v>3599999.0208999999</v>
      </c>
      <c r="G316" s="26"/>
      <c r="H316" s="26"/>
      <c r="I316" s="28"/>
      <c r="J316" s="28"/>
      <c r="K316" s="28"/>
      <c r="L316" s="28"/>
      <c r="M316" s="26"/>
      <c r="N316" s="26"/>
      <c r="O316" s="28"/>
      <c r="P316" s="28"/>
      <c r="Q316" s="28"/>
    </row>
    <row r="317" spans="1:17" ht="18.75">
      <c r="A317" s="22">
        <v>312</v>
      </c>
      <c r="B317" s="23" t="s">
        <v>103</v>
      </c>
      <c r="C317" s="23" t="s">
        <v>786</v>
      </c>
      <c r="D317" s="24">
        <v>937515.18799999997</v>
      </c>
      <c r="E317" s="24">
        <v>2892271.83</v>
      </c>
      <c r="F317" s="25">
        <f t="shared" si="4"/>
        <v>3829787.0180000002</v>
      </c>
      <c r="G317" s="26"/>
      <c r="H317" s="26"/>
      <c r="I317" s="28"/>
      <c r="J317" s="28"/>
      <c r="K317" s="28"/>
      <c r="L317" s="28"/>
      <c r="M317" s="26"/>
      <c r="N317" s="26"/>
      <c r="O317" s="28"/>
      <c r="P317" s="28"/>
      <c r="Q317" s="28"/>
    </row>
    <row r="318" spans="1:17" ht="18.75">
      <c r="A318" s="22">
        <v>313</v>
      </c>
      <c r="B318" s="23" t="s">
        <v>103</v>
      </c>
      <c r="C318" s="23" t="s">
        <v>788</v>
      </c>
      <c r="D318" s="24">
        <v>838686.69530000002</v>
      </c>
      <c r="E318" s="24">
        <v>2587381.9792999998</v>
      </c>
      <c r="F318" s="25">
        <f t="shared" si="4"/>
        <v>3426068.6746</v>
      </c>
      <c r="G318" s="26"/>
      <c r="H318" s="26"/>
      <c r="I318" s="28"/>
      <c r="J318" s="28"/>
      <c r="K318" s="28"/>
      <c r="L318" s="28"/>
      <c r="M318" s="26"/>
      <c r="N318" s="26"/>
      <c r="O318" s="28"/>
      <c r="P318" s="28"/>
      <c r="Q318" s="28"/>
    </row>
    <row r="319" spans="1:17" ht="18.75">
      <c r="A319" s="22">
        <v>314</v>
      </c>
      <c r="B319" s="23" t="s">
        <v>104</v>
      </c>
      <c r="C319" s="23" t="s">
        <v>793</v>
      </c>
      <c r="D319" s="24">
        <v>875822.21310000005</v>
      </c>
      <c r="E319" s="24">
        <v>2701946.5361000001</v>
      </c>
      <c r="F319" s="25">
        <f t="shared" si="4"/>
        <v>3577768.7492</v>
      </c>
      <c r="G319" s="26"/>
      <c r="H319" s="26"/>
      <c r="I319" s="28"/>
      <c r="J319" s="28"/>
      <c r="K319" s="28"/>
      <c r="L319" s="28"/>
      <c r="M319" s="26"/>
      <c r="N319" s="26"/>
      <c r="O319" s="28"/>
      <c r="P319" s="28"/>
      <c r="Q319" s="28"/>
    </row>
    <row r="320" spans="1:17" ht="18.75">
      <c r="A320" s="22">
        <v>315</v>
      </c>
      <c r="B320" s="23" t="s">
        <v>104</v>
      </c>
      <c r="C320" s="23" t="s">
        <v>795</v>
      </c>
      <c r="D320" s="24">
        <v>1035844.7703</v>
      </c>
      <c r="E320" s="24">
        <v>3195622.5218000002</v>
      </c>
      <c r="F320" s="25">
        <f t="shared" si="4"/>
        <v>4231467.2921000002</v>
      </c>
      <c r="G320" s="26"/>
      <c r="H320" s="26"/>
      <c r="I320" s="28"/>
      <c r="J320" s="28"/>
      <c r="K320" s="28"/>
      <c r="L320" s="28"/>
      <c r="M320" s="26"/>
      <c r="N320" s="26"/>
      <c r="O320" s="28"/>
      <c r="P320" s="28"/>
      <c r="Q320" s="28"/>
    </row>
    <row r="321" spans="1:17" ht="18.75">
      <c r="A321" s="22">
        <v>316</v>
      </c>
      <c r="B321" s="23" t="s">
        <v>104</v>
      </c>
      <c r="C321" s="23" t="s">
        <v>797</v>
      </c>
      <c r="D321" s="24">
        <v>1285511.6096000001</v>
      </c>
      <c r="E321" s="24">
        <v>3965854.7008000002</v>
      </c>
      <c r="F321" s="25">
        <f t="shared" si="4"/>
        <v>5251366.3103999998</v>
      </c>
      <c r="G321" s="26"/>
      <c r="H321" s="26"/>
      <c r="I321" s="28"/>
      <c r="J321" s="28"/>
      <c r="K321" s="28"/>
      <c r="L321" s="28"/>
      <c r="M321" s="26"/>
      <c r="N321" s="26"/>
      <c r="O321" s="28"/>
      <c r="P321" s="28"/>
      <c r="Q321" s="28"/>
    </row>
    <row r="322" spans="1:17" ht="18.75">
      <c r="A322" s="22">
        <v>317</v>
      </c>
      <c r="B322" s="23" t="s">
        <v>104</v>
      </c>
      <c r="C322" s="23" t="s">
        <v>799</v>
      </c>
      <c r="D322" s="24">
        <v>972339.2585</v>
      </c>
      <c r="E322" s="24">
        <v>2999705.4794000001</v>
      </c>
      <c r="F322" s="25">
        <f t="shared" si="4"/>
        <v>3972044.7379000001</v>
      </c>
      <c r="G322" s="26"/>
      <c r="H322" s="26"/>
      <c r="I322" s="28"/>
      <c r="J322" s="28"/>
      <c r="K322" s="28"/>
      <c r="L322" s="28"/>
      <c r="M322" s="26"/>
      <c r="N322" s="26"/>
      <c r="O322" s="28"/>
      <c r="P322" s="28"/>
      <c r="Q322" s="28"/>
    </row>
    <row r="323" spans="1:17" ht="18.75">
      <c r="A323" s="22">
        <v>318</v>
      </c>
      <c r="B323" s="23" t="s">
        <v>104</v>
      </c>
      <c r="C323" s="23" t="s">
        <v>801</v>
      </c>
      <c r="D323" s="24">
        <v>834351.90449999995</v>
      </c>
      <c r="E323" s="24">
        <v>2574008.9767</v>
      </c>
      <c r="F323" s="25">
        <f t="shared" si="4"/>
        <v>3408360.8812000002</v>
      </c>
      <c r="G323" s="26"/>
      <c r="H323" s="26"/>
      <c r="I323" s="28"/>
      <c r="J323" s="28"/>
      <c r="K323" s="28"/>
      <c r="L323" s="28"/>
      <c r="M323" s="26"/>
      <c r="N323" s="26"/>
      <c r="O323" s="28"/>
      <c r="P323" s="28"/>
      <c r="Q323" s="28"/>
    </row>
    <row r="324" spans="1:17" ht="18.75">
      <c r="A324" s="22">
        <v>319</v>
      </c>
      <c r="B324" s="23" t="s">
        <v>104</v>
      </c>
      <c r="C324" s="23" t="s">
        <v>803</v>
      </c>
      <c r="D324" s="24">
        <v>818477.06160000002</v>
      </c>
      <c r="E324" s="24">
        <v>2525034.4517000001</v>
      </c>
      <c r="F324" s="25">
        <f t="shared" si="4"/>
        <v>3343511.5133000002</v>
      </c>
      <c r="G324" s="26"/>
      <c r="H324" s="26"/>
      <c r="I324" s="28"/>
      <c r="J324" s="28"/>
      <c r="K324" s="28"/>
      <c r="L324" s="28"/>
      <c r="M324" s="26"/>
      <c r="N324" s="26"/>
      <c r="O324" s="28"/>
      <c r="P324" s="28"/>
      <c r="Q324" s="28"/>
    </row>
    <row r="325" spans="1:17" ht="18.75">
      <c r="A325" s="22">
        <v>320</v>
      </c>
      <c r="B325" s="23" t="s">
        <v>104</v>
      </c>
      <c r="C325" s="23" t="s">
        <v>805</v>
      </c>
      <c r="D325" s="24">
        <v>1148917.0915999999</v>
      </c>
      <c r="E325" s="24">
        <v>3544455.1526000001</v>
      </c>
      <c r="F325" s="25">
        <f t="shared" si="4"/>
        <v>4693372.2441999996</v>
      </c>
      <c r="G325" s="26"/>
      <c r="H325" s="26"/>
      <c r="I325" s="28"/>
      <c r="J325" s="28"/>
      <c r="K325" s="28"/>
      <c r="L325" s="28"/>
      <c r="M325" s="26"/>
      <c r="N325" s="26"/>
      <c r="O325" s="28"/>
      <c r="P325" s="28"/>
      <c r="Q325" s="28"/>
    </row>
    <row r="326" spans="1:17" ht="18.75">
      <c r="A326" s="22">
        <v>321</v>
      </c>
      <c r="B326" s="23" t="s">
        <v>104</v>
      </c>
      <c r="C326" s="23" t="s">
        <v>807</v>
      </c>
      <c r="D326" s="24">
        <v>964250.50269999995</v>
      </c>
      <c r="E326" s="24">
        <v>2974751.3442000002</v>
      </c>
      <c r="F326" s="25">
        <f t="shared" si="4"/>
        <v>3939001.8468999998</v>
      </c>
      <c r="G326" s="26"/>
      <c r="H326" s="26"/>
      <c r="I326" s="28"/>
      <c r="J326" s="28"/>
      <c r="K326" s="28"/>
      <c r="L326" s="28"/>
      <c r="M326" s="26"/>
      <c r="N326" s="26"/>
      <c r="O326" s="28"/>
      <c r="P326" s="28"/>
      <c r="Q326" s="28"/>
    </row>
    <row r="327" spans="1:17" ht="18.75">
      <c r="A327" s="22">
        <v>322</v>
      </c>
      <c r="B327" s="23" t="s">
        <v>104</v>
      </c>
      <c r="C327" s="23" t="s">
        <v>809</v>
      </c>
      <c r="D327" s="24">
        <v>844619.44839999999</v>
      </c>
      <c r="E327" s="24">
        <v>2605684.7599999998</v>
      </c>
      <c r="F327" s="25">
        <f t="shared" ref="F327:F390" si="5">D327+E327</f>
        <v>3450304.2083999999</v>
      </c>
      <c r="G327" s="26"/>
      <c r="H327" s="26"/>
      <c r="I327" s="28"/>
      <c r="J327" s="28"/>
      <c r="K327" s="28"/>
      <c r="L327" s="28"/>
      <c r="M327" s="26"/>
      <c r="N327" s="26"/>
      <c r="O327" s="28"/>
      <c r="P327" s="28"/>
      <c r="Q327" s="28"/>
    </row>
    <row r="328" spans="1:17" ht="18.75">
      <c r="A328" s="22">
        <v>323</v>
      </c>
      <c r="B328" s="23" t="s">
        <v>104</v>
      </c>
      <c r="C328" s="23" t="s">
        <v>811</v>
      </c>
      <c r="D328" s="24">
        <v>892294.47290000005</v>
      </c>
      <c r="E328" s="24">
        <v>2752764.1161000002</v>
      </c>
      <c r="F328" s="25">
        <f t="shared" si="5"/>
        <v>3645058.5890000002</v>
      </c>
      <c r="G328" s="26"/>
      <c r="H328" s="26"/>
      <c r="I328" s="28"/>
      <c r="J328" s="28"/>
      <c r="K328" s="28"/>
      <c r="L328" s="28"/>
      <c r="M328" s="26"/>
      <c r="N328" s="26"/>
      <c r="O328" s="28"/>
      <c r="P328" s="28"/>
      <c r="Q328" s="28"/>
    </row>
    <row r="329" spans="1:17" ht="18.75">
      <c r="A329" s="22">
        <v>324</v>
      </c>
      <c r="B329" s="23" t="s">
        <v>104</v>
      </c>
      <c r="C329" s="23" t="s">
        <v>813</v>
      </c>
      <c r="D329" s="24">
        <v>1241233.3848000001</v>
      </c>
      <c r="E329" s="24">
        <v>3829254.6074000001</v>
      </c>
      <c r="F329" s="25">
        <f t="shared" si="5"/>
        <v>5070487.9922000002</v>
      </c>
      <c r="G329" s="26"/>
      <c r="H329" s="26"/>
      <c r="I329" s="28"/>
      <c r="J329" s="28"/>
      <c r="K329" s="28"/>
      <c r="L329" s="28"/>
      <c r="M329" s="26"/>
      <c r="N329" s="26"/>
      <c r="O329" s="28"/>
      <c r="P329" s="28"/>
      <c r="Q329" s="28"/>
    </row>
    <row r="330" spans="1:17" ht="18.75">
      <c r="A330" s="22">
        <v>325</v>
      </c>
      <c r="B330" s="23" t="s">
        <v>104</v>
      </c>
      <c r="C330" s="23" t="s">
        <v>815</v>
      </c>
      <c r="D330" s="24">
        <v>917722.71710000001</v>
      </c>
      <c r="E330" s="24">
        <v>2831211.2661000001</v>
      </c>
      <c r="F330" s="25">
        <f t="shared" si="5"/>
        <v>3748933.9832000001</v>
      </c>
      <c r="G330" s="26"/>
      <c r="H330" s="26"/>
      <c r="I330" s="28"/>
      <c r="J330" s="28"/>
      <c r="K330" s="28"/>
      <c r="L330" s="28"/>
      <c r="M330" s="26"/>
      <c r="N330" s="26"/>
      <c r="O330" s="28"/>
      <c r="P330" s="28"/>
      <c r="Q330" s="28"/>
    </row>
    <row r="331" spans="1:17" ht="18.75">
      <c r="A331" s="22">
        <v>326</v>
      </c>
      <c r="B331" s="23" t="s">
        <v>104</v>
      </c>
      <c r="C331" s="23" t="s">
        <v>817</v>
      </c>
      <c r="D331" s="24">
        <v>774707.56440000003</v>
      </c>
      <c r="E331" s="24">
        <v>2390003.8032999998</v>
      </c>
      <c r="F331" s="25">
        <f t="shared" si="5"/>
        <v>3164711.3676999998</v>
      </c>
      <c r="G331" s="26"/>
      <c r="H331" s="26"/>
      <c r="I331" s="28"/>
      <c r="J331" s="28"/>
      <c r="K331" s="28"/>
      <c r="L331" s="28"/>
      <c r="M331" s="26"/>
      <c r="N331" s="26"/>
      <c r="O331" s="28"/>
      <c r="P331" s="28"/>
      <c r="Q331" s="28"/>
    </row>
    <row r="332" spans="1:17" ht="18.75">
      <c r="A332" s="22">
        <v>327</v>
      </c>
      <c r="B332" s="23" t="s">
        <v>104</v>
      </c>
      <c r="C332" s="23" t="s">
        <v>819</v>
      </c>
      <c r="D332" s="24">
        <v>1064810.8259999999</v>
      </c>
      <c r="E332" s="24">
        <v>3284983.9615000002</v>
      </c>
      <c r="F332" s="25">
        <f t="shared" si="5"/>
        <v>4349794.7874999996</v>
      </c>
      <c r="G332" s="26"/>
      <c r="H332" s="26"/>
      <c r="I332" s="28"/>
      <c r="J332" s="28"/>
      <c r="K332" s="28"/>
      <c r="L332" s="28"/>
      <c r="M332" s="26"/>
      <c r="N332" s="26"/>
      <c r="O332" s="28"/>
      <c r="P332" s="28"/>
      <c r="Q332" s="28"/>
    </row>
    <row r="333" spans="1:17" ht="18.75">
      <c r="A333" s="22">
        <v>328</v>
      </c>
      <c r="B333" s="23" t="s">
        <v>104</v>
      </c>
      <c r="C333" s="23" t="s">
        <v>821</v>
      </c>
      <c r="D333" s="24">
        <v>1197639.5841999999</v>
      </c>
      <c r="E333" s="24">
        <v>3694765.9898999999</v>
      </c>
      <c r="F333" s="25">
        <f t="shared" si="5"/>
        <v>4892405.5740999999</v>
      </c>
      <c r="G333" s="26"/>
      <c r="H333" s="26"/>
      <c r="I333" s="28"/>
      <c r="J333" s="28"/>
      <c r="K333" s="28"/>
      <c r="L333" s="28"/>
      <c r="M333" s="26"/>
      <c r="N333" s="26"/>
      <c r="O333" s="28"/>
      <c r="P333" s="28"/>
      <c r="Q333" s="28"/>
    </row>
    <row r="334" spans="1:17" ht="18.75">
      <c r="A334" s="22">
        <v>329</v>
      </c>
      <c r="B334" s="23" t="s">
        <v>104</v>
      </c>
      <c r="C334" s="23" t="s">
        <v>823</v>
      </c>
      <c r="D334" s="24">
        <v>877754.49</v>
      </c>
      <c r="E334" s="24">
        <v>2707907.6877000001</v>
      </c>
      <c r="F334" s="25">
        <f t="shared" si="5"/>
        <v>3585662.1776999999</v>
      </c>
      <c r="G334" s="26"/>
      <c r="H334" s="26"/>
      <c r="I334" s="28"/>
      <c r="J334" s="28"/>
      <c r="K334" s="28"/>
      <c r="L334" s="28"/>
      <c r="M334" s="26"/>
      <c r="N334" s="26"/>
      <c r="O334" s="28"/>
      <c r="P334" s="28"/>
      <c r="Q334" s="28"/>
    </row>
    <row r="335" spans="1:17" ht="18.75">
      <c r="A335" s="22">
        <v>330</v>
      </c>
      <c r="B335" s="23" t="s">
        <v>104</v>
      </c>
      <c r="C335" s="23" t="s">
        <v>825</v>
      </c>
      <c r="D335" s="24">
        <v>928830.63859999995</v>
      </c>
      <c r="E335" s="24">
        <v>2865479.6479000002</v>
      </c>
      <c r="F335" s="25">
        <f t="shared" si="5"/>
        <v>3794310.2864999999</v>
      </c>
      <c r="G335" s="26"/>
      <c r="H335" s="26"/>
      <c r="I335" s="28"/>
      <c r="J335" s="28"/>
      <c r="K335" s="28"/>
      <c r="L335" s="28"/>
      <c r="M335" s="26"/>
      <c r="N335" s="26"/>
      <c r="O335" s="28"/>
      <c r="P335" s="28"/>
      <c r="Q335" s="28"/>
    </row>
    <row r="336" spans="1:17" ht="18.75">
      <c r="A336" s="22">
        <v>331</v>
      </c>
      <c r="B336" s="23" t="s">
        <v>104</v>
      </c>
      <c r="C336" s="23" t="s">
        <v>827</v>
      </c>
      <c r="D336" s="24">
        <v>968754.11849999998</v>
      </c>
      <c r="E336" s="24">
        <v>2988645.1792000001</v>
      </c>
      <c r="F336" s="25">
        <f t="shared" si="5"/>
        <v>3957399.2977</v>
      </c>
      <c r="G336" s="26"/>
      <c r="H336" s="26"/>
      <c r="I336" s="28"/>
      <c r="J336" s="28"/>
      <c r="K336" s="28"/>
      <c r="L336" s="28"/>
      <c r="M336" s="26"/>
      <c r="N336" s="26"/>
      <c r="O336" s="28"/>
      <c r="P336" s="28"/>
      <c r="Q336" s="28"/>
    </row>
    <row r="337" spans="1:17" ht="18.75">
      <c r="A337" s="22">
        <v>332</v>
      </c>
      <c r="B337" s="23" t="s">
        <v>104</v>
      </c>
      <c r="C337" s="23" t="s">
        <v>829</v>
      </c>
      <c r="D337" s="24">
        <v>1000865.0154</v>
      </c>
      <c r="E337" s="24">
        <v>3087708.5797000001</v>
      </c>
      <c r="F337" s="25">
        <f t="shared" si="5"/>
        <v>4088573.5951</v>
      </c>
      <c r="G337" s="26"/>
      <c r="H337" s="26"/>
      <c r="I337" s="28"/>
      <c r="J337" s="28"/>
      <c r="K337" s="28"/>
      <c r="L337" s="28"/>
      <c r="M337" s="26"/>
      <c r="N337" s="26"/>
      <c r="O337" s="28"/>
      <c r="P337" s="28"/>
      <c r="Q337" s="28"/>
    </row>
    <row r="338" spans="1:17" ht="18.75">
      <c r="A338" s="22">
        <v>333</v>
      </c>
      <c r="B338" s="23" t="s">
        <v>104</v>
      </c>
      <c r="C338" s="23" t="s">
        <v>831</v>
      </c>
      <c r="D338" s="24">
        <v>1009519.1803</v>
      </c>
      <c r="E338" s="24">
        <v>3114407.0241999999</v>
      </c>
      <c r="F338" s="25">
        <f t="shared" si="5"/>
        <v>4123926.2045</v>
      </c>
      <c r="G338" s="26"/>
      <c r="H338" s="26"/>
      <c r="I338" s="28"/>
      <c r="J338" s="28"/>
      <c r="K338" s="28"/>
      <c r="L338" s="28"/>
      <c r="M338" s="26"/>
      <c r="N338" s="26"/>
      <c r="O338" s="28"/>
      <c r="P338" s="28"/>
      <c r="Q338" s="28"/>
    </row>
    <row r="339" spans="1:17" ht="18.75">
      <c r="A339" s="22">
        <v>334</v>
      </c>
      <c r="B339" s="23" t="s">
        <v>104</v>
      </c>
      <c r="C339" s="23" t="s">
        <v>833</v>
      </c>
      <c r="D339" s="24">
        <v>945717.05220000003</v>
      </c>
      <c r="E339" s="24">
        <v>2917574.9089000002</v>
      </c>
      <c r="F339" s="25">
        <f t="shared" si="5"/>
        <v>3863291.9611</v>
      </c>
      <c r="G339" s="26"/>
      <c r="H339" s="26"/>
      <c r="I339" s="28"/>
      <c r="J339" s="28"/>
      <c r="K339" s="28"/>
      <c r="L339" s="28"/>
      <c r="M339" s="26"/>
      <c r="N339" s="26"/>
      <c r="O339" s="28"/>
      <c r="P339" s="28"/>
      <c r="Q339" s="28"/>
    </row>
    <row r="340" spans="1:17" ht="18.75">
      <c r="A340" s="22">
        <v>335</v>
      </c>
      <c r="B340" s="23" t="s">
        <v>104</v>
      </c>
      <c r="C340" s="23" t="s">
        <v>835</v>
      </c>
      <c r="D340" s="24">
        <v>867467.59</v>
      </c>
      <c r="E340" s="24">
        <v>2676172.19</v>
      </c>
      <c r="F340" s="25">
        <f t="shared" si="5"/>
        <v>3543639.78</v>
      </c>
      <c r="G340" s="26"/>
      <c r="H340" s="26"/>
      <c r="I340" s="28"/>
      <c r="J340" s="28"/>
      <c r="K340" s="28"/>
      <c r="L340" s="28"/>
      <c r="M340" s="26"/>
      <c r="N340" s="26"/>
      <c r="O340" s="28"/>
      <c r="P340" s="28"/>
      <c r="Q340" s="28"/>
    </row>
    <row r="341" spans="1:17" ht="18.75">
      <c r="A341" s="22">
        <v>336</v>
      </c>
      <c r="B341" s="23" t="s">
        <v>104</v>
      </c>
      <c r="C341" s="23" t="s">
        <v>837</v>
      </c>
      <c r="D341" s="24">
        <v>1064572.2731000001</v>
      </c>
      <c r="E341" s="24">
        <v>3284248.0162</v>
      </c>
      <c r="F341" s="25">
        <f t="shared" si="5"/>
        <v>4348820.2893000003</v>
      </c>
      <c r="G341" s="26"/>
      <c r="H341" s="26"/>
      <c r="I341" s="28"/>
      <c r="J341" s="28"/>
      <c r="K341" s="28"/>
      <c r="L341" s="28"/>
      <c r="M341" s="26"/>
      <c r="N341" s="26"/>
      <c r="O341" s="28"/>
      <c r="P341" s="28"/>
      <c r="Q341" s="28"/>
    </row>
    <row r="342" spans="1:17" ht="18.75">
      <c r="A342" s="22">
        <v>337</v>
      </c>
      <c r="B342" s="23" t="s">
        <v>104</v>
      </c>
      <c r="C342" s="23" t="s">
        <v>839</v>
      </c>
      <c r="D342" s="24">
        <v>787260.19850000006</v>
      </c>
      <c r="E342" s="24">
        <v>2428729.1812999998</v>
      </c>
      <c r="F342" s="25">
        <f t="shared" si="5"/>
        <v>3215989.3798000002</v>
      </c>
      <c r="G342" s="26"/>
      <c r="H342" s="26"/>
      <c r="I342" s="28"/>
      <c r="J342" s="28"/>
      <c r="K342" s="28"/>
      <c r="L342" s="28"/>
      <c r="M342" s="26"/>
      <c r="N342" s="26"/>
      <c r="O342" s="28"/>
      <c r="P342" s="28"/>
      <c r="Q342" s="28"/>
    </row>
    <row r="343" spans="1:17" ht="37.5">
      <c r="A343" s="22">
        <v>338</v>
      </c>
      <c r="B343" s="23" t="s">
        <v>104</v>
      </c>
      <c r="C343" s="23" t="s">
        <v>841</v>
      </c>
      <c r="D343" s="24">
        <v>988105.55870000005</v>
      </c>
      <c r="E343" s="24">
        <v>3048345.1455000001</v>
      </c>
      <c r="F343" s="25">
        <f t="shared" si="5"/>
        <v>4036450.7042</v>
      </c>
      <c r="G343" s="26"/>
      <c r="H343" s="26"/>
      <c r="I343" s="28"/>
      <c r="J343" s="28"/>
      <c r="K343" s="28"/>
      <c r="L343" s="28"/>
      <c r="M343" s="26"/>
      <c r="N343" s="26"/>
      <c r="O343" s="28"/>
      <c r="P343" s="28"/>
      <c r="Q343" s="28"/>
    </row>
    <row r="344" spans="1:17" ht="18.75">
      <c r="A344" s="22">
        <v>339</v>
      </c>
      <c r="B344" s="23" t="s">
        <v>104</v>
      </c>
      <c r="C344" s="23" t="s">
        <v>843</v>
      </c>
      <c r="D344" s="24">
        <v>898676.99769999995</v>
      </c>
      <c r="E344" s="24">
        <v>2772454.4600999998</v>
      </c>
      <c r="F344" s="25">
        <f t="shared" si="5"/>
        <v>3671131.4578</v>
      </c>
      <c r="G344" s="26"/>
      <c r="H344" s="26"/>
      <c r="I344" s="28"/>
      <c r="J344" s="28"/>
      <c r="K344" s="28"/>
      <c r="L344" s="28"/>
      <c r="M344" s="26"/>
      <c r="N344" s="26"/>
      <c r="O344" s="28"/>
      <c r="P344" s="28"/>
      <c r="Q344" s="28"/>
    </row>
    <row r="345" spans="1:17" ht="18.75">
      <c r="A345" s="22">
        <v>340</v>
      </c>
      <c r="B345" s="23" t="s">
        <v>104</v>
      </c>
      <c r="C345" s="23" t="s">
        <v>845</v>
      </c>
      <c r="D345" s="24">
        <v>832736.25679999997</v>
      </c>
      <c r="E345" s="24">
        <v>2569024.6387999998</v>
      </c>
      <c r="F345" s="25">
        <f t="shared" si="5"/>
        <v>3401760.8955999999</v>
      </c>
      <c r="G345" s="26"/>
      <c r="H345" s="26"/>
      <c r="I345" s="28"/>
      <c r="J345" s="28"/>
      <c r="K345" s="28"/>
      <c r="L345" s="28"/>
      <c r="M345" s="26"/>
      <c r="N345" s="26"/>
      <c r="O345" s="28"/>
      <c r="P345" s="28"/>
      <c r="Q345" s="28"/>
    </row>
    <row r="346" spans="1:17" ht="18.75">
      <c r="A346" s="22">
        <v>341</v>
      </c>
      <c r="B346" s="23" t="s">
        <v>105</v>
      </c>
      <c r="C346" s="23" t="s">
        <v>850</v>
      </c>
      <c r="D346" s="24">
        <v>1559122.3518999999</v>
      </c>
      <c r="E346" s="24">
        <v>4809954.7777000004</v>
      </c>
      <c r="F346" s="25">
        <f t="shared" si="5"/>
        <v>6369077.1295999996</v>
      </c>
      <c r="G346" s="26"/>
      <c r="H346" s="26"/>
      <c r="I346" s="28"/>
      <c r="J346" s="28"/>
      <c r="K346" s="28"/>
      <c r="L346" s="28"/>
      <c r="M346" s="26"/>
      <c r="N346" s="26"/>
      <c r="O346" s="28"/>
      <c r="P346" s="28"/>
      <c r="Q346" s="28"/>
    </row>
    <row r="347" spans="1:17" ht="18.75">
      <c r="A347" s="22">
        <v>342</v>
      </c>
      <c r="B347" s="23" t="s">
        <v>105</v>
      </c>
      <c r="C347" s="23" t="s">
        <v>852</v>
      </c>
      <c r="D347" s="24">
        <v>1585356.6739000001</v>
      </c>
      <c r="E347" s="24">
        <v>4890888.7096999995</v>
      </c>
      <c r="F347" s="25">
        <f t="shared" si="5"/>
        <v>6476245.3836000003</v>
      </c>
      <c r="G347" s="26"/>
      <c r="H347" s="26"/>
      <c r="I347" s="28"/>
      <c r="J347" s="28"/>
      <c r="K347" s="28"/>
      <c r="L347" s="28"/>
      <c r="M347" s="26"/>
      <c r="N347" s="26"/>
      <c r="O347" s="28"/>
      <c r="P347" s="28"/>
      <c r="Q347" s="28"/>
    </row>
    <row r="348" spans="1:17" ht="18.75">
      <c r="A348" s="22">
        <v>343</v>
      </c>
      <c r="B348" s="23" t="s">
        <v>105</v>
      </c>
      <c r="C348" s="23" t="s">
        <v>854</v>
      </c>
      <c r="D348" s="24">
        <v>1312009.2509999999</v>
      </c>
      <c r="E348" s="24">
        <v>4047600.9835999999</v>
      </c>
      <c r="F348" s="25">
        <f t="shared" si="5"/>
        <v>5359610.2346000001</v>
      </c>
      <c r="G348" s="26"/>
      <c r="H348" s="26"/>
      <c r="I348" s="28"/>
      <c r="J348" s="28"/>
      <c r="K348" s="28"/>
      <c r="L348" s="28"/>
      <c r="M348" s="26"/>
      <c r="N348" s="26"/>
      <c r="O348" s="28"/>
      <c r="P348" s="28"/>
      <c r="Q348" s="28"/>
    </row>
    <row r="349" spans="1:17" ht="18.75">
      <c r="A349" s="22">
        <v>344</v>
      </c>
      <c r="B349" s="23" t="s">
        <v>105</v>
      </c>
      <c r="C349" s="23" t="s">
        <v>856</v>
      </c>
      <c r="D349" s="24">
        <v>1010228.3536</v>
      </c>
      <c r="E349" s="24">
        <v>3116594.8520999998</v>
      </c>
      <c r="F349" s="25">
        <f t="shared" si="5"/>
        <v>4126823.2056999998</v>
      </c>
      <c r="G349" s="26"/>
      <c r="H349" s="26"/>
      <c r="I349" s="28"/>
      <c r="J349" s="28"/>
      <c r="K349" s="28"/>
      <c r="L349" s="28"/>
      <c r="M349" s="26"/>
      <c r="N349" s="26"/>
      <c r="O349" s="28"/>
      <c r="P349" s="28"/>
      <c r="Q349" s="28"/>
    </row>
    <row r="350" spans="1:17" ht="18.75">
      <c r="A350" s="22">
        <v>345</v>
      </c>
      <c r="B350" s="23" t="s">
        <v>105</v>
      </c>
      <c r="C350" s="23" t="s">
        <v>858</v>
      </c>
      <c r="D350" s="24">
        <v>1660769.8078999999</v>
      </c>
      <c r="E350" s="24">
        <v>5123541.2426000005</v>
      </c>
      <c r="F350" s="25">
        <f t="shared" si="5"/>
        <v>6784311.0504999999</v>
      </c>
      <c r="G350" s="26"/>
      <c r="H350" s="26"/>
      <c r="I350" s="28"/>
      <c r="J350" s="28"/>
      <c r="K350" s="28"/>
      <c r="L350" s="28"/>
      <c r="M350" s="26"/>
      <c r="N350" s="26"/>
      <c r="O350" s="28"/>
      <c r="P350" s="28"/>
      <c r="Q350" s="28"/>
    </row>
    <row r="351" spans="1:17" ht="18.75">
      <c r="A351" s="22">
        <v>346</v>
      </c>
      <c r="B351" s="23" t="s">
        <v>105</v>
      </c>
      <c r="C351" s="23" t="s">
        <v>860</v>
      </c>
      <c r="D351" s="24">
        <v>1112565.9616</v>
      </c>
      <c r="E351" s="24">
        <v>3432310.4635999999</v>
      </c>
      <c r="F351" s="25">
        <f t="shared" si="5"/>
        <v>4544876.4252000004</v>
      </c>
      <c r="G351" s="26"/>
      <c r="H351" s="26"/>
      <c r="I351" s="28"/>
      <c r="J351" s="28"/>
      <c r="K351" s="28"/>
      <c r="L351" s="28"/>
      <c r="M351" s="26"/>
      <c r="N351" s="26"/>
      <c r="O351" s="28"/>
      <c r="P351" s="28"/>
      <c r="Q351" s="28"/>
    </row>
    <row r="352" spans="1:17" ht="18.75">
      <c r="A352" s="22">
        <v>347</v>
      </c>
      <c r="B352" s="23" t="s">
        <v>105</v>
      </c>
      <c r="C352" s="23" t="s">
        <v>862</v>
      </c>
      <c r="D352" s="24">
        <v>970155.33019999997</v>
      </c>
      <c r="E352" s="24">
        <v>2992967.9733000002</v>
      </c>
      <c r="F352" s="25">
        <f t="shared" si="5"/>
        <v>3963123.3034999999</v>
      </c>
      <c r="G352" s="26"/>
      <c r="H352" s="26"/>
      <c r="I352" s="28"/>
      <c r="J352" s="28"/>
      <c r="K352" s="28"/>
      <c r="L352" s="28"/>
      <c r="M352" s="26"/>
      <c r="N352" s="26"/>
      <c r="O352" s="28"/>
      <c r="P352" s="28"/>
      <c r="Q352" s="28"/>
    </row>
    <row r="353" spans="1:17" ht="18.75">
      <c r="A353" s="22">
        <v>348</v>
      </c>
      <c r="B353" s="23" t="s">
        <v>105</v>
      </c>
      <c r="C353" s="23" t="s">
        <v>864</v>
      </c>
      <c r="D353" s="24">
        <v>1292668.3681000001</v>
      </c>
      <c r="E353" s="24">
        <v>3987933.5869</v>
      </c>
      <c r="F353" s="25">
        <f t="shared" si="5"/>
        <v>5280601.9550000001</v>
      </c>
      <c r="G353" s="26"/>
      <c r="H353" s="26"/>
      <c r="I353" s="28"/>
      <c r="J353" s="28"/>
      <c r="K353" s="28"/>
      <c r="L353" s="28"/>
      <c r="M353" s="26"/>
      <c r="N353" s="26"/>
      <c r="O353" s="28"/>
      <c r="P353" s="28"/>
      <c r="Q353" s="28"/>
    </row>
    <row r="354" spans="1:17" ht="18.75">
      <c r="A354" s="22">
        <v>349</v>
      </c>
      <c r="B354" s="23" t="s">
        <v>105</v>
      </c>
      <c r="C354" s="23" t="s">
        <v>866</v>
      </c>
      <c r="D354" s="24">
        <v>1425947.6764</v>
      </c>
      <c r="E354" s="24">
        <v>4399105.5802999996</v>
      </c>
      <c r="F354" s="25">
        <f t="shared" si="5"/>
        <v>5825053.2566999998</v>
      </c>
      <c r="G354" s="26"/>
      <c r="H354" s="26"/>
      <c r="I354" s="28"/>
      <c r="J354" s="28"/>
      <c r="K354" s="28"/>
      <c r="L354" s="28"/>
      <c r="M354" s="26"/>
      <c r="N354" s="26"/>
      <c r="O354" s="28"/>
      <c r="P354" s="28"/>
      <c r="Q354" s="28"/>
    </row>
    <row r="355" spans="1:17" ht="18.75">
      <c r="A355" s="22">
        <v>350</v>
      </c>
      <c r="B355" s="23" t="s">
        <v>105</v>
      </c>
      <c r="C355" s="23" t="s">
        <v>868</v>
      </c>
      <c r="D355" s="24">
        <v>1347094.0430000001</v>
      </c>
      <c r="E355" s="24">
        <v>4155838.9693</v>
      </c>
      <c r="F355" s="25">
        <f t="shared" si="5"/>
        <v>5502933.0122999996</v>
      </c>
      <c r="G355" s="26"/>
      <c r="H355" s="26"/>
      <c r="I355" s="28"/>
      <c r="J355" s="28"/>
      <c r="K355" s="28"/>
      <c r="L355" s="28"/>
      <c r="M355" s="26"/>
      <c r="N355" s="26"/>
      <c r="O355" s="28"/>
      <c r="P355" s="28"/>
      <c r="Q355" s="28"/>
    </row>
    <row r="356" spans="1:17" ht="18.75">
      <c r="A356" s="22">
        <v>351</v>
      </c>
      <c r="B356" s="23" t="s">
        <v>105</v>
      </c>
      <c r="C356" s="23" t="s">
        <v>870</v>
      </c>
      <c r="D356" s="24">
        <v>1438233.6140000001</v>
      </c>
      <c r="E356" s="24">
        <v>4437008.1890000002</v>
      </c>
      <c r="F356" s="25">
        <f t="shared" si="5"/>
        <v>5875241.8030000003</v>
      </c>
      <c r="G356" s="26"/>
      <c r="H356" s="26"/>
      <c r="I356" s="28"/>
      <c r="J356" s="28"/>
      <c r="K356" s="28"/>
      <c r="L356" s="28"/>
      <c r="M356" s="26"/>
      <c r="N356" s="26"/>
      <c r="O356" s="28"/>
      <c r="P356" s="28"/>
      <c r="Q356" s="28"/>
    </row>
    <row r="357" spans="1:17" ht="18.75">
      <c r="A357" s="22">
        <v>352</v>
      </c>
      <c r="B357" s="23" t="s">
        <v>105</v>
      </c>
      <c r="C357" s="23" t="s">
        <v>872</v>
      </c>
      <c r="D357" s="24">
        <v>1242884.1884000001</v>
      </c>
      <c r="E357" s="24">
        <v>3834347.4023000002</v>
      </c>
      <c r="F357" s="25">
        <f t="shared" si="5"/>
        <v>5077231.5906999996</v>
      </c>
      <c r="G357" s="26"/>
      <c r="H357" s="26"/>
      <c r="I357" s="28"/>
      <c r="J357" s="28"/>
      <c r="K357" s="28"/>
      <c r="L357" s="28"/>
      <c r="M357" s="26"/>
      <c r="N357" s="26"/>
      <c r="O357" s="28"/>
      <c r="P357" s="28"/>
      <c r="Q357" s="28"/>
    </row>
    <row r="358" spans="1:17" ht="18.75">
      <c r="A358" s="22">
        <v>353</v>
      </c>
      <c r="B358" s="23" t="s">
        <v>105</v>
      </c>
      <c r="C358" s="23" t="s">
        <v>874</v>
      </c>
      <c r="D358" s="24">
        <v>1076794.7131000001</v>
      </c>
      <c r="E358" s="24">
        <v>3321954.7319999998</v>
      </c>
      <c r="F358" s="25">
        <f t="shared" si="5"/>
        <v>4398749.4451000001</v>
      </c>
      <c r="G358" s="26"/>
      <c r="H358" s="26"/>
      <c r="I358" s="28"/>
      <c r="J358" s="28"/>
      <c r="K358" s="28"/>
      <c r="L358" s="28"/>
      <c r="M358" s="26"/>
      <c r="N358" s="26"/>
      <c r="O358" s="28"/>
      <c r="P358" s="28"/>
      <c r="Q358" s="28"/>
    </row>
    <row r="359" spans="1:17" ht="18.75">
      <c r="A359" s="22">
        <v>354</v>
      </c>
      <c r="B359" s="23" t="s">
        <v>105</v>
      </c>
      <c r="C359" s="23" t="s">
        <v>876</v>
      </c>
      <c r="D359" s="24">
        <v>1108745.1173</v>
      </c>
      <c r="E359" s="24">
        <v>3420523.0062000002</v>
      </c>
      <c r="F359" s="25">
        <f t="shared" si="5"/>
        <v>4529268.1234999998</v>
      </c>
      <c r="G359" s="26"/>
      <c r="H359" s="26"/>
      <c r="I359" s="28"/>
      <c r="J359" s="28"/>
      <c r="K359" s="28"/>
      <c r="L359" s="28"/>
      <c r="M359" s="26"/>
      <c r="N359" s="26"/>
      <c r="O359" s="28"/>
      <c r="P359" s="28"/>
      <c r="Q359" s="28"/>
    </row>
    <row r="360" spans="1:17" ht="18.75">
      <c r="A360" s="22">
        <v>355</v>
      </c>
      <c r="B360" s="23" t="s">
        <v>105</v>
      </c>
      <c r="C360" s="23" t="s">
        <v>878</v>
      </c>
      <c r="D360" s="24">
        <v>1283481.0127000001</v>
      </c>
      <c r="E360" s="24">
        <v>3959590.2280000001</v>
      </c>
      <c r="F360" s="25">
        <f t="shared" si="5"/>
        <v>5243071.2407</v>
      </c>
      <c r="G360" s="26"/>
      <c r="H360" s="26"/>
      <c r="I360" s="28"/>
      <c r="J360" s="28"/>
      <c r="K360" s="28"/>
      <c r="L360" s="28"/>
      <c r="M360" s="26"/>
      <c r="N360" s="26"/>
      <c r="O360" s="28"/>
      <c r="P360" s="28"/>
      <c r="Q360" s="28"/>
    </row>
    <row r="361" spans="1:17" ht="18.75">
      <c r="A361" s="22">
        <v>356</v>
      </c>
      <c r="B361" s="23" t="s">
        <v>105</v>
      </c>
      <c r="C361" s="23" t="s">
        <v>880</v>
      </c>
      <c r="D361" s="24">
        <v>995510.93900000001</v>
      </c>
      <c r="E361" s="24">
        <v>3071191.0397999999</v>
      </c>
      <c r="F361" s="25">
        <f t="shared" si="5"/>
        <v>4066701.9788000002</v>
      </c>
      <c r="G361" s="26"/>
      <c r="H361" s="26"/>
      <c r="I361" s="28"/>
      <c r="J361" s="28"/>
      <c r="K361" s="28"/>
      <c r="L361" s="28"/>
      <c r="M361" s="26"/>
      <c r="N361" s="26"/>
      <c r="O361" s="28"/>
      <c r="P361" s="28"/>
      <c r="Q361" s="28"/>
    </row>
    <row r="362" spans="1:17" ht="18.75">
      <c r="A362" s="22">
        <v>357</v>
      </c>
      <c r="B362" s="23" t="s">
        <v>105</v>
      </c>
      <c r="C362" s="23" t="s">
        <v>882</v>
      </c>
      <c r="D362" s="24">
        <v>1385176.8572</v>
      </c>
      <c r="E362" s="24">
        <v>4273325.9733999996</v>
      </c>
      <c r="F362" s="25">
        <f t="shared" si="5"/>
        <v>5658502.8306</v>
      </c>
      <c r="G362" s="26"/>
      <c r="H362" s="26"/>
      <c r="I362" s="28"/>
      <c r="J362" s="28"/>
      <c r="K362" s="28"/>
      <c r="L362" s="28"/>
      <c r="M362" s="26"/>
      <c r="N362" s="26"/>
      <c r="O362" s="28"/>
      <c r="P362" s="28"/>
      <c r="Q362" s="28"/>
    </row>
    <row r="363" spans="1:17" ht="18.75">
      <c r="A363" s="22">
        <v>358</v>
      </c>
      <c r="B363" s="23" t="s">
        <v>105</v>
      </c>
      <c r="C363" s="23" t="s">
        <v>884</v>
      </c>
      <c r="D363" s="24">
        <v>931689.5111</v>
      </c>
      <c r="E363" s="24">
        <v>2874299.3837000001</v>
      </c>
      <c r="F363" s="25">
        <f t="shared" si="5"/>
        <v>3805988.8947999999</v>
      </c>
      <c r="G363" s="26"/>
      <c r="H363" s="26"/>
      <c r="I363" s="28"/>
      <c r="J363" s="28"/>
      <c r="K363" s="28"/>
      <c r="L363" s="28"/>
      <c r="M363" s="26"/>
      <c r="N363" s="26"/>
      <c r="O363" s="28"/>
      <c r="P363" s="28"/>
      <c r="Q363" s="28"/>
    </row>
    <row r="364" spans="1:17" ht="18.75">
      <c r="A364" s="22">
        <v>359</v>
      </c>
      <c r="B364" s="23" t="s">
        <v>105</v>
      </c>
      <c r="C364" s="23" t="s">
        <v>886</v>
      </c>
      <c r="D364" s="24">
        <v>1229363.1214999999</v>
      </c>
      <c r="E364" s="24">
        <v>3792634.3706999999</v>
      </c>
      <c r="F364" s="25">
        <f t="shared" si="5"/>
        <v>5021997.4922000002</v>
      </c>
      <c r="G364" s="26"/>
      <c r="H364" s="26"/>
      <c r="I364" s="28"/>
      <c r="J364" s="28"/>
      <c r="K364" s="28"/>
      <c r="L364" s="28"/>
      <c r="M364" s="26"/>
      <c r="N364" s="26"/>
      <c r="O364" s="28"/>
      <c r="P364" s="28"/>
      <c r="Q364" s="28"/>
    </row>
    <row r="365" spans="1:17" ht="18.75">
      <c r="A365" s="22">
        <v>360</v>
      </c>
      <c r="B365" s="23" t="s">
        <v>105</v>
      </c>
      <c r="C365" s="23" t="s">
        <v>888</v>
      </c>
      <c r="D365" s="24">
        <v>1030731.3146</v>
      </c>
      <c r="E365" s="24">
        <v>3179847.3064999999</v>
      </c>
      <c r="F365" s="25">
        <f t="shared" si="5"/>
        <v>4210578.6211000001</v>
      </c>
      <c r="G365" s="26"/>
      <c r="H365" s="26"/>
      <c r="I365" s="28"/>
      <c r="J365" s="28"/>
      <c r="K365" s="28"/>
      <c r="L365" s="28"/>
      <c r="M365" s="26"/>
      <c r="N365" s="26"/>
      <c r="O365" s="28"/>
      <c r="P365" s="28"/>
      <c r="Q365" s="28"/>
    </row>
    <row r="366" spans="1:17" ht="18.75">
      <c r="A366" s="22">
        <v>361</v>
      </c>
      <c r="B366" s="23" t="s">
        <v>105</v>
      </c>
      <c r="C366" s="23" t="s">
        <v>890</v>
      </c>
      <c r="D366" s="24">
        <v>1313806.4183</v>
      </c>
      <c r="E366" s="24">
        <v>4053145.3166999999</v>
      </c>
      <c r="F366" s="25">
        <f t="shared" si="5"/>
        <v>5366951.7350000003</v>
      </c>
      <c r="G366" s="26"/>
      <c r="H366" s="26"/>
      <c r="I366" s="28"/>
      <c r="J366" s="28"/>
      <c r="K366" s="28"/>
      <c r="L366" s="28"/>
      <c r="M366" s="26"/>
      <c r="N366" s="26"/>
      <c r="O366" s="28"/>
      <c r="P366" s="28"/>
      <c r="Q366" s="28"/>
    </row>
    <row r="367" spans="1:17" ht="18.75">
      <c r="A367" s="22">
        <v>362</v>
      </c>
      <c r="B367" s="23" t="s">
        <v>105</v>
      </c>
      <c r="C367" s="23" t="s">
        <v>892</v>
      </c>
      <c r="D367" s="24">
        <v>1469884.5112999999</v>
      </c>
      <c r="E367" s="24">
        <v>4534652.4724000003</v>
      </c>
      <c r="F367" s="25">
        <f t="shared" si="5"/>
        <v>6004536.9836999997</v>
      </c>
      <c r="G367" s="26"/>
      <c r="H367" s="26"/>
      <c r="I367" s="28"/>
      <c r="J367" s="28"/>
      <c r="K367" s="28"/>
      <c r="L367" s="28"/>
      <c r="M367" s="26"/>
      <c r="N367" s="26"/>
      <c r="O367" s="28"/>
      <c r="P367" s="28"/>
      <c r="Q367" s="28"/>
    </row>
    <row r="368" spans="1:17" ht="18.75">
      <c r="A368" s="22">
        <v>363</v>
      </c>
      <c r="B368" s="23" t="s">
        <v>105</v>
      </c>
      <c r="C368" s="23" t="s">
        <v>894</v>
      </c>
      <c r="D368" s="24">
        <v>1500879.0804000001</v>
      </c>
      <c r="E368" s="24">
        <v>4630271.9570000004</v>
      </c>
      <c r="F368" s="25">
        <f t="shared" si="5"/>
        <v>6131151.0373999998</v>
      </c>
      <c r="G368" s="26"/>
      <c r="H368" s="26"/>
      <c r="I368" s="28"/>
      <c r="J368" s="28"/>
      <c r="K368" s="28"/>
      <c r="L368" s="28"/>
      <c r="M368" s="26"/>
      <c r="N368" s="26"/>
      <c r="O368" s="28"/>
      <c r="P368" s="28"/>
      <c r="Q368" s="28"/>
    </row>
    <row r="369" spans="1:17" ht="18.75">
      <c r="A369" s="22">
        <v>364</v>
      </c>
      <c r="B369" s="23" t="s">
        <v>106</v>
      </c>
      <c r="C369" s="23" t="s">
        <v>898</v>
      </c>
      <c r="D369" s="24">
        <v>963144.30460000003</v>
      </c>
      <c r="E369" s="24">
        <v>2971338.6787999999</v>
      </c>
      <c r="F369" s="25">
        <f t="shared" si="5"/>
        <v>3934482.9833999998</v>
      </c>
      <c r="G369" s="26"/>
      <c r="H369" s="26"/>
      <c r="I369" s="28"/>
      <c r="J369" s="28"/>
      <c r="K369" s="28"/>
      <c r="L369" s="28"/>
      <c r="M369" s="26"/>
      <c r="N369" s="26"/>
      <c r="O369" s="28"/>
      <c r="P369" s="28"/>
      <c r="Q369" s="28"/>
    </row>
    <row r="370" spans="1:17" ht="18.75">
      <c r="A370" s="22">
        <v>365</v>
      </c>
      <c r="B370" s="23" t="s">
        <v>106</v>
      </c>
      <c r="C370" s="23" t="s">
        <v>900</v>
      </c>
      <c r="D370" s="24">
        <v>986512.88690000004</v>
      </c>
      <c r="E370" s="24">
        <v>3043431.6894</v>
      </c>
      <c r="F370" s="25">
        <f t="shared" si="5"/>
        <v>4029944.5762999998</v>
      </c>
      <c r="G370" s="26"/>
      <c r="H370" s="26"/>
      <c r="I370" s="28"/>
      <c r="J370" s="28"/>
      <c r="K370" s="28"/>
      <c r="L370" s="28"/>
      <c r="M370" s="26"/>
      <c r="N370" s="26"/>
      <c r="O370" s="28"/>
      <c r="P370" s="28"/>
      <c r="Q370" s="28"/>
    </row>
    <row r="371" spans="1:17" ht="18.75">
      <c r="A371" s="22">
        <v>366</v>
      </c>
      <c r="B371" s="23" t="s">
        <v>106</v>
      </c>
      <c r="C371" s="23" t="s">
        <v>901</v>
      </c>
      <c r="D371" s="24">
        <v>899505.39450000005</v>
      </c>
      <c r="E371" s="24">
        <v>2775010.0975000001</v>
      </c>
      <c r="F371" s="25">
        <f t="shared" si="5"/>
        <v>3674515.4920000001</v>
      </c>
      <c r="G371" s="26"/>
      <c r="H371" s="26"/>
      <c r="I371" s="28"/>
      <c r="J371" s="28"/>
      <c r="K371" s="28"/>
      <c r="L371" s="28"/>
      <c r="M371" s="26"/>
      <c r="N371" s="26"/>
      <c r="O371" s="28"/>
      <c r="P371" s="28"/>
      <c r="Q371" s="28"/>
    </row>
    <row r="372" spans="1:17" ht="18.75">
      <c r="A372" s="22">
        <v>367</v>
      </c>
      <c r="B372" s="23" t="s">
        <v>106</v>
      </c>
      <c r="C372" s="23" t="s">
        <v>903</v>
      </c>
      <c r="D372" s="24">
        <v>975838.99710000004</v>
      </c>
      <c r="E372" s="24">
        <v>3010502.3127000001</v>
      </c>
      <c r="F372" s="25">
        <f t="shared" si="5"/>
        <v>3986341.3097999999</v>
      </c>
      <c r="G372" s="26"/>
      <c r="H372" s="26"/>
      <c r="I372" s="28"/>
      <c r="J372" s="28"/>
      <c r="K372" s="28"/>
      <c r="L372" s="28"/>
      <c r="M372" s="26"/>
      <c r="N372" s="26"/>
      <c r="O372" s="28"/>
      <c r="P372" s="28"/>
      <c r="Q372" s="28"/>
    </row>
    <row r="373" spans="1:17" ht="18.75">
      <c r="A373" s="22">
        <v>368</v>
      </c>
      <c r="B373" s="23" t="s">
        <v>106</v>
      </c>
      <c r="C373" s="23" t="s">
        <v>905</v>
      </c>
      <c r="D373" s="24">
        <v>1182748.9882</v>
      </c>
      <c r="E373" s="24">
        <v>3648827.9062000001</v>
      </c>
      <c r="F373" s="25">
        <f t="shared" si="5"/>
        <v>4831576.8943999996</v>
      </c>
      <c r="G373" s="26"/>
      <c r="H373" s="26"/>
      <c r="I373" s="28"/>
      <c r="J373" s="28"/>
      <c r="K373" s="28"/>
      <c r="L373" s="28"/>
      <c r="M373" s="26"/>
      <c r="N373" s="26"/>
      <c r="O373" s="28"/>
      <c r="P373" s="28"/>
      <c r="Q373" s="28"/>
    </row>
    <row r="374" spans="1:17" ht="18.75">
      <c r="A374" s="22">
        <v>369</v>
      </c>
      <c r="B374" s="23" t="s">
        <v>106</v>
      </c>
      <c r="C374" s="23" t="s">
        <v>907</v>
      </c>
      <c r="D374" s="24">
        <v>942301.93709999998</v>
      </c>
      <c r="E374" s="24">
        <v>2907039.1420999998</v>
      </c>
      <c r="F374" s="25">
        <f t="shared" si="5"/>
        <v>3849341.0792</v>
      </c>
      <c r="G374" s="26"/>
      <c r="H374" s="26"/>
      <c r="I374" s="28"/>
      <c r="J374" s="28"/>
      <c r="K374" s="28"/>
      <c r="L374" s="28"/>
      <c r="M374" s="26"/>
      <c r="N374" s="26"/>
      <c r="O374" s="28"/>
      <c r="P374" s="28"/>
      <c r="Q374" s="28"/>
    </row>
    <row r="375" spans="1:17" ht="18.75">
      <c r="A375" s="22">
        <v>370</v>
      </c>
      <c r="B375" s="23" t="s">
        <v>106</v>
      </c>
      <c r="C375" s="23" t="s">
        <v>909</v>
      </c>
      <c r="D375" s="24">
        <v>1520977.8202</v>
      </c>
      <c r="E375" s="24">
        <v>4692277.3726000004</v>
      </c>
      <c r="F375" s="25">
        <f t="shared" si="5"/>
        <v>6213255.1928000003</v>
      </c>
      <c r="G375" s="26"/>
      <c r="H375" s="26"/>
      <c r="I375" s="28"/>
      <c r="J375" s="28"/>
      <c r="K375" s="28"/>
      <c r="L375" s="28"/>
      <c r="M375" s="26"/>
      <c r="N375" s="26"/>
      <c r="O375" s="28"/>
      <c r="P375" s="28"/>
      <c r="Q375" s="28"/>
    </row>
    <row r="376" spans="1:17" ht="18.75">
      <c r="A376" s="22">
        <v>371</v>
      </c>
      <c r="B376" s="23" t="s">
        <v>106</v>
      </c>
      <c r="C376" s="23" t="s">
        <v>911</v>
      </c>
      <c r="D376" s="24">
        <v>1036266.2001</v>
      </c>
      <c r="E376" s="24">
        <v>3196922.6494</v>
      </c>
      <c r="F376" s="25">
        <f t="shared" si="5"/>
        <v>4233188.8494999995</v>
      </c>
      <c r="G376" s="26"/>
      <c r="H376" s="26"/>
      <c r="I376" s="28"/>
      <c r="J376" s="28"/>
      <c r="K376" s="28"/>
      <c r="L376" s="28"/>
      <c r="M376" s="26"/>
      <c r="N376" s="26"/>
      <c r="O376" s="28"/>
      <c r="P376" s="28"/>
      <c r="Q376" s="28"/>
    </row>
    <row r="377" spans="1:17" ht="18.75">
      <c r="A377" s="22">
        <v>372</v>
      </c>
      <c r="B377" s="23" t="s">
        <v>106</v>
      </c>
      <c r="C377" s="23" t="s">
        <v>913</v>
      </c>
      <c r="D377" s="24">
        <v>1113945.94</v>
      </c>
      <c r="E377" s="24">
        <v>3436567.7522</v>
      </c>
      <c r="F377" s="25">
        <f t="shared" si="5"/>
        <v>4550513.6922000004</v>
      </c>
      <c r="G377" s="26"/>
      <c r="H377" s="26"/>
      <c r="I377" s="28"/>
      <c r="J377" s="28"/>
      <c r="K377" s="28"/>
      <c r="L377" s="28"/>
      <c r="M377" s="26"/>
      <c r="N377" s="26"/>
      <c r="O377" s="28"/>
      <c r="P377" s="28"/>
      <c r="Q377" s="28"/>
    </row>
    <row r="378" spans="1:17" ht="18.75">
      <c r="A378" s="22">
        <v>373</v>
      </c>
      <c r="B378" s="23" t="s">
        <v>106</v>
      </c>
      <c r="C378" s="23" t="s">
        <v>915</v>
      </c>
      <c r="D378" s="24">
        <v>1121747.7017999999</v>
      </c>
      <c r="E378" s="24">
        <v>3460636.4991000001</v>
      </c>
      <c r="F378" s="25">
        <f t="shared" si="5"/>
        <v>4582384.2008999996</v>
      </c>
      <c r="G378" s="26"/>
      <c r="H378" s="26"/>
      <c r="I378" s="28"/>
      <c r="J378" s="28"/>
      <c r="K378" s="28"/>
      <c r="L378" s="28"/>
      <c r="M378" s="26"/>
      <c r="N378" s="26"/>
      <c r="O378" s="28"/>
      <c r="P378" s="28"/>
      <c r="Q378" s="28"/>
    </row>
    <row r="379" spans="1:17" ht="18.75">
      <c r="A379" s="22">
        <v>374</v>
      </c>
      <c r="B379" s="23" t="s">
        <v>106</v>
      </c>
      <c r="C379" s="23" t="s">
        <v>916</v>
      </c>
      <c r="D379" s="24">
        <v>1039705.0877</v>
      </c>
      <c r="E379" s="24">
        <v>3207531.7552</v>
      </c>
      <c r="F379" s="25">
        <f t="shared" si="5"/>
        <v>4247236.8428999996</v>
      </c>
      <c r="G379" s="26"/>
      <c r="H379" s="26"/>
      <c r="I379" s="28"/>
      <c r="J379" s="28"/>
      <c r="K379" s="28"/>
      <c r="L379" s="28"/>
      <c r="M379" s="26"/>
      <c r="N379" s="26"/>
      <c r="O379" s="28"/>
      <c r="P379" s="28"/>
      <c r="Q379" s="28"/>
    </row>
    <row r="380" spans="1:17" ht="18.75">
      <c r="A380" s="22">
        <v>375</v>
      </c>
      <c r="B380" s="23" t="s">
        <v>106</v>
      </c>
      <c r="C380" s="23" t="s">
        <v>918</v>
      </c>
      <c r="D380" s="24">
        <v>1018582.3465</v>
      </c>
      <c r="E380" s="24">
        <v>3142367.2541999999</v>
      </c>
      <c r="F380" s="25">
        <f t="shared" si="5"/>
        <v>4160949.6006999998</v>
      </c>
      <c r="G380" s="26"/>
      <c r="H380" s="26"/>
      <c r="I380" s="28"/>
      <c r="J380" s="28"/>
      <c r="K380" s="28"/>
      <c r="L380" s="28"/>
      <c r="M380" s="26"/>
      <c r="N380" s="26"/>
      <c r="O380" s="28"/>
      <c r="P380" s="28"/>
      <c r="Q380" s="28"/>
    </row>
    <row r="381" spans="1:17" ht="18.75">
      <c r="A381" s="22">
        <v>376</v>
      </c>
      <c r="B381" s="23" t="s">
        <v>106</v>
      </c>
      <c r="C381" s="23" t="s">
        <v>920</v>
      </c>
      <c r="D381" s="24">
        <v>1064274.5415000001</v>
      </c>
      <c r="E381" s="24">
        <v>3283329.5022999998</v>
      </c>
      <c r="F381" s="25">
        <f t="shared" si="5"/>
        <v>4347604.0438000001</v>
      </c>
      <c r="G381" s="26"/>
      <c r="H381" s="26"/>
      <c r="I381" s="28"/>
      <c r="J381" s="28"/>
      <c r="K381" s="28"/>
      <c r="L381" s="28"/>
      <c r="M381" s="26"/>
      <c r="N381" s="26"/>
      <c r="O381" s="28"/>
      <c r="P381" s="28"/>
      <c r="Q381" s="28"/>
    </row>
    <row r="382" spans="1:17" ht="18.75">
      <c r="A382" s="22">
        <v>377</v>
      </c>
      <c r="B382" s="23" t="s">
        <v>106</v>
      </c>
      <c r="C382" s="23" t="s">
        <v>922</v>
      </c>
      <c r="D382" s="24">
        <v>949337.66680000001</v>
      </c>
      <c r="E382" s="24">
        <v>2928744.6496000001</v>
      </c>
      <c r="F382" s="25">
        <f t="shared" si="5"/>
        <v>3878082.3163999999</v>
      </c>
      <c r="G382" s="26"/>
      <c r="H382" s="26"/>
      <c r="I382" s="28"/>
      <c r="J382" s="28"/>
      <c r="K382" s="28"/>
      <c r="L382" s="28"/>
      <c r="M382" s="26"/>
      <c r="N382" s="26"/>
      <c r="O382" s="28"/>
      <c r="P382" s="28"/>
      <c r="Q382" s="28"/>
    </row>
    <row r="383" spans="1:17" ht="18.75">
      <c r="A383" s="22">
        <v>378</v>
      </c>
      <c r="B383" s="23" t="s">
        <v>106</v>
      </c>
      <c r="C383" s="23" t="s">
        <v>924</v>
      </c>
      <c r="D383" s="24">
        <v>944383.79330000002</v>
      </c>
      <c r="E383" s="24">
        <v>2913461.7516000001</v>
      </c>
      <c r="F383" s="25">
        <f t="shared" si="5"/>
        <v>3857845.5449000001</v>
      </c>
      <c r="G383" s="26"/>
      <c r="H383" s="26"/>
      <c r="I383" s="28"/>
      <c r="J383" s="28"/>
      <c r="K383" s="28"/>
      <c r="L383" s="28"/>
      <c r="M383" s="26"/>
      <c r="N383" s="26"/>
      <c r="O383" s="28"/>
      <c r="P383" s="28"/>
      <c r="Q383" s="28"/>
    </row>
    <row r="384" spans="1:17" ht="18.75">
      <c r="A384" s="22">
        <v>379</v>
      </c>
      <c r="B384" s="23" t="s">
        <v>106</v>
      </c>
      <c r="C384" s="23" t="s">
        <v>926</v>
      </c>
      <c r="D384" s="24">
        <v>1020662.4878999999</v>
      </c>
      <c r="E384" s="24">
        <v>3148784.5737000001</v>
      </c>
      <c r="F384" s="25">
        <f t="shared" si="5"/>
        <v>4169447.0616000001</v>
      </c>
      <c r="G384" s="26"/>
      <c r="H384" s="26"/>
      <c r="I384" s="28"/>
      <c r="J384" s="28"/>
      <c r="K384" s="28"/>
      <c r="L384" s="28"/>
      <c r="M384" s="26"/>
      <c r="N384" s="26"/>
      <c r="O384" s="28"/>
      <c r="P384" s="28"/>
      <c r="Q384" s="28"/>
    </row>
    <row r="385" spans="1:17" ht="18.75">
      <c r="A385" s="22">
        <v>380</v>
      </c>
      <c r="B385" s="23" t="s">
        <v>106</v>
      </c>
      <c r="C385" s="23" t="s">
        <v>928</v>
      </c>
      <c r="D385" s="24">
        <v>1165525.8063000001</v>
      </c>
      <c r="E385" s="24">
        <v>3595693.7015999998</v>
      </c>
      <c r="F385" s="25">
        <f t="shared" si="5"/>
        <v>4761219.5078999996</v>
      </c>
      <c r="G385" s="26"/>
      <c r="H385" s="26"/>
      <c r="I385" s="28"/>
      <c r="J385" s="28"/>
      <c r="K385" s="28"/>
      <c r="L385" s="28"/>
      <c r="M385" s="26"/>
      <c r="N385" s="26"/>
      <c r="O385" s="28"/>
      <c r="P385" s="28"/>
      <c r="Q385" s="28"/>
    </row>
    <row r="386" spans="1:17" ht="18.75">
      <c r="A386" s="22">
        <v>381</v>
      </c>
      <c r="B386" s="23" t="s">
        <v>106</v>
      </c>
      <c r="C386" s="23" t="s">
        <v>930</v>
      </c>
      <c r="D386" s="24">
        <v>1401278.6581999999</v>
      </c>
      <c r="E386" s="24">
        <v>4323000.6731000002</v>
      </c>
      <c r="F386" s="25">
        <f t="shared" si="5"/>
        <v>5724279.3312999997</v>
      </c>
      <c r="G386" s="26"/>
      <c r="H386" s="26"/>
      <c r="I386" s="28"/>
      <c r="J386" s="28"/>
      <c r="K386" s="28"/>
      <c r="L386" s="28"/>
      <c r="M386" s="26"/>
      <c r="N386" s="26"/>
      <c r="O386" s="28"/>
      <c r="P386" s="28"/>
      <c r="Q386" s="28"/>
    </row>
    <row r="387" spans="1:17" ht="18.75">
      <c r="A387" s="22">
        <v>382</v>
      </c>
      <c r="B387" s="23" t="s">
        <v>106</v>
      </c>
      <c r="C387" s="23" t="s">
        <v>933</v>
      </c>
      <c r="D387" s="24">
        <v>963413.69339999999</v>
      </c>
      <c r="E387" s="24">
        <v>2972169.7541</v>
      </c>
      <c r="F387" s="25">
        <f t="shared" si="5"/>
        <v>3935583.4474999998</v>
      </c>
      <c r="G387" s="26"/>
      <c r="H387" s="26"/>
      <c r="I387" s="28"/>
      <c r="J387" s="28"/>
      <c r="K387" s="28"/>
      <c r="L387" s="28"/>
      <c r="M387" s="26"/>
      <c r="N387" s="26"/>
      <c r="O387" s="28"/>
      <c r="P387" s="28"/>
      <c r="Q387" s="28"/>
    </row>
    <row r="388" spans="1:17" ht="18.75">
      <c r="A388" s="22">
        <v>383</v>
      </c>
      <c r="B388" s="23" t="s">
        <v>106</v>
      </c>
      <c r="C388" s="23" t="s">
        <v>935</v>
      </c>
      <c r="D388" s="24">
        <v>928313.2585</v>
      </c>
      <c r="E388" s="24">
        <v>2863883.5095000002</v>
      </c>
      <c r="F388" s="25">
        <f t="shared" si="5"/>
        <v>3792196.7680000002</v>
      </c>
      <c r="G388" s="26"/>
      <c r="H388" s="26"/>
      <c r="I388" s="28"/>
      <c r="J388" s="28"/>
      <c r="K388" s="28"/>
      <c r="L388" s="28"/>
      <c r="M388" s="26"/>
      <c r="N388" s="26"/>
      <c r="O388" s="28"/>
      <c r="P388" s="28"/>
      <c r="Q388" s="28"/>
    </row>
    <row r="389" spans="1:17" ht="37.5">
      <c r="A389" s="22">
        <v>384</v>
      </c>
      <c r="B389" s="23" t="s">
        <v>106</v>
      </c>
      <c r="C389" s="23" t="s">
        <v>937</v>
      </c>
      <c r="D389" s="24">
        <v>1352562.0098000001</v>
      </c>
      <c r="E389" s="24">
        <v>4172707.8657</v>
      </c>
      <c r="F389" s="25">
        <f t="shared" si="5"/>
        <v>5525269.8755000001</v>
      </c>
      <c r="G389" s="26"/>
      <c r="H389" s="26"/>
      <c r="I389" s="28"/>
      <c r="J389" s="28"/>
      <c r="K389" s="28"/>
      <c r="L389" s="28"/>
      <c r="M389" s="26"/>
      <c r="N389" s="26"/>
      <c r="O389" s="28"/>
      <c r="P389" s="28"/>
      <c r="Q389" s="28"/>
    </row>
    <row r="390" spans="1:17" ht="18.75">
      <c r="A390" s="22">
        <v>385</v>
      </c>
      <c r="B390" s="23" t="s">
        <v>106</v>
      </c>
      <c r="C390" s="23" t="s">
        <v>939</v>
      </c>
      <c r="D390" s="24">
        <v>900182.5673</v>
      </c>
      <c r="E390" s="24">
        <v>2777099.2028000001</v>
      </c>
      <c r="F390" s="25">
        <f t="shared" si="5"/>
        <v>3677281.7700999998</v>
      </c>
      <c r="G390" s="26"/>
      <c r="H390" s="26"/>
      <c r="I390" s="28"/>
      <c r="J390" s="28"/>
      <c r="K390" s="28"/>
      <c r="L390" s="28"/>
      <c r="M390" s="26"/>
      <c r="N390" s="26"/>
      <c r="O390" s="28"/>
      <c r="P390" s="28"/>
      <c r="Q390" s="28"/>
    </row>
    <row r="391" spans="1:17" ht="18.75">
      <c r="A391" s="22">
        <v>386</v>
      </c>
      <c r="B391" s="23" t="s">
        <v>106</v>
      </c>
      <c r="C391" s="23" t="s">
        <v>941</v>
      </c>
      <c r="D391" s="24">
        <v>908468.60959999997</v>
      </c>
      <c r="E391" s="24">
        <v>2802661.9745</v>
      </c>
      <c r="F391" s="25">
        <f t="shared" ref="F391:F454" si="6">D391+E391</f>
        <v>3711130.5841000001</v>
      </c>
      <c r="G391" s="26"/>
      <c r="H391" s="26"/>
      <c r="I391" s="28"/>
      <c r="J391" s="28"/>
      <c r="K391" s="28"/>
      <c r="L391" s="28"/>
      <c r="M391" s="26"/>
      <c r="N391" s="26"/>
      <c r="O391" s="28"/>
      <c r="P391" s="28"/>
      <c r="Q391" s="28"/>
    </row>
    <row r="392" spans="1:17" ht="18.75">
      <c r="A392" s="22">
        <v>387</v>
      </c>
      <c r="B392" s="23" t="s">
        <v>106</v>
      </c>
      <c r="C392" s="23" t="s">
        <v>943</v>
      </c>
      <c r="D392" s="24">
        <v>1172033.8147</v>
      </c>
      <c r="E392" s="24">
        <v>3615771.1674000002</v>
      </c>
      <c r="F392" s="25">
        <f t="shared" si="6"/>
        <v>4787804.9820999997</v>
      </c>
      <c r="G392" s="26"/>
      <c r="H392" s="26"/>
      <c r="I392" s="28"/>
      <c r="J392" s="28"/>
      <c r="K392" s="28"/>
      <c r="L392" s="28"/>
      <c r="M392" s="26"/>
      <c r="N392" s="26"/>
      <c r="O392" s="28"/>
      <c r="P392" s="28"/>
      <c r="Q392" s="28"/>
    </row>
    <row r="393" spans="1:17" ht="18.75">
      <c r="A393" s="22">
        <v>388</v>
      </c>
      <c r="B393" s="23" t="s">
        <v>106</v>
      </c>
      <c r="C393" s="23" t="s">
        <v>945</v>
      </c>
      <c r="D393" s="24">
        <v>1197558.6758000001</v>
      </c>
      <c r="E393" s="24">
        <v>3694516.3843</v>
      </c>
      <c r="F393" s="25">
        <f t="shared" si="6"/>
        <v>4892075.0601000004</v>
      </c>
      <c r="G393" s="26"/>
      <c r="H393" s="26"/>
      <c r="I393" s="28"/>
      <c r="J393" s="28"/>
      <c r="K393" s="28"/>
      <c r="L393" s="28"/>
      <c r="M393" s="26"/>
      <c r="N393" s="26"/>
      <c r="O393" s="28"/>
      <c r="P393" s="28"/>
      <c r="Q393" s="28"/>
    </row>
    <row r="394" spans="1:17" ht="18.75">
      <c r="A394" s="22">
        <v>389</v>
      </c>
      <c r="B394" s="23" t="s">
        <v>106</v>
      </c>
      <c r="C394" s="23" t="s">
        <v>133</v>
      </c>
      <c r="D394" s="24">
        <v>918311.73490000004</v>
      </c>
      <c r="E394" s="24">
        <v>2833028.4092999999</v>
      </c>
      <c r="F394" s="25">
        <f t="shared" si="6"/>
        <v>3751340.1442</v>
      </c>
      <c r="G394" s="26"/>
      <c r="H394" s="26"/>
      <c r="I394" s="28"/>
      <c r="J394" s="28"/>
      <c r="K394" s="28"/>
      <c r="L394" s="28"/>
      <c r="M394" s="26"/>
      <c r="N394" s="26"/>
      <c r="O394" s="28"/>
      <c r="P394" s="28"/>
      <c r="Q394" s="28"/>
    </row>
    <row r="395" spans="1:17" ht="18.75">
      <c r="A395" s="22">
        <v>390</v>
      </c>
      <c r="B395" s="23" t="s">
        <v>106</v>
      </c>
      <c r="C395" s="23" t="s">
        <v>135</v>
      </c>
      <c r="D395" s="24">
        <v>899333.62690000003</v>
      </c>
      <c r="E395" s="24">
        <v>2774480.1877000001</v>
      </c>
      <c r="F395" s="25">
        <f t="shared" si="6"/>
        <v>3673813.8146000002</v>
      </c>
      <c r="G395" s="26"/>
      <c r="H395" s="26"/>
      <c r="I395" s="28"/>
      <c r="J395" s="28"/>
      <c r="K395" s="28"/>
      <c r="L395" s="28"/>
      <c r="M395" s="26"/>
      <c r="N395" s="26"/>
      <c r="O395" s="28"/>
      <c r="P395" s="28"/>
      <c r="Q395" s="28"/>
    </row>
    <row r="396" spans="1:17" ht="18.75">
      <c r="A396" s="22">
        <v>391</v>
      </c>
      <c r="B396" s="23" t="s">
        <v>106</v>
      </c>
      <c r="C396" s="23" t="s">
        <v>137</v>
      </c>
      <c r="D396" s="24">
        <v>900147.72400000005</v>
      </c>
      <c r="E396" s="24">
        <v>2776991.7096000002</v>
      </c>
      <c r="F396" s="25">
        <f t="shared" si="6"/>
        <v>3677139.4336000001</v>
      </c>
      <c r="G396" s="26"/>
      <c r="H396" s="26"/>
      <c r="I396" s="28"/>
      <c r="J396" s="28"/>
      <c r="K396" s="28"/>
      <c r="L396" s="28"/>
      <c r="M396" s="26"/>
      <c r="N396" s="26"/>
      <c r="O396" s="28"/>
      <c r="P396" s="28"/>
      <c r="Q396" s="28"/>
    </row>
    <row r="397" spans="1:17" ht="18.75">
      <c r="A397" s="22">
        <v>392</v>
      </c>
      <c r="B397" s="23" t="s">
        <v>106</v>
      </c>
      <c r="C397" s="23" t="s">
        <v>139</v>
      </c>
      <c r="D397" s="24">
        <v>1066824.4336000001</v>
      </c>
      <c r="E397" s="24">
        <v>3291196.0213000001</v>
      </c>
      <c r="F397" s="25">
        <f t="shared" si="6"/>
        <v>4358020.4549000002</v>
      </c>
      <c r="G397" s="26"/>
      <c r="H397" s="26"/>
      <c r="I397" s="28"/>
      <c r="J397" s="28"/>
      <c r="K397" s="28"/>
      <c r="L397" s="28"/>
      <c r="M397" s="26"/>
      <c r="N397" s="26"/>
      <c r="O397" s="28"/>
      <c r="P397" s="28"/>
      <c r="Q397" s="28"/>
    </row>
    <row r="398" spans="1:17" ht="18.75">
      <c r="A398" s="22">
        <v>393</v>
      </c>
      <c r="B398" s="23" t="s">
        <v>106</v>
      </c>
      <c r="C398" s="23" t="s">
        <v>141</v>
      </c>
      <c r="D398" s="24">
        <v>1075170.1773999999</v>
      </c>
      <c r="E398" s="24">
        <v>3316942.9744000002</v>
      </c>
      <c r="F398" s="25">
        <f t="shared" si="6"/>
        <v>4392113.1518000001</v>
      </c>
      <c r="G398" s="26"/>
      <c r="H398" s="26"/>
      <c r="I398" s="28"/>
      <c r="J398" s="28"/>
      <c r="K398" s="28"/>
      <c r="L398" s="28"/>
      <c r="M398" s="26"/>
      <c r="N398" s="26"/>
      <c r="O398" s="28"/>
      <c r="P398" s="28"/>
      <c r="Q398" s="28"/>
    </row>
    <row r="399" spans="1:17" ht="18.75">
      <c r="A399" s="22">
        <v>394</v>
      </c>
      <c r="B399" s="23" t="s">
        <v>106</v>
      </c>
      <c r="C399" s="23" t="s">
        <v>112</v>
      </c>
      <c r="D399" s="24">
        <v>1858940.7431999999</v>
      </c>
      <c r="E399" s="24">
        <v>5734906.4993000003</v>
      </c>
      <c r="F399" s="25">
        <f t="shared" si="6"/>
        <v>7593847.2424999997</v>
      </c>
      <c r="G399" s="26"/>
      <c r="H399" s="26"/>
      <c r="I399" s="28"/>
      <c r="J399" s="28"/>
      <c r="K399" s="28"/>
      <c r="L399" s="28"/>
      <c r="M399" s="26"/>
      <c r="N399" s="26"/>
      <c r="O399" s="28"/>
      <c r="P399" s="28"/>
      <c r="Q399" s="28"/>
    </row>
    <row r="400" spans="1:17" ht="18.75">
      <c r="A400" s="22">
        <v>395</v>
      </c>
      <c r="B400" s="23" t="s">
        <v>106</v>
      </c>
      <c r="C400" s="23" t="s">
        <v>144</v>
      </c>
      <c r="D400" s="24">
        <v>931102.37250000006</v>
      </c>
      <c r="E400" s="24">
        <v>2872488.0375999999</v>
      </c>
      <c r="F400" s="25">
        <f t="shared" si="6"/>
        <v>3803590.4101</v>
      </c>
      <c r="G400" s="26"/>
      <c r="H400" s="26"/>
      <c r="I400" s="28"/>
      <c r="J400" s="28"/>
      <c r="K400" s="28"/>
      <c r="L400" s="28"/>
      <c r="M400" s="26"/>
      <c r="N400" s="26"/>
      <c r="O400" s="28"/>
      <c r="P400" s="28"/>
      <c r="Q400" s="28"/>
    </row>
    <row r="401" spans="1:17" ht="18.75">
      <c r="A401" s="22">
        <v>396</v>
      </c>
      <c r="B401" s="23" t="s">
        <v>106</v>
      </c>
      <c r="C401" s="23" t="s">
        <v>146</v>
      </c>
      <c r="D401" s="24">
        <v>921485.06099999999</v>
      </c>
      <c r="E401" s="24">
        <v>2842818.2472000001</v>
      </c>
      <c r="F401" s="25">
        <f t="shared" si="6"/>
        <v>3764303.3081999999</v>
      </c>
      <c r="G401" s="26"/>
      <c r="H401" s="26"/>
      <c r="I401" s="28"/>
      <c r="J401" s="28"/>
      <c r="K401" s="28"/>
      <c r="L401" s="28"/>
      <c r="M401" s="26"/>
      <c r="N401" s="26"/>
      <c r="O401" s="28"/>
      <c r="P401" s="28"/>
      <c r="Q401" s="28"/>
    </row>
    <row r="402" spans="1:17" ht="18.75">
      <c r="A402" s="22">
        <v>397</v>
      </c>
      <c r="B402" s="23" t="s">
        <v>106</v>
      </c>
      <c r="C402" s="23" t="s">
        <v>148</v>
      </c>
      <c r="D402" s="24">
        <v>1103040.9564</v>
      </c>
      <c r="E402" s="24">
        <v>3402925.4418000001</v>
      </c>
      <c r="F402" s="25">
        <f t="shared" si="6"/>
        <v>4505966.3981999997</v>
      </c>
      <c r="G402" s="26"/>
      <c r="H402" s="26"/>
      <c r="I402" s="28"/>
      <c r="J402" s="28"/>
      <c r="K402" s="28"/>
      <c r="L402" s="28"/>
      <c r="M402" s="26"/>
      <c r="N402" s="26"/>
      <c r="O402" s="28"/>
      <c r="P402" s="28"/>
      <c r="Q402" s="28"/>
    </row>
    <row r="403" spans="1:17" ht="18.75">
      <c r="A403" s="22">
        <v>398</v>
      </c>
      <c r="B403" s="23" t="s">
        <v>106</v>
      </c>
      <c r="C403" s="23" t="s">
        <v>150</v>
      </c>
      <c r="D403" s="24">
        <v>910115.10660000006</v>
      </c>
      <c r="E403" s="24">
        <v>2807741.4835000001</v>
      </c>
      <c r="F403" s="25">
        <f t="shared" si="6"/>
        <v>3717856.5901000001</v>
      </c>
      <c r="G403" s="26"/>
      <c r="H403" s="26"/>
      <c r="I403" s="28"/>
      <c r="J403" s="28"/>
      <c r="K403" s="28"/>
      <c r="L403" s="28"/>
      <c r="M403" s="26"/>
      <c r="N403" s="26"/>
      <c r="O403" s="28"/>
      <c r="P403" s="28"/>
      <c r="Q403" s="28"/>
    </row>
    <row r="404" spans="1:17" ht="18.75">
      <c r="A404" s="22">
        <v>399</v>
      </c>
      <c r="B404" s="23" t="s">
        <v>106</v>
      </c>
      <c r="C404" s="23" t="s">
        <v>152</v>
      </c>
      <c r="D404" s="24">
        <v>1151917.0407</v>
      </c>
      <c r="E404" s="24">
        <v>3553710.1154999998</v>
      </c>
      <c r="F404" s="25">
        <f t="shared" si="6"/>
        <v>4705627.1562000001</v>
      </c>
      <c r="G404" s="26"/>
      <c r="H404" s="26"/>
      <c r="I404" s="28"/>
      <c r="J404" s="28"/>
      <c r="K404" s="28"/>
      <c r="L404" s="28"/>
      <c r="M404" s="26"/>
      <c r="N404" s="26"/>
      <c r="O404" s="28"/>
      <c r="P404" s="28"/>
      <c r="Q404" s="28"/>
    </row>
    <row r="405" spans="1:17" ht="18.75">
      <c r="A405" s="22">
        <v>400</v>
      </c>
      <c r="B405" s="23" t="s">
        <v>106</v>
      </c>
      <c r="C405" s="23" t="s">
        <v>154</v>
      </c>
      <c r="D405" s="24">
        <v>1011567.828</v>
      </c>
      <c r="E405" s="24">
        <v>3120727.1842</v>
      </c>
      <c r="F405" s="25">
        <f t="shared" si="6"/>
        <v>4132295.0122000002</v>
      </c>
      <c r="G405" s="26"/>
      <c r="H405" s="26"/>
      <c r="I405" s="28"/>
      <c r="J405" s="28"/>
      <c r="K405" s="28"/>
      <c r="L405" s="28"/>
      <c r="M405" s="26"/>
      <c r="N405" s="26"/>
      <c r="O405" s="28"/>
      <c r="P405" s="28"/>
      <c r="Q405" s="28"/>
    </row>
    <row r="406" spans="1:17" ht="18.75">
      <c r="A406" s="22">
        <v>401</v>
      </c>
      <c r="B406" s="23" t="s">
        <v>106</v>
      </c>
      <c r="C406" s="23" t="s">
        <v>156</v>
      </c>
      <c r="D406" s="24">
        <v>1051882.4802999999</v>
      </c>
      <c r="E406" s="24">
        <v>3245099.4983000001</v>
      </c>
      <c r="F406" s="25">
        <f t="shared" si="6"/>
        <v>4296981.9786</v>
      </c>
      <c r="G406" s="26"/>
      <c r="H406" s="26"/>
      <c r="I406" s="28"/>
      <c r="J406" s="28"/>
      <c r="K406" s="28"/>
      <c r="L406" s="28"/>
      <c r="M406" s="26"/>
      <c r="N406" s="26"/>
      <c r="O406" s="28"/>
      <c r="P406" s="28"/>
      <c r="Q406" s="28"/>
    </row>
    <row r="407" spans="1:17" ht="18.75">
      <c r="A407" s="22">
        <v>402</v>
      </c>
      <c r="B407" s="23" t="s">
        <v>106</v>
      </c>
      <c r="C407" s="23" t="s">
        <v>158</v>
      </c>
      <c r="D407" s="24">
        <v>828098.18689999997</v>
      </c>
      <c r="E407" s="24">
        <v>2554716.0079000001</v>
      </c>
      <c r="F407" s="25">
        <f t="shared" si="6"/>
        <v>3382814.1948000002</v>
      </c>
      <c r="G407" s="26"/>
      <c r="H407" s="26"/>
      <c r="I407" s="28"/>
      <c r="J407" s="28"/>
      <c r="K407" s="28"/>
      <c r="L407" s="28"/>
      <c r="M407" s="26"/>
      <c r="N407" s="26"/>
      <c r="O407" s="28"/>
      <c r="P407" s="28"/>
      <c r="Q407" s="28"/>
    </row>
    <row r="408" spans="1:17" ht="18.75">
      <c r="A408" s="22">
        <v>403</v>
      </c>
      <c r="B408" s="23" t="s">
        <v>106</v>
      </c>
      <c r="C408" s="23" t="s">
        <v>160</v>
      </c>
      <c r="D408" s="24">
        <v>913007.65930000006</v>
      </c>
      <c r="E408" s="24">
        <v>2816665.1242999998</v>
      </c>
      <c r="F408" s="25">
        <f t="shared" si="6"/>
        <v>3729672.7836000002</v>
      </c>
      <c r="G408" s="26"/>
      <c r="H408" s="26"/>
      <c r="I408" s="28"/>
      <c r="J408" s="28"/>
      <c r="K408" s="28"/>
      <c r="L408" s="28"/>
      <c r="M408" s="26"/>
      <c r="N408" s="26"/>
      <c r="O408" s="28"/>
      <c r="P408" s="28"/>
      <c r="Q408" s="28"/>
    </row>
    <row r="409" spans="1:17" ht="18.75">
      <c r="A409" s="22">
        <v>404</v>
      </c>
      <c r="B409" s="23" t="s">
        <v>106</v>
      </c>
      <c r="C409" s="23" t="s">
        <v>162</v>
      </c>
      <c r="D409" s="24">
        <v>1125770.8685999999</v>
      </c>
      <c r="E409" s="24">
        <v>3473048.1296999999</v>
      </c>
      <c r="F409" s="25">
        <f t="shared" si="6"/>
        <v>4598818.9983000001</v>
      </c>
      <c r="G409" s="26"/>
      <c r="H409" s="26"/>
      <c r="I409" s="28"/>
      <c r="J409" s="28"/>
      <c r="K409" s="28"/>
      <c r="L409" s="28"/>
      <c r="M409" s="26"/>
      <c r="N409" s="26"/>
      <c r="O409" s="28"/>
      <c r="P409" s="28"/>
      <c r="Q409" s="28"/>
    </row>
    <row r="410" spans="1:17" ht="18.75">
      <c r="A410" s="22">
        <v>405</v>
      </c>
      <c r="B410" s="23" t="s">
        <v>106</v>
      </c>
      <c r="C410" s="23" t="s">
        <v>164</v>
      </c>
      <c r="D410" s="24">
        <v>1316219.4264</v>
      </c>
      <c r="E410" s="24">
        <v>4060589.5430000001</v>
      </c>
      <c r="F410" s="25">
        <f t="shared" si="6"/>
        <v>5376808.9693999998</v>
      </c>
      <c r="G410" s="26"/>
      <c r="H410" s="26"/>
      <c r="I410" s="28"/>
      <c r="J410" s="28"/>
      <c r="K410" s="28"/>
      <c r="L410" s="28"/>
      <c r="M410" s="26"/>
      <c r="N410" s="26"/>
      <c r="O410" s="28"/>
      <c r="P410" s="28"/>
      <c r="Q410" s="28"/>
    </row>
    <row r="411" spans="1:17" ht="18.75">
      <c r="A411" s="22">
        <v>406</v>
      </c>
      <c r="B411" s="23" t="s">
        <v>106</v>
      </c>
      <c r="C411" s="23" t="s">
        <v>166</v>
      </c>
      <c r="D411" s="24">
        <v>858967.39280000003</v>
      </c>
      <c r="E411" s="24">
        <v>2649948.7417000001</v>
      </c>
      <c r="F411" s="25">
        <f t="shared" si="6"/>
        <v>3508916.1345000002</v>
      </c>
      <c r="G411" s="26"/>
      <c r="H411" s="26"/>
      <c r="I411" s="28"/>
      <c r="J411" s="28"/>
      <c r="K411" s="28"/>
      <c r="L411" s="28"/>
      <c r="M411" s="26"/>
      <c r="N411" s="26"/>
      <c r="O411" s="28"/>
      <c r="P411" s="28"/>
      <c r="Q411" s="28"/>
    </row>
    <row r="412" spans="1:17" ht="18.75">
      <c r="A412" s="22">
        <v>407</v>
      </c>
      <c r="B412" s="23" t="s">
        <v>106</v>
      </c>
      <c r="C412" s="23" t="s">
        <v>169</v>
      </c>
      <c r="D412" s="24">
        <v>1010026.0825</v>
      </c>
      <c r="E412" s="24">
        <v>3115970.8377999999</v>
      </c>
      <c r="F412" s="25">
        <f t="shared" si="6"/>
        <v>4125996.9202999999</v>
      </c>
      <c r="G412" s="26"/>
      <c r="H412" s="26"/>
      <c r="I412" s="28"/>
      <c r="J412" s="28"/>
      <c r="K412" s="28"/>
      <c r="L412" s="28"/>
      <c r="M412" s="26"/>
      <c r="N412" s="26"/>
      <c r="O412" s="28"/>
      <c r="P412" s="28"/>
      <c r="Q412" s="28"/>
    </row>
    <row r="413" spans="1:17" ht="18.75">
      <c r="A413" s="22">
        <v>408</v>
      </c>
      <c r="B413" s="23" t="s">
        <v>107</v>
      </c>
      <c r="C413" s="23" t="s">
        <v>173</v>
      </c>
      <c r="D413" s="24">
        <v>1026334.3018</v>
      </c>
      <c r="E413" s="24">
        <v>3166282.3461000002</v>
      </c>
      <c r="F413" s="25">
        <f t="shared" si="6"/>
        <v>4192616.6479000002</v>
      </c>
      <c r="G413" s="26"/>
      <c r="H413" s="26"/>
      <c r="I413" s="28"/>
      <c r="J413" s="28"/>
      <c r="K413" s="28"/>
      <c r="L413" s="28"/>
      <c r="M413" s="26"/>
      <c r="N413" s="26"/>
      <c r="O413" s="28"/>
      <c r="P413" s="28"/>
      <c r="Q413" s="28"/>
    </row>
    <row r="414" spans="1:17" ht="18.75">
      <c r="A414" s="22">
        <v>409</v>
      </c>
      <c r="B414" s="23" t="s">
        <v>107</v>
      </c>
      <c r="C414" s="23" t="s">
        <v>175</v>
      </c>
      <c r="D414" s="24">
        <v>1057577.3273</v>
      </c>
      <c r="E414" s="24">
        <v>3262668.3289000001</v>
      </c>
      <c r="F414" s="25">
        <f t="shared" si="6"/>
        <v>4320245.6562000001</v>
      </c>
      <c r="G414" s="26"/>
      <c r="H414" s="26"/>
      <c r="I414" s="28"/>
      <c r="J414" s="28"/>
      <c r="K414" s="28"/>
      <c r="L414" s="28"/>
      <c r="M414" s="26"/>
      <c r="N414" s="26"/>
      <c r="O414" s="28"/>
      <c r="P414" s="28"/>
      <c r="Q414" s="28"/>
    </row>
    <row r="415" spans="1:17" ht="18.75">
      <c r="A415" s="22">
        <v>410</v>
      </c>
      <c r="B415" s="23" t="s">
        <v>107</v>
      </c>
      <c r="C415" s="23" t="s">
        <v>177</v>
      </c>
      <c r="D415" s="24">
        <v>1150544.2201</v>
      </c>
      <c r="E415" s="24">
        <v>3549474.9090999998</v>
      </c>
      <c r="F415" s="25">
        <f t="shared" si="6"/>
        <v>4700019.1292000003</v>
      </c>
      <c r="G415" s="26"/>
      <c r="H415" s="26"/>
      <c r="I415" s="28"/>
      <c r="J415" s="28"/>
      <c r="K415" s="28"/>
      <c r="L415" s="28"/>
      <c r="M415" s="26"/>
      <c r="N415" s="26"/>
      <c r="O415" s="28"/>
      <c r="P415" s="28"/>
      <c r="Q415" s="28"/>
    </row>
    <row r="416" spans="1:17" ht="18.75">
      <c r="A416" s="22">
        <v>411</v>
      </c>
      <c r="B416" s="23" t="s">
        <v>107</v>
      </c>
      <c r="C416" s="23" t="s">
        <v>179</v>
      </c>
      <c r="D416" s="24">
        <v>1078749.6314000001</v>
      </c>
      <c r="E416" s="24">
        <v>3327985.7332000001</v>
      </c>
      <c r="F416" s="25">
        <f t="shared" si="6"/>
        <v>4406735.3646</v>
      </c>
      <c r="G416" s="26"/>
      <c r="H416" s="26"/>
      <c r="I416" s="28"/>
      <c r="J416" s="28"/>
      <c r="K416" s="28"/>
      <c r="L416" s="28"/>
      <c r="M416" s="26"/>
      <c r="N416" s="26"/>
      <c r="O416" s="28"/>
      <c r="P416" s="28"/>
      <c r="Q416" s="28"/>
    </row>
    <row r="417" spans="1:17" ht="18.75">
      <c r="A417" s="22">
        <v>412</v>
      </c>
      <c r="B417" s="23" t="s">
        <v>107</v>
      </c>
      <c r="C417" s="23" t="s">
        <v>181</v>
      </c>
      <c r="D417" s="24">
        <v>1008866.285</v>
      </c>
      <c r="E417" s="24">
        <v>3112392.8161999998</v>
      </c>
      <c r="F417" s="25">
        <f t="shared" si="6"/>
        <v>4121259.1011999999</v>
      </c>
      <c r="G417" s="26"/>
      <c r="H417" s="26"/>
      <c r="I417" s="28"/>
      <c r="J417" s="28"/>
      <c r="K417" s="28"/>
      <c r="L417" s="28"/>
      <c r="M417" s="26"/>
      <c r="N417" s="26"/>
      <c r="O417" s="28"/>
      <c r="P417" s="28"/>
      <c r="Q417" s="28"/>
    </row>
    <row r="418" spans="1:17" ht="18.75">
      <c r="A418" s="22">
        <v>413</v>
      </c>
      <c r="B418" s="23" t="s">
        <v>107</v>
      </c>
      <c r="C418" s="23" t="s">
        <v>183</v>
      </c>
      <c r="D418" s="24">
        <v>943678.1102</v>
      </c>
      <c r="E418" s="24">
        <v>2911284.6910999999</v>
      </c>
      <c r="F418" s="25">
        <f t="shared" si="6"/>
        <v>3854962.8012999999</v>
      </c>
      <c r="G418" s="26"/>
      <c r="H418" s="26"/>
      <c r="I418" s="28"/>
      <c r="J418" s="28"/>
      <c r="K418" s="28"/>
      <c r="L418" s="28"/>
      <c r="M418" s="26"/>
      <c r="N418" s="26"/>
      <c r="O418" s="28"/>
      <c r="P418" s="28"/>
      <c r="Q418" s="28"/>
    </row>
    <row r="419" spans="1:17" ht="18.75">
      <c r="A419" s="22">
        <v>414</v>
      </c>
      <c r="B419" s="23" t="s">
        <v>107</v>
      </c>
      <c r="C419" s="23" t="s">
        <v>185</v>
      </c>
      <c r="D419" s="24">
        <v>946766.32739999995</v>
      </c>
      <c r="E419" s="24">
        <v>2920811.9646000001</v>
      </c>
      <c r="F419" s="25">
        <f t="shared" si="6"/>
        <v>3867578.2919999999</v>
      </c>
      <c r="G419" s="26"/>
      <c r="H419" s="26"/>
      <c r="I419" s="28"/>
      <c r="J419" s="28"/>
      <c r="K419" s="28"/>
      <c r="L419" s="28"/>
      <c r="M419" s="26"/>
      <c r="N419" s="26"/>
      <c r="O419" s="28"/>
      <c r="P419" s="28"/>
      <c r="Q419" s="28"/>
    </row>
    <row r="420" spans="1:17" ht="18.75">
      <c r="A420" s="22">
        <v>415</v>
      </c>
      <c r="B420" s="23" t="s">
        <v>107</v>
      </c>
      <c r="C420" s="23" t="s">
        <v>187</v>
      </c>
      <c r="D420" s="24">
        <v>1013702.5725</v>
      </c>
      <c r="E420" s="24">
        <v>3127312.9563000002</v>
      </c>
      <c r="F420" s="25">
        <f t="shared" si="6"/>
        <v>4141015.5288</v>
      </c>
      <c r="G420" s="26"/>
      <c r="H420" s="26"/>
      <c r="I420" s="28"/>
      <c r="J420" s="28"/>
      <c r="K420" s="28"/>
      <c r="L420" s="28"/>
      <c r="M420" s="26"/>
      <c r="N420" s="26"/>
      <c r="O420" s="28"/>
      <c r="P420" s="28"/>
      <c r="Q420" s="28"/>
    </row>
    <row r="421" spans="1:17" ht="18.75">
      <c r="A421" s="22">
        <v>416</v>
      </c>
      <c r="B421" s="23" t="s">
        <v>107</v>
      </c>
      <c r="C421" s="23" t="s">
        <v>189</v>
      </c>
      <c r="D421" s="24">
        <v>950804.81669999997</v>
      </c>
      <c r="E421" s="24">
        <v>2933270.8656000001</v>
      </c>
      <c r="F421" s="25">
        <f t="shared" si="6"/>
        <v>3884075.6823</v>
      </c>
      <c r="G421" s="26"/>
      <c r="H421" s="26"/>
      <c r="I421" s="28"/>
      <c r="J421" s="28"/>
      <c r="K421" s="28"/>
      <c r="L421" s="28"/>
      <c r="M421" s="26"/>
      <c r="N421" s="26"/>
      <c r="O421" s="28"/>
      <c r="P421" s="28"/>
      <c r="Q421" s="28"/>
    </row>
    <row r="422" spans="1:17" ht="18.75">
      <c r="A422" s="22">
        <v>417</v>
      </c>
      <c r="B422" s="23" t="s">
        <v>107</v>
      </c>
      <c r="C422" s="23" t="s">
        <v>191</v>
      </c>
      <c r="D422" s="24">
        <v>1146379.2344</v>
      </c>
      <c r="E422" s="24">
        <v>3536625.7618</v>
      </c>
      <c r="F422" s="25">
        <f t="shared" si="6"/>
        <v>4683004.9961999999</v>
      </c>
      <c r="G422" s="26"/>
      <c r="H422" s="26"/>
      <c r="I422" s="28"/>
      <c r="J422" s="28"/>
      <c r="K422" s="28"/>
      <c r="L422" s="28"/>
      <c r="M422" s="26"/>
      <c r="N422" s="26"/>
      <c r="O422" s="28"/>
      <c r="P422" s="28"/>
      <c r="Q422" s="28"/>
    </row>
    <row r="423" spans="1:17" ht="18.75">
      <c r="A423" s="22">
        <v>418</v>
      </c>
      <c r="B423" s="23" t="s">
        <v>107</v>
      </c>
      <c r="C423" s="23" t="s">
        <v>193</v>
      </c>
      <c r="D423" s="24">
        <v>946126.39289999998</v>
      </c>
      <c r="E423" s="24">
        <v>2918837.7411000002</v>
      </c>
      <c r="F423" s="25">
        <f t="shared" si="6"/>
        <v>3864964.1340000001</v>
      </c>
      <c r="G423" s="26"/>
      <c r="H423" s="26"/>
      <c r="I423" s="28"/>
      <c r="J423" s="28"/>
      <c r="K423" s="28"/>
      <c r="L423" s="28"/>
      <c r="M423" s="26"/>
      <c r="N423" s="26"/>
      <c r="O423" s="28"/>
      <c r="P423" s="28"/>
      <c r="Q423" s="28"/>
    </row>
    <row r="424" spans="1:17" ht="18.75">
      <c r="A424" s="22">
        <v>419</v>
      </c>
      <c r="B424" s="23" t="s">
        <v>107</v>
      </c>
      <c r="C424" s="23" t="s">
        <v>195</v>
      </c>
      <c r="D424" s="24">
        <v>1050836.0314</v>
      </c>
      <c r="E424" s="24">
        <v>3241871.1616000002</v>
      </c>
      <c r="F424" s="25">
        <f t="shared" si="6"/>
        <v>4292707.193</v>
      </c>
      <c r="G424" s="26"/>
      <c r="H424" s="26"/>
      <c r="I424" s="28"/>
      <c r="J424" s="28"/>
      <c r="K424" s="28"/>
      <c r="L424" s="28"/>
      <c r="M424" s="26"/>
      <c r="N424" s="26"/>
      <c r="O424" s="28"/>
      <c r="P424" s="28"/>
      <c r="Q424" s="28"/>
    </row>
    <row r="425" spans="1:17" ht="18.75">
      <c r="A425" s="22">
        <v>420</v>
      </c>
      <c r="B425" s="23" t="s">
        <v>107</v>
      </c>
      <c r="C425" s="23" t="s">
        <v>197</v>
      </c>
      <c r="D425" s="24">
        <v>1145173.0463</v>
      </c>
      <c r="E425" s="24">
        <v>3532904.6233000001</v>
      </c>
      <c r="F425" s="25">
        <f t="shared" si="6"/>
        <v>4678077.6695999997</v>
      </c>
      <c r="G425" s="26"/>
      <c r="H425" s="26"/>
      <c r="I425" s="28"/>
      <c r="J425" s="28"/>
      <c r="K425" s="28"/>
      <c r="L425" s="28"/>
      <c r="M425" s="26"/>
      <c r="N425" s="26"/>
      <c r="O425" s="28"/>
      <c r="P425" s="28"/>
      <c r="Q425" s="28"/>
    </row>
    <row r="426" spans="1:17" ht="18.75">
      <c r="A426" s="22">
        <v>421</v>
      </c>
      <c r="B426" s="23" t="s">
        <v>107</v>
      </c>
      <c r="C426" s="23" t="s">
        <v>199</v>
      </c>
      <c r="D426" s="24">
        <v>1142495.3955000001</v>
      </c>
      <c r="E426" s="24">
        <v>3524643.9635000001</v>
      </c>
      <c r="F426" s="25">
        <f t="shared" si="6"/>
        <v>4667139.3590000002</v>
      </c>
      <c r="G426" s="26"/>
      <c r="H426" s="26"/>
      <c r="I426" s="28"/>
      <c r="J426" s="28"/>
      <c r="K426" s="28"/>
      <c r="L426" s="28"/>
      <c r="M426" s="26"/>
      <c r="N426" s="26"/>
      <c r="O426" s="28"/>
      <c r="P426" s="28"/>
      <c r="Q426" s="28"/>
    </row>
    <row r="427" spans="1:17" ht="18.75">
      <c r="A427" s="22">
        <v>422</v>
      </c>
      <c r="B427" s="23" t="s">
        <v>107</v>
      </c>
      <c r="C427" s="23" t="s">
        <v>201</v>
      </c>
      <c r="D427" s="24">
        <v>997690.26470000006</v>
      </c>
      <c r="E427" s="24">
        <v>3077914.3467999999</v>
      </c>
      <c r="F427" s="25">
        <f t="shared" si="6"/>
        <v>4075604.6115000001</v>
      </c>
      <c r="G427" s="26"/>
      <c r="H427" s="26"/>
      <c r="I427" s="28"/>
      <c r="J427" s="28"/>
      <c r="K427" s="28"/>
      <c r="L427" s="28"/>
      <c r="M427" s="26"/>
      <c r="N427" s="26"/>
      <c r="O427" s="28"/>
      <c r="P427" s="28"/>
      <c r="Q427" s="28"/>
    </row>
    <row r="428" spans="1:17" ht="18.75">
      <c r="A428" s="22">
        <v>423</v>
      </c>
      <c r="B428" s="23" t="s">
        <v>107</v>
      </c>
      <c r="C428" s="23" t="s">
        <v>203</v>
      </c>
      <c r="D428" s="24">
        <v>1123973.2113999999</v>
      </c>
      <c r="E428" s="24">
        <v>3467502.2853000001</v>
      </c>
      <c r="F428" s="25">
        <f t="shared" si="6"/>
        <v>4591475.4967</v>
      </c>
      <c r="G428" s="26"/>
      <c r="H428" s="26"/>
      <c r="I428" s="28"/>
      <c r="J428" s="28"/>
      <c r="K428" s="28"/>
      <c r="L428" s="28"/>
      <c r="M428" s="26"/>
      <c r="N428" s="26"/>
      <c r="O428" s="28"/>
      <c r="P428" s="28"/>
      <c r="Q428" s="28"/>
    </row>
    <row r="429" spans="1:17" ht="18.75">
      <c r="A429" s="22">
        <v>424</v>
      </c>
      <c r="B429" s="23" t="s">
        <v>107</v>
      </c>
      <c r="C429" s="23" t="s">
        <v>205</v>
      </c>
      <c r="D429" s="24">
        <v>1160262.0090999999</v>
      </c>
      <c r="E429" s="24">
        <v>3579454.6765999999</v>
      </c>
      <c r="F429" s="25">
        <f t="shared" si="6"/>
        <v>4739716.6857000003</v>
      </c>
      <c r="G429" s="26"/>
      <c r="H429" s="26"/>
      <c r="I429" s="28"/>
      <c r="J429" s="28"/>
      <c r="K429" s="28"/>
      <c r="L429" s="28"/>
      <c r="M429" s="26"/>
      <c r="N429" s="26"/>
      <c r="O429" s="28"/>
      <c r="P429" s="28"/>
      <c r="Q429" s="28"/>
    </row>
    <row r="430" spans="1:17" ht="18.75">
      <c r="A430" s="22">
        <v>425</v>
      </c>
      <c r="B430" s="23" t="s">
        <v>107</v>
      </c>
      <c r="C430" s="23" t="s">
        <v>207</v>
      </c>
      <c r="D430" s="24">
        <v>1110689.7383999999</v>
      </c>
      <c r="E430" s="24">
        <v>3426522.24</v>
      </c>
      <c r="F430" s="25">
        <f t="shared" si="6"/>
        <v>4537211.9784000004</v>
      </c>
      <c r="G430" s="26"/>
      <c r="H430" s="26"/>
      <c r="I430" s="28"/>
      <c r="J430" s="28"/>
      <c r="K430" s="28"/>
      <c r="L430" s="28"/>
      <c r="M430" s="26"/>
      <c r="N430" s="26"/>
      <c r="O430" s="28"/>
      <c r="P430" s="28"/>
      <c r="Q430" s="28"/>
    </row>
    <row r="431" spans="1:17" ht="18.75">
      <c r="A431" s="22">
        <v>426</v>
      </c>
      <c r="B431" s="23" t="s">
        <v>107</v>
      </c>
      <c r="C431" s="23" t="s">
        <v>209</v>
      </c>
      <c r="D431" s="24">
        <v>1217997.9833</v>
      </c>
      <c r="E431" s="24">
        <v>3757572.4651000001</v>
      </c>
      <c r="F431" s="25">
        <f t="shared" si="6"/>
        <v>4975570.4484000001</v>
      </c>
      <c r="G431" s="26"/>
      <c r="H431" s="26"/>
      <c r="I431" s="28"/>
      <c r="J431" s="28"/>
      <c r="K431" s="28"/>
      <c r="L431" s="28"/>
      <c r="M431" s="26"/>
      <c r="N431" s="26"/>
      <c r="O431" s="28"/>
      <c r="P431" s="28"/>
      <c r="Q431" s="28"/>
    </row>
    <row r="432" spans="1:17" ht="18.75">
      <c r="A432" s="22">
        <v>427</v>
      </c>
      <c r="B432" s="23" t="s">
        <v>107</v>
      </c>
      <c r="C432" s="23" t="s">
        <v>211</v>
      </c>
      <c r="D432" s="24">
        <v>969919.18940000003</v>
      </c>
      <c r="E432" s="24">
        <v>2992239.4693999998</v>
      </c>
      <c r="F432" s="25">
        <f t="shared" si="6"/>
        <v>3962158.6587999999</v>
      </c>
      <c r="G432" s="26"/>
      <c r="H432" s="26"/>
      <c r="I432" s="28"/>
      <c r="J432" s="28"/>
      <c r="K432" s="28"/>
      <c r="L432" s="28"/>
      <c r="M432" s="26"/>
      <c r="N432" s="26"/>
      <c r="O432" s="28"/>
      <c r="P432" s="28"/>
      <c r="Q432" s="28"/>
    </row>
    <row r="433" spans="1:17" ht="18.75">
      <c r="A433" s="22">
        <v>428</v>
      </c>
      <c r="B433" s="23" t="s">
        <v>107</v>
      </c>
      <c r="C433" s="23" t="s">
        <v>107</v>
      </c>
      <c r="D433" s="24">
        <v>1335835.0617</v>
      </c>
      <c r="E433" s="24">
        <v>4121104.5621000002</v>
      </c>
      <c r="F433" s="25">
        <f t="shared" si="6"/>
        <v>5456939.6238000002</v>
      </c>
      <c r="G433" s="26"/>
      <c r="H433" s="26"/>
      <c r="I433" s="28"/>
      <c r="J433" s="28"/>
      <c r="K433" s="28"/>
      <c r="L433" s="28"/>
      <c r="M433" s="26"/>
      <c r="N433" s="26"/>
      <c r="O433" s="28"/>
      <c r="P433" s="28"/>
      <c r="Q433" s="28"/>
    </row>
    <row r="434" spans="1:17" ht="18.75">
      <c r="A434" s="22">
        <v>429</v>
      </c>
      <c r="B434" s="23" t="s">
        <v>107</v>
      </c>
      <c r="C434" s="23" t="s">
        <v>215</v>
      </c>
      <c r="D434" s="24">
        <v>939950.96629999997</v>
      </c>
      <c r="E434" s="24">
        <v>2899786.3032999998</v>
      </c>
      <c r="F434" s="25">
        <f t="shared" si="6"/>
        <v>3839737.2696000002</v>
      </c>
      <c r="G434" s="26"/>
      <c r="H434" s="26"/>
      <c r="I434" s="28"/>
      <c r="J434" s="28"/>
      <c r="K434" s="28"/>
      <c r="L434" s="28"/>
      <c r="M434" s="26"/>
      <c r="N434" s="26"/>
      <c r="O434" s="28"/>
      <c r="P434" s="28"/>
      <c r="Q434" s="28"/>
    </row>
    <row r="435" spans="1:17" ht="18.75">
      <c r="A435" s="22">
        <v>430</v>
      </c>
      <c r="B435" s="23" t="s">
        <v>107</v>
      </c>
      <c r="C435" s="23" t="s">
        <v>217</v>
      </c>
      <c r="D435" s="24">
        <v>888004.49349999998</v>
      </c>
      <c r="E435" s="24">
        <v>2739529.3583</v>
      </c>
      <c r="F435" s="25">
        <f t="shared" si="6"/>
        <v>3627533.8517999998</v>
      </c>
      <c r="G435" s="26"/>
      <c r="H435" s="26"/>
      <c r="I435" s="28"/>
      <c r="J435" s="28"/>
      <c r="K435" s="28"/>
      <c r="L435" s="28"/>
      <c r="M435" s="26"/>
      <c r="N435" s="26"/>
      <c r="O435" s="28"/>
      <c r="P435" s="28"/>
      <c r="Q435" s="28"/>
    </row>
    <row r="436" spans="1:17" ht="18.75">
      <c r="A436" s="22">
        <v>431</v>
      </c>
      <c r="B436" s="23" t="s">
        <v>107</v>
      </c>
      <c r="C436" s="23" t="s">
        <v>219</v>
      </c>
      <c r="D436" s="24">
        <v>1080244.1562000001</v>
      </c>
      <c r="E436" s="24">
        <v>3332596.4018999999</v>
      </c>
      <c r="F436" s="25">
        <f t="shared" si="6"/>
        <v>4412840.5581</v>
      </c>
      <c r="G436" s="26"/>
      <c r="H436" s="26"/>
      <c r="I436" s="28"/>
      <c r="J436" s="28"/>
      <c r="K436" s="28"/>
      <c r="L436" s="28"/>
      <c r="M436" s="26"/>
      <c r="N436" s="26"/>
      <c r="O436" s="28"/>
      <c r="P436" s="28"/>
      <c r="Q436" s="28"/>
    </row>
    <row r="437" spans="1:17" ht="18.75">
      <c r="A437" s="22">
        <v>432</v>
      </c>
      <c r="B437" s="23" t="s">
        <v>107</v>
      </c>
      <c r="C437" s="23" t="s">
        <v>221</v>
      </c>
      <c r="D437" s="24">
        <v>1074972.6543000001</v>
      </c>
      <c r="E437" s="24">
        <v>3316333.6079000002</v>
      </c>
      <c r="F437" s="25">
        <f t="shared" si="6"/>
        <v>4391306.2621999998</v>
      </c>
      <c r="G437" s="26"/>
      <c r="H437" s="26"/>
      <c r="I437" s="28"/>
      <c r="J437" s="28"/>
      <c r="K437" s="28"/>
      <c r="L437" s="28"/>
      <c r="M437" s="26"/>
      <c r="N437" s="26"/>
      <c r="O437" s="28"/>
      <c r="P437" s="28"/>
      <c r="Q437" s="28"/>
    </row>
    <row r="438" spans="1:17" ht="18.75">
      <c r="A438" s="22">
        <v>433</v>
      </c>
      <c r="B438" s="23" t="s">
        <v>107</v>
      </c>
      <c r="C438" s="23" t="s">
        <v>223</v>
      </c>
      <c r="D438" s="24">
        <v>1019688.8146</v>
      </c>
      <c r="E438" s="24">
        <v>3145780.7524000001</v>
      </c>
      <c r="F438" s="25">
        <f t="shared" si="6"/>
        <v>4165469.5669999998</v>
      </c>
      <c r="G438" s="26"/>
      <c r="H438" s="26"/>
      <c r="I438" s="28"/>
      <c r="J438" s="28"/>
      <c r="K438" s="28"/>
      <c r="L438" s="28"/>
      <c r="M438" s="26"/>
      <c r="N438" s="26"/>
      <c r="O438" s="28"/>
      <c r="P438" s="28"/>
      <c r="Q438" s="28"/>
    </row>
    <row r="439" spans="1:17" ht="18.75">
      <c r="A439" s="22">
        <v>434</v>
      </c>
      <c r="B439" s="23" t="s">
        <v>107</v>
      </c>
      <c r="C439" s="23" t="s">
        <v>225</v>
      </c>
      <c r="D439" s="24">
        <v>1041104.5976</v>
      </c>
      <c r="E439" s="24">
        <v>3211849.2990999999</v>
      </c>
      <c r="F439" s="25">
        <f t="shared" si="6"/>
        <v>4252953.8967000004</v>
      </c>
      <c r="G439" s="26"/>
      <c r="H439" s="26"/>
      <c r="I439" s="28"/>
      <c r="J439" s="28"/>
      <c r="K439" s="28"/>
      <c r="L439" s="28"/>
      <c r="M439" s="26"/>
      <c r="N439" s="26"/>
      <c r="O439" s="28"/>
      <c r="P439" s="28"/>
      <c r="Q439" s="28"/>
    </row>
    <row r="440" spans="1:17" ht="18.75">
      <c r="A440" s="22">
        <v>435</v>
      </c>
      <c r="B440" s="23" t="s">
        <v>107</v>
      </c>
      <c r="C440" s="23" t="s">
        <v>227</v>
      </c>
      <c r="D440" s="24">
        <v>876937.58319999999</v>
      </c>
      <c r="E440" s="24">
        <v>2705387.4975999999</v>
      </c>
      <c r="F440" s="25">
        <f t="shared" si="6"/>
        <v>3582325.0808000001</v>
      </c>
      <c r="G440" s="26"/>
      <c r="H440" s="26"/>
      <c r="I440" s="28"/>
      <c r="J440" s="28"/>
      <c r="K440" s="28"/>
      <c r="L440" s="28"/>
      <c r="M440" s="26"/>
      <c r="N440" s="26"/>
      <c r="O440" s="28"/>
      <c r="P440" s="28"/>
      <c r="Q440" s="28"/>
    </row>
    <row r="441" spans="1:17" ht="18.75">
      <c r="A441" s="22">
        <v>436</v>
      </c>
      <c r="B441" s="23" t="s">
        <v>107</v>
      </c>
      <c r="C441" s="23" t="s">
        <v>229</v>
      </c>
      <c r="D441" s="24">
        <v>1049311.2999</v>
      </c>
      <c r="E441" s="24">
        <v>3237167.3039000002</v>
      </c>
      <c r="F441" s="25">
        <f t="shared" si="6"/>
        <v>4286478.6037999997</v>
      </c>
      <c r="G441" s="26"/>
      <c r="H441" s="26"/>
      <c r="I441" s="28"/>
      <c r="J441" s="28"/>
      <c r="K441" s="28"/>
      <c r="L441" s="28"/>
      <c r="M441" s="26"/>
      <c r="N441" s="26"/>
      <c r="O441" s="28"/>
      <c r="P441" s="28"/>
      <c r="Q441" s="28"/>
    </row>
    <row r="442" spans="1:17" ht="18.75">
      <c r="A442" s="22">
        <v>437</v>
      </c>
      <c r="B442" s="23" t="s">
        <v>107</v>
      </c>
      <c r="C442" s="23" t="s">
        <v>231</v>
      </c>
      <c r="D442" s="24">
        <v>946541.9497</v>
      </c>
      <c r="E442" s="24">
        <v>2920119.7505000001</v>
      </c>
      <c r="F442" s="25">
        <f t="shared" si="6"/>
        <v>3866661.7001999998</v>
      </c>
      <c r="G442" s="26"/>
      <c r="H442" s="26"/>
      <c r="I442" s="28"/>
      <c r="J442" s="28"/>
      <c r="K442" s="28"/>
      <c r="L442" s="28"/>
      <c r="M442" s="26"/>
      <c r="N442" s="26"/>
      <c r="O442" s="28"/>
      <c r="P442" s="28"/>
      <c r="Q442" s="28"/>
    </row>
    <row r="443" spans="1:17" ht="18.75">
      <c r="A443" s="22">
        <v>438</v>
      </c>
      <c r="B443" s="23" t="s">
        <v>107</v>
      </c>
      <c r="C443" s="23" t="s">
        <v>233</v>
      </c>
      <c r="D443" s="24">
        <v>980700.43489999999</v>
      </c>
      <c r="E443" s="24">
        <v>3025500.0427999999</v>
      </c>
      <c r="F443" s="25">
        <f t="shared" si="6"/>
        <v>4006200.4777000002</v>
      </c>
      <c r="G443" s="26"/>
      <c r="H443" s="26"/>
      <c r="I443" s="28"/>
      <c r="J443" s="28"/>
      <c r="K443" s="28"/>
      <c r="L443" s="28"/>
      <c r="M443" s="26"/>
      <c r="N443" s="26"/>
      <c r="O443" s="28"/>
      <c r="P443" s="28"/>
      <c r="Q443" s="28"/>
    </row>
    <row r="444" spans="1:17" ht="18.75">
      <c r="A444" s="22">
        <v>439</v>
      </c>
      <c r="B444" s="23" t="s">
        <v>107</v>
      </c>
      <c r="C444" s="23" t="s">
        <v>235</v>
      </c>
      <c r="D444" s="24">
        <v>1052271.4343999999</v>
      </c>
      <c r="E444" s="24">
        <v>3246299.4369999999</v>
      </c>
      <c r="F444" s="25">
        <f t="shared" si="6"/>
        <v>4298570.8713999996</v>
      </c>
      <c r="G444" s="26"/>
      <c r="H444" s="26"/>
      <c r="I444" s="28"/>
      <c r="J444" s="28"/>
      <c r="K444" s="28"/>
      <c r="L444" s="28"/>
      <c r="M444" s="26"/>
      <c r="N444" s="26"/>
      <c r="O444" s="28"/>
      <c r="P444" s="28"/>
      <c r="Q444" s="28"/>
    </row>
    <row r="445" spans="1:17" ht="18.75">
      <c r="A445" s="22">
        <v>440</v>
      </c>
      <c r="B445" s="23" t="s">
        <v>107</v>
      </c>
      <c r="C445" s="23" t="s">
        <v>237</v>
      </c>
      <c r="D445" s="24">
        <v>1019849.2418</v>
      </c>
      <c r="E445" s="24">
        <v>3146275.6768</v>
      </c>
      <c r="F445" s="25">
        <f t="shared" si="6"/>
        <v>4166124.9186</v>
      </c>
      <c r="G445" s="26"/>
      <c r="H445" s="26"/>
      <c r="I445" s="28"/>
      <c r="J445" s="28"/>
      <c r="K445" s="28"/>
      <c r="L445" s="28"/>
      <c r="M445" s="26"/>
      <c r="N445" s="26"/>
      <c r="O445" s="28"/>
      <c r="P445" s="28"/>
      <c r="Q445" s="28"/>
    </row>
    <row r="446" spans="1:17" ht="18.75">
      <c r="A446" s="22">
        <v>441</v>
      </c>
      <c r="B446" s="23" t="s">
        <v>107</v>
      </c>
      <c r="C446" s="23" t="s">
        <v>239</v>
      </c>
      <c r="D446" s="24">
        <v>999535.93330000003</v>
      </c>
      <c r="E446" s="24">
        <v>3083608.3081</v>
      </c>
      <c r="F446" s="25">
        <f t="shared" si="6"/>
        <v>4083144.2414000002</v>
      </c>
      <c r="G446" s="26"/>
      <c r="H446" s="26"/>
      <c r="I446" s="28"/>
      <c r="J446" s="28"/>
      <c r="K446" s="28"/>
      <c r="L446" s="28"/>
      <c r="M446" s="26"/>
      <c r="N446" s="26"/>
      <c r="O446" s="28"/>
      <c r="P446" s="28"/>
      <c r="Q446" s="28"/>
    </row>
    <row r="447" spans="1:17" ht="18.75">
      <c r="A447" s="22">
        <v>442</v>
      </c>
      <c r="B447" s="23" t="s">
        <v>108</v>
      </c>
      <c r="C447" s="23" t="s">
        <v>243</v>
      </c>
      <c r="D447" s="24">
        <v>800292.28150000004</v>
      </c>
      <c r="E447" s="24">
        <v>2468933.6781000001</v>
      </c>
      <c r="F447" s="25">
        <f t="shared" si="6"/>
        <v>3269225.9596000002</v>
      </c>
      <c r="G447" s="26"/>
      <c r="H447" s="26"/>
      <c r="I447" s="28"/>
      <c r="J447" s="28"/>
      <c r="K447" s="28"/>
      <c r="L447" s="28"/>
      <c r="M447" s="26"/>
      <c r="N447" s="26"/>
      <c r="O447" s="28"/>
      <c r="P447" s="28"/>
      <c r="Q447" s="28"/>
    </row>
    <row r="448" spans="1:17" ht="18.75">
      <c r="A448" s="22">
        <v>443</v>
      </c>
      <c r="B448" s="23" t="s">
        <v>108</v>
      </c>
      <c r="C448" s="23" t="s">
        <v>245</v>
      </c>
      <c r="D448" s="24">
        <v>1307645.8968</v>
      </c>
      <c r="E448" s="24">
        <v>4034139.8615000001</v>
      </c>
      <c r="F448" s="25">
        <f t="shared" si="6"/>
        <v>5341785.7582999999</v>
      </c>
      <c r="G448" s="26"/>
      <c r="H448" s="26"/>
      <c r="I448" s="28"/>
      <c r="J448" s="28"/>
      <c r="K448" s="28"/>
      <c r="L448" s="28"/>
      <c r="M448" s="26"/>
      <c r="N448" s="26"/>
      <c r="O448" s="28"/>
      <c r="P448" s="28"/>
      <c r="Q448" s="28"/>
    </row>
    <row r="449" spans="1:17" ht="18.75">
      <c r="A449" s="22">
        <v>444</v>
      </c>
      <c r="B449" s="23" t="s">
        <v>108</v>
      </c>
      <c r="C449" s="23" t="s">
        <v>247</v>
      </c>
      <c r="D449" s="24">
        <v>1101419.3565</v>
      </c>
      <c r="E449" s="24">
        <v>3397922.7414000002</v>
      </c>
      <c r="F449" s="25">
        <f t="shared" si="6"/>
        <v>4499342.0979000004</v>
      </c>
      <c r="G449" s="26"/>
      <c r="H449" s="26"/>
      <c r="I449" s="28"/>
      <c r="J449" s="28"/>
      <c r="K449" s="28"/>
      <c r="L449" s="28"/>
      <c r="M449" s="26"/>
      <c r="N449" s="26"/>
      <c r="O449" s="28"/>
      <c r="P449" s="28"/>
      <c r="Q449" s="28"/>
    </row>
    <row r="450" spans="1:17" ht="18.75">
      <c r="A450" s="22">
        <v>445</v>
      </c>
      <c r="B450" s="23" t="s">
        <v>108</v>
      </c>
      <c r="C450" s="23" t="s">
        <v>249</v>
      </c>
      <c r="D450" s="24">
        <v>909407.16500000004</v>
      </c>
      <c r="E450" s="24">
        <v>2805557.4553999999</v>
      </c>
      <c r="F450" s="25">
        <f t="shared" si="6"/>
        <v>3714964.6203999999</v>
      </c>
      <c r="G450" s="26"/>
      <c r="H450" s="26"/>
      <c r="I450" s="28"/>
      <c r="J450" s="28"/>
      <c r="K450" s="28"/>
      <c r="L450" s="28"/>
      <c r="M450" s="26"/>
      <c r="N450" s="26"/>
      <c r="O450" s="28"/>
      <c r="P450" s="28"/>
      <c r="Q450" s="28"/>
    </row>
    <row r="451" spans="1:17" ht="18.75">
      <c r="A451" s="22">
        <v>446</v>
      </c>
      <c r="B451" s="23" t="s">
        <v>108</v>
      </c>
      <c r="C451" s="23" t="s">
        <v>251</v>
      </c>
      <c r="D451" s="24">
        <v>1211153.0688</v>
      </c>
      <c r="E451" s="24">
        <v>3736455.63</v>
      </c>
      <c r="F451" s="25">
        <f t="shared" si="6"/>
        <v>4947608.6988000004</v>
      </c>
      <c r="G451" s="26"/>
      <c r="H451" s="26"/>
      <c r="I451" s="28"/>
      <c r="J451" s="28"/>
      <c r="K451" s="28"/>
      <c r="L451" s="28"/>
      <c r="M451" s="26"/>
      <c r="N451" s="26"/>
      <c r="O451" s="28"/>
      <c r="P451" s="28"/>
      <c r="Q451" s="28"/>
    </row>
    <row r="452" spans="1:17" ht="18.75">
      <c r="A452" s="22">
        <v>447</v>
      </c>
      <c r="B452" s="23" t="s">
        <v>108</v>
      </c>
      <c r="C452" s="23" t="s">
        <v>253</v>
      </c>
      <c r="D452" s="24">
        <v>1481772.514</v>
      </c>
      <c r="E452" s="24">
        <v>4571327.4358000001</v>
      </c>
      <c r="F452" s="25">
        <f t="shared" si="6"/>
        <v>6053099.9497999996</v>
      </c>
      <c r="G452" s="26"/>
      <c r="H452" s="26"/>
      <c r="I452" s="28"/>
      <c r="J452" s="28"/>
      <c r="K452" s="28"/>
      <c r="L452" s="28"/>
      <c r="M452" s="26"/>
      <c r="N452" s="26"/>
      <c r="O452" s="28"/>
      <c r="P452" s="28"/>
      <c r="Q452" s="28"/>
    </row>
    <row r="453" spans="1:17" ht="18.75">
      <c r="A453" s="22">
        <v>448</v>
      </c>
      <c r="B453" s="23" t="s">
        <v>108</v>
      </c>
      <c r="C453" s="23" t="s">
        <v>255</v>
      </c>
      <c r="D453" s="24">
        <v>1009490.6085</v>
      </c>
      <c r="E453" s="24">
        <v>3114318.8791</v>
      </c>
      <c r="F453" s="25">
        <f t="shared" si="6"/>
        <v>4123809.4876000001</v>
      </c>
      <c r="G453" s="26"/>
      <c r="H453" s="26"/>
      <c r="I453" s="28"/>
      <c r="J453" s="28"/>
      <c r="K453" s="28"/>
      <c r="L453" s="28"/>
      <c r="M453" s="26"/>
      <c r="N453" s="26"/>
      <c r="O453" s="28"/>
      <c r="P453" s="28"/>
      <c r="Q453" s="28"/>
    </row>
    <row r="454" spans="1:17" ht="18.75">
      <c r="A454" s="22">
        <v>449</v>
      </c>
      <c r="B454" s="23" t="s">
        <v>108</v>
      </c>
      <c r="C454" s="23" t="s">
        <v>257</v>
      </c>
      <c r="D454" s="24">
        <v>1072437.159</v>
      </c>
      <c r="E454" s="24">
        <v>3308511.5035999999</v>
      </c>
      <c r="F454" s="25">
        <f t="shared" si="6"/>
        <v>4380948.6626000004</v>
      </c>
      <c r="G454" s="26"/>
      <c r="H454" s="26"/>
      <c r="I454" s="28"/>
      <c r="J454" s="28"/>
      <c r="K454" s="28"/>
      <c r="L454" s="28"/>
      <c r="M454" s="26"/>
      <c r="N454" s="26"/>
      <c r="O454" s="28"/>
      <c r="P454" s="28"/>
      <c r="Q454" s="28"/>
    </row>
    <row r="455" spans="1:17" ht="37.5">
      <c r="A455" s="22">
        <v>450</v>
      </c>
      <c r="B455" s="23" t="s">
        <v>108</v>
      </c>
      <c r="C455" s="23" t="s">
        <v>259</v>
      </c>
      <c r="D455" s="24">
        <v>1332303.5954</v>
      </c>
      <c r="E455" s="24">
        <v>4110209.8473999999</v>
      </c>
      <c r="F455" s="25">
        <f t="shared" ref="F455:F518" si="7">D455+E455</f>
        <v>5442513.4428000003</v>
      </c>
      <c r="G455" s="26"/>
      <c r="H455" s="26"/>
      <c r="I455" s="28"/>
      <c r="J455" s="28"/>
      <c r="K455" s="28"/>
      <c r="L455" s="28"/>
      <c r="M455" s="26"/>
      <c r="N455" s="26"/>
      <c r="O455" s="28"/>
      <c r="P455" s="28"/>
      <c r="Q455" s="28"/>
    </row>
    <row r="456" spans="1:17" ht="18.75">
      <c r="A456" s="22">
        <v>451</v>
      </c>
      <c r="B456" s="23" t="s">
        <v>108</v>
      </c>
      <c r="C456" s="23" t="s">
        <v>261</v>
      </c>
      <c r="D456" s="24">
        <v>927692.80229999998</v>
      </c>
      <c r="E456" s="24">
        <v>2861969.3774000001</v>
      </c>
      <c r="F456" s="25">
        <f t="shared" si="7"/>
        <v>3789662.1797000002</v>
      </c>
      <c r="G456" s="26"/>
      <c r="H456" s="26"/>
      <c r="I456" s="28"/>
      <c r="J456" s="28"/>
      <c r="K456" s="28"/>
      <c r="L456" s="28"/>
      <c r="M456" s="26"/>
      <c r="N456" s="26"/>
      <c r="O456" s="28"/>
      <c r="P456" s="28"/>
      <c r="Q456" s="28"/>
    </row>
    <row r="457" spans="1:17" ht="18.75">
      <c r="A457" s="22">
        <v>452</v>
      </c>
      <c r="B457" s="23" t="s">
        <v>108</v>
      </c>
      <c r="C457" s="23" t="s">
        <v>263</v>
      </c>
      <c r="D457" s="24">
        <v>979885.71310000005</v>
      </c>
      <c r="E457" s="24">
        <v>3022986.5935</v>
      </c>
      <c r="F457" s="25">
        <f t="shared" si="7"/>
        <v>4002872.3065999998</v>
      </c>
      <c r="G457" s="26"/>
      <c r="H457" s="26"/>
      <c r="I457" s="28"/>
      <c r="J457" s="28"/>
      <c r="K457" s="28"/>
      <c r="L457" s="28"/>
      <c r="M457" s="26"/>
      <c r="N457" s="26"/>
      <c r="O457" s="28"/>
      <c r="P457" s="28"/>
      <c r="Q457" s="28"/>
    </row>
    <row r="458" spans="1:17" ht="18.75">
      <c r="A458" s="22">
        <v>453</v>
      </c>
      <c r="B458" s="23" t="s">
        <v>108</v>
      </c>
      <c r="C458" s="23" t="s">
        <v>265</v>
      </c>
      <c r="D458" s="24">
        <v>1081026.9328999999</v>
      </c>
      <c r="E458" s="24">
        <v>3335011.2993000001</v>
      </c>
      <c r="F458" s="25">
        <f t="shared" si="7"/>
        <v>4416038.2322000004</v>
      </c>
      <c r="G458" s="26"/>
      <c r="H458" s="26"/>
      <c r="I458" s="28"/>
      <c r="J458" s="28"/>
      <c r="K458" s="28"/>
      <c r="L458" s="28"/>
      <c r="M458" s="26"/>
      <c r="N458" s="26"/>
      <c r="O458" s="28"/>
      <c r="P458" s="28"/>
      <c r="Q458" s="28"/>
    </row>
    <row r="459" spans="1:17" ht="18.75">
      <c r="A459" s="22">
        <v>454</v>
      </c>
      <c r="B459" s="23" t="s">
        <v>108</v>
      </c>
      <c r="C459" s="23" t="s">
        <v>267</v>
      </c>
      <c r="D459" s="24">
        <v>899650.53890000004</v>
      </c>
      <c r="E459" s="24">
        <v>2775457.8736999999</v>
      </c>
      <c r="F459" s="25">
        <f t="shared" si="7"/>
        <v>3675108.4125999999</v>
      </c>
      <c r="G459" s="26"/>
      <c r="H459" s="26"/>
      <c r="I459" s="28"/>
      <c r="J459" s="28"/>
      <c r="K459" s="28"/>
      <c r="L459" s="28"/>
      <c r="M459" s="26"/>
      <c r="N459" s="26"/>
      <c r="O459" s="28"/>
      <c r="P459" s="28"/>
      <c r="Q459" s="28"/>
    </row>
    <row r="460" spans="1:17" ht="18.75">
      <c r="A460" s="22">
        <v>455</v>
      </c>
      <c r="B460" s="23" t="s">
        <v>108</v>
      </c>
      <c r="C460" s="23" t="s">
        <v>269</v>
      </c>
      <c r="D460" s="24">
        <v>1032407.7882</v>
      </c>
      <c r="E460" s="24">
        <v>3185019.2946000001</v>
      </c>
      <c r="F460" s="25">
        <f t="shared" si="7"/>
        <v>4217427.0828</v>
      </c>
      <c r="G460" s="26"/>
      <c r="H460" s="26"/>
      <c r="I460" s="28"/>
      <c r="J460" s="28"/>
      <c r="K460" s="28"/>
      <c r="L460" s="28"/>
      <c r="M460" s="26"/>
      <c r="N460" s="26"/>
      <c r="O460" s="28"/>
      <c r="P460" s="28"/>
      <c r="Q460" s="28"/>
    </row>
    <row r="461" spans="1:17" ht="18.75">
      <c r="A461" s="22">
        <v>456</v>
      </c>
      <c r="B461" s="23" t="s">
        <v>108</v>
      </c>
      <c r="C461" s="23" t="s">
        <v>271</v>
      </c>
      <c r="D461" s="24">
        <v>1194398.0544</v>
      </c>
      <c r="E461" s="24">
        <v>3684765.7409999999</v>
      </c>
      <c r="F461" s="25">
        <f t="shared" si="7"/>
        <v>4879163.7954000002</v>
      </c>
      <c r="G461" s="26"/>
      <c r="H461" s="26"/>
      <c r="I461" s="28"/>
      <c r="J461" s="28"/>
      <c r="K461" s="28"/>
      <c r="L461" s="28"/>
      <c r="M461" s="26"/>
      <c r="N461" s="26"/>
      <c r="O461" s="28"/>
      <c r="P461" s="28"/>
      <c r="Q461" s="28"/>
    </row>
    <row r="462" spans="1:17" ht="18.75">
      <c r="A462" s="22">
        <v>457</v>
      </c>
      <c r="B462" s="23" t="s">
        <v>108</v>
      </c>
      <c r="C462" s="23" t="s">
        <v>273</v>
      </c>
      <c r="D462" s="24">
        <v>956944.30429999996</v>
      </c>
      <c r="E462" s="24">
        <v>2952211.4301999998</v>
      </c>
      <c r="F462" s="25">
        <f t="shared" si="7"/>
        <v>3909155.7344999998</v>
      </c>
      <c r="G462" s="26"/>
      <c r="H462" s="26"/>
      <c r="I462" s="28"/>
      <c r="J462" s="28"/>
      <c r="K462" s="28"/>
      <c r="L462" s="28"/>
      <c r="M462" s="26"/>
      <c r="N462" s="26"/>
      <c r="O462" s="28"/>
      <c r="P462" s="28"/>
      <c r="Q462" s="28"/>
    </row>
    <row r="463" spans="1:17" ht="18.75">
      <c r="A463" s="22">
        <v>458</v>
      </c>
      <c r="B463" s="23" t="s">
        <v>108</v>
      </c>
      <c r="C463" s="23" t="s">
        <v>275</v>
      </c>
      <c r="D463" s="24">
        <v>943038.77009999997</v>
      </c>
      <c r="E463" s="24">
        <v>2909312.3015000001</v>
      </c>
      <c r="F463" s="25">
        <f t="shared" si="7"/>
        <v>3852351.0715999999</v>
      </c>
      <c r="G463" s="26"/>
      <c r="H463" s="26"/>
      <c r="I463" s="28"/>
      <c r="J463" s="28"/>
      <c r="K463" s="28"/>
      <c r="L463" s="28"/>
      <c r="M463" s="26"/>
      <c r="N463" s="26"/>
      <c r="O463" s="28"/>
      <c r="P463" s="28"/>
      <c r="Q463" s="28"/>
    </row>
    <row r="464" spans="1:17" ht="18.75">
      <c r="A464" s="22">
        <v>459</v>
      </c>
      <c r="B464" s="23" t="s">
        <v>108</v>
      </c>
      <c r="C464" s="23" t="s">
        <v>278</v>
      </c>
      <c r="D464" s="24">
        <v>978637.821</v>
      </c>
      <c r="E464" s="24">
        <v>3019136.7965000002</v>
      </c>
      <c r="F464" s="25">
        <f t="shared" si="7"/>
        <v>3997774.6175000002</v>
      </c>
      <c r="G464" s="26"/>
      <c r="H464" s="26"/>
      <c r="I464" s="28"/>
      <c r="J464" s="28"/>
      <c r="K464" s="28"/>
      <c r="L464" s="28"/>
      <c r="M464" s="26"/>
      <c r="N464" s="26"/>
      <c r="O464" s="28"/>
      <c r="P464" s="28"/>
      <c r="Q464" s="28"/>
    </row>
    <row r="465" spans="1:17" ht="18.75">
      <c r="A465" s="22">
        <v>460</v>
      </c>
      <c r="B465" s="23" t="s">
        <v>108</v>
      </c>
      <c r="C465" s="23" t="s">
        <v>280</v>
      </c>
      <c r="D465" s="24">
        <v>1184020.8424</v>
      </c>
      <c r="E465" s="24">
        <v>3652751.6272</v>
      </c>
      <c r="F465" s="25">
        <f t="shared" si="7"/>
        <v>4836772.4696000004</v>
      </c>
      <c r="G465" s="26"/>
      <c r="H465" s="26"/>
      <c r="I465" s="28"/>
      <c r="J465" s="28"/>
      <c r="K465" s="28"/>
      <c r="L465" s="28"/>
      <c r="M465" s="26"/>
      <c r="N465" s="26"/>
      <c r="O465" s="28"/>
      <c r="P465" s="28"/>
      <c r="Q465" s="28"/>
    </row>
    <row r="466" spans="1:17" ht="18.75">
      <c r="A466" s="22">
        <v>461</v>
      </c>
      <c r="B466" s="23" t="s">
        <v>108</v>
      </c>
      <c r="C466" s="23" t="s">
        <v>282</v>
      </c>
      <c r="D466" s="24">
        <v>909838.16110000003</v>
      </c>
      <c r="E466" s="24">
        <v>2806887.0954999998</v>
      </c>
      <c r="F466" s="25">
        <f t="shared" si="7"/>
        <v>3716725.2566</v>
      </c>
      <c r="G466" s="26"/>
      <c r="H466" s="26"/>
      <c r="I466" s="28"/>
      <c r="J466" s="28"/>
      <c r="K466" s="28"/>
      <c r="L466" s="28"/>
      <c r="M466" s="26"/>
      <c r="N466" s="26"/>
      <c r="O466" s="28"/>
      <c r="P466" s="28"/>
      <c r="Q466" s="28"/>
    </row>
    <row r="467" spans="1:17" ht="18.75">
      <c r="A467" s="22">
        <v>462</v>
      </c>
      <c r="B467" s="23" t="s">
        <v>108</v>
      </c>
      <c r="C467" s="23" t="s">
        <v>284</v>
      </c>
      <c r="D467" s="24">
        <v>1086754.2512999999</v>
      </c>
      <c r="E467" s="24">
        <v>3352680.3054</v>
      </c>
      <c r="F467" s="25">
        <f t="shared" si="7"/>
        <v>4439434.5566999996</v>
      </c>
      <c r="G467" s="26"/>
      <c r="H467" s="26"/>
      <c r="I467" s="28"/>
      <c r="J467" s="28"/>
      <c r="K467" s="28"/>
      <c r="L467" s="28"/>
      <c r="M467" s="26"/>
      <c r="N467" s="26"/>
      <c r="O467" s="28"/>
      <c r="P467" s="28"/>
      <c r="Q467" s="28"/>
    </row>
    <row r="468" spans="1:17" ht="18.75">
      <c r="A468" s="22">
        <v>463</v>
      </c>
      <c r="B468" s="23" t="s">
        <v>109</v>
      </c>
      <c r="C468" s="23" t="s">
        <v>288</v>
      </c>
      <c r="D468" s="24">
        <v>1160809.5493000001</v>
      </c>
      <c r="E468" s="24">
        <v>3581143.8602</v>
      </c>
      <c r="F468" s="25">
        <f t="shared" si="7"/>
        <v>4741953.4095000001</v>
      </c>
      <c r="G468" s="26"/>
      <c r="H468" s="26"/>
      <c r="I468" s="28"/>
      <c r="J468" s="28"/>
      <c r="K468" s="28"/>
      <c r="L468" s="28"/>
      <c r="M468" s="26"/>
      <c r="N468" s="26"/>
      <c r="O468" s="28"/>
      <c r="P468" s="28"/>
      <c r="Q468" s="28"/>
    </row>
    <row r="469" spans="1:17" ht="18.75">
      <c r="A469" s="22">
        <v>464</v>
      </c>
      <c r="B469" s="23" t="s">
        <v>109</v>
      </c>
      <c r="C469" s="23" t="s">
        <v>290</v>
      </c>
      <c r="D469" s="24">
        <v>1026417.5961</v>
      </c>
      <c r="E469" s="24">
        <v>3166539.3125</v>
      </c>
      <c r="F469" s="25">
        <f t="shared" si="7"/>
        <v>4192956.9086000002</v>
      </c>
      <c r="G469" s="26"/>
      <c r="H469" s="26"/>
      <c r="I469" s="28"/>
      <c r="J469" s="28"/>
      <c r="K469" s="28"/>
      <c r="L469" s="28"/>
      <c r="M469" s="26"/>
      <c r="N469" s="26"/>
      <c r="O469" s="28"/>
      <c r="P469" s="28"/>
      <c r="Q469" s="28"/>
    </row>
    <row r="470" spans="1:17" ht="18.75">
      <c r="A470" s="22">
        <v>465</v>
      </c>
      <c r="B470" s="23" t="s">
        <v>109</v>
      </c>
      <c r="C470" s="23" t="s">
        <v>292</v>
      </c>
      <c r="D470" s="24">
        <v>1295388.7485</v>
      </c>
      <c r="E470" s="24">
        <v>3996326.0688999998</v>
      </c>
      <c r="F470" s="25">
        <f t="shared" si="7"/>
        <v>5291714.8174000001</v>
      </c>
      <c r="G470" s="26"/>
      <c r="H470" s="26"/>
      <c r="I470" s="28"/>
      <c r="J470" s="28"/>
      <c r="K470" s="28"/>
      <c r="L470" s="28"/>
      <c r="M470" s="26"/>
      <c r="N470" s="26"/>
      <c r="O470" s="28"/>
      <c r="P470" s="28"/>
      <c r="Q470" s="28"/>
    </row>
    <row r="471" spans="1:17" ht="18.75">
      <c r="A471" s="22">
        <v>466</v>
      </c>
      <c r="B471" s="23" t="s">
        <v>109</v>
      </c>
      <c r="C471" s="23" t="s">
        <v>294</v>
      </c>
      <c r="D471" s="24">
        <v>1025675.544</v>
      </c>
      <c r="E471" s="24">
        <v>3164250.0521</v>
      </c>
      <c r="F471" s="25">
        <f t="shared" si="7"/>
        <v>4189925.5961000002</v>
      </c>
      <c r="G471" s="26"/>
      <c r="H471" s="26"/>
      <c r="I471" s="28"/>
      <c r="J471" s="28"/>
      <c r="K471" s="28"/>
      <c r="L471" s="28"/>
      <c r="M471" s="26"/>
      <c r="N471" s="26"/>
      <c r="O471" s="28"/>
      <c r="P471" s="28"/>
      <c r="Q471" s="28"/>
    </row>
    <row r="472" spans="1:17" ht="18.75">
      <c r="A472" s="22">
        <v>467</v>
      </c>
      <c r="B472" s="23" t="s">
        <v>109</v>
      </c>
      <c r="C472" s="23" t="s">
        <v>296</v>
      </c>
      <c r="D472" s="24">
        <v>1402417.0519999999</v>
      </c>
      <c r="E472" s="24">
        <v>4326512.6635999996</v>
      </c>
      <c r="F472" s="25">
        <f t="shared" si="7"/>
        <v>5728929.7155999998</v>
      </c>
      <c r="G472" s="26"/>
      <c r="H472" s="26"/>
      <c r="I472" s="28"/>
      <c r="J472" s="28"/>
      <c r="K472" s="28"/>
      <c r="L472" s="28"/>
      <c r="M472" s="26"/>
      <c r="N472" s="26"/>
      <c r="O472" s="28"/>
      <c r="P472" s="28"/>
      <c r="Q472" s="28"/>
    </row>
    <row r="473" spans="1:17" ht="18.75">
      <c r="A473" s="22">
        <v>468</v>
      </c>
      <c r="B473" s="23" t="s">
        <v>109</v>
      </c>
      <c r="C473" s="23" t="s">
        <v>298</v>
      </c>
      <c r="D473" s="24">
        <v>1090389.5216999999</v>
      </c>
      <c r="E473" s="24">
        <v>3363895.26</v>
      </c>
      <c r="F473" s="25">
        <f t="shared" si="7"/>
        <v>4454284.7817000002</v>
      </c>
      <c r="G473" s="26"/>
      <c r="H473" s="26"/>
      <c r="I473" s="28"/>
      <c r="J473" s="28"/>
      <c r="K473" s="28"/>
      <c r="L473" s="28"/>
      <c r="M473" s="26"/>
      <c r="N473" s="26"/>
      <c r="O473" s="28"/>
      <c r="P473" s="28"/>
      <c r="Q473" s="28"/>
    </row>
    <row r="474" spans="1:17" ht="18.75">
      <c r="A474" s="22">
        <v>469</v>
      </c>
      <c r="B474" s="23" t="s">
        <v>109</v>
      </c>
      <c r="C474" s="23" t="s">
        <v>300</v>
      </c>
      <c r="D474" s="24">
        <v>914935.83459999994</v>
      </c>
      <c r="E474" s="24">
        <v>2822613.622</v>
      </c>
      <c r="F474" s="25">
        <f t="shared" si="7"/>
        <v>3737549.4566000002</v>
      </c>
      <c r="G474" s="26"/>
      <c r="H474" s="26"/>
      <c r="I474" s="28"/>
      <c r="J474" s="28"/>
      <c r="K474" s="28"/>
      <c r="L474" s="28"/>
      <c r="M474" s="26"/>
      <c r="N474" s="26"/>
      <c r="O474" s="28"/>
      <c r="P474" s="28"/>
      <c r="Q474" s="28"/>
    </row>
    <row r="475" spans="1:17" ht="18.75">
      <c r="A475" s="22">
        <v>470</v>
      </c>
      <c r="B475" s="23" t="s">
        <v>109</v>
      </c>
      <c r="C475" s="23" t="s">
        <v>302</v>
      </c>
      <c r="D475" s="24">
        <v>1072123.3171000001</v>
      </c>
      <c r="E475" s="24">
        <v>3307543.2889</v>
      </c>
      <c r="F475" s="25">
        <f t="shared" si="7"/>
        <v>4379666.6059999997</v>
      </c>
      <c r="G475" s="26"/>
      <c r="H475" s="26"/>
      <c r="I475" s="28"/>
      <c r="J475" s="28"/>
      <c r="K475" s="28"/>
      <c r="L475" s="28"/>
      <c r="M475" s="26"/>
      <c r="N475" s="26"/>
      <c r="O475" s="28"/>
      <c r="P475" s="28"/>
      <c r="Q475" s="28"/>
    </row>
    <row r="476" spans="1:17" ht="18.75">
      <c r="A476" s="22">
        <v>471</v>
      </c>
      <c r="B476" s="23" t="s">
        <v>109</v>
      </c>
      <c r="C476" s="23" t="s">
        <v>304</v>
      </c>
      <c r="D476" s="24">
        <v>1051435.5001000001</v>
      </c>
      <c r="E476" s="24">
        <v>3243720.5463</v>
      </c>
      <c r="F476" s="25">
        <f t="shared" si="7"/>
        <v>4295156.0464000003</v>
      </c>
      <c r="G476" s="26"/>
      <c r="H476" s="26"/>
      <c r="I476" s="28"/>
      <c r="J476" s="28"/>
      <c r="K476" s="28"/>
      <c r="L476" s="28"/>
      <c r="M476" s="26"/>
      <c r="N476" s="26"/>
      <c r="O476" s="28"/>
      <c r="P476" s="28"/>
      <c r="Q476" s="28"/>
    </row>
    <row r="477" spans="1:17" ht="18.75">
      <c r="A477" s="22">
        <v>472</v>
      </c>
      <c r="B477" s="23" t="s">
        <v>109</v>
      </c>
      <c r="C477" s="23" t="s">
        <v>306</v>
      </c>
      <c r="D477" s="24">
        <v>1111605.8705</v>
      </c>
      <c r="E477" s="24">
        <v>3429348.5443000002</v>
      </c>
      <c r="F477" s="25">
        <f t="shared" si="7"/>
        <v>4540954.4148000004</v>
      </c>
      <c r="G477" s="26"/>
      <c r="H477" s="26"/>
      <c r="I477" s="28"/>
      <c r="J477" s="28"/>
      <c r="K477" s="28"/>
      <c r="L477" s="28"/>
      <c r="M477" s="26"/>
      <c r="N477" s="26"/>
      <c r="O477" s="28"/>
      <c r="P477" s="28"/>
      <c r="Q477" s="28"/>
    </row>
    <row r="478" spans="1:17" ht="18.75">
      <c r="A478" s="22">
        <v>473</v>
      </c>
      <c r="B478" s="23" t="s">
        <v>109</v>
      </c>
      <c r="C478" s="23" t="s">
        <v>109</v>
      </c>
      <c r="D478" s="24">
        <v>978534.00080000004</v>
      </c>
      <c r="E478" s="24">
        <v>3018816.5068999999</v>
      </c>
      <c r="F478" s="25">
        <f t="shared" si="7"/>
        <v>3997350.5077</v>
      </c>
      <c r="G478" s="26"/>
      <c r="H478" s="26"/>
      <c r="I478" s="28"/>
      <c r="J478" s="28"/>
      <c r="K478" s="28"/>
      <c r="L478" s="28"/>
      <c r="M478" s="26"/>
      <c r="N478" s="26"/>
      <c r="O478" s="28"/>
      <c r="P478" s="28"/>
      <c r="Q478" s="28"/>
    </row>
    <row r="479" spans="1:17" ht="18.75">
      <c r="A479" s="22">
        <v>474</v>
      </c>
      <c r="B479" s="23" t="s">
        <v>109</v>
      </c>
      <c r="C479" s="23" t="s">
        <v>309</v>
      </c>
      <c r="D479" s="24">
        <v>1249301.4826</v>
      </c>
      <c r="E479" s="24">
        <v>3854145.0115999999</v>
      </c>
      <c r="F479" s="25">
        <f t="shared" si="7"/>
        <v>5103446.4941999996</v>
      </c>
      <c r="G479" s="26"/>
      <c r="H479" s="26"/>
      <c r="I479" s="28"/>
      <c r="J479" s="28"/>
      <c r="K479" s="28"/>
      <c r="L479" s="28"/>
      <c r="M479" s="26"/>
      <c r="N479" s="26"/>
      <c r="O479" s="28"/>
      <c r="P479" s="28"/>
      <c r="Q479" s="28"/>
    </row>
    <row r="480" spans="1:17" ht="18.75">
      <c r="A480" s="22">
        <v>475</v>
      </c>
      <c r="B480" s="23" t="s">
        <v>109</v>
      </c>
      <c r="C480" s="23" t="s">
        <v>311</v>
      </c>
      <c r="D480" s="24">
        <v>824613.53870000003</v>
      </c>
      <c r="E480" s="24">
        <v>2543965.7289</v>
      </c>
      <c r="F480" s="25">
        <f t="shared" si="7"/>
        <v>3368579.2675999999</v>
      </c>
      <c r="G480" s="26"/>
      <c r="H480" s="26"/>
      <c r="I480" s="28"/>
      <c r="J480" s="28"/>
      <c r="K480" s="28"/>
      <c r="L480" s="28"/>
      <c r="M480" s="26"/>
      <c r="N480" s="26"/>
      <c r="O480" s="28"/>
      <c r="P480" s="28"/>
      <c r="Q480" s="28"/>
    </row>
    <row r="481" spans="1:17" ht="18.75">
      <c r="A481" s="22">
        <v>476</v>
      </c>
      <c r="B481" s="23" t="s">
        <v>109</v>
      </c>
      <c r="C481" s="23" t="s">
        <v>313</v>
      </c>
      <c r="D481" s="24">
        <v>1198864.2690000001</v>
      </c>
      <c r="E481" s="24">
        <v>3698544.1915000002</v>
      </c>
      <c r="F481" s="25">
        <f t="shared" si="7"/>
        <v>4897408.4605</v>
      </c>
      <c r="G481" s="26"/>
      <c r="H481" s="26"/>
      <c r="I481" s="28"/>
      <c r="J481" s="28"/>
      <c r="K481" s="28"/>
      <c r="L481" s="28"/>
      <c r="M481" s="26"/>
      <c r="N481" s="26"/>
      <c r="O481" s="28"/>
      <c r="P481" s="28"/>
      <c r="Q481" s="28"/>
    </row>
    <row r="482" spans="1:17" ht="37.5">
      <c r="A482" s="22">
        <v>477</v>
      </c>
      <c r="B482" s="23" t="s">
        <v>109</v>
      </c>
      <c r="C482" s="23" t="s">
        <v>315</v>
      </c>
      <c r="D482" s="24">
        <v>800554.04819999996</v>
      </c>
      <c r="E482" s="24">
        <v>2469741.2389000002</v>
      </c>
      <c r="F482" s="25">
        <f t="shared" si="7"/>
        <v>3270295.2870999998</v>
      </c>
      <c r="G482" s="26"/>
      <c r="H482" s="26"/>
      <c r="I482" s="28"/>
      <c r="J482" s="28"/>
      <c r="K482" s="28"/>
      <c r="L482" s="28"/>
      <c r="M482" s="26"/>
      <c r="N482" s="26"/>
      <c r="O482" s="28"/>
      <c r="P482" s="28"/>
      <c r="Q482" s="28"/>
    </row>
    <row r="483" spans="1:17" ht="18.75">
      <c r="A483" s="22">
        <v>478</v>
      </c>
      <c r="B483" s="23" t="s">
        <v>109</v>
      </c>
      <c r="C483" s="23" t="s">
        <v>317</v>
      </c>
      <c r="D483" s="24">
        <v>1160620.9217999999</v>
      </c>
      <c r="E483" s="24">
        <v>3580561.9366000001</v>
      </c>
      <c r="F483" s="25">
        <f t="shared" si="7"/>
        <v>4741182.8584000003</v>
      </c>
      <c r="G483" s="26"/>
      <c r="H483" s="26"/>
      <c r="I483" s="28"/>
      <c r="J483" s="28"/>
      <c r="K483" s="28"/>
      <c r="L483" s="28"/>
      <c r="M483" s="26"/>
      <c r="N483" s="26"/>
      <c r="O483" s="28"/>
      <c r="P483" s="28"/>
      <c r="Q483" s="28"/>
    </row>
    <row r="484" spans="1:17" ht="18.75">
      <c r="A484" s="22">
        <v>479</v>
      </c>
      <c r="B484" s="23" t="s">
        <v>109</v>
      </c>
      <c r="C484" s="23" t="s">
        <v>319</v>
      </c>
      <c r="D484" s="24">
        <v>1451544.5001000001</v>
      </c>
      <c r="E484" s="24">
        <v>4478072.8047000002</v>
      </c>
      <c r="F484" s="25">
        <f t="shared" si="7"/>
        <v>5929617.3048</v>
      </c>
      <c r="G484" s="26"/>
      <c r="H484" s="26"/>
      <c r="I484" s="28"/>
      <c r="J484" s="28"/>
      <c r="K484" s="28"/>
      <c r="L484" s="28"/>
      <c r="M484" s="26"/>
      <c r="N484" s="26"/>
      <c r="O484" s="28"/>
      <c r="P484" s="28"/>
      <c r="Q484" s="28"/>
    </row>
    <row r="485" spans="1:17" ht="18.75">
      <c r="A485" s="22">
        <v>480</v>
      </c>
      <c r="B485" s="23" t="s">
        <v>109</v>
      </c>
      <c r="C485" s="23" t="s">
        <v>322</v>
      </c>
      <c r="D485" s="24">
        <v>1096462.6159999999</v>
      </c>
      <c r="E485" s="24">
        <v>3382630.9989</v>
      </c>
      <c r="F485" s="25">
        <f t="shared" si="7"/>
        <v>4479093.6149000004</v>
      </c>
      <c r="G485" s="26"/>
      <c r="H485" s="26"/>
      <c r="I485" s="28"/>
      <c r="J485" s="28"/>
      <c r="K485" s="28"/>
      <c r="L485" s="28"/>
      <c r="M485" s="26"/>
      <c r="N485" s="26"/>
      <c r="O485" s="28"/>
      <c r="P485" s="28"/>
      <c r="Q485" s="28"/>
    </row>
    <row r="486" spans="1:17" ht="18.75">
      <c r="A486" s="22">
        <v>481</v>
      </c>
      <c r="B486" s="23" t="s">
        <v>109</v>
      </c>
      <c r="C486" s="23" t="s">
        <v>323</v>
      </c>
      <c r="D486" s="24">
        <v>1038181.1807</v>
      </c>
      <c r="E486" s="24">
        <v>3202830.4413000001</v>
      </c>
      <c r="F486" s="25">
        <f t="shared" si="7"/>
        <v>4241011.6220000004</v>
      </c>
      <c r="G486" s="26"/>
      <c r="H486" s="26"/>
      <c r="I486" s="28"/>
      <c r="J486" s="28"/>
      <c r="K486" s="28"/>
      <c r="L486" s="28"/>
      <c r="M486" s="26"/>
      <c r="N486" s="26"/>
      <c r="O486" s="28"/>
      <c r="P486" s="28"/>
      <c r="Q486" s="28"/>
    </row>
    <row r="487" spans="1:17" ht="18.75">
      <c r="A487" s="22">
        <v>482</v>
      </c>
      <c r="B487" s="23" t="s">
        <v>109</v>
      </c>
      <c r="C487" s="23" t="s">
        <v>325</v>
      </c>
      <c r="D487" s="24">
        <v>1113181.2242000001</v>
      </c>
      <c r="E487" s="24">
        <v>3434208.5734999999</v>
      </c>
      <c r="F487" s="25">
        <f t="shared" si="7"/>
        <v>4547389.7977</v>
      </c>
      <c r="G487" s="26"/>
      <c r="H487" s="26"/>
      <c r="I487" s="28"/>
      <c r="J487" s="28"/>
      <c r="K487" s="28"/>
      <c r="L487" s="28"/>
      <c r="M487" s="26"/>
      <c r="N487" s="26"/>
      <c r="O487" s="28"/>
      <c r="P487" s="28"/>
      <c r="Q487" s="28"/>
    </row>
    <row r="488" spans="1:17" ht="18.75">
      <c r="A488" s="22">
        <v>483</v>
      </c>
      <c r="B488" s="23" t="s">
        <v>109</v>
      </c>
      <c r="C488" s="23" t="s">
        <v>327</v>
      </c>
      <c r="D488" s="24">
        <v>1089209.3825000001</v>
      </c>
      <c r="E488" s="24">
        <v>3360254.4833999998</v>
      </c>
      <c r="F488" s="25">
        <f t="shared" si="7"/>
        <v>4449463.8658999996</v>
      </c>
      <c r="G488" s="26"/>
      <c r="H488" s="26"/>
      <c r="I488" s="28"/>
      <c r="J488" s="28"/>
      <c r="K488" s="28"/>
      <c r="L488" s="28"/>
      <c r="M488" s="26"/>
      <c r="N488" s="26"/>
      <c r="O488" s="28"/>
      <c r="P488" s="28"/>
      <c r="Q488" s="28"/>
    </row>
    <row r="489" spans="1:17" ht="18.75">
      <c r="A489" s="22">
        <v>484</v>
      </c>
      <c r="B489" s="23" t="s">
        <v>110</v>
      </c>
      <c r="C489" s="23" t="s">
        <v>331</v>
      </c>
      <c r="D489" s="24">
        <v>940698.41200000001</v>
      </c>
      <c r="E489" s="24">
        <v>2902092.2031</v>
      </c>
      <c r="F489" s="25">
        <f t="shared" si="7"/>
        <v>3842790.6151000001</v>
      </c>
      <c r="G489" s="26"/>
      <c r="H489" s="26"/>
      <c r="I489" s="28"/>
      <c r="J489" s="28"/>
      <c r="K489" s="28"/>
      <c r="L489" s="28"/>
      <c r="M489" s="26"/>
      <c r="N489" s="26"/>
      <c r="O489" s="28"/>
      <c r="P489" s="28"/>
      <c r="Q489" s="28"/>
    </row>
    <row r="490" spans="1:17" ht="18.75">
      <c r="A490" s="22">
        <v>485</v>
      </c>
      <c r="B490" s="23" t="s">
        <v>110</v>
      </c>
      <c r="C490" s="23" t="s">
        <v>333</v>
      </c>
      <c r="D490" s="24">
        <v>1546924.0049000001</v>
      </c>
      <c r="E490" s="24">
        <v>4772322.3896000003</v>
      </c>
      <c r="F490" s="25">
        <f t="shared" si="7"/>
        <v>6319246.3945000004</v>
      </c>
      <c r="G490" s="26"/>
      <c r="H490" s="26"/>
      <c r="I490" s="28"/>
      <c r="J490" s="28"/>
      <c r="K490" s="28"/>
      <c r="L490" s="28"/>
      <c r="M490" s="26"/>
      <c r="N490" s="26"/>
      <c r="O490" s="28"/>
      <c r="P490" s="28"/>
      <c r="Q490" s="28"/>
    </row>
    <row r="491" spans="1:17" ht="18.75">
      <c r="A491" s="22">
        <v>486</v>
      </c>
      <c r="B491" s="23" t="s">
        <v>110</v>
      </c>
      <c r="C491" s="23" t="s">
        <v>335</v>
      </c>
      <c r="D491" s="24">
        <v>1185620.148</v>
      </c>
      <c r="E491" s="24">
        <v>3657685.5488999998</v>
      </c>
      <c r="F491" s="25">
        <f t="shared" si="7"/>
        <v>4843305.6968999999</v>
      </c>
      <c r="G491" s="26"/>
      <c r="H491" s="26"/>
      <c r="I491" s="28"/>
      <c r="J491" s="28"/>
      <c r="K491" s="28"/>
      <c r="L491" s="28"/>
      <c r="M491" s="26"/>
      <c r="N491" s="26"/>
      <c r="O491" s="28"/>
      <c r="P491" s="28"/>
      <c r="Q491" s="28"/>
    </row>
    <row r="492" spans="1:17" ht="18.75">
      <c r="A492" s="22">
        <v>487</v>
      </c>
      <c r="B492" s="23" t="s">
        <v>110</v>
      </c>
      <c r="C492" s="23" t="s">
        <v>100</v>
      </c>
      <c r="D492" s="24">
        <v>722016.29440000001</v>
      </c>
      <c r="E492" s="24">
        <v>2227449.1291999999</v>
      </c>
      <c r="F492" s="25">
        <f t="shared" si="7"/>
        <v>2949465.4235999999</v>
      </c>
      <c r="G492" s="26"/>
      <c r="H492" s="26"/>
      <c r="I492" s="28"/>
      <c r="J492" s="28"/>
      <c r="K492" s="28"/>
      <c r="L492" s="28"/>
      <c r="M492" s="26"/>
      <c r="N492" s="26"/>
      <c r="O492" s="28"/>
      <c r="P492" s="28"/>
      <c r="Q492" s="28"/>
    </row>
    <row r="493" spans="1:17" ht="18.75">
      <c r="A493" s="22">
        <v>488</v>
      </c>
      <c r="B493" s="23" t="s">
        <v>110</v>
      </c>
      <c r="C493" s="23" t="s">
        <v>338</v>
      </c>
      <c r="D493" s="24">
        <v>1252773.6191</v>
      </c>
      <c r="E493" s="24">
        <v>3864856.6915000002</v>
      </c>
      <c r="F493" s="25">
        <f t="shared" si="7"/>
        <v>5117630.3106000004</v>
      </c>
      <c r="G493" s="26"/>
      <c r="H493" s="26"/>
      <c r="I493" s="28"/>
      <c r="J493" s="28"/>
      <c r="K493" s="28"/>
      <c r="L493" s="28"/>
      <c r="M493" s="26"/>
      <c r="N493" s="26"/>
      <c r="O493" s="28"/>
      <c r="P493" s="28"/>
      <c r="Q493" s="28"/>
    </row>
    <row r="494" spans="1:17" ht="18.75">
      <c r="A494" s="22">
        <v>489</v>
      </c>
      <c r="B494" s="23" t="s">
        <v>110</v>
      </c>
      <c r="C494" s="23" t="s">
        <v>340</v>
      </c>
      <c r="D494" s="24">
        <v>1076742.9927000001</v>
      </c>
      <c r="E494" s="24">
        <v>3321795.1724999999</v>
      </c>
      <c r="F494" s="25">
        <f t="shared" si="7"/>
        <v>4398538.1651999997</v>
      </c>
      <c r="G494" s="26"/>
      <c r="H494" s="26"/>
      <c r="I494" s="28"/>
      <c r="J494" s="28"/>
      <c r="K494" s="28"/>
      <c r="L494" s="28"/>
      <c r="M494" s="26"/>
      <c r="N494" s="26"/>
      <c r="O494" s="28"/>
      <c r="P494" s="28"/>
      <c r="Q494" s="28"/>
    </row>
    <row r="495" spans="1:17" ht="18.75">
      <c r="A495" s="22">
        <v>490</v>
      </c>
      <c r="B495" s="23" t="s">
        <v>110</v>
      </c>
      <c r="C495" s="23" t="s">
        <v>342</v>
      </c>
      <c r="D495" s="24">
        <v>1088347.2874</v>
      </c>
      <c r="E495" s="24">
        <v>3357594.8856000002</v>
      </c>
      <c r="F495" s="25">
        <f t="shared" si="7"/>
        <v>4445942.1730000004</v>
      </c>
      <c r="G495" s="26"/>
      <c r="H495" s="26"/>
      <c r="I495" s="28"/>
      <c r="J495" s="28"/>
      <c r="K495" s="28"/>
      <c r="L495" s="28"/>
      <c r="M495" s="26"/>
      <c r="N495" s="26"/>
      <c r="O495" s="28"/>
      <c r="P495" s="28"/>
      <c r="Q495" s="28"/>
    </row>
    <row r="496" spans="1:17" ht="18.75">
      <c r="A496" s="22">
        <v>491</v>
      </c>
      <c r="B496" s="23" t="s">
        <v>110</v>
      </c>
      <c r="C496" s="23" t="s">
        <v>344</v>
      </c>
      <c r="D496" s="24">
        <v>1283400.2316000001</v>
      </c>
      <c r="E496" s="24">
        <v>3959341.0153000001</v>
      </c>
      <c r="F496" s="25">
        <f t="shared" si="7"/>
        <v>5242741.2468999997</v>
      </c>
      <c r="G496" s="26"/>
      <c r="H496" s="26"/>
      <c r="I496" s="28"/>
      <c r="J496" s="28"/>
      <c r="K496" s="28"/>
      <c r="L496" s="28"/>
      <c r="M496" s="26"/>
      <c r="N496" s="26"/>
      <c r="O496" s="28"/>
      <c r="P496" s="28"/>
      <c r="Q496" s="28"/>
    </row>
    <row r="497" spans="1:17" ht="18.75">
      <c r="A497" s="22">
        <v>492</v>
      </c>
      <c r="B497" s="23" t="s">
        <v>110</v>
      </c>
      <c r="C497" s="23" t="s">
        <v>346</v>
      </c>
      <c r="D497" s="24">
        <v>927814.22629999998</v>
      </c>
      <c r="E497" s="24">
        <v>2862343.9753</v>
      </c>
      <c r="F497" s="25">
        <f t="shared" si="7"/>
        <v>3790158.2015999998</v>
      </c>
      <c r="G497" s="26"/>
      <c r="H497" s="26"/>
      <c r="I497" s="28"/>
      <c r="J497" s="28"/>
      <c r="K497" s="28"/>
      <c r="L497" s="28"/>
      <c r="M497" s="26"/>
      <c r="N497" s="26"/>
      <c r="O497" s="28"/>
      <c r="P497" s="28"/>
      <c r="Q497" s="28"/>
    </row>
    <row r="498" spans="1:17" ht="18.75">
      <c r="A498" s="22">
        <v>493</v>
      </c>
      <c r="B498" s="23" t="s">
        <v>110</v>
      </c>
      <c r="C498" s="23" t="s">
        <v>348</v>
      </c>
      <c r="D498" s="24">
        <v>1233832.4867</v>
      </c>
      <c r="E498" s="24">
        <v>3806422.5408999999</v>
      </c>
      <c r="F498" s="25">
        <f t="shared" si="7"/>
        <v>5040255.0275999997</v>
      </c>
      <c r="G498" s="26"/>
      <c r="H498" s="26"/>
      <c r="I498" s="28"/>
      <c r="J498" s="28"/>
      <c r="K498" s="28"/>
      <c r="L498" s="28"/>
      <c r="M498" s="26"/>
      <c r="N498" s="26"/>
      <c r="O498" s="28"/>
      <c r="P498" s="28"/>
      <c r="Q498" s="28"/>
    </row>
    <row r="499" spans="1:17" ht="18.75">
      <c r="A499" s="22">
        <v>494</v>
      </c>
      <c r="B499" s="23" t="s">
        <v>110</v>
      </c>
      <c r="C499" s="23" t="s">
        <v>350</v>
      </c>
      <c r="D499" s="24">
        <v>978095.23</v>
      </c>
      <c r="E499" s="24">
        <v>3017462.8815000001</v>
      </c>
      <c r="F499" s="25">
        <f t="shared" si="7"/>
        <v>3995558.1115000001</v>
      </c>
      <c r="G499" s="26"/>
      <c r="H499" s="26"/>
      <c r="I499" s="28"/>
      <c r="J499" s="28"/>
      <c r="K499" s="28"/>
      <c r="L499" s="28"/>
      <c r="M499" s="26"/>
      <c r="N499" s="26"/>
      <c r="O499" s="28"/>
      <c r="P499" s="28"/>
      <c r="Q499" s="28"/>
    </row>
    <row r="500" spans="1:17" ht="18.75">
      <c r="A500" s="22">
        <v>495</v>
      </c>
      <c r="B500" s="23" t="s">
        <v>110</v>
      </c>
      <c r="C500" s="23" t="s">
        <v>352</v>
      </c>
      <c r="D500" s="24">
        <v>868776.29130000004</v>
      </c>
      <c r="E500" s="24">
        <v>2680209.5858999998</v>
      </c>
      <c r="F500" s="25">
        <f t="shared" si="7"/>
        <v>3548985.8772</v>
      </c>
      <c r="G500" s="26"/>
      <c r="H500" s="26"/>
      <c r="I500" s="28"/>
      <c r="J500" s="28"/>
      <c r="K500" s="28"/>
      <c r="L500" s="28"/>
      <c r="M500" s="26"/>
      <c r="N500" s="26"/>
      <c r="O500" s="28"/>
      <c r="P500" s="28"/>
      <c r="Q500" s="28"/>
    </row>
    <row r="501" spans="1:17" ht="18.75">
      <c r="A501" s="22">
        <v>496</v>
      </c>
      <c r="B501" s="23" t="s">
        <v>110</v>
      </c>
      <c r="C501" s="23" t="s">
        <v>354</v>
      </c>
      <c r="D501" s="24">
        <v>726919.7476</v>
      </c>
      <c r="E501" s="24">
        <v>2242576.4781999998</v>
      </c>
      <c r="F501" s="25">
        <f t="shared" si="7"/>
        <v>2969496.2258000001</v>
      </c>
      <c r="G501" s="26"/>
      <c r="H501" s="26"/>
      <c r="I501" s="28"/>
      <c r="J501" s="28"/>
      <c r="K501" s="28"/>
      <c r="L501" s="28"/>
      <c r="M501" s="26"/>
      <c r="N501" s="26"/>
      <c r="O501" s="28"/>
      <c r="P501" s="28"/>
      <c r="Q501" s="28"/>
    </row>
    <row r="502" spans="1:17" ht="18.75">
      <c r="A502" s="22">
        <v>497</v>
      </c>
      <c r="B502" s="23" t="s">
        <v>110</v>
      </c>
      <c r="C502" s="23" t="s">
        <v>356</v>
      </c>
      <c r="D502" s="24">
        <v>723837.25809999998</v>
      </c>
      <c r="E502" s="24">
        <v>2233066.8747999999</v>
      </c>
      <c r="F502" s="25">
        <f t="shared" si="7"/>
        <v>2956904.1329000001</v>
      </c>
      <c r="G502" s="26"/>
      <c r="H502" s="26"/>
      <c r="I502" s="28"/>
      <c r="J502" s="28"/>
      <c r="K502" s="28"/>
      <c r="L502" s="28"/>
      <c r="M502" s="26"/>
      <c r="N502" s="26"/>
      <c r="O502" s="28"/>
      <c r="P502" s="28"/>
      <c r="Q502" s="28"/>
    </row>
    <row r="503" spans="1:17" ht="18.75">
      <c r="A503" s="22">
        <v>498</v>
      </c>
      <c r="B503" s="23" t="s">
        <v>110</v>
      </c>
      <c r="C503" s="23" t="s">
        <v>358</v>
      </c>
      <c r="D503" s="24">
        <v>826501.73369999998</v>
      </c>
      <c r="E503" s="24">
        <v>2549790.8857</v>
      </c>
      <c r="F503" s="25">
        <f t="shared" si="7"/>
        <v>3376292.6194000002</v>
      </c>
      <c r="G503" s="26"/>
      <c r="H503" s="26"/>
      <c r="I503" s="28"/>
      <c r="J503" s="28"/>
      <c r="K503" s="28"/>
      <c r="L503" s="28"/>
      <c r="M503" s="26"/>
      <c r="N503" s="26"/>
      <c r="O503" s="28"/>
      <c r="P503" s="28"/>
      <c r="Q503" s="28"/>
    </row>
    <row r="504" spans="1:17" ht="18.75">
      <c r="A504" s="22">
        <v>499</v>
      </c>
      <c r="B504" s="23" t="s">
        <v>110</v>
      </c>
      <c r="C504" s="23" t="s">
        <v>360</v>
      </c>
      <c r="D504" s="24">
        <v>1000353.1002</v>
      </c>
      <c r="E504" s="24">
        <v>3086129.3007</v>
      </c>
      <c r="F504" s="25">
        <f t="shared" si="7"/>
        <v>4086482.4008999998</v>
      </c>
      <c r="G504" s="26"/>
      <c r="H504" s="26"/>
      <c r="I504" s="28"/>
      <c r="J504" s="28"/>
      <c r="K504" s="28"/>
      <c r="L504" s="28"/>
      <c r="M504" s="26"/>
      <c r="N504" s="26"/>
      <c r="O504" s="28"/>
      <c r="P504" s="28"/>
      <c r="Q504" s="28"/>
    </row>
    <row r="505" spans="1:17" ht="18.75">
      <c r="A505" s="22">
        <v>500</v>
      </c>
      <c r="B505" s="23" t="s">
        <v>111</v>
      </c>
      <c r="C505" s="23" t="s">
        <v>365</v>
      </c>
      <c r="D505" s="24">
        <v>1403807.8833999999</v>
      </c>
      <c r="E505" s="24">
        <v>4330803.4341000002</v>
      </c>
      <c r="F505" s="25">
        <f t="shared" si="7"/>
        <v>5734611.3174999999</v>
      </c>
      <c r="G505" s="26"/>
      <c r="H505" s="26"/>
      <c r="I505" s="28"/>
      <c r="J505" s="28"/>
      <c r="K505" s="28"/>
      <c r="L505" s="28"/>
      <c r="M505" s="26"/>
      <c r="N505" s="26"/>
      <c r="O505" s="28"/>
      <c r="P505" s="28"/>
      <c r="Q505" s="28"/>
    </row>
    <row r="506" spans="1:17" ht="37.5">
      <c r="A506" s="22">
        <v>501</v>
      </c>
      <c r="B506" s="23" t="s">
        <v>111</v>
      </c>
      <c r="C506" s="23" t="s">
        <v>367</v>
      </c>
      <c r="D506" s="24">
        <v>1804409.4944</v>
      </c>
      <c r="E506" s="24">
        <v>5566675.4168999996</v>
      </c>
      <c r="F506" s="25">
        <f t="shared" si="7"/>
        <v>7371084.9112999998</v>
      </c>
      <c r="G506" s="26"/>
      <c r="H506" s="26"/>
      <c r="I506" s="28"/>
      <c r="J506" s="28"/>
      <c r="K506" s="28"/>
      <c r="L506" s="28"/>
      <c r="M506" s="26"/>
      <c r="N506" s="26"/>
      <c r="O506" s="28"/>
      <c r="P506" s="28"/>
      <c r="Q506" s="28"/>
    </row>
    <row r="507" spans="1:17" ht="18.75">
      <c r="A507" s="22">
        <v>502</v>
      </c>
      <c r="B507" s="23" t="s">
        <v>111</v>
      </c>
      <c r="C507" s="23" t="s">
        <v>369</v>
      </c>
      <c r="D507" s="24">
        <v>2909954.4027999998</v>
      </c>
      <c r="E507" s="24">
        <v>8977325.6509000007</v>
      </c>
      <c r="F507" s="25">
        <f t="shared" si="7"/>
        <v>11887280.0537</v>
      </c>
      <c r="G507" s="26"/>
      <c r="H507" s="26"/>
      <c r="I507" s="28"/>
      <c r="J507" s="28"/>
      <c r="K507" s="28"/>
      <c r="L507" s="28"/>
      <c r="M507" s="26"/>
      <c r="N507" s="26"/>
      <c r="O507" s="28"/>
      <c r="P507" s="28"/>
      <c r="Q507" s="28"/>
    </row>
    <row r="508" spans="1:17" ht="37.5">
      <c r="A508" s="22">
        <v>503</v>
      </c>
      <c r="B508" s="23" t="s">
        <v>111</v>
      </c>
      <c r="C508" s="23" t="s">
        <v>371</v>
      </c>
      <c r="D508" s="24">
        <v>1137336.7805999999</v>
      </c>
      <c r="E508" s="24">
        <v>3508729.4304</v>
      </c>
      <c r="F508" s="25">
        <f t="shared" si="7"/>
        <v>4646066.2110000001</v>
      </c>
      <c r="G508" s="26"/>
      <c r="H508" s="26"/>
      <c r="I508" s="28"/>
      <c r="J508" s="28"/>
      <c r="K508" s="28"/>
      <c r="L508" s="28"/>
      <c r="M508" s="26"/>
      <c r="N508" s="26"/>
      <c r="O508" s="28"/>
      <c r="P508" s="28"/>
      <c r="Q508" s="28"/>
    </row>
    <row r="509" spans="1:17" ht="18.75">
      <c r="A509" s="22">
        <v>504</v>
      </c>
      <c r="B509" s="23" t="s">
        <v>111</v>
      </c>
      <c r="C509" s="23" t="s">
        <v>373</v>
      </c>
      <c r="D509" s="24">
        <v>956211.42339999997</v>
      </c>
      <c r="E509" s="24">
        <v>2949950.4633999998</v>
      </c>
      <c r="F509" s="25">
        <f t="shared" si="7"/>
        <v>3906161.8868</v>
      </c>
      <c r="G509" s="26"/>
      <c r="H509" s="26"/>
      <c r="I509" s="28"/>
      <c r="J509" s="28"/>
      <c r="K509" s="28"/>
      <c r="L509" s="28"/>
      <c r="M509" s="26"/>
      <c r="N509" s="26"/>
      <c r="O509" s="28"/>
      <c r="P509" s="28"/>
      <c r="Q509" s="28"/>
    </row>
    <row r="510" spans="1:17" ht="18.75">
      <c r="A510" s="22">
        <v>505</v>
      </c>
      <c r="B510" s="23" t="s">
        <v>111</v>
      </c>
      <c r="C510" s="23" t="s">
        <v>375</v>
      </c>
      <c r="D510" s="24">
        <v>1069009.0935</v>
      </c>
      <c r="E510" s="24">
        <v>3297935.7843999998</v>
      </c>
      <c r="F510" s="25">
        <f t="shared" si="7"/>
        <v>4366944.8778999997</v>
      </c>
      <c r="G510" s="26"/>
      <c r="H510" s="26"/>
      <c r="I510" s="28"/>
      <c r="J510" s="28"/>
      <c r="K510" s="28"/>
      <c r="L510" s="28"/>
      <c r="M510" s="26"/>
      <c r="N510" s="26"/>
      <c r="O510" s="28"/>
      <c r="P510" s="28"/>
      <c r="Q510" s="28"/>
    </row>
    <row r="511" spans="1:17" ht="18.75">
      <c r="A511" s="22">
        <v>506</v>
      </c>
      <c r="B511" s="23" t="s">
        <v>111</v>
      </c>
      <c r="C511" s="23" t="s">
        <v>377</v>
      </c>
      <c r="D511" s="24">
        <v>981513.66870000004</v>
      </c>
      <c r="E511" s="24">
        <v>3028008.9013999999</v>
      </c>
      <c r="F511" s="25">
        <f t="shared" si="7"/>
        <v>4009522.5701000001</v>
      </c>
      <c r="G511" s="26"/>
      <c r="H511" s="26"/>
      <c r="I511" s="28"/>
      <c r="J511" s="28"/>
      <c r="K511" s="28"/>
      <c r="L511" s="28"/>
      <c r="M511" s="26"/>
      <c r="N511" s="26"/>
      <c r="O511" s="28"/>
      <c r="P511" s="28"/>
      <c r="Q511" s="28"/>
    </row>
    <row r="512" spans="1:17" ht="18.75">
      <c r="A512" s="22">
        <v>507</v>
      </c>
      <c r="B512" s="23" t="s">
        <v>111</v>
      </c>
      <c r="C512" s="23" t="s">
        <v>379</v>
      </c>
      <c r="D512" s="24">
        <v>1184091.8232</v>
      </c>
      <c r="E512" s="24">
        <v>3652970.6055999999</v>
      </c>
      <c r="F512" s="25">
        <f t="shared" si="7"/>
        <v>4837062.4287999999</v>
      </c>
      <c r="G512" s="26"/>
      <c r="H512" s="26"/>
      <c r="I512" s="28"/>
      <c r="J512" s="28"/>
      <c r="K512" s="28"/>
      <c r="L512" s="28"/>
      <c r="M512" s="26"/>
      <c r="N512" s="26"/>
      <c r="O512" s="28"/>
      <c r="P512" s="28"/>
      <c r="Q512" s="28"/>
    </row>
    <row r="513" spans="1:17" ht="18.75">
      <c r="A513" s="22">
        <v>508</v>
      </c>
      <c r="B513" s="23" t="s">
        <v>111</v>
      </c>
      <c r="C513" s="23" t="s">
        <v>382</v>
      </c>
      <c r="D513" s="24">
        <v>790661.41599999997</v>
      </c>
      <c r="E513" s="24">
        <v>2439222.0729</v>
      </c>
      <c r="F513" s="25">
        <f t="shared" si="7"/>
        <v>3229883.4889000002</v>
      </c>
      <c r="G513" s="26"/>
      <c r="H513" s="26"/>
      <c r="I513" s="28"/>
      <c r="J513" s="28"/>
      <c r="K513" s="28"/>
      <c r="L513" s="28"/>
      <c r="M513" s="26"/>
      <c r="N513" s="26"/>
      <c r="O513" s="28"/>
      <c r="P513" s="28"/>
      <c r="Q513" s="28"/>
    </row>
    <row r="514" spans="1:17" ht="18.75">
      <c r="A514" s="22">
        <v>509</v>
      </c>
      <c r="B514" s="23" t="s">
        <v>111</v>
      </c>
      <c r="C514" s="23" t="s">
        <v>384</v>
      </c>
      <c r="D514" s="24">
        <v>1348157.32</v>
      </c>
      <c r="E514" s="24">
        <v>4159119.2215</v>
      </c>
      <c r="F514" s="25">
        <f t="shared" si="7"/>
        <v>5507276.5415000003</v>
      </c>
      <c r="G514" s="26"/>
      <c r="H514" s="26"/>
      <c r="I514" s="28"/>
      <c r="J514" s="28"/>
      <c r="K514" s="28"/>
      <c r="L514" s="28"/>
      <c r="M514" s="26"/>
      <c r="N514" s="26"/>
      <c r="O514" s="28"/>
      <c r="P514" s="28"/>
      <c r="Q514" s="28"/>
    </row>
    <row r="515" spans="1:17" ht="18.75">
      <c r="A515" s="22">
        <v>510</v>
      </c>
      <c r="B515" s="23" t="s">
        <v>111</v>
      </c>
      <c r="C515" s="23" t="s">
        <v>386</v>
      </c>
      <c r="D515" s="24">
        <v>1165415.3099</v>
      </c>
      <c r="E515" s="24">
        <v>3595352.8157000002</v>
      </c>
      <c r="F515" s="25">
        <f t="shared" si="7"/>
        <v>4760768.1255999999</v>
      </c>
      <c r="G515" s="26"/>
      <c r="H515" s="26"/>
      <c r="I515" s="28"/>
      <c r="J515" s="28"/>
      <c r="K515" s="28"/>
      <c r="L515" s="28"/>
      <c r="M515" s="26"/>
      <c r="N515" s="26"/>
      <c r="O515" s="28"/>
      <c r="P515" s="28"/>
      <c r="Q515" s="28"/>
    </row>
    <row r="516" spans="1:17" ht="18.75">
      <c r="A516" s="22">
        <v>511</v>
      </c>
      <c r="B516" s="23" t="s">
        <v>111</v>
      </c>
      <c r="C516" s="23" t="s">
        <v>388</v>
      </c>
      <c r="D516" s="24">
        <v>1602388.2475000001</v>
      </c>
      <c r="E516" s="24">
        <v>4943431.7949000001</v>
      </c>
      <c r="F516" s="25">
        <f t="shared" si="7"/>
        <v>6545820.0423999997</v>
      </c>
      <c r="G516" s="26"/>
      <c r="H516" s="26"/>
      <c r="I516" s="28"/>
      <c r="J516" s="28"/>
      <c r="K516" s="28"/>
      <c r="L516" s="28"/>
      <c r="M516" s="26"/>
      <c r="N516" s="26"/>
      <c r="O516" s="28"/>
      <c r="P516" s="28"/>
      <c r="Q516" s="28"/>
    </row>
    <row r="517" spans="1:17" ht="18.75">
      <c r="A517" s="22">
        <v>512</v>
      </c>
      <c r="B517" s="23" t="s">
        <v>111</v>
      </c>
      <c r="C517" s="23" t="s">
        <v>390</v>
      </c>
      <c r="D517" s="24">
        <v>1733680.5460999999</v>
      </c>
      <c r="E517" s="24">
        <v>5348473.7844000002</v>
      </c>
      <c r="F517" s="25">
        <f t="shared" si="7"/>
        <v>7082154.3305000002</v>
      </c>
      <c r="G517" s="26"/>
      <c r="H517" s="26"/>
      <c r="I517" s="28"/>
      <c r="J517" s="28"/>
      <c r="K517" s="28"/>
      <c r="L517" s="28"/>
      <c r="M517" s="26"/>
      <c r="N517" s="26"/>
      <c r="O517" s="28"/>
      <c r="P517" s="28"/>
      <c r="Q517" s="28"/>
    </row>
    <row r="518" spans="1:17" ht="18.75">
      <c r="A518" s="22">
        <v>513</v>
      </c>
      <c r="B518" s="23" t="s">
        <v>111</v>
      </c>
      <c r="C518" s="23" t="s">
        <v>392</v>
      </c>
      <c r="D518" s="24">
        <v>933267.04399999999</v>
      </c>
      <c r="E518" s="24">
        <v>2879166.1357999998</v>
      </c>
      <c r="F518" s="25">
        <f t="shared" si="7"/>
        <v>3812433.1798</v>
      </c>
      <c r="G518" s="26"/>
      <c r="H518" s="26"/>
      <c r="I518" s="28"/>
      <c r="J518" s="28"/>
      <c r="K518" s="28"/>
      <c r="L518" s="28"/>
      <c r="M518" s="26"/>
      <c r="N518" s="26"/>
      <c r="O518" s="28"/>
      <c r="P518" s="28"/>
      <c r="Q518" s="28"/>
    </row>
    <row r="519" spans="1:17" ht="37.5">
      <c r="A519" s="22">
        <v>514</v>
      </c>
      <c r="B519" s="23" t="s">
        <v>111</v>
      </c>
      <c r="C519" s="23" t="s">
        <v>394</v>
      </c>
      <c r="D519" s="24">
        <v>1126136.5733</v>
      </c>
      <c r="E519" s="24">
        <v>3474176.3432</v>
      </c>
      <c r="F519" s="25">
        <f t="shared" ref="F519:F582" si="8">D519+E519</f>
        <v>4600312.9165000003</v>
      </c>
      <c r="G519" s="26"/>
      <c r="H519" s="26"/>
      <c r="I519" s="28"/>
      <c r="J519" s="28"/>
      <c r="K519" s="28"/>
      <c r="L519" s="28"/>
      <c r="M519" s="26"/>
      <c r="N519" s="26"/>
      <c r="O519" s="28"/>
      <c r="P519" s="28"/>
      <c r="Q519" s="28"/>
    </row>
    <row r="520" spans="1:17" ht="18.75">
      <c r="A520" s="22">
        <v>515</v>
      </c>
      <c r="B520" s="23" t="s">
        <v>111</v>
      </c>
      <c r="C520" s="23" t="s">
        <v>396</v>
      </c>
      <c r="D520" s="24">
        <v>1685911.0567000001</v>
      </c>
      <c r="E520" s="24">
        <v>5201103.0001999997</v>
      </c>
      <c r="F520" s="25">
        <f t="shared" si="8"/>
        <v>6887014.0569000002</v>
      </c>
      <c r="G520" s="26"/>
      <c r="H520" s="26"/>
      <c r="I520" s="28"/>
      <c r="J520" s="28"/>
      <c r="K520" s="28"/>
      <c r="L520" s="28"/>
      <c r="M520" s="26"/>
      <c r="N520" s="26"/>
      <c r="O520" s="28"/>
      <c r="P520" s="28"/>
      <c r="Q520" s="28"/>
    </row>
    <row r="521" spans="1:17" ht="18.75">
      <c r="A521" s="22">
        <v>516</v>
      </c>
      <c r="B521" s="23" t="s">
        <v>111</v>
      </c>
      <c r="C521" s="23" t="s">
        <v>398</v>
      </c>
      <c r="D521" s="24">
        <v>1635871.5374</v>
      </c>
      <c r="E521" s="24">
        <v>5046729.0827000001</v>
      </c>
      <c r="F521" s="25">
        <f t="shared" si="8"/>
        <v>6682600.6200999999</v>
      </c>
      <c r="G521" s="26"/>
      <c r="H521" s="26"/>
      <c r="I521" s="28"/>
      <c r="J521" s="28"/>
      <c r="K521" s="28"/>
      <c r="L521" s="28"/>
      <c r="M521" s="26"/>
      <c r="N521" s="26"/>
      <c r="O521" s="28"/>
      <c r="P521" s="28"/>
      <c r="Q521" s="28"/>
    </row>
    <row r="522" spans="1:17" ht="18.75">
      <c r="A522" s="22">
        <v>517</v>
      </c>
      <c r="B522" s="23" t="s">
        <v>111</v>
      </c>
      <c r="C522" s="23" t="s">
        <v>400</v>
      </c>
      <c r="D522" s="24">
        <v>1670361.6447000001</v>
      </c>
      <c r="E522" s="24">
        <v>5153132.4423000002</v>
      </c>
      <c r="F522" s="25">
        <f t="shared" si="8"/>
        <v>6823494.0870000003</v>
      </c>
      <c r="G522" s="26"/>
      <c r="H522" s="26"/>
      <c r="I522" s="28"/>
      <c r="J522" s="28"/>
      <c r="K522" s="28"/>
      <c r="L522" s="28"/>
      <c r="M522" s="26"/>
      <c r="N522" s="26"/>
      <c r="O522" s="28"/>
      <c r="P522" s="28"/>
      <c r="Q522" s="28"/>
    </row>
    <row r="523" spans="1:17" ht="18.75">
      <c r="A523" s="22">
        <v>518</v>
      </c>
      <c r="B523" s="23" t="s">
        <v>111</v>
      </c>
      <c r="C523" s="23" t="s">
        <v>402</v>
      </c>
      <c r="D523" s="24">
        <v>1291868.5456000001</v>
      </c>
      <c r="E523" s="24">
        <v>3985466.1022999999</v>
      </c>
      <c r="F523" s="25">
        <f t="shared" si="8"/>
        <v>5277334.6479000002</v>
      </c>
      <c r="G523" s="26"/>
      <c r="H523" s="26"/>
      <c r="I523" s="28"/>
      <c r="J523" s="28"/>
      <c r="K523" s="28"/>
      <c r="L523" s="28"/>
      <c r="M523" s="26"/>
      <c r="N523" s="26"/>
      <c r="O523" s="28"/>
      <c r="P523" s="28"/>
      <c r="Q523" s="28"/>
    </row>
    <row r="524" spans="1:17" ht="18.75">
      <c r="A524" s="22">
        <v>519</v>
      </c>
      <c r="B524" s="23" t="s">
        <v>111</v>
      </c>
      <c r="C524" s="23" t="s">
        <v>404</v>
      </c>
      <c r="D524" s="24">
        <v>1477733.2348</v>
      </c>
      <c r="E524" s="24">
        <v>4558866.0980000002</v>
      </c>
      <c r="F524" s="25">
        <f t="shared" si="8"/>
        <v>6036599.3328</v>
      </c>
      <c r="G524" s="26"/>
      <c r="H524" s="26"/>
      <c r="I524" s="28"/>
      <c r="J524" s="28"/>
      <c r="K524" s="28"/>
      <c r="L524" s="28"/>
      <c r="M524" s="26"/>
      <c r="N524" s="26"/>
      <c r="O524" s="28"/>
      <c r="P524" s="28"/>
      <c r="Q524" s="28"/>
    </row>
    <row r="525" spans="1:17" ht="37.5">
      <c r="A525" s="22">
        <v>520</v>
      </c>
      <c r="B525" s="23" t="s">
        <v>112</v>
      </c>
      <c r="C525" s="23" t="s">
        <v>408</v>
      </c>
      <c r="D525" s="24">
        <v>966882.76370000001</v>
      </c>
      <c r="E525" s="24">
        <v>2982871.9747000001</v>
      </c>
      <c r="F525" s="25">
        <f t="shared" si="8"/>
        <v>3949754.7384000001</v>
      </c>
      <c r="G525" s="26"/>
      <c r="H525" s="26"/>
      <c r="I525" s="28"/>
      <c r="J525" s="28"/>
      <c r="K525" s="28"/>
      <c r="L525" s="28"/>
      <c r="M525" s="26"/>
      <c r="N525" s="26"/>
      <c r="O525" s="28"/>
      <c r="P525" s="28"/>
      <c r="Q525" s="28"/>
    </row>
    <row r="526" spans="1:17" ht="37.5">
      <c r="A526" s="22">
        <v>521</v>
      </c>
      <c r="B526" s="23" t="s">
        <v>112</v>
      </c>
      <c r="C526" s="23" t="s">
        <v>410</v>
      </c>
      <c r="D526" s="24">
        <v>1089851.4552</v>
      </c>
      <c r="E526" s="24">
        <v>3362235.3034000001</v>
      </c>
      <c r="F526" s="25">
        <f t="shared" si="8"/>
        <v>4452086.7586000003</v>
      </c>
      <c r="G526" s="26"/>
      <c r="H526" s="26"/>
      <c r="I526" s="28"/>
      <c r="J526" s="28"/>
      <c r="K526" s="28"/>
      <c r="L526" s="28"/>
      <c r="M526" s="26"/>
      <c r="N526" s="26"/>
      <c r="O526" s="28"/>
      <c r="P526" s="28"/>
      <c r="Q526" s="28"/>
    </row>
    <row r="527" spans="1:17" ht="37.5">
      <c r="A527" s="22">
        <v>522</v>
      </c>
      <c r="B527" s="23" t="s">
        <v>112</v>
      </c>
      <c r="C527" s="23" t="s">
        <v>412</v>
      </c>
      <c r="D527" s="24">
        <v>1115911.1443</v>
      </c>
      <c r="E527" s="24">
        <v>3442630.4860999999</v>
      </c>
      <c r="F527" s="25">
        <f t="shared" si="8"/>
        <v>4558541.6304000001</v>
      </c>
      <c r="G527" s="26"/>
      <c r="H527" s="26"/>
      <c r="I527" s="28"/>
      <c r="J527" s="28"/>
      <c r="K527" s="28"/>
      <c r="L527" s="28"/>
      <c r="M527" s="26"/>
      <c r="N527" s="26"/>
      <c r="O527" s="28"/>
      <c r="P527" s="28"/>
      <c r="Q527" s="28"/>
    </row>
    <row r="528" spans="1:17" ht="37.5">
      <c r="A528" s="22">
        <v>523</v>
      </c>
      <c r="B528" s="23" t="s">
        <v>112</v>
      </c>
      <c r="C528" s="23" t="s">
        <v>414</v>
      </c>
      <c r="D528" s="24">
        <v>1316623.0796999999</v>
      </c>
      <c r="E528" s="24">
        <v>4061834.8297000001</v>
      </c>
      <c r="F528" s="25">
        <f t="shared" si="8"/>
        <v>5378457.9094000002</v>
      </c>
      <c r="G528" s="26"/>
      <c r="H528" s="26"/>
      <c r="I528" s="28"/>
      <c r="J528" s="28"/>
      <c r="K528" s="28"/>
      <c r="L528" s="28"/>
      <c r="M528" s="26"/>
      <c r="N528" s="26"/>
      <c r="O528" s="28"/>
      <c r="P528" s="28"/>
      <c r="Q528" s="28"/>
    </row>
    <row r="529" spans="1:17" ht="37.5">
      <c r="A529" s="22">
        <v>524</v>
      </c>
      <c r="B529" s="23" t="s">
        <v>112</v>
      </c>
      <c r="C529" s="23" t="s">
        <v>416</v>
      </c>
      <c r="D529" s="24">
        <v>940125.53890000004</v>
      </c>
      <c r="E529" s="24">
        <v>2900324.8668</v>
      </c>
      <c r="F529" s="25">
        <f t="shared" si="8"/>
        <v>3840450.4057</v>
      </c>
      <c r="G529" s="26"/>
      <c r="H529" s="26"/>
      <c r="I529" s="28"/>
      <c r="J529" s="28"/>
      <c r="K529" s="28"/>
      <c r="L529" s="28"/>
      <c r="M529" s="26"/>
      <c r="N529" s="26"/>
      <c r="O529" s="28"/>
      <c r="P529" s="28"/>
      <c r="Q529" s="28"/>
    </row>
    <row r="530" spans="1:17" ht="37.5">
      <c r="A530" s="22">
        <v>525</v>
      </c>
      <c r="B530" s="23" t="s">
        <v>112</v>
      </c>
      <c r="C530" s="23" t="s">
        <v>418</v>
      </c>
      <c r="D530" s="24">
        <v>884032.30050000001</v>
      </c>
      <c r="E530" s="24">
        <v>2727274.9841</v>
      </c>
      <c r="F530" s="25">
        <f t="shared" si="8"/>
        <v>3611307.2845999999</v>
      </c>
      <c r="G530" s="26"/>
      <c r="H530" s="26"/>
      <c r="I530" s="28"/>
      <c r="J530" s="28"/>
      <c r="K530" s="28"/>
      <c r="L530" s="28"/>
      <c r="M530" s="26"/>
      <c r="N530" s="26"/>
      <c r="O530" s="28"/>
      <c r="P530" s="28"/>
      <c r="Q530" s="28"/>
    </row>
    <row r="531" spans="1:17" ht="37.5">
      <c r="A531" s="22">
        <v>526</v>
      </c>
      <c r="B531" s="23" t="s">
        <v>112</v>
      </c>
      <c r="C531" s="23" t="s">
        <v>420</v>
      </c>
      <c r="D531" s="24">
        <v>1010086.3048</v>
      </c>
      <c r="E531" s="24">
        <v>3116156.6260000002</v>
      </c>
      <c r="F531" s="25">
        <f t="shared" si="8"/>
        <v>4126242.9308000002</v>
      </c>
      <c r="G531" s="26"/>
      <c r="H531" s="26"/>
      <c r="I531" s="28"/>
      <c r="J531" s="28"/>
      <c r="K531" s="28"/>
      <c r="L531" s="28"/>
      <c r="M531" s="26"/>
      <c r="N531" s="26"/>
      <c r="O531" s="28"/>
      <c r="P531" s="28"/>
      <c r="Q531" s="28"/>
    </row>
    <row r="532" spans="1:17" ht="37.5">
      <c r="A532" s="22">
        <v>527</v>
      </c>
      <c r="B532" s="23" t="s">
        <v>112</v>
      </c>
      <c r="C532" s="23" t="s">
        <v>422</v>
      </c>
      <c r="D532" s="24">
        <v>1580541.4915</v>
      </c>
      <c r="E532" s="24">
        <v>4876033.6794999996</v>
      </c>
      <c r="F532" s="25">
        <f t="shared" si="8"/>
        <v>6456575.1710000001</v>
      </c>
      <c r="G532" s="26"/>
      <c r="H532" s="26"/>
      <c r="I532" s="28"/>
      <c r="J532" s="28"/>
      <c r="K532" s="28"/>
      <c r="L532" s="28"/>
      <c r="M532" s="26"/>
      <c r="N532" s="26"/>
      <c r="O532" s="28"/>
      <c r="P532" s="28"/>
      <c r="Q532" s="28"/>
    </row>
    <row r="533" spans="1:17" ht="37.5">
      <c r="A533" s="22">
        <v>528</v>
      </c>
      <c r="B533" s="23" t="s">
        <v>112</v>
      </c>
      <c r="C533" s="23" t="s">
        <v>424</v>
      </c>
      <c r="D533" s="24">
        <v>1464758.2113000001</v>
      </c>
      <c r="E533" s="24">
        <v>4518837.6317999996</v>
      </c>
      <c r="F533" s="25">
        <f t="shared" si="8"/>
        <v>5983595.8431000002</v>
      </c>
      <c r="G533" s="26"/>
      <c r="H533" s="26"/>
      <c r="I533" s="28"/>
      <c r="J533" s="28"/>
      <c r="K533" s="28"/>
      <c r="L533" s="28"/>
      <c r="M533" s="26"/>
      <c r="N533" s="26"/>
      <c r="O533" s="28"/>
      <c r="P533" s="28"/>
      <c r="Q533" s="28"/>
    </row>
    <row r="534" spans="1:17" ht="37.5">
      <c r="A534" s="22">
        <v>529</v>
      </c>
      <c r="B534" s="23" t="s">
        <v>112</v>
      </c>
      <c r="C534" s="23" t="s">
        <v>426</v>
      </c>
      <c r="D534" s="24">
        <v>1120517.7305999999</v>
      </c>
      <c r="E534" s="24">
        <v>3456841.9887999999</v>
      </c>
      <c r="F534" s="25">
        <f t="shared" si="8"/>
        <v>4577359.7193999998</v>
      </c>
      <c r="G534" s="26"/>
      <c r="H534" s="26"/>
      <c r="I534" s="28"/>
      <c r="J534" s="28"/>
      <c r="K534" s="28"/>
      <c r="L534" s="28"/>
      <c r="M534" s="26"/>
      <c r="N534" s="26"/>
      <c r="O534" s="28"/>
      <c r="P534" s="28"/>
      <c r="Q534" s="28"/>
    </row>
    <row r="535" spans="1:17" ht="37.5">
      <c r="A535" s="22">
        <v>530</v>
      </c>
      <c r="B535" s="23" t="s">
        <v>112</v>
      </c>
      <c r="C535" s="23" t="s">
        <v>407</v>
      </c>
      <c r="D535" s="24">
        <v>1072552.0045</v>
      </c>
      <c r="E535" s="24">
        <v>3308865.8065999998</v>
      </c>
      <c r="F535" s="25">
        <f t="shared" si="8"/>
        <v>4381417.8110999996</v>
      </c>
      <c r="G535" s="26"/>
      <c r="H535" s="26"/>
      <c r="I535" s="28"/>
      <c r="J535" s="28"/>
      <c r="K535" s="28"/>
      <c r="L535" s="28"/>
      <c r="M535" s="26"/>
      <c r="N535" s="26"/>
      <c r="O535" s="28"/>
      <c r="P535" s="28"/>
      <c r="Q535" s="28"/>
    </row>
    <row r="536" spans="1:17" ht="37.5">
      <c r="A536" s="22">
        <v>531</v>
      </c>
      <c r="B536" s="23" t="s">
        <v>112</v>
      </c>
      <c r="C536" s="23" t="s">
        <v>430</v>
      </c>
      <c r="D536" s="24">
        <v>1139509.5215</v>
      </c>
      <c r="E536" s="24">
        <v>3515432.4227</v>
      </c>
      <c r="F536" s="25">
        <f t="shared" si="8"/>
        <v>4654941.9441999998</v>
      </c>
      <c r="G536" s="26"/>
      <c r="H536" s="26"/>
      <c r="I536" s="28"/>
      <c r="J536" s="28"/>
      <c r="K536" s="28"/>
      <c r="L536" s="28"/>
      <c r="M536" s="26"/>
      <c r="N536" s="26"/>
      <c r="O536" s="28"/>
      <c r="P536" s="28"/>
      <c r="Q536" s="28"/>
    </row>
    <row r="537" spans="1:17" ht="37.5">
      <c r="A537" s="22">
        <v>532</v>
      </c>
      <c r="B537" s="23" t="s">
        <v>112</v>
      </c>
      <c r="C537" s="23" t="s">
        <v>432</v>
      </c>
      <c r="D537" s="24">
        <v>914758.60849999997</v>
      </c>
      <c r="E537" s="24">
        <v>2822066.8725000001</v>
      </c>
      <c r="F537" s="25">
        <f t="shared" si="8"/>
        <v>3736825.4810000001</v>
      </c>
      <c r="G537" s="26"/>
      <c r="H537" s="26"/>
      <c r="I537" s="28"/>
      <c r="J537" s="28"/>
      <c r="K537" s="28"/>
      <c r="L537" s="28"/>
      <c r="M537" s="26"/>
      <c r="N537" s="26"/>
      <c r="O537" s="28"/>
      <c r="P537" s="28"/>
      <c r="Q537" s="28"/>
    </row>
    <row r="538" spans="1:17" ht="18.75">
      <c r="A538" s="22">
        <v>533</v>
      </c>
      <c r="B538" s="23" t="s">
        <v>113</v>
      </c>
      <c r="C538" s="23" t="s">
        <v>436</v>
      </c>
      <c r="D538" s="24">
        <v>1005845.0728</v>
      </c>
      <c r="E538" s="24">
        <v>3103072.2557000001</v>
      </c>
      <c r="F538" s="25">
        <f t="shared" si="8"/>
        <v>4108917.3284999998</v>
      </c>
      <c r="G538" s="26"/>
      <c r="H538" s="26"/>
      <c r="I538" s="28"/>
      <c r="J538" s="28"/>
      <c r="K538" s="28"/>
      <c r="L538" s="28"/>
      <c r="M538" s="26"/>
      <c r="N538" s="26"/>
      <c r="O538" s="28"/>
      <c r="P538" s="28"/>
      <c r="Q538" s="28"/>
    </row>
    <row r="539" spans="1:17" ht="18.75">
      <c r="A539" s="22">
        <v>534</v>
      </c>
      <c r="B539" s="23" t="s">
        <v>113</v>
      </c>
      <c r="C539" s="23" t="s">
        <v>438</v>
      </c>
      <c r="D539" s="24">
        <v>863586.57700000005</v>
      </c>
      <c r="E539" s="24">
        <v>2664199.1096999999</v>
      </c>
      <c r="F539" s="25">
        <f t="shared" si="8"/>
        <v>3527785.6867</v>
      </c>
      <c r="G539" s="26"/>
      <c r="H539" s="26"/>
      <c r="I539" s="28"/>
      <c r="J539" s="28"/>
      <c r="K539" s="28"/>
      <c r="L539" s="28"/>
      <c r="M539" s="26"/>
      <c r="N539" s="26"/>
      <c r="O539" s="28"/>
      <c r="P539" s="28"/>
      <c r="Q539" s="28"/>
    </row>
    <row r="540" spans="1:17" ht="18.75">
      <c r="A540" s="22">
        <v>535</v>
      </c>
      <c r="B540" s="23" t="s">
        <v>113</v>
      </c>
      <c r="C540" s="23" t="s">
        <v>440</v>
      </c>
      <c r="D540" s="24">
        <v>988985.91509999998</v>
      </c>
      <c r="E540" s="24">
        <v>3051061.0803999999</v>
      </c>
      <c r="F540" s="25">
        <f t="shared" si="8"/>
        <v>4040046.9955000002</v>
      </c>
      <c r="G540" s="26"/>
      <c r="H540" s="26"/>
      <c r="I540" s="28"/>
      <c r="J540" s="28"/>
      <c r="K540" s="28"/>
      <c r="L540" s="28"/>
      <c r="M540" s="26"/>
      <c r="N540" s="26"/>
      <c r="O540" s="28"/>
      <c r="P540" s="28"/>
      <c r="Q540" s="28"/>
    </row>
    <row r="541" spans="1:17" ht="18.75">
      <c r="A541" s="22">
        <v>536</v>
      </c>
      <c r="B541" s="23" t="s">
        <v>113</v>
      </c>
      <c r="C541" s="23" t="s">
        <v>442</v>
      </c>
      <c r="D541" s="24">
        <v>1609923.7908000001</v>
      </c>
      <c r="E541" s="24">
        <v>4966679.2473999998</v>
      </c>
      <c r="F541" s="25">
        <f t="shared" si="8"/>
        <v>6576603.0382000003</v>
      </c>
      <c r="G541" s="26"/>
      <c r="H541" s="26"/>
      <c r="I541" s="28"/>
      <c r="J541" s="28"/>
      <c r="K541" s="28"/>
      <c r="L541" s="28"/>
      <c r="M541" s="26"/>
      <c r="N541" s="26"/>
      <c r="O541" s="28"/>
      <c r="P541" s="28"/>
      <c r="Q541" s="28"/>
    </row>
    <row r="542" spans="1:17" ht="18.75">
      <c r="A542" s="22">
        <v>537</v>
      </c>
      <c r="B542" s="23" t="s">
        <v>113</v>
      </c>
      <c r="C542" s="23" t="s">
        <v>444</v>
      </c>
      <c r="D542" s="24">
        <v>966365.93570000003</v>
      </c>
      <c r="E542" s="24">
        <v>2981277.5397999999</v>
      </c>
      <c r="F542" s="25">
        <f t="shared" si="8"/>
        <v>3947643.4755000002</v>
      </c>
      <c r="G542" s="26"/>
      <c r="H542" s="26"/>
      <c r="I542" s="28"/>
      <c r="J542" s="28"/>
      <c r="K542" s="28"/>
      <c r="L542" s="28"/>
      <c r="M542" s="26"/>
      <c r="N542" s="26"/>
      <c r="O542" s="28"/>
      <c r="P542" s="28"/>
      <c r="Q542" s="28"/>
    </row>
    <row r="543" spans="1:17" ht="18.75">
      <c r="A543" s="22">
        <v>538</v>
      </c>
      <c r="B543" s="23" t="s">
        <v>113</v>
      </c>
      <c r="C543" s="23" t="s">
        <v>446</v>
      </c>
      <c r="D543" s="24">
        <v>1017788.1433999999</v>
      </c>
      <c r="E543" s="24">
        <v>3139917.1060000001</v>
      </c>
      <c r="F543" s="25">
        <f t="shared" si="8"/>
        <v>4157705.2494000001</v>
      </c>
      <c r="G543" s="26"/>
      <c r="H543" s="26"/>
      <c r="I543" s="28"/>
      <c r="J543" s="28"/>
      <c r="K543" s="28"/>
      <c r="L543" s="28"/>
      <c r="M543" s="26"/>
      <c r="N543" s="26"/>
      <c r="O543" s="28"/>
      <c r="P543" s="28"/>
      <c r="Q543" s="28"/>
    </row>
    <row r="544" spans="1:17" ht="18.75">
      <c r="A544" s="22">
        <v>539</v>
      </c>
      <c r="B544" s="23" t="s">
        <v>113</v>
      </c>
      <c r="C544" s="23" t="s">
        <v>448</v>
      </c>
      <c r="D544" s="24">
        <v>964036.39020000002</v>
      </c>
      <c r="E544" s="24">
        <v>2974090.7988999998</v>
      </c>
      <c r="F544" s="25">
        <f t="shared" si="8"/>
        <v>3938127.1891000001</v>
      </c>
      <c r="G544" s="26"/>
      <c r="H544" s="26"/>
      <c r="I544" s="28"/>
      <c r="J544" s="28"/>
      <c r="K544" s="28"/>
      <c r="L544" s="28"/>
      <c r="M544" s="26"/>
      <c r="N544" s="26"/>
      <c r="O544" s="28"/>
      <c r="P544" s="28"/>
      <c r="Q544" s="28"/>
    </row>
    <row r="545" spans="1:17" ht="18.75">
      <c r="A545" s="22">
        <v>540</v>
      </c>
      <c r="B545" s="23" t="s">
        <v>113</v>
      </c>
      <c r="C545" s="23" t="s">
        <v>450</v>
      </c>
      <c r="D545" s="24">
        <v>861427.59369999997</v>
      </c>
      <c r="E545" s="24">
        <v>2657538.56</v>
      </c>
      <c r="F545" s="25">
        <f t="shared" si="8"/>
        <v>3518966.1537000001</v>
      </c>
      <c r="G545" s="26"/>
      <c r="H545" s="26"/>
      <c r="I545" s="28"/>
      <c r="J545" s="28"/>
      <c r="K545" s="28"/>
      <c r="L545" s="28"/>
      <c r="M545" s="26"/>
      <c r="N545" s="26"/>
      <c r="O545" s="28"/>
      <c r="P545" s="28"/>
      <c r="Q545" s="28"/>
    </row>
    <row r="546" spans="1:17" ht="18.75">
      <c r="A546" s="22">
        <v>541</v>
      </c>
      <c r="B546" s="23" t="s">
        <v>113</v>
      </c>
      <c r="C546" s="23" t="s">
        <v>452</v>
      </c>
      <c r="D546" s="24">
        <v>929529.96329999994</v>
      </c>
      <c r="E546" s="24">
        <v>2867637.0923000001</v>
      </c>
      <c r="F546" s="25">
        <f t="shared" si="8"/>
        <v>3797167.0556000001</v>
      </c>
      <c r="G546" s="26"/>
      <c r="H546" s="26"/>
      <c r="I546" s="28"/>
      <c r="J546" s="28"/>
      <c r="K546" s="28"/>
      <c r="L546" s="28"/>
      <c r="M546" s="26"/>
      <c r="N546" s="26"/>
      <c r="O546" s="28"/>
      <c r="P546" s="28"/>
      <c r="Q546" s="28"/>
    </row>
    <row r="547" spans="1:17" ht="18.75">
      <c r="A547" s="22">
        <v>542</v>
      </c>
      <c r="B547" s="23" t="s">
        <v>113</v>
      </c>
      <c r="C547" s="23" t="s">
        <v>454</v>
      </c>
      <c r="D547" s="24">
        <v>1023673.6013</v>
      </c>
      <c r="E547" s="24">
        <v>3158073.9786999999</v>
      </c>
      <c r="F547" s="25">
        <f t="shared" si="8"/>
        <v>4181747.58</v>
      </c>
      <c r="G547" s="26"/>
      <c r="H547" s="26"/>
      <c r="I547" s="28"/>
      <c r="J547" s="28"/>
      <c r="K547" s="28"/>
      <c r="L547" s="28"/>
      <c r="M547" s="26"/>
      <c r="N547" s="26"/>
      <c r="O547" s="28"/>
      <c r="P547" s="28"/>
      <c r="Q547" s="28"/>
    </row>
    <row r="548" spans="1:17" ht="18.75">
      <c r="A548" s="22">
        <v>543</v>
      </c>
      <c r="B548" s="23" t="s">
        <v>113</v>
      </c>
      <c r="C548" s="23" t="s">
        <v>456</v>
      </c>
      <c r="D548" s="24">
        <v>999918.95449999999</v>
      </c>
      <c r="E548" s="24">
        <v>3084789.9438</v>
      </c>
      <c r="F548" s="25">
        <f t="shared" si="8"/>
        <v>4084708.8983</v>
      </c>
      <c r="G548" s="26"/>
      <c r="H548" s="26"/>
      <c r="I548" s="28"/>
      <c r="J548" s="28"/>
      <c r="K548" s="28"/>
      <c r="L548" s="28"/>
      <c r="M548" s="26"/>
      <c r="N548" s="26"/>
      <c r="O548" s="28"/>
      <c r="P548" s="28"/>
      <c r="Q548" s="28"/>
    </row>
    <row r="549" spans="1:17" ht="18.75">
      <c r="A549" s="22">
        <v>544</v>
      </c>
      <c r="B549" s="23" t="s">
        <v>113</v>
      </c>
      <c r="C549" s="23" t="s">
        <v>458</v>
      </c>
      <c r="D549" s="24">
        <v>1163526.5205000001</v>
      </c>
      <c r="E549" s="24">
        <v>3589525.8248999999</v>
      </c>
      <c r="F549" s="25">
        <f t="shared" si="8"/>
        <v>4753052.3454</v>
      </c>
      <c r="G549" s="26"/>
      <c r="H549" s="26"/>
      <c r="I549" s="28"/>
      <c r="J549" s="28"/>
      <c r="K549" s="28"/>
      <c r="L549" s="28"/>
      <c r="M549" s="26"/>
      <c r="N549" s="26"/>
      <c r="O549" s="28"/>
      <c r="P549" s="28"/>
      <c r="Q549" s="28"/>
    </row>
    <row r="550" spans="1:17" ht="18.75">
      <c r="A550" s="22">
        <v>545</v>
      </c>
      <c r="B550" s="23" t="s">
        <v>113</v>
      </c>
      <c r="C550" s="23" t="s">
        <v>460</v>
      </c>
      <c r="D550" s="24">
        <v>1191882.8994</v>
      </c>
      <c r="E550" s="24">
        <v>3677006.3870999999</v>
      </c>
      <c r="F550" s="25">
        <f t="shared" si="8"/>
        <v>4868889.2865000004</v>
      </c>
      <c r="G550" s="26"/>
      <c r="H550" s="26"/>
      <c r="I550" s="28"/>
      <c r="J550" s="28"/>
      <c r="K550" s="28"/>
      <c r="L550" s="28"/>
      <c r="M550" s="26"/>
      <c r="N550" s="26"/>
      <c r="O550" s="28"/>
      <c r="P550" s="28"/>
      <c r="Q550" s="28"/>
    </row>
    <row r="551" spans="1:17" ht="18.75">
      <c r="A551" s="22">
        <v>546</v>
      </c>
      <c r="B551" s="23" t="s">
        <v>113</v>
      </c>
      <c r="C551" s="23" t="s">
        <v>462</v>
      </c>
      <c r="D551" s="24">
        <v>1319730.6942</v>
      </c>
      <c r="E551" s="24">
        <v>4071421.9446</v>
      </c>
      <c r="F551" s="25">
        <f t="shared" si="8"/>
        <v>5391152.6387999998</v>
      </c>
      <c r="G551" s="26"/>
      <c r="H551" s="26"/>
      <c r="I551" s="28"/>
      <c r="J551" s="28"/>
      <c r="K551" s="28"/>
      <c r="L551" s="28"/>
      <c r="M551" s="26"/>
      <c r="N551" s="26"/>
      <c r="O551" s="28"/>
      <c r="P551" s="28"/>
      <c r="Q551" s="28"/>
    </row>
    <row r="552" spans="1:17" ht="18.75">
      <c r="A552" s="22">
        <v>547</v>
      </c>
      <c r="B552" s="23" t="s">
        <v>113</v>
      </c>
      <c r="C552" s="23" t="s">
        <v>464</v>
      </c>
      <c r="D552" s="24">
        <v>1557200.1646</v>
      </c>
      <c r="E552" s="24">
        <v>4804024.7531000003</v>
      </c>
      <c r="F552" s="25">
        <f t="shared" si="8"/>
        <v>6361224.9177000001</v>
      </c>
      <c r="G552" s="26"/>
      <c r="H552" s="26"/>
      <c r="I552" s="28"/>
      <c r="J552" s="28"/>
      <c r="K552" s="28"/>
      <c r="L552" s="28"/>
      <c r="M552" s="26"/>
      <c r="N552" s="26"/>
      <c r="O552" s="28"/>
      <c r="P552" s="28"/>
      <c r="Q552" s="28"/>
    </row>
    <row r="553" spans="1:17" ht="18.75">
      <c r="A553" s="22">
        <v>548</v>
      </c>
      <c r="B553" s="23" t="s">
        <v>113</v>
      </c>
      <c r="C553" s="23" t="s">
        <v>466</v>
      </c>
      <c r="D553" s="24">
        <v>986225.01489999995</v>
      </c>
      <c r="E553" s="24">
        <v>3042543.5929</v>
      </c>
      <c r="F553" s="25">
        <f t="shared" si="8"/>
        <v>4028768.6077999999</v>
      </c>
      <c r="G553" s="26"/>
      <c r="H553" s="26"/>
      <c r="I553" s="28"/>
      <c r="J553" s="28"/>
      <c r="K553" s="28"/>
      <c r="L553" s="28"/>
      <c r="M553" s="26"/>
      <c r="N553" s="26"/>
      <c r="O553" s="28"/>
      <c r="P553" s="28"/>
      <c r="Q553" s="28"/>
    </row>
    <row r="554" spans="1:17" ht="18.75">
      <c r="A554" s="22">
        <v>549</v>
      </c>
      <c r="B554" s="23" t="s">
        <v>113</v>
      </c>
      <c r="C554" s="23" t="s">
        <v>468</v>
      </c>
      <c r="D554" s="24">
        <v>1338604.0874999999</v>
      </c>
      <c r="E554" s="24">
        <v>4129647.1172000002</v>
      </c>
      <c r="F554" s="25">
        <f t="shared" si="8"/>
        <v>5468251.2046999997</v>
      </c>
      <c r="G554" s="26"/>
      <c r="H554" s="26"/>
      <c r="I554" s="28"/>
      <c r="J554" s="28"/>
      <c r="K554" s="28"/>
      <c r="L554" s="28"/>
      <c r="M554" s="26"/>
      <c r="N554" s="26"/>
      <c r="O554" s="28"/>
      <c r="P554" s="28"/>
      <c r="Q554" s="28"/>
    </row>
    <row r="555" spans="1:17" ht="18.75">
      <c r="A555" s="22">
        <v>550</v>
      </c>
      <c r="B555" s="23" t="s">
        <v>113</v>
      </c>
      <c r="C555" s="23" t="s">
        <v>470</v>
      </c>
      <c r="D555" s="24">
        <v>904198.30009999999</v>
      </c>
      <c r="E555" s="24">
        <v>2789487.8990000002</v>
      </c>
      <c r="F555" s="25">
        <f t="shared" si="8"/>
        <v>3693686.1990999999</v>
      </c>
      <c r="G555" s="26"/>
      <c r="H555" s="26"/>
      <c r="I555" s="28"/>
      <c r="J555" s="28"/>
      <c r="K555" s="28"/>
      <c r="L555" s="28"/>
      <c r="M555" s="26"/>
      <c r="N555" s="26"/>
      <c r="O555" s="28"/>
      <c r="P555" s="28"/>
      <c r="Q555" s="28"/>
    </row>
    <row r="556" spans="1:17" ht="18.75">
      <c r="A556" s="22">
        <v>551</v>
      </c>
      <c r="B556" s="23" t="s">
        <v>113</v>
      </c>
      <c r="C556" s="23" t="s">
        <v>472</v>
      </c>
      <c r="D556" s="24">
        <v>1040628.1015</v>
      </c>
      <c r="E556" s="24">
        <v>3210379.2895</v>
      </c>
      <c r="F556" s="25">
        <f t="shared" si="8"/>
        <v>4251007.3909999998</v>
      </c>
      <c r="G556" s="26"/>
      <c r="H556" s="26"/>
      <c r="I556" s="28"/>
      <c r="J556" s="28"/>
      <c r="K556" s="28"/>
      <c r="L556" s="28"/>
      <c r="M556" s="26"/>
      <c r="N556" s="26"/>
      <c r="O556" s="28"/>
      <c r="P556" s="28"/>
      <c r="Q556" s="28"/>
    </row>
    <row r="557" spans="1:17" ht="18.75">
      <c r="A557" s="22">
        <v>552</v>
      </c>
      <c r="B557" s="23" t="s">
        <v>113</v>
      </c>
      <c r="C557" s="23" t="s">
        <v>474</v>
      </c>
      <c r="D557" s="24">
        <v>1200247.9715</v>
      </c>
      <c r="E557" s="24">
        <v>3702812.9690999999</v>
      </c>
      <c r="F557" s="25">
        <f t="shared" si="8"/>
        <v>4903060.9406000003</v>
      </c>
      <c r="G557" s="26"/>
      <c r="H557" s="26"/>
      <c r="I557" s="28"/>
      <c r="J557" s="28"/>
      <c r="K557" s="28"/>
      <c r="L557" s="28"/>
      <c r="M557" s="26"/>
      <c r="N557" s="26"/>
      <c r="O557" s="28"/>
      <c r="P557" s="28"/>
      <c r="Q557" s="28"/>
    </row>
    <row r="558" spans="1:17" ht="18.75">
      <c r="A558" s="22">
        <v>553</v>
      </c>
      <c r="B558" s="23" t="s">
        <v>113</v>
      </c>
      <c r="C558" s="23" t="s">
        <v>476</v>
      </c>
      <c r="D558" s="24">
        <v>1129109.8770000001</v>
      </c>
      <c r="E558" s="24">
        <v>3483349.1039999998</v>
      </c>
      <c r="F558" s="25">
        <f t="shared" si="8"/>
        <v>4612458.9809999997</v>
      </c>
      <c r="G558" s="26"/>
      <c r="H558" s="26"/>
      <c r="I558" s="28"/>
      <c r="J558" s="28"/>
      <c r="K558" s="28"/>
      <c r="L558" s="28"/>
      <c r="M558" s="26"/>
      <c r="N558" s="26"/>
      <c r="O558" s="28"/>
      <c r="P558" s="28"/>
      <c r="Q558" s="28"/>
    </row>
    <row r="559" spans="1:17" ht="18.75">
      <c r="A559" s="22">
        <v>554</v>
      </c>
      <c r="B559" s="23" t="s">
        <v>113</v>
      </c>
      <c r="C559" s="23" t="s">
        <v>478</v>
      </c>
      <c r="D559" s="24">
        <v>1334780.8748999999</v>
      </c>
      <c r="E559" s="24">
        <v>4117852.3535000002</v>
      </c>
      <c r="F559" s="25">
        <f t="shared" si="8"/>
        <v>5452633.2284000004</v>
      </c>
      <c r="G559" s="26"/>
      <c r="H559" s="26"/>
      <c r="I559" s="28"/>
      <c r="J559" s="28"/>
      <c r="K559" s="28"/>
      <c r="L559" s="28"/>
      <c r="M559" s="26"/>
      <c r="N559" s="26"/>
      <c r="O559" s="28"/>
      <c r="P559" s="28"/>
      <c r="Q559" s="28"/>
    </row>
    <row r="560" spans="1:17" ht="18.75">
      <c r="A560" s="22">
        <v>555</v>
      </c>
      <c r="B560" s="23" t="s">
        <v>113</v>
      </c>
      <c r="C560" s="23" t="s">
        <v>480</v>
      </c>
      <c r="D560" s="24">
        <v>976158.77099999995</v>
      </c>
      <c r="E560" s="24">
        <v>3011488.8280000002</v>
      </c>
      <c r="F560" s="25">
        <f t="shared" si="8"/>
        <v>3987647.5989999999</v>
      </c>
      <c r="G560" s="26"/>
      <c r="H560" s="26"/>
      <c r="I560" s="28"/>
      <c r="J560" s="28"/>
      <c r="K560" s="28"/>
      <c r="L560" s="28"/>
      <c r="M560" s="26"/>
      <c r="N560" s="26"/>
      <c r="O560" s="28"/>
      <c r="P560" s="28"/>
      <c r="Q560" s="28"/>
    </row>
    <row r="561" spans="1:17" ht="18.75">
      <c r="A561" s="22">
        <v>556</v>
      </c>
      <c r="B561" s="23" t="s">
        <v>113</v>
      </c>
      <c r="C561" s="23" t="s">
        <v>482</v>
      </c>
      <c r="D561" s="24">
        <v>794438.29650000005</v>
      </c>
      <c r="E561" s="24">
        <v>2450873.9002999999</v>
      </c>
      <c r="F561" s="25">
        <f t="shared" si="8"/>
        <v>3245312.1968</v>
      </c>
      <c r="G561" s="26"/>
      <c r="H561" s="26"/>
      <c r="I561" s="28"/>
      <c r="J561" s="28"/>
      <c r="K561" s="28"/>
      <c r="L561" s="28"/>
      <c r="M561" s="26"/>
      <c r="N561" s="26"/>
      <c r="O561" s="28"/>
      <c r="P561" s="28"/>
      <c r="Q561" s="28"/>
    </row>
    <row r="562" spans="1:17" ht="18.75">
      <c r="A562" s="22">
        <v>557</v>
      </c>
      <c r="B562" s="23" t="s">
        <v>113</v>
      </c>
      <c r="C562" s="23" t="s">
        <v>484</v>
      </c>
      <c r="D562" s="24">
        <v>885552.97770000005</v>
      </c>
      <c r="E562" s="24">
        <v>2731966.3341000001</v>
      </c>
      <c r="F562" s="25">
        <f t="shared" si="8"/>
        <v>3617519.3117999998</v>
      </c>
      <c r="G562" s="26"/>
      <c r="H562" s="26"/>
      <c r="I562" s="28"/>
      <c r="J562" s="28"/>
      <c r="K562" s="28"/>
      <c r="L562" s="28"/>
      <c r="M562" s="26"/>
      <c r="N562" s="26"/>
      <c r="O562" s="28"/>
      <c r="P562" s="28"/>
      <c r="Q562" s="28"/>
    </row>
    <row r="563" spans="1:17" ht="37.5">
      <c r="A563" s="22">
        <v>558</v>
      </c>
      <c r="B563" s="23" t="s">
        <v>114</v>
      </c>
      <c r="C563" s="23" t="s">
        <v>489</v>
      </c>
      <c r="D563" s="24">
        <v>994223.38970000006</v>
      </c>
      <c r="E563" s="24">
        <v>3067218.8988999999</v>
      </c>
      <c r="F563" s="25">
        <f t="shared" si="8"/>
        <v>4061442.2886000001</v>
      </c>
      <c r="G563" s="26"/>
      <c r="H563" s="26"/>
      <c r="I563" s="28"/>
      <c r="J563" s="28"/>
      <c r="K563" s="28"/>
      <c r="L563" s="28"/>
      <c r="M563" s="26"/>
      <c r="N563" s="26"/>
      <c r="O563" s="28"/>
      <c r="P563" s="28"/>
      <c r="Q563" s="28"/>
    </row>
    <row r="564" spans="1:17" ht="37.5">
      <c r="A564" s="22">
        <v>559</v>
      </c>
      <c r="B564" s="23" t="s">
        <v>114</v>
      </c>
      <c r="C564" s="23" t="s">
        <v>491</v>
      </c>
      <c r="D564" s="24">
        <v>1026383.5228</v>
      </c>
      <c r="E564" s="24">
        <v>3166434.1951000001</v>
      </c>
      <c r="F564" s="25">
        <f t="shared" si="8"/>
        <v>4192817.7179</v>
      </c>
      <c r="G564" s="26"/>
      <c r="H564" s="26"/>
      <c r="I564" s="28"/>
      <c r="J564" s="28"/>
      <c r="K564" s="28"/>
      <c r="L564" s="28"/>
      <c r="M564" s="26"/>
      <c r="N564" s="26"/>
      <c r="O564" s="28"/>
      <c r="P564" s="28"/>
      <c r="Q564" s="28"/>
    </row>
    <row r="565" spans="1:17" ht="18.75">
      <c r="A565" s="22">
        <v>560</v>
      </c>
      <c r="B565" s="23" t="s">
        <v>114</v>
      </c>
      <c r="C565" s="23" t="s">
        <v>493</v>
      </c>
      <c r="D565" s="24">
        <v>1577585.4524999999</v>
      </c>
      <c r="E565" s="24">
        <v>4866914.1810999997</v>
      </c>
      <c r="F565" s="25">
        <f t="shared" si="8"/>
        <v>6444499.6336000003</v>
      </c>
      <c r="G565" s="26"/>
      <c r="H565" s="26"/>
      <c r="I565" s="28"/>
      <c r="J565" s="28"/>
      <c r="K565" s="28"/>
      <c r="L565" s="28"/>
      <c r="M565" s="26"/>
      <c r="N565" s="26"/>
      <c r="O565" s="28"/>
      <c r="P565" s="28"/>
      <c r="Q565" s="28"/>
    </row>
    <row r="566" spans="1:17" ht="18.75">
      <c r="A566" s="22">
        <v>561</v>
      </c>
      <c r="B566" s="23" t="s">
        <v>114</v>
      </c>
      <c r="C566" s="23" t="s">
        <v>495</v>
      </c>
      <c r="D566" s="24">
        <v>1037275.6785</v>
      </c>
      <c r="E566" s="24">
        <v>3200036.9308000002</v>
      </c>
      <c r="F566" s="25">
        <f t="shared" si="8"/>
        <v>4237312.6092999997</v>
      </c>
      <c r="G566" s="26"/>
      <c r="H566" s="26"/>
      <c r="I566" s="28"/>
      <c r="J566" s="28"/>
      <c r="K566" s="28"/>
      <c r="L566" s="28"/>
      <c r="M566" s="26"/>
      <c r="N566" s="26"/>
      <c r="O566" s="28"/>
      <c r="P566" s="28"/>
      <c r="Q566" s="28"/>
    </row>
    <row r="567" spans="1:17" ht="18.75">
      <c r="A567" s="22">
        <v>562</v>
      </c>
      <c r="B567" s="23" t="s">
        <v>114</v>
      </c>
      <c r="C567" s="23" t="s">
        <v>497</v>
      </c>
      <c r="D567" s="24">
        <v>929584.33200000005</v>
      </c>
      <c r="E567" s="24">
        <v>2867804.8220000002</v>
      </c>
      <c r="F567" s="25">
        <f t="shared" si="8"/>
        <v>3797389.1540000001</v>
      </c>
      <c r="G567" s="26"/>
      <c r="H567" s="26"/>
      <c r="I567" s="28"/>
      <c r="J567" s="28"/>
      <c r="K567" s="28"/>
      <c r="L567" s="28"/>
      <c r="M567" s="26"/>
      <c r="N567" s="26"/>
      <c r="O567" s="28"/>
      <c r="P567" s="28"/>
      <c r="Q567" s="28"/>
    </row>
    <row r="568" spans="1:17" ht="18.75">
      <c r="A568" s="22">
        <v>563</v>
      </c>
      <c r="B568" s="23" t="s">
        <v>114</v>
      </c>
      <c r="C568" s="23" t="s">
        <v>499</v>
      </c>
      <c r="D568" s="24">
        <v>707111.36730000004</v>
      </c>
      <c r="E568" s="24">
        <v>2181466.8332000002</v>
      </c>
      <c r="F568" s="25">
        <f t="shared" si="8"/>
        <v>2888578.2004999998</v>
      </c>
      <c r="G568" s="26"/>
      <c r="H568" s="26"/>
      <c r="I568" s="28"/>
      <c r="J568" s="28"/>
      <c r="K568" s="28"/>
      <c r="L568" s="28"/>
      <c r="M568" s="26"/>
      <c r="N568" s="26"/>
      <c r="O568" s="28"/>
      <c r="P568" s="28"/>
      <c r="Q568" s="28"/>
    </row>
    <row r="569" spans="1:17" ht="18.75">
      <c r="A569" s="22">
        <v>564</v>
      </c>
      <c r="B569" s="23" t="s">
        <v>114</v>
      </c>
      <c r="C569" s="23" t="s">
        <v>501</v>
      </c>
      <c r="D569" s="24">
        <v>688851.42709999997</v>
      </c>
      <c r="E569" s="24">
        <v>2125134.1877000001</v>
      </c>
      <c r="F569" s="25">
        <f t="shared" si="8"/>
        <v>2813985.6148000001</v>
      </c>
      <c r="G569" s="26"/>
      <c r="H569" s="26"/>
      <c r="I569" s="28"/>
      <c r="J569" s="28"/>
      <c r="K569" s="28"/>
      <c r="L569" s="28"/>
      <c r="M569" s="26"/>
      <c r="N569" s="26"/>
      <c r="O569" s="28"/>
      <c r="P569" s="28"/>
      <c r="Q569" s="28"/>
    </row>
    <row r="570" spans="1:17" ht="18.75">
      <c r="A570" s="22">
        <v>565</v>
      </c>
      <c r="B570" s="23" t="s">
        <v>114</v>
      </c>
      <c r="C570" s="23" t="s">
        <v>503</v>
      </c>
      <c r="D570" s="24">
        <v>1546786.6868</v>
      </c>
      <c r="E570" s="24">
        <v>4771898.7577</v>
      </c>
      <c r="F570" s="25">
        <f t="shared" si="8"/>
        <v>6318685.4445000002</v>
      </c>
      <c r="G570" s="26"/>
      <c r="H570" s="26"/>
      <c r="I570" s="28"/>
      <c r="J570" s="28"/>
      <c r="K570" s="28"/>
      <c r="L570" s="28"/>
      <c r="M570" s="26"/>
      <c r="N570" s="26"/>
      <c r="O570" s="28"/>
      <c r="P570" s="28"/>
      <c r="Q570" s="28"/>
    </row>
    <row r="571" spans="1:17" ht="18.75">
      <c r="A571" s="22">
        <v>566</v>
      </c>
      <c r="B571" s="23" t="s">
        <v>114</v>
      </c>
      <c r="C571" s="23" t="s">
        <v>505</v>
      </c>
      <c r="D571" s="24">
        <v>920530.41830000002</v>
      </c>
      <c r="E571" s="24">
        <v>2839873.1365</v>
      </c>
      <c r="F571" s="25">
        <f t="shared" si="8"/>
        <v>3760403.5548</v>
      </c>
      <c r="G571" s="26"/>
      <c r="H571" s="26"/>
      <c r="I571" s="28"/>
      <c r="J571" s="28"/>
      <c r="K571" s="28"/>
      <c r="L571" s="28"/>
      <c r="M571" s="26"/>
      <c r="N571" s="26"/>
      <c r="O571" s="28"/>
      <c r="P571" s="28"/>
      <c r="Q571" s="28"/>
    </row>
    <row r="572" spans="1:17" ht="18.75">
      <c r="A572" s="22">
        <v>567</v>
      </c>
      <c r="B572" s="23" t="s">
        <v>114</v>
      </c>
      <c r="C572" s="23" t="s">
        <v>507</v>
      </c>
      <c r="D572" s="24">
        <v>1150112.7472999999</v>
      </c>
      <c r="E572" s="24">
        <v>3548143.7982000001</v>
      </c>
      <c r="F572" s="25">
        <f t="shared" si="8"/>
        <v>4698256.5455</v>
      </c>
      <c r="G572" s="26"/>
      <c r="H572" s="26"/>
      <c r="I572" s="28"/>
      <c r="J572" s="28"/>
      <c r="K572" s="28"/>
      <c r="L572" s="28"/>
      <c r="M572" s="26"/>
      <c r="N572" s="26"/>
      <c r="O572" s="28"/>
      <c r="P572" s="28"/>
      <c r="Q572" s="28"/>
    </row>
    <row r="573" spans="1:17" ht="18.75">
      <c r="A573" s="22">
        <v>568</v>
      </c>
      <c r="B573" s="23" t="s">
        <v>114</v>
      </c>
      <c r="C573" s="23" t="s">
        <v>509</v>
      </c>
      <c r="D573" s="24">
        <v>887312.4878</v>
      </c>
      <c r="E573" s="24">
        <v>2737394.4929999998</v>
      </c>
      <c r="F573" s="25">
        <f t="shared" si="8"/>
        <v>3624706.9808</v>
      </c>
      <c r="G573" s="26"/>
      <c r="H573" s="26"/>
      <c r="I573" s="28"/>
      <c r="J573" s="28"/>
      <c r="K573" s="28"/>
      <c r="L573" s="28"/>
      <c r="M573" s="26"/>
      <c r="N573" s="26"/>
      <c r="O573" s="28"/>
      <c r="P573" s="28"/>
      <c r="Q573" s="28"/>
    </row>
    <row r="574" spans="1:17" ht="18.75">
      <c r="A574" s="22">
        <v>569</v>
      </c>
      <c r="B574" s="23" t="s">
        <v>114</v>
      </c>
      <c r="C574" s="23" t="s">
        <v>511</v>
      </c>
      <c r="D574" s="24">
        <v>801648.01899999997</v>
      </c>
      <c r="E574" s="24">
        <v>2473116.1825000001</v>
      </c>
      <c r="F574" s="25">
        <f t="shared" si="8"/>
        <v>3274764.2015</v>
      </c>
      <c r="G574" s="26"/>
      <c r="H574" s="26"/>
      <c r="I574" s="28"/>
      <c r="J574" s="28"/>
      <c r="K574" s="28"/>
      <c r="L574" s="28"/>
      <c r="M574" s="26"/>
      <c r="N574" s="26"/>
      <c r="O574" s="28"/>
      <c r="P574" s="28"/>
      <c r="Q574" s="28"/>
    </row>
    <row r="575" spans="1:17" ht="37.5">
      <c r="A575" s="22">
        <v>570</v>
      </c>
      <c r="B575" s="23" t="s">
        <v>114</v>
      </c>
      <c r="C575" s="23" t="s">
        <v>513</v>
      </c>
      <c r="D575" s="24">
        <v>722892.49800000002</v>
      </c>
      <c r="E575" s="24">
        <v>2230152.2522999998</v>
      </c>
      <c r="F575" s="25">
        <f t="shared" si="8"/>
        <v>2953044.7503</v>
      </c>
      <c r="G575" s="26"/>
      <c r="H575" s="26"/>
      <c r="I575" s="28"/>
      <c r="J575" s="28"/>
      <c r="K575" s="28"/>
      <c r="L575" s="28"/>
      <c r="M575" s="26"/>
      <c r="N575" s="26"/>
      <c r="O575" s="28"/>
      <c r="P575" s="28"/>
      <c r="Q575" s="28"/>
    </row>
    <row r="576" spans="1:17" ht="18.75">
      <c r="A576" s="22">
        <v>571</v>
      </c>
      <c r="B576" s="23" t="s">
        <v>114</v>
      </c>
      <c r="C576" s="23" t="s">
        <v>515</v>
      </c>
      <c r="D576" s="24">
        <v>831056.72970000003</v>
      </c>
      <c r="E576" s="24">
        <v>2563843.2305000001</v>
      </c>
      <c r="F576" s="25">
        <f t="shared" si="8"/>
        <v>3394899.9602000001</v>
      </c>
      <c r="G576" s="26"/>
      <c r="H576" s="26"/>
      <c r="I576" s="28"/>
      <c r="J576" s="28"/>
      <c r="K576" s="28"/>
      <c r="L576" s="28"/>
      <c r="M576" s="26"/>
      <c r="N576" s="26"/>
      <c r="O576" s="28"/>
      <c r="P576" s="28"/>
      <c r="Q576" s="28"/>
    </row>
    <row r="577" spans="1:17" ht="18.75">
      <c r="A577" s="22">
        <v>572</v>
      </c>
      <c r="B577" s="23" t="s">
        <v>114</v>
      </c>
      <c r="C577" s="23" t="s">
        <v>517</v>
      </c>
      <c r="D577" s="24">
        <v>870463.89269999997</v>
      </c>
      <c r="E577" s="24">
        <v>2685415.9035999998</v>
      </c>
      <c r="F577" s="25">
        <f t="shared" si="8"/>
        <v>3555879.7963</v>
      </c>
      <c r="G577" s="26"/>
      <c r="H577" s="26"/>
      <c r="I577" s="28"/>
      <c r="J577" s="28"/>
      <c r="K577" s="28"/>
      <c r="L577" s="28"/>
      <c r="M577" s="26"/>
      <c r="N577" s="26"/>
      <c r="O577" s="28"/>
      <c r="P577" s="28"/>
      <c r="Q577" s="28"/>
    </row>
    <row r="578" spans="1:17" ht="37.5">
      <c r="A578" s="22">
        <v>573</v>
      </c>
      <c r="B578" s="23" t="s">
        <v>114</v>
      </c>
      <c r="C578" s="23" t="s">
        <v>519</v>
      </c>
      <c r="D578" s="24">
        <v>1055440.0882000001</v>
      </c>
      <c r="E578" s="24">
        <v>3256074.8605999998</v>
      </c>
      <c r="F578" s="25">
        <f t="shared" si="8"/>
        <v>4311514.9488000004</v>
      </c>
      <c r="G578" s="26"/>
      <c r="H578" s="26"/>
      <c r="I578" s="28"/>
      <c r="J578" s="28"/>
      <c r="K578" s="28"/>
      <c r="L578" s="28"/>
      <c r="M578" s="26"/>
      <c r="N578" s="26"/>
      <c r="O578" s="28"/>
      <c r="P578" s="28"/>
      <c r="Q578" s="28"/>
    </row>
    <row r="579" spans="1:17" ht="18.75">
      <c r="A579" s="22">
        <v>574</v>
      </c>
      <c r="B579" s="23" t="s">
        <v>114</v>
      </c>
      <c r="C579" s="23" t="s">
        <v>521</v>
      </c>
      <c r="D579" s="24">
        <v>886020.87600000005</v>
      </c>
      <c r="E579" s="24">
        <v>2733409.8188999998</v>
      </c>
      <c r="F579" s="25">
        <f t="shared" si="8"/>
        <v>3619430.6949</v>
      </c>
      <c r="G579" s="26"/>
      <c r="H579" s="26"/>
      <c r="I579" s="28"/>
      <c r="J579" s="28"/>
      <c r="K579" s="28"/>
      <c r="L579" s="28"/>
      <c r="M579" s="26"/>
      <c r="N579" s="26"/>
      <c r="O579" s="28"/>
      <c r="P579" s="28"/>
      <c r="Q579" s="28"/>
    </row>
    <row r="580" spans="1:17" ht="18.75">
      <c r="A580" s="22">
        <v>575</v>
      </c>
      <c r="B580" s="23" t="s">
        <v>114</v>
      </c>
      <c r="C580" s="23" t="s">
        <v>523</v>
      </c>
      <c r="D580" s="24">
        <v>823464.23389999999</v>
      </c>
      <c r="E580" s="24">
        <v>2540420.0776</v>
      </c>
      <c r="F580" s="25">
        <f t="shared" si="8"/>
        <v>3363884.3114999998</v>
      </c>
      <c r="G580" s="26"/>
      <c r="H580" s="26"/>
      <c r="I580" s="28"/>
      <c r="J580" s="28"/>
      <c r="K580" s="28"/>
      <c r="L580" s="28"/>
      <c r="M580" s="26"/>
      <c r="N580" s="26"/>
      <c r="O580" s="28"/>
      <c r="P580" s="28"/>
      <c r="Q580" s="28"/>
    </row>
    <row r="581" spans="1:17" ht="37.5">
      <c r="A581" s="22">
        <v>576</v>
      </c>
      <c r="B581" s="23" t="s">
        <v>114</v>
      </c>
      <c r="C581" s="23" t="s">
        <v>526</v>
      </c>
      <c r="D581" s="24">
        <v>782161.07849999995</v>
      </c>
      <c r="E581" s="24">
        <v>2412998.1923000002</v>
      </c>
      <c r="F581" s="25">
        <f t="shared" si="8"/>
        <v>3195159.2708000001</v>
      </c>
      <c r="G581" s="26"/>
      <c r="H581" s="26"/>
      <c r="I581" s="28"/>
      <c r="J581" s="28"/>
      <c r="K581" s="28"/>
      <c r="L581" s="28"/>
      <c r="M581" s="26"/>
      <c r="N581" s="26"/>
      <c r="O581" s="28"/>
      <c r="P581" s="28"/>
      <c r="Q581" s="28"/>
    </row>
    <row r="582" spans="1:17" ht="18.75">
      <c r="A582" s="22">
        <v>577</v>
      </c>
      <c r="B582" s="23" t="s">
        <v>114</v>
      </c>
      <c r="C582" s="23" t="s">
        <v>528</v>
      </c>
      <c r="D582" s="24">
        <v>1060868.9118999999</v>
      </c>
      <c r="E582" s="24">
        <v>3272822.9989</v>
      </c>
      <c r="F582" s="25">
        <f t="shared" si="8"/>
        <v>4333691.9107999997</v>
      </c>
      <c r="G582" s="26"/>
      <c r="H582" s="26"/>
      <c r="I582" s="28"/>
      <c r="J582" s="28"/>
      <c r="K582" s="28"/>
      <c r="L582" s="28"/>
      <c r="M582" s="26"/>
      <c r="N582" s="26"/>
      <c r="O582" s="28"/>
      <c r="P582" s="28"/>
      <c r="Q582" s="28"/>
    </row>
    <row r="583" spans="1:17" ht="37.5">
      <c r="A583" s="22">
        <v>578</v>
      </c>
      <c r="B583" s="23" t="s">
        <v>115</v>
      </c>
      <c r="C583" s="23" t="s">
        <v>532</v>
      </c>
      <c r="D583" s="24">
        <v>1022592.3441</v>
      </c>
      <c r="E583" s="24">
        <v>3154738.2571999999</v>
      </c>
      <c r="F583" s="25">
        <f t="shared" ref="F583:F646" si="9">D583+E583</f>
        <v>4177330.6013000002</v>
      </c>
      <c r="G583" s="26"/>
      <c r="H583" s="26"/>
      <c r="I583" s="28"/>
      <c r="J583" s="28"/>
      <c r="K583" s="28"/>
      <c r="L583" s="28"/>
      <c r="M583" s="26"/>
      <c r="N583" s="26"/>
      <c r="O583" s="28"/>
      <c r="P583" s="28"/>
      <c r="Q583" s="28"/>
    </row>
    <row r="584" spans="1:17" ht="37.5">
      <c r="A584" s="22">
        <v>579</v>
      </c>
      <c r="B584" s="23" t="s">
        <v>115</v>
      </c>
      <c r="C584" s="23" t="s">
        <v>534</v>
      </c>
      <c r="D584" s="24">
        <v>1081738.7002000001</v>
      </c>
      <c r="E584" s="24">
        <v>3337207.1299000001</v>
      </c>
      <c r="F584" s="25">
        <f t="shared" si="9"/>
        <v>4418945.8300999999</v>
      </c>
      <c r="G584" s="26"/>
      <c r="H584" s="26"/>
      <c r="I584" s="28"/>
      <c r="J584" s="28"/>
      <c r="K584" s="28"/>
      <c r="L584" s="28"/>
      <c r="M584" s="26"/>
      <c r="N584" s="26"/>
      <c r="O584" s="28"/>
      <c r="P584" s="28"/>
      <c r="Q584" s="28"/>
    </row>
    <row r="585" spans="1:17" ht="37.5">
      <c r="A585" s="22">
        <v>580</v>
      </c>
      <c r="B585" s="23" t="s">
        <v>115</v>
      </c>
      <c r="C585" s="23" t="s">
        <v>536</v>
      </c>
      <c r="D585" s="24">
        <v>1101299.0360999999</v>
      </c>
      <c r="E585" s="24">
        <v>3397551.548</v>
      </c>
      <c r="F585" s="25">
        <f t="shared" si="9"/>
        <v>4498850.5840999996</v>
      </c>
      <c r="G585" s="26"/>
      <c r="H585" s="26"/>
      <c r="I585" s="28"/>
      <c r="J585" s="28"/>
      <c r="K585" s="28"/>
      <c r="L585" s="28"/>
      <c r="M585" s="26"/>
      <c r="N585" s="26"/>
      <c r="O585" s="28"/>
      <c r="P585" s="28"/>
      <c r="Q585" s="28"/>
    </row>
    <row r="586" spans="1:17" ht="37.5">
      <c r="A586" s="22">
        <v>581</v>
      </c>
      <c r="B586" s="23" t="s">
        <v>115</v>
      </c>
      <c r="C586" s="23" t="s">
        <v>538</v>
      </c>
      <c r="D586" s="24">
        <v>816852.39069999999</v>
      </c>
      <c r="E586" s="24">
        <v>2520022.2771000001</v>
      </c>
      <c r="F586" s="25">
        <f t="shared" si="9"/>
        <v>3336874.6677999999</v>
      </c>
      <c r="G586" s="26"/>
      <c r="H586" s="26"/>
      <c r="I586" s="28"/>
      <c r="J586" s="28"/>
      <c r="K586" s="28"/>
      <c r="L586" s="28"/>
      <c r="M586" s="26"/>
      <c r="N586" s="26"/>
      <c r="O586" s="28"/>
      <c r="P586" s="28"/>
      <c r="Q586" s="28"/>
    </row>
    <row r="587" spans="1:17" ht="18.75">
      <c r="A587" s="22">
        <v>582</v>
      </c>
      <c r="B587" s="23" t="s">
        <v>115</v>
      </c>
      <c r="C587" s="23" t="s">
        <v>540</v>
      </c>
      <c r="D587" s="24">
        <v>855962.44830000005</v>
      </c>
      <c r="E587" s="24">
        <v>2640678.3679</v>
      </c>
      <c r="F587" s="25">
        <f t="shared" si="9"/>
        <v>3496640.8161999998</v>
      </c>
      <c r="G587" s="26"/>
      <c r="H587" s="26"/>
      <c r="I587" s="28"/>
      <c r="J587" s="28"/>
      <c r="K587" s="28"/>
      <c r="L587" s="28"/>
      <c r="M587" s="26"/>
      <c r="N587" s="26"/>
      <c r="O587" s="28"/>
      <c r="P587" s="28"/>
      <c r="Q587" s="28"/>
    </row>
    <row r="588" spans="1:17" ht="18.75">
      <c r="A588" s="22">
        <v>583</v>
      </c>
      <c r="B588" s="23" t="s">
        <v>115</v>
      </c>
      <c r="C588" s="23" t="s">
        <v>542</v>
      </c>
      <c r="D588" s="24">
        <v>1315412.9926</v>
      </c>
      <c r="E588" s="24">
        <v>4058101.6625999999</v>
      </c>
      <c r="F588" s="25">
        <f t="shared" si="9"/>
        <v>5373514.6551999999</v>
      </c>
      <c r="G588" s="26"/>
      <c r="H588" s="26"/>
      <c r="I588" s="28"/>
      <c r="J588" s="28"/>
      <c r="K588" s="28"/>
      <c r="L588" s="28"/>
      <c r="M588" s="26"/>
      <c r="N588" s="26"/>
      <c r="O588" s="28"/>
      <c r="P588" s="28"/>
      <c r="Q588" s="28"/>
    </row>
    <row r="589" spans="1:17" ht="18.75">
      <c r="A589" s="22">
        <v>584</v>
      </c>
      <c r="B589" s="23" t="s">
        <v>115</v>
      </c>
      <c r="C589" s="23" t="s">
        <v>544</v>
      </c>
      <c r="D589" s="24">
        <v>926421.12829999998</v>
      </c>
      <c r="E589" s="24">
        <v>2858046.2122999998</v>
      </c>
      <c r="F589" s="25">
        <f t="shared" si="9"/>
        <v>3784467.3406000002</v>
      </c>
      <c r="G589" s="26"/>
      <c r="H589" s="26"/>
      <c r="I589" s="28"/>
      <c r="J589" s="28"/>
      <c r="K589" s="28"/>
      <c r="L589" s="28"/>
      <c r="M589" s="26"/>
      <c r="N589" s="26"/>
      <c r="O589" s="28"/>
      <c r="P589" s="28"/>
      <c r="Q589" s="28"/>
    </row>
    <row r="590" spans="1:17" ht="18.75">
      <c r="A590" s="22">
        <v>585</v>
      </c>
      <c r="B590" s="23" t="s">
        <v>115</v>
      </c>
      <c r="C590" s="23" t="s">
        <v>546</v>
      </c>
      <c r="D590" s="24">
        <v>933373.52969999996</v>
      </c>
      <c r="E590" s="24">
        <v>2879494.6485000001</v>
      </c>
      <c r="F590" s="25">
        <f t="shared" si="9"/>
        <v>3812868.1782</v>
      </c>
      <c r="G590" s="26"/>
      <c r="H590" s="26"/>
      <c r="I590" s="28"/>
      <c r="J590" s="28"/>
      <c r="K590" s="28"/>
      <c r="L590" s="28"/>
      <c r="M590" s="26"/>
      <c r="N590" s="26"/>
      <c r="O590" s="28"/>
      <c r="P590" s="28"/>
      <c r="Q590" s="28"/>
    </row>
    <row r="591" spans="1:17" ht="18.75">
      <c r="A591" s="22">
        <v>586</v>
      </c>
      <c r="B591" s="23" t="s">
        <v>115</v>
      </c>
      <c r="C591" s="23" t="s">
        <v>548</v>
      </c>
      <c r="D591" s="24">
        <v>1122142.8955000001</v>
      </c>
      <c r="E591" s="24">
        <v>3461855.6875999998</v>
      </c>
      <c r="F591" s="25">
        <f t="shared" si="9"/>
        <v>4583998.5831000004</v>
      </c>
      <c r="G591" s="26"/>
      <c r="H591" s="26"/>
      <c r="I591" s="28"/>
      <c r="J591" s="28"/>
      <c r="K591" s="28"/>
      <c r="L591" s="28"/>
      <c r="M591" s="26"/>
      <c r="N591" s="26"/>
      <c r="O591" s="28"/>
      <c r="P591" s="28"/>
      <c r="Q591" s="28"/>
    </row>
    <row r="592" spans="1:17" ht="18.75">
      <c r="A592" s="22">
        <v>587</v>
      </c>
      <c r="B592" s="23" t="s">
        <v>115</v>
      </c>
      <c r="C592" s="23" t="s">
        <v>550</v>
      </c>
      <c r="D592" s="24">
        <v>1217662.7466</v>
      </c>
      <c r="E592" s="24">
        <v>3756538.2463000002</v>
      </c>
      <c r="F592" s="25">
        <f t="shared" si="9"/>
        <v>4974200.9929</v>
      </c>
      <c r="G592" s="26"/>
      <c r="H592" s="26"/>
      <c r="I592" s="28"/>
      <c r="J592" s="28"/>
      <c r="K592" s="28"/>
      <c r="L592" s="28"/>
      <c r="M592" s="26"/>
      <c r="N592" s="26"/>
      <c r="O592" s="28"/>
      <c r="P592" s="28"/>
      <c r="Q592" s="28"/>
    </row>
    <row r="593" spans="1:17" ht="18.75">
      <c r="A593" s="22">
        <v>588</v>
      </c>
      <c r="B593" s="23" t="s">
        <v>115</v>
      </c>
      <c r="C593" s="23" t="s">
        <v>552</v>
      </c>
      <c r="D593" s="24">
        <v>931693.77009999997</v>
      </c>
      <c r="E593" s="24">
        <v>2874312.5229000002</v>
      </c>
      <c r="F593" s="25">
        <f t="shared" si="9"/>
        <v>3806006.2930000001</v>
      </c>
      <c r="G593" s="26"/>
      <c r="H593" s="26"/>
      <c r="I593" s="28"/>
      <c r="J593" s="28"/>
      <c r="K593" s="28"/>
      <c r="L593" s="28"/>
      <c r="M593" s="26"/>
      <c r="N593" s="26"/>
      <c r="O593" s="28"/>
      <c r="P593" s="28"/>
      <c r="Q593" s="28"/>
    </row>
    <row r="594" spans="1:17" ht="37.5">
      <c r="A594" s="22">
        <v>589</v>
      </c>
      <c r="B594" s="23" t="s">
        <v>115</v>
      </c>
      <c r="C594" s="23" t="s">
        <v>554</v>
      </c>
      <c r="D594" s="24">
        <v>964364.12300000002</v>
      </c>
      <c r="E594" s="24">
        <v>2975101.8676999998</v>
      </c>
      <c r="F594" s="25">
        <f t="shared" si="9"/>
        <v>3939465.9907</v>
      </c>
      <c r="G594" s="26"/>
      <c r="H594" s="26"/>
      <c r="I594" s="28"/>
      <c r="J594" s="28"/>
      <c r="K594" s="28"/>
      <c r="L594" s="28"/>
      <c r="M594" s="26"/>
      <c r="N594" s="26"/>
      <c r="O594" s="28"/>
      <c r="P594" s="28"/>
      <c r="Q594" s="28"/>
    </row>
    <row r="595" spans="1:17" ht="18.75">
      <c r="A595" s="22">
        <v>590</v>
      </c>
      <c r="B595" s="23" t="s">
        <v>115</v>
      </c>
      <c r="C595" s="23" t="s">
        <v>556</v>
      </c>
      <c r="D595" s="24">
        <v>896199.38679999998</v>
      </c>
      <c r="E595" s="24">
        <v>2764810.9315999998</v>
      </c>
      <c r="F595" s="25">
        <f t="shared" si="9"/>
        <v>3661010.3184000002</v>
      </c>
      <c r="G595" s="26"/>
      <c r="H595" s="26"/>
      <c r="I595" s="28"/>
      <c r="J595" s="28"/>
      <c r="K595" s="28"/>
      <c r="L595" s="28"/>
      <c r="M595" s="26"/>
      <c r="N595" s="26"/>
      <c r="O595" s="28"/>
      <c r="P595" s="28"/>
      <c r="Q595" s="28"/>
    </row>
    <row r="596" spans="1:17" ht="18.75">
      <c r="A596" s="22">
        <v>591</v>
      </c>
      <c r="B596" s="23" t="s">
        <v>115</v>
      </c>
      <c r="C596" s="23" t="s">
        <v>558</v>
      </c>
      <c r="D596" s="24">
        <v>1120819.6284</v>
      </c>
      <c r="E596" s="24">
        <v>3457773.3555000001</v>
      </c>
      <c r="F596" s="25">
        <f t="shared" si="9"/>
        <v>4578592.9839000003</v>
      </c>
      <c r="G596" s="26"/>
      <c r="H596" s="26"/>
      <c r="I596" s="28"/>
      <c r="J596" s="28"/>
      <c r="K596" s="28"/>
      <c r="L596" s="28"/>
      <c r="M596" s="26"/>
      <c r="N596" s="26"/>
      <c r="O596" s="28"/>
      <c r="P596" s="28"/>
      <c r="Q596" s="28"/>
    </row>
    <row r="597" spans="1:17" ht="18.75">
      <c r="A597" s="22">
        <v>592</v>
      </c>
      <c r="B597" s="23" t="s">
        <v>115</v>
      </c>
      <c r="C597" s="23" t="s">
        <v>560</v>
      </c>
      <c r="D597" s="24">
        <v>743852.66669999994</v>
      </c>
      <c r="E597" s="24">
        <v>2294815.2104000002</v>
      </c>
      <c r="F597" s="25">
        <f t="shared" si="9"/>
        <v>3038667.8771000002</v>
      </c>
      <c r="G597" s="26"/>
      <c r="H597" s="26"/>
      <c r="I597" s="28"/>
      <c r="J597" s="28"/>
      <c r="K597" s="28"/>
      <c r="L597" s="28"/>
      <c r="M597" s="26"/>
      <c r="N597" s="26"/>
      <c r="O597" s="28"/>
      <c r="P597" s="28"/>
      <c r="Q597" s="28"/>
    </row>
    <row r="598" spans="1:17" ht="18.75">
      <c r="A598" s="22">
        <v>593</v>
      </c>
      <c r="B598" s="23" t="s">
        <v>115</v>
      </c>
      <c r="C598" s="23" t="s">
        <v>562</v>
      </c>
      <c r="D598" s="24">
        <v>1229385.9901000001</v>
      </c>
      <c r="E598" s="24">
        <v>3792704.9212000002</v>
      </c>
      <c r="F598" s="25">
        <f t="shared" si="9"/>
        <v>5022090.9112999998</v>
      </c>
      <c r="G598" s="26"/>
      <c r="H598" s="26"/>
      <c r="I598" s="28"/>
      <c r="J598" s="28"/>
      <c r="K598" s="28"/>
      <c r="L598" s="28"/>
      <c r="M598" s="26"/>
      <c r="N598" s="26"/>
      <c r="O598" s="28"/>
      <c r="P598" s="28"/>
      <c r="Q598" s="28"/>
    </row>
    <row r="599" spans="1:17" ht="18.75">
      <c r="A599" s="22">
        <v>594</v>
      </c>
      <c r="B599" s="23" t="s">
        <v>115</v>
      </c>
      <c r="C599" s="23" t="s">
        <v>564</v>
      </c>
      <c r="D599" s="24">
        <v>990551.58490000002</v>
      </c>
      <c r="E599" s="24">
        <v>3055891.2343000001</v>
      </c>
      <c r="F599" s="25">
        <f t="shared" si="9"/>
        <v>4046442.8191999998</v>
      </c>
      <c r="G599" s="26"/>
      <c r="H599" s="26"/>
      <c r="I599" s="28"/>
      <c r="J599" s="28"/>
      <c r="K599" s="28"/>
      <c r="L599" s="28"/>
      <c r="M599" s="26"/>
      <c r="N599" s="26"/>
      <c r="O599" s="28"/>
      <c r="P599" s="28"/>
      <c r="Q599" s="28"/>
    </row>
    <row r="600" spans="1:17" ht="18.75">
      <c r="A600" s="22">
        <v>595</v>
      </c>
      <c r="B600" s="23" t="s">
        <v>115</v>
      </c>
      <c r="C600" s="23" t="s">
        <v>566</v>
      </c>
      <c r="D600" s="24">
        <v>1162179.4495999999</v>
      </c>
      <c r="E600" s="24">
        <v>3585370.0570999999</v>
      </c>
      <c r="F600" s="25">
        <f t="shared" si="9"/>
        <v>4747549.5066999998</v>
      </c>
      <c r="G600" s="26"/>
      <c r="H600" s="26"/>
      <c r="I600" s="28"/>
      <c r="J600" s="28"/>
      <c r="K600" s="28"/>
      <c r="L600" s="28"/>
      <c r="M600" s="26"/>
      <c r="N600" s="26"/>
      <c r="O600" s="28"/>
      <c r="P600" s="28"/>
      <c r="Q600" s="28"/>
    </row>
    <row r="601" spans="1:17" ht="37.5">
      <c r="A601" s="22">
        <v>596</v>
      </c>
      <c r="B601" s="23" t="s">
        <v>116</v>
      </c>
      <c r="C601" s="23" t="s">
        <v>570</v>
      </c>
      <c r="D601" s="24">
        <v>726307.79330000002</v>
      </c>
      <c r="E601" s="24">
        <v>2240688.5747000002</v>
      </c>
      <c r="F601" s="25">
        <f t="shared" si="9"/>
        <v>2966996.3679999998</v>
      </c>
      <c r="G601" s="26"/>
      <c r="H601" s="26"/>
      <c r="I601" s="28"/>
      <c r="J601" s="28"/>
      <c r="K601" s="28"/>
      <c r="L601" s="28"/>
      <c r="M601" s="26"/>
      <c r="N601" s="26"/>
      <c r="O601" s="28"/>
      <c r="P601" s="28"/>
      <c r="Q601" s="28"/>
    </row>
    <row r="602" spans="1:17" ht="37.5">
      <c r="A602" s="22">
        <v>597</v>
      </c>
      <c r="B602" s="23" t="s">
        <v>116</v>
      </c>
      <c r="C602" s="23" t="s">
        <v>572</v>
      </c>
      <c r="D602" s="24">
        <v>728345.18720000004</v>
      </c>
      <c r="E602" s="24">
        <v>2246974.0162</v>
      </c>
      <c r="F602" s="25">
        <f t="shared" si="9"/>
        <v>2975319.2034</v>
      </c>
      <c r="G602" s="26"/>
      <c r="H602" s="26"/>
      <c r="I602" s="28"/>
      <c r="J602" s="28"/>
      <c r="K602" s="28"/>
      <c r="L602" s="28"/>
      <c r="M602" s="26"/>
      <c r="N602" s="26"/>
      <c r="O602" s="28"/>
      <c r="P602" s="28"/>
      <c r="Q602" s="28"/>
    </row>
    <row r="603" spans="1:17" ht="18.75">
      <c r="A603" s="22">
        <v>598</v>
      </c>
      <c r="B603" s="23" t="s">
        <v>116</v>
      </c>
      <c r="C603" s="23" t="s">
        <v>574</v>
      </c>
      <c r="D603" s="24">
        <v>907395.76020000002</v>
      </c>
      <c r="E603" s="24">
        <v>2799352.1910999999</v>
      </c>
      <c r="F603" s="25">
        <f t="shared" si="9"/>
        <v>3706747.9512999998</v>
      </c>
      <c r="G603" s="26"/>
      <c r="H603" s="26"/>
      <c r="I603" s="28"/>
      <c r="J603" s="28"/>
      <c r="K603" s="28"/>
      <c r="L603" s="28"/>
      <c r="M603" s="26"/>
      <c r="N603" s="26"/>
      <c r="O603" s="28"/>
      <c r="P603" s="28"/>
      <c r="Q603" s="28"/>
    </row>
    <row r="604" spans="1:17" ht="18.75">
      <c r="A604" s="22">
        <v>599</v>
      </c>
      <c r="B604" s="23" t="s">
        <v>116</v>
      </c>
      <c r="C604" s="23" t="s">
        <v>576</v>
      </c>
      <c r="D604" s="24">
        <v>802117.79559999995</v>
      </c>
      <c r="E604" s="24">
        <v>2474565.4622</v>
      </c>
      <c r="F604" s="25">
        <f t="shared" si="9"/>
        <v>3276683.2577999998</v>
      </c>
      <c r="G604" s="26"/>
      <c r="H604" s="26"/>
      <c r="I604" s="28"/>
      <c r="J604" s="28"/>
      <c r="K604" s="28"/>
      <c r="L604" s="28"/>
      <c r="M604" s="26"/>
      <c r="N604" s="26"/>
      <c r="O604" s="28"/>
      <c r="P604" s="28"/>
      <c r="Q604" s="28"/>
    </row>
    <row r="605" spans="1:17" ht="18.75">
      <c r="A605" s="22">
        <v>600</v>
      </c>
      <c r="B605" s="23" t="s">
        <v>116</v>
      </c>
      <c r="C605" s="23" t="s">
        <v>579</v>
      </c>
      <c r="D605" s="24">
        <v>759055.11060000001</v>
      </c>
      <c r="E605" s="24">
        <v>2341715.3576000002</v>
      </c>
      <c r="F605" s="25">
        <f t="shared" si="9"/>
        <v>3100770.4682</v>
      </c>
      <c r="G605" s="26"/>
      <c r="H605" s="26"/>
      <c r="I605" s="28"/>
      <c r="J605" s="28"/>
      <c r="K605" s="28"/>
      <c r="L605" s="28"/>
      <c r="M605" s="26"/>
      <c r="N605" s="26"/>
      <c r="O605" s="28"/>
      <c r="P605" s="28"/>
      <c r="Q605" s="28"/>
    </row>
    <row r="606" spans="1:17" ht="18.75">
      <c r="A606" s="22">
        <v>601</v>
      </c>
      <c r="B606" s="23" t="s">
        <v>116</v>
      </c>
      <c r="C606" s="23" t="s">
        <v>581</v>
      </c>
      <c r="D606" s="24">
        <v>864526.48840000003</v>
      </c>
      <c r="E606" s="24">
        <v>2667098.7740000002</v>
      </c>
      <c r="F606" s="25">
        <f t="shared" si="9"/>
        <v>3531625.2623999999</v>
      </c>
      <c r="G606" s="26"/>
      <c r="H606" s="26"/>
      <c r="I606" s="28"/>
      <c r="J606" s="28"/>
      <c r="K606" s="28"/>
      <c r="L606" s="28"/>
      <c r="M606" s="26"/>
      <c r="N606" s="26"/>
      <c r="O606" s="28"/>
      <c r="P606" s="28"/>
      <c r="Q606" s="28"/>
    </row>
    <row r="607" spans="1:17" ht="18.75">
      <c r="A607" s="22">
        <v>602</v>
      </c>
      <c r="B607" s="23" t="s">
        <v>116</v>
      </c>
      <c r="C607" s="23" t="s">
        <v>583</v>
      </c>
      <c r="D607" s="24">
        <v>724601.64560000005</v>
      </c>
      <c r="E607" s="24">
        <v>2235425.0408999999</v>
      </c>
      <c r="F607" s="25">
        <f t="shared" si="9"/>
        <v>2960026.6864999998</v>
      </c>
      <c r="G607" s="26"/>
      <c r="H607" s="26"/>
      <c r="I607" s="28"/>
      <c r="J607" s="28"/>
      <c r="K607" s="28"/>
      <c r="L607" s="28"/>
      <c r="M607" s="26"/>
      <c r="N607" s="26"/>
      <c r="O607" s="28"/>
      <c r="P607" s="28"/>
      <c r="Q607" s="28"/>
    </row>
    <row r="608" spans="1:17" ht="18.75">
      <c r="A608" s="22">
        <v>603</v>
      </c>
      <c r="B608" s="23" t="s">
        <v>116</v>
      </c>
      <c r="C608" s="23" t="s">
        <v>584</v>
      </c>
      <c r="D608" s="24">
        <v>752536.00859999994</v>
      </c>
      <c r="E608" s="24">
        <v>2321603.6672999999</v>
      </c>
      <c r="F608" s="25">
        <f t="shared" si="9"/>
        <v>3074139.6759000001</v>
      </c>
      <c r="G608" s="26"/>
      <c r="H608" s="26"/>
      <c r="I608" s="28"/>
      <c r="J608" s="28"/>
      <c r="K608" s="28"/>
      <c r="L608" s="28"/>
      <c r="M608" s="26"/>
      <c r="N608" s="26"/>
      <c r="O608" s="28"/>
      <c r="P608" s="28"/>
      <c r="Q608" s="28"/>
    </row>
    <row r="609" spans="1:17" ht="18.75">
      <c r="A609" s="22">
        <v>604</v>
      </c>
      <c r="B609" s="23" t="s">
        <v>116</v>
      </c>
      <c r="C609" s="23" t="s">
        <v>586</v>
      </c>
      <c r="D609" s="24">
        <v>740156.50430000003</v>
      </c>
      <c r="E609" s="24">
        <v>2283412.4015000002</v>
      </c>
      <c r="F609" s="25">
        <f t="shared" si="9"/>
        <v>3023568.9057999998</v>
      </c>
      <c r="G609" s="26"/>
      <c r="H609" s="26"/>
      <c r="I609" s="28"/>
      <c r="J609" s="28"/>
      <c r="K609" s="28"/>
      <c r="L609" s="28"/>
      <c r="M609" s="26"/>
      <c r="N609" s="26"/>
      <c r="O609" s="28"/>
      <c r="P609" s="28"/>
      <c r="Q609" s="28"/>
    </row>
    <row r="610" spans="1:17" ht="18.75">
      <c r="A610" s="22">
        <v>605</v>
      </c>
      <c r="B610" s="23" t="s">
        <v>116</v>
      </c>
      <c r="C610" s="23" t="s">
        <v>588</v>
      </c>
      <c r="D610" s="24">
        <v>840223.89269999997</v>
      </c>
      <c r="E610" s="24">
        <v>2592124.2947</v>
      </c>
      <c r="F610" s="25">
        <f t="shared" si="9"/>
        <v>3432348.1874000002</v>
      </c>
      <c r="G610" s="26"/>
      <c r="H610" s="26"/>
      <c r="I610" s="28"/>
      <c r="J610" s="28"/>
      <c r="K610" s="28"/>
      <c r="L610" s="28"/>
      <c r="M610" s="26"/>
      <c r="N610" s="26"/>
      <c r="O610" s="28"/>
      <c r="P610" s="28"/>
      <c r="Q610" s="28"/>
    </row>
    <row r="611" spans="1:17" ht="18.75">
      <c r="A611" s="22">
        <v>606</v>
      </c>
      <c r="B611" s="23" t="s">
        <v>116</v>
      </c>
      <c r="C611" s="23" t="s">
        <v>590</v>
      </c>
      <c r="D611" s="24">
        <v>889654.78240000003</v>
      </c>
      <c r="E611" s="24">
        <v>2744620.5654000002</v>
      </c>
      <c r="F611" s="25">
        <f t="shared" si="9"/>
        <v>3634275.3478000001</v>
      </c>
      <c r="G611" s="26"/>
      <c r="H611" s="26"/>
      <c r="I611" s="28"/>
      <c r="J611" s="28"/>
      <c r="K611" s="28"/>
      <c r="L611" s="28"/>
      <c r="M611" s="26"/>
      <c r="N611" s="26"/>
      <c r="O611" s="28"/>
      <c r="P611" s="28"/>
      <c r="Q611" s="28"/>
    </row>
    <row r="612" spans="1:17" ht="18.75">
      <c r="A612" s="22">
        <v>607</v>
      </c>
      <c r="B612" s="23" t="s">
        <v>116</v>
      </c>
      <c r="C612" s="23" t="s">
        <v>592</v>
      </c>
      <c r="D612" s="24">
        <v>1028235.9101</v>
      </c>
      <c r="E612" s="24">
        <v>3172148.8837000001</v>
      </c>
      <c r="F612" s="25">
        <f t="shared" si="9"/>
        <v>4200384.7938000001</v>
      </c>
      <c r="G612" s="26"/>
      <c r="H612" s="26"/>
      <c r="I612" s="28"/>
      <c r="J612" s="28"/>
      <c r="K612" s="28"/>
      <c r="L612" s="28"/>
      <c r="M612" s="26"/>
      <c r="N612" s="26"/>
      <c r="O612" s="28"/>
      <c r="P612" s="28"/>
      <c r="Q612" s="28"/>
    </row>
    <row r="613" spans="1:17" ht="18.75">
      <c r="A613" s="22">
        <v>608</v>
      </c>
      <c r="B613" s="23" t="s">
        <v>116</v>
      </c>
      <c r="C613" s="23" t="s">
        <v>594</v>
      </c>
      <c r="D613" s="24">
        <v>958464.18229999999</v>
      </c>
      <c r="E613" s="24">
        <v>2956900.3147</v>
      </c>
      <c r="F613" s="25">
        <f t="shared" si="9"/>
        <v>3915364.497</v>
      </c>
      <c r="G613" s="26"/>
      <c r="H613" s="26"/>
      <c r="I613" s="28"/>
      <c r="J613" s="28"/>
      <c r="K613" s="28"/>
      <c r="L613" s="28"/>
      <c r="M613" s="26"/>
      <c r="N613" s="26"/>
      <c r="O613" s="28"/>
      <c r="P613" s="28"/>
      <c r="Q613" s="28"/>
    </row>
    <row r="614" spans="1:17" ht="18.75">
      <c r="A614" s="22">
        <v>609</v>
      </c>
      <c r="B614" s="23" t="s">
        <v>116</v>
      </c>
      <c r="C614" s="23" t="s">
        <v>596</v>
      </c>
      <c r="D614" s="24">
        <v>835483.91729999997</v>
      </c>
      <c r="E614" s="24">
        <v>2577501.2812000001</v>
      </c>
      <c r="F614" s="25">
        <f t="shared" si="9"/>
        <v>3412985.1984999999</v>
      </c>
      <c r="G614" s="26"/>
      <c r="H614" s="26"/>
      <c r="I614" s="28"/>
      <c r="J614" s="28"/>
      <c r="K614" s="28"/>
      <c r="L614" s="28"/>
      <c r="M614" s="26"/>
      <c r="N614" s="26"/>
      <c r="O614" s="28"/>
      <c r="P614" s="28"/>
      <c r="Q614" s="28"/>
    </row>
    <row r="615" spans="1:17" ht="18.75">
      <c r="A615" s="22">
        <v>610</v>
      </c>
      <c r="B615" s="23" t="s">
        <v>116</v>
      </c>
      <c r="C615" s="23" t="s">
        <v>598</v>
      </c>
      <c r="D615" s="24">
        <v>656541.02099999995</v>
      </c>
      <c r="E615" s="24">
        <v>2025455.2932</v>
      </c>
      <c r="F615" s="25">
        <f t="shared" si="9"/>
        <v>2681996.3141999999</v>
      </c>
      <c r="G615" s="26"/>
      <c r="H615" s="26"/>
      <c r="I615" s="28"/>
      <c r="J615" s="28"/>
      <c r="K615" s="28"/>
      <c r="L615" s="28"/>
      <c r="M615" s="26"/>
      <c r="N615" s="26"/>
      <c r="O615" s="28"/>
      <c r="P615" s="28"/>
      <c r="Q615" s="28"/>
    </row>
    <row r="616" spans="1:17" ht="18.75">
      <c r="A616" s="22">
        <v>611</v>
      </c>
      <c r="B616" s="23" t="s">
        <v>116</v>
      </c>
      <c r="C616" s="23" t="s">
        <v>338</v>
      </c>
      <c r="D616" s="24">
        <v>846015.24190000002</v>
      </c>
      <c r="E616" s="24">
        <v>2609990.8385999999</v>
      </c>
      <c r="F616" s="25">
        <f t="shared" si="9"/>
        <v>3456006.0805000002</v>
      </c>
      <c r="G616" s="26"/>
      <c r="H616" s="26"/>
      <c r="I616" s="28"/>
      <c r="J616" s="28"/>
      <c r="K616" s="28"/>
      <c r="L616" s="28"/>
      <c r="M616" s="26"/>
      <c r="N616" s="26"/>
      <c r="O616" s="28"/>
      <c r="P616" s="28"/>
      <c r="Q616" s="28"/>
    </row>
    <row r="617" spans="1:17" ht="18.75">
      <c r="A617" s="22">
        <v>612</v>
      </c>
      <c r="B617" s="23" t="s">
        <v>116</v>
      </c>
      <c r="C617" s="23" t="s">
        <v>601</v>
      </c>
      <c r="D617" s="24">
        <v>745878.10719999997</v>
      </c>
      <c r="E617" s="24">
        <v>2301063.7755</v>
      </c>
      <c r="F617" s="25">
        <f t="shared" si="9"/>
        <v>3046941.8827</v>
      </c>
      <c r="G617" s="26"/>
      <c r="H617" s="26"/>
      <c r="I617" s="28"/>
      <c r="J617" s="28"/>
      <c r="K617" s="28"/>
      <c r="L617" s="28"/>
      <c r="M617" s="26"/>
      <c r="N617" s="26"/>
      <c r="O617" s="28"/>
      <c r="P617" s="28"/>
      <c r="Q617" s="28"/>
    </row>
    <row r="618" spans="1:17" ht="18.75">
      <c r="A618" s="22">
        <v>613</v>
      </c>
      <c r="B618" s="23" t="s">
        <v>116</v>
      </c>
      <c r="C618" s="23" t="s">
        <v>603</v>
      </c>
      <c r="D618" s="24">
        <v>777586.00170000002</v>
      </c>
      <c r="E618" s="24">
        <v>2398883.8974000001</v>
      </c>
      <c r="F618" s="25">
        <f t="shared" si="9"/>
        <v>3176469.8991</v>
      </c>
      <c r="G618" s="26"/>
      <c r="H618" s="26"/>
      <c r="I618" s="28"/>
      <c r="J618" s="28"/>
      <c r="K618" s="28"/>
      <c r="L618" s="28"/>
      <c r="M618" s="26"/>
      <c r="N618" s="26"/>
      <c r="O618" s="28"/>
      <c r="P618" s="28"/>
      <c r="Q618" s="28"/>
    </row>
    <row r="619" spans="1:17" ht="18.75">
      <c r="A619" s="22">
        <v>614</v>
      </c>
      <c r="B619" s="23" t="s">
        <v>116</v>
      </c>
      <c r="C619" s="23" t="s">
        <v>606</v>
      </c>
      <c r="D619" s="24">
        <v>824003.52410000004</v>
      </c>
      <c r="E619" s="24">
        <v>2542083.8095</v>
      </c>
      <c r="F619" s="25">
        <f t="shared" si="9"/>
        <v>3366087.3336</v>
      </c>
      <c r="G619" s="26"/>
      <c r="H619" s="26"/>
      <c r="I619" s="28"/>
      <c r="J619" s="28"/>
      <c r="K619" s="28"/>
      <c r="L619" s="28"/>
      <c r="M619" s="26"/>
      <c r="N619" s="26"/>
      <c r="O619" s="28"/>
      <c r="P619" s="28"/>
      <c r="Q619" s="28"/>
    </row>
    <row r="620" spans="1:17" ht="18.75">
      <c r="A620" s="22">
        <v>615</v>
      </c>
      <c r="B620" s="23" t="s">
        <v>116</v>
      </c>
      <c r="C620" s="23" t="s">
        <v>346</v>
      </c>
      <c r="D620" s="24">
        <v>815473.25520000001</v>
      </c>
      <c r="E620" s="24">
        <v>2515767.5887000002</v>
      </c>
      <c r="F620" s="25">
        <f t="shared" si="9"/>
        <v>3331240.8439000002</v>
      </c>
      <c r="G620" s="26"/>
      <c r="H620" s="26"/>
      <c r="I620" s="28"/>
      <c r="J620" s="28"/>
      <c r="K620" s="28"/>
      <c r="L620" s="28"/>
      <c r="M620" s="26"/>
      <c r="N620" s="26"/>
      <c r="O620" s="28"/>
      <c r="P620" s="28"/>
      <c r="Q620" s="28"/>
    </row>
    <row r="621" spans="1:17" ht="18.75">
      <c r="A621" s="22">
        <v>616</v>
      </c>
      <c r="B621" s="23" t="s">
        <v>116</v>
      </c>
      <c r="C621" s="23" t="s">
        <v>609</v>
      </c>
      <c r="D621" s="24">
        <v>882311.32849999995</v>
      </c>
      <c r="E621" s="24">
        <v>2721965.7165999999</v>
      </c>
      <c r="F621" s="25">
        <f t="shared" si="9"/>
        <v>3604277.0451000002</v>
      </c>
      <c r="G621" s="26"/>
      <c r="H621" s="26"/>
      <c r="I621" s="28"/>
      <c r="J621" s="28"/>
      <c r="K621" s="28"/>
      <c r="L621" s="28"/>
      <c r="M621" s="26"/>
      <c r="N621" s="26"/>
      <c r="O621" s="28"/>
      <c r="P621" s="28"/>
      <c r="Q621" s="28"/>
    </row>
    <row r="622" spans="1:17" ht="18.75">
      <c r="A622" s="22">
        <v>617</v>
      </c>
      <c r="B622" s="23" t="s">
        <v>116</v>
      </c>
      <c r="C622" s="23" t="s">
        <v>611</v>
      </c>
      <c r="D622" s="24">
        <v>800843.86629999999</v>
      </c>
      <c r="E622" s="24">
        <v>2470635.3391999998</v>
      </c>
      <c r="F622" s="25">
        <f t="shared" si="9"/>
        <v>3271479.2055000002</v>
      </c>
      <c r="G622" s="26"/>
      <c r="H622" s="26"/>
      <c r="I622" s="28"/>
      <c r="J622" s="28"/>
      <c r="K622" s="28"/>
      <c r="L622" s="28"/>
      <c r="M622" s="26"/>
      <c r="N622" s="26"/>
      <c r="O622" s="28"/>
      <c r="P622" s="28"/>
      <c r="Q622" s="28"/>
    </row>
    <row r="623" spans="1:17" ht="18.75">
      <c r="A623" s="22">
        <v>618</v>
      </c>
      <c r="B623" s="23" t="s">
        <v>116</v>
      </c>
      <c r="C623" s="23" t="s">
        <v>613</v>
      </c>
      <c r="D623" s="24">
        <v>984749.9166</v>
      </c>
      <c r="E623" s="24">
        <v>3037992.8555000001</v>
      </c>
      <c r="F623" s="25">
        <f t="shared" si="9"/>
        <v>4022742.7721000002</v>
      </c>
      <c r="G623" s="26"/>
      <c r="H623" s="26"/>
      <c r="I623" s="28"/>
      <c r="J623" s="28"/>
      <c r="K623" s="28"/>
      <c r="L623" s="28"/>
      <c r="M623" s="26"/>
      <c r="N623" s="26"/>
      <c r="O623" s="28"/>
      <c r="P623" s="28"/>
      <c r="Q623" s="28"/>
    </row>
    <row r="624" spans="1:17" ht="18.75">
      <c r="A624" s="22">
        <v>619</v>
      </c>
      <c r="B624" s="23" t="s">
        <v>116</v>
      </c>
      <c r="C624" s="23" t="s">
        <v>615</v>
      </c>
      <c r="D624" s="24">
        <v>816617.16780000005</v>
      </c>
      <c r="E624" s="24">
        <v>2519296.605</v>
      </c>
      <c r="F624" s="25">
        <f t="shared" si="9"/>
        <v>3335913.7727999999</v>
      </c>
      <c r="G624" s="26"/>
      <c r="H624" s="26"/>
      <c r="I624" s="28"/>
      <c r="J624" s="28"/>
      <c r="K624" s="28"/>
      <c r="L624" s="28"/>
      <c r="M624" s="26"/>
      <c r="N624" s="26"/>
      <c r="O624" s="28"/>
      <c r="P624" s="28"/>
      <c r="Q624" s="28"/>
    </row>
    <row r="625" spans="1:17" ht="18.75">
      <c r="A625" s="22">
        <v>620</v>
      </c>
      <c r="B625" s="23" t="s">
        <v>116</v>
      </c>
      <c r="C625" s="23" t="s">
        <v>617</v>
      </c>
      <c r="D625" s="24">
        <v>1075882.9569000001</v>
      </c>
      <c r="E625" s="24">
        <v>3319141.9279</v>
      </c>
      <c r="F625" s="25">
        <f t="shared" si="9"/>
        <v>4395024.8848000001</v>
      </c>
      <c r="G625" s="26"/>
      <c r="H625" s="26"/>
      <c r="I625" s="28"/>
      <c r="J625" s="28"/>
      <c r="K625" s="28"/>
      <c r="L625" s="28"/>
      <c r="M625" s="26"/>
      <c r="N625" s="26"/>
      <c r="O625" s="28"/>
      <c r="P625" s="28"/>
      <c r="Q625" s="28"/>
    </row>
    <row r="626" spans="1:17" ht="18.75">
      <c r="A626" s="22">
        <v>621</v>
      </c>
      <c r="B626" s="23" t="s">
        <v>116</v>
      </c>
      <c r="C626" s="23" t="s">
        <v>619</v>
      </c>
      <c r="D626" s="24">
        <v>736416.79810000001</v>
      </c>
      <c r="E626" s="24">
        <v>2271875.2587000001</v>
      </c>
      <c r="F626" s="25">
        <f t="shared" si="9"/>
        <v>3008292.0567999999</v>
      </c>
      <c r="G626" s="26"/>
      <c r="H626" s="26"/>
      <c r="I626" s="28"/>
      <c r="J626" s="28"/>
      <c r="K626" s="28"/>
      <c r="L626" s="28"/>
      <c r="M626" s="26"/>
      <c r="N626" s="26"/>
      <c r="O626" s="28"/>
      <c r="P626" s="28"/>
      <c r="Q626" s="28"/>
    </row>
    <row r="627" spans="1:17" ht="18.75">
      <c r="A627" s="22">
        <v>622</v>
      </c>
      <c r="B627" s="23" t="s">
        <v>116</v>
      </c>
      <c r="C627" s="23" t="s">
        <v>621</v>
      </c>
      <c r="D627" s="24">
        <v>890731.23030000005</v>
      </c>
      <c r="E627" s="24">
        <v>2747941.4504</v>
      </c>
      <c r="F627" s="25">
        <f t="shared" si="9"/>
        <v>3638672.6806999999</v>
      </c>
      <c r="G627" s="26"/>
      <c r="H627" s="26"/>
      <c r="I627" s="28"/>
      <c r="J627" s="28"/>
      <c r="K627" s="28"/>
      <c r="L627" s="28"/>
      <c r="M627" s="26"/>
      <c r="N627" s="26"/>
      <c r="O627" s="28"/>
      <c r="P627" s="28"/>
      <c r="Q627" s="28"/>
    </row>
    <row r="628" spans="1:17" ht="18.75">
      <c r="A628" s="22">
        <v>623</v>
      </c>
      <c r="B628" s="23" t="s">
        <v>116</v>
      </c>
      <c r="C628" s="23" t="s">
        <v>623</v>
      </c>
      <c r="D628" s="24">
        <v>893587.23080000002</v>
      </c>
      <c r="E628" s="24">
        <v>2756752.3259000001</v>
      </c>
      <c r="F628" s="25">
        <f t="shared" si="9"/>
        <v>3650339.5567000001</v>
      </c>
      <c r="G628" s="26"/>
      <c r="H628" s="26"/>
      <c r="I628" s="28"/>
      <c r="J628" s="28"/>
      <c r="K628" s="28"/>
      <c r="L628" s="28"/>
      <c r="M628" s="26"/>
      <c r="N628" s="26"/>
      <c r="O628" s="28"/>
      <c r="P628" s="28"/>
      <c r="Q628" s="28"/>
    </row>
    <row r="629" spans="1:17" ht="18.75">
      <c r="A629" s="22">
        <v>624</v>
      </c>
      <c r="B629" s="23" t="s">
        <v>116</v>
      </c>
      <c r="C629" s="23" t="s">
        <v>625</v>
      </c>
      <c r="D629" s="24">
        <v>787451.93720000004</v>
      </c>
      <c r="E629" s="24">
        <v>2429320.7026</v>
      </c>
      <c r="F629" s="25">
        <f t="shared" si="9"/>
        <v>3216772.6398</v>
      </c>
      <c r="G629" s="26"/>
      <c r="H629" s="26"/>
      <c r="I629" s="28"/>
      <c r="J629" s="28"/>
      <c r="K629" s="28"/>
      <c r="L629" s="28"/>
      <c r="M629" s="26"/>
      <c r="N629" s="26"/>
      <c r="O629" s="28"/>
      <c r="P629" s="28"/>
      <c r="Q629" s="28"/>
    </row>
    <row r="630" spans="1:17" ht="18.75">
      <c r="A630" s="22">
        <v>625</v>
      </c>
      <c r="B630" s="23" t="s">
        <v>116</v>
      </c>
      <c r="C630" s="23" t="s">
        <v>627</v>
      </c>
      <c r="D630" s="24">
        <v>876099.23849999998</v>
      </c>
      <c r="E630" s="24">
        <v>2702801.1707000001</v>
      </c>
      <c r="F630" s="25">
        <f t="shared" si="9"/>
        <v>3578900.4092000001</v>
      </c>
      <c r="G630" s="26"/>
      <c r="H630" s="26"/>
      <c r="I630" s="28"/>
      <c r="J630" s="28"/>
      <c r="K630" s="28"/>
      <c r="L630" s="28"/>
      <c r="M630" s="26"/>
      <c r="N630" s="26"/>
      <c r="O630" s="28"/>
      <c r="P630" s="28"/>
      <c r="Q630" s="28"/>
    </row>
    <row r="631" spans="1:17" ht="18.75">
      <c r="A631" s="22">
        <v>626</v>
      </c>
      <c r="B631" s="23" t="s">
        <v>117</v>
      </c>
      <c r="C631" s="23" t="s">
        <v>631</v>
      </c>
      <c r="D631" s="24">
        <v>862248.20079999999</v>
      </c>
      <c r="E631" s="24">
        <v>2660070.1655999999</v>
      </c>
      <c r="F631" s="25">
        <f t="shared" si="9"/>
        <v>3522318.3664000002</v>
      </c>
      <c r="G631" s="26"/>
      <c r="H631" s="26"/>
      <c r="I631" s="28"/>
      <c r="J631" s="28"/>
      <c r="K631" s="28"/>
      <c r="L631" s="28"/>
      <c r="M631" s="26"/>
      <c r="N631" s="26"/>
      <c r="O631" s="28"/>
      <c r="P631" s="28"/>
      <c r="Q631" s="28"/>
    </row>
    <row r="632" spans="1:17" ht="18.75">
      <c r="A632" s="22">
        <v>627</v>
      </c>
      <c r="B632" s="23" t="s">
        <v>117</v>
      </c>
      <c r="C632" s="23" t="s">
        <v>633</v>
      </c>
      <c r="D632" s="24">
        <v>1001327.3866</v>
      </c>
      <c r="E632" s="24">
        <v>3089135.0131999999</v>
      </c>
      <c r="F632" s="25">
        <f t="shared" si="9"/>
        <v>4090462.3997999998</v>
      </c>
      <c r="G632" s="26"/>
      <c r="H632" s="26"/>
      <c r="I632" s="28"/>
      <c r="J632" s="28"/>
      <c r="K632" s="28"/>
      <c r="L632" s="28"/>
      <c r="M632" s="26"/>
      <c r="N632" s="26"/>
      <c r="O632" s="28"/>
      <c r="P632" s="28"/>
      <c r="Q632" s="28"/>
    </row>
    <row r="633" spans="1:17" ht="18.75">
      <c r="A633" s="22">
        <v>628</v>
      </c>
      <c r="B633" s="23" t="s">
        <v>117</v>
      </c>
      <c r="C633" s="23" t="s">
        <v>635</v>
      </c>
      <c r="D633" s="24">
        <v>997431.49140000006</v>
      </c>
      <c r="E633" s="24">
        <v>3077116.0208000001</v>
      </c>
      <c r="F633" s="25">
        <f t="shared" si="9"/>
        <v>4074547.5122000002</v>
      </c>
      <c r="G633" s="26"/>
      <c r="H633" s="26"/>
      <c r="I633" s="28"/>
      <c r="J633" s="28"/>
      <c r="K633" s="28"/>
      <c r="L633" s="28"/>
      <c r="M633" s="26"/>
      <c r="N633" s="26"/>
      <c r="O633" s="28"/>
      <c r="P633" s="28"/>
      <c r="Q633" s="28"/>
    </row>
    <row r="634" spans="1:17" ht="18.75">
      <c r="A634" s="22">
        <v>629</v>
      </c>
      <c r="B634" s="23" t="s">
        <v>117</v>
      </c>
      <c r="C634" s="23" t="s">
        <v>637</v>
      </c>
      <c r="D634" s="24">
        <v>1068630.4897</v>
      </c>
      <c r="E634" s="24">
        <v>3296767.7766999998</v>
      </c>
      <c r="F634" s="25">
        <f t="shared" si="9"/>
        <v>4365398.2664000001</v>
      </c>
      <c r="G634" s="26"/>
      <c r="H634" s="26"/>
      <c r="I634" s="28"/>
      <c r="J634" s="28"/>
      <c r="K634" s="28"/>
      <c r="L634" s="28"/>
      <c r="M634" s="26"/>
      <c r="N634" s="26"/>
      <c r="O634" s="28"/>
      <c r="P634" s="28"/>
      <c r="Q634" s="28"/>
    </row>
    <row r="635" spans="1:17" ht="18.75">
      <c r="A635" s="22">
        <v>630</v>
      </c>
      <c r="B635" s="23" t="s">
        <v>117</v>
      </c>
      <c r="C635" s="23" t="s">
        <v>639</v>
      </c>
      <c r="D635" s="24">
        <v>1084232.8321</v>
      </c>
      <c r="E635" s="24">
        <v>3344901.6266000001</v>
      </c>
      <c r="F635" s="25">
        <f t="shared" si="9"/>
        <v>4429134.4587000003</v>
      </c>
      <c r="G635" s="26"/>
      <c r="H635" s="26"/>
      <c r="I635" s="28"/>
      <c r="J635" s="28"/>
      <c r="K635" s="28"/>
      <c r="L635" s="28"/>
      <c r="M635" s="26"/>
      <c r="N635" s="26"/>
      <c r="O635" s="28"/>
      <c r="P635" s="28"/>
      <c r="Q635" s="28"/>
    </row>
    <row r="636" spans="1:17" ht="18.75">
      <c r="A636" s="22">
        <v>631</v>
      </c>
      <c r="B636" s="23" t="s">
        <v>117</v>
      </c>
      <c r="C636" s="23" t="s">
        <v>640</v>
      </c>
      <c r="D636" s="24">
        <v>1114370.6543000001</v>
      </c>
      <c r="E636" s="24">
        <v>3437878.0126999998</v>
      </c>
      <c r="F636" s="25">
        <f t="shared" si="9"/>
        <v>4552248.6670000004</v>
      </c>
      <c r="G636" s="26"/>
      <c r="H636" s="26"/>
      <c r="I636" s="28"/>
      <c r="J636" s="28"/>
      <c r="K636" s="28"/>
      <c r="L636" s="28"/>
      <c r="M636" s="26"/>
      <c r="N636" s="26"/>
      <c r="O636" s="28"/>
      <c r="P636" s="28"/>
      <c r="Q636" s="28"/>
    </row>
    <row r="637" spans="1:17" ht="37.5">
      <c r="A637" s="22">
        <v>632</v>
      </c>
      <c r="B637" s="23" t="s">
        <v>117</v>
      </c>
      <c r="C637" s="23" t="s">
        <v>643</v>
      </c>
      <c r="D637" s="24">
        <v>1208134.1819</v>
      </c>
      <c r="E637" s="24">
        <v>3727142.2434999999</v>
      </c>
      <c r="F637" s="25">
        <f t="shared" si="9"/>
        <v>4935276.4254000001</v>
      </c>
      <c r="G637" s="26"/>
      <c r="H637" s="26"/>
      <c r="I637" s="28"/>
      <c r="J637" s="28"/>
      <c r="K637" s="28"/>
      <c r="L637" s="28"/>
      <c r="M637" s="26"/>
      <c r="N637" s="26"/>
      <c r="O637" s="28"/>
      <c r="P637" s="28"/>
      <c r="Q637" s="28"/>
    </row>
    <row r="638" spans="1:17" ht="37.5">
      <c r="A638" s="22">
        <v>633</v>
      </c>
      <c r="B638" s="23" t="s">
        <v>117</v>
      </c>
      <c r="C638" s="23" t="s">
        <v>645</v>
      </c>
      <c r="D638" s="24">
        <v>889142.42090000003</v>
      </c>
      <c r="E638" s="24">
        <v>2743039.9098</v>
      </c>
      <c r="F638" s="25">
        <f t="shared" si="9"/>
        <v>3632182.3306999998</v>
      </c>
      <c r="G638" s="26"/>
      <c r="H638" s="26"/>
      <c r="I638" s="28"/>
      <c r="J638" s="28"/>
      <c r="K638" s="28"/>
      <c r="L638" s="28"/>
      <c r="M638" s="26"/>
      <c r="N638" s="26"/>
      <c r="O638" s="28"/>
      <c r="P638" s="28"/>
      <c r="Q638" s="28"/>
    </row>
    <row r="639" spans="1:17" ht="37.5">
      <c r="A639" s="22">
        <v>634</v>
      </c>
      <c r="B639" s="23" t="s">
        <v>117</v>
      </c>
      <c r="C639" s="23" t="s">
        <v>647</v>
      </c>
      <c r="D639" s="24">
        <v>1055224.4086</v>
      </c>
      <c r="E639" s="24">
        <v>3255409.4805000001</v>
      </c>
      <c r="F639" s="25">
        <f t="shared" si="9"/>
        <v>4310633.8891000003</v>
      </c>
      <c r="G639" s="26"/>
      <c r="H639" s="26"/>
      <c r="I639" s="28"/>
      <c r="J639" s="28"/>
      <c r="K639" s="28"/>
      <c r="L639" s="28"/>
      <c r="M639" s="26"/>
      <c r="N639" s="26"/>
      <c r="O639" s="28"/>
      <c r="P639" s="28"/>
      <c r="Q639" s="28"/>
    </row>
    <row r="640" spans="1:17" ht="37.5">
      <c r="A640" s="22">
        <v>635</v>
      </c>
      <c r="B640" s="23" t="s">
        <v>117</v>
      </c>
      <c r="C640" s="23" t="s">
        <v>649</v>
      </c>
      <c r="D640" s="24">
        <v>1104771.466</v>
      </c>
      <c r="E640" s="24">
        <v>3408264.1331000002</v>
      </c>
      <c r="F640" s="25">
        <f t="shared" si="9"/>
        <v>4513035.5991000002</v>
      </c>
      <c r="G640" s="26"/>
      <c r="H640" s="26"/>
      <c r="I640" s="28"/>
      <c r="J640" s="28"/>
      <c r="K640" s="28"/>
      <c r="L640" s="28"/>
      <c r="M640" s="26"/>
      <c r="N640" s="26"/>
      <c r="O640" s="28"/>
      <c r="P640" s="28"/>
      <c r="Q640" s="28"/>
    </row>
    <row r="641" spans="1:17" ht="37.5">
      <c r="A641" s="22">
        <v>636</v>
      </c>
      <c r="B641" s="23" t="s">
        <v>117</v>
      </c>
      <c r="C641" s="23" t="s">
        <v>651</v>
      </c>
      <c r="D641" s="24">
        <v>799010.26179999998</v>
      </c>
      <c r="E641" s="24">
        <v>2464978.5959999999</v>
      </c>
      <c r="F641" s="25">
        <f t="shared" si="9"/>
        <v>3263988.8577999999</v>
      </c>
      <c r="G641" s="26"/>
      <c r="H641" s="26"/>
      <c r="I641" s="28"/>
      <c r="J641" s="28"/>
      <c r="K641" s="28"/>
      <c r="L641" s="28"/>
      <c r="M641" s="26"/>
      <c r="N641" s="26"/>
      <c r="O641" s="28"/>
      <c r="P641" s="28"/>
      <c r="Q641" s="28"/>
    </row>
    <row r="642" spans="1:17" ht="18.75">
      <c r="A642" s="22">
        <v>637</v>
      </c>
      <c r="B642" s="23" t="s">
        <v>117</v>
      </c>
      <c r="C642" s="23" t="s">
        <v>653</v>
      </c>
      <c r="D642" s="24">
        <v>833272.13639999996</v>
      </c>
      <c r="E642" s="24">
        <v>2570677.8489000001</v>
      </c>
      <c r="F642" s="25">
        <f t="shared" si="9"/>
        <v>3403949.9852999998</v>
      </c>
      <c r="G642" s="26"/>
      <c r="H642" s="26"/>
      <c r="I642" s="28"/>
      <c r="J642" s="28"/>
      <c r="K642" s="28"/>
      <c r="L642" s="28"/>
      <c r="M642" s="26"/>
      <c r="N642" s="26"/>
      <c r="O642" s="28"/>
      <c r="P642" s="28"/>
      <c r="Q642" s="28"/>
    </row>
    <row r="643" spans="1:17" ht="18.75">
      <c r="A643" s="22">
        <v>638</v>
      </c>
      <c r="B643" s="23" t="s">
        <v>117</v>
      </c>
      <c r="C643" s="23" t="s">
        <v>655</v>
      </c>
      <c r="D643" s="24">
        <v>816859.3284</v>
      </c>
      <c r="E643" s="24">
        <v>2520043.6800000002</v>
      </c>
      <c r="F643" s="25">
        <f t="shared" si="9"/>
        <v>3336903.0084000002</v>
      </c>
      <c r="G643" s="26"/>
      <c r="H643" s="26"/>
      <c r="I643" s="28"/>
      <c r="J643" s="28"/>
      <c r="K643" s="28"/>
      <c r="L643" s="28"/>
      <c r="M643" s="26"/>
      <c r="N643" s="26"/>
      <c r="O643" s="28"/>
      <c r="P643" s="28"/>
      <c r="Q643" s="28"/>
    </row>
    <row r="644" spans="1:17" ht="18.75">
      <c r="A644" s="22">
        <v>639</v>
      </c>
      <c r="B644" s="23" t="s">
        <v>117</v>
      </c>
      <c r="C644" s="23" t="s">
        <v>657</v>
      </c>
      <c r="D644" s="24">
        <v>1213251.7209000001</v>
      </c>
      <c r="E644" s="24">
        <v>3742930.0558000002</v>
      </c>
      <c r="F644" s="25">
        <f t="shared" si="9"/>
        <v>4956181.7767000003</v>
      </c>
      <c r="G644" s="26"/>
      <c r="H644" s="26"/>
      <c r="I644" s="28"/>
      <c r="J644" s="28"/>
      <c r="K644" s="28"/>
      <c r="L644" s="28"/>
      <c r="M644" s="26"/>
      <c r="N644" s="26"/>
      <c r="O644" s="28"/>
      <c r="P644" s="28"/>
      <c r="Q644" s="28"/>
    </row>
    <row r="645" spans="1:17" ht="18.75">
      <c r="A645" s="22">
        <v>640</v>
      </c>
      <c r="B645" s="23" t="s">
        <v>117</v>
      </c>
      <c r="C645" s="23" t="s">
        <v>659</v>
      </c>
      <c r="D645" s="24">
        <v>827324.32830000005</v>
      </c>
      <c r="E645" s="24">
        <v>2552328.6230000001</v>
      </c>
      <c r="F645" s="25">
        <f t="shared" si="9"/>
        <v>3379652.9512999998</v>
      </c>
      <c r="G645" s="26"/>
      <c r="H645" s="26"/>
      <c r="I645" s="28"/>
      <c r="J645" s="28"/>
      <c r="K645" s="28"/>
      <c r="L645" s="28"/>
      <c r="M645" s="26"/>
      <c r="N645" s="26"/>
      <c r="O645" s="28"/>
      <c r="P645" s="28"/>
      <c r="Q645" s="28"/>
    </row>
    <row r="646" spans="1:17" ht="18.75">
      <c r="A646" s="22">
        <v>641</v>
      </c>
      <c r="B646" s="23" t="s">
        <v>117</v>
      </c>
      <c r="C646" s="23" t="s">
        <v>661</v>
      </c>
      <c r="D646" s="24">
        <v>868159.45059999998</v>
      </c>
      <c r="E646" s="24">
        <v>2678306.6077999999</v>
      </c>
      <c r="F646" s="25">
        <f t="shared" si="9"/>
        <v>3546466.0584</v>
      </c>
      <c r="G646" s="26"/>
      <c r="H646" s="26"/>
      <c r="I646" s="28"/>
      <c r="J646" s="28"/>
      <c r="K646" s="28"/>
      <c r="L646" s="28"/>
      <c r="M646" s="26"/>
      <c r="N646" s="26"/>
      <c r="O646" s="28"/>
      <c r="P646" s="28"/>
      <c r="Q646" s="28"/>
    </row>
    <row r="647" spans="1:17" ht="18.75">
      <c r="A647" s="22">
        <v>642</v>
      </c>
      <c r="B647" s="23" t="s">
        <v>117</v>
      </c>
      <c r="C647" s="23" t="s">
        <v>663</v>
      </c>
      <c r="D647" s="24">
        <v>1134264.9648</v>
      </c>
      <c r="E647" s="24">
        <v>3499252.7557000001</v>
      </c>
      <c r="F647" s="25">
        <f t="shared" ref="F647:F710" si="10">D647+E647</f>
        <v>4633517.7204999998</v>
      </c>
      <c r="G647" s="26"/>
      <c r="H647" s="26"/>
      <c r="I647" s="28"/>
      <c r="J647" s="28"/>
      <c r="K647" s="28"/>
      <c r="L647" s="28"/>
      <c r="M647" s="26"/>
      <c r="N647" s="26"/>
      <c r="O647" s="28"/>
      <c r="P647" s="28"/>
      <c r="Q647" s="28"/>
    </row>
    <row r="648" spans="1:17" ht="18.75">
      <c r="A648" s="22">
        <v>643</v>
      </c>
      <c r="B648" s="23" t="s">
        <v>117</v>
      </c>
      <c r="C648" s="23" t="s">
        <v>665</v>
      </c>
      <c r="D648" s="24">
        <v>980770.76899999997</v>
      </c>
      <c r="E648" s="24">
        <v>3025717.0263</v>
      </c>
      <c r="F648" s="25">
        <f t="shared" si="10"/>
        <v>4006487.7952999999</v>
      </c>
      <c r="G648" s="26"/>
      <c r="H648" s="26"/>
      <c r="I648" s="28"/>
      <c r="J648" s="28"/>
      <c r="K648" s="28"/>
      <c r="L648" s="28"/>
      <c r="M648" s="26"/>
      <c r="N648" s="26"/>
      <c r="O648" s="28"/>
      <c r="P648" s="28"/>
      <c r="Q648" s="28"/>
    </row>
    <row r="649" spans="1:17" ht="18.75">
      <c r="A649" s="22">
        <v>644</v>
      </c>
      <c r="B649" s="23" t="s">
        <v>117</v>
      </c>
      <c r="C649" s="23" t="s">
        <v>667</v>
      </c>
      <c r="D649" s="24">
        <v>900361.90579999995</v>
      </c>
      <c r="E649" s="24">
        <v>2777652.4692000002</v>
      </c>
      <c r="F649" s="25">
        <f t="shared" si="10"/>
        <v>3678014.375</v>
      </c>
      <c r="G649" s="26"/>
      <c r="H649" s="26"/>
      <c r="I649" s="28"/>
      <c r="J649" s="28"/>
      <c r="K649" s="28"/>
      <c r="L649" s="28"/>
      <c r="M649" s="26"/>
      <c r="N649" s="26"/>
      <c r="O649" s="28"/>
      <c r="P649" s="28"/>
      <c r="Q649" s="28"/>
    </row>
    <row r="650" spans="1:17" ht="18.75">
      <c r="A650" s="22">
        <v>645</v>
      </c>
      <c r="B650" s="23" t="s">
        <v>117</v>
      </c>
      <c r="C650" s="23" t="s">
        <v>669</v>
      </c>
      <c r="D650" s="24">
        <v>812975.46160000004</v>
      </c>
      <c r="E650" s="24">
        <v>2508061.7958</v>
      </c>
      <c r="F650" s="25">
        <f t="shared" si="10"/>
        <v>3321037.2574</v>
      </c>
      <c r="G650" s="26"/>
      <c r="H650" s="26"/>
      <c r="I650" s="28"/>
      <c r="J650" s="28"/>
      <c r="K650" s="28"/>
      <c r="L650" s="28"/>
      <c r="M650" s="26"/>
      <c r="N650" s="26"/>
      <c r="O650" s="28"/>
      <c r="P650" s="28"/>
      <c r="Q650" s="28"/>
    </row>
    <row r="651" spans="1:17" ht="18.75">
      <c r="A651" s="22">
        <v>646</v>
      </c>
      <c r="B651" s="23" t="s">
        <v>117</v>
      </c>
      <c r="C651" s="23" t="s">
        <v>671</v>
      </c>
      <c r="D651" s="24">
        <v>1004019.9071</v>
      </c>
      <c r="E651" s="24">
        <v>3097441.5465000002</v>
      </c>
      <c r="F651" s="25">
        <f t="shared" si="10"/>
        <v>4101461.4536000001</v>
      </c>
      <c r="G651" s="26"/>
      <c r="H651" s="26"/>
      <c r="I651" s="28"/>
      <c r="J651" s="28"/>
      <c r="K651" s="28"/>
      <c r="L651" s="28"/>
      <c r="M651" s="26"/>
      <c r="N651" s="26"/>
      <c r="O651" s="28"/>
      <c r="P651" s="28"/>
      <c r="Q651" s="28"/>
    </row>
    <row r="652" spans="1:17" ht="18.75">
      <c r="A652" s="22">
        <v>647</v>
      </c>
      <c r="B652" s="23" t="s">
        <v>117</v>
      </c>
      <c r="C652" s="23" t="s">
        <v>673</v>
      </c>
      <c r="D652" s="24">
        <v>929988.12639999995</v>
      </c>
      <c r="E652" s="24">
        <v>2869050.5441000001</v>
      </c>
      <c r="F652" s="25">
        <f t="shared" si="10"/>
        <v>3799038.6705</v>
      </c>
      <c r="G652" s="26"/>
      <c r="H652" s="26"/>
      <c r="I652" s="28"/>
      <c r="J652" s="28"/>
      <c r="K652" s="28"/>
      <c r="L652" s="28"/>
      <c r="M652" s="26"/>
      <c r="N652" s="26"/>
      <c r="O652" s="28"/>
      <c r="P652" s="28"/>
      <c r="Q652" s="28"/>
    </row>
    <row r="653" spans="1:17" ht="37.5">
      <c r="A653" s="22">
        <v>648</v>
      </c>
      <c r="B653" s="23" t="s">
        <v>117</v>
      </c>
      <c r="C653" s="23" t="s">
        <v>675</v>
      </c>
      <c r="D653" s="24">
        <v>962771.33620000002</v>
      </c>
      <c r="E653" s="24">
        <v>2970188.0564000001</v>
      </c>
      <c r="F653" s="25">
        <f t="shared" si="10"/>
        <v>3932959.3925999999</v>
      </c>
      <c r="G653" s="26"/>
      <c r="H653" s="26"/>
      <c r="I653" s="28"/>
      <c r="J653" s="28"/>
      <c r="K653" s="28"/>
      <c r="L653" s="28"/>
      <c r="M653" s="26"/>
      <c r="N653" s="26"/>
      <c r="O653" s="28"/>
      <c r="P653" s="28"/>
      <c r="Q653" s="28"/>
    </row>
    <row r="654" spans="1:17" ht="37.5">
      <c r="A654" s="22">
        <v>649</v>
      </c>
      <c r="B654" s="23" t="s">
        <v>117</v>
      </c>
      <c r="C654" s="23" t="s">
        <v>677</v>
      </c>
      <c r="D654" s="24">
        <v>824202.47660000005</v>
      </c>
      <c r="E654" s="24">
        <v>2542697.5858</v>
      </c>
      <c r="F654" s="25">
        <f t="shared" si="10"/>
        <v>3366900.0624000002</v>
      </c>
      <c r="G654" s="26"/>
      <c r="H654" s="26"/>
      <c r="I654" s="28"/>
      <c r="J654" s="28"/>
      <c r="K654" s="28"/>
      <c r="L654" s="28"/>
      <c r="M654" s="26"/>
      <c r="N654" s="26"/>
      <c r="O654" s="28"/>
      <c r="P654" s="28"/>
      <c r="Q654" s="28"/>
    </row>
    <row r="655" spans="1:17" ht="18.75">
      <c r="A655" s="22">
        <v>650</v>
      </c>
      <c r="B655" s="23" t="s">
        <v>117</v>
      </c>
      <c r="C655" s="23" t="s">
        <v>679</v>
      </c>
      <c r="D655" s="24">
        <v>754226.43969999999</v>
      </c>
      <c r="E655" s="24">
        <v>2326818.7148000002</v>
      </c>
      <c r="F655" s="25">
        <f t="shared" si="10"/>
        <v>3081045.1545000002</v>
      </c>
      <c r="G655" s="26"/>
      <c r="H655" s="26"/>
      <c r="I655" s="28"/>
      <c r="J655" s="28"/>
      <c r="K655" s="28"/>
      <c r="L655" s="28"/>
      <c r="M655" s="26"/>
      <c r="N655" s="26"/>
      <c r="O655" s="28"/>
      <c r="P655" s="28"/>
      <c r="Q655" s="28"/>
    </row>
    <row r="656" spans="1:17" ht="18.75">
      <c r="A656" s="22">
        <v>651</v>
      </c>
      <c r="B656" s="23" t="s">
        <v>117</v>
      </c>
      <c r="C656" s="23" t="s">
        <v>681</v>
      </c>
      <c r="D656" s="24">
        <v>999770.10499999998</v>
      </c>
      <c r="E656" s="24">
        <v>3084330.7373000002</v>
      </c>
      <c r="F656" s="25">
        <f t="shared" si="10"/>
        <v>4084100.8423000001</v>
      </c>
      <c r="G656" s="26"/>
      <c r="H656" s="26"/>
      <c r="I656" s="28"/>
      <c r="J656" s="28"/>
      <c r="K656" s="28"/>
      <c r="L656" s="28"/>
      <c r="M656" s="26"/>
      <c r="N656" s="26"/>
      <c r="O656" s="28"/>
      <c r="P656" s="28"/>
      <c r="Q656" s="28"/>
    </row>
    <row r="657" spans="1:17" ht="18.75">
      <c r="A657" s="22">
        <v>652</v>
      </c>
      <c r="B657" s="23" t="s">
        <v>117</v>
      </c>
      <c r="C657" s="23" t="s">
        <v>683</v>
      </c>
      <c r="D657" s="24">
        <v>1089277.4727</v>
      </c>
      <c r="E657" s="24">
        <v>3360464.5444999998</v>
      </c>
      <c r="F657" s="25">
        <f t="shared" si="10"/>
        <v>4449742.0171999997</v>
      </c>
      <c r="G657" s="26"/>
      <c r="H657" s="26"/>
      <c r="I657" s="28"/>
      <c r="J657" s="28"/>
      <c r="K657" s="28"/>
      <c r="L657" s="28"/>
      <c r="M657" s="26"/>
      <c r="N657" s="26"/>
      <c r="O657" s="28"/>
      <c r="P657" s="28"/>
      <c r="Q657" s="28"/>
    </row>
    <row r="658" spans="1:17" ht="18.75">
      <c r="A658" s="22">
        <v>653</v>
      </c>
      <c r="B658" s="23" t="s">
        <v>117</v>
      </c>
      <c r="C658" s="23" t="s">
        <v>685</v>
      </c>
      <c r="D658" s="24">
        <v>834282.98470000003</v>
      </c>
      <c r="E658" s="24">
        <v>2573796.3561999998</v>
      </c>
      <c r="F658" s="25">
        <f t="shared" si="10"/>
        <v>3408079.3409000002</v>
      </c>
      <c r="G658" s="26"/>
      <c r="H658" s="26"/>
      <c r="I658" s="28"/>
      <c r="J658" s="28"/>
      <c r="K658" s="28"/>
      <c r="L658" s="28"/>
      <c r="M658" s="26"/>
      <c r="N658" s="26"/>
      <c r="O658" s="28"/>
      <c r="P658" s="28"/>
      <c r="Q658" s="28"/>
    </row>
    <row r="659" spans="1:17" ht="18.75">
      <c r="A659" s="22">
        <v>654</v>
      </c>
      <c r="B659" s="23" t="s">
        <v>117</v>
      </c>
      <c r="C659" s="23" t="s">
        <v>687</v>
      </c>
      <c r="D659" s="24">
        <v>1003321.9747</v>
      </c>
      <c r="E659" s="24">
        <v>3095288.3971000002</v>
      </c>
      <c r="F659" s="25">
        <f t="shared" si="10"/>
        <v>4098610.3717999998</v>
      </c>
      <c r="G659" s="26"/>
      <c r="H659" s="26"/>
      <c r="I659" s="28"/>
      <c r="J659" s="28"/>
      <c r="K659" s="28"/>
      <c r="L659" s="28"/>
      <c r="M659" s="26"/>
      <c r="N659" s="26"/>
      <c r="O659" s="28"/>
      <c r="P659" s="28"/>
      <c r="Q659" s="28"/>
    </row>
    <row r="660" spans="1:17" ht="18.75">
      <c r="A660" s="22">
        <v>655</v>
      </c>
      <c r="B660" s="23" t="s">
        <v>117</v>
      </c>
      <c r="C660" s="23" t="s">
        <v>689</v>
      </c>
      <c r="D660" s="24">
        <v>847138.51890000002</v>
      </c>
      <c r="E660" s="24">
        <v>2613456.1932000001</v>
      </c>
      <c r="F660" s="25">
        <f t="shared" si="10"/>
        <v>3460594.7121000001</v>
      </c>
      <c r="G660" s="26"/>
      <c r="H660" s="26"/>
      <c r="I660" s="28"/>
      <c r="J660" s="28"/>
      <c r="K660" s="28"/>
      <c r="L660" s="28"/>
      <c r="M660" s="26"/>
      <c r="N660" s="26"/>
      <c r="O660" s="28"/>
      <c r="P660" s="28"/>
      <c r="Q660" s="28"/>
    </row>
    <row r="661" spans="1:17" ht="18.75">
      <c r="A661" s="22">
        <v>656</v>
      </c>
      <c r="B661" s="23" t="s">
        <v>117</v>
      </c>
      <c r="C661" s="23" t="s">
        <v>691</v>
      </c>
      <c r="D661" s="24">
        <v>850836.65709999995</v>
      </c>
      <c r="E661" s="24">
        <v>2624865.0970999999</v>
      </c>
      <c r="F661" s="25">
        <f t="shared" si="10"/>
        <v>3475701.7541999999</v>
      </c>
      <c r="G661" s="26"/>
      <c r="H661" s="26"/>
      <c r="I661" s="28"/>
      <c r="J661" s="28"/>
      <c r="K661" s="28"/>
      <c r="L661" s="28"/>
      <c r="M661" s="26"/>
      <c r="N661" s="26"/>
      <c r="O661" s="28"/>
      <c r="P661" s="28"/>
      <c r="Q661" s="28"/>
    </row>
    <row r="662" spans="1:17" ht="18.75">
      <c r="A662" s="22">
        <v>657</v>
      </c>
      <c r="B662" s="23" t="s">
        <v>117</v>
      </c>
      <c r="C662" s="23" t="s">
        <v>693</v>
      </c>
      <c r="D662" s="24">
        <v>846705.05169999995</v>
      </c>
      <c r="E662" s="24">
        <v>2612118.9293999998</v>
      </c>
      <c r="F662" s="25">
        <f t="shared" si="10"/>
        <v>3458823.9811</v>
      </c>
      <c r="G662" s="26"/>
      <c r="H662" s="26"/>
      <c r="I662" s="28"/>
      <c r="J662" s="28"/>
      <c r="K662" s="28"/>
      <c r="L662" s="28"/>
      <c r="M662" s="26"/>
      <c r="N662" s="26"/>
      <c r="O662" s="28"/>
      <c r="P662" s="28"/>
      <c r="Q662" s="28"/>
    </row>
    <row r="663" spans="1:17" ht="18.75">
      <c r="A663" s="22">
        <v>658</v>
      </c>
      <c r="B663" s="23" t="s">
        <v>117</v>
      </c>
      <c r="C663" s="23" t="s">
        <v>695</v>
      </c>
      <c r="D663" s="24">
        <v>975988.16209999996</v>
      </c>
      <c r="E663" s="24">
        <v>3010962.4929</v>
      </c>
      <c r="F663" s="25">
        <f t="shared" si="10"/>
        <v>3986950.6549999998</v>
      </c>
      <c r="G663" s="26"/>
      <c r="H663" s="26"/>
      <c r="I663" s="28"/>
      <c r="J663" s="28"/>
      <c r="K663" s="28"/>
      <c r="L663" s="28"/>
      <c r="M663" s="26"/>
      <c r="N663" s="26"/>
      <c r="O663" s="28"/>
      <c r="P663" s="28"/>
      <c r="Q663" s="28"/>
    </row>
    <row r="664" spans="1:17" ht="18.75">
      <c r="A664" s="22">
        <v>659</v>
      </c>
      <c r="B664" s="23" t="s">
        <v>118</v>
      </c>
      <c r="C664" s="23" t="s">
        <v>699</v>
      </c>
      <c r="D664" s="24">
        <v>1151262.6923</v>
      </c>
      <c r="E664" s="24">
        <v>3551691.4246999999</v>
      </c>
      <c r="F664" s="25">
        <f t="shared" si="10"/>
        <v>4702954.1169999996</v>
      </c>
      <c r="G664" s="26"/>
      <c r="H664" s="26"/>
      <c r="I664" s="28"/>
      <c r="J664" s="28"/>
      <c r="K664" s="28"/>
      <c r="L664" s="28"/>
      <c r="M664" s="26"/>
      <c r="N664" s="26"/>
      <c r="O664" s="28"/>
      <c r="P664" s="28"/>
      <c r="Q664" s="28"/>
    </row>
    <row r="665" spans="1:17" ht="18.75">
      <c r="A665" s="22">
        <v>660</v>
      </c>
      <c r="B665" s="23" t="s">
        <v>118</v>
      </c>
      <c r="C665" s="23" t="s">
        <v>294</v>
      </c>
      <c r="D665" s="24">
        <v>1161340.6044999999</v>
      </c>
      <c r="E665" s="24">
        <v>3582782.1867</v>
      </c>
      <c r="F665" s="25">
        <f t="shared" si="10"/>
        <v>4744122.7911999999</v>
      </c>
      <c r="G665" s="26"/>
      <c r="H665" s="26"/>
      <c r="I665" s="28"/>
      <c r="J665" s="28"/>
      <c r="K665" s="28"/>
      <c r="L665" s="28"/>
      <c r="M665" s="26"/>
      <c r="N665" s="26"/>
      <c r="O665" s="28"/>
      <c r="P665" s="28"/>
      <c r="Q665" s="28"/>
    </row>
    <row r="666" spans="1:17" ht="18.75">
      <c r="A666" s="22">
        <v>661</v>
      </c>
      <c r="B666" s="23" t="s">
        <v>118</v>
      </c>
      <c r="C666" s="23" t="s">
        <v>702</v>
      </c>
      <c r="D666" s="24">
        <v>1156279.9368</v>
      </c>
      <c r="E666" s="24">
        <v>3567169.8245999999</v>
      </c>
      <c r="F666" s="25">
        <f t="shared" si="10"/>
        <v>4723449.7614000002</v>
      </c>
      <c r="G666" s="26"/>
      <c r="H666" s="26"/>
      <c r="I666" s="28"/>
      <c r="J666" s="28"/>
      <c r="K666" s="28"/>
      <c r="L666" s="28"/>
      <c r="M666" s="26"/>
      <c r="N666" s="26"/>
      <c r="O666" s="28"/>
      <c r="P666" s="28"/>
      <c r="Q666" s="28"/>
    </row>
    <row r="667" spans="1:17" ht="18.75">
      <c r="A667" s="22">
        <v>662</v>
      </c>
      <c r="B667" s="23" t="s">
        <v>118</v>
      </c>
      <c r="C667" s="23" t="s">
        <v>704</v>
      </c>
      <c r="D667" s="24">
        <v>877839.07530000003</v>
      </c>
      <c r="E667" s="24">
        <v>2708168.6367000001</v>
      </c>
      <c r="F667" s="25">
        <f t="shared" si="10"/>
        <v>3586007.7119999998</v>
      </c>
      <c r="G667" s="26"/>
      <c r="H667" s="26"/>
      <c r="I667" s="28"/>
      <c r="J667" s="28"/>
      <c r="K667" s="28"/>
      <c r="L667" s="28"/>
      <c r="M667" s="26"/>
      <c r="N667" s="26"/>
      <c r="O667" s="28"/>
      <c r="P667" s="28"/>
      <c r="Q667" s="28"/>
    </row>
    <row r="668" spans="1:17" ht="18.75">
      <c r="A668" s="22">
        <v>663</v>
      </c>
      <c r="B668" s="23" t="s">
        <v>118</v>
      </c>
      <c r="C668" s="23" t="s">
        <v>706</v>
      </c>
      <c r="D668" s="24">
        <v>1527320.1862000001</v>
      </c>
      <c r="E668" s="24">
        <v>4711843.8252999997</v>
      </c>
      <c r="F668" s="25">
        <f t="shared" si="10"/>
        <v>6239164.0115</v>
      </c>
      <c r="G668" s="26"/>
      <c r="H668" s="26"/>
      <c r="I668" s="28"/>
      <c r="J668" s="28"/>
      <c r="K668" s="28"/>
      <c r="L668" s="28"/>
      <c r="M668" s="26"/>
      <c r="N668" s="26"/>
      <c r="O668" s="28"/>
      <c r="P668" s="28"/>
      <c r="Q668" s="28"/>
    </row>
    <row r="669" spans="1:17" ht="18.75">
      <c r="A669" s="22">
        <v>664</v>
      </c>
      <c r="B669" s="23" t="s">
        <v>118</v>
      </c>
      <c r="C669" s="23" t="s">
        <v>708</v>
      </c>
      <c r="D669" s="24">
        <v>1320743.3733000001</v>
      </c>
      <c r="E669" s="24">
        <v>4074546.1000999999</v>
      </c>
      <c r="F669" s="25">
        <f t="shared" si="10"/>
        <v>5395289.4733999996</v>
      </c>
      <c r="G669" s="26"/>
      <c r="H669" s="26"/>
      <c r="I669" s="28"/>
      <c r="J669" s="28"/>
      <c r="K669" s="28"/>
      <c r="L669" s="28"/>
      <c r="M669" s="26"/>
      <c r="N669" s="26"/>
      <c r="O669" s="28"/>
      <c r="P669" s="28"/>
      <c r="Q669" s="28"/>
    </row>
    <row r="670" spans="1:17" ht="18.75">
      <c r="A670" s="22">
        <v>665</v>
      </c>
      <c r="B670" s="23" t="s">
        <v>118</v>
      </c>
      <c r="C670" s="23" t="s">
        <v>710</v>
      </c>
      <c r="D670" s="24">
        <v>1159405.9856</v>
      </c>
      <c r="E670" s="24">
        <v>3576813.8100999999</v>
      </c>
      <c r="F670" s="25">
        <f t="shared" si="10"/>
        <v>4736219.7956999997</v>
      </c>
      <c r="G670" s="26"/>
      <c r="H670" s="26"/>
      <c r="I670" s="28"/>
      <c r="J670" s="28"/>
      <c r="K670" s="28"/>
      <c r="L670" s="28"/>
      <c r="M670" s="26"/>
      <c r="N670" s="26"/>
      <c r="O670" s="28"/>
      <c r="P670" s="28"/>
      <c r="Q670" s="28"/>
    </row>
    <row r="671" spans="1:17" ht="18.75">
      <c r="A671" s="22">
        <v>666</v>
      </c>
      <c r="B671" s="23" t="s">
        <v>118</v>
      </c>
      <c r="C671" s="23" t="s">
        <v>713</v>
      </c>
      <c r="D671" s="24">
        <v>1023942.5125</v>
      </c>
      <c r="E671" s="24">
        <v>3158903.5805000002</v>
      </c>
      <c r="F671" s="25">
        <f t="shared" si="10"/>
        <v>4182846.0929999999</v>
      </c>
      <c r="G671" s="26"/>
      <c r="H671" s="26"/>
      <c r="I671" s="28"/>
      <c r="J671" s="28"/>
      <c r="K671" s="28"/>
      <c r="L671" s="28"/>
      <c r="M671" s="26"/>
      <c r="N671" s="26"/>
      <c r="O671" s="28"/>
      <c r="P671" s="28"/>
      <c r="Q671" s="28"/>
    </row>
    <row r="672" spans="1:17" ht="37.5">
      <c r="A672" s="22">
        <v>667</v>
      </c>
      <c r="B672" s="23" t="s">
        <v>118</v>
      </c>
      <c r="C672" s="23" t="s">
        <v>715</v>
      </c>
      <c r="D672" s="24">
        <v>1050232.9772000001</v>
      </c>
      <c r="E672" s="24">
        <v>3240010.7149999999</v>
      </c>
      <c r="F672" s="25">
        <f t="shared" si="10"/>
        <v>4290243.6922000004</v>
      </c>
      <c r="G672" s="26"/>
      <c r="H672" s="26"/>
      <c r="I672" s="28"/>
      <c r="J672" s="28"/>
      <c r="K672" s="28"/>
      <c r="L672" s="28"/>
      <c r="M672" s="26"/>
      <c r="N672" s="26"/>
      <c r="O672" s="28"/>
      <c r="P672" s="28"/>
      <c r="Q672" s="28"/>
    </row>
    <row r="673" spans="1:17" ht="37.5">
      <c r="A673" s="22">
        <v>668</v>
      </c>
      <c r="B673" s="23" t="s">
        <v>118</v>
      </c>
      <c r="C673" s="23" t="s">
        <v>717</v>
      </c>
      <c r="D673" s="24">
        <v>996298.18180000002</v>
      </c>
      <c r="E673" s="24">
        <v>3073619.7154999999</v>
      </c>
      <c r="F673" s="25">
        <f t="shared" si="10"/>
        <v>4069917.8972999998</v>
      </c>
      <c r="G673" s="26"/>
      <c r="H673" s="26"/>
      <c r="I673" s="28"/>
      <c r="J673" s="28"/>
      <c r="K673" s="28"/>
      <c r="L673" s="28"/>
      <c r="M673" s="26"/>
      <c r="N673" s="26"/>
      <c r="O673" s="28"/>
      <c r="P673" s="28"/>
      <c r="Q673" s="28"/>
    </row>
    <row r="674" spans="1:17" ht="18.75">
      <c r="A674" s="22">
        <v>669</v>
      </c>
      <c r="B674" s="23" t="s">
        <v>118</v>
      </c>
      <c r="C674" s="23" t="s">
        <v>719</v>
      </c>
      <c r="D674" s="24">
        <v>1376515.1503999999</v>
      </c>
      <c r="E674" s="24">
        <v>4246604.2619000003</v>
      </c>
      <c r="F674" s="25">
        <f t="shared" si="10"/>
        <v>5623119.4123</v>
      </c>
      <c r="G674" s="26"/>
      <c r="H674" s="26"/>
      <c r="I674" s="28"/>
      <c r="J674" s="28"/>
      <c r="K674" s="28"/>
      <c r="L674" s="28"/>
      <c r="M674" s="26"/>
      <c r="N674" s="26"/>
      <c r="O674" s="28"/>
      <c r="P674" s="28"/>
      <c r="Q674" s="28"/>
    </row>
    <row r="675" spans="1:17" ht="18.75">
      <c r="A675" s="22">
        <v>670</v>
      </c>
      <c r="B675" s="23" t="s">
        <v>118</v>
      </c>
      <c r="C675" s="23" t="s">
        <v>721</v>
      </c>
      <c r="D675" s="24">
        <v>926742.03969999996</v>
      </c>
      <c r="E675" s="24">
        <v>2859036.2366999998</v>
      </c>
      <c r="F675" s="25">
        <f t="shared" si="10"/>
        <v>3785778.2763999999</v>
      </c>
      <c r="G675" s="26"/>
      <c r="H675" s="26"/>
      <c r="I675" s="28"/>
      <c r="J675" s="28"/>
      <c r="K675" s="28"/>
      <c r="L675" s="28"/>
      <c r="M675" s="26"/>
      <c r="N675" s="26"/>
      <c r="O675" s="28"/>
      <c r="P675" s="28"/>
      <c r="Q675" s="28"/>
    </row>
    <row r="676" spans="1:17" ht="18.75">
      <c r="A676" s="22">
        <v>671</v>
      </c>
      <c r="B676" s="23" t="s">
        <v>118</v>
      </c>
      <c r="C676" s="23" t="s">
        <v>722</v>
      </c>
      <c r="D676" s="24">
        <v>1237218.5559</v>
      </c>
      <c r="E676" s="24">
        <v>3816868.6995000001</v>
      </c>
      <c r="F676" s="25">
        <f t="shared" si="10"/>
        <v>5054087.2554000001</v>
      </c>
      <c r="G676" s="26"/>
      <c r="H676" s="26"/>
      <c r="I676" s="28"/>
      <c r="J676" s="28"/>
      <c r="K676" s="28"/>
      <c r="L676" s="28"/>
      <c r="M676" s="26"/>
      <c r="N676" s="26"/>
      <c r="O676" s="28"/>
      <c r="P676" s="28"/>
      <c r="Q676" s="28"/>
    </row>
    <row r="677" spans="1:17" ht="18.75">
      <c r="A677" s="22">
        <v>672</v>
      </c>
      <c r="B677" s="23" t="s">
        <v>118</v>
      </c>
      <c r="C677" s="23" t="s">
        <v>724</v>
      </c>
      <c r="D677" s="24">
        <v>1235429.1287</v>
      </c>
      <c r="E677" s="24">
        <v>3811348.2451999998</v>
      </c>
      <c r="F677" s="25">
        <f t="shared" si="10"/>
        <v>5046777.3739</v>
      </c>
      <c r="G677" s="26"/>
      <c r="H677" s="26"/>
      <c r="I677" s="28"/>
      <c r="J677" s="28"/>
      <c r="K677" s="28"/>
      <c r="L677" s="28"/>
      <c r="M677" s="26"/>
      <c r="N677" s="26"/>
      <c r="O677" s="28"/>
      <c r="P677" s="28"/>
      <c r="Q677" s="28"/>
    </row>
    <row r="678" spans="1:17" ht="18.75">
      <c r="A678" s="22">
        <v>673</v>
      </c>
      <c r="B678" s="23" t="s">
        <v>118</v>
      </c>
      <c r="C678" s="23" t="s">
        <v>726</v>
      </c>
      <c r="D678" s="24">
        <v>976330.32250000001</v>
      </c>
      <c r="E678" s="24">
        <v>3012018.0712000001</v>
      </c>
      <c r="F678" s="25">
        <f t="shared" si="10"/>
        <v>3988348.3936999999</v>
      </c>
      <c r="G678" s="26"/>
      <c r="H678" s="26"/>
      <c r="I678" s="28"/>
      <c r="J678" s="28"/>
      <c r="K678" s="28"/>
      <c r="L678" s="28"/>
      <c r="M678" s="26"/>
      <c r="N678" s="26"/>
      <c r="O678" s="28"/>
      <c r="P678" s="28"/>
      <c r="Q678" s="28"/>
    </row>
    <row r="679" spans="1:17" ht="18.75">
      <c r="A679" s="22">
        <v>674</v>
      </c>
      <c r="B679" s="23" t="s">
        <v>118</v>
      </c>
      <c r="C679" s="23" t="s">
        <v>728</v>
      </c>
      <c r="D679" s="24">
        <v>1244022.1592999999</v>
      </c>
      <c r="E679" s="24">
        <v>3837858.0880999998</v>
      </c>
      <c r="F679" s="25">
        <f t="shared" si="10"/>
        <v>5081880.2473999998</v>
      </c>
      <c r="G679" s="26"/>
      <c r="H679" s="26"/>
      <c r="I679" s="28"/>
      <c r="J679" s="28"/>
      <c r="K679" s="28"/>
      <c r="L679" s="28"/>
      <c r="M679" s="26"/>
      <c r="N679" s="26"/>
      <c r="O679" s="28"/>
      <c r="P679" s="28"/>
      <c r="Q679" s="28"/>
    </row>
    <row r="680" spans="1:17" ht="18.75">
      <c r="A680" s="22">
        <v>675</v>
      </c>
      <c r="B680" s="23" t="s">
        <v>118</v>
      </c>
      <c r="C680" s="23" t="s">
        <v>730</v>
      </c>
      <c r="D680" s="24">
        <v>1321779.0821</v>
      </c>
      <c r="E680" s="24">
        <v>4077741.3029999998</v>
      </c>
      <c r="F680" s="25">
        <f t="shared" si="10"/>
        <v>5399520.3850999996</v>
      </c>
      <c r="G680" s="26"/>
      <c r="H680" s="26"/>
      <c r="I680" s="28"/>
      <c r="J680" s="28"/>
      <c r="K680" s="28"/>
      <c r="L680" s="28"/>
      <c r="M680" s="26"/>
      <c r="N680" s="26"/>
      <c r="O680" s="28"/>
      <c r="P680" s="28"/>
      <c r="Q680" s="28"/>
    </row>
    <row r="681" spans="1:17" ht="18.75">
      <c r="A681" s="22">
        <v>676</v>
      </c>
      <c r="B681" s="23" t="s">
        <v>119</v>
      </c>
      <c r="C681" s="23" t="s">
        <v>734</v>
      </c>
      <c r="D681" s="24">
        <v>879454.40029999998</v>
      </c>
      <c r="E681" s="24">
        <v>2713151.9789999998</v>
      </c>
      <c r="F681" s="25">
        <f t="shared" si="10"/>
        <v>3592606.3793000001</v>
      </c>
      <c r="G681" s="26"/>
      <c r="H681" s="26"/>
      <c r="I681" s="28"/>
      <c r="J681" s="28"/>
      <c r="K681" s="28"/>
      <c r="L681" s="28"/>
      <c r="M681" s="26"/>
      <c r="N681" s="26"/>
      <c r="O681" s="28"/>
      <c r="P681" s="28"/>
      <c r="Q681" s="28"/>
    </row>
    <row r="682" spans="1:17" ht="18.75">
      <c r="A682" s="22">
        <v>677</v>
      </c>
      <c r="B682" s="23" t="s">
        <v>119</v>
      </c>
      <c r="C682" s="23" t="s">
        <v>737</v>
      </c>
      <c r="D682" s="24">
        <v>1098809.9724999999</v>
      </c>
      <c r="E682" s="24">
        <v>3389872.6875</v>
      </c>
      <c r="F682" s="25">
        <f t="shared" si="10"/>
        <v>4488682.66</v>
      </c>
      <c r="G682" s="26"/>
      <c r="H682" s="26"/>
      <c r="I682" s="28"/>
      <c r="J682" s="28"/>
      <c r="K682" s="28"/>
      <c r="L682" s="28"/>
      <c r="M682" s="26"/>
      <c r="N682" s="26"/>
      <c r="O682" s="28"/>
      <c r="P682" s="28"/>
      <c r="Q682" s="28"/>
    </row>
    <row r="683" spans="1:17" ht="18.75">
      <c r="A683" s="22">
        <v>678</v>
      </c>
      <c r="B683" s="23" t="s">
        <v>119</v>
      </c>
      <c r="C683" s="23" t="s">
        <v>739</v>
      </c>
      <c r="D683" s="24">
        <v>1012234.4684</v>
      </c>
      <c r="E683" s="24">
        <v>3122783.7966999998</v>
      </c>
      <c r="F683" s="25">
        <f t="shared" si="10"/>
        <v>4135018.2651</v>
      </c>
      <c r="G683" s="26"/>
      <c r="H683" s="26"/>
      <c r="I683" s="28"/>
      <c r="J683" s="28"/>
      <c r="K683" s="28"/>
      <c r="L683" s="28"/>
      <c r="M683" s="26"/>
      <c r="N683" s="26"/>
      <c r="O683" s="28"/>
      <c r="P683" s="28"/>
      <c r="Q683" s="28"/>
    </row>
    <row r="684" spans="1:17" ht="18.75">
      <c r="A684" s="22">
        <v>679</v>
      </c>
      <c r="B684" s="23" t="s">
        <v>119</v>
      </c>
      <c r="C684" s="23" t="s">
        <v>741</v>
      </c>
      <c r="D684" s="24">
        <v>1080540.0138000001</v>
      </c>
      <c r="E684" s="24">
        <v>3333509.1345000002</v>
      </c>
      <c r="F684" s="25">
        <f t="shared" si="10"/>
        <v>4414049.1482999995</v>
      </c>
      <c r="G684" s="26"/>
      <c r="H684" s="26"/>
      <c r="I684" s="28"/>
      <c r="J684" s="28"/>
      <c r="K684" s="28"/>
      <c r="L684" s="28"/>
      <c r="M684" s="26"/>
      <c r="N684" s="26"/>
      <c r="O684" s="28"/>
      <c r="P684" s="28"/>
      <c r="Q684" s="28"/>
    </row>
    <row r="685" spans="1:17" ht="18.75">
      <c r="A685" s="22">
        <v>680</v>
      </c>
      <c r="B685" s="23" t="s">
        <v>119</v>
      </c>
      <c r="C685" s="23" t="s">
        <v>743</v>
      </c>
      <c r="D685" s="24">
        <v>1003011.4641</v>
      </c>
      <c r="E685" s="24">
        <v>3094330.4597</v>
      </c>
      <c r="F685" s="25">
        <f t="shared" si="10"/>
        <v>4097341.9238</v>
      </c>
      <c r="G685" s="26"/>
      <c r="H685" s="26"/>
      <c r="I685" s="28"/>
      <c r="J685" s="28"/>
      <c r="K685" s="28"/>
      <c r="L685" s="28"/>
      <c r="M685" s="26"/>
      <c r="N685" s="26"/>
      <c r="O685" s="28"/>
      <c r="P685" s="28"/>
      <c r="Q685" s="28"/>
    </row>
    <row r="686" spans="1:17" ht="18.75">
      <c r="A686" s="22">
        <v>681</v>
      </c>
      <c r="B686" s="23" t="s">
        <v>119</v>
      </c>
      <c r="C686" s="23" t="s">
        <v>745</v>
      </c>
      <c r="D686" s="24">
        <v>1002843.8626</v>
      </c>
      <c r="E686" s="24">
        <v>3093813.4023000002</v>
      </c>
      <c r="F686" s="25">
        <f t="shared" si="10"/>
        <v>4096657.2648999998</v>
      </c>
      <c r="G686" s="26"/>
      <c r="H686" s="26"/>
      <c r="I686" s="28"/>
      <c r="J686" s="28"/>
      <c r="K686" s="28"/>
      <c r="L686" s="28"/>
      <c r="M686" s="26"/>
      <c r="N686" s="26"/>
      <c r="O686" s="28"/>
      <c r="P686" s="28"/>
      <c r="Q686" s="28"/>
    </row>
    <row r="687" spans="1:17" ht="18.75">
      <c r="A687" s="22">
        <v>682</v>
      </c>
      <c r="B687" s="23" t="s">
        <v>119</v>
      </c>
      <c r="C687" s="23" t="s">
        <v>747</v>
      </c>
      <c r="D687" s="24">
        <v>1086853.2755</v>
      </c>
      <c r="E687" s="24">
        <v>3352985.7990999999</v>
      </c>
      <c r="F687" s="25">
        <f t="shared" si="10"/>
        <v>4439839.0745999999</v>
      </c>
      <c r="G687" s="26"/>
      <c r="H687" s="26"/>
      <c r="I687" s="28"/>
      <c r="J687" s="28"/>
      <c r="K687" s="28"/>
      <c r="L687" s="28"/>
      <c r="M687" s="26"/>
      <c r="N687" s="26"/>
      <c r="O687" s="28"/>
      <c r="P687" s="28"/>
      <c r="Q687" s="28"/>
    </row>
    <row r="688" spans="1:17" ht="18.75">
      <c r="A688" s="22">
        <v>683</v>
      </c>
      <c r="B688" s="23" t="s">
        <v>119</v>
      </c>
      <c r="C688" s="23" t="s">
        <v>749</v>
      </c>
      <c r="D688" s="24">
        <v>1052955.2333</v>
      </c>
      <c r="E688" s="24">
        <v>3248408.9840000002</v>
      </c>
      <c r="F688" s="25">
        <f t="shared" si="10"/>
        <v>4301364.2172999997</v>
      </c>
      <c r="G688" s="26"/>
      <c r="H688" s="26"/>
      <c r="I688" s="28"/>
      <c r="J688" s="28"/>
      <c r="K688" s="28"/>
      <c r="L688" s="28"/>
      <c r="M688" s="26"/>
      <c r="N688" s="26"/>
      <c r="O688" s="28"/>
      <c r="P688" s="28"/>
      <c r="Q688" s="28"/>
    </row>
    <row r="689" spans="1:17" ht="18.75">
      <c r="A689" s="22">
        <v>684</v>
      </c>
      <c r="B689" s="23" t="s">
        <v>119</v>
      </c>
      <c r="C689" s="23" t="s">
        <v>751</v>
      </c>
      <c r="D689" s="24">
        <v>1004336.8369</v>
      </c>
      <c r="E689" s="24">
        <v>3098419.2875999999</v>
      </c>
      <c r="F689" s="25">
        <f t="shared" si="10"/>
        <v>4102756.1244999999</v>
      </c>
      <c r="G689" s="26"/>
      <c r="H689" s="26"/>
      <c r="I689" s="28"/>
      <c r="J689" s="28"/>
      <c r="K689" s="28"/>
      <c r="L689" s="28"/>
      <c r="M689" s="26"/>
      <c r="N689" s="26"/>
      <c r="O689" s="28"/>
      <c r="P689" s="28"/>
      <c r="Q689" s="28"/>
    </row>
    <row r="690" spans="1:17" ht="18.75">
      <c r="A690" s="22">
        <v>685</v>
      </c>
      <c r="B690" s="23" t="s">
        <v>119</v>
      </c>
      <c r="C690" s="23" t="s">
        <v>753</v>
      </c>
      <c r="D690" s="24">
        <v>1177746.5861</v>
      </c>
      <c r="E690" s="24">
        <v>3633395.2955999998</v>
      </c>
      <c r="F690" s="25">
        <f t="shared" si="10"/>
        <v>4811141.8816999998</v>
      </c>
      <c r="G690" s="26"/>
      <c r="H690" s="26"/>
      <c r="I690" s="28"/>
      <c r="J690" s="28"/>
      <c r="K690" s="28"/>
      <c r="L690" s="28"/>
      <c r="M690" s="26"/>
      <c r="N690" s="26"/>
      <c r="O690" s="28"/>
      <c r="P690" s="28"/>
      <c r="Q690" s="28"/>
    </row>
    <row r="691" spans="1:17" ht="18.75">
      <c r="A691" s="22">
        <v>686</v>
      </c>
      <c r="B691" s="23" t="s">
        <v>119</v>
      </c>
      <c r="C691" s="23" t="s">
        <v>755</v>
      </c>
      <c r="D691" s="24">
        <v>1048901.4527</v>
      </c>
      <c r="E691" s="24">
        <v>3235902.9087</v>
      </c>
      <c r="F691" s="25">
        <f t="shared" si="10"/>
        <v>4284804.3613999998</v>
      </c>
      <c r="G691" s="26"/>
      <c r="H691" s="26"/>
      <c r="I691" s="28"/>
      <c r="J691" s="28"/>
      <c r="K691" s="28"/>
      <c r="L691" s="28"/>
      <c r="M691" s="26"/>
      <c r="N691" s="26"/>
      <c r="O691" s="28"/>
      <c r="P691" s="28"/>
      <c r="Q691" s="28"/>
    </row>
    <row r="692" spans="1:17" ht="18.75">
      <c r="A692" s="22">
        <v>687</v>
      </c>
      <c r="B692" s="23" t="s">
        <v>119</v>
      </c>
      <c r="C692" s="23" t="s">
        <v>757</v>
      </c>
      <c r="D692" s="24">
        <v>1003888.6698</v>
      </c>
      <c r="E692" s="24">
        <v>3097036.6743999999</v>
      </c>
      <c r="F692" s="25">
        <f t="shared" si="10"/>
        <v>4100925.3442000002</v>
      </c>
      <c r="G692" s="26"/>
      <c r="H692" s="26"/>
      <c r="I692" s="28"/>
      <c r="J692" s="28"/>
      <c r="K692" s="28"/>
      <c r="L692" s="28"/>
      <c r="M692" s="26"/>
      <c r="N692" s="26"/>
      <c r="O692" s="28"/>
      <c r="P692" s="28"/>
      <c r="Q692" s="28"/>
    </row>
    <row r="693" spans="1:17" ht="18.75">
      <c r="A693" s="22">
        <v>688</v>
      </c>
      <c r="B693" s="23" t="s">
        <v>119</v>
      </c>
      <c r="C693" s="23" t="s">
        <v>759</v>
      </c>
      <c r="D693" s="24">
        <v>1191790.3407999999</v>
      </c>
      <c r="E693" s="24">
        <v>3676720.8402</v>
      </c>
      <c r="F693" s="25">
        <f t="shared" si="10"/>
        <v>4868511.1809999999</v>
      </c>
      <c r="G693" s="26"/>
      <c r="H693" s="26"/>
      <c r="I693" s="28"/>
      <c r="J693" s="28"/>
      <c r="K693" s="28"/>
      <c r="L693" s="28"/>
      <c r="M693" s="26"/>
      <c r="N693" s="26"/>
      <c r="O693" s="28"/>
      <c r="P693" s="28"/>
      <c r="Q693" s="28"/>
    </row>
    <row r="694" spans="1:17" ht="18.75">
      <c r="A694" s="22">
        <v>689</v>
      </c>
      <c r="B694" s="23" t="s">
        <v>119</v>
      </c>
      <c r="C694" s="23" t="s">
        <v>761</v>
      </c>
      <c r="D694" s="24">
        <v>1459476.5312999999</v>
      </c>
      <c r="E694" s="24">
        <v>4502543.4380000001</v>
      </c>
      <c r="F694" s="25">
        <f t="shared" si="10"/>
        <v>5962019.9693</v>
      </c>
      <c r="G694" s="26"/>
      <c r="H694" s="26"/>
      <c r="I694" s="28"/>
      <c r="J694" s="28"/>
      <c r="K694" s="28"/>
      <c r="L694" s="28"/>
      <c r="M694" s="26"/>
      <c r="N694" s="26"/>
      <c r="O694" s="28"/>
      <c r="P694" s="28"/>
      <c r="Q694" s="28"/>
    </row>
    <row r="695" spans="1:17" ht="18.75">
      <c r="A695" s="22">
        <v>690</v>
      </c>
      <c r="B695" s="23" t="s">
        <v>119</v>
      </c>
      <c r="C695" s="23" t="s">
        <v>763</v>
      </c>
      <c r="D695" s="24">
        <v>1178298.5759000001</v>
      </c>
      <c r="E695" s="24">
        <v>3635098.2064</v>
      </c>
      <c r="F695" s="25">
        <f t="shared" si="10"/>
        <v>4813396.7823000001</v>
      </c>
      <c r="G695" s="26"/>
      <c r="H695" s="26"/>
      <c r="I695" s="28"/>
      <c r="J695" s="28"/>
      <c r="K695" s="28"/>
      <c r="L695" s="28"/>
      <c r="M695" s="26"/>
      <c r="N695" s="26"/>
      <c r="O695" s="28"/>
      <c r="P695" s="28"/>
      <c r="Q695" s="28"/>
    </row>
    <row r="696" spans="1:17" ht="37.5">
      <c r="A696" s="22">
        <v>691</v>
      </c>
      <c r="B696" s="23" t="s">
        <v>119</v>
      </c>
      <c r="C696" s="23" t="s">
        <v>765</v>
      </c>
      <c r="D696" s="24">
        <v>1189006.5769</v>
      </c>
      <c r="E696" s="24">
        <v>3668132.8174000001</v>
      </c>
      <c r="F696" s="25">
        <f t="shared" si="10"/>
        <v>4857139.3942999998</v>
      </c>
      <c r="G696" s="26"/>
      <c r="H696" s="26"/>
      <c r="I696" s="28"/>
      <c r="J696" s="28"/>
      <c r="K696" s="28"/>
      <c r="L696" s="28"/>
      <c r="M696" s="26"/>
      <c r="N696" s="26"/>
      <c r="O696" s="28"/>
      <c r="P696" s="28"/>
      <c r="Q696" s="28"/>
    </row>
    <row r="697" spans="1:17" ht="18.75">
      <c r="A697" s="22">
        <v>692</v>
      </c>
      <c r="B697" s="23" t="s">
        <v>119</v>
      </c>
      <c r="C697" s="23" t="s">
        <v>767</v>
      </c>
      <c r="D697" s="24">
        <v>816900.62860000005</v>
      </c>
      <c r="E697" s="24">
        <v>2520171.0928000002</v>
      </c>
      <c r="F697" s="25">
        <f t="shared" si="10"/>
        <v>3337071.7214000002</v>
      </c>
      <c r="G697" s="26"/>
      <c r="H697" s="26"/>
      <c r="I697" s="28"/>
      <c r="J697" s="28"/>
      <c r="K697" s="28"/>
      <c r="L697" s="28"/>
      <c r="M697" s="26"/>
      <c r="N697" s="26"/>
      <c r="O697" s="28"/>
      <c r="P697" s="28"/>
      <c r="Q697" s="28"/>
    </row>
    <row r="698" spans="1:17" ht="18.75">
      <c r="A698" s="22">
        <v>693</v>
      </c>
      <c r="B698" s="23" t="s">
        <v>119</v>
      </c>
      <c r="C698" s="23" t="s">
        <v>769</v>
      </c>
      <c r="D698" s="24">
        <v>1005199.7128</v>
      </c>
      <c r="E698" s="24">
        <v>3101081.2944</v>
      </c>
      <c r="F698" s="25">
        <f t="shared" si="10"/>
        <v>4106281.0071999999</v>
      </c>
      <c r="G698" s="26"/>
      <c r="H698" s="26"/>
      <c r="I698" s="28"/>
      <c r="J698" s="28"/>
      <c r="K698" s="28"/>
      <c r="L698" s="28"/>
      <c r="M698" s="26"/>
      <c r="N698" s="26"/>
      <c r="O698" s="28"/>
      <c r="P698" s="28"/>
      <c r="Q698" s="28"/>
    </row>
    <row r="699" spans="1:17" ht="18.75">
      <c r="A699" s="22">
        <v>694</v>
      </c>
      <c r="B699" s="23" t="s">
        <v>119</v>
      </c>
      <c r="C699" s="23" t="s">
        <v>771</v>
      </c>
      <c r="D699" s="24">
        <v>796719.88280000002</v>
      </c>
      <c r="E699" s="24">
        <v>2457912.6853</v>
      </c>
      <c r="F699" s="25">
        <f t="shared" si="10"/>
        <v>3254632.5680999998</v>
      </c>
      <c r="G699" s="26"/>
      <c r="H699" s="26"/>
      <c r="I699" s="28"/>
      <c r="J699" s="28"/>
      <c r="K699" s="28"/>
      <c r="L699" s="28"/>
      <c r="M699" s="26"/>
      <c r="N699" s="26"/>
      <c r="O699" s="28"/>
      <c r="P699" s="28"/>
      <c r="Q699" s="28"/>
    </row>
    <row r="700" spans="1:17" ht="18.75">
      <c r="A700" s="22">
        <v>695</v>
      </c>
      <c r="B700" s="23" t="s">
        <v>119</v>
      </c>
      <c r="C700" s="23" t="s">
        <v>773</v>
      </c>
      <c r="D700" s="24">
        <v>861787.51670000004</v>
      </c>
      <c r="E700" s="24">
        <v>2658648.9367</v>
      </c>
      <c r="F700" s="25">
        <f t="shared" si="10"/>
        <v>3520436.4534</v>
      </c>
      <c r="G700" s="26"/>
      <c r="H700" s="26"/>
      <c r="I700" s="28"/>
      <c r="J700" s="28"/>
      <c r="K700" s="28"/>
      <c r="L700" s="28"/>
      <c r="M700" s="26"/>
      <c r="N700" s="26"/>
      <c r="O700" s="28"/>
      <c r="P700" s="28"/>
      <c r="Q700" s="28"/>
    </row>
    <row r="701" spans="1:17" ht="18.75">
      <c r="A701" s="22">
        <v>696</v>
      </c>
      <c r="B701" s="23" t="s">
        <v>119</v>
      </c>
      <c r="C701" s="23" t="s">
        <v>775</v>
      </c>
      <c r="D701" s="24">
        <v>890069.64910000004</v>
      </c>
      <c r="E701" s="24">
        <v>2745900.4457999999</v>
      </c>
      <c r="F701" s="25">
        <f t="shared" si="10"/>
        <v>3635970.0948999999</v>
      </c>
      <c r="G701" s="26"/>
      <c r="H701" s="26"/>
      <c r="I701" s="28"/>
      <c r="J701" s="28"/>
      <c r="K701" s="28"/>
      <c r="L701" s="28"/>
      <c r="M701" s="26"/>
      <c r="N701" s="26"/>
      <c r="O701" s="28"/>
      <c r="P701" s="28"/>
      <c r="Q701" s="28"/>
    </row>
    <row r="702" spans="1:17" ht="37.5">
      <c r="A702" s="22">
        <v>697</v>
      </c>
      <c r="B702" s="23" t="s">
        <v>119</v>
      </c>
      <c r="C702" s="23" t="s">
        <v>777</v>
      </c>
      <c r="D702" s="24">
        <v>1652974.906</v>
      </c>
      <c r="E702" s="24">
        <v>5099493.6585999997</v>
      </c>
      <c r="F702" s="25">
        <f t="shared" si="10"/>
        <v>6752468.5646000002</v>
      </c>
      <c r="G702" s="26"/>
      <c r="H702" s="26"/>
      <c r="I702" s="28"/>
      <c r="J702" s="28"/>
      <c r="K702" s="28"/>
      <c r="L702" s="28"/>
      <c r="M702" s="26"/>
      <c r="N702" s="26"/>
      <c r="O702" s="28"/>
      <c r="P702" s="28"/>
      <c r="Q702" s="28"/>
    </row>
    <row r="703" spans="1:17" ht="18.75">
      <c r="A703" s="22">
        <v>698</v>
      </c>
      <c r="B703" s="23" t="s">
        <v>119</v>
      </c>
      <c r="C703" s="23" t="s">
        <v>779</v>
      </c>
      <c r="D703" s="24">
        <v>978373.00159999996</v>
      </c>
      <c r="E703" s="24">
        <v>3018319.8179000001</v>
      </c>
      <c r="F703" s="25">
        <f t="shared" si="10"/>
        <v>3996692.8195000002</v>
      </c>
      <c r="G703" s="26"/>
      <c r="H703" s="26"/>
      <c r="I703" s="28"/>
      <c r="J703" s="28"/>
      <c r="K703" s="28"/>
      <c r="L703" s="28"/>
      <c r="M703" s="26"/>
      <c r="N703" s="26"/>
      <c r="O703" s="28"/>
      <c r="P703" s="28"/>
      <c r="Q703" s="28"/>
    </row>
    <row r="704" spans="1:17" ht="18.75">
      <c r="A704" s="22">
        <v>699</v>
      </c>
      <c r="B704" s="23" t="s">
        <v>120</v>
      </c>
      <c r="C704" s="23" t="s">
        <v>783</v>
      </c>
      <c r="D704" s="24">
        <v>916650.41879999998</v>
      </c>
      <c r="E704" s="24">
        <v>2827903.1828000001</v>
      </c>
      <c r="F704" s="25">
        <f t="shared" si="10"/>
        <v>3744553.6016000002</v>
      </c>
      <c r="G704" s="26"/>
      <c r="H704" s="26"/>
      <c r="I704" s="28"/>
      <c r="J704" s="28"/>
      <c r="K704" s="28"/>
      <c r="L704" s="28"/>
      <c r="M704" s="26"/>
      <c r="N704" s="26"/>
      <c r="O704" s="28"/>
      <c r="P704" s="28"/>
      <c r="Q704" s="28"/>
    </row>
    <row r="705" spans="1:17" ht="18.75">
      <c r="A705" s="22">
        <v>700</v>
      </c>
      <c r="B705" s="23" t="s">
        <v>120</v>
      </c>
      <c r="C705" s="23" t="s">
        <v>785</v>
      </c>
      <c r="D705" s="24">
        <v>1043455.325</v>
      </c>
      <c r="E705" s="24">
        <v>3219101.3870000001</v>
      </c>
      <c r="F705" s="25">
        <f t="shared" si="10"/>
        <v>4262556.7120000003</v>
      </c>
      <c r="G705" s="26"/>
      <c r="H705" s="26"/>
      <c r="I705" s="28"/>
      <c r="J705" s="28"/>
      <c r="K705" s="28"/>
      <c r="L705" s="28"/>
      <c r="M705" s="26"/>
      <c r="N705" s="26"/>
      <c r="O705" s="28"/>
      <c r="P705" s="28"/>
      <c r="Q705" s="28"/>
    </row>
    <row r="706" spans="1:17" ht="18.75">
      <c r="A706" s="22">
        <v>701</v>
      </c>
      <c r="B706" s="23" t="s">
        <v>120</v>
      </c>
      <c r="C706" s="23" t="s">
        <v>787</v>
      </c>
      <c r="D706" s="24">
        <v>1124496.5656999999</v>
      </c>
      <c r="E706" s="24">
        <v>3469116.8541999999</v>
      </c>
      <c r="F706" s="25">
        <f t="shared" si="10"/>
        <v>4593613.4199000001</v>
      </c>
      <c r="G706" s="26"/>
      <c r="H706" s="26"/>
      <c r="I706" s="28"/>
      <c r="J706" s="28"/>
      <c r="K706" s="28"/>
      <c r="L706" s="28"/>
      <c r="M706" s="26"/>
      <c r="N706" s="26"/>
      <c r="O706" s="28"/>
      <c r="P706" s="28"/>
      <c r="Q706" s="28"/>
    </row>
    <row r="707" spans="1:17" ht="18.75">
      <c r="A707" s="22">
        <v>702</v>
      </c>
      <c r="B707" s="23" t="s">
        <v>120</v>
      </c>
      <c r="C707" s="23" t="s">
        <v>789</v>
      </c>
      <c r="D707" s="24">
        <v>1220935.9939999999</v>
      </c>
      <c r="E707" s="24">
        <v>3766636.3454999998</v>
      </c>
      <c r="F707" s="25">
        <f t="shared" si="10"/>
        <v>4987572.3394999998</v>
      </c>
      <c r="G707" s="26"/>
      <c r="H707" s="26"/>
      <c r="I707" s="28"/>
      <c r="J707" s="28"/>
      <c r="K707" s="28"/>
      <c r="L707" s="28"/>
      <c r="M707" s="26"/>
      <c r="N707" s="26"/>
      <c r="O707" s="28"/>
      <c r="P707" s="28"/>
      <c r="Q707" s="28"/>
    </row>
    <row r="708" spans="1:17" ht="18.75">
      <c r="A708" s="22">
        <v>703</v>
      </c>
      <c r="B708" s="23" t="s">
        <v>120</v>
      </c>
      <c r="C708" s="23" t="s">
        <v>791</v>
      </c>
      <c r="D708" s="24">
        <v>1148540.4908</v>
      </c>
      <c r="E708" s="24">
        <v>3543293.3243</v>
      </c>
      <c r="F708" s="25">
        <f t="shared" si="10"/>
        <v>4691833.8151000002</v>
      </c>
      <c r="G708" s="26"/>
      <c r="H708" s="26"/>
      <c r="I708" s="28"/>
      <c r="J708" s="28"/>
      <c r="K708" s="28"/>
      <c r="L708" s="28"/>
      <c r="M708" s="26"/>
      <c r="N708" s="26"/>
      <c r="O708" s="28"/>
      <c r="P708" s="28"/>
      <c r="Q708" s="28"/>
    </row>
    <row r="709" spans="1:17" ht="18.75">
      <c r="A709" s="22">
        <v>704</v>
      </c>
      <c r="B709" s="23" t="s">
        <v>120</v>
      </c>
      <c r="C709" s="23" t="s">
        <v>794</v>
      </c>
      <c r="D709" s="24">
        <v>1040707.6889</v>
      </c>
      <c r="E709" s="24">
        <v>3210624.8199</v>
      </c>
      <c r="F709" s="25">
        <f t="shared" si="10"/>
        <v>4251332.5088</v>
      </c>
      <c r="G709" s="26"/>
      <c r="H709" s="26"/>
      <c r="I709" s="28"/>
      <c r="J709" s="28"/>
      <c r="K709" s="28"/>
      <c r="L709" s="28"/>
      <c r="M709" s="26"/>
      <c r="N709" s="26"/>
      <c r="O709" s="28"/>
      <c r="P709" s="28"/>
      <c r="Q709" s="28"/>
    </row>
    <row r="710" spans="1:17" ht="18.75">
      <c r="A710" s="22">
        <v>705</v>
      </c>
      <c r="B710" s="23" t="s">
        <v>120</v>
      </c>
      <c r="C710" s="23" t="s">
        <v>796</v>
      </c>
      <c r="D710" s="24">
        <v>1188636.6828000001</v>
      </c>
      <c r="E710" s="24">
        <v>3666991.6793999998</v>
      </c>
      <c r="F710" s="25">
        <f t="shared" si="10"/>
        <v>4855628.3622000003</v>
      </c>
      <c r="G710" s="26"/>
      <c r="H710" s="26"/>
      <c r="I710" s="28"/>
      <c r="J710" s="28"/>
      <c r="K710" s="28"/>
      <c r="L710" s="28"/>
      <c r="M710" s="26"/>
      <c r="N710" s="26"/>
      <c r="O710" s="28"/>
      <c r="P710" s="28"/>
      <c r="Q710" s="28"/>
    </row>
    <row r="711" spans="1:17" ht="18.75">
      <c r="A711" s="22">
        <v>706</v>
      </c>
      <c r="B711" s="23" t="s">
        <v>120</v>
      </c>
      <c r="C711" s="23" t="s">
        <v>798</v>
      </c>
      <c r="D711" s="24">
        <v>1014276.4252000001</v>
      </c>
      <c r="E711" s="24">
        <v>3129083.3147999998</v>
      </c>
      <c r="F711" s="25">
        <f t="shared" ref="F711:F774" si="11">D711+E711</f>
        <v>4143359.74</v>
      </c>
      <c r="G711" s="26"/>
      <c r="H711" s="26"/>
      <c r="I711" s="28"/>
      <c r="J711" s="28"/>
      <c r="K711" s="28"/>
      <c r="L711" s="28"/>
      <c r="M711" s="26"/>
      <c r="N711" s="26"/>
      <c r="O711" s="28"/>
      <c r="P711" s="28"/>
      <c r="Q711" s="28"/>
    </row>
    <row r="712" spans="1:17" ht="18.75">
      <c r="A712" s="22">
        <v>707</v>
      </c>
      <c r="B712" s="23" t="s">
        <v>120</v>
      </c>
      <c r="C712" s="23" t="s">
        <v>800</v>
      </c>
      <c r="D712" s="24">
        <v>1148085.3647</v>
      </c>
      <c r="E712" s="24">
        <v>3541889.2420999999</v>
      </c>
      <c r="F712" s="25">
        <f t="shared" si="11"/>
        <v>4689974.6068000002</v>
      </c>
      <c r="G712" s="26"/>
      <c r="H712" s="26"/>
      <c r="I712" s="28"/>
      <c r="J712" s="28"/>
      <c r="K712" s="28"/>
      <c r="L712" s="28"/>
      <c r="M712" s="26"/>
      <c r="N712" s="26"/>
      <c r="O712" s="28"/>
      <c r="P712" s="28"/>
      <c r="Q712" s="28"/>
    </row>
    <row r="713" spans="1:17" ht="18.75">
      <c r="A713" s="22">
        <v>708</v>
      </c>
      <c r="B713" s="23" t="s">
        <v>120</v>
      </c>
      <c r="C713" s="23" t="s">
        <v>802</v>
      </c>
      <c r="D713" s="24">
        <v>1036561.2465</v>
      </c>
      <c r="E713" s="24">
        <v>3197832.8793000001</v>
      </c>
      <c r="F713" s="25">
        <f t="shared" si="11"/>
        <v>4234394.1257999996</v>
      </c>
      <c r="G713" s="26"/>
      <c r="H713" s="26"/>
      <c r="I713" s="28"/>
      <c r="J713" s="28"/>
      <c r="K713" s="28"/>
      <c r="L713" s="28"/>
      <c r="M713" s="26"/>
      <c r="N713" s="26"/>
      <c r="O713" s="28"/>
      <c r="P713" s="28"/>
      <c r="Q713" s="28"/>
    </row>
    <row r="714" spans="1:17" ht="18.75">
      <c r="A714" s="22">
        <v>709</v>
      </c>
      <c r="B714" s="23" t="s">
        <v>120</v>
      </c>
      <c r="C714" s="23" t="s">
        <v>804</v>
      </c>
      <c r="D714" s="24">
        <v>961210.62199999997</v>
      </c>
      <c r="E714" s="24">
        <v>2965373.1910000001</v>
      </c>
      <c r="F714" s="25">
        <f t="shared" si="11"/>
        <v>3926583.8130000001</v>
      </c>
      <c r="G714" s="26"/>
      <c r="H714" s="26"/>
      <c r="I714" s="28"/>
      <c r="J714" s="28"/>
      <c r="K714" s="28"/>
      <c r="L714" s="28"/>
      <c r="M714" s="26"/>
      <c r="N714" s="26"/>
      <c r="O714" s="28"/>
      <c r="P714" s="28"/>
      <c r="Q714" s="28"/>
    </row>
    <row r="715" spans="1:17" ht="18.75">
      <c r="A715" s="22">
        <v>710</v>
      </c>
      <c r="B715" s="23" t="s">
        <v>120</v>
      </c>
      <c r="C715" s="23" t="s">
        <v>806</v>
      </c>
      <c r="D715" s="24">
        <v>1144438.1953</v>
      </c>
      <c r="E715" s="24">
        <v>3530637.5784999998</v>
      </c>
      <c r="F715" s="25">
        <f t="shared" si="11"/>
        <v>4675075.7737999996</v>
      </c>
      <c r="G715" s="26"/>
      <c r="H715" s="26"/>
      <c r="I715" s="28"/>
      <c r="J715" s="28"/>
      <c r="K715" s="28"/>
      <c r="L715" s="28"/>
      <c r="M715" s="26"/>
      <c r="N715" s="26"/>
      <c r="O715" s="28"/>
      <c r="P715" s="28"/>
      <c r="Q715" s="28"/>
    </row>
    <row r="716" spans="1:17" ht="18.75">
      <c r="A716" s="22">
        <v>711</v>
      </c>
      <c r="B716" s="23" t="s">
        <v>120</v>
      </c>
      <c r="C716" s="23" t="s">
        <v>808</v>
      </c>
      <c r="D716" s="24">
        <v>1200746.6070999999</v>
      </c>
      <c r="E716" s="24">
        <v>3704351.2796999998</v>
      </c>
      <c r="F716" s="25">
        <f t="shared" si="11"/>
        <v>4905097.8868000004</v>
      </c>
      <c r="G716" s="26"/>
      <c r="H716" s="26"/>
      <c r="I716" s="28"/>
      <c r="J716" s="28"/>
      <c r="K716" s="28"/>
      <c r="L716" s="28"/>
      <c r="M716" s="26"/>
      <c r="N716" s="26"/>
      <c r="O716" s="28"/>
      <c r="P716" s="28"/>
      <c r="Q716" s="28"/>
    </row>
    <row r="717" spans="1:17" ht="18.75">
      <c r="A717" s="22">
        <v>712</v>
      </c>
      <c r="B717" s="23" t="s">
        <v>120</v>
      </c>
      <c r="C717" s="23" t="s">
        <v>810</v>
      </c>
      <c r="D717" s="24">
        <v>1081936.3045000001</v>
      </c>
      <c r="E717" s="24">
        <v>3337816.7472000001</v>
      </c>
      <c r="F717" s="25">
        <f t="shared" si="11"/>
        <v>4419753.0516999997</v>
      </c>
      <c r="G717" s="26"/>
      <c r="H717" s="26"/>
      <c r="I717" s="28"/>
      <c r="J717" s="28"/>
      <c r="K717" s="28"/>
      <c r="L717" s="28"/>
      <c r="M717" s="26"/>
      <c r="N717" s="26"/>
      <c r="O717" s="28"/>
      <c r="P717" s="28"/>
      <c r="Q717" s="28"/>
    </row>
    <row r="718" spans="1:17" ht="18.75">
      <c r="A718" s="22">
        <v>713</v>
      </c>
      <c r="B718" s="23" t="s">
        <v>120</v>
      </c>
      <c r="C718" s="23" t="s">
        <v>812</v>
      </c>
      <c r="D718" s="24">
        <v>968807.68189999997</v>
      </c>
      <c r="E718" s="24">
        <v>2988810.4243999999</v>
      </c>
      <c r="F718" s="25">
        <f t="shared" si="11"/>
        <v>3957618.1063000001</v>
      </c>
      <c r="G718" s="26"/>
      <c r="H718" s="26"/>
      <c r="I718" s="28"/>
      <c r="J718" s="28"/>
      <c r="K718" s="28"/>
      <c r="L718" s="28"/>
      <c r="M718" s="26"/>
      <c r="N718" s="26"/>
      <c r="O718" s="28"/>
      <c r="P718" s="28"/>
      <c r="Q718" s="28"/>
    </row>
    <row r="719" spans="1:17" ht="18.75">
      <c r="A719" s="22">
        <v>714</v>
      </c>
      <c r="B719" s="23" t="s">
        <v>120</v>
      </c>
      <c r="C719" s="23" t="s">
        <v>814</v>
      </c>
      <c r="D719" s="24">
        <v>1076575.8073</v>
      </c>
      <c r="E719" s="24">
        <v>3321279.3990000002</v>
      </c>
      <c r="F719" s="25">
        <f t="shared" si="11"/>
        <v>4397855.2062999997</v>
      </c>
      <c r="G719" s="26"/>
      <c r="H719" s="26"/>
      <c r="I719" s="28"/>
      <c r="J719" s="28"/>
      <c r="K719" s="28"/>
      <c r="L719" s="28"/>
      <c r="M719" s="26"/>
      <c r="N719" s="26"/>
      <c r="O719" s="28"/>
      <c r="P719" s="28"/>
      <c r="Q719" s="28"/>
    </row>
    <row r="720" spans="1:17" ht="18.75">
      <c r="A720" s="22">
        <v>715</v>
      </c>
      <c r="B720" s="23" t="s">
        <v>120</v>
      </c>
      <c r="C720" s="23" t="s">
        <v>816</v>
      </c>
      <c r="D720" s="24">
        <v>1067878.6913000001</v>
      </c>
      <c r="E720" s="24">
        <v>3294448.4484000001</v>
      </c>
      <c r="F720" s="25">
        <f t="shared" si="11"/>
        <v>4362327.1397000002</v>
      </c>
      <c r="G720" s="26"/>
      <c r="H720" s="26"/>
      <c r="I720" s="28"/>
      <c r="J720" s="28"/>
      <c r="K720" s="28"/>
      <c r="L720" s="28"/>
      <c r="M720" s="26"/>
      <c r="N720" s="26"/>
      <c r="O720" s="28"/>
      <c r="P720" s="28"/>
      <c r="Q720" s="28"/>
    </row>
    <row r="721" spans="1:17" ht="18.75">
      <c r="A721" s="22">
        <v>716</v>
      </c>
      <c r="B721" s="23" t="s">
        <v>120</v>
      </c>
      <c r="C721" s="23" t="s">
        <v>818</v>
      </c>
      <c r="D721" s="24">
        <v>1195721.4031</v>
      </c>
      <c r="E721" s="24">
        <v>3688848.3247000002</v>
      </c>
      <c r="F721" s="25">
        <f t="shared" si="11"/>
        <v>4884569.7278000005</v>
      </c>
      <c r="G721" s="26"/>
      <c r="H721" s="26"/>
      <c r="I721" s="28"/>
      <c r="J721" s="28"/>
      <c r="K721" s="28"/>
      <c r="L721" s="28"/>
      <c r="M721" s="26"/>
      <c r="N721" s="26"/>
      <c r="O721" s="28"/>
      <c r="P721" s="28"/>
      <c r="Q721" s="28"/>
    </row>
    <row r="722" spans="1:17" ht="18.75">
      <c r="A722" s="22">
        <v>717</v>
      </c>
      <c r="B722" s="23" t="s">
        <v>120</v>
      </c>
      <c r="C722" s="23" t="s">
        <v>820</v>
      </c>
      <c r="D722" s="24">
        <v>1102406.946</v>
      </c>
      <c r="E722" s="24">
        <v>3400969.4944000002</v>
      </c>
      <c r="F722" s="25">
        <f t="shared" si="11"/>
        <v>4503376.4403999997</v>
      </c>
      <c r="G722" s="26"/>
      <c r="H722" s="26"/>
      <c r="I722" s="28"/>
      <c r="J722" s="28"/>
      <c r="K722" s="28"/>
      <c r="L722" s="28"/>
      <c r="M722" s="26"/>
      <c r="N722" s="26"/>
      <c r="O722" s="28"/>
      <c r="P722" s="28"/>
      <c r="Q722" s="28"/>
    </row>
    <row r="723" spans="1:17" ht="18.75">
      <c r="A723" s="22">
        <v>718</v>
      </c>
      <c r="B723" s="23" t="s">
        <v>120</v>
      </c>
      <c r="C723" s="23" t="s">
        <v>822</v>
      </c>
      <c r="D723" s="24">
        <v>1003206.406</v>
      </c>
      <c r="E723" s="24">
        <v>3094931.8631000002</v>
      </c>
      <c r="F723" s="25">
        <f t="shared" si="11"/>
        <v>4098138.2691000002</v>
      </c>
      <c r="G723" s="26"/>
      <c r="H723" s="26"/>
      <c r="I723" s="28"/>
      <c r="J723" s="28"/>
      <c r="K723" s="28"/>
      <c r="L723" s="28"/>
      <c r="M723" s="26"/>
      <c r="N723" s="26"/>
      <c r="O723" s="28"/>
      <c r="P723" s="28"/>
      <c r="Q723" s="28"/>
    </row>
    <row r="724" spans="1:17" ht="18.75">
      <c r="A724" s="22">
        <v>719</v>
      </c>
      <c r="B724" s="23" t="s">
        <v>120</v>
      </c>
      <c r="C724" s="23" t="s">
        <v>824</v>
      </c>
      <c r="D724" s="24">
        <v>1034151.4519</v>
      </c>
      <c r="E724" s="24">
        <v>3190398.5666</v>
      </c>
      <c r="F724" s="25">
        <f t="shared" si="11"/>
        <v>4224550.0185000002</v>
      </c>
      <c r="G724" s="26"/>
      <c r="H724" s="26"/>
      <c r="I724" s="28"/>
      <c r="J724" s="28"/>
      <c r="K724" s="28"/>
      <c r="L724" s="28"/>
      <c r="M724" s="26"/>
      <c r="N724" s="26"/>
      <c r="O724" s="28"/>
      <c r="P724" s="28"/>
      <c r="Q724" s="28"/>
    </row>
    <row r="725" spans="1:17" ht="18.75">
      <c r="A725" s="22">
        <v>720</v>
      </c>
      <c r="B725" s="23" t="s">
        <v>120</v>
      </c>
      <c r="C725" s="23" t="s">
        <v>826</v>
      </c>
      <c r="D725" s="24">
        <v>995014.38829999999</v>
      </c>
      <c r="E725" s="24">
        <v>3069659.1609999998</v>
      </c>
      <c r="F725" s="25">
        <f t="shared" si="11"/>
        <v>4064673.5493000001</v>
      </c>
      <c r="G725" s="26"/>
      <c r="H725" s="26"/>
      <c r="I725" s="28"/>
      <c r="J725" s="28"/>
      <c r="K725" s="28"/>
      <c r="L725" s="28"/>
      <c r="M725" s="26"/>
      <c r="N725" s="26"/>
      <c r="O725" s="28"/>
      <c r="P725" s="28"/>
      <c r="Q725" s="28"/>
    </row>
    <row r="726" spans="1:17" ht="18.75">
      <c r="A726" s="22">
        <v>721</v>
      </c>
      <c r="B726" s="23" t="s">
        <v>120</v>
      </c>
      <c r="C726" s="23" t="s">
        <v>828</v>
      </c>
      <c r="D726" s="24">
        <v>932825.77</v>
      </c>
      <c r="E726" s="24">
        <v>2877804.7878</v>
      </c>
      <c r="F726" s="25">
        <f t="shared" si="11"/>
        <v>3810630.5578000001</v>
      </c>
      <c r="G726" s="26"/>
      <c r="H726" s="26"/>
      <c r="I726" s="28"/>
      <c r="J726" s="28"/>
      <c r="K726" s="28"/>
      <c r="L726" s="28"/>
      <c r="M726" s="26"/>
      <c r="N726" s="26"/>
      <c r="O726" s="28"/>
      <c r="P726" s="28"/>
      <c r="Q726" s="28"/>
    </row>
    <row r="727" spans="1:17" ht="18.75">
      <c r="A727" s="22">
        <v>722</v>
      </c>
      <c r="B727" s="23" t="s">
        <v>121</v>
      </c>
      <c r="C727" s="23" t="s">
        <v>832</v>
      </c>
      <c r="D727" s="24">
        <v>925897.19079999998</v>
      </c>
      <c r="E727" s="24">
        <v>2856429.8442000002</v>
      </c>
      <c r="F727" s="25">
        <f t="shared" si="11"/>
        <v>3782327.0350000001</v>
      </c>
      <c r="G727" s="26"/>
      <c r="H727" s="26"/>
      <c r="I727" s="28"/>
      <c r="J727" s="28"/>
      <c r="K727" s="28"/>
      <c r="L727" s="28"/>
      <c r="M727" s="26"/>
      <c r="N727" s="26"/>
      <c r="O727" s="28"/>
      <c r="P727" s="28"/>
      <c r="Q727" s="28"/>
    </row>
    <row r="728" spans="1:17" ht="18.75">
      <c r="A728" s="22">
        <v>723</v>
      </c>
      <c r="B728" s="23" t="s">
        <v>121</v>
      </c>
      <c r="C728" s="23" t="s">
        <v>834</v>
      </c>
      <c r="D728" s="24">
        <v>1584423.3171000001</v>
      </c>
      <c r="E728" s="24">
        <v>4888009.2664999999</v>
      </c>
      <c r="F728" s="25">
        <f t="shared" si="11"/>
        <v>6472432.5835999995</v>
      </c>
      <c r="G728" s="26"/>
      <c r="H728" s="26"/>
      <c r="I728" s="28"/>
      <c r="J728" s="28"/>
      <c r="K728" s="28"/>
      <c r="L728" s="28"/>
      <c r="M728" s="26"/>
      <c r="N728" s="26"/>
      <c r="O728" s="28"/>
      <c r="P728" s="28"/>
      <c r="Q728" s="28"/>
    </row>
    <row r="729" spans="1:17" ht="18.75">
      <c r="A729" s="22">
        <v>724</v>
      </c>
      <c r="B729" s="23" t="s">
        <v>121</v>
      </c>
      <c r="C729" s="23" t="s">
        <v>836</v>
      </c>
      <c r="D729" s="24">
        <v>1088207.3699</v>
      </c>
      <c r="E729" s="24">
        <v>3357163.2344999998</v>
      </c>
      <c r="F729" s="25">
        <f t="shared" si="11"/>
        <v>4445370.6043999996</v>
      </c>
      <c r="G729" s="26"/>
      <c r="H729" s="26"/>
      <c r="I729" s="28"/>
      <c r="J729" s="28"/>
      <c r="K729" s="28"/>
      <c r="L729" s="28"/>
      <c r="M729" s="26"/>
      <c r="N729" s="26"/>
      <c r="O729" s="28"/>
      <c r="P729" s="28"/>
      <c r="Q729" s="28"/>
    </row>
    <row r="730" spans="1:17" ht="18.75">
      <c r="A730" s="22">
        <v>725</v>
      </c>
      <c r="B730" s="23" t="s">
        <v>121</v>
      </c>
      <c r="C730" s="23" t="s">
        <v>838</v>
      </c>
      <c r="D730" s="24">
        <v>1299326.1074999999</v>
      </c>
      <c r="E730" s="24">
        <v>4008472.9789999998</v>
      </c>
      <c r="F730" s="25">
        <f t="shared" si="11"/>
        <v>5307799.0865000002</v>
      </c>
      <c r="G730" s="26"/>
      <c r="H730" s="26"/>
      <c r="I730" s="28"/>
      <c r="J730" s="28"/>
      <c r="K730" s="28"/>
      <c r="L730" s="28"/>
      <c r="M730" s="26"/>
      <c r="N730" s="26"/>
      <c r="O730" s="28"/>
      <c r="P730" s="28"/>
      <c r="Q730" s="28"/>
    </row>
    <row r="731" spans="1:17" ht="18.75">
      <c r="A731" s="22">
        <v>726</v>
      </c>
      <c r="B731" s="23" t="s">
        <v>121</v>
      </c>
      <c r="C731" s="23" t="s">
        <v>840</v>
      </c>
      <c r="D731" s="24">
        <v>1403721.0702</v>
      </c>
      <c r="E731" s="24">
        <v>4330535.6118999999</v>
      </c>
      <c r="F731" s="25">
        <f t="shared" si="11"/>
        <v>5734256.6820999999</v>
      </c>
      <c r="G731" s="26"/>
      <c r="H731" s="26"/>
      <c r="I731" s="28"/>
      <c r="J731" s="28"/>
      <c r="K731" s="28"/>
      <c r="L731" s="28"/>
      <c r="M731" s="26"/>
      <c r="N731" s="26"/>
      <c r="O731" s="28"/>
      <c r="P731" s="28"/>
      <c r="Q731" s="28"/>
    </row>
    <row r="732" spans="1:17" ht="18.75">
      <c r="A732" s="22">
        <v>727</v>
      </c>
      <c r="B732" s="23" t="s">
        <v>121</v>
      </c>
      <c r="C732" s="23" t="s">
        <v>842</v>
      </c>
      <c r="D732" s="24">
        <v>972428.4327</v>
      </c>
      <c r="E732" s="24">
        <v>2999980.5852999999</v>
      </c>
      <c r="F732" s="25">
        <f t="shared" si="11"/>
        <v>3972409.0180000002</v>
      </c>
      <c r="G732" s="26"/>
      <c r="H732" s="26"/>
      <c r="I732" s="28"/>
      <c r="J732" s="28"/>
      <c r="K732" s="28"/>
      <c r="L732" s="28"/>
      <c r="M732" s="26"/>
      <c r="N732" s="26"/>
      <c r="O732" s="28"/>
      <c r="P732" s="28"/>
      <c r="Q732" s="28"/>
    </row>
    <row r="733" spans="1:17" ht="18.75">
      <c r="A733" s="22">
        <v>728</v>
      </c>
      <c r="B733" s="23" t="s">
        <v>121</v>
      </c>
      <c r="C733" s="23" t="s">
        <v>844</v>
      </c>
      <c r="D733" s="24">
        <v>935308.99670000002</v>
      </c>
      <c r="E733" s="24">
        <v>2885465.6414000001</v>
      </c>
      <c r="F733" s="25">
        <f t="shared" si="11"/>
        <v>3820774.6381000001</v>
      </c>
      <c r="G733" s="26"/>
      <c r="H733" s="26"/>
      <c r="I733" s="28"/>
      <c r="J733" s="28"/>
      <c r="K733" s="28"/>
      <c r="L733" s="28"/>
      <c r="M733" s="26"/>
      <c r="N733" s="26"/>
      <c r="O733" s="28"/>
      <c r="P733" s="28"/>
      <c r="Q733" s="28"/>
    </row>
    <row r="734" spans="1:17" ht="18.75">
      <c r="A734" s="22">
        <v>729</v>
      </c>
      <c r="B734" s="23" t="s">
        <v>121</v>
      </c>
      <c r="C734" s="23" t="s">
        <v>846</v>
      </c>
      <c r="D734" s="24">
        <v>1451727.4746999999</v>
      </c>
      <c r="E734" s="24">
        <v>4478637.2885999996</v>
      </c>
      <c r="F734" s="25">
        <f t="shared" si="11"/>
        <v>5930364.7632999998</v>
      </c>
      <c r="G734" s="26"/>
      <c r="H734" s="26"/>
      <c r="I734" s="28"/>
      <c r="J734" s="28"/>
      <c r="K734" s="28"/>
      <c r="L734" s="28"/>
      <c r="M734" s="26"/>
      <c r="N734" s="26"/>
      <c r="O734" s="28"/>
      <c r="P734" s="28"/>
      <c r="Q734" s="28"/>
    </row>
    <row r="735" spans="1:17" ht="18.75">
      <c r="A735" s="22">
        <v>730</v>
      </c>
      <c r="B735" s="23" t="s">
        <v>121</v>
      </c>
      <c r="C735" s="23" t="s">
        <v>848</v>
      </c>
      <c r="D735" s="24">
        <v>1033396.6334</v>
      </c>
      <c r="E735" s="24">
        <v>3188069.9215000002</v>
      </c>
      <c r="F735" s="25">
        <f t="shared" si="11"/>
        <v>4221466.5548999999</v>
      </c>
      <c r="G735" s="26"/>
      <c r="H735" s="26"/>
      <c r="I735" s="28"/>
      <c r="J735" s="28"/>
      <c r="K735" s="28"/>
      <c r="L735" s="28"/>
      <c r="M735" s="26"/>
      <c r="N735" s="26"/>
      <c r="O735" s="28"/>
      <c r="P735" s="28"/>
      <c r="Q735" s="28"/>
    </row>
    <row r="736" spans="1:17" ht="18.75">
      <c r="A736" s="22">
        <v>731</v>
      </c>
      <c r="B736" s="23" t="s">
        <v>121</v>
      </c>
      <c r="C736" s="23" t="s">
        <v>851</v>
      </c>
      <c r="D736" s="24">
        <v>954132.75060000003</v>
      </c>
      <c r="E736" s="24">
        <v>2943537.6746</v>
      </c>
      <c r="F736" s="25">
        <f t="shared" si="11"/>
        <v>3897670.4251999999</v>
      </c>
      <c r="G736" s="26"/>
      <c r="H736" s="26"/>
      <c r="I736" s="28"/>
      <c r="J736" s="28"/>
      <c r="K736" s="28"/>
      <c r="L736" s="28"/>
      <c r="M736" s="26"/>
      <c r="N736" s="26"/>
      <c r="O736" s="28"/>
      <c r="P736" s="28"/>
      <c r="Q736" s="28"/>
    </row>
    <row r="737" spans="1:17" ht="18.75">
      <c r="A737" s="22">
        <v>732</v>
      </c>
      <c r="B737" s="23" t="s">
        <v>121</v>
      </c>
      <c r="C737" s="23" t="s">
        <v>853</v>
      </c>
      <c r="D737" s="24">
        <v>1423869.5009999999</v>
      </c>
      <c r="E737" s="24">
        <v>4392694.3261000002</v>
      </c>
      <c r="F737" s="25">
        <f t="shared" si="11"/>
        <v>5816563.8271000003</v>
      </c>
      <c r="G737" s="26"/>
      <c r="H737" s="26"/>
      <c r="I737" s="28"/>
      <c r="J737" s="28"/>
      <c r="K737" s="28"/>
      <c r="L737" s="28"/>
      <c r="M737" s="26"/>
      <c r="N737" s="26"/>
      <c r="O737" s="28"/>
      <c r="P737" s="28"/>
      <c r="Q737" s="28"/>
    </row>
    <row r="738" spans="1:17" ht="18.75">
      <c r="A738" s="22">
        <v>733</v>
      </c>
      <c r="B738" s="23" t="s">
        <v>121</v>
      </c>
      <c r="C738" s="23" t="s">
        <v>855</v>
      </c>
      <c r="D738" s="24">
        <v>1127038.7433</v>
      </c>
      <c r="E738" s="24">
        <v>3476959.5737999999</v>
      </c>
      <c r="F738" s="25">
        <f t="shared" si="11"/>
        <v>4603998.3170999996</v>
      </c>
      <c r="G738" s="26"/>
      <c r="H738" s="26"/>
      <c r="I738" s="28"/>
      <c r="J738" s="28"/>
      <c r="K738" s="28"/>
      <c r="L738" s="28"/>
      <c r="M738" s="26"/>
      <c r="N738" s="26"/>
      <c r="O738" s="28"/>
      <c r="P738" s="28"/>
      <c r="Q738" s="28"/>
    </row>
    <row r="739" spans="1:17" ht="18.75">
      <c r="A739" s="22">
        <v>734</v>
      </c>
      <c r="B739" s="23" t="s">
        <v>121</v>
      </c>
      <c r="C739" s="23" t="s">
        <v>857</v>
      </c>
      <c r="D739" s="24">
        <v>968674.7635</v>
      </c>
      <c r="E739" s="24">
        <v>2988400.3656000001</v>
      </c>
      <c r="F739" s="25">
        <f t="shared" si="11"/>
        <v>3957075.1291</v>
      </c>
      <c r="G739" s="26"/>
      <c r="H739" s="26"/>
      <c r="I739" s="28"/>
      <c r="J739" s="28"/>
      <c r="K739" s="28"/>
      <c r="L739" s="28"/>
      <c r="M739" s="26"/>
      <c r="N739" s="26"/>
      <c r="O739" s="28"/>
      <c r="P739" s="28"/>
      <c r="Q739" s="28"/>
    </row>
    <row r="740" spans="1:17" ht="18.75">
      <c r="A740" s="22">
        <v>735</v>
      </c>
      <c r="B740" s="23" t="s">
        <v>121</v>
      </c>
      <c r="C740" s="23" t="s">
        <v>859</v>
      </c>
      <c r="D740" s="24">
        <v>1387489.0249000001</v>
      </c>
      <c r="E740" s="24">
        <v>4280459.1031999998</v>
      </c>
      <c r="F740" s="25">
        <f t="shared" si="11"/>
        <v>5667948.1281000003</v>
      </c>
      <c r="G740" s="26"/>
      <c r="H740" s="26"/>
      <c r="I740" s="28"/>
      <c r="J740" s="28"/>
      <c r="K740" s="28"/>
      <c r="L740" s="28"/>
      <c r="M740" s="26"/>
      <c r="N740" s="26"/>
      <c r="O740" s="28"/>
      <c r="P740" s="28"/>
      <c r="Q740" s="28"/>
    </row>
    <row r="741" spans="1:17" ht="18.75">
      <c r="A741" s="22">
        <v>736</v>
      </c>
      <c r="B741" s="23" t="s">
        <v>121</v>
      </c>
      <c r="C741" s="23" t="s">
        <v>861</v>
      </c>
      <c r="D741" s="24">
        <v>919784.92099999997</v>
      </c>
      <c r="E741" s="24">
        <v>2837573.2474000002</v>
      </c>
      <c r="F741" s="25">
        <f t="shared" si="11"/>
        <v>3757358.1683999998</v>
      </c>
      <c r="G741" s="26"/>
      <c r="H741" s="26"/>
      <c r="I741" s="28"/>
      <c r="J741" s="28"/>
      <c r="K741" s="28"/>
      <c r="L741" s="28"/>
      <c r="M741" s="26"/>
      <c r="N741" s="26"/>
      <c r="O741" s="28"/>
      <c r="P741" s="28"/>
      <c r="Q741" s="28"/>
    </row>
    <row r="742" spans="1:17" ht="18.75">
      <c r="A742" s="22">
        <v>737</v>
      </c>
      <c r="B742" s="23" t="s">
        <v>121</v>
      </c>
      <c r="C742" s="23" t="s">
        <v>863</v>
      </c>
      <c r="D742" s="24">
        <v>997782.38630000001</v>
      </c>
      <c r="E742" s="24">
        <v>3078198.5455</v>
      </c>
      <c r="F742" s="25">
        <f t="shared" si="11"/>
        <v>4075980.9317999999</v>
      </c>
      <c r="G742" s="26"/>
      <c r="H742" s="26"/>
      <c r="I742" s="28"/>
      <c r="J742" s="28"/>
      <c r="K742" s="28"/>
      <c r="L742" s="28"/>
      <c r="M742" s="26"/>
      <c r="N742" s="26"/>
      <c r="O742" s="28"/>
      <c r="P742" s="28"/>
      <c r="Q742" s="28"/>
    </row>
    <row r="743" spans="1:17" ht="18.75">
      <c r="A743" s="22">
        <v>738</v>
      </c>
      <c r="B743" s="23" t="s">
        <v>122</v>
      </c>
      <c r="C743" s="23" t="s">
        <v>867</v>
      </c>
      <c r="D743" s="24">
        <v>1031148.7621000001</v>
      </c>
      <c r="E743" s="24">
        <v>3181135.1486999998</v>
      </c>
      <c r="F743" s="25">
        <f t="shared" si="11"/>
        <v>4212283.9107999997</v>
      </c>
      <c r="G743" s="26"/>
      <c r="H743" s="26"/>
      <c r="I743" s="28"/>
      <c r="J743" s="28"/>
      <c r="K743" s="28"/>
      <c r="L743" s="28"/>
      <c r="M743" s="26"/>
      <c r="N743" s="26"/>
      <c r="O743" s="28"/>
      <c r="P743" s="28"/>
      <c r="Q743" s="28"/>
    </row>
    <row r="744" spans="1:17" ht="18.75">
      <c r="A744" s="22">
        <v>739</v>
      </c>
      <c r="B744" s="23" t="s">
        <v>122</v>
      </c>
      <c r="C744" s="23" t="s">
        <v>869</v>
      </c>
      <c r="D744" s="24">
        <v>1141068.1924000001</v>
      </c>
      <c r="E744" s="24">
        <v>3520240.9849</v>
      </c>
      <c r="F744" s="25">
        <f t="shared" si="11"/>
        <v>4661309.1772999996</v>
      </c>
      <c r="G744" s="26"/>
      <c r="H744" s="26"/>
      <c r="I744" s="28"/>
      <c r="J744" s="28"/>
      <c r="K744" s="28"/>
      <c r="L744" s="28"/>
      <c r="M744" s="26"/>
      <c r="N744" s="26"/>
      <c r="O744" s="28"/>
      <c r="P744" s="28"/>
      <c r="Q744" s="28"/>
    </row>
    <row r="745" spans="1:17" ht="18.75">
      <c r="A745" s="22">
        <v>740</v>
      </c>
      <c r="B745" s="23" t="s">
        <v>122</v>
      </c>
      <c r="C745" s="23" t="s">
        <v>871</v>
      </c>
      <c r="D745" s="24">
        <v>955404.87639999995</v>
      </c>
      <c r="E745" s="24">
        <v>2947462.2335999999</v>
      </c>
      <c r="F745" s="25">
        <f t="shared" si="11"/>
        <v>3902867.11</v>
      </c>
      <c r="G745" s="26"/>
      <c r="H745" s="26"/>
      <c r="I745" s="28"/>
      <c r="J745" s="28"/>
      <c r="K745" s="28"/>
      <c r="L745" s="28"/>
      <c r="M745" s="26"/>
      <c r="N745" s="26"/>
      <c r="O745" s="28"/>
      <c r="P745" s="28"/>
      <c r="Q745" s="28"/>
    </row>
    <row r="746" spans="1:17" ht="18.75">
      <c r="A746" s="22">
        <v>741</v>
      </c>
      <c r="B746" s="23" t="s">
        <v>122</v>
      </c>
      <c r="C746" s="23" t="s">
        <v>873</v>
      </c>
      <c r="D746" s="24">
        <v>1069705.1385999999</v>
      </c>
      <c r="E746" s="24">
        <v>3300083.1113</v>
      </c>
      <c r="F746" s="25">
        <f t="shared" si="11"/>
        <v>4369788.2499000002</v>
      </c>
      <c r="G746" s="26"/>
      <c r="H746" s="26"/>
      <c r="I746" s="28"/>
      <c r="J746" s="28"/>
      <c r="K746" s="28"/>
      <c r="L746" s="28"/>
      <c r="M746" s="26"/>
      <c r="N746" s="26"/>
      <c r="O746" s="28"/>
      <c r="P746" s="28"/>
      <c r="Q746" s="28"/>
    </row>
    <row r="747" spans="1:17" ht="18.75">
      <c r="A747" s="22">
        <v>742</v>
      </c>
      <c r="B747" s="23" t="s">
        <v>122</v>
      </c>
      <c r="C747" s="23" t="s">
        <v>875</v>
      </c>
      <c r="D747" s="24">
        <v>1500343.2897999999</v>
      </c>
      <c r="E747" s="24">
        <v>4628619.0214</v>
      </c>
      <c r="F747" s="25">
        <f t="shared" si="11"/>
        <v>6128962.3112000003</v>
      </c>
      <c r="G747" s="26"/>
      <c r="H747" s="26"/>
      <c r="I747" s="28"/>
      <c r="J747" s="28"/>
      <c r="K747" s="28"/>
      <c r="L747" s="28"/>
      <c r="M747" s="26"/>
      <c r="N747" s="26"/>
      <c r="O747" s="28"/>
      <c r="P747" s="28"/>
      <c r="Q747" s="28"/>
    </row>
    <row r="748" spans="1:17" ht="18.75">
      <c r="A748" s="22">
        <v>743</v>
      </c>
      <c r="B748" s="23" t="s">
        <v>122</v>
      </c>
      <c r="C748" s="23" t="s">
        <v>877</v>
      </c>
      <c r="D748" s="24">
        <v>1243397.0821</v>
      </c>
      <c r="E748" s="24">
        <v>3835929.7</v>
      </c>
      <c r="F748" s="25">
        <f t="shared" si="11"/>
        <v>5079326.7821000004</v>
      </c>
      <c r="G748" s="26"/>
      <c r="H748" s="26"/>
      <c r="I748" s="28"/>
      <c r="J748" s="28"/>
      <c r="K748" s="28"/>
      <c r="L748" s="28"/>
      <c r="M748" s="26"/>
      <c r="N748" s="26"/>
      <c r="O748" s="28"/>
      <c r="P748" s="28"/>
      <c r="Q748" s="28"/>
    </row>
    <row r="749" spans="1:17" ht="18.75">
      <c r="A749" s="22">
        <v>744</v>
      </c>
      <c r="B749" s="23" t="s">
        <v>122</v>
      </c>
      <c r="C749" s="23" t="s">
        <v>879</v>
      </c>
      <c r="D749" s="24">
        <v>1144758.6121</v>
      </c>
      <c r="E749" s="24">
        <v>3531626.0772000002</v>
      </c>
      <c r="F749" s="25">
        <f t="shared" si="11"/>
        <v>4676384.6892999997</v>
      </c>
      <c r="G749" s="26"/>
      <c r="H749" s="26"/>
      <c r="I749" s="28"/>
      <c r="J749" s="28"/>
      <c r="K749" s="28"/>
      <c r="L749" s="28"/>
      <c r="M749" s="26"/>
      <c r="N749" s="26"/>
      <c r="O749" s="28"/>
      <c r="P749" s="28"/>
      <c r="Q749" s="28"/>
    </row>
    <row r="750" spans="1:17" ht="18.75">
      <c r="A750" s="22">
        <v>745</v>
      </c>
      <c r="B750" s="23" t="s">
        <v>122</v>
      </c>
      <c r="C750" s="23" t="s">
        <v>881</v>
      </c>
      <c r="D750" s="24">
        <v>994560.42859999998</v>
      </c>
      <c r="E750" s="24">
        <v>3068258.6771999998</v>
      </c>
      <c r="F750" s="25">
        <f t="shared" si="11"/>
        <v>4062819.1058</v>
      </c>
      <c r="G750" s="26"/>
      <c r="H750" s="26"/>
      <c r="I750" s="28"/>
      <c r="J750" s="28"/>
      <c r="K750" s="28"/>
      <c r="L750" s="28"/>
      <c r="M750" s="26"/>
      <c r="N750" s="26"/>
      <c r="O750" s="28"/>
      <c r="P750" s="28"/>
      <c r="Q750" s="28"/>
    </row>
    <row r="751" spans="1:17" ht="18.75">
      <c r="A751" s="22">
        <v>746</v>
      </c>
      <c r="B751" s="23" t="s">
        <v>122</v>
      </c>
      <c r="C751" s="23" t="s">
        <v>883</v>
      </c>
      <c r="D751" s="24">
        <v>1311666.067</v>
      </c>
      <c r="E751" s="24">
        <v>4046542.2472000001</v>
      </c>
      <c r="F751" s="25">
        <f t="shared" si="11"/>
        <v>5358208.3141999999</v>
      </c>
      <c r="G751" s="26"/>
      <c r="H751" s="26"/>
      <c r="I751" s="28"/>
      <c r="J751" s="28"/>
      <c r="K751" s="28"/>
      <c r="L751" s="28"/>
      <c r="M751" s="26"/>
      <c r="N751" s="26"/>
      <c r="O751" s="28"/>
      <c r="P751" s="28"/>
      <c r="Q751" s="28"/>
    </row>
    <row r="752" spans="1:17" ht="18.75">
      <c r="A752" s="22">
        <v>747</v>
      </c>
      <c r="B752" s="23" t="s">
        <v>122</v>
      </c>
      <c r="C752" s="23" t="s">
        <v>885</v>
      </c>
      <c r="D752" s="24">
        <v>925058.51599999995</v>
      </c>
      <c r="E752" s="24">
        <v>2853842.4988000002</v>
      </c>
      <c r="F752" s="25">
        <f t="shared" si="11"/>
        <v>3778901.0148</v>
      </c>
      <c r="G752" s="26"/>
      <c r="H752" s="26"/>
      <c r="I752" s="28"/>
      <c r="J752" s="28"/>
      <c r="K752" s="28"/>
      <c r="L752" s="28"/>
      <c r="M752" s="26"/>
      <c r="N752" s="26"/>
      <c r="O752" s="28"/>
      <c r="P752" s="28"/>
      <c r="Q752" s="28"/>
    </row>
    <row r="753" spans="1:17" ht="18.75">
      <c r="A753" s="22">
        <v>748</v>
      </c>
      <c r="B753" s="23" t="s">
        <v>122</v>
      </c>
      <c r="C753" s="23" t="s">
        <v>887</v>
      </c>
      <c r="D753" s="24">
        <v>886058.9804</v>
      </c>
      <c r="E753" s="24">
        <v>2733527.3725000001</v>
      </c>
      <c r="F753" s="25">
        <f t="shared" si="11"/>
        <v>3619586.3528999998</v>
      </c>
      <c r="G753" s="26"/>
      <c r="H753" s="26"/>
      <c r="I753" s="28"/>
      <c r="J753" s="28"/>
      <c r="K753" s="28"/>
      <c r="L753" s="28"/>
      <c r="M753" s="26"/>
      <c r="N753" s="26"/>
      <c r="O753" s="28"/>
      <c r="P753" s="28"/>
      <c r="Q753" s="28"/>
    </row>
    <row r="754" spans="1:17" ht="18.75">
      <c r="A754" s="22">
        <v>749</v>
      </c>
      <c r="B754" s="23" t="s">
        <v>122</v>
      </c>
      <c r="C754" s="23" t="s">
        <v>889</v>
      </c>
      <c r="D754" s="24">
        <v>949990.72900000005</v>
      </c>
      <c r="E754" s="24">
        <v>2930759.3724000002</v>
      </c>
      <c r="F754" s="25">
        <f t="shared" si="11"/>
        <v>3880750.1014</v>
      </c>
      <c r="G754" s="26"/>
      <c r="H754" s="26"/>
      <c r="I754" s="28"/>
      <c r="J754" s="28"/>
      <c r="K754" s="28"/>
      <c r="L754" s="28"/>
      <c r="M754" s="26"/>
      <c r="N754" s="26"/>
      <c r="O754" s="28"/>
      <c r="P754" s="28"/>
      <c r="Q754" s="28"/>
    </row>
    <row r="755" spans="1:17" ht="18.75">
      <c r="A755" s="22">
        <v>750</v>
      </c>
      <c r="B755" s="23" t="s">
        <v>122</v>
      </c>
      <c r="C755" s="23" t="s">
        <v>891</v>
      </c>
      <c r="D755" s="24">
        <v>1033227.2762</v>
      </c>
      <c r="E755" s="24">
        <v>3187547.4476000001</v>
      </c>
      <c r="F755" s="25">
        <f t="shared" si="11"/>
        <v>4220774.7237999998</v>
      </c>
      <c r="G755" s="26"/>
      <c r="H755" s="26"/>
      <c r="I755" s="28"/>
      <c r="J755" s="28"/>
      <c r="K755" s="28"/>
      <c r="L755" s="28"/>
      <c r="M755" s="26"/>
      <c r="N755" s="26"/>
      <c r="O755" s="28"/>
      <c r="P755" s="28"/>
      <c r="Q755" s="28"/>
    </row>
    <row r="756" spans="1:17" ht="18.75">
      <c r="A756" s="22">
        <v>751</v>
      </c>
      <c r="B756" s="23" t="s">
        <v>122</v>
      </c>
      <c r="C756" s="23" t="s">
        <v>893</v>
      </c>
      <c r="D756" s="24">
        <v>1136949.0789000001</v>
      </c>
      <c r="E756" s="24">
        <v>3507533.3550999998</v>
      </c>
      <c r="F756" s="25">
        <f t="shared" si="11"/>
        <v>4644482.4340000004</v>
      </c>
      <c r="G756" s="26"/>
      <c r="H756" s="26"/>
      <c r="I756" s="28"/>
      <c r="J756" s="28"/>
      <c r="K756" s="28"/>
      <c r="L756" s="28"/>
      <c r="M756" s="26"/>
      <c r="N756" s="26"/>
      <c r="O756" s="28"/>
      <c r="P756" s="28"/>
      <c r="Q756" s="28"/>
    </row>
    <row r="757" spans="1:17" ht="18.75">
      <c r="A757" s="22">
        <v>752</v>
      </c>
      <c r="B757" s="23" t="s">
        <v>122</v>
      </c>
      <c r="C757" s="23" t="s">
        <v>895</v>
      </c>
      <c r="D757" s="24">
        <v>1054508.8994</v>
      </c>
      <c r="E757" s="24">
        <v>3253202.1058999998</v>
      </c>
      <c r="F757" s="25">
        <f t="shared" si="11"/>
        <v>4307711.0053000003</v>
      </c>
      <c r="G757" s="26"/>
      <c r="H757" s="26"/>
      <c r="I757" s="28"/>
      <c r="J757" s="28"/>
      <c r="K757" s="28"/>
      <c r="L757" s="28"/>
      <c r="M757" s="26"/>
      <c r="N757" s="26"/>
      <c r="O757" s="28"/>
      <c r="P757" s="28"/>
      <c r="Q757" s="28"/>
    </row>
    <row r="758" spans="1:17" ht="18.75">
      <c r="A758" s="22">
        <v>753</v>
      </c>
      <c r="B758" s="23" t="s">
        <v>122</v>
      </c>
      <c r="C758" s="23" t="s">
        <v>897</v>
      </c>
      <c r="D758" s="24">
        <v>1098979.0088</v>
      </c>
      <c r="E758" s="24">
        <v>3390394.1710000001</v>
      </c>
      <c r="F758" s="25">
        <f t="shared" si="11"/>
        <v>4489373.1798</v>
      </c>
      <c r="G758" s="26"/>
      <c r="H758" s="26"/>
      <c r="I758" s="28"/>
      <c r="J758" s="28"/>
      <c r="K758" s="28"/>
      <c r="L758" s="28"/>
      <c r="M758" s="26"/>
      <c r="N758" s="26"/>
      <c r="O758" s="28"/>
      <c r="P758" s="28"/>
      <c r="Q758" s="28"/>
    </row>
    <row r="759" spans="1:17" ht="18.75">
      <c r="A759" s="22">
        <v>754</v>
      </c>
      <c r="B759" s="23" t="s">
        <v>122</v>
      </c>
      <c r="C759" s="23" t="s">
        <v>899</v>
      </c>
      <c r="D759" s="24">
        <v>1096367.4502000001</v>
      </c>
      <c r="E759" s="24">
        <v>3382337.4082999998</v>
      </c>
      <c r="F759" s="25">
        <f t="shared" si="11"/>
        <v>4478704.8585000001</v>
      </c>
      <c r="G759" s="26"/>
      <c r="H759" s="26"/>
      <c r="I759" s="28"/>
      <c r="J759" s="28"/>
      <c r="K759" s="28"/>
      <c r="L759" s="28"/>
      <c r="M759" s="26"/>
      <c r="N759" s="26"/>
      <c r="O759" s="28"/>
      <c r="P759" s="28"/>
      <c r="Q759" s="28"/>
    </row>
    <row r="760" spans="1:17" ht="18.75">
      <c r="A760" s="22">
        <v>755</v>
      </c>
      <c r="B760" s="23" t="s">
        <v>123</v>
      </c>
      <c r="C760" s="23" t="s">
        <v>902</v>
      </c>
      <c r="D760" s="24">
        <v>1031978.2526</v>
      </c>
      <c r="E760" s="24">
        <v>3183694.1601999998</v>
      </c>
      <c r="F760" s="25">
        <f t="shared" si="11"/>
        <v>4215672.4128</v>
      </c>
      <c r="G760" s="26"/>
      <c r="H760" s="26"/>
      <c r="I760" s="28"/>
      <c r="J760" s="28"/>
      <c r="K760" s="28"/>
      <c r="L760" s="28"/>
      <c r="M760" s="26"/>
      <c r="N760" s="26"/>
      <c r="O760" s="28"/>
      <c r="P760" s="28"/>
      <c r="Q760" s="28"/>
    </row>
    <row r="761" spans="1:17" ht="18.75">
      <c r="A761" s="22">
        <v>756</v>
      </c>
      <c r="B761" s="23" t="s">
        <v>123</v>
      </c>
      <c r="C761" s="23" t="s">
        <v>904</v>
      </c>
      <c r="D761" s="24">
        <v>999212.87450000003</v>
      </c>
      <c r="E761" s="24">
        <v>3082611.659</v>
      </c>
      <c r="F761" s="25">
        <f t="shared" si="11"/>
        <v>4081824.5334999999</v>
      </c>
      <c r="G761" s="26"/>
      <c r="H761" s="26"/>
      <c r="I761" s="28"/>
      <c r="J761" s="28"/>
      <c r="K761" s="28"/>
      <c r="L761" s="28"/>
      <c r="M761" s="26"/>
      <c r="N761" s="26"/>
      <c r="O761" s="28"/>
      <c r="P761" s="28"/>
      <c r="Q761" s="28"/>
    </row>
    <row r="762" spans="1:17" ht="18.75">
      <c r="A762" s="22">
        <v>757</v>
      </c>
      <c r="B762" s="23" t="s">
        <v>123</v>
      </c>
      <c r="C762" s="23" t="s">
        <v>906</v>
      </c>
      <c r="D762" s="24">
        <v>1179234.8605</v>
      </c>
      <c r="E762" s="24">
        <v>3637986.6814999999</v>
      </c>
      <c r="F762" s="25">
        <f t="shared" si="11"/>
        <v>4817221.5420000004</v>
      </c>
      <c r="G762" s="26"/>
      <c r="H762" s="26"/>
      <c r="I762" s="28"/>
      <c r="J762" s="28"/>
      <c r="K762" s="28"/>
      <c r="L762" s="28"/>
      <c r="M762" s="26"/>
      <c r="N762" s="26"/>
      <c r="O762" s="28"/>
      <c r="P762" s="28"/>
      <c r="Q762" s="28"/>
    </row>
    <row r="763" spans="1:17" ht="18.75">
      <c r="A763" s="22">
        <v>758</v>
      </c>
      <c r="B763" s="23" t="s">
        <v>123</v>
      </c>
      <c r="C763" s="23" t="s">
        <v>908</v>
      </c>
      <c r="D763" s="24">
        <v>1301531.2619</v>
      </c>
      <c r="E763" s="24">
        <v>4015275.9684000001</v>
      </c>
      <c r="F763" s="25">
        <f t="shared" si="11"/>
        <v>5316807.2302999999</v>
      </c>
      <c r="G763" s="26"/>
      <c r="H763" s="26"/>
      <c r="I763" s="28"/>
      <c r="J763" s="28"/>
      <c r="K763" s="28"/>
      <c r="L763" s="28"/>
      <c r="M763" s="26"/>
      <c r="N763" s="26"/>
      <c r="O763" s="28"/>
      <c r="P763" s="28"/>
      <c r="Q763" s="28"/>
    </row>
    <row r="764" spans="1:17" ht="18.75">
      <c r="A764" s="22">
        <v>759</v>
      </c>
      <c r="B764" s="23" t="s">
        <v>123</v>
      </c>
      <c r="C764" s="23" t="s">
        <v>910</v>
      </c>
      <c r="D764" s="24">
        <v>1132844.257</v>
      </c>
      <c r="E764" s="24">
        <v>3494869.8155</v>
      </c>
      <c r="F764" s="25">
        <f t="shared" si="11"/>
        <v>4627714.0724999998</v>
      </c>
      <c r="G764" s="26"/>
      <c r="H764" s="26"/>
      <c r="I764" s="28"/>
      <c r="J764" s="28"/>
      <c r="K764" s="28"/>
      <c r="L764" s="28"/>
      <c r="M764" s="26"/>
      <c r="N764" s="26"/>
      <c r="O764" s="28"/>
      <c r="P764" s="28"/>
      <c r="Q764" s="28"/>
    </row>
    <row r="765" spans="1:17" ht="18.75">
      <c r="A765" s="22">
        <v>760</v>
      </c>
      <c r="B765" s="23" t="s">
        <v>123</v>
      </c>
      <c r="C765" s="23" t="s">
        <v>912</v>
      </c>
      <c r="D765" s="24">
        <v>1573019.5222</v>
      </c>
      <c r="E765" s="24">
        <v>4852828.1036999999</v>
      </c>
      <c r="F765" s="25">
        <f t="shared" si="11"/>
        <v>6425847.6259000003</v>
      </c>
      <c r="G765" s="26"/>
      <c r="H765" s="26"/>
      <c r="I765" s="28"/>
      <c r="J765" s="28"/>
      <c r="K765" s="28"/>
      <c r="L765" s="28"/>
      <c r="M765" s="26"/>
      <c r="N765" s="26"/>
      <c r="O765" s="28"/>
      <c r="P765" s="28"/>
      <c r="Q765" s="28"/>
    </row>
    <row r="766" spans="1:17" ht="37.5">
      <c r="A766" s="22">
        <v>761</v>
      </c>
      <c r="B766" s="23" t="s">
        <v>123</v>
      </c>
      <c r="C766" s="23" t="s">
        <v>914</v>
      </c>
      <c r="D766" s="24">
        <v>1194640.0830999999</v>
      </c>
      <c r="E766" s="24">
        <v>3685512.409</v>
      </c>
      <c r="F766" s="25">
        <f t="shared" si="11"/>
        <v>4880152.4921000004</v>
      </c>
      <c r="G766" s="26"/>
      <c r="H766" s="26"/>
      <c r="I766" s="28"/>
      <c r="J766" s="28"/>
      <c r="K766" s="28"/>
      <c r="L766" s="28"/>
      <c r="M766" s="26"/>
      <c r="N766" s="26"/>
      <c r="O766" s="28"/>
      <c r="P766" s="28"/>
      <c r="Q766" s="28"/>
    </row>
    <row r="767" spans="1:17" ht="18.75">
      <c r="A767" s="22">
        <v>762</v>
      </c>
      <c r="B767" s="23" t="s">
        <v>123</v>
      </c>
      <c r="C767" s="23" t="s">
        <v>829</v>
      </c>
      <c r="D767" s="24">
        <v>1083863.8321</v>
      </c>
      <c r="E767" s="24">
        <v>3343763.2467999998</v>
      </c>
      <c r="F767" s="25">
        <f t="shared" si="11"/>
        <v>4427627.0789000001</v>
      </c>
      <c r="G767" s="26"/>
      <c r="H767" s="26"/>
      <c r="I767" s="28"/>
      <c r="J767" s="28"/>
      <c r="K767" s="28"/>
      <c r="L767" s="28"/>
      <c r="M767" s="26"/>
      <c r="N767" s="26"/>
      <c r="O767" s="28"/>
      <c r="P767" s="28"/>
      <c r="Q767" s="28"/>
    </row>
    <row r="768" spans="1:17" ht="18.75">
      <c r="A768" s="22">
        <v>763</v>
      </c>
      <c r="B768" s="23" t="s">
        <v>123</v>
      </c>
      <c r="C768" s="23" t="s">
        <v>917</v>
      </c>
      <c r="D768" s="24">
        <v>1171687.4531</v>
      </c>
      <c r="E768" s="24">
        <v>3614702.628</v>
      </c>
      <c r="F768" s="25">
        <f t="shared" si="11"/>
        <v>4786390.0811000001</v>
      </c>
      <c r="G768" s="26"/>
      <c r="H768" s="26"/>
      <c r="I768" s="28"/>
      <c r="J768" s="28"/>
      <c r="K768" s="28"/>
      <c r="L768" s="28"/>
      <c r="M768" s="26"/>
      <c r="N768" s="26"/>
      <c r="O768" s="28"/>
      <c r="P768" s="28"/>
      <c r="Q768" s="28"/>
    </row>
    <row r="769" spans="1:17" ht="18.75">
      <c r="A769" s="22">
        <v>764</v>
      </c>
      <c r="B769" s="23" t="s">
        <v>123</v>
      </c>
      <c r="C769" s="23" t="s">
        <v>919</v>
      </c>
      <c r="D769" s="24">
        <v>1546531.8832</v>
      </c>
      <c r="E769" s="24">
        <v>4771112.6782999998</v>
      </c>
      <c r="F769" s="25">
        <f t="shared" si="11"/>
        <v>6317644.5614999998</v>
      </c>
      <c r="G769" s="26"/>
      <c r="H769" s="26"/>
      <c r="I769" s="28"/>
      <c r="J769" s="28"/>
      <c r="K769" s="28"/>
      <c r="L769" s="28"/>
      <c r="M769" s="26"/>
      <c r="N769" s="26"/>
      <c r="O769" s="28"/>
      <c r="P769" s="28"/>
      <c r="Q769" s="28"/>
    </row>
    <row r="770" spans="1:17" ht="18.75">
      <c r="A770" s="22">
        <v>765</v>
      </c>
      <c r="B770" s="23" t="s">
        <v>123</v>
      </c>
      <c r="C770" s="23" t="s">
        <v>921</v>
      </c>
      <c r="D770" s="24">
        <v>965623.52650000004</v>
      </c>
      <c r="E770" s="24">
        <v>2978987.1776000001</v>
      </c>
      <c r="F770" s="25">
        <f t="shared" si="11"/>
        <v>3944610.7041000002</v>
      </c>
      <c r="G770" s="26"/>
      <c r="H770" s="26"/>
      <c r="I770" s="28"/>
      <c r="J770" s="28"/>
      <c r="K770" s="28"/>
      <c r="L770" s="28"/>
      <c r="M770" s="26"/>
      <c r="N770" s="26"/>
      <c r="O770" s="28"/>
      <c r="P770" s="28"/>
      <c r="Q770" s="28"/>
    </row>
    <row r="771" spans="1:17" ht="37.5">
      <c r="A771" s="22">
        <v>766</v>
      </c>
      <c r="B771" s="23" t="s">
        <v>123</v>
      </c>
      <c r="C771" s="23" t="s">
        <v>923</v>
      </c>
      <c r="D771" s="24">
        <v>1115311.1335</v>
      </c>
      <c r="E771" s="24">
        <v>3440779.4286000002</v>
      </c>
      <c r="F771" s="25">
        <f t="shared" si="11"/>
        <v>4556090.5620999997</v>
      </c>
      <c r="G771" s="26"/>
      <c r="H771" s="26"/>
      <c r="I771" s="28"/>
      <c r="J771" s="28"/>
      <c r="K771" s="28"/>
      <c r="L771" s="28"/>
      <c r="M771" s="26"/>
      <c r="N771" s="26"/>
      <c r="O771" s="28"/>
      <c r="P771" s="28"/>
      <c r="Q771" s="28"/>
    </row>
    <row r="772" spans="1:17" ht="18.75">
      <c r="A772" s="22">
        <v>767</v>
      </c>
      <c r="B772" s="23" t="s">
        <v>123</v>
      </c>
      <c r="C772" s="23" t="s">
        <v>925</v>
      </c>
      <c r="D772" s="24">
        <v>1181635.4811</v>
      </c>
      <c r="E772" s="24">
        <v>3645392.6921999999</v>
      </c>
      <c r="F772" s="25">
        <f t="shared" si="11"/>
        <v>4827028.1732999999</v>
      </c>
      <c r="G772" s="26"/>
      <c r="H772" s="26"/>
      <c r="I772" s="28"/>
      <c r="J772" s="28"/>
      <c r="K772" s="28"/>
      <c r="L772" s="28"/>
      <c r="M772" s="26"/>
      <c r="N772" s="26"/>
      <c r="O772" s="28"/>
      <c r="P772" s="28"/>
      <c r="Q772" s="28"/>
    </row>
    <row r="773" spans="1:17" ht="18.75">
      <c r="A773" s="22">
        <v>768</v>
      </c>
      <c r="B773" s="23" t="s">
        <v>123</v>
      </c>
      <c r="C773" s="23" t="s">
        <v>927</v>
      </c>
      <c r="D773" s="24">
        <v>1305006.4842999999</v>
      </c>
      <c r="E773" s="24">
        <v>4025997.1685000001</v>
      </c>
      <c r="F773" s="25">
        <f t="shared" si="11"/>
        <v>5331003.6528000003</v>
      </c>
      <c r="G773" s="26"/>
      <c r="H773" s="26"/>
      <c r="I773" s="28"/>
      <c r="J773" s="28"/>
      <c r="K773" s="28"/>
      <c r="L773" s="28"/>
      <c r="M773" s="26"/>
      <c r="N773" s="26"/>
      <c r="O773" s="28"/>
      <c r="P773" s="28"/>
      <c r="Q773" s="28"/>
    </row>
    <row r="774" spans="1:17" ht="18.75">
      <c r="A774" s="22">
        <v>769</v>
      </c>
      <c r="B774" s="23" t="s">
        <v>931</v>
      </c>
      <c r="C774" s="23" t="s">
        <v>932</v>
      </c>
      <c r="D774" s="24">
        <v>862049.1274</v>
      </c>
      <c r="E774" s="24">
        <v>2659456.0164000001</v>
      </c>
      <c r="F774" s="25">
        <f t="shared" si="11"/>
        <v>3521505.1438000002</v>
      </c>
      <c r="G774" s="26"/>
      <c r="H774" s="26"/>
      <c r="I774" s="28"/>
      <c r="J774" s="28"/>
      <c r="K774" s="28"/>
      <c r="L774" s="28"/>
      <c r="M774" s="26"/>
      <c r="N774" s="26"/>
      <c r="O774" s="28"/>
      <c r="P774" s="28"/>
      <c r="Q774" s="28"/>
    </row>
    <row r="775" spans="1:17" ht="37.5">
      <c r="A775" s="22">
        <v>770</v>
      </c>
      <c r="B775" s="23" t="s">
        <v>931</v>
      </c>
      <c r="C775" s="23" t="s">
        <v>934</v>
      </c>
      <c r="D775" s="24">
        <v>2200607.3824999998</v>
      </c>
      <c r="E775" s="24">
        <v>6788961.7388000004</v>
      </c>
      <c r="F775" s="25">
        <f t="shared" ref="F775:F779" si="12">D775+E775</f>
        <v>8989569.1213000007</v>
      </c>
      <c r="G775" s="26"/>
      <c r="H775" s="26"/>
      <c r="I775" s="28"/>
      <c r="J775" s="28"/>
      <c r="K775" s="28"/>
      <c r="L775" s="28"/>
      <c r="M775" s="26"/>
      <c r="N775" s="26"/>
      <c r="O775" s="28"/>
      <c r="P775" s="28"/>
      <c r="Q775" s="28"/>
    </row>
    <row r="776" spans="1:17" ht="18.75">
      <c r="A776" s="22">
        <v>771</v>
      </c>
      <c r="B776" s="23" t="s">
        <v>931</v>
      </c>
      <c r="C776" s="23" t="s">
        <v>936</v>
      </c>
      <c r="D776" s="24">
        <v>1239541.9597</v>
      </c>
      <c r="E776" s="24">
        <v>3824036.4934</v>
      </c>
      <c r="F776" s="25">
        <f t="shared" si="12"/>
        <v>5063578.4530999996</v>
      </c>
      <c r="G776" s="26"/>
      <c r="H776" s="26"/>
      <c r="I776" s="28"/>
      <c r="J776" s="28"/>
      <c r="K776" s="28"/>
      <c r="L776" s="28"/>
      <c r="M776" s="26"/>
      <c r="N776" s="26"/>
      <c r="O776" s="28"/>
      <c r="P776" s="28"/>
      <c r="Q776" s="28"/>
    </row>
    <row r="777" spans="1:17" ht="18.75">
      <c r="A777" s="22">
        <v>772</v>
      </c>
      <c r="B777" s="23" t="s">
        <v>931</v>
      </c>
      <c r="C777" s="23" t="s">
        <v>938</v>
      </c>
      <c r="D777" s="24">
        <v>1062303.8928</v>
      </c>
      <c r="E777" s="24">
        <v>3277249.9723</v>
      </c>
      <c r="F777" s="25">
        <f t="shared" si="12"/>
        <v>4339553.8651000001</v>
      </c>
      <c r="G777" s="26"/>
      <c r="H777" s="26"/>
      <c r="I777" s="28"/>
      <c r="J777" s="28"/>
      <c r="K777" s="28"/>
      <c r="L777" s="28"/>
      <c r="M777" s="26"/>
      <c r="N777" s="26"/>
      <c r="O777" s="28"/>
      <c r="P777" s="28"/>
      <c r="Q777" s="28"/>
    </row>
    <row r="778" spans="1:17" ht="18.75">
      <c r="A778" s="22">
        <v>773</v>
      </c>
      <c r="B778" s="23" t="s">
        <v>931</v>
      </c>
      <c r="C778" s="23" t="s">
        <v>940</v>
      </c>
      <c r="D778" s="24">
        <v>1009369.3297</v>
      </c>
      <c r="E778" s="24">
        <v>3113944.7291000001</v>
      </c>
      <c r="F778" s="25">
        <f t="shared" si="12"/>
        <v>4123314.0588000002</v>
      </c>
      <c r="G778" s="26"/>
      <c r="H778" s="26"/>
      <c r="I778" s="28"/>
      <c r="J778" s="28"/>
      <c r="K778" s="28"/>
      <c r="L778" s="28"/>
      <c r="M778" s="26"/>
      <c r="N778" s="26"/>
      <c r="O778" s="28"/>
      <c r="P778" s="28"/>
      <c r="Q778" s="28"/>
    </row>
    <row r="779" spans="1:17" ht="18.75">
      <c r="A779" s="22">
        <v>774</v>
      </c>
      <c r="B779" s="23" t="s">
        <v>931</v>
      </c>
      <c r="C779" s="23" t="s">
        <v>942</v>
      </c>
      <c r="D779" s="24">
        <v>1038275.5995</v>
      </c>
      <c r="E779" s="24">
        <v>3203121.7269000001</v>
      </c>
      <c r="F779" s="25">
        <f t="shared" si="12"/>
        <v>4241397.3263999997</v>
      </c>
      <c r="G779" s="26"/>
      <c r="H779" s="26"/>
      <c r="I779" s="28"/>
      <c r="J779" s="28"/>
      <c r="K779" s="28"/>
      <c r="L779" s="28"/>
      <c r="M779" s="26"/>
      <c r="N779" s="26"/>
      <c r="O779" s="28"/>
      <c r="P779" s="28"/>
      <c r="Q779" s="28"/>
    </row>
    <row r="780" spans="1:17" ht="18.75">
      <c r="A780" s="29"/>
      <c r="B780" s="206" t="s">
        <v>44</v>
      </c>
      <c r="C780" s="207"/>
      <c r="D780" s="13">
        <f>SUM(D6:D779)</f>
        <v>815767565.34940004</v>
      </c>
      <c r="E780" s="13">
        <f t="shared" ref="E780:F780" si="13">SUM(E6:E779)</f>
        <v>2516675547.3846998</v>
      </c>
      <c r="F780" s="13">
        <f t="shared" si="13"/>
        <v>3332443112.7340999</v>
      </c>
    </row>
  </sheetData>
  <mergeCells count="4">
    <mergeCell ref="A1:F1"/>
    <mergeCell ref="A2:F2"/>
    <mergeCell ref="A3:F3"/>
    <mergeCell ref="B780:C780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3"/>
  <sheetViews>
    <sheetView workbookViewId="0">
      <selection activeCell="A4" sqref="A4"/>
    </sheetView>
  </sheetViews>
  <sheetFormatPr defaultColWidth="9" defaultRowHeight="12.75"/>
  <cols>
    <col min="1" max="1" width="5" customWidth="1"/>
    <col min="2" max="3" width="20.28515625" customWidth="1"/>
    <col min="4" max="4" width="22.140625" customWidth="1"/>
    <col min="5" max="5" width="22" customWidth="1"/>
  </cols>
  <sheetData>
    <row r="1" spans="1:5" ht="20.25">
      <c r="A1" s="170" t="s">
        <v>17</v>
      </c>
      <c r="B1" s="170"/>
      <c r="C1" s="170"/>
      <c r="D1" s="170"/>
      <c r="E1" s="170"/>
    </row>
    <row r="2" spans="1:5" ht="20.25">
      <c r="A2" s="170" t="s">
        <v>62</v>
      </c>
      <c r="B2" s="170"/>
      <c r="C2" s="170"/>
      <c r="D2" s="170"/>
      <c r="E2" s="170"/>
    </row>
    <row r="3" spans="1:5" ht="48" customHeight="1">
      <c r="A3" s="210" t="s">
        <v>961</v>
      </c>
      <c r="B3" s="210"/>
      <c r="C3" s="210"/>
      <c r="D3" s="210"/>
      <c r="E3" s="210"/>
    </row>
    <row r="4" spans="1:5" ht="56.25">
      <c r="A4" s="2" t="s">
        <v>953</v>
      </c>
      <c r="B4" s="2" t="s">
        <v>958</v>
      </c>
      <c r="C4" s="3" t="s">
        <v>954</v>
      </c>
      <c r="D4" s="4" t="s">
        <v>955</v>
      </c>
      <c r="E4" s="5" t="s">
        <v>949</v>
      </c>
    </row>
    <row r="5" spans="1:5" ht="15.75">
      <c r="A5" s="6"/>
      <c r="B5" s="6"/>
      <c r="C5" s="149" t="s">
        <v>28</v>
      </c>
      <c r="D5" s="149" t="s">
        <v>28</v>
      </c>
      <c r="E5" s="149" t="s">
        <v>28</v>
      </c>
    </row>
    <row r="6" spans="1:5" ht="18.75">
      <c r="A6" s="8">
        <v>1</v>
      </c>
      <c r="B6" s="9" t="s">
        <v>962</v>
      </c>
      <c r="C6" s="10">
        <v>16932209.550000001</v>
      </c>
      <c r="D6" s="10">
        <v>52236543.289999999</v>
      </c>
      <c r="E6" s="11">
        <f t="shared" ref="E6:E42" si="0">SUM(C6:D6)</f>
        <v>69168752.840000004</v>
      </c>
    </row>
    <row r="7" spans="1:5" ht="37.5">
      <c r="A7" s="8">
        <v>2</v>
      </c>
      <c r="B7" s="9" t="s">
        <v>963</v>
      </c>
      <c r="C7" s="10">
        <v>21357552.18</v>
      </c>
      <c r="D7" s="10">
        <v>65888902.189999998</v>
      </c>
      <c r="E7" s="11">
        <f t="shared" si="0"/>
        <v>87246454.370000005</v>
      </c>
    </row>
    <row r="8" spans="1:5" ht="37.5">
      <c r="A8" s="8">
        <v>3</v>
      </c>
      <c r="B8" s="9" t="s">
        <v>964</v>
      </c>
      <c r="C8" s="10">
        <v>28447004.469999999</v>
      </c>
      <c r="D8" s="10">
        <v>87760145.900000006</v>
      </c>
      <c r="E8" s="11">
        <f t="shared" si="0"/>
        <v>116207150.37</v>
      </c>
    </row>
    <row r="9" spans="1:5" ht="37.5">
      <c r="A9" s="8">
        <v>4</v>
      </c>
      <c r="B9" s="9" t="s">
        <v>965</v>
      </c>
      <c r="C9" s="10">
        <v>21472970.66</v>
      </c>
      <c r="D9" s="10">
        <v>66244972.799999997</v>
      </c>
      <c r="E9" s="11">
        <f t="shared" si="0"/>
        <v>87717943.459999993</v>
      </c>
    </row>
    <row r="10" spans="1:5" ht="18.75">
      <c r="A10" s="8">
        <v>5</v>
      </c>
      <c r="B10" s="9" t="s">
        <v>966</v>
      </c>
      <c r="C10" s="10">
        <v>24376070.93</v>
      </c>
      <c r="D10" s="10">
        <v>75201153.180000007</v>
      </c>
      <c r="E10" s="11">
        <f t="shared" si="0"/>
        <v>99577224.109999999</v>
      </c>
    </row>
    <row r="11" spans="1:5" ht="37.5">
      <c r="A11" s="8">
        <v>6</v>
      </c>
      <c r="B11" s="9" t="s">
        <v>967</v>
      </c>
      <c r="C11" s="10">
        <v>9921953.1099999994</v>
      </c>
      <c r="D11" s="10">
        <v>30609621.960000001</v>
      </c>
      <c r="E11" s="11">
        <f t="shared" si="0"/>
        <v>40531575.07</v>
      </c>
    </row>
    <row r="12" spans="1:5" ht="18.75">
      <c r="A12" s="8">
        <v>7</v>
      </c>
      <c r="B12" s="9" t="s">
        <v>968</v>
      </c>
      <c r="C12" s="10">
        <v>26524937.82</v>
      </c>
      <c r="D12" s="10">
        <v>81830493.450000003</v>
      </c>
      <c r="E12" s="11">
        <f t="shared" si="0"/>
        <v>108355431.27</v>
      </c>
    </row>
    <row r="13" spans="1:5" ht="18.75">
      <c r="A13" s="8">
        <v>8</v>
      </c>
      <c r="B13" s="9" t="s">
        <v>969</v>
      </c>
      <c r="C13" s="10">
        <v>28798133.59</v>
      </c>
      <c r="D13" s="10">
        <v>88843393.25</v>
      </c>
      <c r="E13" s="11">
        <f t="shared" si="0"/>
        <v>117641526.84</v>
      </c>
    </row>
    <row r="14" spans="1:5" ht="37.5">
      <c r="A14" s="8">
        <v>9</v>
      </c>
      <c r="B14" s="9" t="s">
        <v>970</v>
      </c>
      <c r="C14" s="10">
        <v>18565249.699999999</v>
      </c>
      <c r="D14" s="10">
        <v>57274537.420000002</v>
      </c>
      <c r="E14" s="11">
        <f t="shared" si="0"/>
        <v>75839787.120000005</v>
      </c>
    </row>
    <row r="15" spans="1:5" ht="18.75">
      <c r="A15" s="8">
        <v>10</v>
      </c>
      <c r="B15" s="9" t="s">
        <v>971</v>
      </c>
      <c r="C15" s="10">
        <v>23788704.829999998</v>
      </c>
      <c r="D15" s="10">
        <v>73389105.280000001</v>
      </c>
      <c r="E15" s="11">
        <f t="shared" si="0"/>
        <v>97177810.109999999</v>
      </c>
    </row>
    <row r="16" spans="1:5" ht="18.75">
      <c r="A16" s="8">
        <v>11</v>
      </c>
      <c r="B16" s="9" t="s">
        <v>972</v>
      </c>
      <c r="C16" s="10">
        <v>13733375.25</v>
      </c>
      <c r="D16" s="10">
        <v>42368011.590000004</v>
      </c>
      <c r="E16" s="11">
        <f t="shared" si="0"/>
        <v>56101386.840000004</v>
      </c>
    </row>
    <row r="17" spans="1:5" ht="18.75">
      <c r="A17" s="8">
        <v>12</v>
      </c>
      <c r="B17" s="9" t="s">
        <v>973</v>
      </c>
      <c r="C17" s="10">
        <v>18201579.010000002</v>
      </c>
      <c r="D17" s="10">
        <v>56152598.810000002</v>
      </c>
      <c r="E17" s="11">
        <f t="shared" si="0"/>
        <v>74354177.819999993</v>
      </c>
    </row>
    <row r="18" spans="1:5" ht="18.75">
      <c r="A18" s="8">
        <v>13</v>
      </c>
      <c r="B18" s="9" t="s">
        <v>974</v>
      </c>
      <c r="C18" s="10">
        <v>14452713.800000001</v>
      </c>
      <c r="D18" s="10">
        <v>44587199.799999997</v>
      </c>
      <c r="E18" s="11">
        <f t="shared" si="0"/>
        <v>59039913.600000001</v>
      </c>
    </row>
    <row r="19" spans="1:5" ht="18.75">
      <c r="A19" s="8">
        <v>14</v>
      </c>
      <c r="B19" s="9" t="s">
        <v>975</v>
      </c>
      <c r="C19" s="10">
        <v>18493074.879999999</v>
      </c>
      <c r="D19" s="10">
        <v>57051875.210000001</v>
      </c>
      <c r="E19" s="11">
        <f t="shared" si="0"/>
        <v>75544950.090000004</v>
      </c>
    </row>
    <row r="20" spans="1:5" ht="18.75">
      <c r="A20" s="8">
        <v>15</v>
      </c>
      <c r="B20" s="9" t="s">
        <v>976</v>
      </c>
      <c r="C20" s="10">
        <v>12671467.82</v>
      </c>
      <c r="D20" s="10">
        <v>39091984.740000002</v>
      </c>
      <c r="E20" s="11">
        <f t="shared" si="0"/>
        <v>51763452.560000002</v>
      </c>
    </row>
    <row r="21" spans="1:5" ht="18.75">
      <c r="A21" s="8">
        <v>16</v>
      </c>
      <c r="B21" s="9" t="s">
        <v>977</v>
      </c>
      <c r="C21" s="10">
        <v>24784834.09</v>
      </c>
      <c r="D21" s="10">
        <v>76462203.870000005</v>
      </c>
      <c r="E21" s="11">
        <f t="shared" si="0"/>
        <v>101247037.95999999</v>
      </c>
    </row>
    <row r="22" spans="1:5" ht="18.75">
      <c r="A22" s="8">
        <v>17</v>
      </c>
      <c r="B22" s="9" t="s">
        <v>978</v>
      </c>
      <c r="C22" s="10">
        <v>26038801.780000001</v>
      </c>
      <c r="D22" s="10">
        <v>80330744.329999998</v>
      </c>
      <c r="E22" s="11">
        <f t="shared" si="0"/>
        <v>106369546.11</v>
      </c>
    </row>
    <row r="23" spans="1:5" ht="18.75">
      <c r="A23" s="8">
        <v>18</v>
      </c>
      <c r="B23" s="9" t="s">
        <v>979</v>
      </c>
      <c r="C23" s="10">
        <v>29283098.219999999</v>
      </c>
      <c r="D23" s="10">
        <v>90339528.519999996</v>
      </c>
      <c r="E23" s="11">
        <f t="shared" si="0"/>
        <v>119622626.73999999</v>
      </c>
    </row>
    <row r="24" spans="1:5" ht="18.75">
      <c r="A24" s="8">
        <v>19</v>
      </c>
      <c r="B24" s="9" t="s">
        <v>980</v>
      </c>
      <c r="C24" s="10">
        <v>46621202.090000004</v>
      </c>
      <c r="D24" s="10">
        <v>143828272.00999999</v>
      </c>
      <c r="E24" s="11">
        <f t="shared" si="0"/>
        <v>190449474.09999999</v>
      </c>
    </row>
    <row r="25" spans="1:5" ht="37.5">
      <c r="A25" s="8">
        <v>20</v>
      </c>
      <c r="B25" s="9" t="s">
        <v>981</v>
      </c>
      <c r="C25" s="10">
        <v>35493514.710000001</v>
      </c>
      <c r="D25" s="10">
        <v>109498911.65000001</v>
      </c>
      <c r="E25" s="11">
        <f t="shared" si="0"/>
        <v>144992426.36000001</v>
      </c>
    </row>
    <row r="26" spans="1:5" ht="18.75">
      <c r="A26" s="8">
        <v>21</v>
      </c>
      <c r="B26" s="9" t="s">
        <v>982</v>
      </c>
      <c r="C26" s="10">
        <v>22400217.629999999</v>
      </c>
      <c r="D26" s="10">
        <v>69105566.769999996</v>
      </c>
      <c r="E26" s="11">
        <f t="shared" si="0"/>
        <v>91505784.400000006</v>
      </c>
    </row>
    <row r="27" spans="1:5" ht="18.75">
      <c r="A27" s="8">
        <v>22</v>
      </c>
      <c r="B27" s="9" t="s">
        <v>983</v>
      </c>
      <c r="C27" s="10">
        <v>23152265.699999999</v>
      </c>
      <c r="D27" s="10">
        <v>71425665.129999995</v>
      </c>
      <c r="E27" s="11">
        <f t="shared" si="0"/>
        <v>94577930.829999998</v>
      </c>
    </row>
    <row r="28" spans="1:5" ht="18.75">
      <c r="A28" s="8">
        <v>23</v>
      </c>
      <c r="B28" s="9" t="s">
        <v>984</v>
      </c>
      <c r="C28" s="10">
        <v>16382653.060000001</v>
      </c>
      <c r="D28" s="10">
        <v>50541139.560000002</v>
      </c>
      <c r="E28" s="11">
        <f t="shared" si="0"/>
        <v>66923792.619999997</v>
      </c>
    </row>
    <row r="29" spans="1:5" ht="18.75">
      <c r="A29" s="8">
        <v>24</v>
      </c>
      <c r="B29" s="9" t="s">
        <v>985</v>
      </c>
      <c r="C29" s="10">
        <v>27907787.050000001</v>
      </c>
      <c r="D29" s="10">
        <v>86096638.579999998</v>
      </c>
      <c r="E29" s="11">
        <f t="shared" si="0"/>
        <v>114004425.63</v>
      </c>
    </row>
    <row r="30" spans="1:5" ht="37.5">
      <c r="A30" s="8">
        <v>25</v>
      </c>
      <c r="B30" s="9" t="s">
        <v>986</v>
      </c>
      <c r="C30" s="10">
        <v>14616150.16</v>
      </c>
      <c r="D30" s="10">
        <v>45091407.469999999</v>
      </c>
      <c r="E30" s="11">
        <f t="shared" si="0"/>
        <v>59707557.630000003</v>
      </c>
    </row>
    <row r="31" spans="1:5" ht="18.75">
      <c r="A31" s="8">
        <v>26</v>
      </c>
      <c r="B31" s="9" t="s">
        <v>987</v>
      </c>
      <c r="C31" s="10">
        <v>27053366.489999998</v>
      </c>
      <c r="D31" s="10">
        <v>83460717.010000005</v>
      </c>
      <c r="E31" s="11">
        <f t="shared" si="0"/>
        <v>110514083.5</v>
      </c>
    </row>
    <row r="32" spans="1:5" ht="18.75">
      <c r="A32" s="8">
        <v>27</v>
      </c>
      <c r="B32" s="9" t="s">
        <v>988</v>
      </c>
      <c r="C32" s="10">
        <v>19299773.84</v>
      </c>
      <c r="D32" s="10">
        <v>59540573.75</v>
      </c>
      <c r="E32" s="11">
        <f t="shared" si="0"/>
        <v>78840347.590000004</v>
      </c>
    </row>
    <row r="33" spans="1:5" ht="18.75">
      <c r="A33" s="8">
        <v>28</v>
      </c>
      <c r="B33" s="9" t="s">
        <v>989</v>
      </c>
      <c r="C33" s="10">
        <v>18432504.809999999</v>
      </c>
      <c r="D33" s="10">
        <v>56865014.140000001</v>
      </c>
      <c r="E33" s="11">
        <f t="shared" si="0"/>
        <v>75297518.950000003</v>
      </c>
    </row>
    <row r="34" spans="1:5" ht="18.75">
      <c r="A34" s="8">
        <v>29</v>
      </c>
      <c r="B34" s="9" t="s">
        <v>990</v>
      </c>
      <c r="C34" s="10">
        <v>24967293.800000001</v>
      </c>
      <c r="D34" s="10">
        <v>77025099.379999995</v>
      </c>
      <c r="E34" s="11">
        <f t="shared" si="0"/>
        <v>101992393.18000001</v>
      </c>
    </row>
    <row r="35" spans="1:5" ht="18.75">
      <c r="A35" s="8">
        <v>30</v>
      </c>
      <c r="B35" s="9" t="s">
        <v>991</v>
      </c>
      <c r="C35" s="10">
        <v>31494293.07</v>
      </c>
      <c r="D35" s="10">
        <v>97161153.040000007</v>
      </c>
      <c r="E35" s="11">
        <f t="shared" si="0"/>
        <v>128655446.11</v>
      </c>
    </row>
    <row r="36" spans="1:5" ht="37.5">
      <c r="A36" s="8">
        <v>31</v>
      </c>
      <c r="B36" s="9" t="s">
        <v>992</v>
      </c>
      <c r="C36" s="10">
        <v>19742701.960000001</v>
      </c>
      <c r="D36" s="10">
        <v>60907024.719999999</v>
      </c>
      <c r="E36" s="11">
        <f t="shared" si="0"/>
        <v>80649726.680000007</v>
      </c>
    </row>
    <row r="37" spans="1:5" ht="18.75">
      <c r="A37" s="8">
        <v>32</v>
      </c>
      <c r="B37" s="9" t="s">
        <v>993</v>
      </c>
      <c r="C37" s="10">
        <v>24472173.559999999</v>
      </c>
      <c r="D37" s="10">
        <v>75497633.640000001</v>
      </c>
      <c r="E37" s="11">
        <f t="shared" si="0"/>
        <v>99969807.200000003</v>
      </c>
    </row>
    <row r="38" spans="1:5" ht="18.75">
      <c r="A38" s="8">
        <v>33</v>
      </c>
      <c r="B38" s="9" t="s">
        <v>994</v>
      </c>
      <c r="C38" s="10">
        <v>24647266.48</v>
      </c>
      <c r="D38" s="10">
        <v>76037802.299999997</v>
      </c>
      <c r="E38" s="11">
        <f t="shared" si="0"/>
        <v>100685068.78</v>
      </c>
    </row>
    <row r="39" spans="1:5" ht="18.75">
      <c r="A39" s="8">
        <v>34</v>
      </c>
      <c r="B39" s="9" t="s">
        <v>995</v>
      </c>
      <c r="C39" s="10">
        <v>18473208.68</v>
      </c>
      <c r="D39" s="10">
        <v>56990587.210000001</v>
      </c>
      <c r="E39" s="11">
        <f t="shared" si="0"/>
        <v>75463795.890000001</v>
      </c>
    </row>
    <row r="40" spans="1:5" ht="18.75">
      <c r="A40" s="8">
        <v>35</v>
      </c>
      <c r="B40" s="9" t="s">
        <v>996</v>
      </c>
      <c r="C40" s="10">
        <v>18573192.370000001</v>
      </c>
      <c r="D40" s="10">
        <v>57299040.93</v>
      </c>
      <c r="E40" s="11">
        <f t="shared" si="0"/>
        <v>75872233.299999997</v>
      </c>
    </row>
    <row r="41" spans="1:5" ht="37.5">
      <c r="A41" s="8">
        <v>36</v>
      </c>
      <c r="B41" s="9" t="s">
        <v>997</v>
      </c>
      <c r="C41" s="10">
        <v>16782120.91</v>
      </c>
      <c r="D41" s="10">
        <v>51773513.82</v>
      </c>
      <c r="E41" s="11">
        <f t="shared" si="0"/>
        <v>68555634.730000004</v>
      </c>
    </row>
    <row r="42" spans="1:5" ht="37.5">
      <c r="A42" s="8">
        <v>37</v>
      </c>
      <c r="B42" s="9" t="s">
        <v>998</v>
      </c>
      <c r="C42" s="10">
        <v>7412147.29</v>
      </c>
      <c r="D42" s="10">
        <v>22866770.68</v>
      </c>
      <c r="E42" s="11">
        <f t="shared" si="0"/>
        <v>30278917.969999999</v>
      </c>
    </row>
    <row r="43" spans="1:5" ht="18.75">
      <c r="A43" s="208" t="s">
        <v>44</v>
      </c>
      <c r="B43" s="208"/>
      <c r="C43" s="13">
        <f>SUM(C6:C42)</f>
        <v>815767565.35000002</v>
      </c>
      <c r="D43" s="13">
        <f t="shared" ref="D43:E43" si="1">SUM(D6:D42)</f>
        <v>2516675547.3800001</v>
      </c>
      <c r="E43" s="13">
        <f t="shared" si="1"/>
        <v>3332443112.73</v>
      </c>
    </row>
  </sheetData>
  <mergeCells count="4">
    <mergeCell ref="A1:E1"/>
    <mergeCell ref="A2:E2"/>
    <mergeCell ref="A3:E3"/>
    <mergeCell ref="A43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OAGF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FUNDS</dc:creator>
  <cp:keywords/>
  <dc:description/>
  <cp:lastModifiedBy/>
  <cp:revision/>
  <dcterms:created xsi:type="dcterms:W3CDTF">2003-11-12T08:54:00Z</dcterms:created>
  <dcterms:modified xsi:type="dcterms:W3CDTF">2025-01-27T15:13:00Z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8803AA5D88114BEA827373BBAAA41AED_13</vt:lpwstr>
  </property>
  <property fmtid="{D5CDD505-2E9C-101B-9397-08002B2CF9AE}" pid="3" name="KSOProductBuildVer">
    <vt:lpwstr>1033-12.2.0.17153</vt:lpwstr>
  </property>
</Properties>
</file>