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19632" windowHeight="7260" firstSheet="1" activeTab="7"/>
  </bookViews>
  <sheets>
    <sheet name="MONTHENTRY" sheetId="8" state="hidden" r:id="rId1"/>
    <sheet name="Sum &amp; FG" sheetId="4" r:id="rId2"/>
    <sheet name="State Details" sheetId="12" r:id="rId3"/>
    <sheet name="LGCs Details" sheetId="26" r:id="rId4"/>
    <sheet name="Summary" sheetId="14" r:id="rId5"/>
    <sheet name="Ecology to States" sheetId="13" r:id="rId6"/>
    <sheet name="ECOLOGY TO INDIVIDUAL LGCS" sheetId="19" r:id="rId7"/>
    <sheet name="Ecology to LGCs" sheetId="21" r:id="rId8"/>
  </sheets>
  <definedNames>
    <definedName name="ACCTDATE">#REF!</definedName>
    <definedName name="acctmonth">MONTHENTRY!$F$6</definedName>
    <definedName name="previuosmonth">MONTHENTRY!$B$6</definedName>
    <definedName name="_xlnm.Print_Area" localSheetId="3">'LGCs Details'!$A$1:$AA$414</definedName>
    <definedName name="_xlnm.Print_Area" localSheetId="2">'State Details'!$A$1:$U$47</definedName>
    <definedName name="_xlnm.Print_Area" localSheetId="1">'Sum &amp; FG'!$A$1:$J$47</definedName>
    <definedName name="_xlnm.Print_Area" localSheetId="4">Summary!$A$1:$K$43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21" l="1"/>
  <c r="D43" i="21"/>
  <c r="C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F780" i="19"/>
  <c r="E780" i="19"/>
  <c r="D780" i="19"/>
  <c r="F779" i="19"/>
  <c r="F778" i="19"/>
  <c r="F777" i="19"/>
  <c r="F776" i="19"/>
  <c r="F775" i="19"/>
  <c r="F774" i="19"/>
  <c r="F773" i="19"/>
  <c r="F772" i="19"/>
  <c r="F771" i="19"/>
  <c r="F770" i="19"/>
  <c r="F769" i="19"/>
  <c r="F768" i="19"/>
  <c r="F767" i="19"/>
  <c r="F766" i="19"/>
  <c r="F765" i="19"/>
  <c r="F764" i="19"/>
  <c r="F763" i="19"/>
  <c r="F762" i="19"/>
  <c r="F761" i="19"/>
  <c r="F760" i="19"/>
  <c r="F759" i="19"/>
  <c r="F758" i="19"/>
  <c r="F757" i="19"/>
  <c r="F756" i="19"/>
  <c r="F755" i="19"/>
  <c r="F754" i="19"/>
  <c r="F753" i="19"/>
  <c r="F752" i="19"/>
  <c r="F751" i="19"/>
  <c r="F750" i="19"/>
  <c r="F749" i="19"/>
  <c r="F748" i="19"/>
  <c r="F747" i="19"/>
  <c r="F746" i="19"/>
  <c r="F745" i="19"/>
  <c r="F744" i="19"/>
  <c r="F743" i="19"/>
  <c r="F742" i="19"/>
  <c r="F741" i="19"/>
  <c r="F740" i="19"/>
  <c r="F739" i="19"/>
  <c r="F738" i="19"/>
  <c r="F737" i="19"/>
  <c r="F736" i="19"/>
  <c r="F735" i="19"/>
  <c r="F734" i="19"/>
  <c r="F733" i="19"/>
  <c r="F732" i="19"/>
  <c r="F731" i="19"/>
  <c r="F730" i="19"/>
  <c r="F729" i="19"/>
  <c r="F728" i="19"/>
  <c r="F727" i="19"/>
  <c r="F726" i="19"/>
  <c r="F725" i="19"/>
  <c r="F724" i="19"/>
  <c r="F723" i="19"/>
  <c r="F722" i="19"/>
  <c r="F721" i="19"/>
  <c r="F720" i="19"/>
  <c r="F719" i="19"/>
  <c r="F718" i="19"/>
  <c r="F717" i="19"/>
  <c r="F716" i="19"/>
  <c r="F715" i="19"/>
  <c r="F714" i="19"/>
  <c r="F713" i="19"/>
  <c r="F712" i="19"/>
  <c r="F711" i="19"/>
  <c r="F710" i="19"/>
  <c r="F709" i="19"/>
  <c r="F708" i="19"/>
  <c r="F707" i="19"/>
  <c r="F706" i="19"/>
  <c r="F705" i="19"/>
  <c r="F704" i="19"/>
  <c r="F703" i="19"/>
  <c r="F702" i="19"/>
  <c r="F701" i="19"/>
  <c r="F700" i="19"/>
  <c r="F699" i="19"/>
  <c r="F698" i="19"/>
  <c r="F697" i="19"/>
  <c r="F696" i="19"/>
  <c r="F695" i="19"/>
  <c r="F694" i="19"/>
  <c r="F693" i="19"/>
  <c r="F692" i="19"/>
  <c r="F691" i="19"/>
  <c r="F690" i="19"/>
  <c r="F689" i="19"/>
  <c r="F688" i="19"/>
  <c r="F687" i="19"/>
  <c r="F686" i="19"/>
  <c r="F685" i="19"/>
  <c r="F684" i="19"/>
  <c r="F683" i="19"/>
  <c r="F682" i="19"/>
  <c r="F681" i="19"/>
  <c r="F680" i="19"/>
  <c r="F679" i="19"/>
  <c r="F678" i="19"/>
  <c r="F677" i="19"/>
  <c r="F676" i="19"/>
  <c r="F675" i="19"/>
  <c r="F674" i="19"/>
  <c r="F673" i="19"/>
  <c r="F672" i="19"/>
  <c r="F671" i="19"/>
  <c r="F670" i="19"/>
  <c r="F669" i="19"/>
  <c r="F668" i="19"/>
  <c r="F667" i="19"/>
  <c r="F666" i="19"/>
  <c r="F665" i="19"/>
  <c r="F664" i="19"/>
  <c r="F663" i="19"/>
  <c r="F662" i="19"/>
  <c r="F661" i="19"/>
  <c r="F660" i="19"/>
  <c r="F659" i="19"/>
  <c r="F658" i="19"/>
  <c r="F657" i="19"/>
  <c r="F656" i="19"/>
  <c r="F655" i="19"/>
  <c r="F654" i="19"/>
  <c r="F653" i="19"/>
  <c r="F652" i="19"/>
  <c r="F651" i="19"/>
  <c r="F650" i="19"/>
  <c r="F649" i="19"/>
  <c r="F648" i="19"/>
  <c r="F647" i="19"/>
  <c r="F646" i="19"/>
  <c r="F645" i="19"/>
  <c r="F644" i="19"/>
  <c r="F643" i="19"/>
  <c r="F642" i="19"/>
  <c r="F641" i="19"/>
  <c r="F640" i="19"/>
  <c r="F639" i="19"/>
  <c r="F638" i="19"/>
  <c r="F637" i="19"/>
  <c r="F636" i="19"/>
  <c r="F635" i="19"/>
  <c r="F634" i="19"/>
  <c r="F633" i="19"/>
  <c r="F632" i="19"/>
  <c r="F631" i="19"/>
  <c r="F630" i="19"/>
  <c r="F629" i="19"/>
  <c r="F628" i="19"/>
  <c r="F627" i="19"/>
  <c r="F626" i="19"/>
  <c r="F625" i="19"/>
  <c r="F624" i="19"/>
  <c r="F623" i="19"/>
  <c r="F622" i="19"/>
  <c r="F621" i="19"/>
  <c r="F620" i="19"/>
  <c r="F619" i="19"/>
  <c r="F618" i="19"/>
  <c r="F617" i="19"/>
  <c r="F616" i="19"/>
  <c r="F615" i="19"/>
  <c r="F614" i="19"/>
  <c r="F613" i="19"/>
  <c r="F612" i="19"/>
  <c r="F611" i="19"/>
  <c r="F610" i="19"/>
  <c r="F609" i="19"/>
  <c r="F608" i="19"/>
  <c r="F607" i="19"/>
  <c r="F606" i="19"/>
  <c r="F605" i="19"/>
  <c r="F604" i="19"/>
  <c r="F603" i="19"/>
  <c r="F602" i="19"/>
  <c r="F601" i="19"/>
  <c r="F600" i="19"/>
  <c r="F599" i="19"/>
  <c r="F598" i="19"/>
  <c r="F597" i="19"/>
  <c r="F596" i="19"/>
  <c r="F595" i="19"/>
  <c r="F594" i="19"/>
  <c r="F593" i="19"/>
  <c r="F592" i="19"/>
  <c r="F591" i="19"/>
  <c r="F590" i="19"/>
  <c r="F589" i="19"/>
  <c r="F588" i="19"/>
  <c r="F587" i="19"/>
  <c r="F586" i="19"/>
  <c r="F585" i="19"/>
  <c r="F584" i="19"/>
  <c r="F583" i="19"/>
  <c r="F582" i="19"/>
  <c r="F581" i="19"/>
  <c r="F580" i="19"/>
  <c r="F579" i="19"/>
  <c r="F578" i="19"/>
  <c r="F577" i="19"/>
  <c r="F576" i="19"/>
  <c r="F575" i="19"/>
  <c r="F574" i="19"/>
  <c r="F573" i="19"/>
  <c r="F572" i="19"/>
  <c r="F571" i="19"/>
  <c r="F570" i="19"/>
  <c r="F569" i="19"/>
  <c r="F568" i="19"/>
  <c r="F567" i="19"/>
  <c r="F566" i="19"/>
  <c r="F565" i="19"/>
  <c r="F564" i="19"/>
  <c r="F563" i="19"/>
  <c r="F562" i="19"/>
  <c r="F561" i="19"/>
  <c r="F560" i="19"/>
  <c r="F559" i="19"/>
  <c r="F558" i="19"/>
  <c r="F557" i="19"/>
  <c r="F556" i="19"/>
  <c r="F555" i="19"/>
  <c r="F554" i="19"/>
  <c r="F553" i="19"/>
  <c r="F552" i="19"/>
  <c r="F551" i="19"/>
  <c r="F550" i="19"/>
  <c r="F549" i="19"/>
  <c r="F548" i="19"/>
  <c r="F547" i="19"/>
  <c r="F546" i="19"/>
  <c r="F545" i="19"/>
  <c r="F544" i="19"/>
  <c r="F543" i="19"/>
  <c r="F542" i="19"/>
  <c r="F541" i="19"/>
  <c r="F540" i="19"/>
  <c r="F539" i="19"/>
  <c r="F538" i="19"/>
  <c r="F537" i="19"/>
  <c r="F536" i="19"/>
  <c r="F535" i="19"/>
  <c r="F534" i="19"/>
  <c r="F533" i="19"/>
  <c r="F532" i="19"/>
  <c r="F531" i="19"/>
  <c r="F530" i="19"/>
  <c r="F529" i="19"/>
  <c r="F528" i="19"/>
  <c r="F527" i="19"/>
  <c r="F526" i="19"/>
  <c r="F525" i="19"/>
  <c r="F524" i="19"/>
  <c r="F523" i="19"/>
  <c r="F522" i="19"/>
  <c r="F521" i="19"/>
  <c r="F520" i="19"/>
  <c r="F519" i="19"/>
  <c r="F518" i="19"/>
  <c r="F517" i="19"/>
  <c r="F516" i="19"/>
  <c r="F515" i="19"/>
  <c r="F514" i="19"/>
  <c r="F513" i="19"/>
  <c r="F512" i="19"/>
  <c r="F511" i="19"/>
  <c r="F510" i="19"/>
  <c r="F509" i="19"/>
  <c r="F508" i="19"/>
  <c r="F507" i="19"/>
  <c r="F506" i="19"/>
  <c r="F505" i="19"/>
  <c r="F504" i="19"/>
  <c r="F503" i="19"/>
  <c r="F502" i="19"/>
  <c r="F501" i="19"/>
  <c r="F500" i="19"/>
  <c r="F499" i="19"/>
  <c r="F498" i="19"/>
  <c r="F497" i="19"/>
  <c r="F496" i="19"/>
  <c r="F495" i="19"/>
  <c r="F494" i="19"/>
  <c r="F493" i="19"/>
  <c r="F492" i="19"/>
  <c r="F491" i="19"/>
  <c r="F490" i="19"/>
  <c r="F489" i="19"/>
  <c r="F488" i="19"/>
  <c r="F487" i="19"/>
  <c r="F486" i="19"/>
  <c r="F485" i="19"/>
  <c r="F484" i="19"/>
  <c r="F483" i="19"/>
  <c r="F482" i="19"/>
  <c r="F481" i="19"/>
  <c r="F480" i="19"/>
  <c r="F479" i="19"/>
  <c r="F478" i="19"/>
  <c r="F477" i="19"/>
  <c r="F476" i="19"/>
  <c r="F475" i="19"/>
  <c r="F474" i="19"/>
  <c r="F473" i="19"/>
  <c r="F472" i="19"/>
  <c r="F471" i="19"/>
  <c r="F470" i="19"/>
  <c r="F469" i="19"/>
  <c r="F468" i="19"/>
  <c r="F467" i="19"/>
  <c r="F466" i="19"/>
  <c r="F465" i="19"/>
  <c r="F464" i="19"/>
  <c r="F463" i="19"/>
  <c r="F462" i="19"/>
  <c r="F461" i="19"/>
  <c r="F460" i="19"/>
  <c r="F459" i="19"/>
  <c r="F458" i="19"/>
  <c r="F457" i="19"/>
  <c r="F456" i="19"/>
  <c r="F455" i="19"/>
  <c r="F454" i="19"/>
  <c r="F453" i="19"/>
  <c r="F452" i="19"/>
  <c r="F451" i="19"/>
  <c r="F450" i="19"/>
  <c r="F449" i="19"/>
  <c r="F448" i="19"/>
  <c r="F447" i="19"/>
  <c r="F446" i="19"/>
  <c r="F445" i="19"/>
  <c r="F444" i="19"/>
  <c r="F443" i="19"/>
  <c r="F442" i="19"/>
  <c r="F441" i="19"/>
  <c r="F440" i="19"/>
  <c r="F439" i="19"/>
  <c r="F438" i="19"/>
  <c r="F437" i="19"/>
  <c r="F436" i="19"/>
  <c r="F435" i="19"/>
  <c r="F434" i="19"/>
  <c r="F433" i="19"/>
  <c r="F432" i="19"/>
  <c r="F431" i="19"/>
  <c r="F430" i="19"/>
  <c r="F429" i="19"/>
  <c r="F428" i="19"/>
  <c r="F427" i="19"/>
  <c r="F426" i="19"/>
  <c r="F425" i="19"/>
  <c r="F424" i="19"/>
  <c r="F423" i="19"/>
  <c r="F422" i="19"/>
  <c r="F421" i="19"/>
  <c r="F420" i="19"/>
  <c r="F419" i="19"/>
  <c r="F418" i="19"/>
  <c r="F417" i="19"/>
  <c r="F416" i="19"/>
  <c r="F415" i="19"/>
  <c r="F414" i="19"/>
  <c r="F413" i="19"/>
  <c r="F412" i="19"/>
  <c r="F411" i="19"/>
  <c r="F410" i="19"/>
  <c r="F409" i="19"/>
  <c r="F408" i="19"/>
  <c r="F407" i="19"/>
  <c r="F406" i="19"/>
  <c r="F405" i="19"/>
  <c r="F404" i="19"/>
  <c r="F403" i="19"/>
  <c r="F402" i="19"/>
  <c r="F401" i="19"/>
  <c r="F400" i="19"/>
  <c r="F399" i="19"/>
  <c r="F398" i="19"/>
  <c r="F397" i="19"/>
  <c r="F396" i="19"/>
  <c r="F395" i="19"/>
  <c r="F394" i="19"/>
  <c r="F393" i="19"/>
  <c r="F392" i="19"/>
  <c r="F391" i="19"/>
  <c r="F390" i="19"/>
  <c r="F389" i="19"/>
  <c r="F388" i="19"/>
  <c r="F387" i="19"/>
  <c r="F386" i="19"/>
  <c r="F385" i="19"/>
  <c r="F384" i="19"/>
  <c r="F383" i="19"/>
  <c r="F382" i="19"/>
  <c r="F381" i="19"/>
  <c r="F380" i="19"/>
  <c r="F379" i="19"/>
  <c r="F378" i="19"/>
  <c r="F377" i="19"/>
  <c r="F376" i="19"/>
  <c r="F375" i="19"/>
  <c r="F374" i="19"/>
  <c r="F373" i="19"/>
  <c r="F372" i="19"/>
  <c r="F371" i="19"/>
  <c r="F370" i="19"/>
  <c r="F369" i="19"/>
  <c r="F368" i="19"/>
  <c r="F367" i="19"/>
  <c r="F366" i="19"/>
  <c r="F365" i="19"/>
  <c r="F364" i="19"/>
  <c r="F363" i="19"/>
  <c r="F362" i="19"/>
  <c r="F361" i="19"/>
  <c r="F360" i="19"/>
  <c r="F359" i="19"/>
  <c r="F358" i="19"/>
  <c r="F357" i="19"/>
  <c r="F356" i="19"/>
  <c r="F355" i="19"/>
  <c r="F354" i="19"/>
  <c r="F353" i="19"/>
  <c r="F352" i="19"/>
  <c r="F351" i="19"/>
  <c r="F350" i="19"/>
  <c r="F349" i="19"/>
  <c r="F348" i="19"/>
  <c r="F347" i="19"/>
  <c r="F346" i="19"/>
  <c r="F345" i="19"/>
  <c r="F344" i="19"/>
  <c r="F343" i="19"/>
  <c r="F342" i="19"/>
  <c r="F341" i="19"/>
  <c r="F340" i="19"/>
  <c r="F339" i="19"/>
  <c r="F338" i="19"/>
  <c r="F337" i="19"/>
  <c r="F336" i="19"/>
  <c r="F335" i="19"/>
  <c r="F334" i="19"/>
  <c r="F333" i="19"/>
  <c r="F332" i="19"/>
  <c r="F331" i="19"/>
  <c r="F330" i="19"/>
  <c r="F329" i="19"/>
  <c r="F328" i="19"/>
  <c r="F327" i="19"/>
  <c r="F326" i="19"/>
  <c r="F325" i="19"/>
  <c r="F324" i="19"/>
  <c r="F323" i="19"/>
  <c r="F322" i="19"/>
  <c r="F321" i="19"/>
  <c r="F320" i="19"/>
  <c r="F319" i="19"/>
  <c r="F318" i="19"/>
  <c r="F317" i="19"/>
  <c r="F316" i="19"/>
  <c r="F315" i="19"/>
  <c r="F314" i="19"/>
  <c r="F313" i="19"/>
  <c r="F312" i="19"/>
  <c r="F311" i="19"/>
  <c r="F310" i="19"/>
  <c r="F309" i="19"/>
  <c r="F308" i="19"/>
  <c r="F307" i="19"/>
  <c r="F306" i="19"/>
  <c r="F305" i="19"/>
  <c r="F304" i="19"/>
  <c r="F303" i="19"/>
  <c r="F302" i="19"/>
  <c r="F301" i="19"/>
  <c r="F300" i="19"/>
  <c r="F299" i="19"/>
  <c r="F298" i="19"/>
  <c r="F297" i="19"/>
  <c r="F296" i="19"/>
  <c r="F295" i="19"/>
  <c r="F294" i="19"/>
  <c r="F293" i="19"/>
  <c r="F292" i="19"/>
  <c r="F291" i="19"/>
  <c r="F290" i="19"/>
  <c r="F289" i="19"/>
  <c r="F288" i="19"/>
  <c r="F287" i="19"/>
  <c r="F286" i="19"/>
  <c r="F285" i="19"/>
  <c r="F284" i="19"/>
  <c r="F283" i="19"/>
  <c r="F282" i="19"/>
  <c r="F281" i="19"/>
  <c r="F280" i="19"/>
  <c r="F279" i="19"/>
  <c r="F278" i="19"/>
  <c r="F277" i="19"/>
  <c r="F276" i="19"/>
  <c r="F275" i="19"/>
  <c r="F274" i="19"/>
  <c r="F273" i="19"/>
  <c r="F272" i="19"/>
  <c r="F271" i="19"/>
  <c r="F270" i="19"/>
  <c r="F269" i="19"/>
  <c r="F268" i="19"/>
  <c r="F267" i="19"/>
  <c r="F266" i="19"/>
  <c r="F265" i="19"/>
  <c r="F264" i="19"/>
  <c r="F263" i="19"/>
  <c r="F262" i="19"/>
  <c r="F261" i="19"/>
  <c r="F260" i="19"/>
  <c r="F259" i="19"/>
  <c r="F258" i="19"/>
  <c r="F257" i="19"/>
  <c r="F256" i="19"/>
  <c r="F255" i="19"/>
  <c r="F254" i="19"/>
  <c r="F253" i="19"/>
  <c r="F252" i="19"/>
  <c r="F251" i="19"/>
  <c r="F250" i="19"/>
  <c r="F249" i="19"/>
  <c r="F248" i="19"/>
  <c r="F247" i="19"/>
  <c r="F246" i="19"/>
  <c r="F245" i="19"/>
  <c r="F244" i="19"/>
  <c r="F243" i="19"/>
  <c r="F242" i="19"/>
  <c r="F241" i="19"/>
  <c r="F240" i="19"/>
  <c r="F239" i="19"/>
  <c r="F238" i="19"/>
  <c r="F237" i="19"/>
  <c r="F236" i="19"/>
  <c r="F235" i="19"/>
  <c r="F234" i="19"/>
  <c r="F233" i="19"/>
  <c r="F232" i="19"/>
  <c r="F231" i="19"/>
  <c r="F230" i="19"/>
  <c r="F229" i="19"/>
  <c r="F228" i="19"/>
  <c r="F227" i="19"/>
  <c r="F226" i="19"/>
  <c r="F225" i="19"/>
  <c r="F224" i="19"/>
  <c r="F223" i="19"/>
  <c r="F222" i="19"/>
  <c r="F221" i="19"/>
  <c r="F220" i="19"/>
  <c r="F219" i="19"/>
  <c r="F218" i="19"/>
  <c r="F217" i="19"/>
  <c r="F216" i="19"/>
  <c r="F215" i="19"/>
  <c r="F214" i="19"/>
  <c r="F213" i="19"/>
  <c r="F212" i="19"/>
  <c r="F211" i="19"/>
  <c r="F210" i="19"/>
  <c r="F209" i="19"/>
  <c r="F208" i="19"/>
  <c r="F207" i="19"/>
  <c r="F206" i="19"/>
  <c r="F205" i="19"/>
  <c r="F204" i="19"/>
  <c r="F203" i="19"/>
  <c r="F202" i="19"/>
  <c r="F201" i="19"/>
  <c r="F200" i="19"/>
  <c r="F199" i="19"/>
  <c r="F198" i="19"/>
  <c r="F197" i="19"/>
  <c r="F196" i="19"/>
  <c r="F195" i="19"/>
  <c r="F194" i="19"/>
  <c r="F193" i="19"/>
  <c r="F192" i="19"/>
  <c r="F191" i="19"/>
  <c r="F190" i="19"/>
  <c r="F189" i="19"/>
  <c r="F188" i="19"/>
  <c r="F187" i="19"/>
  <c r="F186" i="19"/>
  <c r="F185" i="19"/>
  <c r="F184" i="19"/>
  <c r="F183" i="19"/>
  <c r="F182" i="19"/>
  <c r="F181" i="19"/>
  <c r="F180" i="19"/>
  <c r="F179" i="19"/>
  <c r="F178" i="19"/>
  <c r="F177" i="19"/>
  <c r="F176" i="19"/>
  <c r="F175" i="19"/>
  <c r="F174" i="19"/>
  <c r="F173" i="19"/>
  <c r="F172" i="19"/>
  <c r="F171" i="19"/>
  <c r="F170" i="19"/>
  <c r="F169" i="19"/>
  <c r="F168" i="19"/>
  <c r="F167" i="19"/>
  <c r="F166" i="19"/>
  <c r="F165" i="19"/>
  <c r="F164" i="19"/>
  <c r="F163" i="19"/>
  <c r="F162" i="19"/>
  <c r="F161" i="19"/>
  <c r="F160" i="19"/>
  <c r="F159" i="19"/>
  <c r="F158" i="19"/>
  <c r="F157" i="19"/>
  <c r="F156" i="19"/>
  <c r="F155" i="19"/>
  <c r="F154" i="19"/>
  <c r="F153" i="19"/>
  <c r="F152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127" i="19"/>
  <c r="F126" i="19"/>
  <c r="F125" i="19"/>
  <c r="F124" i="19"/>
  <c r="F123" i="19"/>
  <c r="F122" i="19"/>
  <c r="F121" i="19"/>
  <c r="F120" i="19"/>
  <c r="F119" i="19"/>
  <c r="F118" i="19"/>
  <c r="F117" i="19"/>
  <c r="F116" i="19"/>
  <c r="F115" i="19"/>
  <c r="F114" i="19"/>
  <c r="F113" i="19"/>
  <c r="F112" i="19"/>
  <c r="F111" i="19"/>
  <c r="F110" i="19"/>
  <c r="F109" i="19"/>
  <c r="F108" i="19"/>
  <c r="F107" i="19"/>
  <c r="F106" i="19"/>
  <c r="F105" i="19"/>
  <c r="F104" i="19"/>
  <c r="F103" i="19"/>
  <c r="F102" i="19"/>
  <c r="F101" i="19"/>
  <c r="F100" i="19"/>
  <c r="F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E42" i="13"/>
  <c r="D42" i="13"/>
  <c r="C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K43" i="14"/>
  <c r="J43" i="14"/>
  <c r="I43" i="14"/>
  <c r="H43" i="14"/>
  <c r="G43" i="14"/>
  <c r="F43" i="14"/>
  <c r="E43" i="14"/>
  <c r="D43" i="14"/>
  <c r="C43" i="14"/>
  <c r="K42" i="14"/>
  <c r="I42" i="14"/>
  <c r="K41" i="14"/>
  <c r="I41" i="14"/>
  <c r="K40" i="14"/>
  <c r="I40" i="14"/>
  <c r="K39" i="14"/>
  <c r="I39" i="14"/>
  <c r="K38" i="14"/>
  <c r="I38" i="14"/>
  <c r="K37" i="14"/>
  <c r="I37" i="14"/>
  <c r="H37" i="14"/>
  <c r="K36" i="14"/>
  <c r="I36" i="14"/>
  <c r="H36" i="14"/>
  <c r="K35" i="14"/>
  <c r="I35" i="14"/>
  <c r="K34" i="14"/>
  <c r="I34" i="14"/>
  <c r="K33" i="14"/>
  <c r="I33" i="14"/>
  <c r="H33" i="14"/>
  <c r="K32" i="14"/>
  <c r="I32" i="14"/>
  <c r="K31" i="14"/>
  <c r="I31" i="14"/>
  <c r="H31" i="14"/>
  <c r="K30" i="14"/>
  <c r="I30" i="14"/>
  <c r="K29" i="14"/>
  <c r="I29" i="14"/>
  <c r="K28" i="14"/>
  <c r="I28" i="14"/>
  <c r="H28" i="14"/>
  <c r="K27" i="14"/>
  <c r="I27" i="14"/>
  <c r="H27" i="14"/>
  <c r="K26" i="14"/>
  <c r="I26" i="14"/>
  <c r="H26" i="14"/>
  <c r="K25" i="14"/>
  <c r="I25" i="14"/>
  <c r="K24" i="14"/>
  <c r="I24" i="14"/>
  <c r="K23" i="14"/>
  <c r="I23" i="14"/>
  <c r="K22" i="14"/>
  <c r="I22" i="14"/>
  <c r="K21" i="14"/>
  <c r="I21" i="14"/>
  <c r="H21" i="14"/>
  <c r="K20" i="14"/>
  <c r="I20" i="14"/>
  <c r="K19" i="14"/>
  <c r="I19" i="14"/>
  <c r="K18" i="14"/>
  <c r="I18" i="14"/>
  <c r="K17" i="14"/>
  <c r="I17" i="14"/>
  <c r="H17" i="14"/>
  <c r="K16" i="14"/>
  <c r="I16" i="14"/>
  <c r="D16" i="14"/>
  <c r="K15" i="14"/>
  <c r="I15" i="14"/>
  <c r="H15" i="14"/>
  <c r="K14" i="14"/>
  <c r="I14" i="14"/>
  <c r="H14" i="14"/>
  <c r="K13" i="14"/>
  <c r="I13" i="14"/>
  <c r="K12" i="14"/>
  <c r="I12" i="14"/>
  <c r="H12" i="14"/>
  <c r="K11" i="14"/>
  <c r="I11" i="14"/>
  <c r="H11" i="14"/>
  <c r="K10" i="14"/>
  <c r="I10" i="14"/>
  <c r="K9" i="14"/>
  <c r="I9" i="14"/>
  <c r="K8" i="14"/>
  <c r="I8" i="14"/>
  <c r="H8" i="14"/>
  <c r="K7" i="14"/>
  <c r="I7" i="14"/>
  <c r="K6" i="14"/>
  <c r="I6" i="14"/>
  <c r="H6" i="14"/>
  <c r="S423" i="26"/>
  <c r="M413" i="26"/>
  <c r="L413" i="26"/>
  <c r="K413" i="26"/>
  <c r="J413" i="26"/>
  <c r="I413" i="26"/>
  <c r="H413" i="26"/>
  <c r="G413" i="26"/>
  <c r="F413" i="26"/>
  <c r="E413" i="26"/>
  <c r="AA412" i="26"/>
  <c r="Y412" i="26"/>
  <c r="T412" i="26"/>
  <c r="M412" i="26"/>
  <c r="K412" i="26"/>
  <c r="AA411" i="26"/>
  <c r="Z411" i="26"/>
  <c r="Y411" i="26"/>
  <c r="X411" i="26"/>
  <c r="W411" i="26"/>
  <c r="V411" i="26"/>
  <c r="U411" i="26"/>
  <c r="T411" i="26"/>
  <c r="S411" i="26"/>
  <c r="M411" i="26"/>
  <c r="K411" i="26"/>
  <c r="AA410" i="26"/>
  <c r="Y410" i="26"/>
  <c r="M410" i="26"/>
  <c r="K410" i="26"/>
  <c r="AA409" i="26"/>
  <c r="Y409" i="26"/>
  <c r="M409" i="26"/>
  <c r="K409" i="26"/>
  <c r="AA408" i="26"/>
  <c r="Y408" i="26"/>
  <c r="M408" i="26"/>
  <c r="K408" i="26"/>
  <c r="AA407" i="26"/>
  <c r="Y407" i="26"/>
  <c r="M407" i="26"/>
  <c r="K407" i="26"/>
  <c r="AA406" i="26"/>
  <c r="Y406" i="26"/>
  <c r="M406" i="26"/>
  <c r="K406" i="26"/>
  <c r="AA405" i="26"/>
  <c r="Y405" i="26"/>
  <c r="M405" i="26"/>
  <c r="K405" i="26"/>
  <c r="AA404" i="26"/>
  <c r="Z404" i="26"/>
  <c r="Y404" i="26"/>
  <c r="X404" i="26"/>
  <c r="W404" i="26"/>
  <c r="V404" i="26"/>
  <c r="U404" i="26"/>
  <c r="T404" i="26"/>
  <c r="S404" i="26"/>
  <c r="M404" i="26"/>
  <c r="K404" i="26"/>
  <c r="AA403" i="26"/>
  <c r="Y403" i="26"/>
  <c r="M403" i="26"/>
  <c r="K403" i="26"/>
  <c r="AA402" i="26"/>
  <c r="Y402" i="26"/>
  <c r="M402" i="26"/>
  <c r="K402" i="26"/>
  <c r="AA401" i="26"/>
  <c r="Y401" i="26"/>
  <c r="M401" i="26"/>
  <c r="K401" i="26"/>
  <c r="AA400" i="26"/>
  <c r="Y400" i="26"/>
  <c r="M400" i="26"/>
  <c r="K400" i="26"/>
  <c r="AA399" i="26"/>
  <c r="Y399" i="26"/>
  <c r="M399" i="26"/>
  <c r="K399" i="26"/>
  <c r="AA398" i="26"/>
  <c r="Y398" i="26"/>
  <c r="M398" i="26"/>
  <c r="K398" i="26"/>
  <c r="AA397" i="26"/>
  <c r="Y397" i="26"/>
  <c r="M397" i="26"/>
  <c r="K397" i="26"/>
  <c r="AA396" i="26"/>
  <c r="Y396" i="26"/>
  <c r="M396" i="26"/>
  <c r="K396" i="26"/>
  <c r="AA395" i="26"/>
  <c r="Y395" i="26"/>
  <c r="M395" i="26"/>
  <c r="K395" i="26"/>
  <c r="AA394" i="26"/>
  <c r="Y394" i="26"/>
  <c r="M394" i="26"/>
  <c r="K394" i="26"/>
  <c r="AA393" i="26"/>
  <c r="Y393" i="26"/>
  <c r="M393" i="26"/>
  <c r="K393" i="26"/>
  <c r="AA392" i="26"/>
  <c r="Y392" i="26"/>
  <c r="M392" i="26"/>
  <c r="K392" i="26"/>
  <c r="AA391" i="26"/>
  <c r="Y391" i="26"/>
  <c r="M391" i="26"/>
  <c r="K391" i="26"/>
  <c r="AA390" i="26"/>
  <c r="Y390" i="26"/>
  <c r="M390" i="26"/>
  <c r="K390" i="26"/>
  <c r="AA389" i="26"/>
  <c r="Z389" i="26"/>
  <c r="Y389" i="26"/>
  <c r="X389" i="26"/>
  <c r="W389" i="26"/>
  <c r="V389" i="26"/>
  <c r="U389" i="26"/>
  <c r="T389" i="26"/>
  <c r="S389" i="26"/>
  <c r="M389" i="26"/>
  <c r="K389" i="26"/>
  <c r="AA388" i="26"/>
  <c r="Y388" i="26"/>
  <c r="M388" i="26"/>
  <c r="K388" i="26"/>
  <c r="AA387" i="26"/>
  <c r="Y387" i="26"/>
  <c r="M387" i="26"/>
  <c r="L387" i="26"/>
  <c r="K387" i="26"/>
  <c r="J387" i="26"/>
  <c r="I387" i="26"/>
  <c r="H387" i="26"/>
  <c r="G387" i="26"/>
  <c r="F387" i="26"/>
  <c r="E387" i="26"/>
  <c r="AA386" i="26"/>
  <c r="Y386" i="26"/>
  <c r="M386" i="26"/>
  <c r="K386" i="26"/>
  <c r="AA385" i="26"/>
  <c r="Y385" i="26"/>
  <c r="M385" i="26"/>
  <c r="K385" i="26"/>
  <c r="AA384" i="26"/>
  <c r="Y384" i="26"/>
  <c r="M384" i="26"/>
  <c r="K384" i="26"/>
  <c r="AA383" i="26"/>
  <c r="Y383" i="26"/>
  <c r="M383" i="26"/>
  <c r="K383" i="26"/>
  <c r="AA382" i="26"/>
  <c r="Y382" i="26"/>
  <c r="M382" i="26"/>
  <c r="K382" i="26"/>
  <c r="AA381" i="26"/>
  <c r="Y381" i="26"/>
  <c r="M381" i="26"/>
  <c r="K381" i="26"/>
  <c r="AA380" i="26"/>
  <c r="Y380" i="26"/>
  <c r="M380" i="26"/>
  <c r="K380" i="26"/>
  <c r="AA379" i="26"/>
  <c r="Y379" i="26"/>
  <c r="M379" i="26"/>
  <c r="K379" i="26"/>
  <c r="AA378" i="26"/>
  <c r="Y378" i="26"/>
  <c r="M378" i="26"/>
  <c r="K378" i="26"/>
  <c r="AA377" i="26"/>
  <c r="Y377" i="26"/>
  <c r="M377" i="26"/>
  <c r="K377" i="26"/>
  <c r="AA376" i="26"/>
  <c r="Y376" i="26"/>
  <c r="M376" i="26"/>
  <c r="K376" i="26"/>
  <c r="AA375" i="26"/>
  <c r="Y375" i="26"/>
  <c r="M375" i="26"/>
  <c r="K375" i="26"/>
  <c r="AA374" i="26"/>
  <c r="Y374" i="26"/>
  <c r="M374" i="26"/>
  <c r="K374" i="26"/>
  <c r="AA373" i="26"/>
  <c r="Y373" i="26"/>
  <c r="M373" i="26"/>
  <c r="K373" i="26"/>
  <c r="AA372" i="26"/>
  <c r="Y372" i="26"/>
  <c r="M372" i="26"/>
  <c r="K372" i="26"/>
  <c r="AA371" i="26"/>
  <c r="Z371" i="26"/>
  <c r="Y371" i="26"/>
  <c r="X371" i="26"/>
  <c r="W371" i="26"/>
  <c r="V371" i="26"/>
  <c r="U371" i="26"/>
  <c r="T371" i="26"/>
  <c r="S371" i="26"/>
  <c r="M371" i="26"/>
  <c r="K371" i="26"/>
  <c r="AA370" i="26"/>
  <c r="Y370" i="26"/>
  <c r="M370" i="26"/>
  <c r="K370" i="26"/>
  <c r="AA369" i="26"/>
  <c r="Y369" i="26"/>
  <c r="M369" i="26"/>
  <c r="K369" i="26"/>
  <c r="AA368" i="26"/>
  <c r="Y368" i="26"/>
  <c r="M368" i="26"/>
  <c r="K368" i="26"/>
  <c r="AA367" i="26"/>
  <c r="Y367" i="26"/>
  <c r="M367" i="26"/>
  <c r="K367" i="26"/>
  <c r="AA366" i="26"/>
  <c r="Y366" i="26"/>
  <c r="M366" i="26"/>
  <c r="K366" i="26"/>
  <c r="AA365" i="26"/>
  <c r="Y365" i="26"/>
  <c r="M365" i="26"/>
  <c r="K365" i="26"/>
  <c r="AA364" i="26"/>
  <c r="Y364" i="26"/>
  <c r="M364" i="26"/>
  <c r="K364" i="26"/>
  <c r="AA363" i="26"/>
  <c r="Y363" i="26"/>
  <c r="M363" i="26"/>
  <c r="L363" i="26"/>
  <c r="K363" i="26"/>
  <c r="J363" i="26"/>
  <c r="I363" i="26"/>
  <c r="H363" i="26"/>
  <c r="G363" i="26"/>
  <c r="F363" i="26"/>
  <c r="E363" i="26"/>
  <c r="AA362" i="26"/>
  <c r="Y362" i="26"/>
  <c r="M362" i="26"/>
  <c r="K362" i="26"/>
  <c r="AA361" i="26"/>
  <c r="Y361" i="26"/>
  <c r="M361" i="26"/>
  <c r="K361" i="26"/>
  <c r="AA360" i="26"/>
  <c r="Y360" i="26"/>
  <c r="M360" i="26"/>
  <c r="K360" i="26"/>
  <c r="AA359" i="26"/>
  <c r="Y359" i="26"/>
  <c r="M359" i="26"/>
  <c r="K359" i="26"/>
  <c r="AA358" i="26"/>
  <c r="Y358" i="26"/>
  <c r="M358" i="26"/>
  <c r="K358" i="26"/>
  <c r="AA357" i="26"/>
  <c r="Y357" i="26"/>
  <c r="M357" i="26"/>
  <c r="K357" i="26"/>
  <c r="AA356" i="26"/>
  <c r="Y356" i="26"/>
  <c r="M356" i="26"/>
  <c r="K356" i="26"/>
  <c r="AA355" i="26"/>
  <c r="Y355" i="26"/>
  <c r="M355" i="26"/>
  <c r="K355" i="26"/>
  <c r="AA354" i="26"/>
  <c r="Z354" i="26"/>
  <c r="Y354" i="26"/>
  <c r="X354" i="26"/>
  <c r="W354" i="26"/>
  <c r="V354" i="26"/>
  <c r="U354" i="26"/>
  <c r="T354" i="26"/>
  <c r="S354" i="26"/>
  <c r="M354" i="26"/>
  <c r="K354" i="26"/>
  <c r="AA353" i="26"/>
  <c r="Y353" i="26"/>
  <c r="M353" i="26"/>
  <c r="K353" i="26"/>
  <c r="AA352" i="26"/>
  <c r="Y352" i="26"/>
  <c r="M352" i="26"/>
  <c r="K352" i="26"/>
  <c r="AA351" i="26"/>
  <c r="Y351" i="26"/>
  <c r="M351" i="26"/>
  <c r="K351" i="26"/>
  <c r="AA350" i="26"/>
  <c r="Y350" i="26"/>
  <c r="M350" i="26"/>
  <c r="K350" i="26"/>
  <c r="AA349" i="26"/>
  <c r="Y349" i="26"/>
  <c r="M349" i="26"/>
  <c r="K349" i="26"/>
  <c r="AA348" i="26"/>
  <c r="Y348" i="26"/>
  <c r="M348" i="26"/>
  <c r="K348" i="26"/>
  <c r="AA347" i="26"/>
  <c r="Y347" i="26"/>
  <c r="M347" i="26"/>
  <c r="K347" i="26"/>
  <c r="AA346" i="26"/>
  <c r="Y346" i="26"/>
  <c r="M346" i="26"/>
  <c r="K346" i="26"/>
  <c r="AA345" i="26"/>
  <c r="Y345" i="26"/>
  <c r="M345" i="26"/>
  <c r="K345" i="26"/>
  <c r="AA344" i="26"/>
  <c r="Y344" i="26"/>
  <c r="M344" i="26"/>
  <c r="K344" i="26"/>
  <c r="AA343" i="26"/>
  <c r="Y343" i="26"/>
  <c r="M343" i="26"/>
  <c r="K343" i="26"/>
  <c r="AA342" i="26"/>
  <c r="Y342" i="26"/>
  <c r="M342" i="26"/>
  <c r="K342" i="26"/>
  <c r="AA341" i="26"/>
  <c r="Y341" i="26"/>
  <c r="M341" i="26"/>
  <c r="K341" i="26"/>
  <c r="AA340" i="26"/>
  <c r="Y340" i="26"/>
  <c r="M340" i="26"/>
  <c r="K340" i="26"/>
  <c r="AA339" i="26"/>
  <c r="Y339" i="26"/>
  <c r="M339" i="26"/>
  <c r="K339" i="26"/>
  <c r="AA338" i="26"/>
  <c r="Y338" i="26"/>
  <c r="M338" i="26"/>
  <c r="K338" i="26"/>
  <c r="AA337" i="26"/>
  <c r="Y337" i="26"/>
  <c r="M337" i="26"/>
  <c r="K337" i="26"/>
  <c r="AA336" i="26"/>
  <c r="Y336" i="26"/>
  <c r="M336" i="26"/>
  <c r="K336" i="26"/>
  <c r="AA335" i="26"/>
  <c r="Y335" i="26"/>
  <c r="N335" i="26"/>
  <c r="M335" i="26"/>
  <c r="L335" i="26"/>
  <c r="K335" i="26"/>
  <c r="J335" i="26"/>
  <c r="I335" i="26"/>
  <c r="H335" i="26"/>
  <c r="G335" i="26"/>
  <c r="F335" i="26"/>
  <c r="E335" i="26"/>
  <c r="AA334" i="26"/>
  <c r="Y334" i="26"/>
  <c r="M334" i="26"/>
  <c r="K334" i="26"/>
  <c r="J334" i="26"/>
  <c r="AA333" i="26"/>
  <c r="Y333" i="26"/>
  <c r="M333" i="26"/>
  <c r="K333" i="26"/>
  <c r="J333" i="26"/>
  <c r="AA332" i="26"/>
  <c r="Y332" i="26"/>
  <c r="M332" i="26"/>
  <c r="K332" i="26"/>
  <c r="J332" i="26"/>
  <c r="AA331" i="26"/>
  <c r="Y331" i="26"/>
  <c r="M331" i="26"/>
  <c r="K331" i="26"/>
  <c r="J331" i="26"/>
  <c r="AA330" i="26"/>
  <c r="Z330" i="26"/>
  <c r="Y330" i="26"/>
  <c r="X330" i="26"/>
  <c r="W330" i="26"/>
  <c r="V330" i="26"/>
  <c r="U330" i="26"/>
  <c r="T330" i="26"/>
  <c r="S330" i="26"/>
  <c r="M330" i="26"/>
  <c r="K330" i="26"/>
  <c r="J330" i="26"/>
  <c r="AA329" i="26"/>
  <c r="Y329" i="26"/>
  <c r="X329" i="26"/>
  <c r="M329" i="26"/>
  <c r="K329" i="26"/>
  <c r="J329" i="26"/>
  <c r="AA328" i="26"/>
  <c r="Y328" i="26"/>
  <c r="X328" i="26"/>
  <c r="M328" i="26"/>
  <c r="K328" i="26"/>
  <c r="J328" i="26"/>
  <c r="AA327" i="26"/>
  <c r="Y327" i="26"/>
  <c r="X327" i="26"/>
  <c r="M327" i="26"/>
  <c r="K327" i="26"/>
  <c r="J327" i="26"/>
  <c r="AA326" i="26"/>
  <c r="Y326" i="26"/>
  <c r="X326" i="26"/>
  <c r="M326" i="26"/>
  <c r="K326" i="26"/>
  <c r="J326" i="26"/>
  <c r="AA325" i="26"/>
  <c r="Y325" i="26"/>
  <c r="X325" i="26"/>
  <c r="M325" i="26"/>
  <c r="K325" i="26"/>
  <c r="J325" i="26"/>
  <c r="AA324" i="26"/>
  <c r="Y324" i="26"/>
  <c r="X324" i="26"/>
  <c r="M324" i="26"/>
  <c r="K324" i="26"/>
  <c r="J324" i="26"/>
  <c r="AA323" i="26"/>
  <c r="Y323" i="26"/>
  <c r="X323" i="26"/>
  <c r="M323" i="26"/>
  <c r="K323" i="26"/>
  <c r="J323" i="26"/>
  <c r="AA322" i="26"/>
  <c r="Y322" i="26"/>
  <c r="X322" i="26"/>
  <c r="M322" i="26"/>
  <c r="K322" i="26"/>
  <c r="J322" i="26"/>
  <c r="AA321" i="26"/>
  <c r="Y321" i="26"/>
  <c r="X321" i="26"/>
  <c r="M321" i="26"/>
  <c r="K321" i="26"/>
  <c r="J321" i="26"/>
  <c r="AA320" i="26"/>
  <c r="Y320" i="26"/>
  <c r="X320" i="26"/>
  <c r="M320" i="26"/>
  <c r="K320" i="26"/>
  <c r="J320" i="26"/>
  <c r="AA319" i="26"/>
  <c r="Y319" i="26"/>
  <c r="X319" i="26"/>
  <c r="M319" i="26"/>
  <c r="K319" i="26"/>
  <c r="J319" i="26"/>
  <c r="AA318" i="26"/>
  <c r="Y318" i="26"/>
  <c r="X318" i="26"/>
  <c r="M318" i="26"/>
  <c r="K318" i="26"/>
  <c r="J318" i="26"/>
  <c r="AA317" i="26"/>
  <c r="Y317" i="26"/>
  <c r="X317" i="26"/>
  <c r="M317" i="26"/>
  <c r="K317" i="26"/>
  <c r="J317" i="26"/>
  <c r="AA316" i="26"/>
  <c r="Y316" i="26"/>
  <c r="X316" i="26"/>
  <c r="M316" i="26"/>
  <c r="K316" i="26"/>
  <c r="J316" i="26"/>
  <c r="AA315" i="26"/>
  <c r="Y315" i="26"/>
  <c r="X315" i="26"/>
  <c r="M315" i="26"/>
  <c r="K315" i="26"/>
  <c r="J315" i="26"/>
  <c r="AA314" i="26"/>
  <c r="Y314" i="26"/>
  <c r="X314" i="26"/>
  <c r="M314" i="26"/>
  <c r="K314" i="26"/>
  <c r="J314" i="26"/>
  <c r="AA313" i="26"/>
  <c r="Y313" i="26"/>
  <c r="X313" i="26"/>
  <c r="M313" i="26"/>
  <c r="K313" i="26"/>
  <c r="J313" i="26"/>
  <c r="AA312" i="26"/>
  <c r="Y312" i="26"/>
  <c r="X312" i="26"/>
  <c r="M312" i="26"/>
  <c r="K312" i="26"/>
  <c r="J312" i="26"/>
  <c r="AA311" i="26"/>
  <c r="Y311" i="26"/>
  <c r="X311" i="26"/>
  <c r="M311" i="26"/>
  <c r="K311" i="26"/>
  <c r="J311" i="26"/>
  <c r="AA310" i="26"/>
  <c r="Y310" i="26"/>
  <c r="X310" i="26"/>
  <c r="M310" i="26"/>
  <c r="K310" i="26"/>
  <c r="J310" i="26"/>
  <c r="AA309" i="26"/>
  <c r="Y309" i="26"/>
  <c r="X309" i="26"/>
  <c r="M309" i="26"/>
  <c r="K309" i="26"/>
  <c r="J309" i="26"/>
  <c r="AA308" i="26"/>
  <c r="Y308" i="26"/>
  <c r="X308" i="26"/>
  <c r="M308" i="26"/>
  <c r="K308" i="26"/>
  <c r="J308" i="26"/>
  <c r="AA307" i="26"/>
  <c r="Y307" i="26"/>
  <c r="X307" i="26"/>
  <c r="M307" i="26"/>
  <c r="L307" i="26"/>
  <c r="K307" i="26"/>
  <c r="J307" i="26"/>
  <c r="I307" i="26"/>
  <c r="H307" i="26"/>
  <c r="G307" i="26"/>
  <c r="F307" i="26"/>
  <c r="E307" i="26"/>
  <c r="AA306" i="26"/>
  <c r="Z306" i="26"/>
  <c r="Y306" i="26"/>
  <c r="X306" i="26"/>
  <c r="W306" i="26"/>
  <c r="V306" i="26"/>
  <c r="U306" i="26"/>
  <c r="T306" i="26"/>
  <c r="S306" i="26"/>
  <c r="M306" i="26"/>
  <c r="K306" i="26"/>
  <c r="AA305" i="26"/>
  <c r="Y305" i="26"/>
  <c r="X305" i="26"/>
  <c r="M305" i="26"/>
  <c r="K305" i="26"/>
  <c r="AA304" i="26"/>
  <c r="Y304" i="26"/>
  <c r="X304" i="26"/>
  <c r="M304" i="26"/>
  <c r="K304" i="26"/>
  <c r="AA303" i="26"/>
  <c r="Y303" i="26"/>
  <c r="X303" i="26"/>
  <c r="M303" i="26"/>
  <c r="K303" i="26"/>
  <c r="AA302" i="26"/>
  <c r="Y302" i="26"/>
  <c r="X302" i="26"/>
  <c r="M302" i="26"/>
  <c r="K302" i="26"/>
  <c r="AA301" i="26"/>
  <c r="Y301" i="26"/>
  <c r="X301" i="26"/>
  <c r="M301" i="26"/>
  <c r="K301" i="26"/>
  <c r="AA300" i="26"/>
  <c r="Y300" i="26"/>
  <c r="X300" i="26"/>
  <c r="M300" i="26"/>
  <c r="K300" i="26"/>
  <c r="AA299" i="26"/>
  <c r="Y299" i="26"/>
  <c r="X299" i="26"/>
  <c r="M299" i="26"/>
  <c r="K299" i="26"/>
  <c r="AA298" i="26"/>
  <c r="Y298" i="26"/>
  <c r="X298" i="26"/>
  <c r="M298" i="26"/>
  <c r="K298" i="26"/>
  <c r="AA297" i="26"/>
  <c r="Y297" i="26"/>
  <c r="X297" i="26"/>
  <c r="M297" i="26"/>
  <c r="K297" i="26"/>
  <c r="AA296" i="26"/>
  <c r="Y296" i="26"/>
  <c r="X296" i="26"/>
  <c r="M296" i="26"/>
  <c r="K296" i="26"/>
  <c r="AA295" i="26"/>
  <c r="Y295" i="26"/>
  <c r="X295" i="26"/>
  <c r="M295" i="26"/>
  <c r="L295" i="26"/>
  <c r="K295" i="26"/>
  <c r="J295" i="26"/>
  <c r="I295" i="26"/>
  <c r="H295" i="26"/>
  <c r="G295" i="26"/>
  <c r="F295" i="26"/>
  <c r="E295" i="26"/>
  <c r="AA294" i="26"/>
  <c r="Y294" i="26"/>
  <c r="X294" i="26"/>
  <c r="M294" i="26"/>
  <c r="K294" i="26"/>
  <c r="AA293" i="26"/>
  <c r="Y293" i="26"/>
  <c r="X293" i="26"/>
  <c r="M293" i="26"/>
  <c r="K293" i="26"/>
  <c r="AA292" i="26"/>
  <c r="Y292" i="26"/>
  <c r="X292" i="26"/>
  <c r="M292" i="26"/>
  <c r="K292" i="26"/>
  <c r="AA291" i="26"/>
  <c r="Y291" i="26"/>
  <c r="X291" i="26"/>
  <c r="M291" i="26"/>
  <c r="K291" i="26"/>
  <c r="AA290" i="26"/>
  <c r="Y290" i="26"/>
  <c r="X290" i="26"/>
  <c r="M290" i="26"/>
  <c r="K290" i="26"/>
  <c r="AA289" i="26"/>
  <c r="Y289" i="26"/>
  <c r="X289" i="26"/>
  <c r="M289" i="26"/>
  <c r="K289" i="26"/>
  <c r="AA288" i="26"/>
  <c r="Z288" i="26"/>
  <c r="Y288" i="26"/>
  <c r="X288" i="26"/>
  <c r="W288" i="26"/>
  <c r="V288" i="26"/>
  <c r="U288" i="26"/>
  <c r="T288" i="26"/>
  <c r="S288" i="26"/>
  <c r="M288" i="26"/>
  <c r="K288" i="26"/>
  <c r="AA287" i="26"/>
  <c r="Y287" i="26"/>
  <c r="M287" i="26"/>
  <c r="K287" i="26"/>
  <c r="AA286" i="26"/>
  <c r="Y286" i="26"/>
  <c r="M286" i="26"/>
  <c r="K286" i="26"/>
  <c r="AA285" i="26"/>
  <c r="Y285" i="26"/>
  <c r="M285" i="26"/>
  <c r="K285" i="26"/>
  <c r="AA284" i="26"/>
  <c r="Y284" i="26"/>
  <c r="M284" i="26"/>
  <c r="K284" i="26"/>
  <c r="AA283" i="26"/>
  <c r="Y283" i="26"/>
  <c r="M283" i="26"/>
  <c r="K283" i="26"/>
  <c r="AA282" i="26"/>
  <c r="Y282" i="26"/>
  <c r="M282" i="26"/>
  <c r="K282" i="26"/>
  <c r="AA281" i="26"/>
  <c r="Y281" i="26"/>
  <c r="M281" i="26"/>
  <c r="K281" i="26"/>
  <c r="AA280" i="26"/>
  <c r="Y280" i="26"/>
  <c r="M280" i="26"/>
  <c r="K280" i="26"/>
  <c r="AA279" i="26"/>
  <c r="Y279" i="26"/>
  <c r="M279" i="26"/>
  <c r="K279" i="26"/>
  <c r="AA278" i="26"/>
  <c r="Y278" i="26"/>
  <c r="M278" i="26"/>
  <c r="K278" i="26"/>
  <c r="AA277" i="26"/>
  <c r="Y277" i="26"/>
  <c r="M277" i="26"/>
  <c r="L277" i="26"/>
  <c r="K277" i="26"/>
  <c r="J277" i="26"/>
  <c r="I277" i="26"/>
  <c r="H277" i="26"/>
  <c r="G277" i="26"/>
  <c r="F277" i="26"/>
  <c r="E277" i="26"/>
  <c r="AA276" i="26"/>
  <c r="Y276" i="26"/>
  <c r="M276" i="26"/>
  <c r="K276" i="26"/>
  <c r="AA275" i="26"/>
  <c r="Y275" i="26"/>
  <c r="M275" i="26"/>
  <c r="K275" i="26"/>
  <c r="AA274" i="26"/>
  <c r="Y274" i="26"/>
  <c r="M274" i="26"/>
  <c r="K274" i="26"/>
  <c r="AA273" i="26"/>
  <c r="Y273" i="26"/>
  <c r="M273" i="26"/>
  <c r="K273" i="26"/>
  <c r="AA272" i="26"/>
  <c r="Y272" i="26"/>
  <c r="M272" i="26"/>
  <c r="K272" i="26"/>
  <c r="AA271" i="26"/>
  <c r="Y271" i="26"/>
  <c r="M271" i="26"/>
  <c r="K271" i="26"/>
  <c r="AA270" i="26"/>
  <c r="Y270" i="26"/>
  <c r="M270" i="26"/>
  <c r="K270" i="26"/>
  <c r="AA269" i="26"/>
  <c r="Y269" i="26"/>
  <c r="M269" i="26"/>
  <c r="K269" i="26"/>
  <c r="AA268" i="26"/>
  <c r="Y268" i="26"/>
  <c r="M268" i="26"/>
  <c r="K268" i="26"/>
  <c r="AA267" i="26"/>
  <c r="Y267" i="26"/>
  <c r="M267" i="26"/>
  <c r="K267" i="26"/>
  <c r="AA266" i="26"/>
  <c r="Y266" i="26"/>
  <c r="M266" i="26"/>
  <c r="K266" i="26"/>
  <c r="AA265" i="26"/>
  <c r="Y265" i="26"/>
  <c r="M265" i="26"/>
  <c r="K265" i="26"/>
  <c r="AA264" i="26"/>
  <c r="Y264" i="26"/>
  <c r="M264" i="26"/>
  <c r="K264" i="26"/>
  <c r="AA263" i="26"/>
  <c r="Y263" i="26"/>
  <c r="M263" i="26"/>
  <c r="K263" i="26"/>
  <c r="AA262" i="26"/>
  <c r="Y262" i="26"/>
  <c r="M262" i="26"/>
  <c r="K262" i="26"/>
  <c r="AA261" i="26"/>
  <c r="Y261" i="26"/>
  <c r="M261" i="26"/>
  <c r="K261" i="26"/>
  <c r="AA260" i="26"/>
  <c r="Y260" i="26"/>
  <c r="M260" i="26"/>
  <c r="L260" i="26"/>
  <c r="K260" i="26"/>
  <c r="J260" i="26"/>
  <c r="I260" i="26"/>
  <c r="H260" i="26"/>
  <c r="G260" i="26"/>
  <c r="F260" i="26"/>
  <c r="E260" i="26"/>
  <c r="AA259" i="26"/>
  <c r="Y259" i="26"/>
  <c r="M259" i="26"/>
  <c r="K259" i="26"/>
  <c r="J259" i="26"/>
  <c r="AA258" i="26"/>
  <c r="Y258" i="26"/>
  <c r="M258" i="26"/>
  <c r="K258" i="26"/>
  <c r="J258" i="26"/>
  <c r="AA257" i="26"/>
  <c r="Y257" i="26"/>
  <c r="M257" i="26"/>
  <c r="K257" i="26"/>
  <c r="J257" i="26"/>
  <c r="AA256" i="26"/>
  <c r="Y256" i="26"/>
  <c r="M256" i="26"/>
  <c r="K256" i="26"/>
  <c r="J256" i="26"/>
  <c r="AA255" i="26"/>
  <c r="Y255" i="26"/>
  <c r="M255" i="26"/>
  <c r="K255" i="26"/>
  <c r="J255" i="26"/>
  <c r="AA254" i="26"/>
  <c r="Z254" i="26"/>
  <c r="Y254" i="26"/>
  <c r="X254" i="26"/>
  <c r="W254" i="26"/>
  <c r="V254" i="26"/>
  <c r="U254" i="26"/>
  <c r="T254" i="26"/>
  <c r="S254" i="26"/>
  <c r="M254" i="26"/>
  <c r="K254" i="26"/>
  <c r="J254" i="26"/>
  <c r="AA253" i="26"/>
  <c r="Y253" i="26"/>
  <c r="M253" i="26"/>
  <c r="K253" i="26"/>
  <c r="J253" i="26"/>
  <c r="AA252" i="26"/>
  <c r="Y252" i="26"/>
  <c r="M252" i="26"/>
  <c r="K252" i="26"/>
  <c r="J252" i="26"/>
  <c r="AA251" i="26"/>
  <c r="Y251" i="26"/>
  <c r="M251" i="26"/>
  <c r="K251" i="26"/>
  <c r="J251" i="26"/>
  <c r="AA250" i="26"/>
  <c r="Y250" i="26"/>
  <c r="M250" i="26"/>
  <c r="K250" i="26"/>
  <c r="J250" i="26"/>
  <c r="AA249" i="26"/>
  <c r="Y249" i="26"/>
  <c r="M249" i="26"/>
  <c r="K249" i="26"/>
  <c r="J249" i="26"/>
  <c r="AA248" i="26"/>
  <c r="Y248" i="26"/>
  <c r="M248" i="26"/>
  <c r="K248" i="26"/>
  <c r="J248" i="26"/>
  <c r="AA247" i="26"/>
  <c r="Y247" i="26"/>
  <c r="M247" i="26"/>
  <c r="K247" i="26"/>
  <c r="J247" i="26"/>
  <c r="AA246" i="26"/>
  <c r="Y246" i="26"/>
  <c r="M246" i="26"/>
  <c r="K246" i="26"/>
  <c r="J246" i="26"/>
  <c r="AA245" i="26"/>
  <c r="Y245" i="26"/>
  <c r="M245" i="26"/>
  <c r="K245" i="26"/>
  <c r="J245" i="26"/>
  <c r="AA244" i="26"/>
  <c r="Y244" i="26"/>
  <c r="M244" i="26"/>
  <c r="K244" i="26"/>
  <c r="J244" i="26"/>
  <c r="AA243" i="26"/>
  <c r="Y243" i="26"/>
  <c r="M243" i="26"/>
  <c r="K243" i="26"/>
  <c r="J243" i="26"/>
  <c r="AA242" i="26"/>
  <c r="Y242" i="26"/>
  <c r="M242" i="26"/>
  <c r="K242" i="26"/>
  <c r="J242" i="26"/>
  <c r="AA241" i="26"/>
  <c r="Y241" i="26"/>
  <c r="M241" i="26"/>
  <c r="L241" i="26"/>
  <c r="K241" i="26"/>
  <c r="J241" i="26"/>
  <c r="I241" i="26"/>
  <c r="H241" i="26"/>
  <c r="G241" i="26"/>
  <c r="F241" i="26"/>
  <c r="E241" i="26"/>
  <c r="AA240" i="26"/>
  <c r="Y240" i="26"/>
  <c r="M240" i="26"/>
  <c r="K240" i="26"/>
  <c r="F240" i="26"/>
  <c r="AA239" i="26"/>
  <c r="Y239" i="26"/>
  <c r="M239" i="26"/>
  <c r="K239" i="26"/>
  <c r="F239" i="26"/>
  <c r="AA238" i="26"/>
  <c r="Y238" i="26"/>
  <c r="M238" i="26"/>
  <c r="K238" i="26"/>
  <c r="F238" i="26"/>
  <c r="AA237" i="26"/>
  <c r="Y237" i="26"/>
  <c r="M237" i="26"/>
  <c r="K237" i="26"/>
  <c r="F237" i="26"/>
  <c r="AA236" i="26"/>
  <c r="Y236" i="26"/>
  <c r="M236" i="26"/>
  <c r="K236" i="26"/>
  <c r="F236" i="26"/>
  <c r="AA235" i="26"/>
  <c r="Y235" i="26"/>
  <c r="M235" i="26"/>
  <c r="K235" i="26"/>
  <c r="F235" i="26"/>
  <c r="AA234" i="26"/>
  <c r="Y234" i="26"/>
  <c r="M234" i="26"/>
  <c r="K234" i="26"/>
  <c r="F234" i="26"/>
  <c r="AA233" i="26"/>
  <c r="Y233" i="26"/>
  <c r="M233" i="26"/>
  <c r="K233" i="26"/>
  <c r="F233" i="26"/>
  <c r="AA232" i="26"/>
  <c r="Y232" i="26"/>
  <c r="M232" i="26"/>
  <c r="K232" i="26"/>
  <c r="F232" i="26"/>
  <c r="AA231" i="26"/>
  <c r="Y231" i="26"/>
  <c r="M231" i="26"/>
  <c r="K231" i="26"/>
  <c r="F231" i="26"/>
  <c r="AA230" i="26"/>
  <c r="Y230" i="26"/>
  <c r="M230" i="26"/>
  <c r="K230" i="26"/>
  <c r="F230" i="26"/>
  <c r="AA229" i="26"/>
  <c r="Y229" i="26"/>
  <c r="M229" i="26"/>
  <c r="K229" i="26"/>
  <c r="F229" i="26"/>
  <c r="AA228" i="26"/>
  <c r="Y228" i="26"/>
  <c r="M228" i="26"/>
  <c r="K228" i="26"/>
  <c r="F228" i="26"/>
  <c r="AA227" i="26"/>
  <c r="Y227" i="26"/>
  <c r="M227" i="26"/>
  <c r="L227" i="26"/>
  <c r="K227" i="26"/>
  <c r="J227" i="26"/>
  <c r="I227" i="26"/>
  <c r="H227" i="26"/>
  <c r="G227" i="26"/>
  <c r="F227" i="26"/>
  <c r="E227" i="26"/>
  <c r="AA226" i="26"/>
  <c r="Y226" i="26"/>
  <c r="M226" i="26"/>
  <c r="K226" i="26"/>
  <c r="J226" i="26"/>
  <c r="AA225" i="26"/>
  <c r="Y225" i="26"/>
  <c r="M225" i="26"/>
  <c r="K225" i="26"/>
  <c r="J225" i="26"/>
  <c r="AA224" i="26"/>
  <c r="Y224" i="26"/>
  <c r="M224" i="26"/>
  <c r="K224" i="26"/>
  <c r="J224" i="26"/>
  <c r="AA223" i="26"/>
  <c r="Z223" i="26"/>
  <c r="Y223" i="26"/>
  <c r="X223" i="26"/>
  <c r="W223" i="26"/>
  <c r="V223" i="26"/>
  <c r="U223" i="26"/>
  <c r="T223" i="26"/>
  <c r="S223" i="26"/>
  <c r="M223" i="26"/>
  <c r="K223" i="26"/>
  <c r="J223" i="26"/>
  <c r="AA222" i="26"/>
  <c r="Y222" i="26"/>
  <c r="X222" i="26"/>
  <c r="M222" i="26"/>
  <c r="K222" i="26"/>
  <c r="J222" i="26"/>
  <c r="AA221" i="26"/>
  <c r="Y221" i="26"/>
  <c r="X221" i="26"/>
  <c r="M221" i="26"/>
  <c r="K221" i="26"/>
  <c r="J221" i="26"/>
  <c r="AA220" i="26"/>
  <c r="Y220" i="26"/>
  <c r="X220" i="26"/>
  <c r="M220" i="26"/>
  <c r="K220" i="26"/>
  <c r="J220" i="26"/>
  <c r="AA219" i="26"/>
  <c r="Y219" i="26"/>
  <c r="X219" i="26"/>
  <c r="M219" i="26"/>
  <c r="K219" i="26"/>
  <c r="J219" i="26"/>
  <c r="AA218" i="26"/>
  <c r="Y218" i="26"/>
  <c r="X218" i="26"/>
  <c r="M218" i="26"/>
  <c r="K218" i="26"/>
  <c r="J218" i="26"/>
  <c r="AA217" i="26"/>
  <c r="Y217" i="26"/>
  <c r="X217" i="26"/>
  <c r="M217" i="26"/>
  <c r="K217" i="26"/>
  <c r="J217" i="26"/>
  <c r="AA216" i="26"/>
  <c r="Y216" i="26"/>
  <c r="X216" i="26"/>
  <c r="M216" i="26"/>
  <c r="K216" i="26"/>
  <c r="J216" i="26"/>
  <c r="AA215" i="26"/>
  <c r="Y215" i="26"/>
  <c r="X215" i="26"/>
  <c r="M215" i="26"/>
  <c r="K215" i="26"/>
  <c r="J215" i="26"/>
  <c r="AA214" i="26"/>
  <c r="Y214" i="26"/>
  <c r="X214" i="26"/>
  <c r="M214" i="26"/>
  <c r="K214" i="26"/>
  <c r="J214" i="26"/>
  <c r="AA213" i="26"/>
  <c r="Y213" i="26"/>
  <c r="X213" i="26"/>
  <c r="M213" i="26"/>
  <c r="K213" i="26"/>
  <c r="J213" i="26"/>
  <c r="AA212" i="26"/>
  <c r="Y212" i="26"/>
  <c r="X212" i="26"/>
  <c r="M212" i="26"/>
  <c r="K212" i="26"/>
  <c r="J212" i="26"/>
  <c r="AA211" i="26"/>
  <c r="Y211" i="26"/>
  <c r="X211" i="26"/>
  <c r="M211" i="26"/>
  <c r="K211" i="26"/>
  <c r="J211" i="26"/>
  <c r="AA210" i="26"/>
  <c r="Y210" i="26"/>
  <c r="X210" i="26"/>
  <c r="M210" i="26"/>
  <c r="K210" i="26"/>
  <c r="J210" i="26"/>
  <c r="AA209" i="26"/>
  <c r="Y209" i="26"/>
  <c r="X209" i="26"/>
  <c r="M209" i="26"/>
  <c r="K209" i="26"/>
  <c r="J209" i="26"/>
  <c r="AA208" i="26"/>
  <c r="Y208" i="26"/>
  <c r="X208" i="26"/>
  <c r="M208" i="26"/>
  <c r="K208" i="26"/>
  <c r="J208" i="26"/>
  <c r="AA207" i="26"/>
  <c r="Y207" i="26"/>
  <c r="X207" i="26"/>
  <c r="M207" i="26"/>
  <c r="K207" i="26"/>
  <c r="J207" i="26"/>
  <c r="AA206" i="26"/>
  <c r="Y206" i="26"/>
  <c r="X206" i="26"/>
  <c r="M206" i="26"/>
  <c r="K206" i="26"/>
  <c r="J206" i="26"/>
  <c r="AA205" i="26"/>
  <c r="Y205" i="26"/>
  <c r="X205" i="26"/>
  <c r="M205" i="26"/>
  <c r="K205" i="26"/>
  <c r="J205" i="26"/>
  <c r="AA204" i="26"/>
  <c r="Z204" i="26"/>
  <c r="Y204" i="26"/>
  <c r="X204" i="26"/>
  <c r="W204" i="26"/>
  <c r="V204" i="26"/>
  <c r="U204" i="26"/>
  <c r="T204" i="26"/>
  <c r="S204" i="26"/>
  <c r="M204" i="26"/>
  <c r="K204" i="26"/>
  <c r="J204" i="26"/>
  <c r="AA203" i="26"/>
  <c r="Y203" i="26"/>
  <c r="M203" i="26"/>
  <c r="K203" i="26"/>
  <c r="J203" i="26"/>
  <c r="AA202" i="26"/>
  <c r="Y202" i="26"/>
  <c r="M202" i="26"/>
  <c r="K202" i="26"/>
  <c r="J202" i="26"/>
  <c r="AA201" i="26"/>
  <c r="Y201" i="26"/>
  <c r="M201" i="26"/>
  <c r="L201" i="26"/>
  <c r="K201" i="26"/>
  <c r="J201" i="26"/>
  <c r="I201" i="26"/>
  <c r="H201" i="26"/>
  <c r="G201" i="26"/>
  <c r="F201" i="26"/>
  <c r="E201" i="26"/>
  <c r="AA200" i="26"/>
  <c r="Y200" i="26"/>
  <c r="M200" i="26"/>
  <c r="K200" i="26"/>
  <c r="J200" i="26"/>
  <c r="AA199" i="26"/>
  <c r="Y199" i="26"/>
  <c r="M199" i="26"/>
  <c r="K199" i="26"/>
  <c r="J199" i="26"/>
  <c r="AA198" i="26"/>
  <c r="Y198" i="26"/>
  <c r="M198" i="26"/>
  <c r="K198" i="26"/>
  <c r="J198" i="26"/>
  <c r="AA197" i="26"/>
  <c r="Y197" i="26"/>
  <c r="M197" i="26"/>
  <c r="K197" i="26"/>
  <c r="J197" i="26"/>
  <c r="AA196" i="26"/>
  <c r="Y196" i="26"/>
  <c r="M196" i="26"/>
  <c r="K196" i="26"/>
  <c r="J196" i="26"/>
  <c r="AA195" i="26"/>
  <c r="Y195" i="26"/>
  <c r="M195" i="26"/>
  <c r="K195" i="26"/>
  <c r="J195" i="26"/>
  <c r="AA194" i="26"/>
  <c r="Y194" i="26"/>
  <c r="M194" i="26"/>
  <c r="K194" i="26"/>
  <c r="J194" i="26"/>
  <c r="AA193" i="26"/>
  <c r="Y193" i="26"/>
  <c r="M193" i="26"/>
  <c r="K193" i="26"/>
  <c r="J193" i="26"/>
  <c r="AA192" i="26"/>
  <c r="Y192" i="26"/>
  <c r="M192" i="26"/>
  <c r="K192" i="26"/>
  <c r="J192" i="26"/>
  <c r="AA191" i="26"/>
  <c r="Y191" i="26"/>
  <c r="M191" i="26"/>
  <c r="K191" i="26"/>
  <c r="J191" i="26"/>
  <c r="AA190" i="26"/>
  <c r="Y190" i="26"/>
  <c r="M190" i="26"/>
  <c r="K190" i="26"/>
  <c r="J190" i="26"/>
  <c r="AA189" i="26"/>
  <c r="Y189" i="26"/>
  <c r="M189" i="26"/>
  <c r="K189" i="26"/>
  <c r="J189" i="26"/>
  <c r="AA188" i="26"/>
  <c r="Y188" i="26"/>
  <c r="M188" i="26"/>
  <c r="K188" i="26"/>
  <c r="J188" i="26"/>
  <c r="AA187" i="26"/>
  <c r="Y187" i="26"/>
  <c r="M187" i="26"/>
  <c r="K187" i="26"/>
  <c r="J187" i="26"/>
  <c r="AA186" i="26"/>
  <c r="Y186" i="26"/>
  <c r="M186" i="26"/>
  <c r="K186" i="26"/>
  <c r="J186" i="26"/>
  <c r="AA185" i="26"/>
  <c r="Y185" i="26"/>
  <c r="M185" i="26"/>
  <c r="K185" i="26"/>
  <c r="J185" i="26"/>
  <c r="AA184" i="26"/>
  <c r="Y184" i="26"/>
  <c r="M184" i="26"/>
  <c r="K184" i="26"/>
  <c r="J184" i="26"/>
  <c r="AA183" i="26"/>
  <c r="Z183" i="26"/>
  <c r="Y183" i="26"/>
  <c r="X183" i="26"/>
  <c r="W183" i="26"/>
  <c r="V183" i="26"/>
  <c r="U183" i="26"/>
  <c r="S183" i="26"/>
  <c r="M183" i="26"/>
  <c r="K183" i="26"/>
  <c r="J183" i="26"/>
  <c r="AA182" i="26"/>
  <c r="Y182" i="26"/>
  <c r="X182" i="26"/>
  <c r="M182" i="26"/>
  <c r="L182" i="26"/>
  <c r="K182" i="26"/>
  <c r="J182" i="26"/>
  <c r="I182" i="26"/>
  <c r="H182" i="26"/>
  <c r="G182" i="26"/>
  <c r="F182" i="26"/>
  <c r="E182" i="26"/>
  <c r="AA181" i="26"/>
  <c r="Y181" i="26"/>
  <c r="X181" i="26"/>
  <c r="M181" i="26"/>
  <c r="K181" i="26"/>
  <c r="AA180" i="26"/>
  <c r="Y180" i="26"/>
  <c r="X180" i="26"/>
  <c r="M180" i="26"/>
  <c r="K180" i="26"/>
  <c r="AA179" i="26"/>
  <c r="Y179" i="26"/>
  <c r="X179" i="26"/>
  <c r="M179" i="26"/>
  <c r="K179" i="26"/>
  <c r="AA178" i="26"/>
  <c r="Y178" i="26"/>
  <c r="X178" i="26"/>
  <c r="M178" i="26"/>
  <c r="K178" i="26"/>
  <c r="AA177" i="26"/>
  <c r="Y177" i="26"/>
  <c r="X177" i="26"/>
  <c r="M177" i="26"/>
  <c r="K177" i="26"/>
  <c r="AA176" i="26"/>
  <c r="Y176" i="26"/>
  <c r="X176" i="26"/>
  <c r="M176" i="26"/>
  <c r="K176" i="26"/>
  <c r="AA175" i="26"/>
  <c r="Y175" i="26"/>
  <c r="X175" i="26"/>
  <c r="M175" i="26"/>
  <c r="K175" i="26"/>
  <c r="AA174" i="26"/>
  <c r="Y174" i="26"/>
  <c r="X174" i="26"/>
  <c r="M174" i="26"/>
  <c r="K174" i="26"/>
  <c r="AA173" i="26"/>
  <c r="Y173" i="26"/>
  <c r="X173" i="26"/>
  <c r="M173" i="26"/>
  <c r="K173" i="26"/>
  <c r="AA172" i="26"/>
  <c r="Y172" i="26"/>
  <c r="X172" i="26"/>
  <c r="M172" i="26"/>
  <c r="K172" i="26"/>
  <c r="AA171" i="26"/>
  <c r="Y171" i="26"/>
  <c r="X171" i="26"/>
  <c r="M171" i="26"/>
  <c r="K171" i="26"/>
  <c r="AA170" i="26"/>
  <c r="Y170" i="26"/>
  <c r="X170" i="26"/>
  <c r="M170" i="26"/>
  <c r="K170" i="26"/>
  <c r="AA169" i="26"/>
  <c r="Y169" i="26"/>
  <c r="X169" i="26"/>
  <c r="M169" i="26"/>
  <c r="K169" i="26"/>
  <c r="AA168" i="26"/>
  <c r="Y168" i="26"/>
  <c r="X168" i="26"/>
  <c r="M168" i="26"/>
  <c r="K168" i="26"/>
  <c r="AA167" i="26"/>
  <c r="Y167" i="26"/>
  <c r="X167" i="26"/>
  <c r="M167" i="26"/>
  <c r="K167" i="26"/>
  <c r="AA166" i="26"/>
  <c r="Y166" i="26"/>
  <c r="X166" i="26"/>
  <c r="M166" i="26"/>
  <c r="K166" i="26"/>
  <c r="AA165" i="26"/>
  <c r="Y165" i="26"/>
  <c r="X165" i="26"/>
  <c r="M165" i="26"/>
  <c r="K165" i="26"/>
  <c r="AA164" i="26"/>
  <c r="Y164" i="26"/>
  <c r="X164" i="26"/>
  <c r="M164" i="26"/>
  <c r="K164" i="26"/>
  <c r="AA163" i="26"/>
  <c r="Y163" i="26"/>
  <c r="X163" i="26"/>
  <c r="M163" i="26"/>
  <c r="K163" i="26"/>
  <c r="AA162" i="26"/>
  <c r="Y162" i="26"/>
  <c r="X162" i="26"/>
  <c r="M162" i="26"/>
  <c r="K162" i="26"/>
  <c r="AA161" i="26"/>
  <c r="Y161" i="26"/>
  <c r="X161" i="26"/>
  <c r="M161" i="26"/>
  <c r="K161" i="26"/>
  <c r="AA160" i="26"/>
  <c r="Y160" i="26"/>
  <c r="X160" i="26"/>
  <c r="M160" i="26"/>
  <c r="K160" i="26"/>
  <c r="AA159" i="26"/>
  <c r="Y159" i="26"/>
  <c r="X159" i="26"/>
  <c r="M159" i="26"/>
  <c r="K159" i="26"/>
  <c r="AA158" i="26"/>
  <c r="Y158" i="26"/>
  <c r="X158" i="26"/>
  <c r="M158" i="26"/>
  <c r="K158" i="26"/>
  <c r="AA157" i="26"/>
  <c r="Z157" i="26"/>
  <c r="Y157" i="26"/>
  <c r="X157" i="26"/>
  <c r="W157" i="26"/>
  <c r="V157" i="26"/>
  <c r="U157" i="26"/>
  <c r="T157" i="26"/>
  <c r="S157" i="26"/>
  <c r="M157" i="26"/>
  <c r="K157" i="26"/>
  <c r="AA156" i="26"/>
  <c r="Y156" i="26"/>
  <c r="M156" i="26"/>
  <c r="K156" i="26"/>
  <c r="AA155" i="26"/>
  <c r="Y155" i="26"/>
  <c r="M155" i="26"/>
  <c r="K155" i="26"/>
  <c r="AA154" i="26"/>
  <c r="Y154" i="26"/>
  <c r="M154" i="26"/>
  <c r="L154" i="26"/>
  <c r="K154" i="26"/>
  <c r="J154" i="26"/>
  <c r="I154" i="26"/>
  <c r="H154" i="26"/>
  <c r="G154" i="26"/>
  <c r="F154" i="26"/>
  <c r="E154" i="26"/>
  <c r="AA153" i="26"/>
  <c r="Y153" i="26"/>
  <c r="M153" i="26"/>
  <c r="K153" i="26"/>
  <c r="J153" i="26"/>
  <c r="AA152" i="26"/>
  <c r="Y152" i="26"/>
  <c r="M152" i="26"/>
  <c r="K152" i="26"/>
  <c r="J152" i="26"/>
  <c r="AA151" i="26"/>
  <c r="Y151" i="26"/>
  <c r="M151" i="26"/>
  <c r="K151" i="26"/>
  <c r="J151" i="26"/>
  <c r="AA150" i="26"/>
  <c r="Y150" i="26"/>
  <c r="M150" i="26"/>
  <c r="K150" i="26"/>
  <c r="J150" i="26"/>
  <c r="AA149" i="26"/>
  <c r="Y149" i="26"/>
  <c r="M149" i="26"/>
  <c r="K149" i="26"/>
  <c r="J149" i="26"/>
  <c r="AA148" i="26"/>
  <c r="Y148" i="26"/>
  <c r="M148" i="26"/>
  <c r="K148" i="26"/>
  <c r="J148" i="26"/>
  <c r="AA147" i="26"/>
  <c r="Y147" i="26"/>
  <c r="M147" i="26"/>
  <c r="K147" i="26"/>
  <c r="J147" i="26"/>
  <c r="AA146" i="26"/>
  <c r="Y146" i="26"/>
  <c r="M146" i="26"/>
  <c r="K146" i="26"/>
  <c r="J146" i="26"/>
  <c r="AA145" i="26"/>
  <c r="Y145" i="26"/>
  <c r="M145" i="26"/>
  <c r="K145" i="26"/>
  <c r="J145" i="26"/>
  <c r="AA144" i="26"/>
  <c r="Y144" i="26"/>
  <c r="M144" i="26"/>
  <c r="K144" i="26"/>
  <c r="J144" i="26"/>
  <c r="AA143" i="26"/>
  <c r="Z143" i="26"/>
  <c r="Y143" i="26"/>
  <c r="X143" i="26"/>
  <c r="W143" i="26"/>
  <c r="V143" i="26"/>
  <c r="U143" i="26"/>
  <c r="T143" i="26"/>
  <c r="S143" i="26"/>
  <c r="M143" i="26"/>
  <c r="K143" i="26"/>
  <c r="J143" i="26"/>
  <c r="AA142" i="26"/>
  <c r="Y142" i="26"/>
  <c r="M142" i="26"/>
  <c r="K142" i="26"/>
  <c r="J142" i="26"/>
  <c r="AA141" i="26"/>
  <c r="Y141" i="26"/>
  <c r="M141" i="26"/>
  <c r="K141" i="26"/>
  <c r="J141" i="26"/>
  <c r="AA140" i="26"/>
  <c r="Y140" i="26"/>
  <c r="M140" i="26"/>
  <c r="K140" i="26"/>
  <c r="J140" i="26"/>
  <c r="AA139" i="26"/>
  <c r="Y139" i="26"/>
  <c r="M139" i="26"/>
  <c r="K139" i="26"/>
  <c r="J139" i="26"/>
  <c r="AA138" i="26"/>
  <c r="Y138" i="26"/>
  <c r="M138" i="26"/>
  <c r="K138" i="26"/>
  <c r="J138" i="26"/>
  <c r="AA137" i="26"/>
  <c r="Y137" i="26"/>
  <c r="M137" i="26"/>
  <c r="K137" i="26"/>
  <c r="J137" i="26"/>
  <c r="AA136" i="26"/>
  <c r="Y136" i="26"/>
  <c r="M136" i="26"/>
  <c r="K136" i="26"/>
  <c r="J136" i="26"/>
  <c r="AA135" i="26"/>
  <c r="Y135" i="26"/>
  <c r="M135" i="26"/>
  <c r="K135" i="26"/>
  <c r="J135" i="26"/>
  <c r="AA134" i="26"/>
  <c r="Y134" i="26"/>
  <c r="M134" i="26"/>
  <c r="K134" i="26"/>
  <c r="J134" i="26"/>
  <c r="AA133" i="26"/>
  <c r="Y133" i="26"/>
  <c r="M133" i="26"/>
  <c r="K133" i="26"/>
  <c r="J133" i="26"/>
  <c r="AA132" i="26"/>
  <c r="Y132" i="26"/>
  <c r="M132" i="26"/>
  <c r="K132" i="26"/>
  <c r="J132" i="26"/>
  <c r="AA131" i="26"/>
  <c r="Y131" i="26"/>
  <c r="M131" i="26"/>
  <c r="K131" i="26"/>
  <c r="J131" i="26"/>
  <c r="AA130" i="26"/>
  <c r="Y130" i="26"/>
  <c r="M130" i="26"/>
  <c r="L130" i="26"/>
  <c r="K130" i="26"/>
  <c r="J130" i="26"/>
  <c r="I130" i="26"/>
  <c r="H130" i="26"/>
  <c r="G130" i="26"/>
  <c r="F130" i="26"/>
  <c r="E130" i="26"/>
  <c r="AA129" i="26"/>
  <c r="Y129" i="26"/>
  <c r="M129" i="26"/>
  <c r="K129" i="26"/>
  <c r="J129" i="26"/>
  <c r="AA128" i="26"/>
  <c r="Y128" i="26"/>
  <c r="M128" i="26"/>
  <c r="K128" i="26"/>
  <c r="J128" i="26"/>
  <c r="AA127" i="26"/>
  <c r="Y127" i="26"/>
  <c r="M127" i="26"/>
  <c r="K127" i="26"/>
  <c r="J127" i="26"/>
  <c r="AA126" i="26"/>
  <c r="Y126" i="26"/>
  <c r="M126" i="26"/>
  <c r="K126" i="26"/>
  <c r="J126" i="26"/>
  <c r="AA125" i="26"/>
  <c r="Y125" i="26"/>
  <c r="M125" i="26"/>
  <c r="K125" i="26"/>
  <c r="J125" i="26"/>
  <c r="AA124" i="26"/>
  <c r="Y124" i="26"/>
  <c r="M124" i="26"/>
  <c r="K124" i="26"/>
  <c r="J124" i="26"/>
  <c r="AA123" i="26"/>
  <c r="Y123" i="26"/>
  <c r="M123" i="26"/>
  <c r="K123" i="26"/>
  <c r="J123" i="26"/>
  <c r="AA122" i="26"/>
  <c r="Z122" i="26"/>
  <c r="Y122" i="26"/>
  <c r="X122" i="26"/>
  <c r="W122" i="26"/>
  <c r="V122" i="26"/>
  <c r="U122" i="26"/>
  <c r="T122" i="26"/>
  <c r="S122" i="26"/>
  <c r="M122" i="26"/>
  <c r="K122" i="26"/>
  <c r="J122" i="26"/>
  <c r="AA121" i="26"/>
  <c r="Y121" i="26"/>
  <c r="X121" i="26"/>
  <c r="M121" i="26"/>
  <c r="L121" i="26"/>
  <c r="K121" i="26"/>
  <c r="J121" i="26"/>
  <c r="I121" i="26"/>
  <c r="H121" i="26"/>
  <c r="G121" i="26"/>
  <c r="F121" i="26"/>
  <c r="E121" i="26"/>
  <c r="AA120" i="26"/>
  <c r="Y120" i="26"/>
  <c r="X120" i="26"/>
  <c r="M120" i="26"/>
  <c r="K120" i="26"/>
  <c r="AA119" i="26"/>
  <c r="Y119" i="26"/>
  <c r="X119" i="26"/>
  <c r="M119" i="26"/>
  <c r="K119" i="26"/>
  <c r="AA118" i="26"/>
  <c r="Y118" i="26"/>
  <c r="X118" i="26"/>
  <c r="M118" i="26"/>
  <c r="K118" i="26"/>
  <c r="AA117" i="26"/>
  <c r="Y117" i="26"/>
  <c r="X117" i="26"/>
  <c r="M117" i="26"/>
  <c r="K117" i="26"/>
  <c r="AA116" i="26"/>
  <c r="Y116" i="26"/>
  <c r="X116" i="26"/>
  <c r="M116" i="26"/>
  <c r="K116" i="26"/>
  <c r="AA115" i="26"/>
  <c r="Y115" i="26"/>
  <c r="X115" i="26"/>
  <c r="M115" i="26"/>
  <c r="K115" i="26"/>
  <c r="AA114" i="26"/>
  <c r="Y114" i="26"/>
  <c r="X114" i="26"/>
  <c r="M114" i="26"/>
  <c r="K114" i="26"/>
  <c r="AA113" i="26"/>
  <c r="Y113" i="26"/>
  <c r="X113" i="26"/>
  <c r="M113" i="26"/>
  <c r="K113" i="26"/>
  <c r="AA112" i="26"/>
  <c r="Y112" i="26"/>
  <c r="X112" i="26"/>
  <c r="M112" i="26"/>
  <c r="K112" i="26"/>
  <c r="AA111" i="26"/>
  <c r="Y111" i="26"/>
  <c r="X111" i="26"/>
  <c r="M111" i="26"/>
  <c r="K111" i="26"/>
  <c r="AA110" i="26"/>
  <c r="Y110" i="26"/>
  <c r="X110" i="26"/>
  <c r="M110" i="26"/>
  <c r="K110" i="26"/>
  <c r="AA109" i="26"/>
  <c r="Y109" i="26"/>
  <c r="X109" i="26"/>
  <c r="M109" i="26"/>
  <c r="K109" i="26"/>
  <c r="AA108" i="26"/>
  <c r="Y108" i="26"/>
  <c r="X108" i="26"/>
  <c r="M108" i="26"/>
  <c r="K108" i="26"/>
  <c r="AA107" i="26"/>
  <c r="Y107" i="26"/>
  <c r="X107" i="26"/>
  <c r="M107" i="26"/>
  <c r="K107" i="26"/>
  <c r="AA106" i="26"/>
  <c r="Y106" i="26"/>
  <c r="X106" i="26"/>
  <c r="M106" i="26"/>
  <c r="K106" i="26"/>
  <c r="AA105" i="26"/>
  <c r="Z105" i="26"/>
  <c r="Y105" i="26"/>
  <c r="X105" i="26"/>
  <c r="W105" i="26"/>
  <c r="V105" i="26"/>
  <c r="U105" i="26"/>
  <c r="T105" i="26"/>
  <c r="S105" i="26"/>
  <c r="M105" i="26"/>
  <c r="K105" i="26"/>
  <c r="AA104" i="26"/>
  <c r="Y104" i="26"/>
  <c r="X104" i="26"/>
  <c r="M104" i="26"/>
  <c r="K104" i="26"/>
  <c r="AA103" i="26"/>
  <c r="Y103" i="26"/>
  <c r="X103" i="26"/>
  <c r="M103" i="26"/>
  <c r="K103" i="26"/>
  <c r="AA102" i="26"/>
  <c r="Y102" i="26"/>
  <c r="X102" i="26"/>
  <c r="M102" i="26"/>
  <c r="K102" i="26"/>
  <c r="AA101" i="26"/>
  <c r="Y101" i="26"/>
  <c r="X101" i="26"/>
  <c r="M101" i="26"/>
  <c r="K101" i="26"/>
  <c r="AA100" i="26"/>
  <c r="Y100" i="26"/>
  <c r="X100" i="26"/>
  <c r="M100" i="26"/>
  <c r="L100" i="26"/>
  <c r="K100" i="26"/>
  <c r="J100" i="26"/>
  <c r="I100" i="26"/>
  <c r="H100" i="26"/>
  <c r="G100" i="26"/>
  <c r="F100" i="26"/>
  <c r="E100" i="26"/>
  <c r="AA99" i="26"/>
  <c r="Y99" i="26"/>
  <c r="X99" i="26"/>
  <c r="M99" i="26"/>
  <c r="K99" i="26"/>
  <c r="AA98" i="26"/>
  <c r="Y98" i="26"/>
  <c r="X98" i="26"/>
  <c r="M98" i="26"/>
  <c r="K98" i="26"/>
  <c r="AA97" i="26"/>
  <c r="Y97" i="26"/>
  <c r="X97" i="26"/>
  <c r="M97" i="26"/>
  <c r="K97" i="26"/>
  <c r="AA96" i="26"/>
  <c r="Y96" i="26"/>
  <c r="X96" i="26"/>
  <c r="M96" i="26"/>
  <c r="K96" i="26"/>
  <c r="AA95" i="26"/>
  <c r="Y95" i="26"/>
  <c r="X95" i="26"/>
  <c r="M95" i="26"/>
  <c r="K95" i="26"/>
  <c r="AA94" i="26"/>
  <c r="Y94" i="26"/>
  <c r="X94" i="26"/>
  <c r="M94" i="26"/>
  <c r="K94" i="26"/>
  <c r="AA93" i="26"/>
  <c r="Y93" i="26"/>
  <c r="X93" i="26"/>
  <c r="M93" i="26"/>
  <c r="K93" i="26"/>
  <c r="AA92" i="26"/>
  <c r="Y92" i="26"/>
  <c r="X92" i="26"/>
  <c r="M92" i="26"/>
  <c r="K92" i="26"/>
  <c r="AA91" i="26"/>
  <c r="Y91" i="26"/>
  <c r="X91" i="26"/>
  <c r="M91" i="26"/>
  <c r="K91" i="26"/>
  <c r="AA90" i="26"/>
  <c r="Y90" i="26"/>
  <c r="X90" i="26"/>
  <c r="M90" i="26"/>
  <c r="K90" i="26"/>
  <c r="AA89" i="26"/>
  <c r="Y89" i="26"/>
  <c r="X89" i="26"/>
  <c r="M89" i="26"/>
  <c r="K89" i="26"/>
  <c r="AA88" i="26"/>
  <c r="Y88" i="26"/>
  <c r="X88" i="26"/>
  <c r="M88" i="26"/>
  <c r="K88" i="26"/>
  <c r="AA87" i="26"/>
  <c r="Y87" i="26"/>
  <c r="X87" i="26"/>
  <c r="M87" i="26"/>
  <c r="K87" i="26"/>
  <c r="AA86" i="26"/>
  <c r="Y86" i="26"/>
  <c r="X86" i="26"/>
  <c r="M86" i="26"/>
  <c r="K86" i="26"/>
  <c r="AA85" i="26"/>
  <c r="Y85" i="26"/>
  <c r="X85" i="26"/>
  <c r="M85" i="26"/>
  <c r="K85" i="26"/>
  <c r="AA84" i="26"/>
  <c r="Y84" i="26"/>
  <c r="X84" i="26"/>
  <c r="M84" i="26"/>
  <c r="K84" i="26"/>
  <c r="AA83" i="26"/>
  <c r="Z83" i="26"/>
  <c r="Y83" i="26"/>
  <c r="X83" i="26"/>
  <c r="W83" i="26"/>
  <c r="V83" i="26"/>
  <c r="U83" i="26"/>
  <c r="S83" i="26"/>
  <c r="M83" i="26"/>
  <c r="K83" i="26"/>
  <c r="AA82" i="26"/>
  <c r="Y82" i="26"/>
  <c r="X82" i="26"/>
  <c r="M82" i="26"/>
  <c r="K82" i="26"/>
  <c r="AA81" i="26"/>
  <c r="Y81" i="26"/>
  <c r="X81" i="26"/>
  <c r="M81" i="26"/>
  <c r="K81" i="26"/>
  <c r="AA80" i="26"/>
  <c r="Y80" i="26"/>
  <c r="X80" i="26"/>
  <c r="M80" i="26"/>
  <c r="K80" i="26"/>
  <c r="AA79" i="26"/>
  <c r="Y79" i="26"/>
  <c r="X79" i="26"/>
  <c r="M79" i="26"/>
  <c r="K79" i="26"/>
  <c r="AA78" i="26"/>
  <c r="Y78" i="26"/>
  <c r="X78" i="26"/>
  <c r="M78" i="26"/>
  <c r="L78" i="26"/>
  <c r="K78" i="26"/>
  <c r="J78" i="26"/>
  <c r="I78" i="26"/>
  <c r="H78" i="26"/>
  <c r="G78" i="26"/>
  <c r="F78" i="26"/>
  <c r="E78" i="26"/>
  <c r="AA77" i="26"/>
  <c r="Y77" i="26"/>
  <c r="X77" i="26"/>
  <c r="M77" i="26"/>
  <c r="K77" i="26"/>
  <c r="J77" i="26"/>
  <c r="AA76" i="26"/>
  <c r="Y76" i="26"/>
  <c r="X76" i="26"/>
  <c r="M76" i="26"/>
  <c r="K76" i="26"/>
  <c r="J76" i="26"/>
  <c r="AA75" i="26"/>
  <c r="Y75" i="26"/>
  <c r="X75" i="26"/>
  <c r="M75" i="26"/>
  <c r="K75" i="26"/>
  <c r="J75" i="26"/>
  <c r="AA74" i="26"/>
  <c r="Y74" i="26"/>
  <c r="X74" i="26"/>
  <c r="M74" i="26"/>
  <c r="K74" i="26"/>
  <c r="J74" i="26"/>
  <c r="AA73" i="26"/>
  <c r="Y73" i="26"/>
  <c r="X73" i="26"/>
  <c r="M73" i="26"/>
  <c r="K73" i="26"/>
  <c r="J73" i="26"/>
  <c r="AA72" i="26"/>
  <c r="Y72" i="26"/>
  <c r="X72" i="26"/>
  <c r="M72" i="26"/>
  <c r="K72" i="26"/>
  <c r="J72" i="26"/>
  <c r="AA71" i="26"/>
  <c r="Y71" i="26"/>
  <c r="X71" i="26"/>
  <c r="M71" i="26"/>
  <c r="K71" i="26"/>
  <c r="J71" i="26"/>
  <c r="AA70" i="26"/>
  <c r="Y70" i="26"/>
  <c r="X70" i="26"/>
  <c r="M70" i="26"/>
  <c r="K70" i="26"/>
  <c r="J70" i="26"/>
  <c r="AA69" i="26"/>
  <c r="Y69" i="26"/>
  <c r="X69" i="26"/>
  <c r="M69" i="26"/>
  <c r="K69" i="26"/>
  <c r="J69" i="26"/>
  <c r="AA68" i="26"/>
  <c r="Y68" i="26"/>
  <c r="X68" i="26"/>
  <c r="M68" i="26"/>
  <c r="K68" i="26"/>
  <c r="J68" i="26"/>
  <c r="AA67" i="26"/>
  <c r="Y67" i="26"/>
  <c r="X67" i="26"/>
  <c r="M67" i="26"/>
  <c r="K67" i="26"/>
  <c r="J67" i="26"/>
  <c r="AA66" i="26"/>
  <c r="Y66" i="26"/>
  <c r="X66" i="26"/>
  <c r="M66" i="26"/>
  <c r="K66" i="26"/>
  <c r="J66" i="26"/>
  <c r="AA65" i="26"/>
  <c r="Y65" i="26"/>
  <c r="X65" i="26"/>
  <c r="M65" i="26"/>
  <c r="K65" i="26"/>
  <c r="J65" i="26"/>
  <c r="AA64" i="26"/>
  <c r="Y64" i="26"/>
  <c r="X64" i="26"/>
  <c r="M64" i="26"/>
  <c r="K64" i="26"/>
  <c r="J64" i="26"/>
  <c r="AA63" i="26"/>
  <c r="Y63" i="26"/>
  <c r="X63" i="26"/>
  <c r="M63" i="26"/>
  <c r="K63" i="26"/>
  <c r="J63" i="26"/>
  <c r="AA62" i="26"/>
  <c r="Y62" i="26"/>
  <c r="X62" i="26"/>
  <c r="M62" i="26"/>
  <c r="K62" i="26"/>
  <c r="J62" i="26"/>
  <c r="AA61" i="26"/>
  <c r="Z61" i="26"/>
  <c r="Y61" i="26"/>
  <c r="X61" i="26"/>
  <c r="W61" i="26"/>
  <c r="V61" i="26"/>
  <c r="U61" i="26"/>
  <c r="T61" i="26"/>
  <c r="S61" i="26"/>
  <c r="M61" i="26"/>
  <c r="K61" i="26"/>
  <c r="J61" i="26"/>
  <c r="AA60" i="26"/>
  <c r="Y60" i="26"/>
  <c r="M60" i="26"/>
  <c r="K60" i="26"/>
  <c r="J60" i="26"/>
  <c r="AA59" i="26"/>
  <c r="Y59" i="26"/>
  <c r="M59" i="26"/>
  <c r="K59" i="26"/>
  <c r="J59" i="26"/>
  <c r="AA58" i="26"/>
  <c r="Y58" i="26"/>
  <c r="M58" i="26"/>
  <c r="K58" i="26"/>
  <c r="J58" i="26"/>
  <c r="AA57" i="26"/>
  <c r="Y57" i="26"/>
  <c r="M57" i="26"/>
  <c r="K57" i="26"/>
  <c r="J57" i="26"/>
  <c r="AA56" i="26"/>
  <c r="Y56" i="26"/>
  <c r="M56" i="26"/>
  <c r="K56" i="26"/>
  <c r="J56" i="26"/>
  <c r="AA55" i="26"/>
  <c r="Y55" i="26"/>
  <c r="M55" i="26"/>
  <c r="K55" i="26"/>
  <c r="J55" i="26"/>
  <c r="AA54" i="26"/>
  <c r="Y54" i="26"/>
  <c r="M54" i="26"/>
  <c r="K54" i="26"/>
  <c r="J54" i="26"/>
  <c r="AA53" i="26"/>
  <c r="Y53" i="26"/>
  <c r="M53" i="26"/>
  <c r="K53" i="26"/>
  <c r="J53" i="26"/>
  <c r="AA52" i="26"/>
  <c r="Y52" i="26"/>
  <c r="M52" i="26"/>
  <c r="K52" i="26"/>
  <c r="J52" i="26"/>
  <c r="AA51" i="26"/>
  <c r="Y51" i="26"/>
  <c r="M51" i="26"/>
  <c r="K51" i="26"/>
  <c r="J51" i="26"/>
  <c r="AA50" i="26"/>
  <c r="Y50" i="26"/>
  <c r="M50" i="26"/>
  <c r="K50" i="26"/>
  <c r="J50" i="26"/>
  <c r="AA49" i="26"/>
  <c r="Y49" i="26"/>
  <c r="M49" i="26"/>
  <c r="K49" i="26"/>
  <c r="J49" i="26"/>
  <c r="AA48" i="26"/>
  <c r="Y48" i="26"/>
  <c r="M48" i="26"/>
  <c r="K48" i="26"/>
  <c r="J48" i="26"/>
  <c r="AA47" i="26"/>
  <c r="Y47" i="26"/>
  <c r="M47" i="26"/>
  <c r="K47" i="26"/>
  <c r="J47" i="26"/>
  <c r="AA46" i="26"/>
  <c r="Y46" i="26"/>
  <c r="M46" i="26"/>
  <c r="L46" i="26"/>
  <c r="K46" i="26"/>
  <c r="J46" i="26"/>
  <c r="I46" i="26"/>
  <c r="H46" i="26"/>
  <c r="G46" i="26"/>
  <c r="F46" i="26"/>
  <c r="E46" i="26"/>
  <c r="AA45" i="26"/>
  <c r="Y45" i="26"/>
  <c r="M45" i="26"/>
  <c r="K45" i="26"/>
  <c r="AA44" i="26"/>
  <c r="Y44" i="26"/>
  <c r="M44" i="26"/>
  <c r="K44" i="26"/>
  <c r="AA43" i="26"/>
  <c r="Y43" i="26"/>
  <c r="M43" i="26"/>
  <c r="K43" i="26"/>
  <c r="AA42" i="26"/>
  <c r="Y42" i="26"/>
  <c r="M42" i="26"/>
  <c r="K42" i="26"/>
  <c r="AA41" i="26"/>
  <c r="Y41" i="26"/>
  <c r="M41" i="26"/>
  <c r="K41" i="26"/>
  <c r="AA40" i="26"/>
  <c r="Y40" i="26"/>
  <c r="M40" i="26"/>
  <c r="K40" i="26"/>
  <c r="AA39" i="26"/>
  <c r="Y39" i="26"/>
  <c r="M39" i="26"/>
  <c r="K39" i="26"/>
  <c r="AA38" i="26"/>
  <c r="Y38" i="26"/>
  <c r="M38" i="26"/>
  <c r="K38" i="26"/>
  <c r="AA37" i="26"/>
  <c r="Y37" i="26"/>
  <c r="M37" i="26"/>
  <c r="K37" i="26"/>
  <c r="AA36" i="26"/>
  <c r="Y36" i="26"/>
  <c r="M36" i="26"/>
  <c r="K36" i="26"/>
  <c r="AA35" i="26"/>
  <c r="Y35" i="26"/>
  <c r="M35" i="26"/>
  <c r="K35" i="26"/>
  <c r="AA34" i="26"/>
  <c r="Y34" i="26"/>
  <c r="M34" i="26"/>
  <c r="K34" i="26"/>
  <c r="AA33" i="26"/>
  <c r="Y33" i="26"/>
  <c r="M33" i="26"/>
  <c r="K33" i="26"/>
  <c r="AA32" i="26"/>
  <c r="Y32" i="26"/>
  <c r="M32" i="26"/>
  <c r="K32" i="26"/>
  <c r="AA31" i="26"/>
  <c r="Y31" i="26"/>
  <c r="M31" i="26"/>
  <c r="K31" i="26"/>
  <c r="AA30" i="26"/>
  <c r="Y30" i="26"/>
  <c r="M30" i="26"/>
  <c r="K30" i="26"/>
  <c r="AA29" i="26"/>
  <c r="Y29" i="26"/>
  <c r="M29" i="26"/>
  <c r="K29" i="26"/>
  <c r="AA28" i="26"/>
  <c r="Y28" i="26"/>
  <c r="M28" i="26"/>
  <c r="K28" i="26"/>
  <c r="AA27" i="26"/>
  <c r="Y27" i="26"/>
  <c r="M27" i="26"/>
  <c r="K27" i="26"/>
  <c r="AA26" i="26"/>
  <c r="Z26" i="26"/>
  <c r="Y26" i="26"/>
  <c r="W26" i="26"/>
  <c r="V26" i="26"/>
  <c r="U26" i="26"/>
  <c r="S26" i="26"/>
  <c r="M26" i="26"/>
  <c r="K26" i="26"/>
  <c r="AA25" i="26"/>
  <c r="Y25" i="26"/>
  <c r="M25" i="26"/>
  <c r="K25" i="26"/>
  <c r="AA24" i="26"/>
  <c r="Y24" i="26"/>
  <c r="M24" i="26"/>
  <c r="L24" i="26"/>
  <c r="K24" i="26"/>
  <c r="J24" i="26"/>
  <c r="I24" i="26"/>
  <c r="H24" i="26"/>
  <c r="G24" i="26"/>
  <c r="F24" i="26"/>
  <c r="E24" i="26"/>
  <c r="AA23" i="26"/>
  <c r="Y23" i="26"/>
  <c r="M23" i="26"/>
  <c r="K23" i="26"/>
  <c r="J23" i="26"/>
  <c r="AA22" i="26"/>
  <c r="Y22" i="26"/>
  <c r="M22" i="26"/>
  <c r="K22" i="26"/>
  <c r="J22" i="26"/>
  <c r="AA21" i="26"/>
  <c r="Y21" i="26"/>
  <c r="M21" i="26"/>
  <c r="K21" i="26"/>
  <c r="J21" i="26"/>
  <c r="AA20" i="26"/>
  <c r="Y20" i="26"/>
  <c r="M20" i="26"/>
  <c r="K20" i="26"/>
  <c r="J20" i="26"/>
  <c r="AA19" i="26"/>
  <c r="Y19" i="26"/>
  <c r="M19" i="26"/>
  <c r="K19" i="26"/>
  <c r="J19" i="26"/>
  <c r="AA18" i="26"/>
  <c r="Y18" i="26"/>
  <c r="M18" i="26"/>
  <c r="K18" i="26"/>
  <c r="J18" i="26"/>
  <c r="AA17" i="26"/>
  <c r="Y17" i="26"/>
  <c r="M17" i="26"/>
  <c r="K17" i="26"/>
  <c r="J17" i="26"/>
  <c r="AA16" i="26"/>
  <c r="Y16" i="26"/>
  <c r="M16" i="26"/>
  <c r="K16" i="26"/>
  <c r="J16" i="26"/>
  <c r="AA15" i="26"/>
  <c r="Y15" i="26"/>
  <c r="M15" i="26"/>
  <c r="K15" i="26"/>
  <c r="J15" i="26"/>
  <c r="AA14" i="26"/>
  <c r="Y14" i="26"/>
  <c r="M14" i="26"/>
  <c r="K14" i="26"/>
  <c r="J14" i="26"/>
  <c r="AA13" i="26"/>
  <c r="Y13" i="26"/>
  <c r="M13" i="26"/>
  <c r="K13" i="26"/>
  <c r="J13" i="26"/>
  <c r="AA12" i="26"/>
  <c r="Y12" i="26"/>
  <c r="M12" i="26"/>
  <c r="K12" i="26"/>
  <c r="J12" i="26"/>
  <c r="AA11" i="26"/>
  <c r="Y11" i="26"/>
  <c r="M11" i="26"/>
  <c r="K11" i="26"/>
  <c r="J11" i="26"/>
  <c r="AA10" i="26"/>
  <c r="Y10" i="26"/>
  <c r="M10" i="26"/>
  <c r="K10" i="26"/>
  <c r="J10" i="26"/>
  <c r="AA9" i="26"/>
  <c r="Y9" i="26"/>
  <c r="M9" i="26"/>
  <c r="K9" i="26"/>
  <c r="J9" i="26"/>
  <c r="AA8" i="26"/>
  <c r="Y8" i="26"/>
  <c r="M8" i="26"/>
  <c r="K8" i="26"/>
  <c r="J8" i="26"/>
  <c r="AA7" i="26"/>
  <c r="Y7" i="26"/>
  <c r="M7" i="26"/>
  <c r="K7" i="26"/>
  <c r="J7" i="26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T45" i="12"/>
  <c r="S45" i="12"/>
  <c r="R45" i="12"/>
  <c r="O45" i="12"/>
  <c r="J45" i="12"/>
  <c r="I45" i="12"/>
  <c r="F45" i="12"/>
  <c r="T44" i="12"/>
  <c r="S44" i="12"/>
  <c r="R44" i="12"/>
  <c r="O44" i="12"/>
  <c r="J44" i="12"/>
  <c r="I44" i="12"/>
  <c r="F44" i="12"/>
  <c r="T43" i="12"/>
  <c r="S43" i="12"/>
  <c r="R43" i="12"/>
  <c r="O43" i="12"/>
  <c r="J43" i="12"/>
  <c r="I43" i="12"/>
  <c r="F43" i="12"/>
  <c r="T42" i="12"/>
  <c r="S42" i="12"/>
  <c r="R42" i="12"/>
  <c r="O42" i="12"/>
  <c r="J42" i="12"/>
  <c r="I42" i="12"/>
  <c r="F42" i="12"/>
  <c r="T41" i="12"/>
  <c r="S41" i="12"/>
  <c r="R41" i="12"/>
  <c r="O41" i="12"/>
  <c r="N41" i="12"/>
  <c r="J41" i="12"/>
  <c r="I41" i="12"/>
  <c r="F41" i="12"/>
  <c r="T40" i="12"/>
  <c r="S40" i="12"/>
  <c r="R40" i="12"/>
  <c r="O40" i="12"/>
  <c r="N40" i="12"/>
  <c r="J40" i="12"/>
  <c r="I40" i="12"/>
  <c r="F40" i="12"/>
  <c r="T39" i="12"/>
  <c r="S39" i="12"/>
  <c r="R39" i="12"/>
  <c r="O39" i="12"/>
  <c r="J39" i="12"/>
  <c r="I39" i="12"/>
  <c r="F39" i="12"/>
  <c r="T38" i="12"/>
  <c r="S38" i="12"/>
  <c r="R38" i="12"/>
  <c r="O38" i="12"/>
  <c r="J38" i="12"/>
  <c r="I38" i="12"/>
  <c r="F38" i="12"/>
  <c r="T37" i="12"/>
  <c r="S37" i="12"/>
  <c r="R37" i="12"/>
  <c r="O37" i="12"/>
  <c r="N37" i="12"/>
  <c r="J37" i="12"/>
  <c r="I37" i="12"/>
  <c r="F37" i="12"/>
  <c r="T36" i="12"/>
  <c r="S36" i="12"/>
  <c r="R36" i="12"/>
  <c r="O36" i="12"/>
  <c r="J36" i="12"/>
  <c r="I36" i="12"/>
  <c r="F36" i="12"/>
  <c r="T35" i="12"/>
  <c r="S35" i="12"/>
  <c r="R35" i="12"/>
  <c r="O35" i="12"/>
  <c r="N35" i="12"/>
  <c r="J35" i="12"/>
  <c r="I35" i="12"/>
  <c r="F35" i="12"/>
  <c r="T34" i="12"/>
  <c r="S34" i="12"/>
  <c r="R34" i="12"/>
  <c r="O34" i="12"/>
  <c r="J34" i="12"/>
  <c r="I34" i="12"/>
  <c r="F34" i="12"/>
  <c r="T33" i="12"/>
  <c r="S33" i="12"/>
  <c r="R33" i="12"/>
  <c r="O33" i="12"/>
  <c r="J33" i="12"/>
  <c r="I33" i="12"/>
  <c r="F33" i="12"/>
  <c r="T32" i="12"/>
  <c r="S32" i="12"/>
  <c r="R32" i="12"/>
  <c r="O32" i="12"/>
  <c r="N32" i="12"/>
  <c r="J32" i="12"/>
  <c r="I32" i="12"/>
  <c r="F32" i="12"/>
  <c r="T31" i="12"/>
  <c r="S31" i="12"/>
  <c r="R31" i="12"/>
  <c r="O31" i="12"/>
  <c r="N31" i="12"/>
  <c r="J31" i="12"/>
  <c r="I31" i="12"/>
  <c r="F31" i="12"/>
  <c r="T30" i="12"/>
  <c r="S30" i="12"/>
  <c r="R30" i="12"/>
  <c r="O30" i="12"/>
  <c r="N30" i="12"/>
  <c r="J30" i="12"/>
  <c r="I30" i="12"/>
  <c r="F30" i="12"/>
  <c r="T29" i="12"/>
  <c r="S29" i="12"/>
  <c r="R29" i="12"/>
  <c r="O29" i="12"/>
  <c r="J29" i="12"/>
  <c r="I29" i="12"/>
  <c r="F29" i="12"/>
  <c r="T28" i="12"/>
  <c r="S28" i="12"/>
  <c r="R28" i="12"/>
  <c r="O28" i="12"/>
  <c r="J28" i="12"/>
  <c r="I28" i="12"/>
  <c r="F28" i="12"/>
  <c r="T27" i="12"/>
  <c r="S27" i="12"/>
  <c r="R27" i="12"/>
  <c r="O27" i="12"/>
  <c r="J27" i="12"/>
  <c r="I27" i="12"/>
  <c r="F27" i="12"/>
  <c r="T26" i="12"/>
  <c r="S26" i="12"/>
  <c r="R26" i="12"/>
  <c r="O26" i="12"/>
  <c r="J26" i="12"/>
  <c r="I26" i="12"/>
  <c r="F26" i="12"/>
  <c r="T25" i="12"/>
  <c r="S25" i="12"/>
  <c r="R25" i="12"/>
  <c r="O25" i="12"/>
  <c r="N25" i="12"/>
  <c r="J25" i="12"/>
  <c r="I25" i="12"/>
  <c r="F25" i="12"/>
  <c r="T24" i="12"/>
  <c r="S24" i="12"/>
  <c r="R24" i="12"/>
  <c r="O24" i="12"/>
  <c r="J24" i="12"/>
  <c r="I24" i="12"/>
  <c r="F24" i="12"/>
  <c r="T23" i="12"/>
  <c r="S23" i="12"/>
  <c r="R23" i="12"/>
  <c r="O23" i="12"/>
  <c r="J23" i="12"/>
  <c r="I23" i="12"/>
  <c r="F23" i="12"/>
  <c r="T22" i="12"/>
  <c r="S22" i="12"/>
  <c r="R22" i="12"/>
  <c r="O22" i="12"/>
  <c r="J22" i="12"/>
  <c r="I22" i="12"/>
  <c r="F22" i="12"/>
  <c r="T21" i="12"/>
  <c r="S21" i="12"/>
  <c r="R21" i="12"/>
  <c r="O21" i="12"/>
  <c r="N21" i="12"/>
  <c r="J21" i="12"/>
  <c r="I21" i="12"/>
  <c r="F21" i="12"/>
  <c r="T20" i="12"/>
  <c r="S20" i="12"/>
  <c r="R20" i="12"/>
  <c r="O20" i="12"/>
  <c r="J20" i="12"/>
  <c r="I20" i="12"/>
  <c r="F20" i="12"/>
  <c r="T19" i="12"/>
  <c r="S19" i="12"/>
  <c r="R19" i="12"/>
  <c r="O19" i="12"/>
  <c r="N19" i="12"/>
  <c r="J19" i="12"/>
  <c r="I19" i="12"/>
  <c r="F19" i="12"/>
  <c r="T18" i="12"/>
  <c r="S18" i="12"/>
  <c r="R18" i="12"/>
  <c r="O18" i="12"/>
  <c r="N18" i="12"/>
  <c r="J18" i="12"/>
  <c r="I18" i="12"/>
  <c r="F18" i="12"/>
  <c r="T17" i="12"/>
  <c r="S17" i="12"/>
  <c r="R17" i="12"/>
  <c r="O17" i="12"/>
  <c r="J17" i="12"/>
  <c r="I17" i="12"/>
  <c r="F17" i="12"/>
  <c r="T16" i="12"/>
  <c r="S16" i="12"/>
  <c r="R16" i="12"/>
  <c r="O16" i="12"/>
  <c r="N16" i="12"/>
  <c r="J16" i="12"/>
  <c r="I16" i="12"/>
  <c r="F16" i="12"/>
  <c r="T15" i="12"/>
  <c r="S15" i="12"/>
  <c r="R15" i="12"/>
  <c r="O15" i="12"/>
  <c r="N15" i="12"/>
  <c r="J15" i="12"/>
  <c r="I15" i="12"/>
  <c r="F15" i="12"/>
  <c r="T14" i="12"/>
  <c r="S14" i="12"/>
  <c r="R14" i="12"/>
  <c r="O14" i="12"/>
  <c r="J14" i="12"/>
  <c r="I14" i="12"/>
  <c r="F14" i="12"/>
  <c r="T13" i="12"/>
  <c r="S13" i="12"/>
  <c r="R13" i="12"/>
  <c r="O13" i="12"/>
  <c r="J13" i="12"/>
  <c r="I13" i="12"/>
  <c r="F13" i="12"/>
  <c r="T12" i="12"/>
  <c r="S12" i="12"/>
  <c r="R12" i="12"/>
  <c r="O12" i="12"/>
  <c r="N12" i="12"/>
  <c r="J12" i="12"/>
  <c r="I12" i="12"/>
  <c r="F12" i="12"/>
  <c r="T11" i="12"/>
  <c r="S11" i="12"/>
  <c r="R11" i="12"/>
  <c r="O11" i="12"/>
  <c r="J11" i="12"/>
  <c r="I11" i="12"/>
  <c r="F11" i="12"/>
  <c r="T10" i="12"/>
  <c r="S10" i="12"/>
  <c r="R10" i="12"/>
  <c r="O10" i="12"/>
  <c r="N10" i="12"/>
  <c r="J10" i="12"/>
  <c r="I10" i="12"/>
  <c r="F10" i="12"/>
  <c r="I34" i="4"/>
  <c r="H34" i="4"/>
  <c r="G34" i="4"/>
  <c r="F34" i="4"/>
  <c r="E34" i="4"/>
  <c r="D34" i="4"/>
  <c r="C34" i="4"/>
  <c r="I33" i="4"/>
  <c r="E33" i="4"/>
  <c r="I32" i="4"/>
  <c r="E32" i="4"/>
  <c r="I31" i="4"/>
  <c r="E31" i="4"/>
  <c r="I30" i="4"/>
  <c r="E30" i="4"/>
  <c r="I29" i="4"/>
  <c r="E29" i="4"/>
  <c r="G22" i="4"/>
  <c r="F22" i="4"/>
  <c r="E22" i="4"/>
  <c r="D22" i="4"/>
  <c r="C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F19" i="8"/>
  <c r="B19" i="8"/>
  <c r="F18" i="8"/>
  <c r="B18" i="8"/>
  <c r="F17" i="8"/>
  <c r="B17" i="8"/>
  <c r="F16" i="8"/>
  <c r="B16" i="8"/>
  <c r="F15" i="8"/>
  <c r="B15" i="8"/>
  <c r="F14" i="8"/>
  <c r="B14" i="8"/>
  <c r="F13" i="8"/>
  <c r="B13" i="8"/>
  <c r="F12" i="8"/>
  <c r="B12" i="8"/>
  <c r="F11" i="8"/>
  <c r="B11" i="8"/>
  <c r="F10" i="8"/>
  <c r="B10" i="8"/>
  <c r="F9" i="8"/>
  <c r="B9" i="8"/>
  <c r="F8" i="8"/>
  <c r="B8" i="8"/>
  <c r="F6" i="8"/>
  <c r="B6" i="8"/>
  <c r="G5" i="8"/>
  <c r="F5" i="8"/>
  <c r="C5" i="8"/>
  <c r="B5" i="8"/>
  <c r="C1" i="8"/>
  <c r="B1" i="8"/>
</calcChain>
</file>

<file path=xl/sharedStrings.xml><?xml version="1.0" encoding="utf-8"?>
<sst xmlns="http://schemas.openxmlformats.org/spreadsheetml/2006/main" count="2782" uniqueCount="996">
  <si>
    <t>PREVIOUS MONTH</t>
  </si>
  <si>
    <t>CURRENTMONTH</t>
  </si>
  <si>
    <t>YEAR</t>
  </si>
  <si>
    <t>MONTH</t>
  </si>
  <si>
    <t>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</si>
  <si>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</si>
  <si>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</si>
  <si>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</si>
  <si>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</si>
  <si>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</si>
  <si>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</si>
  <si>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</si>
  <si>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</si>
  <si>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</si>
  <si>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</si>
  <si>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</si>
  <si>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</si>
  <si>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Office of the Accountant General of the Federation</t>
  </si>
  <si>
    <t xml:space="preserve">  Federation Account Department</t>
  </si>
  <si>
    <t>Table I</t>
  </si>
  <si>
    <t>Summary of Gross Revenue Allocation by Federation Account Allocation Committee for the Month of November, 2024 Shared in December, 2024</t>
  </si>
  <si>
    <t>S/n</t>
  </si>
  <si>
    <t>Beneficiaries</t>
  </si>
  <si>
    <t>Statutory</t>
  </si>
  <si>
    <t>Exchange Gain</t>
  </si>
  <si>
    <t>Electronic Money Transfer Levy (EMTL)</t>
  </si>
  <si>
    <t>Value Added Tax</t>
  </si>
  <si>
    <t>Total</t>
  </si>
  <si>
    <t>₦</t>
  </si>
  <si>
    <t>FGN (see Table II)</t>
  </si>
  <si>
    <t>State (see Table III)</t>
  </si>
  <si>
    <t>LGCs (see Table IV)</t>
  </si>
  <si>
    <t>13% Derivation Fund</t>
  </si>
  <si>
    <t>Cost of Collection - NCS</t>
  </si>
  <si>
    <t xml:space="preserve"> Cost of Collections - FIRS</t>
  </si>
  <si>
    <t xml:space="preserve"> Cost of Collections - NUPRC</t>
  </si>
  <si>
    <t>Transfer to NMDPRA</t>
  </si>
  <si>
    <t>13% Derivation Refund on withdrawals from JVC/ECA</t>
  </si>
  <si>
    <t xml:space="preserve">13% Refunds on Subsidy, Priority Projects </t>
  </si>
  <si>
    <t>North East Development Commission</t>
  </si>
  <si>
    <t>13% Derivation in respect of NNPCL Management Fee and Frontier Exploration Fund for April, 2024</t>
  </si>
  <si>
    <t>Transfer to Non-oil Excess Account</t>
  </si>
  <si>
    <t>Part of Refund due to States from Signature Bonus</t>
  </si>
  <si>
    <t>13% Derivation Refund on Signature Bonus</t>
  </si>
  <si>
    <t>TOTAL</t>
  </si>
  <si>
    <t>Table II</t>
  </si>
  <si>
    <t>Distribution of Revenue Allocation to FGN by Federation Account Allocation Committee for the Month of November, 2024 Shared in December, 2024</t>
  </si>
  <si>
    <t>4=2-3</t>
  </si>
  <si>
    <t>Gross Statutory Allocation</t>
  </si>
  <si>
    <t>Total Deduction</t>
  </si>
  <si>
    <t>Net Statutory Allocation</t>
  </si>
  <si>
    <t>FGN (CRF Account)</t>
  </si>
  <si>
    <t>Share of Derivation &amp; Ecology</t>
  </si>
  <si>
    <t>Stabilization</t>
  </si>
  <si>
    <t>Development of Natural Resources</t>
  </si>
  <si>
    <t>FCT-Abuja</t>
  </si>
  <si>
    <r>
      <rPr>
        <sz val="16"/>
        <rFont val="Times New Roman"/>
        <charset val="134"/>
      </rPr>
      <t xml:space="preserve">Source: </t>
    </r>
    <r>
      <rPr>
        <b/>
        <sz val="16"/>
        <rFont val="Times New Roman"/>
        <charset val="134"/>
      </rPr>
      <t>Office of the Accountant-General of the Federation</t>
    </r>
  </si>
  <si>
    <t>……………………………………………………………</t>
  </si>
  <si>
    <t>Mr. Wale Edun</t>
  </si>
  <si>
    <t>Hon. Minister of Finance and Coordinating Minister of the Economy</t>
  </si>
  <si>
    <t>Abuja. Nigeria.</t>
  </si>
  <si>
    <t>Office  of the Accountant General of the Federation</t>
  </si>
  <si>
    <t>Federation Account Department</t>
  </si>
  <si>
    <t>Table III</t>
  </si>
  <si>
    <t>Distribution of Revenue Allocation to State Governments by Federation Account Allocation Committee for the month of November, 2024 shared in December, 2024</t>
  </si>
  <si>
    <t>6=4+5</t>
  </si>
  <si>
    <t>10=6-(7+8+9)</t>
  </si>
  <si>
    <t>20=6+11+12+13+16+17</t>
  </si>
  <si>
    <t>21=10+11+12+15+19</t>
  </si>
  <si>
    <t>No. of LGCs</t>
  </si>
  <si>
    <t>Statutory Allocation</t>
  </si>
  <si>
    <t>13% Share of Derivation (Net)</t>
  </si>
  <si>
    <t>Gross Total</t>
  </si>
  <si>
    <t>Deductions</t>
  </si>
  <si>
    <t>Exchange Gain Allocation</t>
  </si>
  <si>
    <t>TOTAL Share of Ecology</t>
  </si>
  <si>
    <t>Transfer of 50% Share of Ecology to NDDC/HYPPADEC</t>
  </si>
  <si>
    <t>Net Share of Ecology</t>
  </si>
  <si>
    <t>Gross VAT Allocation</t>
  </si>
  <si>
    <t>VAT Deduction</t>
  </si>
  <si>
    <t>Net VAT Allocation</t>
  </si>
  <si>
    <t>Total Gross Amount</t>
  </si>
  <si>
    <t>Total Net Amount</t>
  </si>
  <si>
    <t>External Debt</t>
  </si>
  <si>
    <t>Contractual Obligation (ISPO)</t>
  </si>
  <si>
    <t xml:space="preserve">Other Deductions   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</si>
  <si>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</si>
  <si>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</si>
  <si>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</si>
  <si>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</si>
  <si>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</si>
  <si>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</si>
  <si>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</si>
  <si>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</si>
  <si>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</si>
  <si>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</si>
  <si>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</si>
  <si>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</si>
  <si>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</si>
  <si>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</si>
  <si>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</si>
  <si>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</si>
  <si>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</si>
  <si>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</si>
  <si>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</si>
  <si>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</si>
  <si>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</si>
  <si>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</si>
  <si>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</si>
  <si>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</si>
  <si>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</si>
  <si>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</si>
  <si>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</si>
  <si>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</si>
  <si>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</si>
  <si>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</si>
  <si>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</si>
  <si>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</si>
  <si>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</si>
  <si>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</si>
  <si>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</si>
  <si>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</si>
  <si>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Office of the Accountant-General of the Federation</t>
  </si>
  <si>
    <t xml:space="preserve"> Distribution  of Revenue Allocation to Local Government Councils by Federation Account Allocation Committee for the Month of November,  2024 shared in December, 2024</t>
  </si>
  <si>
    <t>States</t>
  </si>
  <si>
    <t>Local Government Councils</t>
  </si>
  <si>
    <t>Deduction</t>
  </si>
  <si>
    <t>Total Net Allocation</t>
  </si>
  <si>
    <t>State</t>
  </si>
  <si>
    <t>ABA NORTH</t>
  </si>
  <si>
    <t>KUNCHI</t>
  </si>
  <si>
    <t>ABA SOUTH</t>
  </si>
  <si>
    <t>KURA</t>
  </si>
  <si>
    <t>AROCHUKWU</t>
  </si>
  <si>
    <t>MADOBI</t>
  </si>
  <si>
    <t>BENDE</t>
  </si>
  <si>
    <t>MAKODA</t>
  </si>
  <si>
    <t>IKWUANO</t>
  </si>
  <si>
    <t>MINJIBIR</t>
  </si>
  <si>
    <t>ISIALA NGWA NORTH</t>
  </si>
  <si>
    <t>ISIALA NGWA SOUTH</t>
  </si>
  <si>
    <t>RANO</t>
  </si>
  <si>
    <t>ISUIKWUATO</t>
  </si>
  <si>
    <t>RIMIN GADO</t>
  </si>
  <si>
    <t>NNEOCHI</t>
  </si>
  <si>
    <t>ROGO</t>
  </si>
  <si>
    <t>OBIOMA NGWA</t>
  </si>
  <si>
    <t>SHANONO</t>
  </si>
  <si>
    <t>OHAFIA</t>
  </si>
  <si>
    <t>SUMAILA</t>
  </si>
  <si>
    <t>OSISIOMA</t>
  </si>
  <si>
    <t>TAKAI</t>
  </si>
  <si>
    <t>UGWUNAGBO</t>
  </si>
  <si>
    <t>TARAUNI</t>
  </si>
  <si>
    <t>UKWA EAST</t>
  </si>
  <si>
    <t>TOFA</t>
  </si>
  <si>
    <t>UKWA WEST</t>
  </si>
  <si>
    <t>TSANYAWA</t>
  </si>
  <si>
    <t>UMUAHIA NORTH</t>
  </si>
  <si>
    <t>TUDUN WADA</t>
  </si>
  <si>
    <t>UMUAHIA SOUTH</t>
  </si>
  <si>
    <t>UNGOGO</t>
  </si>
  <si>
    <t>ABIA TOTAL</t>
  </si>
  <si>
    <t>WARAWA</t>
  </si>
  <si>
    <t xml:space="preserve">ADAMAWA </t>
  </si>
  <si>
    <t>DEMSA</t>
  </si>
  <si>
    <t>WUDIL</t>
  </si>
  <si>
    <t>FUFORE</t>
  </si>
  <si>
    <t>KANO TOTAL</t>
  </si>
  <si>
    <t>GANYE</t>
  </si>
  <si>
    <t>BAKORI</t>
  </si>
  <si>
    <t>GIREI</t>
  </si>
  <si>
    <t>BATAGARAWA</t>
  </si>
  <si>
    <t>GOMBI</t>
  </si>
  <si>
    <t>BATSARI</t>
  </si>
  <si>
    <t>GUYUK</t>
  </si>
  <si>
    <t>BAURE</t>
  </si>
  <si>
    <t>HONG</t>
  </si>
  <si>
    <t>BINDAWA</t>
  </si>
  <si>
    <t>JADA</t>
  </si>
  <si>
    <t>CHARANCHI</t>
  </si>
  <si>
    <t>YOLA-NORTH</t>
  </si>
  <si>
    <t>DAN-MUSA</t>
  </si>
  <si>
    <t>LAMURDE</t>
  </si>
  <si>
    <t>DANDUME</t>
  </si>
  <si>
    <t>MADAGALI</t>
  </si>
  <si>
    <t>DANJA</t>
  </si>
  <si>
    <t>MAIHA</t>
  </si>
  <si>
    <t>DAURA</t>
  </si>
  <si>
    <t>MAYO-BELWA</t>
  </si>
  <si>
    <t>DUTSI</t>
  </si>
  <si>
    <t>MICHIKA</t>
  </si>
  <si>
    <t>DUTSINMA</t>
  </si>
  <si>
    <t>MUBI NORTH</t>
  </si>
  <si>
    <t>FASKARI</t>
  </si>
  <si>
    <t>MUBI SOUTH</t>
  </si>
  <si>
    <t>FUNTUA</t>
  </si>
  <si>
    <t>NUMAN</t>
  </si>
  <si>
    <t>INGAWA</t>
  </si>
  <si>
    <t>SHELLENG</t>
  </si>
  <si>
    <t>JIBIA</t>
  </si>
  <si>
    <t>SONG</t>
  </si>
  <si>
    <t>KAFUR</t>
  </si>
  <si>
    <t>TOUNGO</t>
  </si>
  <si>
    <t>KAITA</t>
  </si>
  <si>
    <t>YOLA-SOUTH</t>
  </si>
  <si>
    <t>KANKARA</t>
  </si>
  <si>
    <t>ADAMAWA TOTAL</t>
  </si>
  <si>
    <t>KANKIA</t>
  </si>
  <si>
    <t xml:space="preserve">AKWA IBOM </t>
  </si>
  <si>
    <t>ABAK</t>
  </si>
  <si>
    <t>EASTERN OBOLO</t>
  </si>
  <si>
    <t>KURFI</t>
  </si>
  <si>
    <t>EKET</t>
  </si>
  <si>
    <t>KUSADA</t>
  </si>
  <si>
    <t>EKPE ATAI</t>
  </si>
  <si>
    <t>MAIADUA</t>
  </si>
  <si>
    <t>ESSIEN UDIM</t>
  </si>
  <si>
    <t>MALUMFASHI</t>
  </si>
  <si>
    <t>ETIM EKPO</t>
  </si>
  <si>
    <t>MANI</t>
  </si>
  <si>
    <t>ETINAN</t>
  </si>
  <si>
    <t>MASHI</t>
  </si>
  <si>
    <t>IBENO</t>
  </si>
  <si>
    <t>MATAZU</t>
  </si>
  <si>
    <t>IBESIKPO ASUTAN</t>
  </si>
  <si>
    <t>MUSAWA</t>
  </si>
  <si>
    <t>IBIONO IBOM</t>
  </si>
  <si>
    <t>RIMI</t>
  </si>
  <si>
    <t>IKA</t>
  </si>
  <si>
    <t>SABUWA</t>
  </si>
  <si>
    <t>IKONO</t>
  </si>
  <si>
    <t>SAFANA</t>
  </si>
  <si>
    <t>IKOT ABASI</t>
  </si>
  <si>
    <t>SANDAMU</t>
  </si>
  <si>
    <t>IKOT EKPENE</t>
  </si>
  <si>
    <t>ZANGO</t>
  </si>
  <si>
    <t>INI</t>
  </si>
  <si>
    <t>KATSINA TOTAL</t>
  </si>
  <si>
    <t>ITU</t>
  </si>
  <si>
    <t>ALIERU</t>
  </si>
  <si>
    <t>MBO</t>
  </si>
  <si>
    <t>AREWA</t>
  </si>
  <si>
    <t>MKPAT ENIN</t>
  </si>
  <si>
    <t>ARGUNGU</t>
  </si>
  <si>
    <t>NSIT IBOM</t>
  </si>
  <si>
    <t>AUGIE</t>
  </si>
  <si>
    <t>NSIT UBIUM</t>
  </si>
  <si>
    <t>BAGUDO</t>
  </si>
  <si>
    <t>OBAT AKARA</t>
  </si>
  <si>
    <t>BIRNIN -KEBBI</t>
  </si>
  <si>
    <t>OKOBO</t>
  </si>
  <si>
    <t>BUNZA</t>
  </si>
  <si>
    <t>ONNA</t>
  </si>
  <si>
    <t>DANDI KAMBA</t>
  </si>
  <si>
    <t>ORON</t>
  </si>
  <si>
    <t>DANKO /WASAGU</t>
  </si>
  <si>
    <t>ORUK ANAM</t>
  </si>
  <si>
    <t>FAKAI</t>
  </si>
  <si>
    <t>UDUNG UKO</t>
  </si>
  <si>
    <t>GWANDU</t>
  </si>
  <si>
    <t>UKANAFUN</t>
  </si>
  <si>
    <t>JEGA</t>
  </si>
  <si>
    <t>UQUO</t>
  </si>
  <si>
    <t>KALGO</t>
  </si>
  <si>
    <t>URUAN</t>
  </si>
  <si>
    <t>KOKO/BESSE</t>
  </si>
  <si>
    <t>URUE OFFONG/ORUK</t>
  </si>
  <si>
    <t>MAIYAMA</t>
  </si>
  <si>
    <t>UYO</t>
  </si>
  <si>
    <t>NGASKI</t>
  </si>
  <si>
    <t>AKWA IBOM TOTAL</t>
  </si>
  <si>
    <t>SAKABA</t>
  </si>
  <si>
    <t xml:space="preserve">ANAMBRA </t>
  </si>
  <si>
    <t>AGUATA</t>
  </si>
  <si>
    <t>SHANGA</t>
  </si>
  <si>
    <t>ANAMBRA EAST</t>
  </si>
  <si>
    <t>SURU</t>
  </si>
  <si>
    <t>ANAMBRA WEST</t>
  </si>
  <si>
    <t>YAURI</t>
  </si>
  <si>
    <t>ANIOCHA</t>
  </si>
  <si>
    <t>ZURU</t>
  </si>
  <si>
    <t>AWKA NORTH</t>
  </si>
  <si>
    <t>KEBBI TOTAL</t>
  </si>
  <si>
    <t>AWKA SOUTH</t>
  </si>
  <si>
    <t>ADAVI</t>
  </si>
  <si>
    <t>AYAMELUM</t>
  </si>
  <si>
    <t>AJAOKUTA</t>
  </si>
  <si>
    <t>DUNUKOFIA</t>
  </si>
  <si>
    <t>ANKPA</t>
  </si>
  <si>
    <t>EKWUSIGWO</t>
  </si>
  <si>
    <t>BASSA</t>
  </si>
  <si>
    <t>IDEMILI NORTH</t>
  </si>
  <si>
    <t>DEKINA</t>
  </si>
  <si>
    <t>IDEMILI SOUTH</t>
  </si>
  <si>
    <t>IBAJI</t>
  </si>
  <si>
    <t>IHIALA</t>
  </si>
  <si>
    <t>IDAH</t>
  </si>
  <si>
    <t>NJIKOKA</t>
  </si>
  <si>
    <t>IGALAMELA</t>
  </si>
  <si>
    <t>NNEWI NORTH</t>
  </si>
  <si>
    <t>IJUMU</t>
  </si>
  <si>
    <t>NNEWI SOUTH</t>
  </si>
  <si>
    <t>KABBA/BUNU</t>
  </si>
  <si>
    <t>OGBARU</t>
  </si>
  <si>
    <t>ONISHA NORTH</t>
  </si>
  <si>
    <t>KOTON KARFE</t>
  </si>
  <si>
    <t>ONISHA SOUTH</t>
  </si>
  <si>
    <t>MOPA-MURO</t>
  </si>
  <si>
    <t>ORUMBA NORTH</t>
  </si>
  <si>
    <t>OFU</t>
  </si>
  <si>
    <t>ORUMBA SOUTH</t>
  </si>
  <si>
    <t>OGORI/MAGONGO</t>
  </si>
  <si>
    <t>OYI</t>
  </si>
  <si>
    <t>OKEHI</t>
  </si>
  <si>
    <t>ANAMBRA TOTAL</t>
  </si>
  <si>
    <t>OKENE</t>
  </si>
  <si>
    <t xml:space="preserve">BAUCHI </t>
  </si>
  <si>
    <t>ALKALERI</t>
  </si>
  <si>
    <t>OLAMABORO</t>
  </si>
  <si>
    <t>OMALA</t>
  </si>
  <si>
    <t>BOGORO</t>
  </si>
  <si>
    <t>YAGBA EAST</t>
  </si>
  <si>
    <t>DAMBAN</t>
  </si>
  <si>
    <t>YAGBA WEST</t>
  </si>
  <si>
    <t>DARAZO</t>
  </si>
  <si>
    <t>KOGI TOTAL</t>
  </si>
  <si>
    <t>DASS</t>
  </si>
  <si>
    <t>ASA</t>
  </si>
  <si>
    <t>GAMAWA</t>
  </si>
  <si>
    <t>BARUTEN</t>
  </si>
  <si>
    <t>GANJUWA</t>
  </si>
  <si>
    <t>EDU</t>
  </si>
  <si>
    <t>GIADE</t>
  </si>
  <si>
    <t>I/GADAU</t>
  </si>
  <si>
    <t>IFELODUN</t>
  </si>
  <si>
    <t>JAMA'ARE</t>
  </si>
  <si>
    <t>ILORIN EAST</t>
  </si>
  <si>
    <t>KATAGUM</t>
  </si>
  <si>
    <t>ILORIN SOUTH</t>
  </si>
  <si>
    <t>KIRFI</t>
  </si>
  <si>
    <t>ILORIN WEST</t>
  </si>
  <si>
    <t>MISAU</t>
  </si>
  <si>
    <t>IREPODUN</t>
  </si>
  <si>
    <t>NINGI</t>
  </si>
  <si>
    <t>KAI AMA</t>
  </si>
  <si>
    <t>SHIRA</t>
  </si>
  <si>
    <t>MORO</t>
  </si>
  <si>
    <t>TAFAWA BALEWA</t>
  </si>
  <si>
    <t>OFFA</t>
  </si>
  <si>
    <t>TORO</t>
  </si>
  <si>
    <t>OKE-ERO</t>
  </si>
  <si>
    <t>WARJI</t>
  </si>
  <si>
    <t>OSIN</t>
  </si>
  <si>
    <t>ZAKI</t>
  </si>
  <si>
    <t>OYUN</t>
  </si>
  <si>
    <t>BAUCHI TOTAL</t>
  </si>
  <si>
    <t>PATEGI</t>
  </si>
  <si>
    <t xml:space="preserve">BAYELSA </t>
  </si>
  <si>
    <t>BRASS</t>
  </si>
  <si>
    <t>KWARA TOTAL</t>
  </si>
  <si>
    <t>EKERMOR</t>
  </si>
  <si>
    <t>AGEGE</t>
  </si>
  <si>
    <t>KOLOKUMA/OPOKUMA</t>
  </si>
  <si>
    <t>AJEROMI/IFELODUN</t>
  </si>
  <si>
    <t>NEMBE</t>
  </si>
  <si>
    <t>ALIMOSHO</t>
  </si>
  <si>
    <t>OGBIA</t>
  </si>
  <si>
    <t>AMOWO-ODOFIN</t>
  </si>
  <si>
    <t>SAGBAMA</t>
  </si>
  <si>
    <t>APAPA</t>
  </si>
  <si>
    <t>SOUTHERN IJAW</t>
  </si>
  <si>
    <t>BADAGRY</t>
  </si>
  <si>
    <t>YENAGOA</t>
  </si>
  <si>
    <t>EPE</t>
  </si>
  <si>
    <t>BAYELSA TOTAL</t>
  </si>
  <si>
    <t>ETI-OSA</t>
  </si>
  <si>
    <t xml:space="preserve">BENUE </t>
  </si>
  <si>
    <t>ADO</t>
  </si>
  <si>
    <t>IBEJU-LEKKI</t>
  </si>
  <si>
    <t>AGATU</t>
  </si>
  <si>
    <t>IFAKO/IJAYE</t>
  </si>
  <si>
    <t>APA</t>
  </si>
  <si>
    <t>IKEJA</t>
  </si>
  <si>
    <t>BURUKU</t>
  </si>
  <si>
    <t>IKORODU</t>
  </si>
  <si>
    <t>GBOKO</t>
  </si>
  <si>
    <t>KOSOFE</t>
  </si>
  <si>
    <t>GUMA</t>
  </si>
  <si>
    <t>LAGOS ISLAND</t>
  </si>
  <si>
    <t>GWER EAST</t>
  </si>
  <si>
    <t>LAGOS MAINLAND</t>
  </si>
  <si>
    <t>GWER WEST</t>
  </si>
  <si>
    <t>MUSHIN</t>
  </si>
  <si>
    <t>KATSINA ALA</t>
  </si>
  <si>
    <t>OJO</t>
  </si>
  <si>
    <t>KONSHISHA</t>
  </si>
  <si>
    <t>OSHODI/ISOLO</t>
  </si>
  <si>
    <t>KWANDE</t>
  </si>
  <si>
    <t>SOMOLU</t>
  </si>
  <si>
    <t>LOGO</t>
  </si>
  <si>
    <t>SURULERE</t>
  </si>
  <si>
    <t>MAKURDI</t>
  </si>
  <si>
    <t>LAGOS TOTAL</t>
  </si>
  <si>
    <t>OBI</t>
  </si>
  <si>
    <t>AKWANGA</t>
  </si>
  <si>
    <t>OGBADIBO</t>
  </si>
  <si>
    <t>AWE</t>
  </si>
  <si>
    <t>OHIMINI</t>
  </si>
  <si>
    <t>DOMA</t>
  </si>
  <si>
    <t>OJU</t>
  </si>
  <si>
    <t>KARU</t>
  </si>
  <si>
    <t>OKPOKWU</t>
  </si>
  <si>
    <t>KEANA</t>
  </si>
  <si>
    <t>OTUKPO</t>
  </si>
  <si>
    <t>KEFFI</t>
  </si>
  <si>
    <t>TARKA</t>
  </si>
  <si>
    <t>KOKONA</t>
  </si>
  <si>
    <t>UKUM</t>
  </si>
  <si>
    <t>LAFIA</t>
  </si>
  <si>
    <t>USHONGO</t>
  </si>
  <si>
    <t>NASARAWA</t>
  </si>
  <si>
    <t>VANDEIKYA</t>
  </si>
  <si>
    <t>NASARAWA EGGON</t>
  </si>
  <si>
    <t>BENUE TOTAL</t>
  </si>
  <si>
    <t xml:space="preserve">BORNO </t>
  </si>
  <si>
    <t>ABADAN</t>
  </si>
  <si>
    <t>TOTO</t>
  </si>
  <si>
    <t>ASKIRA UBA</t>
  </si>
  <si>
    <t>WAMBA</t>
  </si>
  <si>
    <t>BAMA</t>
  </si>
  <si>
    <t>NASSARAWA TOTAL</t>
  </si>
  <si>
    <t>BAYO</t>
  </si>
  <si>
    <t>AGAIE</t>
  </si>
  <si>
    <t>BIU</t>
  </si>
  <si>
    <t>AGWARA</t>
  </si>
  <si>
    <t>CHIBOK</t>
  </si>
  <si>
    <t>BIDA</t>
  </si>
  <si>
    <t>DAMBOA</t>
  </si>
  <si>
    <t>BORGU</t>
  </si>
  <si>
    <t>DIKWA</t>
  </si>
  <si>
    <t>BOSSO</t>
  </si>
  <si>
    <t>GUBIO</t>
  </si>
  <si>
    <t>EDATI</t>
  </si>
  <si>
    <t>GUZAMALA</t>
  </si>
  <si>
    <t>GBAKO</t>
  </si>
  <si>
    <t>GWOZA</t>
  </si>
  <si>
    <t>GURARA</t>
  </si>
  <si>
    <t>HAWUL</t>
  </si>
  <si>
    <t>KATCHA</t>
  </si>
  <si>
    <t>JERE</t>
  </si>
  <si>
    <t>KONTAGORA</t>
  </si>
  <si>
    <t>KAGA</t>
  </si>
  <si>
    <t>LAPAI</t>
  </si>
  <si>
    <t>KALA BALGE</t>
  </si>
  <si>
    <t>LAVUN</t>
  </si>
  <si>
    <t>KONDUGA</t>
  </si>
  <si>
    <t>MAGAMA</t>
  </si>
  <si>
    <t>KUKAWA</t>
  </si>
  <si>
    <t>MARIGA</t>
  </si>
  <si>
    <t>KWAYA KUSAR</t>
  </si>
  <si>
    <t>MASHEGU</t>
  </si>
  <si>
    <t>MAFA</t>
  </si>
  <si>
    <t>MINNA</t>
  </si>
  <si>
    <t>MAGUMERI</t>
  </si>
  <si>
    <t>MOKWA</t>
  </si>
  <si>
    <t>MAIDUGURI METRO</t>
  </si>
  <si>
    <t>MUYA</t>
  </si>
  <si>
    <t>MARTE</t>
  </si>
  <si>
    <t>PAIKORO</t>
  </si>
  <si>
    <t>MOBBAR</t>
  </si>
  <si>
    <t>RAFI</t>
  </si>
  <si>
    <t>MONGUNO</t>
  </si>
  <si>
    <t>RIJAU</t>
  </si>
  <si>
    <t>NGALA</t>
  </si>
  <si>
    <t>SHIRORO</t>
  </si>
  <si>
    <t>NGANZAI</t>
  </si>
  <si>
    <t>SULEJA</t>
  </si>
  <si>
    <t>SHANI</t>
  </si>
  <si>
    <t>TAFA</t>
  </si>
  <si>
    <t>BORNO TOTAL</t>
  </si>
  <si>
    <t>WUSHISHI</t>
  </si>
  <si>
    <t xml:space="preserve">CROSS RIVER </t>
  </si>
  <si>
    <t>ABI</t>
  </si>
  <si>
    <t>NIGER TOTAL</t>
  </si>
  <si>
    <t>AKAMKPA</t>
  </si>
  <si>
    <t>ABEOKUTA NORTH</t>
  </si>
  <si>
    <t>AKPABUYO</t>
  </si>
  <si>
    <t>ABEOKUTA SOUTH</t>
  </si>
  <si>
    <t>BAKASSI</t>
  </si>
  <si>
    <t>ADO-ODO/OTA</t>
  </si>
  <si>
    <t>BEKWARA</t>
  </si>
  <si>
    <t>EGBADO NORTH</t>
  </si>
  <si>
    <t>BIASE</t>
  </si>
  <si>
    <t>EGBADO SOUTH</t>
  </si>
  <si>
    <t>BOKI</t>
  </si>
  <si>
    <t>EWEKORO</t>
  </si>
  <si>
    <t>CALABAR MUNICIPAL</t>
  </si>
  <si>
    <t>REMO NORTH</t>
  </si>
  <si>
    <t>CALABAR SOUTH</t>
  </si>
  <si>
    <t>IFO</t>
  </si>
  <si>
    <t>ETUNG</t>
  </si>
  <si>
    <t>IJEBU EAST</t>
  </si>
  <si>
    <t>IKOM</t>
  </si>
  <si>
    <t>IJEBU NORTH</t>
  </si>
  <si>
    <t>OBANLIKU</t>
  </si>
  <si>
    <t>IJEBU ODE</t>
  </si>
  <si>
    <t>OBUBRA</t>
  </si>
  <si>
    <t>IKENNE</t>
  </si>
  <si>
    <t>OBUDU</t>
  </si>
  <si>
    <t>IJEBU NORTH EAST</t>
  </si>
  <si>
    <t>ODUKPANI</t>
  </si>
  <si>
    <t>IMEKO-AFON</t>
  </si>
  <si>
    <t>OGAJA</t>
  </si>
  <si>
    <t>IPOKIA</t>
  </si>
  <si>
    <t>YAKURR</t>
  </si>
  <si>
    <t>OBAFEMI/OWODE</t>
  </si>
  <si>
    <t>YALA</t>
  </si>
  <si>
    <t>ODEDAH</t>
  </si>
  <si>
    <t>CROSS RIVER TOTAL</t>
  </si>
  <si>
    <t>ODOGBOLU</t>
  </si>
  <si>
    <t xml:space="preserve">DELTA </t>
  </si>
  <si>
    <t>ANIOCHA NORTH</t>
  </si>
  <si>
    <t>OGUN WATERSIDE</t>
  </si>
  <si>
    <t>ANIOCHA SOUTH</t>
  </si>
  <si>
    <t>SHAGAMU</t>
  </si>
  <si>
    <t>BOMADI</t>
  </si>
  <si>
    <t>OGUN TOTAL</t>
  </si>
  <si>
    <t>BURUTU</t>
  </si>
  <si>
    <t>AKOKO NORTH EAST</t>
  </si>
  <si>
    <t>ETHIOPE EAST</t>
  </si>
  <si>
    <t>AKOKO NORTH WEST</t>
  </si>
  <si>
    <t>ETHIOPE WEST</t>
  </si>
  <si>
    <t>AKOKO SOUTH WEST</t>
  </si>
  <si>
    <t>IKA NORTH EAST</t>
  </si>
  <si>
    <t>AKOKO SOUTH EAST</t>
  </si>
  <si>
    <t>IKA SOUTH</t>
  </si>
  <si>
    <t>AKURE NORTH</t>
  </si>
  <si>
    <t>ISOKO NORTH</t>
  </si>
  <si>
    <t>AKURE SOUTH</t>
  </si>
  <si>
    <t>ISOKO SOUTH</t>
  </si>
  <si>
    <t>IDANRE</t>
  </si>
  <si>
    <t>NDOKWA EAST</t>
  </si>
  <si>
    <t>IFEDORE</t>
  </si>
  <si>
    <t>NDOKWA WEST</t>
  </si>
  <si>
    <t>OKITIPUPA</t>
  </si>
  <si>
    <t>OKPE</t>
  </si>
  <si>
    <t>ILAJE</t>
  </si>
  <si>
    <t>OSHIMILI NORTH</t>
  </si>
  <si>
    <t>ESE-EDO</t>
  </si>
  <si>
    <t>OSHIMILI SOUTH</t>
  </si>
  <si>
    <t>ILE-OLUJI-OKEIGBO</t>
  </si>
  <si>
    <t>PATANI</t>
  </si>
  <si>
    <t>IRELE</t>
  </si>
  <si>
    <t>SAPELE</t>
  </si>
  <si>
    <t>ODIGBO</t>
  </si>
  <si>
    <t>UDU</t>
  </si>
  <si>
    <t>ONDO EAST</t>
  </si>
  <si>
    <t>UGHELLI NORTH</t>
  </si>
  <si>
    <t>ONDO WEST</t>
  </si>
  <si>
    <t>UGHELLI SOUTH</t>
  </si>
  <si>
    <t>OSE</t>
  </si>
  <si>
    <t>UKWUANI</t>
  </si>
  <si>
    <t>OWO</t>
  </si>
  <si>
    <t>UVWIE</t>
  </si>
  <si>
    <t>ONDO TOTAL</t>
  </si>
  <si>
    <t>WARRI SOUTH</t>
  </si>
  <si>
    <t>ATAKUMOSA EAST</t>
  </si>
  <si>
    <t>WARRI NORTH</t>
  </si>
  <si>
    <t>ATAKUMOSA WEST</t>
  </si>
  <si>
    <t>WARRI SOUTH-WEST</t>
  </si>
  <si>
    <t>AIYEDADE</t>
  </si>
  <si>
    <t>DELTA TOTAL</t>
  </si>
  <si>
    <t>AIYEDIRE</t>
  </si>
  <si>
    <t xml:space="preserve">EBONYI </t>
  </si>
  <si>
    <t>ABAKALIKI</t>
  </si>
  <si>
    <t>BOLUWADURO</t>
  </si>
  <si>
    <t>AFIKPO NORTH</t>
  </si>
  <si>
    <t>BORIPE</t>
  </si>
  <si>
    <t xml:space="preserve">AFIKPO SOUTH </t>
  </si>
  <si>
    <t>EDE NORTH</t>
  </si>
  <si>
    <t>EDE SOUTH</t>
  </si>
  <si>
    <t>EZZA NORTH</t>
  </si>
  <si>
    <t>EGBEDORE</t>
  </si>
  <si>
    <t>EZZA SOUTH</t>
  </si>
  <si>
    <t>EJIGBO</t>
  </si>
  <si>
    <t>IKWO</t>
  </si>
  <si>
    <t>IFE CENTRAL</t>
  </si>
  <si>
    <t>ISHIELU</t>
  </si>
  <si>
    <t>IFE EAST</t>
  </si>
  <si>
    <t>IVO</t>
  </si>
  <si>
    <t>IFE NORTH</t>
  </si>
  <si>
    <t>IZZI</t>
  </si>
  <si>
    <t>IFE SOUTH</t>
  </si>
  <si>
    <t>OHAOZARA</t>
  </si>
  <si>
    <t>IFEDAYO</t>
  </si>
  <si>
    <t>OHAUKWU</t>
  </si>
  <si>
    <t>ONICHA</t>
  </si>
  <si>
    <t>ILA</t>
  </si>
  <si>
    <t>EBONYI TOTAL</t>
  </si>
  <si>
    <t>ILESHA EAST</t>
  </si>
  <si>
    <t>EDO TOTAL</t>
  </si>
  <si>
    <t>AKOKO EDO</t>
  </si>
  <si>
    <t>ILESHA WEST</t>
  </si>
  <si>
    <t>EGOR</t>
  </si>
  <si>
    <t>ESAN CENTRAL</t>
  </si>
  <si>
    <t>IREWOLE</t>
  </si>
  <si>
    <t>ESAN NORTH EAST</t>
  </si>
  <si>
    <t>ISOKAN</t>
  </si>
  <si>
    <t>ESAN SOUTH EAST</t>
  </si>
  <si>
    <t>IWO</t>
  </si>
  <si>
    <t>ESAN WEST</t>
  </si>
  <si>
    <t>OBOKUN</t>
  </si>
  <si>
    <t>ETSAKO CENTRAL</t>
  </si>
  <si>
    <t>ODO-OTIN</t>
  </si>
  <si>
    <t>ETSAKO EAST</t>
  </si>
  <si>
    <t>OLA-OLUWA</t>
  </si>
  <si>
    <t>ETSAKO WEST</t>
  </si>
  <si>
    <t>OLORUNDA</t>
  </si>
  <si>
    <t>IGUEBEN</t>
  </si>
  <si>
    <t>ORIADE</t>
  </si>
  <si>
    <t>IKPOBA OKHA</t>
  </si>
  <si>
    <t>OROLU</t>
  </si>
  <si>
    <t>OREDO</t>
  </si>
  <si>
    <t>OSOGBO</t>
  </si>
  <si>
    <t>ORHIONWON</t>
  </si>
  <si>
    <t>OSUN TOTAL</t>
  </si>
  <si>
    <t>OVIA NORTH EAST</t>
  </si>
  <si>
    <t>AFIJIO</t>
  </si>
  <si>
    <t>OVIA SOUTH WEST</t>
  </si>
  <si>
    <t>AKINYELE</t>
  </si>
  <si>
    <t>OWAN EAST</t>
  </si>
  <si>
    <t>ATIBA</t>
  </si>
  <si>
    <t>OWAN WEST</t>
  </si>
  <si>
    <t>ATISBO</t>
  </si>
  <si>
    <t>UHUNMWODE</t>
  </si>
  <si>
    <t>EGBEDA</t>
  </si>
  <si>
    <t>IBADAN NORTH</t>
  </si>
  <si>
    <t xml:space="preserve">EKITI </t>
  </si>
  <si>
    <t>ADO EKITI</t>
  </si>
  <si>
    <t>IBADAN NORTH EAST</t>
  </si>
  <si>
    <t>AIYEKIRE</t>
  </si>
  <si>
    <t>IBADAN NORTH WEST</t>
  </si>
  <si>
    <t>EFON</t>
  </si>
  <si>
    <t>IBADAN SOUTH EAST</t>
  </si>
  <si>
    <t>EKITI EAST</t>
  </si>
  <si>
    <t>IBADAN SOUTH WEST</t>
  </si>
  <si>
    <t>EKITI SOUTH WEST</t>
  </si>
  <si>
    <t>IBARAPA CENTRAL</t>
  </si>
  <si>
    <t>EKITI WEST</t>
  </si>
  <si>
    <t>IBARAPA NORTH</t>
  </si>
  <si>
    <t>EMURE</t>
  </si>
  <si>
    <t>IDO</t>
  </si>
  <si>
    <t>IDO-OSI</t>
  </si>
  <si>
    <t>SAKI WEST</t>
  </si>
  <si>
    <t>IJERO</t>
  </si>
  <si>
    <t>IFELOJU</t>
  </si>
  <si>
    <t>IKERE</t>
  </si>
  <si>
    <t>IREPO</t>
  </si>
  <si>
    <t>IKOLE</t>
  </si>
  <si>
    <t>ISEYIN</t>
  </si>
  <si>
    <t>ILEJEMEJI</t>
  </si>
  <si>
    <t>ITESIWAJU</t>
  </si>
  <si>
    <t>IREPODUN/IFELODUN</t>
  </si>
  <si>
    <t>IWAJOWA</t>
  </si>
  <si>
    <t>ISE/ORUN</t>
  </si>
  <si>
    <t>OLORUNSOGO</t>
  </si>
  <si>
    <t>MOBA</t>
  </si>
  <si>
    <t>KAJOLA</t>
  </si>
  <si>
    <t>OYE</t>
  </si>
  <si>
    <t>LAGELU</t>
  </si>
  <si>
    <t>EKITI TOTAL</t>
  </si>
  <si>
    <t>OGBOMOSHO NORTH</t>
  </si>
  <si>
    <t>AGWU</t>
  </si>
  <si>
    <t>OGBOMOSHO SOUTH</t>
  </si>
  <si>
    <t>ANINRI</t>
  </si>
  <si>
    <t>OGO-OLUWA</t>
  </si>
  <si>
    <t>ENUGU EAST</t>
  </si>
  <si>
    <t>OLUYOLE</t>
  </si>
  <si>
    <t>ENUGU NORTH</t>
  </si>
  <si>
    <t>ONA-ARA</t>
  </si>
  <si>
    <t>ENUGU SOUTH</t>
  </si>
  <si>
    <t>ORELOPE</t>
  </si>
  <si>
    <t>EZEAGU</t>
  </si>
  <si>
    <t>ORI IRE</t>
  </si>
  <si>
    <t>IGBO ETITI</t>
  </si>
  <si>
    <t>OYO EAST</t>
  </si>
  <si>
    <t>IGBO EZE NORTH</t>
  </si>
  <si>
    <t>OYO WEST</t>
  </si>
  <si>
    <t>IGBO EZE SOUTH</t>
  </si>
  <si>
    <t>SAKI EAST</t>
  </si>
  <si>
    <t>ISI UZO</t>
  </si>
  <si>
    <t>IFEDAPO</t>
  </si>
  <si>
    <t>NKANU EAST</t>
  </si>
  <si>
    <t>OYO TOTAL</t>
  </si>
  <si>
    <t>NKANU WEST</t>
  </si>
  <si>
    <t>BARKIN LADI</t>
  </si>
  <si>
    <t>NSUKKA</t>
  </si>
  <si>
    <t>OJI RIVER</t>
  </si>
  <si>
    <t>BOKKOS</t>
  </si>
  <si>
    <t>UDENU</t>
  </si>
  <si>
    <t>JOS EAST</t>
  </si>
  <si>
    <t>UDI</t>
  </si>
  <si>
    <t>JOS NORTH</t>
  </si>
  <si>
    <t>UZO UWANI</t>
  </si>
  <si>
    <t>JOS SOUTH</t>
  </si>
  <si>
    <t>ENUGU TOTAL</t>
  </si>
  <si>
    <t>KANAM</t>
  </si>
  <si>
    <t xml:space="preserve">GOMBE </t>
  </si>
  <si>
    <t>AKKO</t>
  </si>
  <si>
    <t>KANKE</t>
  </si>
  <si>
    <t>BALANGA</t>
  </si>
  <si>
    <t>LANGTANG NORTH</t>
  </si>
  <si>
    <t>BILLIRI</t>
  </si>
  <si>
    <t>LANGTANG SOUTH</t>
  </si>
  <si>
    <t>DUKKU</t>
  </si>
  <si>
    <t>MANGU</t>
  </si>
  <si>
    <t>FUNAKAYE</t>
  </si>
  <si>
    <t>MIKANG</t>
  </si>
  <si>
    <t>PANKSHIN</t>
  </si>
  <si>
    <t>KALTUNGO</t>
  </si>
  <si>
    <t>QUAN-PAN</t>
  </si>
  <si>
    <t>KWAMI</t>
  </si>
  <si>
    <t>RIYOM</t>
  </si>
  <si>
    <t>NAFADA</t>
  </si>
  <si>
    <t>SHENDAM</t>
  </si>
  <si>
    <t>SHOMGOM</t>
  </si>
  <si>
    <t>WASE</t>
  </si>
  <si>
    <t>YAMALTU/DEBA</t>
  </si>
  <si>
    <t>PLATEAU TOTAL</t>
  </si>
  <si>
    <t>GOMBE TOTAL</t>
  </si>
  <si>
    <t>AHOADA</t>
  </si>
  <si>
    <t xml:space="preserve">IMO </t>
  </si>
  <si>
    <t>ABOH MBAISE</t>
  </si>
  <si>
    <t>AHOADA WEST</t>
  </si>
  <si>
    <t>AHIAZU MBAISE</t>
  </si>
  <si>
    <t>AKUKUTORU</t>
  </si>
  <si>
    <t>EHIME MBANO</t>
  </si>
  <si>
    <t>ANDONI</t>
  </si>
  <si>
    <t>EZINIHITTE MBAISE</t>
  </si>
  <si>
    <t>ASARITORU</t>
  </si>
  <si>
    <t>IDEATO NORTH</t>
  </si>
  <si>
    <t>BONNY</t>
  </si>
  <si>
    <t>IDEATO SOUTH</t>
  </si>
  <si>
    <t>DEGEMA</t>
  </si>
  <si>
    <t>IHITTE UBOMA</t>
  </si>
  <si>
    <t>ELEME</t>
  </si>
  <si>
    <t>IKEDURU</t>
  </si>
  <si>
    <t>EMOHUA</t>
  </si>
  <si>
    <t>ISIALA MBANO</t>
  </si>
  <si>
    <t>ETCHE</t>
  </si>
  <si>
    <t>ISU</t>
  </si>
  <si>
    <t>GONAKA</t>
  </si>
  <si>
    <t>MBAITOLI</t>
  </si>
  <si>
    <t>IKWERRE</t>
  </si>
  <si>
    <t>NGOR/OKPALA</t>
  </si>
  <si>
    <t>KHANA</t>
  </si>
  <si>
    <t>NJABA</t>
  </si>
  <si>
    <t>OBIO/AKPOR</t>
  </si>
  <si>
    <t>NKWANGELE</t>
  </si>
  <si>
    <t>OBUA/ODUAL</t>
  </si>
  <si>
    <t>NKWERRE</t>
  </si>
  <si>
    <t>OGBA/EGBEMA/NDONI</t>
  </si>
  <si>
    <t>OBOWO</t>
  </si>
  <si>
    <t>OGU/BOLO</t>
  </si>
  <si>
    <t>OGUTA</t>
  </si>
  <si>
    <t>OKRIKA</t>
  </si>
  <si>
    <t>OHAJI/EGBEMA</t>
  </si>
  <si>
    <t>OMUMMA</t>
  </si>
  <si>
    <t>OKIGWE</t>
  </si>
  <si>
    <t>OPOBO/NKORO</t>
  </si>
  <si>
    <t>ONUIMO</t>
  </si>
  <si>
    <t>OYIGBO</t>
  </si>
  <si>
    <t>ORLU</t>
  </si>
  <si>
    <t>PORT HARCOURT</t>
  </si>
  <si>
    <t>ORSU</t>
  </si>
  <si>
    <t>TAI</t>
  </si>
  <si>
    <t>ORU</t>
  </si>
  <si>
    <t>RIVERS TOTAL</t>
  </si>
  <si>
    <t>ORU WEST</t>
  </si>
  <si>
    <t>BINJI</t>
  </si>
  <si>
    <t>OWERRI MUNICIPAL</t>
  </si>
  <si>
    <t>BODINGA</t>
  </si>
  <si>
    <t>OWERRI NORTH</t>
  </si>
  <si>
    <t>DANGE-SHUNI</t>
  </si>
  <si>
    <t>OWERRI WEST</t>
  </si>
  <si>
    <t>GADA</t>
  </si>
  <si>
    <t>IMO TOTAL</t>
  </si>
  <si>
    <t>GORONYO</t>
  </si>
  <si>
    <t xml:space="preserve">JIGAWA </t>
  </si>
  <si>
    <t>AUYO</t>
  </si>
  <si>
    <t>GUDU</t>
  </si>
  <si>
    <t>BABURA</t>
  </si>
  <si>
    <t>GWADABAWA</t>
  </si>
  <si>
    <t>BIRNIN KUDU</t>
  </si>
  <si>
    <t>ILLELA</t>
  </si>
  <si>
    <t>BIRNIWA</t>
  </si>
  <si>
    <t>ISA</t>
  </si>
  <si>
    <t>GAGARAWA</t>
  </si>
  <si>
    <t>KEBBE</t>
  </si>
  <si>
    <t>BUJI</t>
  </si>
  <si>
    <t>KWARE</t>
  </si>
  <si>
    <t>DUTSE</t>
  </si>
  <si>
    <t>RABAH</t>
  </si>
  <si>
    <t>GARKI</t>
  </si>
  <si>
    <t>SABON BIRNI</t>
  </si>
  <si>
    <t>GUMEL</t>
  </si>
  <si>
    <t>SHAGARI</t>
  </si>
  <si>
    <t>GURI</t>
  </si>
  <si>
    <t>SILAME</t>
  </si>
  <si>
    <t>GWARAM</t>
  </si>
  <si>
    <t>SOKOTO NORTH</t>
  </si>
  <si>
    <t>GWIWA</t>
  </si>
  <si>
    <t>SOKOTO SOUTH</t>
  </si>
  <si>
    <t>HADEJIA</t>
  </si>
  <si>
    <t>TAMBUWAL</t>
  </si>
  <si>
    <t>JAHUN</t>
  </si>
  <si>
    <t>TANGAZA</t>
  </si>
  <si>
    <t>KAFIN HAUSA</t>
  </si>
  <si>
    <t>TURETA</t>
  </si>
  <si>
    <t>KAUGAMA</t>
  </si>
  <si>
    <t>WAMAKKO</t>
  </si>
  <si>
    <t>KAZAURE</t>
  </si>
  <si>
    <t>WURNO</t>
  </si>
  <si>
    <t>KIRI-KASAMMA</t>
  </si>
  <si>
    <t>YABO</t>
  </si>
  <si>
    <t>KIYAWA</t>
  </si>
  <si>
    <t>SOKOTO TOTAL</t>
  </si>
  <si>
    <t>MAIGATARI</t>
  </si>
  <si>
    <t>ARDO KOLA</t>
  </si>
  <si>
    <t>MALAM MADORI</t>
  </si>
  <si>
    <t>BALI</t>
  </si>
  <si>
    <t>MIGA</t>
  </si>
  <si>
    <t>DONGA</t>
  </si>
  <si>
    <t>RINGIM</t>
  </si>
  <si>
    <t>GASHAKA</t>
  </si>
  <si>
    <t>RONI</t>
  </si>
  <si>
    <t>GASSOL</t>
  </si>
  <si>
    <t>SULE TAKARKAR</t>
  </si>
  <si>
    <t>IBI</t>
  </si>
  <si>
    <t>TAURA</t>
  </si>
  <si>
    <t>JALINGO</t>
  </si>
  <si>
    <t>YANKWASHI</t>
  </si>
  <si>
    <t>KARIM LAMIDU</t>
  </si>
  <si>
    <t>JIGAWA TOTAL</t>
  </si>
  <si>
    <t>KURMI</t>
  </si>
  <si>
    <t xml:space="preserve">KADUNA </t>
  </si>
  <si>
    <t>BIRNIN GWARI</t>
  </si>
  <si>
    <t>LAU</t>
  </si>
  <si>
    <t>CHIKUN</t>
  </si>
  <si>
    <t>SARDAUNA</t>
  </si>
  <si>
    <t>GIWA</t>
  </si>
  <si>
    <t>TAKUM</t>
  </si>
  <si>
    <t>KAJURU</t>
  </si>
  <si>
    <t>USSA</t>
  </si>
  <si>
    <t>IGABI</t>
  </si>
  <si>
    <t>WUKARI</t>
  </si>
  <si>
    <t>IKARA</t>
  </si>
  <si>
    <t>YORRO</t>
  </si>
  <si>
    <t>JABA</t>
  </si>
  <si>
    <t>ZING</t>
  </si>
  <si>
    <t>JEMA'A</t>
  </si>
  <si>
    <t>TARABA TOTAL</t>
  </si>
  <si>
    <t>KACHIA</t>
  </si>
  <si>
    <t>BADE</t>
  </si>
  <si>
    <t>KADUNA NORTH</t>
  </si>
  <si>
    <t>BURSARI</t>
  </si>
  <si>
    <t>KADUNA SOUTH</t>
  </si>
  <si>
    <t>DAMATURU</t>
  </si>
  <si>
    <t>KAGARKO</t>
  </si>
  <si>
    <t>FIKA</t>
  </si>
  <si>
    <t>KAURA</t>
  </si>
  <si>
    <t>FUNE</t>
  </si>
  <si>
    <t>KAURU</t>
  </si>
  <si>
    <t>GEIDAM</t>
  </si>
  <si>
    <t>KUBAU</t>
  </si>
  <si>
    <t>GUJBA</t>
  </si>
  <si>
    <t>KUDAN</t>
  </si>
  <si>
    <t>GULAMI</t>
  </si>
  <si>
    <t>LERE</t>
  </si>
  <si>
    <t>JAKUSKO</t>
  </si>
  <si>
    <t>MAKARFI</t>
  </si>
  <si>
    <t>KARASUWA</t>
  </si>
  <si>
    <t>SABON GARI</t>
  </si>
  <si>
    <t>MACHINA</t>
  </si>
  <si>
    <t>SANGA</t>
  </si>
  <si>
    <t>NANGERE</t>
  </si>
  <si>
    <t>SOBA</t>
  </si>
  <si>
    <t>NGURU</t>
  </si>
  <si>
    <t>ZANGON KATAF</t>
  </si>
  <si>
    <t>POTISKUM</t>
  </si>
  <si>
    <t>ZARIA</t>
  </si>
  <si>
    <t>TARMUA</t>
  </si>
  <si>
    <t>KADUNA TOTAL</t>
  </si>
  <si>
    <t>YUNUSARI</t>
  </si>
  <si>
    <t>AJINGI</t>
  </si>
  <si>
    <t>YUSUFARI</t>
  </si>
  <si>
    <t>ALBASU</t>
  </si>
  <si>
    <t>YOBE TOTAL</t>
  </si>
  <si>
    <t>BAGWAI</t>
  </si>
  <si>
    <t>ANKA</t>
  </si>
  <si>
    <t>BEBEJI</t>
  </si>
  <si>
    <t>BAKURA</t>
  </si>
  <si>
    <t>BICHI</t>
  </si>
  <si>
    <t>BUKKUYUM</t>
  </si>
  <si>
    <t>BUNKURE</t>
  </si>
  <si>
    <t>BUNGUDU</t>
  </si>
  <si>
    <t>DALA</t>
  </si>
  <si>
    <t>GUMMI</t>
  </si>
  <si>
    <t>DANBATTA</t>
  </si>
  <si>
    <t>GUSAU</t>
  </si>
  <si>
    <t>DAWAKIN KUDU</t>
  </si>
  <si>
    <t>KAURA NAMODA</t>
  </si>
  <si>
    <t>DAWAKIN TOFA</t>
  </si>
  <si>
    <t>DOGUWA</t>
  </si>
  <si>
    <t>MARADUN</t>
  </si>
  <si>
    <t>FAGGE</t>
  </si>
  <si>
    <t>MARU</t>
  </si>
  <si>
    <t>GABASAWA</t>
  </si>
  <si>
    <t>SHINKAFI</t>
  </si>
  <si>
    <t>GARKO</t>
  </si>
  <si>
    <t>TALATA MAFARA</t>
  </si>
  <si>
    <t>GARUN MALLAM</t>
  </si>
  <si>
    <t>TSAFE</t>
  </si>
  <si>
    <t>GAYA</t>
  </si>
  <si>
    <t>ZURMI</t>
  </si>
  <si>
    <t>GEZAWA</t>
  </si>
  <si>
    <t>ZAMFARA TOTAL</t>
  </si>
  <si>
    <t>GWALE</t>
  </si>
  <si>
    <t>FCT-ABUJA</t>
  </si>
  <si>
    <t>ABAJI</t>
  </si>
  <si>
    <t>GWARZO</t>
  </si>
  <si>
    <t>ABUJA MUNICIPAL</t>
  </si>
  <si>
    <t>KABO</t>
  </si>
  <si>
    <t>BWARI</t>
  </si>
  <si>
    <t>KANO MUNICIPAL</t>
  </si>
  <si>
    <t>GWAGWALADA</t>
  </si>
  <si>
    <t>KARAYE</t>
  </si>
  <si>
    <t>KUJE</t>
  </si>
  <si>
    <t>KIBIYA</t>
  </si>
  <si>
    <t>KWALI</t>
  </si>
  <si>
    <t>KIRU</t>
  </si>
  <si>
    <t>FCT-ABUJA TOTAL</t>
  </si>
  <si>
    <t>KUMBOTSO</t>
  </si>
  <si>
    <t>Grand Total</t>
  </si>
  <si>
    <t>Summary of Distribution of Revenue Allocation to Local Government Councils by Federation Account Allocation Committee for the month of  November, 2024 Shared in December, 2024</t>
  </si>
  <si>
    <t>`</t>
  </si>
  <si>
    <t>Total Ecology Fund</t>
  </si>
  <si>
    <t>VAT</t>
  </si>
  <si>
    <t>Details of Distribution of Ecology Revenue Allocation to States by Federation Account Allocation Committee for the month of  November, 2024 Shared in December, 2024</t>
  </si>
  <si>
    <t>S/N</t>
  </si>
  <si>
    <t>Gross Statutory Allocation (Ecology)</t>
  </si>
  <si>
    <t>Exchange Gain (Ecology)</t>
  </si>
  <si>
    <t xml:space="preserve"> Distribution of Ecology to Local Government Councils by Federation Account Allocation Committee for the month of November, 2024 Shared in December, 2024</t>
  </si>
  <si>
    <t>S/NO</t>
  </si>
  <si>
    <t>STATE</t>
  </si>
  <si>
    <t>LOCAL GOVERNMENT COUNCILS</t>
  </si>
  <si>
    <t>Total (Ecology)</t>
  </si>
  <si>
    <t xml:space="preserve"> Distribution of Ecology to Local Government Councils by Federation Account Allocation Committee for the month ofNovember, 2024 Shared in December, 2024</t>
  </si>
  <si>
    <t>ABIA  LGCS</t>
  </si>
  <si>
    <t>ADAMAWA  LGCS</t>
  </si>
  <si>
    <t>AKWA IBOM  LGCS</t>
  </si>
  <si>
    <t>ANAMBRA  LGCS</t>
  </si>
  <si>
    <t>BAUCHI  LGCS</t>
  </si>
  <si>
    <t>BAYELSA  LGCS</t>
  </si>
  <si>
    <t>BENUE  LGCS</t>
  </si>
  <si>
    <t>BORNO  LGCS</t>
  </si>
  <si>
    <t>CROSS RIVER  LGCS</t>
  </si>
  <si>
    <t>DELTA  LGCS</t>
  </si>
  <si>
    <t>EBONYI  LGCS</t>
  </si>
  <si>
    <t>EDO  LGCS</t>
  </si>
  <si>
    <t>EKITI  LGCS</t>
  </si>
  <si>
    <t>ENUGU  LGCS</t>
  </si>
  <si>
    <t>GOMBE  LGCS</t>
  </si>
  <si>
    <t>IMO  LGCS</t>
  </si>
  <si>
    <t>JIGAWA  LGCS</t>
  </si>
  <si>
    <t>KADUNA  LGCS</t>
  </si>
  <si>
    <t>KANO  LGCS</t>
  </si>
  <si>
    <t>KATSINA  LGCS</t>
  </si>
  <si>
    <t>KEBBI  LGCS</t>
  </si>
  <si>
    <t>KOGI  LGCS</t>
  </si>
  <si>
    <t>KWARA  LGCS</t>
  </si>
  <si>
    <t>LAGOS  LGCS</t>
  </si>
  <si>
    <t>NASSARAWA  LGCS</t>
  </si>
  <si>
    <t>NIGER  LGCS</t>
  </si>
  <si>
    <t>OGUN  LGCS</t>
  </si>
  <si>
    <t>ONDO  LGCS</t>
  </si>
  <si>
    <t>OSUN  LGCS</t>
  </si>
  <si>
    <t>OYO  LGCS</t>
  </si>
  <si>
    <t>PLATEAU  LGCS</t>
  </si>
  <si>
    <t>RIVERS  LGCS</t>
  </si>
  <si>
    <t>SOKOTO  LGCS</t>
  </si>
  <si>
    <t>TARABA  LGCS</t>
  </si>
  <si>
    <t>YOBE  LGCS</t>
  </si>
  <si>
    <t>ZAMFARA  LGCS</t>
  </si>
  <si>
    <t>FCT-ABUJA  LGCS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</si>
</sst>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 &quot;#,##0.00;\-&quot; &quot;#,##0.00"/>
    <numFmt numFmtId="43" formatCode="_-* #,##0.00_-;\-* #,##0.00_-;_-* &quot;-&quot;??_-;_-@_-"/>
    <numFmt numFmtId="165" formatCode="_(* #,##0.00_);_(* \(#,##0.00\);_(* &quot;-&quot;??_);_(@_)"/>
    <numFmt numFmtId="168" formatCode="#,##0.00_ ;\-#,##0.00&quot; &quot;"/>
    <numFmt numFmtId="169" formatCode="#,##0.0000000_ ;\-#,##0.0000000&quot; &quot;"/>
  </numFmts>
  <fonts count="30">
    <font>
      <sz val="10"/>
      <name val="Arial"/>
      <charset val="134"/>
    </font>
    <font>
      <b/>
      <sz val="16"/>
      <name val="Times New Roman"/>
      <charset val="134"/>
    </font>
    <font>
      <b/>
      <sz val="13"/>
      <name val="Times New Roman"/>
      <charset val="134"/>
    </font>
    <font>
      <b/>
      <sz val="11"/>
      <color theme="1"/>
      <name val="Times New Roman"/>
      <charset val="134"/>
    </font>
    <font>
      <b/>
      <sz val="14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sz val="14"/>
      <color indexed="8"/>
      <name val="Times New Roman"/>
      <charset val="134"/>
    </font>
    <font>
      <sz val="14"/>
      <name val="Times New Roman"/>
      <charset val="134"/>
    </font>
    <font>
      <sz val="10"/>
      <name val="Times New Roman"/>
      <charset val="134"/>
    </font>
    <font>
      <b/>
      <sz val="14"/>
      <color indexed="8"/>
      <name val="Times New Roman"/>
      <charset val="134"/>
    </font>
    <font>
      <b/>
      <sz val="11"/>
      <color indexed="8"/>
      <name val="Times New Roman"/>
      <charset val="134"/>
    </font>
    <font>
      <b/>
      <sz val="24"/>
      <name val="Times New Roman"/>
      <charset val="134"/>
    </font>
    <font>
      <b/>
      <sz val="18"/>
      <name val="Times New Roman"/>
      <charset val="134"/>
    </font>
    <font>
      <b/>
      <sz val="12"/>
      <color indexed="8"/>
      <name val="Times New Roman"/>
      <charset val="134"/>
    </font>
    <font>
      <b/>
      <sz val="10"/>
      <name val="Times New Roman"/>
      <charset val="134"/>
    </font>
    <font>
      <b/>
      <sz val="20"/>
      <name val="Times New Roman"/>
      <charset val="134"/>
    </font>
    <font>
      <b/>
      <u/>
      <sz val="16"/>
      <name val="Times New Roman"/>
      <charset val="134"/>
    </font>
    <font>
      <sz val="11"/>
      <color indexed="8"/>
      <name val="Times New Roman"/>
      <charset val="134"/>
    </font>
    <font>
      <sz val="11"/>
      <color indexed="8"/>
      <name val="Times New Roman"/>
    </font>
    <font>
      <sz val="8"/>
      <color indexed="8"/>
      <name val="Arial"/>
    </font>
    <font>
      <b/>
      <u val="singleAccounting"/>
      <sz val="10"/>
      <name val="Times New Roman"/>
      <charset val="134"/>
    </font>
    <font>
      <sz val="18"/>
      <name val="Times New Roman"/>
      <charset val="134"/>
    </font>
    <font>
      <b/>
      <u/>
      <sz val="14"/>
      <name val="Times New Roman"/>
      <charset val="134"/>
    </font>
    <font>
      <sz val="12"/>
      <name val="Times New Roman"/>
      <charset val="134"/>
    </font>
    <font>
      <sz val="16"/>
      <name val="Times New Roman"/>
      <charset val="134"/>
    </font>
    <font>
      <b/>
      <sz val="22"/>
      <name val="Times New Roman"/>
      <charset val="134"/>
    </font>
    <font>
      <b/>
      <sz val="18"/>
      <name val="Arial"/>
      <charset val="134"/>
    </font>
    <font>
      <sz val="10"/>
      <color indexed="8"/>
      <name val="Arial"/>
      <charset val="134"/>
    </font>
    <font>
      <sz val="10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8">
    <xf numFmtId="0" fontId="0" fillId="0" borderId="0"/>
    <xf numFmtId="165" fontId="29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</cellStyleXfs>
  <cellXfs count="210">
    <xf numFmtId="0" fontId="0" fillId="0" borderId="0" xfId="0"/>
    <xf numFmtId="0" fontId="1" fillId="0" borderId="1" xfId="0" applyFont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165" fontId="4" fillId="0" borderId="1" xfId="1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2" borderId="1" xfId="4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4" applyFont="1" applyBorder="1" applyAlignment="1">
      <alignment horizontal="right" wrapText="1"/>
    </xf>
    <xf numFmtId="0" fontId="7" fillId="0" borderId="1" xfId="4" applyFont="1" applyBorder="1" applyAlignment="1">
      <alignment wrapText="1"/>
    </xf>
    <xf numFmtId="7" fontId="7" fillId="0" borderId="1" xfId="4" applyNumberFormat="1" applyFont="1" applyBorder="1" applyAlignment="1">
      <alignment horizontal="right" wrapText="1"/>
    </xf>
    <xf numFmtId="39" fontId="8" fillId="0" borderId="1" xfId="0" applyNumberFormat="1" applyFont="1" applyBorder="1"/>
    <xf numFmtId="0" fontId="4" fillId="0" borderId="1" xfId="0" applyFont="1" applyBorder="1" applyAlignment="1">
      <alignment horizontal="center"/>
    </xf>
    <xf numFmtId="7" fontId="4" fillId="0" borderId="1" xfId="0" applyNumberFormat="1" applyFont="1" applyBorder="1"/>
    <xf numFmtId="0" fontId="9" fillId="0" borderId="0" xfId="0" applyFont="1"/>
    <xf numFmtId="0" fontId="10" fillId="2" borderId="3" xfId="2" applyFont="1" applyFill="1" applyBorder="1" applyAlignment="1">
      <alignment horizontal="center"/>
    </xf>
    <xf numFmtId="0" fontId="10" fillId="2" borderId="3" xfId="2" applyFont="1" applyFill="1" applyBorder="1" applyAlignment="1">
      <alignment horizontal="center" wrapText="1"/>
    </xf>
    <xf numFmtId="165" fontId="4" fillId="0" borderId="4" xfId="1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4" xfId="0" applyFont="1" applyBorder="1" applyAlignment="1">
      <alignment horizontal="center"/>
    </xf>
    <xf numFmtId="0" fontId="11" fillId="2" borderId="1" xfId="2" applyFont="1" applyFill="1" applyBorder="1" applyAlignment="1">
      <alignment horizontal="center"/>
    </xf>
    <xf numFmtId="0" fontId="11" fillId="2" borderId="1" xfId="2" applyFont="1" applyFill="1" applyBorder="1" applyAlignment="1">
      <alignment horizontal="center" wrapText="1"/>
    </xf>
    <xf numFmtId="0" fontId="7" fillId="0" borderId="1" xfId="2" applyFont="1" applyBorder="1" applyAlignment="1">
      <alignment horizontal="right" wrapText="1"/>
    </xf>
    <xf numFmtId="0" fontId="7" fillId="0" borderId="1" xfId="2" applyFont="1" applyBorder="1" applyAlignment="1">
      <alignment wrapText="1"/>
    </xf>
    <xf numFmtId="7" fontId="7" fillId="0" borderId="1" xfId="2" applyNumberFormat="1" applyFont="1" applyBorder="1" applyAlignment="1">
      <alignment horizontal="right" wrapText="1"/>
    </xf>
    <xf numFmtId="7" fontId="8" fillId="0" borderId="1" xfId="0" applyNumberFormat="1" applyFont="1" applyBorder="1"/>
    <xf numFmtId="7" fontId="9" fillId="0" borderId="0" xfId="0" applyNumberFormat="1" applyFont="1"/>
    <xf numFmtId="0" fontId="9" fillId="0" borderId="0" xfId="0" applyFont="1" applyAlignment="1">
      <alignment wrapText="1"/>
    </xf>
    <xf numFmtId="165" fontId="9" fillId="0" borderId="0" xfId="1" applyFont="1"/>
    <xf numFmtId="0" fontId="8" fillId="0" borderId="1" xfId="0" applyFont="1" applyBorder="1"/>
    <xf numFmtId="0" fontId="8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1" xfId="0" applyFont="1" applyBorder="1"/>
    <xf numFmtId="0" fontId="4" fillId="0" borderId="0" xfId="0" applyFont="1" applyAlignment="1">
      <alignment horizontal="center"/>
    </xf>
    <xf numFmtId="165" fontId="4" fillId="0" borderId="0" xfId="1" applyFont="1" applyBorder="1" applyAlignment="1">
      <alignment wrapText="1"/>
    </xf>
    <xf numFmtId="0" fontId="4" fillId="0" borderId="0" xfId="0" applyFont="1" applyAlignment="1">
      <alignment wrapText="1"/>
    </xf>
    <xf numFmtId="0" fontId="7" fillId="2" borderId="1" xfId="6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6" applyFont="1" applyBorder="1" applyAlignment="1">
      <alignment horizontal="right" wrapText="1"/>
    </xf>
    <xf numFmtId="0" fontId="7" fillId="0" borderId="1" xfId="6" applyFont="1" applyBorder="1" applyAlignment="1">
      <alignment wrapText="1"/>
    </xf>
    <xf numFmtId="165" fontId="8" fillId="0" borderId="1" xfId="1" applyFont="1" applyBorder="1"/>
    <xf numFmtId="43" fontId="8" fillId="0" borderId="1" xfId="0" applyNumberFormat="1" applyFont="1" applyBorder="1"/>
    <xf numFmtId="43" fontId="8" fillId="0" borderId="0" xfId="0" applyNumberFormat="1" applyFont="1"/>
    <xf numFmtId="165" fontId="8" fillId="0" borderId="0" xfId="0" applyNumberFormat="1" applyFont="1"/>
    <xf numFmtId="165" fontId="4" fillId="0" borderId="1" xfId="0" applyNumberFormat="1" applyFont="1" applyBorder="1"/>
    <xf numFmtId="165" fontId="4" fillId="0" borderId="0" xfId="0" applyNumberFormat="1" applyFont="1"/>
    <xf numFmtId="0" fontId="4" fillId="2" borderId="1" xfId="3" applyFont="1" applyFill="1" applyBorder="1" applyAlignment="1">
      <alignment horizontal="center"/>
    </xf>
    <xf numFmtId="165" fontId="6" fillId="0" borderId="1" xfId="1" applyFont="1" applyBorder="1" applyAlignment="1">
      <alignment horizontal="center" wrapText="1"/>
    </xf>
    <xf numFmtId="165" fontId="6" fillId="0" borderId="1" xfId="1" applyFont="1" applyBorder="1" applyAlignment="1">
      <alignment horizontal="center"/>
    </xf>
    <xf numFmtId="0" fontId="14" fillId="2" borderId="1" xfId="7" applyFont="1" applyFill="1" applyBorder="1" applyAlignment="1">
      <alignment horizontal="center" wrapText="1"/>
    </xf>
    <xf numFmtId="0" fontId="7" fillId="0" borderId="1" xfId="3" applyFont="1" applyBorder="1" applyAlignment="1">
      <alignment horizontal="right" wrapText="1"/>
    </xf>
    <xf numFmtId="0" fontId="7" fillId="0" borderId="1" xfId="3" applyFont="1" applyBorder="1" applyAlignment="1">
      <alignment wrapText="1"/>
    </xf>
    <xf numFmtId="165" fontId="7" fillId="0" borderId="1" xfId="1" applyFont="1" applyBorder="1" applyAlignment="1">
      <alignment wrapText="1"/>
    </xf>
    <xf numFmtId="7" fontId="7" fillId="0" borderId="1" xfId="3" applyNumberFormat="1" applyFont="1" applyBorder="1" applyAlignment="1">
      <alignment horizontal="right" wrapText="1"/>
    </xf>
    <xf numFmtId="165" fontId="8" fillId="0" borderId="0" xfId="1" applyFont="1"/>
    <xf numFmtId="0" fontId="15" fillId="0" borderId="1" xfId="0" applyFont="1" applyBorder="1" applyAlignment="1">
      <alignment horizontal="center" wrapText="1"/>
    </xf>
    <xf numFmtId="0" fontId="14" fillId="2" borderId="6" xfId="7" applyFont="1" applyFill="1" applyBorder="1" applyAlignment="1">
      <alignment horizontal="center" wrapText="1"/>
    </xf>
    <xf numFmtId="168" fontId="8" fillId="0" borderId="1" xfId="0" applyNumberFormat="1" applyFont="1" applyBorder="1"/>
    <xf numFmtId="169" fontId="8" fillId="0" borderId="0" xfId="0" applyNumberFormat="1" applyFont="1"/>
    <xf numFmtId="0" fontId="9" fillId="0" borderId="0" xfId="0" applyFont="1" applyAlignment="1">
      <alignment vertical="center"/>
    </xf>
    <xf numFmtId="0" fontId="15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65" fontId="9" fillId="0" borderId="1" xfId="1" applyFont="1" applyBorder="1"/>
    <xf numFmtId="165" fontId="15" fillId="0" borderId="1" xfId="1" applyFont="1" applyBorder="1"/>
    <xf numFmtId="0" fontId="9" fillId="0" borderId="2" xfId="0" applyFont="1" applyBorder="1"/>
    <xf numFmtId="0" fontId="9" fillId="0" borderId="4" xfId="0" applyFont="1" applyBorder="1"/>
    <xf numFmtId="0" fontId="9" fillId="3" borderId="0" xfId="0" applyFont="1" applyFill="1"/>
    <xf numFmtId="165" fontId="15" fillId="0" borderId="1" xfId="0" applyNumberFormat="1" applyFont="1" applyBorder="1"/>
    <xf numFmtId="1" fontId="9" fillId="0" borderId="1" xfId="0" applyNumberFormat="1" applyFont="1" applyBorder="1"/>
    <xf numFmtId="0" fontId="15" fillId="0" borderId="4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165" fontId="9" fillId="0" borderId="1" xfId="1" applyFont="1" applyBorder="1" applyAlignment="1">
      <alignment wrapText="1"/>
    </xf>
    <xf numFmtId="1" fontId="9" fillId="0" borderId="6" xfId="0" applyNumberFormat="1" applyFont="1" applyBorder="1"/>
    <xf numFmtId="165" fontId="9" fillId="0" borderId="7" xfId="1" applyFont="1" applyBorder="1"/>
    <xf numFmtId="165" fontId="18" fillId="0" borderId="1" xfId="5" applyNumberFormat="1" applyFont="1" applyBorder="1" applyAlignment="1">
      <alignment horizontal="right" wrapText="1"/>
    </xf>
    <xf numFmtId="165" fontId="9" fillId="0" borderId="1" xfId="1" applyFont="1" applyBorder="1" applyAlignment="1">
      <alignment horizontal="left" wrapText="1"/>
    </xf>
    <xf numFmtId="165" fontId="9" fillId="0" borderId="0" xfId="0" applyNumberFormat="1" applyFont="1"/>
    <xf numFmtId="7" fontId="18" fillId="0" borderId="1" xfId="5" applyNumberFormat="1" applyFont="1" applyBorder="1" applyAlignment="1">
      <alignment horizontal="right" wrapText="1"/>
    </xf>
    <xf numFmtId="4" fontId="19" fillId="0" borderId="1" xfId="0" applyNumberFormat="1" applyFont="1" applyFill="1" applyBorder="1" applyAlignment="1">
      <alignment horizontal="right"/>
    </xf>
    <xf numFmtId="4" fontId="20" fillId="0" borderId="1" xfId="0" applyNumberFormat="1" applyFont="1" applyFill="1" applyBorder="1" applyAlignment="1">
      <alignment horizontal="right"/>
    </xf>
    <xf numFmtId="0" fontId="9" fillId="4" borderId="1" xfId="0" applyFont="1" applyFill="1" applyBorder="1"/>
    <xf numFmtId="165" fontId="9" fillId="4" borderId="1" xfId="0" applyNumberFormat="1" applyFont="1" applyFill="1" applyBorder="1"/>
    <xf numFmtId="165" fontId="15" fillId="4" borderId="1" xfId="0" applyNumberFormat="1" applyFont="1" applyFill="1" applyBorder="1"/>
    <xf numFmtId="165" fontId="9" fillId="0" borderId="5" xfId="1" applyFont="1" applyFill="1" applyBorder="1"/>
    <xf numFmtId="43" fontId="21" fillId="0" borderId="0" xfId="0" applyNumberFormat="1" applyFont="1"/>
    <xf numFmtId="0" fontId="9" fillId="4" borderId="0" xfId="0" applyFont="1" applyFill="1"/>
    <xf numFmtId="165" fontId="9" fillId="4" borderId="0" xfId="0" applyNumberFormat="1" applyFont="1" applyFill="1"/>
    <xf numFmtId="0" fontId="15" fillId="3" borderId="0" xfId="0" applyFont="1" applyFill="1"/>
    <xf numFmtId="0" fontId="9" fillId="0" borderId="11" xfId="0" applyFont="1" applyBorder="1"/>
    <xf numFmtId="165" fontId="15" fillId="0" borderId="2" xfId="1" applyFont="1" applyBorder="1"/>
    <xf numFmtId="165" fontId="15" fillId="0" borderId="13" xfId="1" applyFont="1" applyBorder="1"/>
    <xf numFmtId="165" fontId="15" fillId="0" borderId="14" xfId="1" applyFont="1" applyBorder="1"/>
    <xf numFmtId="165" fontId="15" fillId="0" borderId="0" xfId="0" applyNumberFormat="1" applyFont="1"/>
    <xf numFmtId="43" fontId="9" fillId="0" borderId="0" xfId="0" applyNumberFormat="1" applyFont="1"/>
    <xf numFmtId="165" fontId="15" fillId="0" borderId="15" xfId="1" applyFont="1" applyBorder="1"/>
    <xf numFmtId="0" fontId="6" fillId="0" borderId="1" xfId="0" applyFont="1" applyBorder="1" applyAlignment="1">
      <alignment horizontal="center" wrapText="1"/>
    </xf>
    <xf numFmtId="0" fontId="24" fillId="0" borderId="1" xfId="0" applyFont="1" applyBorder="1"/>
    <xf numFmtId="39" fontId="24" fillId="0" borderId="1" xfId="0" applyNumberFormat="1" applyFont="1" applyBorder="1"/>
    <xf numFmtId="37" fontId="24" fillId="0" borderId="1" xfId="0" applyNumberFormat="1" applyFont="1" applyBorder="1" applyAlignment="1">
      <alignment horizontal="center"/>
    </xf>
    <xf numFmtId="165" fontId="24" fillId="0" borderId="1" xfId="1" applyFont="1" applyBorder="1"/>
    <xf numFmtId="165" fontId="24" fillId="0" borderId="1" xfId="0" applyNumberFormat="1" applyFont="1" applyBorder="1"/>
    <xf numFmtId="0" fontId="24" fillId="0" borderId="1" xfId="0" applyFont="1" applyBorder="1" applyAlignment="1">
      <alignment horizontal="center"/>
    </xf>
    <xf numFmtId="165" fontId="6" fillId="0" borderId="1" xfId="1" applyFont="1" applyBorder="1"/>
    <xf numFmtId="0" fontId="9" fillId="4" borderId="0" xfId="0" applyFont="1" applyFill="1" applyAlignment="1">
      <alignment horizontal="right"/>
    </xf>
    <xf numFmtId="43" fontId="9" fillId="4" borderId="0" xfId="0" applyNumberFormat="1" applyFont="1" applyFill="1"/>
    <xf numFmtId="0" fontId="15" fillId="0" borderId="0" xfId="0" applyFont="1"/>
    <xf numFmtId="0" fontId="25" fillId="0" borderId="0" xfId="0" applyFont="1"/>
    <xf numFmtId="165" fontId="15" fillId="4" borderId="5" xfId="1" applyFont="1" applyFill="1" applyBorder="1"/>
    <xf numFmtId="165" fontId="15" fillId="4" borderId="0" xfId="1" applyFont="1" applyFill="1" applyBorder="1"/>
    <xf numFmtId="165" fontId="9" fillId="4" borderId="0" xfId="0" applyNumberFormat="1" applyFont="1" applyFill="1" applyAlignment="1">
      <alignment horizontal="right"/>
    </xf>
    <xf numFmtId="165" fontId="6" fillId="0" borderId="7" xfId="0" applyNumberFormat="1" applyFont="1" applyBorder="1"/>
    <xf numFmtId="165" fontId="24" fillId="0" borderId="7" xfId="1" applyFont="1" applyBorder="1"/>
    <xf numFmtId="0" fontId="13" fillId="0" borderId="1" xfId="0" applyFont="1" applyBorder="1" applyAlignment="1">
      <alignment horizontal="center" wrapText="1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 wrapText="1"/>
    </xf>
    <xf numFmtId="165" fontId="25" fillId="0" borderId="0" xfId="1" applyFont="1"/>
    <xf numFmtId="0" fontId="25" fillId="0" borderId="1" xfId="0" applyFont="1" applyBorder="1"/>
    <xf numFmtId="165" fontId="1" fillId="0" borderId="1" xfId="1" applyFont="1" applyBorder="1" applyAlignment="1"/>
    <xf numFmtId="165" fontId="1" fillId="0" borderId="1" xfId="1" applyFont="1" applyBorder="1"/>
    <xf numFmtId="165" fontId="25" fillId="0" borderId="0" xfId="0" applyNumberFormat="1" applyFont="1"/>
    <xf numFmtId="165" fontId="1" fillId="0" borderId="1" xfId="1" applyFont="1" applyBorder="1" applyAlignment="1">
      <alignment horizontal="center"/>
    </xf>
    <xf numFmtId="7" fontId="25" fillId="0" borderId="0" xfId="0" applyNumberFormat="1" applyFont="1"/>
    <xf numFmtId="0" fontId="25" fillId="0" borderId="1" xfId="0" applyFont="1" applyBorder="1" applyAlignment="1">
      <alignment wrapText="1"/>
    </xf>
    <xf numFmtId="43" fontId="25" fillId="0" borderId="0" xfId="0" applyNumberFormat="1" applyFont="1"/>
    <xf numFmtId="0" fontId="1" fillId="0" borderId="1" xfId="0" applyFont="1" applyBorder="1" applyAlignment="1">
      <alignment horizontal="center" wrapText="1"/>
    </xf>
    <xf numFmtId="43" fontId="1" fillId="0" borderId="0" xfId="0" applyNumberFormat="1" applyFont="1" applyAlignment="1">
      <alignment horizontal="center" wrapText="1"/>
    </xf>
    <xf numFmtId="165" fontId="1" fillId="0" borderId="0" xfId="1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165" fontId="25" fillId="0" borderId="1" xfId="1" applyFont="1" applyBorder="1"/>
    <xf numFmtId="165" fontId="25" fillId="0" borderId="4" xfId="1" applyFont="1" applyBorder="1"/>
    <xf numFmtId="165" fontId="25" fillId="0" borderId="7" xfId="1" applyFont="1" applyBorder="1"/>
    <xf numFmtId="165" fontId="1" fillId="0" borderId="18" xfId="1" applyFont="1" applyBorder="1"/>
    <xf numFmtId="0" fontId="1" fillId="0" borderId="0" xfId="0" applyFont="1"/>
    <xf numFmtId="165" fontId="1" fillId="0" borderId="0" xfId="1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165" fontId="25" fillId="0" borderId="0" xfId="1" applyFont="1" applyBorder="1"/>
    <xf numFmtId="165" fontId="1" fillId="0" borderId="0" xfId="1" applyFont="1" applyBorder="1"/>
    <xf numFmtId="0" fontId="0" fillId="5" borderId="0" xfId="0" applyFill="1" applyProtection="1">
      <protection locked="0"/>
    </xf>
    <xf numFmtId="17" fontId="27" fillId="5" borderId="0" xfId="0" applyNumberFormat="1" applyFont="1" applyFill="1"/>
    <xf numFmtId="2" fontId="0" fillId="0" borderId="0" xfId="0" applyNumberFormat="1"/>
    <xf numFmtId="17" fontId="0" fillId="0" borderId="0" xfId="0" applyNumberFormat="1"/>
    <xf numFmtId="0" fontId="13" fillId="0" borderId="1" xfId="0" quotePrefix="1" applyFont="1" applyBorder="1" applyAlignment="1">
      <alignment horizontal="center"/>
    </xf>
    <xf numFmtId="0" fontId="13" fillId="0" borderId="7" xfId="0" quotePrefix="1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6" fillId="0" borderId="16" xfId="0" applyFont="1" applyBorder="1" applyAlignment="1">
      <alignment horizontal="center" wrapText="1"/>
    </xf>
    <xf numFmtId="0" fontId="26" fillId="0" borderId="17" xfId="0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165" fontId="6" fillId="0" borderId="2" xfId="1" applyFont="1" applyBorder="1" applyAlignment="1">
      <alignment horizontal="center" wrapText="1"/>
    </xf>
    <xf numFmtId="165" fontId="6" fillId="0" borderId="4" xfId="1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5" fillId="0" borderId="6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4" fillId="0" borderId="8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8">
    <cellStyle name="Comma" xfId="1" builtinId="3"/>
    <cellStyle name="Normal" xfId="0" builtinId="0"/>
    <cellStyle name="Normal_ECO INDIVIDUALS LGCS NOV 22" xfId="2"/>
    <cellStyle name="Normal_lgc eco dec 21" xfId="3"/>
    <cellStyle name="Normal_LGCs Ceo oct 23" xfId="4"/>
    <cellStyle name="Normal_lgcs data" xfId="5"/>
    <cellStyle name="Normal_states eco dec 21" xfId="6"/>
    <cellStyle name="Normal_TOTALDATA_1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A20" sqref="A20"/>
    </sheetView>
  </sheetViews>
  <sheetFormatPr defaultColWidth="9" defaultRowHeight="13.2"/>
  <cols>
    <col min="2" max="2" width="23" customWidth="1"/>
    <col min="6" max="6" width="24.5546875" customWidth="1"/>
  </cols>
  <sheetData>
    <row r="1" spans="1:8" ht="23.1" customHeight="1">
      <c r="B1">
        <f ca="1">MONTH(NOW())</f>
        <v>1</v>
      </c>
      <c r="C1">
        <f ca="1">YEAR(NOW())</f>
        <v>2025</v>
      </c>
    </row>
    <row r="2" spans="1:8" ht="23.1" customHeight="1"/>
    <row r="3" spans="1:8" ht="23.1" customHeight="1">
      <c r="B3" t="s">
        <v>0</v>
      </c>
      <c r="F3" t="s">
        <v>1</v>
      </c>
    </row>
    <row r="4" spans="1:8" ht="23.1" customHeight="1">
      <c r="B4" t="s">
        <v>2</v>
      </c>
      <c r="C4" t="s">
        <v>3</v>
      </c>
      <c r="D4" t="s">
        <v>4</v>
      </c>
      <c r="F4" t="s">
        <v>2</v>
      </c>
      <c r="G4" t="s">
        <v>3</v>
      </c>
      <c r="H4" t="s">
        <v>4</v>
      </c>
    </row>
    <row r="5" spans="1:8" ht="23.1" customHeight="1">
      <c r="B5" s="143" t="e">
        <f>IF(G5=1,F5-1,F5)</f>
        <v>#REF!</v>
      </c>
      <c r="C5" s="143" t="e">
        <f>IF(G5=1,12,G5-1)</f>
        <v>#REF!</v>
      </c>
      <c r="F5" t="e">
        <f>YEAR(ACCTDATE)</f>
        <v>#REF!</v>
      </c>
      <c r="G5" t="e">
        <f>MONTH(ACCTDATE)</f>
        <v>#REF!</v>
      </c>
    </row>
    <row r="6" spans="1:8" ht="23.1" customHeight="1">
      <c r="B6" s="144" t="e">
        <f>LOOKUP(C5,A8:B19)</f>
        <v>#REF!</v>
      </c>
      <c r="F6" s="144" t="e">
        <f>IF(G5=1,LOOKUP(G5,E8:F19),LOOKUP(G5,A8:B19))</f>
        <v>#REF!</v>
      </c>
    </row>
    <row r="8" spans="1:8">
      <c r="A8">
        <v>1</v>
      </c>
      <c r="B8" s="145" t="e">
        <f>D8&amp;"-"&amp;RIGHT(B$5,2)</f>
        <v>#REF!</v>
      </c>
      <c r="D8" s="146" t="s">
        <v>5</v>
      </c>
      <c r="E8">
        <v>1</v>
      </c>
      <c r="F8" s="145" t="e">
        <f>D8&amp;"-"&amp;RIGHT(F$5,2)</f>
        <v>#REF!</v>
      </c>
    </row>
    <row r="9" spans="1:8">
      <c r="A9">
        <v>2</v>
      </c>
      <c r="B9" s="145" t="e">
        <f t="shared" ref="B9:B19" si="0">D9&amp;"-"&amp;RIGHT(B$5,2)</f>
        <v>#REF!</v>
      </c>
      <c r="D9" s="146" t="s">
        <v>6</v>
      </c>
      <c r="E9">
        <v>2</v>
      </c>
      <c r="F9" s="145" t="e">
        <f t="shared" ref="F9:F19" si="1">D9&amp;"-"&amp;RIGHT(F$5,2)</f>
        <v>#REF!</v>
      </c>
    </row>
    <row r="10" spans="1:8">
      <c r="A10">
        <v>3</v>
      </c>
      <c r="B10" s="145" t="e">
        <f t="shared" si="0"/>
        <v>#REF!</v>
      </c>
      <c r="D10" s="146" t="s">
        <v>7</v>
      </c>
      <c r="E10">
        <v>3</v>
      </c>
      <c r="F10" s="145" t="e">
        <f t="shared" si="1"/>
        <v>#REF!</v>
      </c>
    </row>
    <row r="11" spans="1:8">
      <c r="A11">
        <v>4</v>
      </c>
      <c r="B11" s="145" t="e">
        <f t="shared" si="0"/>
        <v>#REF!</v>
      </c>
      <c r="D11" s="146" t="s">
        <v>8</v>
      </c>
      <c r="E11">
        <v>4</v>
      </c>
      <c r="F11" s="145" t="e">
        <f t="shared" si="1"/>
        <v>#REF!</v>
      </c>
    </row>
    <row r="12" spans="1:8">
      <c r="A12">
        <v>5</v>
      </c>
      <c r="B12" s="145" t="e">
        <f t="shared" si="0"/>
        <v>#REF!</v>
      </c>
      <c r="D12" s="146" t="s">
        <v>9</v>
      </c>
      <c r="E12">
        <v>5</v>
      </c>
      <c r="F12" s="145" t="e">
        <f t="shared" si="1"/>
        <v>#REF!</v>
      </c>
    </row>
    <row r="13" spans="1:8">
      <c r="A13">
        <v>6</v>
      </c>
      <c r="B13" s="145" t="e">
        <f t="shared" si="0"/>
        <v>#REF!</v>
      </c>
      <c r="D13" s="146" t="s">
        <v>10</v>
      </c>
      <c r="E13">
        <v>6</v>
      </c>
      <c r="F13" s="145" t="e">
        <f t="shared" si="1"/>
        <v>#REF!</v>
      </c>
    </row>
    <row r="14" spans="1:8">
      <c r="A14">
        <v>7</v>
      </c>
      <c r="B14" s="145" t="e">
        <f t="shared" si="0"/>
        <v>#REF!</v>
      </c>
      <c r="D14" s="146" t="s">
        <v>11</v>
      </c>
      <c r="E14">
        <v>7</v>
      </c>
      <c r="F14" s="145" t="e">
        <f t="shared" si="1"/>
        <v>#REF!</v>
      </c>
    </row>
    <row r="15" spans="1:8">
      <c r="A15">
        <v>8</v>
      </c>
      <c r="B15" s="145" t="e">
        <f t="shared" si="0"/>
        <v>#REF!</v>
      </c>
      <c r="D15" s="146" t="s">
        <v>12</v>
      </c>
      <c r="E15">
        <v>8</v>
      </c>
      <c r="F15" s="145" t="e">
        <f t="shared" si="1"/>
        <v>#REF!</v>
      </c>
    </row>
    <row r="16" spans="1:8">
      <c r="A16">
        <v>9</v>
      </c>
      <c r="B16" s="145" t="e">
        <f t="shared" si="0"/>
        <v>#REF!</v>
      </c>
      <c r="D16" s="146" t="s">
        <v>13</v>
      </c>
      <c r="E16">
        <v>9</v>
      </c>
      <c r="F16" s="145" t="e">
        <f t="shared" si="1"/>
        <v>#REF!</v>
      </c>
    </row>
    <row r="17" spans="1:6">
      <c r="A17">
        <v>10</v>
      </c>
      <c r="B17" s="145" t="e">
        <f t="shared" si="0"/>
        <v>#REF!</v>
      </c>
      <c r="D17" s="146" t="s">
        <v>14</v>
      </c>
      <c r="E17">
        <v>10</v>
      </c>
      <c r="F17" s="145" t="e">
        <f t="shared" si="1"/>
        <v>#REF!</v>
      </c>
    </row>
    <row r="18" spans="1:6">
      <c r="A18">
        <v>11</v>
      </c>
      <c r="B18" s="145" t="e">
        <f t="shared" si="0"/>
        <v>#REF!</v>
      </c>
      <c r="D18" s="146" t="s">
        <v>15</v>
      </c>
      <c r="E18">
        <v>11</v>
      </c>
      <c r="F18" s="145" t="e">
        <f t="shared" si="1"/>
        <v>#REF!</v>
      </c>
    </row>
    <row r="19" spans="1:6">
      <c r="A19">
        <v>12</v>
      </c>
      <c r="B19" s="145" t="e">
        <f t="shared" si="0"/>
        <v>#REF!</v>
      </c>
      <c r="D19" s="146" t="s">
        <v>16</v>
      </c>
      <c r="E19">
        <v>12</v>
      </c>
      <c r="F19" s="145" t="e">
        <f t="shared" si="1"/>
        <v>#REF!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44"/>
  <sheetViews>
    <sheetView zoomScale="70" zoomScaleNormal="70" workbookViewId="0">
      <selection sqref="A1:G1"/>
    </sheetView>
  </sheetViews>
  <sheetFormatPr defaultColWidth="9.109375" defaultRowHeight="21"/>
  <cols>
    <col min="1" max="1" width="6.33203125" style="110" customWidth="1"/>
    <col min="2" max="2" width="40.88671875" style="110" customWidth="1"/>
    <col min="3" max="3" width="35.109375" style="110" customWidth="1"/>
    <col min="4" max="4" width="34.109375" style="110" customWidth="1"/>
    <col min="5" max="6" width="30.88671875" style="110" customWidth="1"/>
    <col min="7" max="7" width="32" style="110" customWidth="1"/>
    <col min="8" max="8" width="38.6640625" style="110" customWidth="1"/>
    <col min="9" max="9" width="32.44140625" style="110" customWidth="1"/>
    <col min="10" max="10" width="26.44140625" style="110" customWidth="1"/>
    <col min="11" max="11" width="24.33203125" style="110"/>
    <col min="12" max="12" width="14.6640625" style="110"/>
    <col min="13" max="16384" width="9.109375" style="110"/>
  </cols>
  <sheetData>
    <row r="1" spans="1:12" ht="30" customHeight="1">
      <c r="A1" s="150" t="s">
        <v>17</v>
      </c>
      <c r="B1" s="150"/>
      <c r="C1" s="150"/>
      <c r="D1" s="150"/>
      <c r="E1" s="150"/>
      <c r="F1" s="150"/>
      <c r="G1" s="150"/>
    </row>
    <row r="2" spans="1:12" ht="30" customHeight="1">
      <c r="A2" s="150" t="s">
        <v>18</v>
      </c>
      <c r="B2" s="150"/>
      <c r="C2" s="150"/>
      <c r="D2" s="150"/>
      <c r="E2" s="150"/>
      <c r="F2" s="150"/>
      <c r="G2" s="150"/>
    </row>
    <row r="3" spans="1:12" ht="30" customHeight="1">
      <c r="A3" s="150" t="s">
        <v>19</v>
      </c>
      <c r="B3" s="150"/>
      <c r="C3" s="150"/>
      <c r="D3" s="150"/>
      <c r="E3" s="150"/>
      <c r="F3" s="150"/>
      <c r="G3" s="150"/>
    </row>
    <row r="4" spans="1:12" ht="40.5" customHeight="1">
      <c r="A4" s="151" t="s">
        <v>20</v>
      </c>
      <c r="B4" s="151"/>
      <c r="C4" s="151"/>
      <c r="D4" s="151"/>
      <c r="E4" s="151"/>
      <c r="F4" s="151"/>
      <c r="G4" s="151"/>
    </row>
    <row r="5" spans="1:12" ht="90" customHeight="1">
      <c r="A5" s="117" t="s">
        <v>21</v>
      </c>
      <c r="B5" s="118" t="s">
        <v>22</v>
      </c>
      <c r="C5" s="118" t="s">
        <v>23</v>
      </c>
      <c r="D5" s="119" t="s">
        <v>24</v>
      </c>
      <c r="E5" s="116" t="s">
        <v>25</v>
      </c>
      <c r="F5" s="118" t="s">
        <v>26</v>
      </c>
      <c r="G5" s="118" t="s">
        <v>27</v>
      </c>
    </row>
    <row r="6" spans="1:12" ht="30" customHeight="1">
      <c r="A6" s="1"/>
      <c r="B6" s="1"/>
      <c r="C6" s="147" t="s">
        <v>28</v>
      </c>
      <c r="D6" s="147" t="s">
        <v>28</v>
      </c>
      <c r="E6" s="147" t="s">
        <v>28</v>
      </c>
      <c r="F6" s="147" t="s">
        <v>28</v>
      </c>
      <c r="G6" s="147" t="s">
        <v>28</v>
      </c>
      <c r="H6" s="120"/>
    </row>
    <row r="7" spans="1:12" ht="30" customHeight="1">
      <c r="A7" s="121">
        <v>1</v>
      </c>
      <c r="B7" s="121" t="s">
        <v>29</v>
      </c>
      <c r="C7" s="122">
        <v>175690727106.14001</v>
      </c>
      <c r="D7" s="122">
        <v>316053846677.39001</v>
      </c>
      <c r="E7" s="122">
        <v>2256940237.4200001</v>
      </c>
      <c r="F7" s="123">
        <v>87854886300.860001</v>
      </c>
      <c r="G7" s="122">
        <f>C7+D7+E7+F7</f>
        <v>581856400321.81006</v>
      </c>
      <c r="H7" s="124"/>
      <c r="I7" s="120"/>
    </row>
    <row r="8" spans="1:12" ht="30" customHeight="1">
      <c r="A8" s="121">
        <v>2</v>
      </c>
      <c r="B8" s="121" t="s">
        <v>30</v>
      </c>
      <c r="C8" s="122">
        <v>89112684667.350006</v>
      </c>
      <c r="D8" s="125">
        <v>160306734685.26999</v>
      </c>
      <c r="E8" s="125">
        <v>7523134124.7299995</v>
      </c>
      <c r="F8" s="125">
        <v>292849621002.84998</v>
      </c>
      <c r="G8" s="122">
        <f t="shared" ref="G8:G21" si="0">C8+D8+E8+F8</f>
        <v>549792174480.19995</v>
      </c>
      <c r="H8" s="124"/>
      <c r="I8" s="124"/>
    </row>
    <row r="9" spans="1:12" ht="30" customHeight="1">
      <c r="A9" s="121">
        <v>3</v>
      </c>
      <c r="B9" s="121" t="s">
        <v>31</v>
      </c>
      <c r="C9" s="125">
        <v>68702144616.300003</v>
      </c>
      <c r="D9" s="125">
        <v>123589772998.37</v>
      </c>
      <c r="E9" s="125">
        <v>5266193887.3100004</v>
      </c>
      <c r="F9" s="125">
        <v>204994734702</v>
      </c>
      <c r="G9" s="122">
        <f t="shared" si="0"/>
        <v>402552846203.97998</v>
      </c>
      <c r="H9" s="120"/>
    </row>
    <row r="10" spans="1:12" ht="30" customHeight="1">
      <c r="A10" s="121">
        <v>4</v>
      </c>
      <c r="B10" s="121" t="s">
        <v>32</v>
      </c>
      <c r="C10" s="122">
        <v>121849157706.64</v>
      </c>
      <c r="D10" s="125">
        <v>71441677697.610001</v>
      </c>
      <c r="E10" s="125">
        <v>0</v>
      </c>
      <c r="F10" s="125">
        <v>0</v>
      </c>
      <c r="G10" s="122">
        <f t="shared" si="0"/>
        <v>193290835404.25</v>
      </c>
      <c r="H10" s="124"/>
      <c r="I10" s="124"/>
    </row>
    <row r="11" spans="1:12" ht="30" customHeight="1">
      <c r="A11" s="121">
        <v>5</v>
      </c>
      <c r="B11" s="121" t="s">
        <v>33</v>
      </c>
      <c r="C11" s="122">
        <v>22220045282.23</v>
      </c>
      <c r="D11" s="125">
        <v>0</v>
      </c>
      <c r="E11" s="125">
        <v>0</v>
      </c>
      <c r="F11" s="125">
        <v>3259241812.52</v>
      </c>
      <c r="G11" s="122">
        <f t="shared" si="0"/>
        <v>25479287094.75</v>
      </c>
      <c r="H11" s="126"/>
      <c r="I11" s="124"/>
    </row>
    <row r="12" spans="1:12" ht="30" customHeight="1">
      <c r="A12" s="121">
        <v>6</v>
      </c>
      <c r="B12" s="127" t="s">
        <v>34</v>
      </c>
      <c r="C12" s="122">
        <v>20611874711.959999</v>
      </c>
      <c r="D12" s="125">
        <v>0</v>
      </c>
      <c r="E12" s="125">
        <v>626927843.73000002</v>
      </c>
      <c r="F12" s="125">
        <v>21899660335.490002</v>
      </c>
      <c r="G12" s="122">
        <f t="shared" si="0"/>
        <v>43138462891.18</v>
      </c>
    </row>
    <row r="13" spans="1:12" ht="30" customHeight="1">
      <c r="A13" s="121">
        <v>7</v>
      </c>
      <c r="B13" s="127" t="s">
        <v>35</v>
      </c>
      <c r="C13" s="122">
        <v>34688893118.349998</v>
      </c>
      <c r="D13" s="125">
        <v>0</v>
      </c>
      <c r="E13" s="125">
        <v>0</v>
      </c>
      <c r="F13" s="125"/>
      <c r="G13" s="122">
        <f t="shared" si="0"/>
        <v>34688893118.349998</v>
      </c>
      <c r="H13" s="120"/>
      <c r="I13" s="120"/>
      <c r="J13" s="120"/>
      <c r="K13" s="120"/>
      <c r="L13" s="124"/>
    </row>
    <row r="14" spans="1:12" ht="30" customHeight="1">
      <c r="A14" s="121">
        <v>8</v>
      </c>
      <c r="B14" s="127" t="s">
        <v>36</v>
      </c>
      <c r="C14" s="122">
        <v>18096055306.630001</v>
      </c>
      <c r="D14" s="122">
        <v>0</v>
      </c>
      <c r="E14" s="125">
        <v>0</v>
      </c>
      <c r="F14" s="125">
        <v>0</v>
      </c>
      <c r="G14" s="122">
        <f t="shared" si="0"/>
        <v>18096055306.630001</v>
      </c>
      <c r="I14" s="120"/>
      <c r="J14" s="120"/>
    </row>
    <row r="15" spans="1:12" ht="42">
      <c r="A15" s="121">
        <v>9</v>
      </c>
      <c r="B15" s="127" t="s">
        <v>37</v>
      </c>
      <c r="C15" s="125">
        <v>100000000000</v>
      </c>
      <c r="D15" s="125">
        <v>0</v>
      </c>
      <c r="E15" s="125">
        <v>0</v>
      </c>
      <c r="F15" s="125">
        <v>0</v>
      </c>
      <c r="G15" s="122">
        <f t="shared" si="0"/>
        <v>100000000000</v>
      </c>
      <c r="I15" s="120"/>
      <c r="J15" s="120"/>
    </row>
    <row r="16" spans="1:12" ht="42">
      <c r="A16" s="121">
        <v>10</v>
      </c>
      <c r="B16" s="127" t="s">
        <v>38</v>
      </c>
      <c r="C16" s="125">
        <v>18163078852.380001</v>
      </c>
      <c r="D16" s="125">
        <v>0</v>
      </c>
      <c r="E16" s="125">
        <v>0</v>
      </c>
      <c r="F16" s="125">
        <v>0</v>
      </c>
      <c r="G16" s="122">
        <f t="shared" si="0"/>
        <v>18163078852.380001</v>
      </c>
      <c r="I16" s="120"/>
      <c r="J16" s="120"/>
    </row>
    <row r="17" spans="1:10" ht="42.75" customHeight="1">
      <c r="A17" s="121">
        <v>11</v>
      </c>
      <c r="B17" s="127" t="s">
        <v>39</v>
      </c>
      <c r="C17" s="125">
        <v>0</v>
      </c>
      <c r="D17" s="125">
        <v>0</v>
      </c>
      <c r="E17" s="125">
        <v>0</v>
      </c>
      <c r="F17" s="125">
        <v>18114409546.57</v>
      </c>
      <c r="G17" s="122">
        <f t="shared" si="0"/>
        <v>18114409546.57</v>
      </c>
      <c r="I17" s="120"/>
      <c r="J17" s="120"/>
    </row>
    <row r="18" spans="1:10" ht="82.2" customHeight="1">
      <c r="A18" s="121">
        <v>12</v>
      </c>
      <c r="B18" s="127" t="s">
        <v>40</v>
      </c>
      <c r="C18" s="125">
        <v>7943987158.6700001</v>
      </c>
      <c r="D18" s="125">
        <v>0</v>
      </c>
      <c r="E18" s="125">
        <v>0</v>
      </c>
      <c r="F18" s="122">
        <v>0</v>
      </c>
      <c r="G18" s="122">
        <f t="shared" si="0"/>
        <v>7943987158.6700001</v>
      </c>
      <c r="I18" s="120"/>
      <c r="J18" s="120"/>
    </row>
    <row r="19" spans="1:10" ht="42.75" customHeight="1">
      <c r="A19" s="121">
        <v>13</v>
      </c>
      <c r="B19" s="127" t="s">
        <v>41</v>
      </c>
      <c r="C19" s="125">
        <v>600000000000</v>
      </c>
      <c r="D19" s="125">
        <v>0</v>
      </c>
      <c r="E19" s="125">
        <v>0</v>
      </c>
      <c r="F19" s="125">
        <v>0</v>
      </c>
      <c r="G19" s="122">
        <f t="shared" si="0"/>
        <v>600000000000</v>
      </c>
      <c r="H19" s="128"/>
    </row>
    <row r="20" spans="1:10" ht="61.95" customHeight="1">
      <c r="A20" s="121">
        <v>14</v>
      </c>
      <c r="B20" s="127" t="s">
        <v>42</v>
      </c>
      <c r="C20" s="125">
        <v>450000000000</v>
      </c>
      <c r="D20" s="125">
        <v>0</v>
      </c>
      <c r="E20" s="125">
        <v>0</v>
      </c>
      <c r="F20" s="125">
        <v>0</v>
      </c>
      <c r="G20" s="122">
        <f t="shared" si="0"/>
        <v>450000000000</v>
      </c>
      <c r="H20" s="128"/>
    </row>
    <row r="21" spans="1:10" ht="43.95" customHeight="1">
      <c r="A21" s="121">
        <v>15</v>
      </c>
      <c r="B21" s="127" t="s">
        <v>43</v>
      </c>
      <c r="C21" s="125">
        <v>100000000000</v>
      </c>
      <c r="D21" s="125">
        <v>0</v>
      </c>
      <c r="E21" s="125">
        <v>0</v>
      </c>
      <c r="F21" s="125">
        <v>0</v>
      </c>
      <c r="G21" s="122">
        <f t="shared" si="0"/>
        <v>100000000000</v>
      </c>
      <c r="H21" s="128"/>
    </row>
    <row r="22" spans="1:10" ht="30" customHeight="1">
      <c r="A22" s="121"/>
      <c r="B22" s="129" t="s">
        <v>44</v>
      </c>
      <c r="C22" s="125">
        <f>SUM(C7:C21)</f>
        <v>1827078648526.6499</v>
      </c>
      <c r="D22" s="125">
        <f t="shared" ref="D22:G22" si="1">SUM(D7:D21)</f>
        <v>671392032058.64001</v>
      </c>
      <c r="E22" s="125">
        <f t="shared" si="1"/>
        <v>15673196093.190001</v>
      </c>
      <c r="F22" s="125">
        <f t="shared" si="1"/>
        <v>628972553700.29004</v>
      </c>
      <c r="G22" s="125">
        <f t="shared" si="1"/>
        <v>3143116430378.77</v>
      </c>
    </row>
    <row r="23" spans="1:10" ht="50.25" customHeight="1">
      <c r="B23" s="130"/>
      <c r="C23" s="131"/>
      <c r="D23" s="131"/>
      <c r="E23" s="131"/>
      <c r="F23" s="131"/>
      <c r="G23" s="128"/>
      <c r="H23" s="124"/>
    </row>
    <row r="24" spans="1:10" ht="35.1" customHeight="1">
      <c r="A24" s="152" t="s">
        <v>45</v>
      </c>
      <c r="B24" s="152"/>
      <c r="C24" s="152"/>
      <c r="D24" s="152"/>
      <c r="E24" s="152"/>
      <c r="F24" s="152"/>
      <c r="G24" s="152"/>
      <c r="H24" s="152"/>
    </row>
    <row r="25" spans="1:10" ht="48" customHeight="1">
      <c r="A25" s="153" t="s">
        <v>46</v>
      </c>
      <c r="B25" s="154"/>
      <c r="C25" s="154"/>
      <c r="D25" s="154"/>
      <c r="E25" s="154"/>
      <c r="F25" s="154"/>
      <c r="G25" s="154"/>
      <c r="H25" s="154"/>
    </row>
    <row r="26" spans="1:10" ht="30" customHeight="1">
      <c r="A26" s="1">
        <v>0</v>
      </c>
      <c r="B26" s="1">
        <v>1</v>
      </c>
      <c r="C26" s="1">
        <v>2</v>
      </c>
      <c r="D26" s="1">
        <v>3</v>
      </c>
      <c r="E26" s="1" t="s">
        <v>47</v>
      </c>
      <c r="F26" s="1">
        <v>5</v>
      </c>
      <c r="G26" s="1">
        <v>6</v>
      </c>
      <c r="H26" s="1">
        <v>7</v>
      </c>
      <c r="I26" s="1">
        <v>8</v>
      </c>
      <c r="J26" s="31"/>
    </row>
    <row r="27" spans="1:10" ht="108" customHeight="1">
      <c r="A27" s="129" t="s">
        <v>21</v>
      </c>
      <c r="B27" s="129" t="s">
        <v>22</v>
      </c>
      <c r="C27" s="132" t="s">
        <v>48</v>
      </c>
      <c r="D27" s="129" t="s">
        <v>49</v>
      </c>
      <c r="E27" s="129" t="s">
        <v>50</v>
      </c>
      <c r="F27" s="119" t="s">
        <v>24</v>
      </c>
      <c r="G27" s="116" t="s">
        <v>25</v>
      </c>
      <c r="H27" s="116" t="s">
        <v>26</v>
      </c>
      <c r="I27" s="116" t="s">
        <v>27</v>
      </c>
      <c r="J27" s="140"/>
    </row>
    <row r="28" spans="1:10" ht="22.8">
      <c r="A28" s="121"/>
      <c r="B28" s="121"/>
      <c r="C28" s="147" t="s">
        <v>28</v>
      </c>
      <c r="D28" s="147" t="s">
        <v>28</v>
      </c>
      <c r="E28" s="147" t="s">
        <v>28</v>
      </c>
      <c r="F28" s="148" t="s">
        <v>28</v>
      </c>
      <c r="G28" s="147" t="s">
        <v>28</v>
      </c>
      <c r="H28" s="147" t="s">
        <v>28</v>
      </c>
      <c r="I28" s="147" t="s">
        <v>28</v>
      </c>
      <c r="J28" s="139"/>
    </row>
    <row r="29" spans="1:10" ht="20.25" customHeight="1">
      <c r="A29" s="121">
        <v>1</v>
      </c>
      <c r="B29" s="121" t="s">
        <v>51</v>
      </c>
      <c r="C29" s="133">
        <v>161750194849.04001</v>
      </c>
      <c r="D29" s="134">
        <v>-105409100079.02</v>
      </c>
      <c r="E29" s="133">
        <f>C29+D29</f>
        <v>56341094770.019997</v>
      </c>
      <c r="F29" s="135">
        <v>290975921865.09998</v>
      </c>
      <c r="G29" s="133">
        <v>2106477554.9200001</v>
      </c>
      <c r="H29" s="133">
        <v>81997893880.800003</v>
      </c>
      <c r="I29" s="133">
        <f>E29+F29+G29+H29</f>
        <v>431421388070.84003</v>
      </c>
    </row>
    <row r="30" spans="1:10" ht="20.25" customHeight="1">
      <c r="A30" s="121">
        <v>2</v>
      </c>
      <c r="B30" s="121" t="s">
        <v>52</v>
      </c>
      <c r="C30" s="133">
        <v>3335055563.9000001</v>
      </c>
      <c r="D30" s="134">
        <v>0</v>
      </c>
      <c r="E30" s="133">
        <f>C30+D30</f>
        <v>3335055563.9000001</v>
      </c>
      <c r="F30" s="135">
        <v>5999503543.6099997</v>
      </c>
      <c r="G30" s="133">
        <v>0</v>
      </c>
      <c r="H30" s="133">
        <v>0</v>
      </c>
      <c r="I30" s="133">
        <f t="shared" ref="I30:I33" si="2">E30+F30+G30+H30</f>
        <v>9334559107.5100002</v>
      </c>
      <c r="J30" s="141"/>
    </row>
    <row r="31" spans="1:10" ht="20.25" customHeight="1">
      <c r="A31" s="121">
        <v>3</v>
      </c>
      <c r="B31" s="121" t="s">
        <v>53</v>
      </c>
      <c r="C31" s="133">
        <v>1667527781.95</v>
      </c>
      <c r="D31" s="134">
        <v>0</v>
      </c>
      <c r="E31" s="133">
        <f>C31+D31</f>
        <v>1667527781.95</v>
      </c>
      <c r="F31" s="135">
        <v>2999751771.8099999</v>
      </c>
      <c r="G31" s="133">
        <v>0</v>
      </c>
      <c r="H31" s="133">
        <v>0</v>
      </c>
      <c r="I31" s="133">
        <f t="shared" si="2"/>
        <v>4667279553.7600002</v>
      </c>
      <c r="J31" s="141"/>
    </row>
    <row r="32" spans="1:10" ht="42">
      <c r="A32" s="121">
        <v>4</v>
      </c>
      <c r="B32" s="127" t="s">
        <v>54</v>
      </c>
      <c r="C32" s="133">
        <v>5602893347.3500004</v>
      </c>
      <c r="D32" s="134">
        <v>0</v>
      </c>
      <c r="E32" s="133">
        <f>C32+D32</f>
        <v>5602893347.3500004</v>
      </c>
      <c r="F32" s="135">
        <v>10079165953.27</v>
      </c>
      <c r="G32" s="133">
        <v>0</v>
      </c>
      <c r="H32" s="133">
        <v>0</v>
      </c>
      <c r="I32" s="133">
        <f t="shared" si="2"/>
        <v>15682059300.620001</v>
      </c>
      <c r="J32" s="141"/>
    </row>
    <row r="33" spans="1:10" ht="21" customHeight="1">
      <c r="A33" s="121">
        <v>5</v>
      </c>
      <c r="B33" s="121" t="s">
        <v>55</v>
      </c>
      <c r="C33" s="133">
        <v>3335055563.9000001</v>
      </c>
      <c r="D33" s="133">
        <v>-510027869</v>
      </c>
      <c r="E33" s="133">
        <f>C33+D33</f>
        <v>2825027694.9000001</v>
      </c>
      <c r="F33" s="135">
        <v>5999503543.6099997</v>
      </c>
      <c r="G33" s="133">
        <v>150462682.49000001</v>
      </c>
      <c r="H33" s="133">
        <v>5856992420.0600004</v>
      </c>
      <c r="I33" s="133">
        <f t="shared" si="2"/>
        <v>14831986341.059999</v>
      </c>
      <c r="J33" s="141"/>
    </row>
    <row r="34" spans="1:10" ht="36.75" customHeight="1">
      <c r="A34" s="121"/>
      <c r="B34" s="1" t="s">
        <v>27</v>
      </c>
      <c r="C34" s="136">
        <f>SUM(C29:C33)</f>
        <v>175690727106.14001</v>
      </c>
      <c r="D34" s="136">
        <f>SUM(D29:D33)</f>
        <v>-105919127948.02</v>
      </c>
      <c r="E34" s="136">
        <f>SUM(E29:E33)</f>
        <v>69771599158.119995</v>
      </c>
      <c r="F34" s="136">
        <f t="shared" ref="F34" si="3">SUM(F29:F33)</f>
        <v>316053846677.40002</v>
      </c>
      <c r="G34" s="136">
        <f t="shared" ref="G34" si="4">SUM(G29:G33)</f>
        <v>2256940237.4099998</v>
      </c>
      <c r="H34" s="136">
        <f t="shared" ref="H34:I34" si="5">SUM(H29:H33)</f>
        <v>87854886300.860001</v>
      </c>
      <c r="I34" s="136">
        <f t="shared" si="5"/>
        <v>475937272373.78998</v>
      </c>
      <c r="J34" s="142"/>
    </row>
    <row r="36" spans="1:10" ht="12.75" hidden="1" customHeight="1">
      <c r="A36" s="155" t="s">
        <v>56</v>
      </c>
      <c r="B36" s="155"/>
      <c r="C36" s="155"/>
    </row>
    <row r="37" spans="1:10">
      <c r="A37" s="156"/>
      <c r="B37" s="156"/>
      <c r="C37" s="156"/>
      <c r="G37" s="128"/>
      <c r="H37" s="128"/>
      <c r="I37" s="124"/>
    </row>
    <row r="38" spans="1:10" ht="42.75" customHeight="1">
      <c r="B38" s="137"/>
      <c r="C38" s="138"/>
      <c r="E38" s="128"/>
      <c r="F38" s="128"/>
      <c r="G38" s="128"/>
      <c r="H38" s="124"/>
      <c r="I38" s="124"/>
    </row>
    <row r="39" spans="1:10">
      <c r="B39" s="137"/>
      <c r="C39" s="138"/>
      <c r="G39" s="128"/>
      <c r="I39" s="128"/>
    </row>
    <row r="40" spans="1:10">
      <c r="B40" s="138"/>
      <c r="C40" s="137"/>
      <c r="H40" s="128"/>
    </row>
    <row r="41" spans="1:10" ht="22.8">
      <c r="A41" s="157" t="s">
        <v>57</v>
      </c>
      <c r="B41" s="157"/>
      <c r="C41" s="157"/>
      <c r="D41" s="157"/>
      <c r="E41" s="157"/>
      <c r="F41" s="157"/>
      <c r="G41" s="157"/>
      <c r="H41" s="157"/>
      <c r="I41" s="157"/>
      <c r="J41" s="157"/>
    </row>
    <row r="42" spans="1:10" ht="35.25" customHeight="1">
      <c r="A42" s="157" t="s">
        <v>58</v>
      </c>
      <c r="B42" s="157"/>
      <c r="C42" s="157"/>
      <c r="D42" s="157"/>
      <c r="E42" s="157"/>
      <c r="F42" s="157"/>
      <c r="G42" s="157"/>
      <c r="H42" s="157"/>
      <c r="I42" s="157"/>
      <c r="J42" s="157"/>
    </row>
    <row r="43" spans="1:10" ht="30.75" customHeight="1">
      <c r="A43" s="157" t="s">
        <v>59</v>
      </c>
      <c r="B43" s="157"/>
      <c r="C43" s="157"/>
      <c r="D43" s="157"/>
      <c r="E43" s="157"/>
      <c r="F43" s="157"/>
      <c r="G43" s="157"/>
      <c r="H43" s="157"/>
      <c r="I43" s="157"/>
      <c r="J43" s="157"/>
    </row>
    <row r="44" spans="1:10" ht="22.8">
      <c r="A44" s="157" t="s">
        <v>60</v>
      </c>
      <c r="B44" s="157"/>
      <c r="C44" s="157"/>
      <c r="D44" s="157"/>
      <c r="E44" s="157"/>
      <c r="F44" s="157"/>
      <c r="G44" s="157"/>
      <c r="H44" s="157"/>
      <c r="I44" s="157"/>
      <c r="J44" s="157"/>
    </row>
  </sheetData>
  <mergeCells count="12">
    <mergeCell ref="A43:J43"/>
    <mergeCell ref="A44:J44"/>
    <mergeCell ref="A25:H25"/>
    <mergeCell ref="A36:C36"/>
    <mergeCell ref="A37:C37"/>
    <mergeCell ref="A41:J41"/>
    <mergeCell ref="A42:J42"/>
    <mergeCell ref="A1:G1"/>
    <mergeCell ref="A2:G2"/>
    <mergeCell ref="A3:G3"/>
    <mergeCell ref="A4:G4"/>
    <mergeCell ref="A24:H24"/>
  </mergeCells>
  <pageMargins left="0.74791666666666701" right="0.74791666666666701" top="0.39305555555555599" bottom="0.40902777777777799" header="0.51180555555555596" footer="0.51180555555555596"/>
  <pageSetup scale="34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4"/>
  <sheetViews>
    <sheetView topLeftCell="A6" workbookViewId="0">
      <pane xSplit="3" ySplit="4" topLeftCell="D20" activePane="bottomRight" state="frozen"/>
      <selection pane="topRight"/>
      <selection pane="bottomLeft"/>
      <selection pane="bottomRight" activeCell="A20" sqref="A20"/>
    </sheetView>
  </sheetViews>
  <sheetFormatPr defaultColWidth="8.88671875" defaultRowHeight="13.2"/>
  <cols>
    <col min="1" max="1" width="4.109375" style="14" customWidth="1"/>
    <col min="2" max="2" width="22.44140625" style="14" customWidth="1"/>
    <col min="3" max="3" width="7.44140625" style="14" customWidth="1"/>
    <col min="4" max="4" width="25.5546875" style="14" customWidth="1"/>
    <col min="5" max="5" width="23.6640625" style="14" customWidth="1"/>
    <col min="6" max="6" width="28.33203125" style="14" customWidth="1"/>
    <col min="7" max="7" width="21.33203125" style="14" customWidth="1"/>
    <col min="8" max="8" width="24.44140625" style="14" customWidth="1"/>
    <col min="9" max="9" width="22.6640625" style="14" customWidth="1"/>
    <col min="10" max="12" width="25.5546875" style="14" customWidth="1"/>
    <col min="13" max="18" width="22" style="14" customWidth="1"/>
    <col min="19" max="19" width="28" style="14" customWidth="1"/>
    <col min="20" max="20" width="29.44140625" style="14" customWidth="1"/>
    <col min="21" max="21" width="6.44140625" style="14" customWidth="1"/>
    <col min="22" max="22" width="8.88671875" style="14"/>
    <col min="23" max="23" width="16.33203125" style="14" customWidth="1"/>
    <col min="24" max="24" width="16.88671875" style="14" customWidth="1"/>
    <col min="25" max="25" width="21" style="14" customWidth="1"/>
    <col min="26" max="26" width="8.88671875" style="14"/>
    <col min="27" max="27" width="17.44140625" style="14" customWidth="1"/>
    <col min="28" max="28" width="12.33203125" style="14" customWidth="1"/>
    <col min="29" max="29" width="17.88671875" style="14" customWidth="1"/>
    <col min="30" max="31" width="8.88671875" style="14"/>
    <col min="32" max="32" width="17.88671875" style="14" customWidth="1"/>
    <col min="33" max="33" width="16.33203125" style="14" customWidth="1"/>
    <col min="34" max="34" width="17.88671875" style="14" customWidth="1"/>
    <col min="35" max="16384" width="8.88671875" style="14"/>
  </cols>
  <sheetData>
    <row r="1" spans="1:34" ht="22.8">
      <c r="A1" s="158" t="s">
        <v>61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</row>
    <row r="2" spans="1:34" ht="24.6">
      <c r="A2" s="159" t="s">
        <v>62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</row>
    <row r="3" spans="1:34" ht="18" customHeight="1">
      <c r="A3" s="160" t="s">
        <v>63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</row>
    <row r="4" spans="1:34" ht="17.399999999999999">
      <c r="A4" s="161" t="s">
        <v>64</v>
      </c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</row>
    <row r="5" spans="1:34" ht="20.399999999999999"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</row>
    <row r="6" spans="1:34" ht="15.6">
      <c r="A6" s="7">
        <v>1</v>
      </c>
      <c r="B6" s="7">
        <v>2</v>
      </c>
      <c r="C6" s="7">
        <v>3</v>
      </c>
      <c r="D6" s="7">
        <v>4</v>
      </c>
      <c r="E6" s="7">
        <v>5</v>
      </c>
      <c r="F6" s="7" t="s">
        <v>65</v>
      </c>
      <c r="G6" s="7">
        <v>7</v>
      </c>
      <c r="H6" s="7">
        <v>8</v>
      </c>
      <c r="I6" s="7">
        <v>9</v>
      </c>
      <c r="J6" s="7" t="s">
        <v>66</v>
      </c>
      <c r="K6" s="7">
        <v>11</v>
      </c>
      <c r="L6" s="7">
        <v>13</v>
      </c>
      <c r="M6" s="7">
        <v>14</v>
      </c>
      <c r="N6" s="7">
        <v>15</v>
      </c>
      <c r="O6" s="7">
        <v>16</v>
      </c>
      <c r="P6" s="7">
        <v>17</v>
      </c>
      <c r="Q6" s="7">
        <v>18</v>
      </c>
      <c r="R6" s="7">
        <v>19</v>
      </c>
      <c r="S6" s="7" t="s">
        <v>67</v>
      </c>
      <c r="T6" s="7" t="s">
        <v>68</v>
      </c>
      <c r="U6" s="100"/>
    </row>
    <row r="7" spans="1:34" ht="12.75" customHeight="1">
      <c r="A7" s="166" t="s">
        <v>21</v>
      </c>
      <c r="B7" s="166" t="s">
        <v>22</v>
      </c>
      <c r="C7" s="166" t="s">
        <v>69</v>
      </c>
      <c r="D7" s="166" t="s">
        <v>70</v>
      </c>
      <c r="E7" s="166" t="s">
        <v>71</v>
      </c>
      <c r="F7" s="166" t="s">
        <v>72</v>
      </c>
      <c r="G7" s="162" t="s">
        <v>73</v>
      </c>
      <c r="H7" s="163"/>
      <c r="I7" s="164"/>
      <c r="J7" s="166" t="s">
        <v>50</v>
      </c>
      <c r="K7" s="168" t="s">
        <v>74</v>
      </c>
      <c r="L7" s="166" t="s">
        <v>25</v>
      </c>
      <c r="M7" s="166" t="s">
        <v>75</v>
      </c>
      <c r="N7" s="166" t="s">
        <v>76</v>
      </c>
      <c r="O7" s="166" t="s">
        <v>77</v>
      </c>
      <c r="P7" s="166" t="s">
        <v>78</v>
      </c>
      <c r="Q7" s="166" t="s">
        <v>79</v>
      </c>
      <c r="R7" s="166" t="s">
        <v>80</v>
      </c>
      <c r="S7" s="166" t="s">
        <v>81</v>
      </c>
      <c r="T7" s="166" t="s">
        <v>82</v>
      </c>
      <c r="U7" s="170" t="s">
        <v>21</v>
      </c>
    </row>
    <row r="8" spans="1:34" ht="50.25" customHeight="1">
      <c r="A8" s="167"/>
      <c r="B8" s="167"/>
      <c r="C8" s="167"/>
      <c r="D8" s="167"/>
      <c r="E8" s="167"/>
      <c r="F8" s="167"/>
      <c r="G8" s="99" t="s">
        <v>83</v>
      </c>
      <c r="H8" s="99" t="s">
        <v>84</v>
      </c>
      <c r="I8" s="99" t="s">
        <v>85</v>
      </c>
      <c r="J8" s="167"/>
      <c r="K8" s="169"/>
      <c r="L8" s="167"/>
      <c r="M8" s="167"/>
      <c r="N8" s="167"/>
      <c r="O8" s="167"/>
      <c r="P8" s="167"/>
      <c r="Q8" s="167"/>
      <c r="R8" s="167"/>
      <c r="S8" s="167"/>
      <c r="T8" s="167"/>
      <c r="U8" s="171"/>
    </row>
    <row r="9" spans="1:34" ht="21" customHeight="1">
      <c r="A9" s="100"/>
      <c r="B9" s="100"/>
      <c r="C9" s="100"/>
      <c r="D9" s="149" t="s">
        <v>28</v>
      </c>
      <c r="E9" s="149" t="s">
        <v>28</v>
      </c>
      <c r="F9" s="149" t="s">
        <v>28</v>
      </c>
      <c r="G9" s="149" t="s">
        <v>28</v>
      </c>
      <c r="H9" s="149" t="s">
        <v>28</v>
      </c>
      <c r="I9" s="149" t="s">
        <v>28</v>
      </c>
      <c r="J9" s="149" t="s">
        <v>28</v>
      </c>
      <c r="K9" s="149" t="s">
        <v>28</v>
      </c>
      <c r="L9" s="149" t="s">
        <v>28</v>
      </c>
      <c r="M9" s="149" t="s">
        <v>28</v>
      </c>
      <c r="N9" s="149" t="s">
        <v>28</v>
      </c>
      <c r="O9" s="149" t="s">
        <v>28</v>
      </c>
      <c r="P9" s="149" t="s">
        <v>28</v>
      </c>
      <c r="Q9" s="149" t="s">
        <v>28</v>
      </c>
      <c r="R9" s="149" t="s">
        <v>28</v>
      </c>
      <c r="S9" s="149" t="s">
        <v>28</v>
      </c>
      <c r="T9" s="149" t="s">
        <v>28</v>
      </c>
      <c r="U9" s="100"/>
    </row>
    <row r="10" spans="1:34" ht="30" customHeight="1">
      <c r="A10" s="100">
        <v>1</v>
      </c>
      <c r="B10" s="101" t="s">
        <v>86</v>
      </c>
      <c r="C10" s="102">
        <v>17</v>
      </c>
      <c r="D10" s="103">
        <v>2141194773.5999999</v>
      </c>
      <c r="E10" s="103">
        <v>1658229960.1099999</v>
      </c>
      <c r="F10" s="104">
        <f>D10+E10</f>
        <v>3799424733.71</v>
      </c>
      <c r="G10" s="103">
        <v>771164847.38999999</v>
      </c>
      <c r="H10" s="103">
        <v>0</v>
      </c>
      <c r="I10" s="103">
        <f>919553966.93-H10-G10</f>
        <v>148389119.53999999</v>
      </c>
      <c r="J10" s="103">
        <f>F10-G10-H10-I10</f>
        <v>2879870766.7800002</v>
      </c>
      <c r="K10" s="103">
        <v>4852036000.1097002</v>
      </c>
      <c r="L10" s="103">
        <v>194729658.09999999</v>
      </c>
      <c r="M10" s="103">
        <v>165961006.2101</v>
      </c>
      <c r="N10" s="103">
        <f>M10/2</f>
        <v>82980503.105049998</v>
      </c>
      <c r="O10" s="103">
        <f>M10-N10</f>
        <v>82980503.105049998</v>
      </c>
      <c r="P10" s="103">
        <v>5961992311.6999998</v>
      </c>
      <c r="Q10" s="103">
        <v>0</v>
      </c>
      <c r="R10" s="103">
        <f>P10-Q10</f>
        <v>5961992311.6999998</v>
      </c>
      <c r="S10" s="114">
        <f>F10+K10+L10+M10+P10</f>
        <v>14974143709.8298</v>
      </c>
      <c r="T10" s="115">
        <f>J10+K10+L10+O10+R10</f>
        <v>13971609239.7948</v>
      </c>
      <c r="U10" s="100">
        <v>1</v>
      </c>
      <c r="AH10" s="97">
        <v>0</v>
      </c>
    </row>
    <row r="11" spans="1:34" ht="30" customHeight="1">
      <c r="A11" s="100">
        <v>2</v>
      </c>
      <c r="B11" s="101" t="s">
        <v>87</v>
      </c>
      <c r="C11" s="105">
        <v>21</v>
      </c>
      <c r="D11" s="103">
        <v>2277863025.5900002</v>
      </c>
      <c r="E11" s="103">
        <v>0</v>
      </c>
      <c r="F11" s="104">
        <f t="shared" ref="F11:F45" si="0">D11+E11</f>
        <v>2277863025.5900002</v>
      </c>
      <c r="G11" s="103">
        <v>1097120916.4400001</v>
      </c>
      <c r="H11" s="103">
        <v>0</v>
      </c>
      <c r="I11" s="103">
        <f>1339806230.46-H11-G11</f>
        <v>242685314.02000001</v>
      </c>
      <c r="J11" s="103">
        <f t="shared" ref="J11:J45" si="1">F11-G11-H11-I11</f>
        <v>938056795.13</v>
      </c>
      <c r="K11" s="103">
        <v>4097697034.4424</v>
      </c>
      <c r="L11" s="103">
        <v>171078554.27000001</v>
      </c>
      <c r="M11" s="103">
        <v>176553970.89320001</v>
      </c>
      <c r="N11" s="103">
        <v>0</v>
      </c>
      <c r="O11" s="103">
        <f t="shared" ref="O11:O45" si="2">M11-N11</f>
        <v>176553970.89320001</v>
      </c>
      <c r="P11" s="103">
        <v>6372238358.3100004</v>
      </c>
      <c r="Q11" s="103">
        <v>0</v>
      </c>
      <c r="R11" s="103">
        <f t="shared" ref="R11:R45" si="3">P11-Q11</f>
        <v>6372238358.3100004</v>
      </c>
      <c r="S11" s="114">
        <f t="shared" ref="S11:S45" si="4">F11+K11+L11+M11+P11</f>
        <v>13095430943.5056</v>
      </c>
      <c r="T11" s="115">
        <f t="shared" ref="T11:T45" si="5">J11+K11+L11+O11+R11</f>
        <v>11755624713.045601</v>
      </c>
      <c r="U11" s="100">
        <v>2</v>
      </c>
      <c r="AH11" s="97">
        <v>0</v>
      </c>
    </row>
    <row r="12" spans="1:34" ht="30" customHeight="1">
      <c r="A12" s="100">
        <v>3</v>
      </c>
      <c r="B12" s="101" t="s">
        <v>88</v>
      </c>
      <c r="C12" s="105">
        <v>31</v>
      </c>
      <c r="D12" s="103">
        <v>2299031027.6700001</v>
      </c>
      <c r="E12" s="103">
        <v>24360522408.150002</v>
      </c>
      <c r="F12" s="104">
        <f t="shared" si="0"/>
        <v>26659553435.82</v>
      </c>
      <c r="G12" s="103">
        <v>525026444.75</v>
      </c>
      <c r="H12" s="103">
        <v>0</v>
      </c>
      <c r="I12" s="103">
        <f>1459683672.59-H12-G12</f>
        <v>934657227.84000003</v>
      </c>
      <c r="J12" s="103">
        <f t="shared" si="1"/>
        <v>25199869763.23</v>
      </c>
      <c r="K12" s="103">
        <v>18604185165.3428</v>
      </c>
      <c r="L12" s="103">
        <v>188309409.47999999</v>
      </c>
      <c r="M12" s="103">
        <v>178194673.0697</v>
      </c>
      <c r="N12" s="103">
        <f>M12/2</f>
        <v>89097336.534850001</v>
      </c>
      <c r="O12" s="103">
        <f t="shared" si="2"/>
        <v>89097336.534850001</v>
      </c>
      <c r="P12" s="103">
        <v>6918510442.6400003</v>
      </c>
      <c r="Q12" s="103">
        <v>0</v>
      </c>
      <c r="R12" s="103">
        <f t="shared" si="3"/>
        <v>6918510442.6400003</v>
      </c>
      <c r="S12" s="114">
        <f t="shared" si="4"/>
        <v>52548753126.352501</v>
      </c>
      <c r="T12" s="115">
        <f t="shared" si="5"/>
        <v>50999972117.227699</v>
      </c>
      <c r="U12" s="100">
        <v>3</v>
      </c>
      <c r="AH12" s="97">
        <v>0</v>
      </c>
    </row>
    <row r="13" spans="1:34" ht="30" customHeight="1">
      <c r="A13" s="100">
        <v>4</v>
      </c>
      <c r="B13" s="101" t="s">
        <v>89</v>
      </c>
      <c r="C13" s="105">
        <v>21</v>
      </c>
      <c r="D13" s="103">
        <v>2273595717.3800001</v>
      </c>
      <c r="E13" s="103">
        <v>2249202439.5700002</v>
      </c>
      <c r="F13" s="104">
        <f t="shared" si="0"/>
        <v>4522798156.9499998</v>
      </c>
      <c r="G13" s="103">
        <v>734737893.28999996</v>
      </c>
      <c r="H13" s="103">
        <v>0</v>
      </c>
      <c r="I13" s="103">
        <f>773278875.41-H13-G13</f>
        <v>38540982.119999997</v>
      </c>
      <c r="J13" s="103">
        <f t="shared" si="1"/>
        <v>3749519281.54</v>
      </c>
      <c r="K13" s="103">
        <v>5432315404.9892998</v>
      </c>
      <c r="L13" s="103">
        <v>246313514.09999999</v>
      </c>
      <c r="M13" s="103">
        <v>176223217.81439999</v>
      </c>
      <c r="N13" s="103">
        <v>0</v>
      </c>
      <c r="O13" s="103">
        <f t="shared" si="2"/>
        <v>176223217.81439999</v>
      </c>
      <c r="P13" s="103">
        <v>7498597694.9700003</v>
      </c>
      <c r="Q13" s="103">
        <v>0</v>
      </c>
      <c r="R13" s="103">
        <f t="shared" si="3"/>
        <v>7498597694.9700003</v>
      </c>
      <c r="S13" s="114">
        <f t="shared" si="4"/>
        <v>17876247988.8237</v>
      </c>
      <c r="T13" s="115">
        <f t="shared" si="5"/>
        <v>17102969113.4137</v>
      </c>
      <c r="U13" s="100">
        <v>4</v>
      </c>
      <c r="AH13" s="97">
        <v>0</v>
      </c>
    </row>
    <row r="14" spans="1:34" ht="30" customHeight="1">
      <c r="A14" s="100">
        <v>5</v>
      </c>
      <c r="B14" s="101" t="s">
        <v>90</v>
      </c>
      <c r="C14" s="105">
        <v>20</v>
      </c>
      <c r="D14" s="103">
        <v>2735211822.4000001</v>
      </c>
      <c r="E14" s="103">
        <v>0</v>
      </c>
      <c r="F14" s="104">
        <f t="shared" si="0"/>
        <v>2735211822.4000001</v>
      </c>
      <c r="G14" s="103">
        <v>1287217303.6199999</v>
      </c>
      <c r="H14" s="103">
        <v>958822872.39999998</v>
      </c>
      <c r="I14" s="103">
        <f>3479293933.62-H14-G14</f>
        <v>1233253757.5999999</v>
      </c>
      <c r="J14" s="103">
        <f t="shared" si="1"/>
        <v>-744082111.22000003</v>
      </c>
      <c r="K14" s="103">
        <v>4920431670.9686003</v>
      </c>
      <c r="L14" s="103">
        <v>193592905.66</v>
      </c>
      <c r="M14" s="103">
        <v>212002435.20109999</v>
      </c>
      <c r="N14" s="103">
        <v>0</v>
      </c>
      <c r="O14" s="103">
        <f t="shared" si="2"/>
        <v>212002435.20109999</v>
      </c>
      <c r="P14" s="103">
        <v>7148658404.1499996</v>
      </c>
      <c r="Q14" s="103">
        <v>0</v>
      </c>
      <c r="R14" s="103">
        <f t="shared" si="3"/>
        <v>7148658404.1499996</v>
      </c>
      <c r="S14" s="114">
        <f t="shared" si="4"/>
        <v>15209897238.3797</v>
      </c>
      <c r="T14" s="115">
        <f t="shared" si="5"/>
        <v>11730603304.759701</v>
      </c>
      <c r="U14" s="100">
        <v>5</v>
      </c>
      <c r="AH14" s="97">
        <v>0</v>
      </c>
    </row>
    <row r="15" spans="1:34" ht="30" customHeight="1">
      <c r="A15" s="100">
        <v>6</v>
      </c>
      <c r="B15" s="101" t="s">
        <v>91</v>
      </c>
      <c r="C15" s="105">
        <v>8</v>
      </c>
      <c r="D15" s="103">
        <v>2023279313.1800001</v>
      </c>
      <c r="E15" s="103">
        <v>25834540043.060001</v>
      </c>
      <c r="F15" s="104">
        <f t="shared" si="0"/>
        <v>27857819356.240002</v>
      </c>
      <c r="G15" s="103">
        <v>448007394.98000002</v>
      </c>
      <c r="H15" s="103">
        <v>0</v>
      </c>
      <c r="I15" s="103">
        <f>1626917549.32-H15-G15</f>
        <v>1178910154.3399999</v>
      </c>
      <c r="J15" s="103">
        <f t="shared" si="1"/>
        <v>26230901806.919998</v>
      </c>
      <c r="K15" s="103">
        <v>18632518045.147701</v>
      </c>
      <c r="L15" s="103">
        <v>142778363.62</v>
      </c>
      <c r="M15" s="103">
        <v>156821544.12040001</v>
      </c>
      <c r="N15" s="103">
        <f t="shared" ref="N15:N21" si="6">M15/2</f>
        <v>78410772.060200006</v>
      </c>
      <c r="O15" s="103">
        <f t="shared" si="2"/>
        <v>78410772.060200006</v>
      </c>
      <c r="P15" s="103">
        <v>5479739240.7200003</v>
      </c>
      <c r="Q15" s="103">
        <v>0</v>
      </c>
      <c r="R15" s="103">
        <f t="shared" si="3"/>
        <v>5479739240.7200003</v>
      </c>
      <c r="S15" s="114">
        <f t="shared" si="4"/>
        <v>52269676549.848099</v>
      </c>
      <c r="T15" s="115">
        <f t="shared" si="5"/>
        <v>50564348228.467903</v>
      </c>
      <c r="U15" s="100">
        <v>6</v>
      </c>
      <c r="AH15" s="97">
        <v>0</v>
      </c>
    </row>
    <row r="16" spans="1:34" ht="30" customHeight="1">
      <c r="A16" s="100">
        <v>7</v>
      </c>
      <c r="B16" s="101" t="s">
        <v>92</v>
      </c>
      <c r="C16" s="105">
        <v>23</v>
      </c>
      <c r="D16" s="103">
        <v>2564437898.6300001</v>
      </c>
      <c r="E16" s="103">
        <v>0</v>
      </c>
      <c r="F16" s="104">
        <f t="shared" si="0"/>
        <v>2564437898.6300001</v>
      </c>
      <c r="G16" s="103">
        <v>303276410.17000002</v>
      </c>
      <c r="H16" s="103">
        <v>0</v>
      </c>
      <c r="I16" s="103">
        <f>492630915.34-H16-G16</f>
        <v>189354505.16999999</v>
      </c>
      <c r="J16" s="103">
        <f t="shared" si="1"/>
        <v>2071806983.29</v>
      </c>
      <c r="K16" s="103">
        <v>4613222768.0733995</v>
      </c>
      <c r="L16" s="103">
        <v>188409160.38</v>
      </c>
      <c r="M16" s="103">
        <v>198765987.69319999</v>
      </c>
      <c r="N16" s="103">
        <f t="shared" si="6"/>
        <v>99382993.846599996</v>
      </c>
      <c r="O16" s="103">
        <f t="shared" si="2"/>
        <v>99382993.846599996</v>
      </c>
      <c r="P16" s="103">
        <v>6792015663.3599997</v>
      </c>
      <c r="Q16" s="103">
        <v>0</v>
      </c>
      <c r="R16" s="103">
        <f t="shared" si="3"/>
        <v>6792015663.3599997</v>
      </c>
      <c r="S16" s="114">
        <f t="shared" si="4"/>
        <v>14356851478.1366</v>
      </c>
      <c r="T16" s="115">
        <f t="shared" si="5"/>
        <v>13764837568.950001</v>
      </c>
      <c r="U16" s="100">
        <v>7</v>
      </c>
      <c r="AH16" s="97">
        <v>0</v>
      </c>
    </row>
    <row r="17" spans="1:34" ht="30" customHeight="1">
      <c r="A17" s="100">
        <v>8</v>
      </c>
      <c r="B17" s="101" t="s">
        <v>93</v>
      </c>
      <c r="C17" s="105">
        <v>27</v>
      </c>
      <c r="D17" s="103">
        <v>2841029671.7800002</v>
      </c>
      <c r="E17" s="103">
        <v>0</v>
      </c>
      <c r="F17" s="104">
        <f t="shared" si="0"/>
        <v>2841029671.7800002</v>
      </c>
      <c r="G17" s="103">
        <v>268566528.35000002</v>
      </c>
      <c r="H17" s="103">
        <v>0</v>
      </c>
      <c r="I17" s="103">
        <f>376846876.85-H17-G17</f>
        <v>108280348.5</v>
      </c>
      <c r="J17" s="103">
        <f t="shared" si="1"/>
        <v>2464182794.9299998</v>
      </c>
      <c r="K17" s="103">
        <v>5110789687.5516005</v>
      </c>
      <c r="L17" s="103">
        <v>191588022.43000001</v>
      </c>
      <c r="M17" s="103">
        <v>220204228.41240001</v>
      </c>
      <c r="N17" s="103">
        <v>0</v>
      </c>
      <c r="O17" s="103">
        <f t="shared" si="2"/>
        <v>220204228.41240001</v>
      </c>
      <c r="P17" s="103">
        <v>7205856971.8900003</v>
      </c>
      <c r="Q17" s="103">
        <v>0</v>
      </c>
      <c r="R17" s="103">
        <f t="shared" si="3"/>
        <v>7205856971.8900003</v>
      </c>
      <c r="S17" s="114">
        <f t="shared" si="4"/>
        <v>15569468582.063999</v>
      </c>
      <c r="T17" s="115">
        <f t="shared" si="5"/>
        <v>15192621705.214001</v>
      </c>
      <c r="U17" s="100">
        <v>8</v>
      </c>
      <c r="AH17" s="97">
        <v>0</v>
      </c>
    </row>
    <row r="18" spans="1:34" ht="30" customHeight="1">
      <c r="A18" s="100">
        <v>9</v>
      </c>
      <c r="B18" s="101" t="s">
        <v>94</v>
      </c>
      <c r="C18" s="105">
        <v>18</v>
      </c>
      <c r="D18" s="103">
        <v>2299423107.5700002</v>
      </c>
      <c r="E18" s="103">
        <v>0</v>
      </c>
      <c r="F18" s="104">
        <f t="shared" si="0"/>
        <v>2299423107.5700002</v>
      </c>
      <c r="G18" s="103">
        <v>1591698085.8</v>
      </c>
      <c r="H18" s="103">
        <v>541305066.39999998</v>
      </c>
      <c r="I18" s="103">
        <f>2577992195.49-H18-G18</f>
        <v>444989043.29000002</v>
      </c>
      <c r="J18" s="103">
        <f t="shared" si="1"/>
        <v>-278569087.919999</v>
      </c>
      <c r="K18" s="103">
        <v>4136481931.9468999</v>
      </c>
      <c r="L18" s="103">
        <v>171071920.96000001</v>
      </c>
      <c r="M18" s="103">
        <v>178225062.6327</v>
      </c>
      <c r="N18" s="103">
        <f t="shared" si="6"/>
        <v>89112531.316349998</v>
      </c>
      <c r="O18" s="103">
        <f t="shared" si="2"/>
        <v>89112531.316349998</v>
      </c>
      <c r="P18" s="103">
        <v>6028504751.9200001</v>
      </c>
      <c r="Q18" s="103">
        <v>0</v>
      </c>
      <c r="R18" s="103">
        <f t="shared" si="3"/>
        <v>6028504751.9200001</v>
      </c>
      <c r="S18" s="114">
        <f t="shared" si="4"/>
        <v>12813706775.0296</v>
      </c>
      <c r="T18" s="115">
        <f t="shared" si="5"/>
        <v>10146602048.223301</v>
      </c>
      <c r="U18" s="100">
        <v>9</v>
      </c>
      <c r="AH18" s="97">
        <v>0</v>
      </c>
    </row>
    <row r="19" spans="1:34" ht="30" customHeight="1">
      <c r="A19" s="100">
        <v>10</v>
      </c>
      <c r="B19" s="101" t="s">
        <v>95</v>
      </c>
      <c r="C19" s="105">
        <v>25</v>
      </c>
      <c r="D19" s="103">
        <v>2321775729.29</v>
      </c>
      <c r="E19" s="103">
        <v>37088630729.919998</v>
      </c>
      <c r="F19" s="104">
        <f t="shared" si="0"/>
        <v>39410406459.209999</v>
      </c>
      <c r="G19" s="103">
        <v>380941267.68000001</v>
      </c>
      <c r="H19" s="103">
        <v>0</v>
      </c>
      <c r="I19" s="103">
        <f>2506871459.07-H19-G19</f>
        <v>2125930191.3900001</v>
      </c>
      <c r="J19" s="103">
        <f t="shared" si="1"/>
        <v>36903535000.139999</v>
      </c>
      <c r="K19" s="103">
        <v>26051021013.3606</v>
      </c>
      <c r="L19" s="103">
        <v>237915338.38</v>
      </c>
      <c r="M19" s="103">
        <v>179957583.0176</v>
      </c>
      <c r="N19" s="103">
        <f t="shared" si="6"/>
        <v>89978791.5088</v>
      </c>
      <c r="O19" s="103">
        <f t="shared" si="2"/>
        <v>89978791.5088</v>
      </c>
      <c r="P19" s="103">
        <v>7017214743.8999996</v>
      </c>
      <c r="Q19" s="103">
        <v>0</v>
      </c>
      <c r="R19" s="103">
        <f t="shared" si="3"/>
        <v>7017214743.8999996</v>
      </c>
      <c r="S19" s="114">
        <f t="shared" si="4"/>
        <v>72896515137.868195</v>
      </c>
      <c r="T19" s="115">
        <f t="shared" si="5"/>
        <v>70299664887.289398</v>
      </c>
      <c r="U19" s="100">
        <v>10</v>
      </c>
      <c r="AH19" s="97">
        <v>0</v>
      </c>
    </row>
    <row r="20" spans="1:34" ht="30" customHeight="1">
      <c r="A20" s="100">
        <v>11</v>
      </c>
      <c r="B20" s="101" t="s">
        <v>96</v>
      </c>
      <c r="C20" s="105">
        <v>13</v>
      </c>
      <c r="D20" s="103">
        <v>2045743945.0999999</v>
      </c>
      <c r="E20" s="103">
        <v>0</v>
      </c>
      <c r="F20" s="104">
        <f t="shared" si="0"/>
        <v>2045743945.0999999</v>
      </c>
      <c r="G20" s="103">
        <v>829020383.39999998</v>
      </c>
      <c r="H20" s="103">
        <v>0</v>
      </c>
      <c r="I20" s="103">
        <f>1239594498.8-H20-G20</f>
        <v>410574115.39999998</v>
      </c>
      <c r="J20" s="103">
        <f t="shared" si="1"/>
        <v>806149446.29999995</v>
      </c>
      <c r="K20" s="103">
        <v>3680133003.119</v>
      </c>
      <c r="L20" s="103">
        <v>151143969.25999999</v>
      </c>
      <c r="M20" s="103">
        <v>158562746.25830001</v>
      </c>
      <c r="N20" s="103">
        <v>0</v>
      </c>
      <c r="O20" s="103">
        <f t="shared" si="2"/>
        <v>158562746.25830001</v>
      </c>
      <c r="P20" s="103">
        <v>5521029179.0200005</v>
      </c>
      <c r="Q20" s="103">
        <v>0</v>
      </c>
      <c r="R20" s="103">
        <f t="shared" si="3"/>
        <v>5521029179.0200005</v>
      </c>
      <c r="S20" s="114">
        <f t="shared" si="4"/>
        <v>11556612842.757299</v>
      </c>
      <c r="T20" s="115">
        <f t="shared" si="5"/>
        <v>10317018343.9573</v>
      </c>
      <c r="U20" s="100">
        <v>11</v>
      </c>
      <c r="AH20" s="97">
        <v>0</v>
      </c>
    </row>
    <row r="21" spans="1:34" ht="30" customHeight="1">
      <c r="A21" s="100">
        <v>12</v>
      </c>
      <c r="B21" s="101" t="s">
        <v>97</v>
      </c>
      <c r="C21" s="105">
        <v>18</v>
      </c>
      <c r="D21" s="103">
        <v>2138130292.8</v>
      </c>
      <c r="E21" s="103">
        <v>2393754955.8000002</v>
      </c>
      <c r="F21" s="104">
        <f t="shared" si="0"/>
        <v>4531885248.6000004</v>
      </c>
      <c r="G21" s="103">
        <v>1970259581.95</v>
      </c>
      <c r="H21" s="103">
        <v>510923032.41000003</v>
      </c>
      <c r="I21" s="103">
        <f>2638525712.1-H21-G21</f>
        <v>157343097.74000001</v>
      </c>
      <c r="J21" s="103">
        <f t="shared" si="1"/>
        <v>1893359536.5</v>
      </c>
      <c r="K21" s="103">
        <v>5165439439.6967001</v>
      </c>
      <c r="L21" s="103">
        <v>213194807.44999999</v>
      </c>
      <c r="M21" s="103">
        <v>165723482.59779999</v>
      </c>
      <c r="N21" s="103">
        <f t="shared" si="6"/>
        <v>82861741.298899993</v>
      </c>
      <c r="O21" s="103">
        <f t="shared" si="2"/>
        <v>82861741.298899993</v>
      </c>
      <c r="P21" s="103">
        <v>6469208437.0200005</v>
      </c>
      <c r="Q21" s="103">
        <v>0</v>
      </c>
      <c r="R21" s="103">
        <f t="shared" si="3"/>
        <v>6469208437.0200005</v>
      </c>
      <c r="S21" s="114">
        <f t="shared" si="4"/>
        <v>16545451415.3645</v>
      </c>
      <c r="T21" s="115">
        <f t="shared" si="5"/>
        <v>13824063961.965599</v>
      </c>
      <c r="U21" s="100">
        <v>12</v>
      </c>
      <c r="AH21" s="97">
        <v>0</v>
      </c>
    </row>
    <row r="22" spans="1:34" ht="30" customHeight="1">
      <c r="A22" s="100">
        <v>13</v>
      </c>
      <c r="B22" s="101" t="s">
        <v>98</v>
      </c>
      <c r="C22" s="105">
        <v>16</v>
      </c>
      <c r="D22" s="103">
        <v>2044589543.71</v>
      </c>
      <c r="E22" s="103">
        <v>0</v>
      </c>
      <c r="F22" s="104">
        <f t="shared" si="0"/>
        <v>2044589543.71</v>
      </c>
      <c r="G22" s="103">
        <v>1012400231.65</v>
      </c>
      <c r="H22" s="103">
        <v>345000000</v>
      </c>
      <c r="I22" s="103">
        <f>1905464178.49-H22-G22</f>
        <v>548063946.84000003</v>
      </c>
      <c r="J22" s="103">
        <f t="shared" si="1"/>
        <v>139125365.22</v>
      </c>
      <c r="K22" s="103">
        <v>3678056325.5044999</v>
      </c>
      <c r="L22" s="103">
        <v>157970637.31999999</v>
      </c>
      <c r="M22" s="103">
        <v>158473270.22440001</v>
      </c>
      <c r="N22" s="103">
        <v>0</v>
      </c>
      <c r="O22" s="103">
        <f t="shared" si="2"/>
        <v>158473270.22440001</v>
      </c>
      <c r="P22" s="103">
        <v>5834798061.9499998</v>
      </c>
      <c r="Q22" s="103">
        <v>0</v>
      </c>
      <c r="R22" s="103">
        <f t="shared" si="3"/>
        <v>5834798061.9499998</v>
      </c>
      <c r="S22" s="114">
        <f t="shared" si="4"/>
        <v>11873887838.7089</v>
      </c>
      <c r="T22" s="115">
        <f t="shared" si="5"/>
        <v>9968423660.2189007</v>
      </c>
      <c r="U22" s="100">
        <v>13</v>
      </c>
      <c r="AH22" s="97">
        <v>0</v>
      </c>
    </row>
    <row r="23" spans="1:34" ht="30" customHeight="1">
      <c r="A23" s="100">
        <v>14</v>
      </c>
      <c r="B23" s="101" t="s">
        <v>99</v>
      </c>
      <c r="C23" s="105">
        <v>17</v>
      </c>
      <c r="D23" s="103">
        <v>2299621563.3099999</v>
      </c>
      <c r="E23" s="103">
        <v>0</v>
      </c>
      <c r="F23" s="104">
        <f t="shared" si="0"/>
        <v>2299621563.3099999</v>
      </c>
      <c r="G23" s="103">
        <v>1045863175.83</v>
      </c>
      <c r="H23" s="103">
        <v>0</v>
      </c>
      <c r="I23" s="103">
        <f>1124507488.17-H23-G23</f>
        <v>78644312.340000004</v>
      </c>
      <c r="J23" s="103">
        <f t="shared" si="1"/>
        <v>1175114075.1400001</v>
      </c>
      <c r="K23" s="103">
        <v>4136838938.2680001</v>
      </c>
      <c r="L23" s="103">
        <v>201643582.52000001</v>
      </c>
      <c r="M23" s="103">
        <v>178240444.65900001</v>
      </c>
      <c r="N23" s="103">
        <v>0</v>
      </c>
      <c r="O23" s="103">
        <f t="shared" si="2"/>
        <v>178240444.65900001</v>
      </c>
      <c r="P23" s="103">
        <v>6300462905.7299995</v>
      </c>
      <c r="Q23" s="103">
        <v>0</v>
      </c>
      <c r="R23" s="103">
        <f t="shared" si="3"/>
        <v>6300462905.7299995</v>
      </c>
      <c r="S23" s="114">
        <f t="shared" si="4"/>
        <v>13116807434.487</v>
      </c>
      <c r="T23" s="115">
        <f t="shared" si="5"/>
        <v>11992299946.316999</v>
      </c>
      <c r="U23" s="100">
        <v>14</v>
      </c>
      <c r="AH23" s="97">
        <v>0</v>
      </c>
    </row>
    <row r="24" spans="1:34" ht="30" customHeight="1">
      <c r="A24" s="100">
        <v>15</v>
      </c>
      <c r="B24" s="101" t="s">
        <v>100</v>
      </c>
      <c r="C24" s="105">
        <v>11</v>
      </c>
      <c r="D24" s="103">
        <v>2153848152</v>
      </c>
      <c r="E24" s="103">
        <v>0</v>
      </c>
      <c r="F24" s="104">
        <f t="shared" si="0"/>
        <v>2153848152</v>
      </c>
      <c r="G24" s="103">
        <v>579542872.13999999</v>
      </c>
      <c r="H24" s="103">
        <v>1191927125.99</v>
      </c>
      <c r="I24" s="103">
        <f>2166089044.57-H24-G24</f>
        <v>394619046.44</v>
      </c>
      <c r="J24" s="103">
        <f t="shared" si="1"/>
        <v>-12240892.570000101</v>
      </c>
      <c r="K24" s="103">
        <v>3874603997.6609001</v>
      </c>
      <c r="L24" s="103">
        <v>153323037.28999999</v>
      </c>
      <c r="M24" s="103">
        <v>166941751.83669999</v>
      </c>
      <c r="N24" s="103">
        <v>166941751.83669999</v>
      </c>
      <c r="O24" s="103">
        <f t="shared" si="2"/>
        <v>0</v>
      </c>
      <c r="P24" s="103">
        <v>5720185523.0500002</v>
      </c>
      <c r="Q24" s="103">
        <v>0</v>
      </c>
      <c r="R24" s="103">
        <f t="shared" si="3"/>
        <v>5720185523.0500002</v>
      </c>
      <c r="S24" s="114">
        <f t="shared" si="4"/>
        <v>12068902461.837601</v>
      </c>
      <c r="T24" s="115">
        <f t="shared" si="5"/>
        <v>9735871665.4309006</v>
      </c>
      <c r="U24" s="100">
        <v>15</v>
      </c>
      <c r="AH24" s="97">
        <v>0</v>
      </c>
    </row>
    <row r="25" spans="1:34" ht="30" customHeight="1">
      <c r="A25" s="100">
        <v>16</v>
      </c>
      <c r="B25" s="101" t="s">
        <v>101</v>
      </c>
      <c r="C25" s="105">
        <v>27</v>
      </c>
      <c r="D25" s="103">
        <v>2377470125.4400001</v>
      </c>
      <c r="E25" s="103">
        <v>3012089007.79</v>
      </c>
      <c r="F25" s="104">
        <f t="shared" si="0"/>
        <v>5389559133.2299995</v>
      </c>
      <c r="G25" s="103">
        <v>1124937985.78</v>
      </c>
      <c r="H25" s="103">
        <v>0</v>
      </c>
      <c r="I25" s="103">
        <f>2586381696.81-H25-G25</f>
        <v>1461443711.03</v>
      </c>
      <c r="J25" s="103">
        <f t="shared" si="1"/>
        <v>2803177436.4200001</v>
      </c>
      <c r="K25" s="103">
        <v>6107995793.0106001</v>
      </c>
      <c r="L25" s="103">
        <v>205575016.94</v>
      </c>
      <c r="M25" s="103">
        <v>184274377.6124</v>
      </c>
      <c r="N25" s="103">
        <f t="shared" ref="N25" si="7">M25/2</f>
        <v>92137188.806199998</v>
      </c>
      <c r="O25" s="103">
        <f t="shared" si="2"/>
        <v>92137188.806199998</v>
      </c>
      <c r="P25" s="103">
        <v>6645407831.5600004</v>
      </c>
      <c r="Q25" s="103">
        <v>0</v>
      </c>
      <c r="R25" s="103">
        <f t="shared" si="3"/>
        <v>6645407831.5600004</v>
      </c>
      <c r="S25" s="114">
        <f t="shared" si="4"/>
        <v>18532812152.353001</v>
      </c>
      <c r="T25" s="115">
        <f t="shared" si="5"/>
        <v>15854293266.736799</v>
      </c>
      <c r="U25" s="100">
        <v>16</v>
      </c>
      <c r="AH25" s="97">
        <v>0</v>
      </c>
    </row>
    <row r="26" spans="1:34" ht="30" customHeight="1">
      <c r="A26" s="100">
        <v>17</v>
      </c>
      <c r="B26" s="101" t="s">
        <v>102</v>
      </c>
      <c r="C26" s="105">
        <v>27</v>
      </c>
      <c r="D26" s="103">
        <v>2557189664.0500002</v>
      </c>
      <c r="E26" s="103">
        <v>0</v>
      </c>
      <c r="F26" s="104">
        <f t="shared" si="0"/>
        <v>2557189664.0500002</v>
      </c>
      <c r="G26" s="103">
        <v>305648422.99000001</v>
      </c>
      <c r="H26" s="103">
        <v>0</v>
      </c>
      <c r="I26" s="103">
        <f>378899439.36-H26-G26</f>
        <v>73251016.370000005</v>
      </c>
      <c r="J26" s="103">
        <f t="shared" si="1"/>
        <v>2178290224.6900001</v>
      </c>
      <c r="K26" s="103">
        <v>4600183762.2252998</v>
      </c>
      <c r="L26" s="103">
        <v>184241155.37</v>
      </c>
      <c r="M26" s="103">
        <v>198204187.1891</v>
      </c>
      <c r="N26" s="103">
        <v>0</v>
      </c>
      <c r="O26" s="103">
        <f t="shared" si="2"/>
        <v>198204187.1891</v>
      </c>
      <c r="P26" s="103">
        <v>7355687659.6599998</v>
      </c>
      <c r="Q26" s="103">
        <v>0</v>
      </c>
      <c r="R26" s="103">
        <f t="shared" si="3"/>
        <v>7355687659.6599998</v>
      </c>
      <c r="S26" s="114">
        <f t="shared" si="4"/>
        <v>14895506428.4944</v>
      </c>
      <c r="T26" s="115">
        <f t="shared" si="5"/>
        <v>14516606989.134399</v>
      </c>
      <c r="U26" s="100">
        <v>17</v>
      </c>
      <c r="AH26" s="97">
        <v>0</v>
      </c>
    </row>
    <row r="27" spans="1:34" ht="30" customHeight="1">
      <c r="A27" s="100">
        <v>18</v>
      </c>
      <c r="B27" s="101" t="s">
        <v>103</v>
      </c>
      <c r="C27" s="105">
        <v>23</v>
      </c>
      <c r="D27" s="103">
        <v>2996045119.3000002</v>
      </c>
      <c r="E27" s="103">
        <v>0</v>
      </c>
      <c r="F27" s="104">
        <f t="shared" si="0"/>
        <v>2996045119.3000002</v>
      </c>
      <c r="G27" s="103">
        <v>3796561713.5300002</v>
      </c>
      <c r="H27" s="103">
        <v>0</v>
      </c>
      <c r="I27" s="103">
        <f>4232745980.77-H27-G27</f>
        <v>436184267.24000001</v>
      </c>
      <c r="J27" s="103">
        <f t="shared" si="1"/>
        <v>-1236700861.47</v>
      </c>
      <c r="K27" s="103">
        <v>5389650326.8451004</v>
      </c>
      <c r="L27" s="103">
        <v>247747163.94999999</v>
      </c>
      <c r="M27" s="103">
        <v>232219258.50839999</v>
      </c>
      <c r="N27" s="103">
        <v>232219258.50839999</v>
      </c>
      <c r="O27" s="103">
        <f t="shared" si="2"/>
        <v>0</v>
      </c>
      <c r="P27" s="103">
        <v>8255631610.6099997</v>
      </c>
      <c r="Q27" s="103">
        <v>0</v>
      </c>
      <c r="R27" s="103">
        <f t="shared" si="3"/>
        <v>8255631610.6099997</v>
      </c>
      <c r="S27" s="114">
        <f t="shared" si="4"/>
        <v>17121293479.213499</v>
      </c>
      <c r="T27" s="115">
        <f t="shared" si="5"/>
        <v>12656328239.935101</v>
      </c>
      <c r="U27" s="100">
        <v>18</v>
      </c>
      <c r="AH27" s="97">
        <v>0</v>
      </c>
    </row>
    <row r="28" spans="1:34" ht="30" customHeight="1">
      <c r="A28" s="100">
        <v>19</v>
      </c>
      <c r="B28" s="101" t="s">
        <v>104</v>
      </c>
      <c r="C28" s="105">
        <v>44</v>
      </c>
      <c r="D28" s="103">
        <v>3627046166.2399998</v>
      </c>
      <c r="E28" s="103">
        <v>0</v>
      </c>
      <c r="F28" s="104">
        <f t="shared" si="0"/>
        <v>3627046166.2399998</v>
      </c>
      <c r="G28" s="103">
        <v>1097138975.0599999</v>
      </c>
      <c r="H28" s="103">
        <v>292615190</v>
      </c>
      <c r="I28" s="103">
        <f>1758565804.28-H28-G28</f>
        <v>368811639.22000003</v>
      </c>
      <c r="J28" s="103">
        <f t="shared" si="1"/>
        <v>1868480361.96</v>
      </c>
      <c r="K28" s="103">
        <v>6524771749.7635002</v>
      </c>
      <c r="L28" s="103">
        <v>316547229.95999998</v>
      </c>
      <c r="M28" s="103">
        <v>281127265.36629999</v>
      </c>
      <c r="N28" s="103">
        <v>0</v>
      </c>
      <c r="O28" s="103">
        <f t="shared" si="2"/>
        <v>281127265.36629999</v>
      </c>
      <c r="P28" s="103">
        <v>11373133406.42</v>
      </c>
      <c r="Q28" s="103">
        <v>0</v>
      </c>
      <c r="R28" s="103">
        <f t="shared" si="3"/>
        <v>11373133406.42</v>
      </c>
      <c r="S28" s="114">
        <f t="shared" si="4"/>
        <v>22122625817.749802</v>
      </c>
      <c r="T28" s="115">
        <f t="shared" si="5"/>
        <v>20364060013.469799</v>
      </c>
      <c r="U28" s="100">
        <v>19</v>
      </c>
      <c r="AH28" s="97">
        <v>0</v>
      </c>
    </row>
    <row r="29" spans="1:34" ht="30" customHeight="1">
      <c r="A29" s="100">
        <v>20</v>
      </c>
      <c r="B29" s="101" t="s">
        <v>105</v>
      </c>
      <c r="C29" s="105">
        <v>34</v>
      </c>
      <c r="D29" s="103">
        <v>2810857553.27</v>
      </c>
      <c r="E29" s="103">
        <v>0</v>
      </c>
      <c r="F29" s="104">
        <f t="shared" si="0"/>
        <v>2810857553.27</v>
      </c>
      <c r="G29" s="103">
        <v>852223256.97000003</v>
      </c>
      <c r="H29" s="103">
        <v>850000000</v>
      </c>
      <c r="I29" s="103">
        <f>1702223256.97-H29-G29</f>
        <v>0</v>
      </c>
      <c r="J29" s="103">
        <f t="shared" si="1"/>
        <v>1108634296.3</v>
      </c>
      <c r="K29" s="103">
        <v>5056512411.3645</v>
      </c>
      <c r="L29" s="103">
        <v>218398775.5</v>
      </c>
      <c r="M29" s="103">
        <v>217865629.78999999</v>
      </c>
      <c r="N29" s="103">
        <v>0</v>
      </c>
      <c r="O29" s="103">
        <f t="shared" si="2"/>
        <v>217865629.78999999</v>
      </c>
      <c r="P29" s="103">
        <v>8169712370.2700005</v>
      </c>
      <c r="Q29" s="103">
        <v>0</v>
      </c>
      <c r="R29" s="103">
        <f t="shared" si="3"/>
        <v>8169712370.2700005</v>
      </c>
      <c r="S29" s="114">
        <f t="shared" si="4"/>
        <v>16473346740.1945</v>
      </c>
      <c r="T29" s="115">
        <f t="shared" si="5"/>
        <v>14771123483.224501</v>
      </c>
      <c r="U29" s="100">
        <v>20</v>
      </c>
      <c r="AH29" s="97">
        <v>0</v>
      </c>
    </row>
    <row r="30" spans="1:34" ht="30" customHeight="1">
      <c r="A30" s="100">
        <v>21</v>
      </c>
      <c r="B30" s="101" t="s">
        <v>106</v>
      </c>
      <c r="C30" s="105">
        <v>21</v>
      </c>
      <c r="D30" s="103">
        <v>2414540661.77</v>
      </c>
      <c r="E30" s="103">
        <v>0</v>
      </c>
      <c r="F30" s="104">
        <f t="shared" si="0"/>
        <v>2414540661.77</v>
      </c>
      <c r="G30" s="103">
        <v>482706139.92000002</v>
      </c>
      <c r="H30" s="103">
        <v>0</v>
      </c>
      <c r="I30" s="103">
        <f>549553377.63-H30-G30</f>
        <v>66847237.710000001</v>
      </c>
      <c r="J30" s="103">
        <f t="shared" si="1"/>
        <v>1864987284.1400001</v>
      </c>
      <c r="K30" s="103">
        <v>4343569388.5591002</v>
      </c>
      <c r="L30" s="103">
        <v>167549481.02000001</v>
      </c>
      <c r="M30" s="103">
        <v>187147662.9323</v>
      </c>
      <c r="N30" s="103">
        <f t="shared" ref="N30:N32" si="8">M30/2</f>
        <v>93573831.466150001</v>
      </c>
      <c r="O30" s="103">
        <f t="shared" si="2"/>
        <v>93573831.466150001</v>
      </c>
      <c r="P30" s="103">
        <v>6178100749.1700001</v>
      </c>
      <c r="Q30" s="103">
        <v>0</v>
      </c>
      <c r="R30" s="103">
        <f t="shared" si="3"/>
        <v>6178100749.1700001</v>
      </c>
      <c r="S30" s="114">
        <f t="shared" si="4"/>
        <v>13290907943.451401</v>
      </c>
      <c r="T30" s="115">
        <f t="shared" si="5"/>
        <v>12647780734.355301</v>
      </c>
      <c r="U30" s="100">
        <v>21</v>
      </c>
      <c r="AH30" s="97">
        <v>0</v>
      </c>
    </row>
    <row r="31" spans="1:34" ht="30" customHeight="1">
      <c r="A31" s="100">
        <v>22</v>
      </c>
      <c r="B31" s="101" t="s">
        <v>107</v>
      </c>
      <c r="C31" s="105">
        <v>21</v>
      </c>
      <c r="D31" s="103">
        <v>2527295146.2199998</v>
      </c>
      <c r="E31" s="103">
        <v>0</v>
      </c>
      <c r="F31" s="104">
        <f t="shared" si="0"/>
        <v>2527295146.2199998</v>
      </c>
      <c r="G31" s="103">
        <v>572783105.52999997</v>
      </c>
      <c r="H31" s="103">
        <v>0</v>
      </c>
      <c r="I31" s="103">
        <f>1008495523.18-H31-G31</f>
        <v>435712417.64999998</v>
      </c>
      <c r="J31" s="103">
        <f t="shared" si="1"/>
        <v>1518799623.04</v>
      </c>
      <c r="K31" s="103">
        <v>4546405867.9019003</v>
      </c>
      <c r="L31" s="103">
        <v>174347429.50999999</v>
      </c>
      <c r="M31" s="103">
        <v>195887105.00639999</v>
      </c>
      <c r="N31" s="103">
        <f t="shared" si="8"/>
        <v>97943552.503199995</v>
      </c>
      <c r="O31" s="103">
        <f t="shared" si="2"/>
        <v>97943552.503199995</v>
      </c>
      <c r="P31" s="103">
        <v>6317339050.0100002</v>
      </c>
      <c r="Q31" s="103">
        <v>0</v>
      </c>
      <c r="R31" s="103">
        <f t="shared" si="3"/>
        <v>6317339050.0100002</v>
      </c>
      <c r="S31" s="114">
        <f t="shared" si="4"/>
        <v>13761274598.6483</v>
      </c>
      <c r="T31" s="115">
        <f t="shared" si="5"/>
        <v>12654835522.965099</v>
      </c>
      <c r="U31" s="100">
        <v>22</v>
      </c>
      <c r="AH31" s="97">
        <v>0</v>
      </c>
    </row>
    <row r="32" spans="1:34" ht="30" customHeight="1">
      <c r="A32" s="100">
        <v>23</v>
      </c>
      <c r="B32" s="101" t="s">
        <v>108</v>
      </c>
      <c r="C32" s="105">
        <v>16</v>
      </c>
      <c r="D32" s="103">
        <v>2035473973.3499999</v>
      </c>
      <c r="E32" s="103">
        <v>0</v>
      </c>
      <c r="F32" s="104">
        <f t="shared" si="0"/>
        <v>2035473973.3499999</v>
      </c>
      <c r="G32" s="103">
        <v>453776051.43000001</v>
      </c>
      <c r="H32" s="103">
        <v>559212440.21000004</v>
      </c>
      <c r="I32" s="103">
        <f>1224453146.78-H32-G32</f>
        <v>211464655.13999999</v>
      </c>
      <c r="J32" s="103">
        <f t="shared" si="1"/>
        <v>811020826.57000005</v>
      </c>
      <c r="K32" s="103">
        <v>3661658128.9491</v>
      </c>
      <c r="L32" s="103">
        <v>164119968.43000001</v>
      </c>
      <c r="M32" s="103">
        <v>157766735.14070001</v>
      </c>
      <c r="N32" s="103">
        <f t="shared" si="8"/>
        <v>78883367.570350006</v>
      </c>
      <c r="O32" s="103">
        <f t="shared" si="2"/>
        <v>78883367.570350006</v>
      </c>
      <c r="P32" s="103">
        <v>5926795227.6899996</v>
      </c>
      <c r="Q32" s="103">
        <v>0</v>
      </c>
      <c r="R32" s="103">
        <f t="shared" si="3"/>
        <v>5926795227.6899996</v>
      </c>
      <c r="S32" s="114">
        <f t="shared" si="4"/>
        <v>11945814033.559799</v>
      </c>
      <c r="T32" s="115">
        <f t="shared" si="5"/>
        <v>10642477519.2094</v>
      </c>
      <c r="U32" s="100">
        <v>23</v>
      </c>
      <c r="AH32" s="97">
        <v>0</v>
      </c>
    </row>
    <row r="33" spans="1:34" ht="30" customHeight="1">
      <c r="A33" s="100">
        <v>24</v>
      </c>
      <c r="B33" s="101" t="s">
        <v>109</v>
      </c>
      <c r="C33" s="105">
        <v>20</v>
      </c>
      <c r="D33" s="103">
        <v>3063275784.4699998</v>
      </c>
      <c r="E33" s="103">
        <v>0</v>
      </c>
      <c r="F33" s="104">
        <f t="shared" si="0"/>
        <v>3063275784.4699998</v>
      </c>
      <c r="G33" s="103">
        <v>6931766965.6199999</v>
      </c>
      <c r="H33" s="103">
        <v>0</v>
      </c>
      <c r="I33" s="103">
        <f>6931766965.62-H33-G33</f>
        <v>0</v>
      </c>
      <c r="J33" s="103">
        <f t="shared" si="1"/>
        <v>-3868491181.1500001</v>
      </c>
      <c r="K33" s="103">
        <v>5510593023.6714001</v>
      </c>
      <c r="L33" s="103">
        <v>682346325.78999996</v>
      </c>
      <c r="M33" s="103">
        <v>237430213.14840001</v>
      </c>
      <c r="N33" s="103">
        <v>0</v>
      </c>
      <c r="O33" s="103">
        <f t="shared" si="2"/>
        <v>237430213.14840001</v>
      </c>
      <c r="P33" s="103">
        <v>43431371308.059998</v>
      </c>
      <c r="Q33" s="103">
        <v>7667853446.5</v>
      </c>
      <c r="R33" s="103">
        <f t="shared" si="3"/>
        <v>35763517861.559998</v>
      </c>
      <c r="S33" s="114">
        <f t="shared" si="4"/>
        <v>52925016655.139801</v>
      </c>
      <c r="T33" s="115">
        <f t="shared" si="5"/>
        <v>38325396243.019798</v>
      </c>
      <c r="U33" s="100">
        <v>24</v>
      </c>
      <c r="AH33" s="97">
        <v>0</v>
      </c>
    </row>
    <row r="34" spans="1:34" ht="30" customHeight="1">
      <c r="A34" s="100">
        <v>25</v>
      </c>
      <c r="B34" s="101" t="s">
        <v>110</v>
      </c>
      <c r="C34" s="105">
        <v>13</v>
      </c>
      <c r="D34" s="103">
        <v>2108755410.1300001</v>
      </c>
      <c r="E34" s="103">
        <v>0</v>
      </c>
      <c r="F34" s="104">
        <f t="shared" si="0"/>
        <v>2108755410.1300001</v>
      </c>
      <c r="G34" s="103">
        <v>460734705.08999997</v>
      </c>
      <c r="H34" s="103">
        <v>0</v>
      </c>
      <c r="I34" s="103">
        <f>460734705.09-H34-G34</f>
        <v>0</v>
      </c>
      <c r="J34" s="103">
        <f t="shared" si="1"/>
        <v>1648020705.04</v>
      </c>
      <c r="K34" s="103">
        <v>3793485689.5973001</v>
      </c>
      <c r="L34" s="103">
        <v>152625488.74000001</v>
      </c>
      <c r="M34" s="103">
        <v>163446676.60780001</v>
      </c>
      <c r="N34" s="103">
        <v>163446676.60780001</v>
      </c>
      <c r="O34" s="103">
        <f t="shared" si="2"/>
        <v>0</v>
      </c>
      <c r="P34" s="103">
        <v>5454970092.96</v>
      </c>
      <c r="Q34" s="103">
        <v>0</v>
      </c>
      <c r="R34" s="103">
        <f t="shared" si="3"/>
        <v>5454970092.96</v>
      </c>
      <c r="S34" s="114">
        <f t="shared" si="4"/>
        <v>11673283358.035101</v>
      </c>
      <c r="T34" s="115">
        <f t="shared" si="5"/>
        <v>11049101976.337299</v>
      </c>
      <c r="U34" s="100">
        <v>25</v>
      </c>
      <c r="AH34" s="97">
        <v>0</v>
      </c>
    </row>
    <row r="35" spans="1:34" ht="30" customHeight="1">
      <c r="A35" s="100">
        <v>26</v>
      </c>
      <c r="B35" s="101" t="s">
        <v>111</v>
      </c>
      <c r="C35" s="105">
        <v>25</v>
      </c>
      <c r="D35" s="103">
        <v>2708602434.0500002</v>
      </c>
      <c r="E35" s="103">
        <v>0</v>
      </c>
      <c r="F35" s="104">
        <f t="shared" si="0"/>
        <v>2708602434.0500002</v>
      </c>
      <c r="G35" s="103">
        <v>760084178.89999998</v>
      </c>
      <c r="H35" s="103">
        <v>514281002.97000003</v>
      </c>
      <c r="I35" s="103">
        <f>1808269656.35-H35-G35</f>
        <v>533904474.48000002</v>
      </c>
      <c r="J35" s="103">
        <f t="shared" si="1"/>
        <v>900332777.70000005</v>
      </c>
      <c r="K35" s="103">
        <v>4872563467.0696001</v>
      </c>
      <c r="L35" s="103">
        <v>190294832.69999999</v>
      </c>
      <c r="M35" s="103">
        <v>209939978.80019999</v>
      </c>
      <c r="N35" s="103">
        <f t="shared" ref="N35:N37" si="9">M35/2</f>
        <v>104969989.40009999</v>
      </c>
      <c r="O35" s="103">
        <f t="shared" si="2"/>
        <v>104969989.40009999</v>
      </c>
      <c r="P35" s="103">
        <v>6717099839.1800003</v>
      </c>
      <c r="Q35" s="103">
        <v>0</v>
      </c>
      <c r="R35" s="103">
        <f t="shared" si="3"/>
        <v>6717099839.1800003</v>
      </c>
      <c r="S35" s="114">
        <f t="shared" si="4"/>
        <v>14698500551.799801</v>
      </c>
      <c r="T35" s="115">
        <f t="shared" si="5"/>
        <v>12785260906.0497</v>
      </c>
      <c r="U35" s="100">
        <v>26</v>
      </c>
      <c r="AH35" s="97">
        <v>0</v>
      </c>
    </row>
    <row r="36" spans="1:34" ht="30" customHeight="1">
      <c r="A36" s="100">
        <v>27</v>
      </c>
      <c r="B36" s="101" t="s">
        <v>112</v>
      </c>
      <c r="C36" s="105">
        <v>20</v>
      </c>
      <c r="D36" s="103">
        <v>2124417140.28</v>
      </c>
      <c r="E36" s="103">
        <v>0</v>
      </c>
      <c r="F36" s="104">
        <f t="shared" si="0"/>
        <v>2124417140.28</v>
      </c>
      <c r="G36" s="103">
        <v>1406692479.79</v>
      </c>
      <c r="H36" s="103">
        <v>500000000</v>
      </c>
      <c r="I36" s="103">
        <f>3518594375.91-H36-G36</f>
        <v>1611901896.1199999</v>
      </c>
      <c r="J36" s="103">
        <f t="shared" si="1"/>
        <v>-1394177235.6300001</v>
      </c>
      <c r="K36" s="103">
        <v>3821659914.5120001</v>
      </c>
      <c r="L36" s="103">
        <v>221952776.83000001</v>
      </c>
      <c r="M36" s="103">
        <v>164660595.36340001</v>
      </c>
      <c r="N36" s="103">
        <v>0</v>
      </c>
      <c r="O36" s="103">
        <f t="shared" si="2"/>
        <v>164660595.36340001</v>
      </c>
      <c r="P36" s="103">
        <v>6688476670.29</v>
      </c>
      <c r="Q36" s="103">
        <v>0</v>
      </c>
      <c r="R36" s="103">
        <f t="shared" si="3"/>
        <v>6688476670.29</v>
      </c>
      <c r="S36" s="114">
        <f t="shared" si="4"/>
        <v>13021167097.2754</v>
      </c>
      <c r="T36" s="115">
        <f t="shared" si="5"/>
        <v>9502572721.3654003</v>
      </c>
      <c r="U36" s="100">
        <v>27</v>
      </c>
      <c r="AH36" s="97">
        <v>0</v>
      </c>
    </row>
    <row r="37" spans="1:34" ht="30" customHeight="1">
      <c r="A37" s="100">
        <v>28</v>
      </c>
      <c r="B37" s="101" t="s">
        <v>113</v>
      </c>
      <c r="C37" s="105">
        <v>18</v>
      </c>
      <c r="D37" s="103">
        <v>2128625848.55</v>
      </c>
      <c r="E37" s="103">
        <v>2689824747.9899998</v>
      </c>
      <c r="F37" s="104">
        <f t="shared" si="0"/>
        <v>4818450596.54</v>
      </c>
      <c r="G37" s="103">
        <v>651616895.57000005</v>
      </c>
      <c r="H37" s="103">
        <v>644248762.91999996</v>
      </c>
      <c r="I37" s="103">
        <f>1351155223.93-H37-G37</f>
        <v>55289565.440000102</v>
      </c>
      <c r="J37" s="103">
        <f t="shared" si="1"/>
        <v>3467295372.6100001</v>
      </c>
      <c r="K37" s="103">
        <v>5414514720.5263996</v>
      </c>
      <c r="L37" s="103">
        <v>191608997.28</v>
      </c>
      <c r="M37" s="103">
        <v>164986806.4436</v>
      </c>
      <c r="N37" s="103">
        <f t="shared" si="9"/>
        <v>82493403.221799999</v>
      </c>
      <c r="O37" s="103">
        <f t="shared" si="2"/>
        <v>82493403.221799999</v>
      </c>
      <c r="P37" s="103">
        <v>6378183396.7399998</v>
      </c>
      <c r="Q37" s="103">
        <v>0</v>
      </c>
      <c r="R37" s="103">
        <f t="shared" si="3"/>
        <v>6378183396.7399998</v>
      </c>
      <c r="S37" s="114">
        <f t="shared" si="4"/>
        <v>16967744517.530001</v>
      </c>
      <c r="T37" s="115">
        <f t="shared" si="5"/>
        <v>15534095890.378201</v>
      </c>
      <c r="U37" s="100">
        <v>28</v>
      </c>
      <c r="AH37" s="97">
        <v>0</v>
      </c>
    </row>
    <row r="38" spans="1:34" ht="30" customHeight="1">
      <c r="A38" s="100">
        <v>29</v>
      </c>
      <c r="B38" s="101" t="s">
        <v>114</v>
      </c>
      <c r="C38" s="105">
        <v>30</v>
      </c>
      <c r="D38" s="103">
        <v>2085472351.4300001</v>
      </c>
      <c r="E38" s="103">
        <v>0</v>
      </c>
      <c r="F38" s="104">
        <f t="shared" si="0"/>
        <v>2085472351.4300001</v>
      </c>
      <c r="G38" s="103">
        <v>1091555818.99</v>
      </c>
      <c r="H38" s="103">
        <v>0</v>
      </c>
      <c r="I38" s="103">
        <f>2233826763-H38-G38</f>
        <v>1142270944.01</v>
      </c>
      <c r="J38" s="103">
        <f t="shared" si="1"/>
        <v>-148354411.56999999</v>
      </c>
      <c r="K38" s="103">
        <v>3751601292.0321999</v>
      </c>
      <c r="L38" s="103">
        <v>188280855.44</v>
      </c>
      <c r="M38" s="103">
        <v>161642039.35749999</v>
      </c>
      <c r="N38" s="103">
        <v>0</v>
      </c>
      <c r="O38" s="103">
        <f t="shared" si="2"/>
        <v>161642039.35749999</v>
      </c>
      <c r="P38" s="103">
        <v>6307676648.9700003</v>
      </c>
      <c r="Q38" s="103">
        <v>0</v>
      </c>
      <c r="R38" s="103">
        <f t="shared" si="3"/>
        <v>6307676648.9700003</v>
      </c>
      <c r="S38" s="114">
        <f t="shared" si="4"/>
        <v>12494673187.2297</v>
      </c>
      <c r="T38" s="115">
        <f t="shared" si="5"/>
        <v>10260846424.2297</v>
      </c>
      <c r="U38" s="100">
        <v>29</v>
      </c>
      <c r="AH38" s="97">
        <v>0</v>
      </c>
    </row>
    <row r="39" spans="1:34" ht="30" customHeight="1">
      <c r="A39" s="100">
        <v>30</v>
      </c>
      <c r="B39" s="101" t="s">
        <v>115</v>
      </c>
      <c r="C39" s="105">
        <v>33</v>
      </c>
      <c r="D39" s="103">
        <v>2564721238.4699998</v>
      </c>
      <c r="E39" s="103">
        <v>0</v>
      </c>
      <c r="F39" s="104">
        <f t="shared" si="0"/>
        <v>2564721238.4699998</v>
      </c>
      <c r="G39" s="103">
        <v>2117344253.8</v>
      </c>
      <c r="H39" s="103">
        <v>0</v>
      </c>
      <c r="I39" s="103">
        <f>3482786991.61-H39-G39</f>
        <v>1365442737.8099999</v>
      </c>
      <c r="J39" s="103">
        <f t="shared" si="1"/>
        <v>-918065753.13999999</v>
      </c>
      <c r="K39" s="103">
        <v>4613732474.2530003</v>
      </c>
      <c r="L39" s="103">
        <v>319561901.58999997</v>
      </c>
      <c r="M39" s="103">
        <v>198787948.96779999</v>
      </c>
      <c r="N39" s="103">
        <v>0</v>
      </c>
      <c r="O39" s="103">
        <f t="shared" si="2"/>
        <v>198787948.96779999</v>
      </c>
      <c r="P39" s="103">
        <v>12111047414.889999</v>
      </c>
      <c r="Q39" s="103">
        <v>0</v>
      </c>
      <c r="R39" s="103">
        <f t="shared" si="3"/>
        <v>12111047414.889999</v>
      </c>
      <c r="S39" s="114">
        <f t="shared" si="4"/>
        <v>19807850978.170799</v>
      </c>
      <c r="T39" s="115">
        <f t="shared" si="5"/>
        <v>16325063986.560801</v>
      </c>
      <c r="U39" s="100">
        <v>30</v>
      </c>
      <c r="AH39" s="97">
        <v>0</v>
      </c>
    </row>
    <row r="40" spans="1:34" ht="30" customHeight="1">
      <c r="A40" s="100">
        <v>31</v>
      </c>
      <c r="B40" s="101" t="s">
        <v>116</v>
      </c>
      <c r="C40" s="105">
        <v>17</v>
      </c>
      <c r="D40" s="103">
        <v>2387839990.5599999</v>
      </c>
      <c r="E40" s="103">
        <v>0</v>
      </c>
      <c r="F40" s="104">
        <f t="shared" si="0"/>
        <v>2387839990.5599999</v>
      </c>
      <c r="G40" s="103">
        <v>350391783.98000002</v>
      </c>
      <c r="H40" s="103">
        <v>1031399422.97</v>
      </c>
      <c r="I40" s="103">
        <f>2021297964.62-H40-G40</f>
        <v>639506757.66999996</v>
      </c>
      <c r="J40" s="103">
        <f t="shared" si="1"/>
        <v>366542025.94</v>
      </c>
      <c r="K40" s="103">
        <v>4295536973.9535999</v>
      </c>
      <c r="L40" s="103">
        <v>182487425.25</v>
      </c>
      <c r="M40" s="103">
        <v>185078131.3249</v>
      </c>
      <c r="N40" s="103">
        <f t="shared" ref="N40:N41" si="10">M40/2</f>
        <v>92539065.662450001</v>
      </c>
      <c r="O40" s="103">
        <f t="shared" si="2"/>
        <v>92539065.662450001</v>
      </c>
      <c r="P40" s="103">
        <v>6267596053.1000004</v>
      </c>
      <c r="Q40" s="103">
        <v>0</v>
      </c>
      <c r="R40" s="103">
        <f t="shared" si="3"/>
        <v>6267596053.1000004</v>
      </c>
      <c r="S40" s="114">
        <f t="shared" si="4"/>
        <v>13318538574.188499</v>
      </c>
      <c r="T40" s="115">
        <f t="shared" si="5"/>
        <v>11204701543.906099</v>
      </c>
      <c r="U40" s="100">
        <v>31</v>
      </c>
      <c r="AH40" s="97">
        <v>0</v>
      </c>
    </row>
    <row r="41" spans="1:34" ht="30" customHeight="1">
      <c r="A41" s="100">
        <v>32</v>
      </c>
      <c r="B41" s="101" t="s">
        <v>117</v>
      </c>
      <c r="C41" s="105">
        <v>23</v>
      </c>
      <c r="D41" s="103">
        <v>2466073691.4899998</v>
      </c>
      <c r="E41" s="103">
        <v>22562363414.25</v>
      </c>
      <c r="F41" s="104">
        <f t="shared" si="0"/>
        <v>25028437105.740002</v>
      </c>
      <c r="G41" s="103">
        <v>3566421490.3400002</v>
      </c>
      <c r="H41" s="103">
        <v>0</v>
      </c>
      <c r="I41" s="103">
        <f>4877653945.48-H41-G41</f>
        <v>1311232455.1400001</v>
      </c>
      <c r="J41" s="103">
        <f t="shared" si="1"/>
        <v>20150783160.259998</v>
      </c>
      <c r="K41" s="103">
        <v>17464419728.029999</v>
      </c>
      <c r="L41" s="103">
        <v>262278292.56999999</v>
      </c>
      <c r="M41" s="103">
        <v>191141915.8466</v>
      </c>
      <c r="N41" s="103">
        <f t="shared" si="10"/>
        <v>95570957.923299998</v>
      </c>
      <c r="O41" s="103">
        <f t="shared" si="2"/>
        <v>95570957.923299998</v>
      </c>
      <c r="P41" s="103">
        <v>18258168952.950001</v>
      </c>
      <c r="Q41" s="103">
        <v>0</v>
      </c>
      <c r="R41" s="103">
        <f t="shared" si="3"/>
        <v>18258168952.950001</v>
      </c>
      <c r="S41" s="114">
        <f t="shared" si="4"/>
        <v>61204445995.136597</v>
      </c>
      <c r="T41" s="115">
        <f t="shared" si="5"/>
        <v>56231221091.733299</v>
      </c>
      <c r="U41" s="100">
        <v>32</v>
      </c>
      <c r="AH41" s="97">
        <v>0</v>
      </c>
    </row>
    <row r="42" spans="1:34" ht="30" customHeight="1">
      <c r="A42" s="100">
        <v>33</v>
      </c>
      <c r="B42" s="101" t="s">
        <v>118</v>
      </c>
      <c r="C42" s="105">
        <v>23</v>
      </c>
      <c r="D42" s="103">
        <v>2520103435.8299999</v>
      </c>
      <c r="E42" s="103">
        <v>0</v>
      </c>
      <c r="F42" s="104">
        <f t="shared" si="0"/>
        <v>2520103435.8299999</v>
      </c>
      <c r="G42" s="103">
        <v>348738528.24000001</v>
      </c>
      <c r="H42" s="103">
        <v>206017834</v>
      </c>
      <c r="I42" s="103">
        <f>1287250674.49-H42-G42</f>
        <v>732494312.25</v>
      </c>
      <c r="J42" s="103">
        <f t="shared" si="1"/>
        <v>1232852761.3399999</v>
      </c>
      <c r="K42" s="103">
        <v>4533468544.6287003</v>
      </c>
      <c r="L42" s="103">
        <v>179610840.28999999</v>
      </c>
      <c r="M42" s="103">
        <v>195329685.61269999</v>
      </c>
      <c r="N42" s="103">
        <v>0</v>
      </c>
      <c r="O42" s="103">
        <f t="shared" si="2"/>
        <v>195329685.61269999</v>
      </c>
      <c r="P42" s="103">
        <v>6950217616.2200003</v>
      </c>
      <c r="Q42" s="103">
        <v>0</v>
      </c>
      <c r="R42" s="103">
        <f t="shared" si="3"/>
        <v>6950217616.2200003</v>
      </c>
      <c r="S42" s="114">
        <f t="shared" si="4"/>
        <v>14378730122.5814</v>
      </c>
      <c r="T42" s="115">
        <f t="shared" si="5"/>
        <v>13091479448.0914</v>
      </c>
      <c r="U42" s="100">
        <v>33</v>
      </c>
      <c r="AH42" s="97">
        <v>0</v>
      </c>
    </row>
    <row r="43" spans="1:34" ht="30" customHeight="1">
      <c r="A43" s="100">
        <v>34</v>
      </c>
      <c r="B43" s="101" t="s">
        <v>119</v>
      </c>
      <c r="C43" s="105">
        <v>16</v>
      </c>
      <c r="D43" s="103">
        <v>2202675695.1399999</v>
      </c>
      <c r="E43" s="103">
        <v>0</v>
      </c>
      <c r="F43" s="104">
        <f t="shared" si="0"/>
        <v>2202675695.1399999</v>
      </c>
      <c r="G43" s="103">
        <v>300292543.88</v>
      </c>
      <c r="H43" s="103">
        <v>0</v>
      </c>
      <c r="I43" s="103">
        <f>526192428.12-H43-G43</f>
        <v>225899884.24000001</v>
      </c>
      <c r="J43" s="103">
        <f t="shared" si="1"/>
        <v>1676483267.02</v>
      </c>
      <c r="K43" s="103">
        <v>3962440920.4678001</v>
      </c>
      <c r="L43" s="103">
        <v>151794571.74000001</v>
      </c>
      <c r="M43" s="103">
        <v>170726306.27849999</v>
      </c>
      <c r="N43" s="103">
        <v>170726306.27849999</v>
      </c>
      <c r="O43" s="103">
        <f t="shared" si="2"/>
        <v>0</v>
      </c>
      <c r="P43" s="103">
        <v>5694298246.29</v>
      </c>
      <c r="Q43" s="103">
        <v>0</v>
      </c>
      <c r="R43" s="103">
        <f t="shared" si="3"/>
        <v>5694298246.29</v>
      </c>
      <c r="S43" s="114">
        <f t="shared" si="4"/>
        <v>12181935739.9163</v>
      </c>
      <c r="T43" s="115">
        <f t="shared" si="5"/>
        <v>11485017005.517799</v>
      </c>
      <c r="U43" s="100">
        <v>34</v>
      </c>
      <c r="AH43" s="97">
        <v>0</v>
      </c>
    </row>
    <row r="44" spans="1:34" ht="30" customHeight="1">
      <c r="A44" s="100">
        <v>35</v>
      </c>
      <c r="B44" s="101" t="s">
        <v>120</v>
      </c>
      <c r="C44" s="105">
        <v>17</v>
      </c>
      <c r="D44" s="103">
        <v>2270675885.3400002</v>
      </c>
      <c r="E44" s="103">
        <v>0</v>
      </c>
      <c r="F44" s="104">
        <f t="shared" si="0"/>
        <v>2270675885.3400002</v>
      </c>
      <c r="G44" s="103">
        <v>272113970.52999997</v>
      </c>
      <c r="H44" s="103">
        <v>0</v>
      </c>
      <c r="I44" s="103">
        <f>933908844.94-H44-G44</f>
        <v>661794874.40999997</v>
      </c>
      <c r="J44" s="103">
        <f t="shared" si="1"/>
        <v>1336767040.4000001</v>
      </c>
      <c r="K44" s="103">
        <v>4084767932.4917998</v>
      </c>
      <c r="L44" s="103">
        <v>152618181.08000001</v>
      </c>
      <c r="M44" s="103">
        <v>175996905.7245</v>
      </c>
      <c r="N44" s="103">
        <v>0</v>
      </c>
      <c r="O44" s="103">
        <f t="shared" si="2"/>
        <v>175996905.7245</v>
      </c>
      <c r="P44" s="103">
        <v>5712758100.1300001</v>
      </c>
      <c r="Q44" s="103">
        <v>0</v>
      </c>
      <c r="R44" s="103">
        <f t="shared" si="3"/>
        <v>5712758100.1300001</v>
      </c>
      <c r="S44" s="114">
        <f t="shared" si="4"/>
        <v>12396817004.7663</v>
      </c>
      <c r="T44" s="115">
        <f t="shared" si="5"/>
        <v>11462908159.8263</v>
      </c>
      <c r="U44" s="100">
        <v>35</v>
      </c>
      <c r="AH44" s="97">
        <v>0</v>
      </c>
    </row>
    <row r="45" spans="1:34" ht="30" customHeight="1">
      <c r="A45" s="100">
        <v>36</v>
      </c>
      <c r="B45" s="101" t="s">
        <v>121</v>
      </c>
      <c r="C45" s="105">
        <v>14</v>
      </c>
      <c r="D45" s="103">
        <v>2275511761.9499998</v>
      </c>
      <c r="E45" s="103">
        <v>0</v>
      </c>
      <c r="F45" s="104">
        <f t="shared" si="0"/>
        <v>2275511761.9499998</v>
      </c>
      <c r="G45" s="103">
        <v>303391312.60000002</v>
      </c>
      <c r="H45" s="103">
        <v>422213140</v>
      </c>
      <c r="I45" s="103">
        <f>1083129245.26-H45-G45</f>
        <v>357524792.66000003</v>
      </c>
      <c r="J45" s="103">
        <f t="shared" si="1"/>
        <v>1192382516.6900001</v>
      </c>
      <c r="K45" s="103">
        <v>4093467295.4558001</v>
      </c>
      <c r="L45" s="103">
        <v>166084533.53</v>
      </c>
      <c r="M45" s="103">
        <v>176371727.74360001</v>
      </c>
      <c r="N45" s="103">
        <v>0</v>
      </c>
      <c r="O45" s="103">
        <f t="shared" si="2"/>
        <v>176371727.74360001</v>
      </c>
      <c r="P45" s="103">
        <v>6386936067.3699999</v>
      </c>
      <c r="Q45" s="103">
        <v>0</v>
      </c>
      <c r="R45" s="103">
        <f t="shared" si="3"/>
        <v>6386936067.3699999</v>
      </c>
      <c r="S45" s="114">
        <f t="shared" si="4"/>
        <v>13098371386.0494</v>
      </c>
      <c r="T45" s="115">
        <f t="shared" si="5"/>
        <v>12015242140.7894</v>
      </c>
      <c r="U45" s="100">
        <v>36</v>
      </c>
      <c r="AH45" s="97">
        <v>0</v>
      </c>
    </row>
    <row r="46" spans="1:34" ht="30" customHeight="1">
      <c r="A46" s="100"/>
      <c r="B46" s="165" t="s">
        <v>27</v>
      </c>
      <c r="C46" s="165"/>
      <c r="D46" s="106">
        <f t="shared" ref="D46:T46" si="11">SUM(D10:D45)</f>
        <v>86711444661.339996</v>
      </c>
      <c r="E46" s="106">
        <f t="shared" si="11"/>
        <v>121849157706.64</v>
      </c>
      <c r="F46" s="106">
        <f t="shared" si="11"/>
        <v>208560602367.98001</v>
      </c>
      <c r="G46" s="106">
        <f t="shared" si="11"/>
        <v>40091763915.980003</v>
      </c>
      <c r="H46" s="106">
        <f t="shared" si="11"/>
        <v>8567965890.2700005</v>
      </c>
      <c r="I46" s="106">
        <f t="shared" si="11"/>
        <v>19925212801.16</v>
      </c>
      <c r="J46" s="106">
        <f t="shared" si="11"/>
        <v>139975659760.57001</v>
      </c>
      <c r="K46" s="106">
        <f t="shared" si="11"/>
        <v>227428769831.491</v>
      </c>
      <c r="L46" s="106">
        <f t="shared" si="11"/>
        <v>7523134124.7299995</v>
      </c>
      <c r="M46" s="106">
        <f t="shared" si="11"/>
        <v>6720882557.4061003</v>
      </c>
      <c r="N46" s="106">
        <f t="shared" si="11"/>
        <v>2083270019.4556999</v>
      </c>
      <c r="O46" s="106">
        <f t="shared" si="11"/>
        <v>4637612537.9504004</v>
      </c>
      <c r="P46" s="106">
        <f t="shared" si="11"/>
        <v>292849621002.87</v>
      </c>
      <c r="Q46" s="106">
        <f t="shared" si="11"/>
        <v>7667853446.5</v>
      </c>
      <c r="R46" s="106">
        <f t="shared" si="11"/>
        <v>285181767556.37</v>
      </c>
      <c r="S46" s="106">
        <f t="shared" si="11"/>
        <v>743083009884.47705</v>
      </c>
      <c r="T46" s="106">
        <f t="shared" si="11"/>
        <v>664746943811.11096</v>
      </c>
      <c r="U46" s="106"/>
    </row>
    <row r="47" spans="1:34">
      <c r="B47" s="107"/>
      <c r="C47" s="89"/>
      <c r="D47" s="90"/>
      <c r="E47" s="108"/>
      <c r="F47" s="89"/>
      <c r="G47" s="90"/>
      <c r="H47" s="90"/>
      <c r="I47" s="90"/>
      <c r="J47" s="111"/>
      <c r="K47" s="112"/>
      <c r="L47" s="112"/>
      <c r="M47" s="108"/>
      <c r="N47" s="108"/>
      <c r="O47" s="108"/>
      <c r="P47" s="108"/>
      <c r="Q47" s="108"/>
      <c r="R47" s="108"/>
      <c r="S47" s="97"/>
    </row>
    <row r="48" spans="1:34">
      <c r="B48" s="89"/>
      <c r="C48" s="89"/>
      <c r="D48" s="89"/>
      <c r="E48" s="89"/>
      <c r="F48" s="89"/>
      <c r="G48" s="89"/>
      <c r="H48" s="89"/>
      <c r="I48" s="90"/>
      <c r="J48" s="90"/>
      <c r="K48" s="90"/>
      <c r="L48" s="90"/>
      <c r="M48" s="113"/>
      <c r="N48" s="113"/>
      <c r="O48" s="113"/>
      <c r="P48" s="107"/>
      <c r="Q48" s="107"/>
      <c r="R48" s="113"/>
      <c r="T48" s="80"/>
    </row>
    <row r="49" spans="1:20">
      <c r="G49" s="80"/>
      <c r="H49" s="28"/>
      <c r="I49" s="97"/>
      <c r="J49" s="80"/>
      <c r="K49" s="80"/>
      <c r="L49" s="80"/>
      <c r="R49" s="80"/>
      <c r="T49" s="97"/>
    </row>
    <row r="50" spans="1:20">
      <c r="C50" s="109"/>
      <c r="D50" s="28"/>
      <c r="E50" s="97"/>
      <c r="H50" s="80"/>
      <c r="I50" s="97"/>
      <c r="J50" s="28"/>
      <c r="K50" s="28"/>
      <c r="L50" s="28"/>
      <c r="M50" s="28"/>
      <c r="O50" s="28"/>
      <c r="S50" s="80"/>
      <c r="T50" s="80"/>
    </row>
    <row r="51" spans="1:20">
      <c r="C51" s="109"/>
      <c r="D51" s="28"/>
      <c r="H51" s="80"/>
      <c r="J51" s="97"/>
      <c r="K51" s="97"/>
      <c r="L51" s="97"/>
      <c r="O51" s="80"/>
      <c r="T51" s="80"/>
    </row>
    <row r="52" spans="1:20">
      <c r="D52" s="80"/>
      <c r="H52" s="80"/>
      <c r="R52" s="80"/>
    </row>
    <row r="53" spans="1:20">
      <c r="H53" s="97"/>
    </row>
    <row r="54" spans="1:20" ht="21">
      <c r="A54" s="110" t="s">
        <v>56</v>
      </c>
    </row>
  </sheetData>
  <mergeCells count="25">
    <mergeCell ref="T7:T8"/>
    <mergeCell ref="U7:U8"/>
    <mergeCell ref="O7:O8"/>
    <mergeCell ref="P7:P8"/>
    <mergeCell ref="Q7:Q8"/>
    <mergeCell ref="R7:R8"/>
    <mergeCell ref="S7:S8"/>
    <mergeCell ref="J7:J8"/>
    <mergeCell ref="K7:K8"/>
    <mergeCell ref="L7:L8"/>
    <mergeCell ref="M7:M8"/>
    <mergeCell ref="N7:N8"/>
    <mergeCell ref="G7:I7"/>
    <mergeCell ref="B46:C46"/>
    <mergeCell ref="A7:A8"/>
    <mergeCell ref="B7:B8"/>
    <mergeCell ref="C7:C8"/>
    <mergeCell ref="D7:D8"/>
    <mergeCell ref="E7:E8"/>
    <mergeCell ref="F7:F8"/>
    <mergeCell ref="A1:U1"/>
    <mergeCell ref="A2:U2"/>
    <mergeCell ref="A3:U3"/>
    <mergeCell ref="A4:T4"/>
    <mergeCell ref="D5:T5"/>
  </mergeCells>
  <pageMargins left="0.109722222222222" right="0.109722222222222" top="0.35763888888888901" bottom="0.35763888888888901" header="0.29861111111111099" footer="0.29861111111111099"/>
  <pageSetup paperSize="9" scale="3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4"/>
  <sheetViews>
    <sheetView topLeftCell="M1" workbookViewId="0">
      <selection activeCell="M4" sqref="M4"/>
    </sheetView>
  </sheetViews>
  <sheetFormatPr defaultColWidth="9.109375" defaultRowHeight="13.2"/>
  <cols>
    <col min="1" max="1" width="9.33203125" style="14" customWidth="1"/>
    <col min="2" max="2" width="13.88671875" style="60" customWidth="1"/>
    <col min="3" max="3" width="9" style="14" customWidth="1"/>
    <col min="4" max="4" width="20.6640625" style="14" customWidth="1"/>
    <col min="5" max="5" width="19.88671875" style="14" customWidth="1"/>
    <col min="6" max="6" width="20" style="14" customWidth="1"/>
    <col min="7" max="11" width="19.88671875" style="14" customWidth="1"/>
    <col min="12" max="12" width="18.44140625" style="14" customWidth="1"/>
    <col min="13" max="13" width="19.6640625" style="14" customWidth="1"/>
    <col min="14" max="14" width="0.6640625" style="14" customWidth="1"/>
    <col min="15" max="15" width="4.6640625" style="14" customWidth="1"/>
    <col min="16" max="16" width="9.44140625" style="14" customWidth="1"/>
    <col min="17" max="17" width="17.88671875" style="60" customWidth="1"/>
    <col min="18" max="18" width="22.6640625" style="14" customWidth="1"/>
    <col min="19" max="19" width="21.44140625" style="14" customWidth="1"/>
    <col min="20" max="20" width="18.44140625" style="14" customWidth="1"/>
    <col min="21" max="22" width="21.88671875" style="14" customWidth="1"/>
    <col min="23" max="25" width="18.5546875" style="14" customWidth="1"/>
    <col min="26" max="26" width="22.109375" style="14" customWidth="1"/>
    <col min="27" max="27" width="20.6640625" style="14" customWidth="1"/>
    <col min="28" max="28" width="14.5546875" style="14" customWidth="1"/>
    <col min="29" max="16384" width="9.109375" style="14"/>
  </cols>
  <sheetData>
    <row r="1" spans="1:27" ht="24.6">
      <c r="A1" s="159" t="s">
        <v>122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</row>
    <row r="2" spans="1:27" ht="24.6">
      <c r="A2" s="159" t="s">
        <v>62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</row>
    <row r="3" spans="1:27" ht="45" customHeight="1">
      <c r="B3" s="172" t="s">
        <v>123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</row>
    <row r="4" spans="1:27">
      <c r="N4" s="14">
        <v>0</v>
      </c>
    </row>
    <row r="5" spans="1:27" ht="61.5" customHeight="1">
      <c r="A5" s="61" t="s">
        <v>21</v>
      </c>
      <c r="B5" s="56" t="s">
        <v>124</v>
      </c>
      <c r="C5" s="56" t="s">
        <v>21</v>
      </c>
      <c r="D5" s="56" t="s">
        <v>125</v>
      </c>
      <c r="E5" s="56" t="s">
        <v>50</v>
      </c>
      <c r="F5" s="56" t="s">
        <v>126</v>
      </c>
      <c r="G5" s="56" t="s">
        <v>24</v>
      </c>
      <c r="H5" s="56" t="s">
        <v>25</v>
      </c>
      <c r="I5" s="56" t="s">
        <v>75</v>
      </c>
      <c r="J5" s="56" t="s">
        <v>76</v>
      </c>
      <c r="K5" s="56" t="s">
        <v>77</v>
      </c>
      <c r="L5" s="56" t="s">
        <v>26</v>
      </c>
      <c r="M5" s="64" t="s">
        <v>127</v>
      </c>
      <c r="N5" s="70"/>
      <c r="O5" s="62"/>
      <c r="P5" s="56" t="s">
        <v>21</v>
      </c>
      <c r="Q5" s="74" t="s">
        <v>128</v>
      </c>
      <c r="R5" s="56" t="s">
        <v>125</v>
      </c>
      <c r="S5" s="56" t="s">
        <v>50</v>
      </c>
      <c r="T5" s="56" t="s">
        <v>126</v>
      </c>
      <c r="U5" s="56" t="s">
        <v>24</v>
      </c>
      <c r="V5" s="56" t="s">
        <v>25</v>
      </c>
      <c r="W5" s="56" t="s">
        <v>75</v>
      </c>
      <c r="X5" s="56" t="s">
        <v>76</v>
      </c>
      <c r="Y5" s="56" t="s">
        <v>77</v>
      </c>
      <c r="Z5" s="56" t="s">
        <v>26</v>
      </c>
      <c r="AA5" s="56" t="s">
        <v>127</v>
      </c>
    </row>
    <row r="6" spans="1:27" ht="15.6">
      <c r="A6" s="62"/>
      <c r="B6" s="63"/>
      <c r="C6" s="62"/>
      <c r="D6" s="64"/>
      <c r="E6" s="149" t="s">
        <v>28</v>
      </c>
      <c r="F6" s="149" t="s">
        <v>28</v>
      </c>
      <c r="G6" s="149" t="s">
        <v>28</v>
      </c>
      <c r="H6" s="149" t="s">
        <v>28</v>
      </c>
      <c r="I6" s="149" t="s">
        <v>28</v>
      </c>
      <c r="J6" s="149" t="s">
        <v>28</v>
      </c>
      <c r="K6" s="149" t="s">
        <v>28</v>
      </c>
      <c r="L6" s="149" t="s">
        <v>28</v>
      </c>
      <c r="M6" s="149" t="s">
        <v>28</v>
      </c>
      <c r="N6" s="70"/>
      <c r="O6" s="62"/>
      <c r="P6" s="64"/>
      <c r="Q6" s="65"/>
      <c r="R6" s="64"/>
      <c r="S6" s="149" t="s">
        <v>28</v>
      </c>
      <c r="T6" s="149" t="s">
        <v>28</v>
      </c>
      <c r="U6" s="149" t="s">
        <v>28</v>
      </c>
      <c r="V6" s="149" t="s">
        <v>28</v>
      </c>
      <c r="W6" s="149" t="s">
        <v>28</v>
      </c>
      <c r="X6" s="149" t="s">
        <v>28</v>
      </c>
      <c r="Y6" s="149" t="s">
        <v>28</v>
      </c>
      <c r="Z6" s="149" t="s">
        <v>28</v>
      </c>
      <c r="AA6" s="149" t="s">
        <v>28</v>
      </c>
    </row>
    <row r="7" spans="1:27" ht="24.9" customHeight="1">
      <c r="A7" s="180">
        <v>1</v>
      </c>
      <c r="B7" s="181" t="s">
        <v>86</v>
      </c>
      <c r="C7" s="62">
        <v>1</v>
      </c>
      <c r="D7" s="66" t="s">
        <v>129</v>
      </c>
      <c r="E7" s="66">
        <v>70926995.448200002</v>
      </c>
      <c r="F7" s="66">
        <v>0</v>
      </c>
      <c r="G7" s="66">
        <v>127592105.2456</v>
      </c>
      <c r="H7" s="66">
        <v>6323877.2654999997</v>
      </c>
      <c r="I7" s="66">
        <v>5955573.0199999996</v>
      </c>
      <c r="J7" s="66">
        <f t="shared" ref="J7:J23" si="0">I7/2</f>
        <v>2977786.51</v>
      </c>
      <c r="K7" s="66">
        <f t="shared" ref="K7:K23" si="1">I7-J7</f>
        <v>2977786.51</v>
      </c>
      <c r="L7" s="66">
        <v>183301776.391</v>
      </c>
      <c r="M7" s="71">
        <f t="shared" ref="M7:M70" si="2">E7+F7+G7+H7+K7+L7</f>
        <v>391122540.8603</v>
      </c>
      <c r="N7" s="70"/>
      <c r="O7" s="180">
        <v>19</v>
      </c>
      <c r="P7" s="72">
        <v>26</v>
      </c>
      <c r="Q7" s="184" t="s">
        <v>104</v>
      </c>
      <c r="R7" s="66" t="s">
        <v>130</v>
      </c>
      <c r="S7" s="66">
        <v>75085619.752000004</v>
      </c>
      <c r="T7" s="66">
        <v>0</v>
      </c>
      <c r="U7" s="66">
        <v>135073144.39899999</v>
      </c>
      <c r="V7" s="66">
        <v>5541901.7457999997</v>
      </c>
      <c r="W7" s="66">
        <v>6304762.9199999999</v>
      </c>
      <c r="X7" s="66">
        <v>0</v>
      </c>
      <c r="Y7" s="66">
        <f t="shared" ref="Y7:Y25" si="3">W7-X7</f>
        <v>6304762.9199999999</v>
      </c>
      <c r="Z7" s="66">
        <v>200757380.99439999</v>
      </c>
      <c r="AA7" s="71">
        <f t="shared" ref="AA7:AA26" si="4">S7+T7+U7+V7+Y7+Z7</f>
        <v>422762809.81120002</v>
      </c>
    </row>
    <row r="8" spans="1:27" ht="24.9" customHeight="1">
      <c r="A8" s="180"/>
      <c r="B8" s="182"/>
      <c r="C8" s="62">
        <v>2</v>
      </c>
      <c r="D8" s="66" t="s">
        <v>131</v>
      </c>
      <c r="E8" s="66">
        <v>118332452.177</v>
      </c>
      <c r="F8" s="66">
        <v>0</v>
      </c>
      <c r="G8" s="66">
        <v>212870806.07370001</v>
      </c>
      <c r="H8" s="66">
        <v>9894625.2921999991</v>
      </c>
      <c r="I8" s="66">
        <v>9936097.75</v>
      </c>
      <c r="J8" s="66">
        <f t="shared" si="0"/>
        <v>4968048.875</v>
      </c>
      <c r="K8" s="66">
        <f t="shared" si="1"/>
        <v>4968048.875</v>
      </c>
      <c r="L8" s="66">
        <v>322298661.065</v>
      </c>
      <c r="M8" s="71">
        <f t="shared" si="2"/>
        <v>668364593.48290002</v>
      </c>
      <c r="N8" s="70"/>
      <c r="O8" s="180"/>
      <c r="P8" s="72">
        <v>27</v>
      </c>
      <c r="Q8" s="185"/>
      <c r="R8" s="66" t="s">
        <v>132</v>
      </c>
      <c r="S8" s="66">
        <v>73533877.6303</v>
      </c>
      <c r="T8" s="66">
        <v>0</v>
      </c>
      <c r="U8" s="66">
        <v>132281681.96070001</v>
      </c>
      <c r="V8" s="66">
        <v>5920947.5</v>
      </c>
      <c r="W8" s="66">
        <v>6174466.79</v>
      </c>
      <c r="X8" s="66">
        <v>0</v>
      </c>
      <c r="Y8" s="66">
        <f t="shared" si="3"/>
        <v>6174466.79</v>
      </c>
      <c r="Z8" s="66">
        <v>215512322.7008</v>
      </c>
      <c r="AA8" s="71">
        <f t="shared" si="4"/>
        <v>433423296.58179998</v>
      </c>
    </row>
    <row r="9" spans="1:27" ht="24.9" customHeight="1">
      <c r="A9" s="180"/>
      <c r="B9" s="182"/>
      <c r="C9" s="62">
        <v>3</v>
      </c>
      <c r="D9" s="66" t="s">
        <v>133</v>
      </c>
      <c r="E9" s="66">
        <v>83259908.5009</v>
      </c>
      <c r="F9" s="66">
        <v>0</v>
      </c>
      <c r="G9" s="66">
        <v>149778049.11849999</v>
      </c>
      <c r="H9" s="66">
        <v>7031764.9352000002</v>
      </c>
      <c r="I9" s="66">
        <v>6991138.7199999997</v>
      </c>
      <c r="J9" s="66">
        <f t="shared" si="0"/>
        <v>3495569.36</v>
      </c>
      <c r="K9" s="66">
        <f t="shared" si="1"/>
        <v>3495569.36</v>
      </c>
      <c r="L9" s="66">
        <v>210857397.80489999</v>
      </c>
      <c r="M9" s="71">
        <f t="shared" si="2"/>
        <v>454422689.71950001</v>
      </c>
      <c r="N9" s="70"/>
      <c r="O9" s="180"/>
      <c r="P9" s="72">
        <v>28</v>
      </c>
      <c r="Q9" s="185"/>
      <c r="R9" s="66" t="s">
        <v>134</v>
      </c>
      <c r="S9" s="66">
        <v>73600442.155499995</v>
      </c>
      <c r="T9" s="66">
        <v>0</v>
      </c>
      <c r="U9" s="66">
        <v>132401426.31389999</v>
      </c>
      <c r="V9" s="66">
        <v>5830901.1364000002</v>
      </c>
      <c r="W9" s="66">
        <v>6180056.0499999998</v>
      </c>
      <c r="X9" s="66">
        <v>0</v>
      </c>
      <c r="Y9" s="66">
        <f t="shared" si="3"/>
        <v>6180056.0499999998</v>
      </c>
      <c r="Z9" s="66">
        <v>212007128.8547</v>
      </c>
      <c r="AA9" s="71">
        <f t="shared" si="4"/>
        <v>430019954.51050001</v>
      </c>
    </row>
    <row r="10" spans="1:27" ht="24.9" customHeight="1">
      <c r="A10" s="180"/>
      <c r="B10" s="182"/>
      <c r="C10" s="62">
        <v>4</v>
      </c>
      <c r="D10" s="66" t="s">
        <v>135</v>
      </c>
      <c r="E10" s="66">
        <v>84832829.217999995</v>
      </c>
      <c r="F10" s="66">
        <v>0</v>
      </c>
      <c r="G10" s="66">
        <v>152607610.2112</v>
      </c>
      <c r="H10" s="66">
        <v>7279003.0392000005</v>
      </c>
      <c r="I10" s="66">
        <v>7123213.1900000004</v>
      </c>
      <c r="J10" s="66">
        <f t="shared" si="0"/>
        <v>3561606.5950000002</v>
      </c>
      <c r="K10" s="66">
        <f t="shared" si="1"/>
        <v>3561606.5950000002</v>
      </c>
      <c r="L10" s="66">
        <v>220481523.0492</v>
      </c>
      <c r="M10" s="71">
        <f t="shared" si="2"/>
        <v>468762572.11260003</v>
      </c>
      <c r="N10" s="70"/>
      <c r="O10" s="180"/>
      <c r="P10" s="72">
        <v>29</v>
      </c>
      <c r="Q10" s="185"/>
      <c r="R10" s="66" t="s">
        <v>136</v>
      </c>
      <c r="S10" s="66">
        <v>87228738.041600004</v>
      </c>
      <c r="T10" s="66">
        <v>0</v>
      </c>
      <c r="U10" s="66">
        <v>156917662.37509999</v>
      </c>
      <c r="V10" s="66">
        <v>6799040.6299999999</v>
      </c>
      <c r="W10" s="66">
        <v>7324392.0099999998</v>
      </c>
      <c r="X10" s="66">
        <v>0</v>
      </c>
      <c r="Y10" s="66">
        <f t="shared" si="3"/>
        <v>7324392.0099999998</v>
      </c>
      <c r="Z10" s="66">
        <v>249693454.66859999</v>
      </c>
      <c r="AA10" s="71">
        <f t="shared" si="4"/>
        <v>507963287.72530001</v>
      </c>
    </row>
    <row r="11" spans="1:27" ht="24.9" customHeight="1">
      <c r="A11" s="180"/>
      <c r="B11" s="182"/>
      <c r="C11" s="62">
        <v>5</v>
      </c>
      <c r="D11" s="66" t="s">
        <v>137</v>
      </c>
      <c r="E11" s="66">
        <v>77214489.187999994</v>
      </c>
      <c r="F11" s="66">
        <v>0</v>
      </c>
      <c r="G11" s="66">
        <v>138902813.65669999</v>
      </c>
      <c r="H11" s="66">
        <v>6668182.1438999996</v>
      </c>
      <c r="I11" s="66">
        <v>6483519.0899999999</v>
      </c>
      <c r="J11" s="66">
        <f t="shared" si="0"/>
        <v>3241759.5449999999</v>
      </c>
      <c r="K11" s="66">
        <f t="shared" si="1"/>
        <v>3241759.5449999999</v>
      </c>
      <c r="L11" s="66">
        <v>196704375.82390001</v>
      </c>
      <c r="M11" s="71">
        <f t="shared" si="2"/>
        <v>422731620.35750002</v>
      </c>
      <c r="N11" s="70"/>
      <c r="O11" s="180"/>
      <c r="P11" s="72">
        <v>30</v>
      </c>
      <c r="Q11" s="185"/>
      <c r="R11" s="66" t="s">
        <v>138</v>
      </c>
      <c r="S11" s="66">
        <v>87911126.508200005</v>
      </c>
      <c r="T11" s="66">
        <v>0</v>
      </c>
      <c r="U11" s="66">
        <v>158145225.7484</v>
      </c>
      <c r="V11" s="66">
        <v>6701917.4214000003</v>
      </c>
      <c r="W11" s="66">
        <v>7381690.5700000003</v>
      </c>
      <c r="X11" s="66">
        <v>0</v>
      </c>
      <c r="Y11" s="66">
        <f t="shared" si="3"/>
        <v>7381690.5700000003</v>
      </c>
      <c r="Z11" s="66">
        <v>245912783.6927</v>
      </c>
      <c r="AA11" s="71">
        <f t="shared" si="4"/>
        <v>506052743.94069999</v>
      </c>
    </row>
    <row r="12" spans="1:27" ht="24.9" customHeight="1">
      <c r="A12" s="180"/>
      <c r="B12" s="182"/>
      <c r="C12" s="62">
        <v>6</v>
      </c>
      <c r="D12" s="66" t="s">
        <v>139</v>
      </c>
      <c r="E12" s="66">
        <v>79742608.959000006</v>
      </c>
      <c r="F12" s="66">
        <v>0</v>
      </c>
      <c r="G12" s="66">
        <v>143450702.95460001</v>
      </c>
      <c r="H12" s="66">
        <v>6845848.2016000003</v>
      </c>
      <c r="I12" s="66">
        <v>6695799.3600000003</v>
      </c>
      <c r="J12" s="66">
        <f t="shared" si="0"/>
        <v>3347899.68</v>
      </c>
      <c r="K12" s="66">
        <f t="shared" si="1"/>
        <v>3347899.68</v>
      </c>
      <c r="L12" s="66">
        <v>203620301.66139999</v>
      </c>
      <c r="M12" s="71">
        <f t="shared" si="2"/>
        <v>437007361.45660001</v>
      </c>
      <c r="N12" s="70"/>
      <c r="O12" s="180"/>
      <c r="P12" s="72">
        <v>31</v>
      </c>
      <c r="Q12" s="185"/>
      <c r="R12" s="66" t="s">
        <v>110</v>
      </c>
      <c r="S12" s="66">
        <v>151996007.97600001</v>
      </c>
      <c r="T12" s="66">
        <v>0</v>
      </c>
      <c r="U12" s="66">
        <v>273428904.25650001</v>
      </c>
      <c r="V12" s="66">
        <v>11023364.0801</v>
      </c>
      <c r="W12" s="66">
        <v>12762747.369999999</v>
      </c>
      <c r="X12" s="66">
        <v>0</v>
      </c>
      <c r="Y12" s="66">
        <f t="shared" si="3"/>
        <v>12762747.369999999</v>
      </c>
      <c r="Z12" s="66">
        <v>414131772.64069998</v>
      </c>
      <c r="AA12" s="71">
        <f t="shared" si="4"/>
        <v>863342796.3233</v>
      </c>
    </row>
    <row r="13" spans="1:27" ht="24.9" customHeight="1">
      <c r="A13" s="180"/>
      <c r="B13" s="182"/>
      <c r="C13" s="62">
        <v>7</v>
      </c>
      <c r="D13" s="66" t="s">
        <v>140</v>
      </c>
      <c r="E13" s="66">
        <v>77371689.387500003</v>
      </c>
      <c r="F13" s="66">
        <v>0</v>
      </c>
      <c r="G13" s="66">
        <v>139185604.48320001</v>
      </c>
      <c r="H13" s="66">
        <v>6631714.3825000003</v>
      </c>
      <c r="I13" s="66">
        <v>6496718.8099999996</v>
      </c>
      <c r="J13" s="66">
        <f t="shared" si="0"/>
        <v>3248359.4049999998</v>
      </c>
      <c r="K13" s="66">
        <f t="shared" si="1"/>
        <v>3248359.4049999998</v>
      </c>
      <c r="L13" s="66">
        <v>195284811.85839999</v>
      </c>
      <c r="M13" s="71">
        <f t="shared" si="2"/>
        <v>421722179.51660001</v>
      </c>
      <c r="N13" s="70"/>
      <c r="O13" s="180"/>
      <c r="P13" s="72">
        <v>32</v>
      </c>
      <c r="Q13" s="185"/>
      <c r="R13" s="66" t="s">
        <v>141</v>
      </c>
      <c r="S13" s="66">
        <v>76131444.292799994</v>
      </c>
      <c r="T13" s="66">
        <v>0</v>
      </c>
      <c r="U13" s="66">
        <v>136954500.77829999</v>
      </c>
      <c r="V13" s="66">
        <v>5930405.8671000004</v>
      </c>
      <c r="W13" s="66">
        <v>6392578.3499999996</v>
      </c>
      <c r="X13" s="66">
        <v>0</v>
      </c>
      <c r="Y13" s="66">
        <f t="shared" si="3"/>
        <v>6392578.3499999996</v>
      </c>
      <c r="Z13" s="66">
        <v>215880504.25549999</v>
      </c>
      <c r="AA13" s="71">
        <f t="shared" si="4"/>
        <v>441289433.54369998</v>
      </c>
    </row>
    <row r="14" spans="1:27" ht="24.9" customHeight="1">
      <c r="A14" s="180"/>
      <c r="B14" s="182"/>
      <c r="C14" s="62">
        <v>8</v>
      </c>
      <c r="D14" s="66" t="s">
        <v>142</v>
      </c>
      <c r="E14" s="66">
        <v>75442221.734699994</v>
      </c>
      <c r="F14" s="66">
        <v>0</v>
      </c>
      <c r="G14" s="66">
        <v>135714643.41499999</v>
      </c>
      <c r="H14" s="66">
        <v>6402365.9107999997</v>
      </c>
      <c r="I14" s="66">
        <v>6334705.9500000002</v>
      </c>
      <c r="J14" s="66">
        <f t="shared" si="0"/>
        <v>3167352.9750000001</v>
      </c>
      <c r="K14" s="66">
        <f t="shared" si="1"/>
        <v>3167352.9750000001</v>
      </c>
      <c r="L14" s="66">
        <v>186357068.19420001</v>
      </c>
      <c r="M14" s="71">
        <f t="shared" si="2"/>
        <v>407083652.22970003</v>
      </c>
      <c r="N14" s="70"/>
      <c r="O14" s="180"/>
      <c r="P14" s="72">
        <v>33</v>
      </c>
      <c r="Q14" s="185"/>
      <c r="R14" s="66" t="s">
        <v>143</v>
      </c>
      <c r="S14" s="66">
        <v>75345086.274700001</v>
      </c>
      <c r="T14" s="66">
        <v>0</v>
      </c>
      <c r="U14" s="66">
        <v>135539904.34279999</v>
      </c>
      <c r="V14" s="66">
        <v>5471607.3421</v>
      </c>
      <c r="W14" s="66">
        <v>6326549.7199999997</v>
      </c>
      <c r="X14" s="66">
        <v>0</v>
      </c>
      <c r="Y14" s="66">
        <f t="shared" si="3"/>
        <v>6326549.7199999997</v>
      </c>
      <c r="Z14" s="66">
        <v>198021062.70989999</v>
      </c>
      <c r="AA14" s="71">
        <f t="shared" si="4"/>
        <v>420704210.38950002</v>
      </c>
    </row>
    <row r="15" spans="1:27" ht="24.9" customHeight="1">
      <c r="A15" s="180"/>
      <c r="B15" s="182"/>
      <c r="C15" s="62">
        <v>9</v>
      </c>
      <c r="D15" s="66" t="s">
        <v>144</v>
      </c>
      <c r="E15" s="66">
        <v>81391413.865600005</v>
      </c>
      <c r="F15" s="66">
        <v>0</v>
      </c>
      <c r="G15" s="66">
        <v>146416773.74610001</v>
      </c>
      <c r="H15" s="66">
        <v>6960906.1897999998</v>
      </c>
      <c r="I15" s="66">
        <v>6834245.6299999999</v>
      </c>
      <c r="J15" s="66">
        <f t="shared" si="0"/>
        <v>3417122.8149999999</v>
      </c>
      <c r="K15" s="66">
        <f t="shared" si="1"/>
        <v>3417122.8149999999</v>
      </c>
      <c r="L15" s="66">
        <v>208099111.64719999</v>
      </c>
      <c r="M15" s="71">
        <f t="shared" si="2"/>
        <v>446285328.26370001</v>
      </c>
      <c r="N15" s="70"/>
      <c r="O15" s="180"/>
      <c r="P15" s="72">
        <v>34</v>
      </c>
      <c r="Q15" s="185"/>
      <c r="R15" s="66" t="s">
        <v>145</v>
      </c>
      <c r="S15" s="66">
        <v>90189976.529899999</v>
      </c>
      <c r="T15" s="66">
        <v>0</v>
      </c>
      <c r="U15" s="66">
        <v>162244698.3105</v>
      </c>
      <c r="V15" s="66">
        <v>6859346.1853</v>
      </c>
      <c r="W15" s="66">
        <v>7573040.25</v>
      </c>
      <c r="X15" s="66">
        <v>0</v>
      </c>
      <c r="Y15" s="66">
        <f t="shared" si="3"/>
        <v>7573040.25</v>
      </c>
      <c r="Z15" s="66">
        <v>252040941.59760001</v>
      </c>
      <c r="AA15" s="71">
        <f t="shared" si="4"/>
        <v>518908002.87330002</v>
      </c>
    </row>
    <row r="16" spans="1:27" ht="24.9" customHeight="1">
      <c r="A16" s="180"/>
      <c r="B16" s="182"/>
      <c r="C16" s="62">
        <v>10</v>
      </c>
      <c r="D16" s="66" t="s">
        <v>146</v>
      </c>
      <c r="E16" s="66">
        <v>82595816.213100001</v>
      </c>
      <c r="F16" s="66">
        <v>0</v>
      </c>
      <c r="G16" s="66">
        <v>148583399.16229999</v>
      </c>
      <c r="H16" s="66">
        <v>7158549.9441999998</v>
      </c>
      <c r="I16" s="66">
        <v>6935376.46</v>
      </c>
      <c r="J16" s="66">
        <f t="shared" si="0"/>
        <v>3467688.23</v>
      </c>
      <c r="K16" s="66">
        <f t="shared" si="1"/>
        <v>3467688.23</v>
      </c>
      <c r="L16" s="66">
        <v>215792700.1956</v>
      </c>
      <c r="M16" s="71">
        <f t="shared" si="2"/>
        <v>457598153.74519998</v>
      </c>
      <c r="N16" s="70"/>
      <c r="O16" s="180"/>
      <c r="P16" s="72">
        <v>35</v>
      </c>
      <c r="Q16" s="185"/>
      <c r="R16" s="66" t="s">
        <v>147</v>
      </c>
      <c r="S16" s="66">
        <v>74415423.684</v>
      </c>
      <c r="T16" s="66">
        <v>0</v>
      </c>
      <c r="U16" s="66">
        <v>133867514.20900001</v>
      </c>
      <c r="V16" s="66">
        <v>5875867.8839999996</v>
      </c>
      <c r="W16" s="66">
        <v>6248488.1399999997</v>
      </c>
      <c r="X16" s="66">
        <v>0</v>
      </c>
      <c r="Y16" s="66">
        <f t="shared" si="3"/>
        <v>6248488.1399999997</v>
      </c>
      <c r="Z16" s="66">
        <v>213757528.99039999</v>
      </c>
      <c r="AA16" s="71">
        <f t="shared" si="4"/>
        <v>434164822.90740001</v>
      </c>
    </row>
    <row r="17" spans="1:27" ht="24.9" customHeight="1">
      <c r="A17" s="180"/>
      <c r="B17" s="182"/>
      <c r="C17" s="62">
        <v>11</v>
      </c>
      <c r="D17" s="66" t="s">
        <v>148</v>
      </c>
      <c r="E17" s="66">
        <v>90325131.757799998</v>
      </c>
      <c r="F17" s="66">
        <v>0</v>
      </c>
      <c r="G17" s="66">
        <v>162487831.95950001</v>
      </c>
      <c r="H17" s="66">
        <v>7877577.7193</v>
      </c>
      <c r="I17" s="66">
        <v>7584388.9100000001</v>
      </c>
      <c r="J17" s="66">
        <f t="shared" si="0"/>
        <v>3792194.4550000001</v>
      </c>
      <c r="K17" s="66">
        <f t="shared" si="1"/>
        <v>3792194.4550000001</v>
      </c>
      <c r="L17" s="66">
        <v>243781967.42629999</v>
      </c>
      <c r="M17" s="71">
        <f t="shared" si="2"/>
        <v>508264703.3179</v>
      </c>
      <c r="N17" s="70"/>
      <c r="O17" s="180"/>
      <c r="P17" s="72">
        <v>36</v>
      </c>
      <c r="Q17" s="185"/>
      <c r="R17" s="66" t="s">
        <v>149</v>
      </c>
      <c r="S17" s="66">
        <v>94186322.159400001</v>
      </c>
      <c r="T17" s="66">
        <v>0</v>
      </c>
      <c r="U17" s="66">
        <v>169433810.83180001</v>
      </c>
      <c r="V17" s="66">
        <v>7151889.6419000002</v>
      </c>
      <c r="W17" s="66">
        <v>7908603.9900000002</v>
      </c>
      <c r="X17" s="66">
        <v>0</v>
      </c>
      <c r="Y17" s="66">
        <f t="shared" si="3"/>
        <v>7908603.9900000002</v>
      </c>
      <c r="Z17" s="66">
        <v>263428647.70159999</v>
      </c>
      <c r="AA17" s="71">
        <f t="shared" si="4"/>
        <v>542109274.3247</v>
      </c>
    </row>
    <row r="18" spans="1:27" ht="24.9" customHeight="1">
      <c r="A18" s="180"/>
      <c r="B18" s="182"/>
      <c r="C18" s="62">
        <v>12</v>
      </c>
      <c r="D18" s="66" t="s">
        <v>150</v>
      </c>
      <c r="E18" s="66">
        <v>86967044.914100006</v>
      </c>
      <c r="F18" s="66">
        <v>0</v>
      </c>
      <c r="G18" s="66">
        <v>156446896.95809999</v>
      </c>
      <c r="H18" s="66">
        <v>7589628.0042000003</v>
      </c>
      <c r="I18" s="66">
        <v>7302418.2599999998</v>
      </c>
      <c r="J18" s="66">
        <f t="shared" si="0"/>
        <v>3651209.13</v>
      </c>
      <c r="K18" s="66">
        <f t="shared" si="1"/>
        <v>3651209.13</v>
      </c>
      <c r="L18" s="66">
        <v>232573079.81009999</v>
      </c>
      <c r="M18" s="71">
        <f t="shared" si="2"/>
        <v>487227858.81650001</v>
      </c>
      <c r="N18" s="70"/>
      <c r="O18" s="180"/>
      <c r="P18" s="72">
        <v>37</v>
      </c>
      <c r="Q18" s="185"/>
      <c r="R18" s="66" t="s">
        <v>151</v>
      </c>
      <c r="S18" s="66">
        <v>82710690.062900007</v>
      </c>
      <c r="T18" s="66">
        <v>0</v>
      </c>
      <c r="U18" s="66">
        <v>148790048.2042</v>
      </c>
      <c r="V18" s="66">
        <v>6577186.6162</v>
      </c>
      <c r="W18" s="66">
        <v>6945022.1500000004</v>
      </c>
      <c r="X18" s="66">
        <v>0</v>
      </c>
      <c r="Y18" s="66">
        <f t="shared" si="3"/>
        <v>6945022.1500000004</v>
      </c>
      <c r="Z18" s="66">
        <v>241057444.36039999</v>
      </c>
      <c r="AA18" s="71">
        <f t="shared" si="4"/>
        <v>486080391.3937</v>
      </c>
    </row>
    <row r="19" spans="1:27" ht="24.9" customHeight="1">
      <c r="A19" s="180"/>
      <c r="B19" s="182"/>
      <c r="C19" s="62">
        <v>13</v>
      </c>
      <c r="D19" s="66" t="s">
        <v>152</v>
      </c>
      <c r="E19" s="66">
        <v>66409953.788199998</v>
      </c>
      <c r="F19" s="66">
        <v>0</v>
      </c>
      <c r="G19" s="66">
        <v>119466301.36399999</v>
      </c>
      <c r="H19" s="66">
        <v>6043173.6979999999</v>
      </c>
      <c r="I19" s="66">
        <v>5576287.6500000004</v>
      </c>
      <c r="J19" s="66">
        <f t="shared" si="0"/>
        <v>2788143.8250000002</v>
      </c>
      <c r="K19" s="66">
        <f t="shared" si="1"/>
        <v>2788143.8250000002</v>
      </c>
      <c r="L19" s="66">
        <v>172374956.26660001</v>
      </c>
      <c r="M19" s="71">
        <f t="shared" si="2"/>
        <v>367082528.9418</v>
      </c>
      <c r="N19" s="70"/>
      <c r="O19" s="180"/>
      <c r="P19" s="72">
        <v>38</v>
      </c>
      <c r="Q19" s="185"/>
      <c r="R19" s="66" t="s">
        <v>153</v>
      </c>
      <c r="S19" s="66">
        <v>86007011.503099993</v>
      </c>
      <c r="T19" s="66">
        <v>0</v>
      </c>
      <c r="U19" s="66">
        <v>154719872.08970001</v>
      </c>
      <c r="V19" s="66">
        <v>6787392.6169999996</v>
      </c>
      <c r="W19" s="66">
        <v>7221806.5</v>
      </c>
      <c r="X19" s="66">
        <v>0</v>
      </c>
      <c r="Y19" s="66">
        <f t="shared" si="3"/>
        <v>7221806.5</v>
      </c>
      <c r="Z19" s="66">
        <v>249240037.766</v>
      </c>
      <c r="AA19" s="71">
        <f t="shared" si="4"/>
        <v>503976120.47579998</v>
      </c>
    </row>
    <row r="20" spans="1:27" ht="24.9" customHeight="1">
      <c r="A20" s="180"/>
      <c r="B20" s="182"/>
      <c r="C20" s="62">
        <v>14</v>
      </c>
      <c r="D20" s="66" t="s">
        <v>154</v>
      </c>
      <c r="E20" s="66">
        <v>62748335.367399998</v>
      </c>
      <c r="F20" s="66">
        <v>0</v>
      </c>
      <c r="G20" s="66">
        <v>112879336.8427</v>
      </c>
      <c r="H20" s="66">
        <v>5775077.5242999997</v>
      </c>
      <c r="I20" s="66">
        <v>5268830.17</v>
      </c>
      <c r="J20" s="66">
        <f t="shared" si="0"/>
        <v>2634415.085</v>
      </c>
      <c r="K20" s="66">
        <f t="shared" si="1"/>
        <v>2634415.085</v>
      </c>
      <c r="L20" s="66">
        <v>161938898.42919999</v>
      </c>
      <c r="M20" s="71">
        <f t="shared" si="2"/>
        <v>345976063.24860001</v>
      </c>
      <c r="N20" s="70"/>
      <c r="O20" s="180"/>
      <c r="P20" s="72">
        <v>39</v>
      </c>
      <c r="Q20" s="185"/>
      <c r="R20" s="66" t="s">
        <v>155</v>
      </c>
      <c r="S20" s="66">
        <v>67709322.683599994</v>
      </c>
      <c r="T20" s="66">
        <v>0</v>
      </c>
      <c r="U20" s="66">
        <v>121803764.1622</v>
      </c>
      <c r="V20" s="66">
        <v>5391967.4397999998</v>
      </c>
      <c r="W20" s="66">
        <v>5685392.5999999996</v>
      </c>
      <c r="X20" s="66">
        <v>0</v>
      </c>
      <c r="Y20" s="66">
        <f t="shared" si="3"/>
        <v>5685392.5999999996</v>
      </c>
      <c r="Z20" s="66">
        <v>194920956.4454</v>
      </c>
      <c r="AA20" s="71">
        <f t="shared" si="4"/>
        <v>395511403.33099997</v>
      </c>
    </row>
    <row r="21" spans="1:27" ht="24.9" customHeight="1">
      <c r="A21" s="180"/>
      <c r="B21" s="182"/>
      <c r="C21" s="62">
        <v>15</v>
      </c>
      <c r="D21" s="66" t="s">
        <v>156</v>
      </c>
      <c r="E21" s="66">
        <v>65339397.0057</v>
      </c>
      <c r="F21" s="66">
        <v>0</v>
      </c>
      <c r="G21" s="66">
        <v>117540453.6332</v>
      </c>
      <c r="H21" s="66">
        <v>6110183.6328999996</v>
      </c>
      <c r="I21" s="66">
        <v>5486395.5199999996</v>
      </c>
      <c r="J21" s="66">
        <f t="shared" si="0"/>
        <v>2743197.76</v>
      </c>
      <c r="K21" s="66">
        <f t="shared" si="1"/>
        <v>2743197.76</v>
      </c>
      <c r="L21" s="66">
        <v>174983421.5291</v>
      </c>
      <c r="M21" s="71">
        <f t="shared" si="2"/>
        <v>366716653.56089997</v>
      </c>
      <c r="N21" s="70"/>
      <c r="O21" s="180"/>
      <c r="P21" s="72">
        <v>40</v>
      </c>
      <c r="Q21" s="185"/>
      <c r="R21" s="66" t="s">
        <v>157</v>
      </c>
      <c r="S21" s="66">
        <v>74651932.822400004</v>
      </c>
      <c r="T21" s="66">
        <v>0</v>
      </c>
      <c r="U21" s="66">
        <v>134292975.60330001</v>
      </c>
      <c r="V21" s="66">
        <v>6068568.0049999999</v>
      </c>
      <c r="W21" s="66">
        <v>6268347.25</v>
      </c>
      <c r="X21" s="66">
        <v>0</v>
      </c>
      <c r="Y21" s="66">
        <f t="shared" si="3"/>
        <v>6268347.25</v>
      </c>
      <c r="Z21" s="66">
        <v>221258678.96970001</v>
      </c>
      <c r="AA21" s="71">
        <f t="shared" si="4"/>
        <v>442540502.65039998</v>
      </c>
    </row>
    <row r="22" spans="1:27" ht="24.9" customHeight="1">
      <c r="A22" s="180"/>
      <c r="B22" s="182"/>
      <c r="C22" s="62">
        <v>16</v>
      </c>
      <c r="D22" s="66" t="s">
        <v>158</v>
      </c>
      <c r="E22" s="66">
        <v>97399970.509100005</v>
      </c>
      <c r="F22" s="66">
        <v>0</v>
      </c>
      <c r="G22" s="66">
        <v>175214912.3301</v>
      </c>
      <c r="H22" s="66">
        <v>7601230.8698000005</v>
      </c>
      <c r="I22" s="66">
        <v>8178446.4900000002</v>
      </c>
      <c r="J22" s="66">
        <f t="shared" si="0"/>
        <v>4089223.2450000001</v>
      </c>
      <c r="K22" s="66">
        <f t="shared" si="1"/>
        <v>4089223.2450000001</v>
      </c>
      <c r="L22" s="66">
        <v>233024739.28290001</v>
      </c>
      <c r="M22" s="71">
        <f t="shared" si="2"/>
        <v>517330076.23689997</v>
      </c>
      <c r="N22" s="70"/>
      <c r="O22" s="180"/>
      <c r="P22" s="72">
        <v>41</v>
      </c>
      <c r="Q22" s="185"/>
      <c r="R22" s="66" t="s">
        <v>159</v>
      </c>
      <c r="S22" s="66">
        <v>92048484.364099994</v>
      </c>
      <c r="T22" s="66">
        <v>0</v>
      </c>
      <c r="U22" s="66">
        <v>165588008.21759999</v>
      </c>
      <c r="V22" s="66">
        <v>6904493.5223000003</v>
      </c>
      <c r="W22" s="66">
        <v>7729094.7800000003</v>
      </c>
      <c r="X22" s="66">
        <v>0</v>
      </c>
      <c r="Y22" s="66">
        <f t="shared" si="3"/>
        <v>7729094.7800000003</v>
      </c>
      <c r="Z22" s="66">
        <v>253798371.45280001</v>
      </c>
      <c r="AA22" s="71">
        <f t="shared" si="4"/>
        <v>526068452.33679998</v>
      </c>
    </row>
    <row r="23" spans="1:27" ht="24.9" customHeight="1">
      <c r="A23" s="180"/>
      <c r="B23" s="183"/>
      <c r="C23" s="62">
        <v>17</v>
      </c>
      <c r="D23" s="66" t="s">
        <v>160</v>
      </c>
      <c r="E23" s="66">
        <v>84159288.222499996</v>
      </c>
      <c r="F23" s="66">
        <v>0</v>
      </c>
      <c r="G23" s="66">
        <v>151395962.755</v>
      </c>
      <c r="H23" s="66">
        <v>6674694.6471999995</v>
      </c>
      <c r="I23" s="66">
        <v>7066657.5300000003</v>
      </c>
      <c r="J23" s="66">
        <f t="shared" si="0"/>
        <v>3533328.7650000001</v>
      </c>
      <c r="K23" s="66">
        <f t="shared" si="1"/>
        <v>3533328.7650000001</v>
      </c>
      <c r="L23" s="66">
        <v>196957885.08050001</v>
      </c>
      <c r="M23" s="71">
        <f t="shared" si="2"/>
        <v>442721159.4702</v>
      </c>
      <c r="N23" s="70"/>
      <c r="O23" s="180"/>
      <c r="P23" s="72">
        <v>42</v>
      </c>
      <c r="Q23" s="185"/>
      <c r="R23" s="66" t="s">
        <v>161</v>
      </c>
      <c r="S23" s="66">
        <v>107620481.8117</v>
      </c>
      <c r="T23" s="66">
        <v>0</v>
      </c>
      <c r="U23" s="66">
        <v>193600811.02059999</v>
      </c>
      <c r="V23" s="66">
        <v>8461117.2661000006</v>
      </c>
      <c r="W23" s="66">
        <v>9036638.7799999993</v>
      </c>
      <c r="X23" s="66">
        <v>0</v>
      </c>
      <c r="Y23" s="66">
        <f t="shared" si="3"/>
        <v>9036638.7799999993</v>
      </c>
      <c r="Z23" s="66">
        <v>314392356.07120001</v>
      </c>
      <c r="AA23" s="71">
        <f t="shared" si="4"/>
        <v>633111404.94959998</v>
      </c>
    </row>
    <row r="24" spans="1:27" ht="24.9" customHeight="1">
      <c r="A24" s="62"/>
      <c r="B24" s="173" t="s">
        <v>162</v>
      </c>
      <c r="C24" s="174"/>
      <c r="D24" s="67"/>
      <c r="E24" s="67">
        <f t="shared" ref="E24:M24" si="5">SUM(E7:E23)</f>
        <v>1384459546.2567999</v>
      </c>
      <c r="F24" s="67">
        <f t="shared" si="5"/>
        <v>0</v>
      </c>
      <c r="G24" s="67">
        <f t="shared" si="5"/>
        <v>2490534203.9095001</v>
      </c>
      <c r="H24" s="67">
        <f t="shared" si="5"/>
        <v>118868403.4006</v>
      </c>
      <c r="I24" s="67">
        <f t="shared" si="5"/>
        <v>116249812.51000001</v>
      </c>
      <c r="J24" s="67">
        <f t="shared" si="5"/>
        <v>58124906.255000003</v>
      </c>
      <c r="K24" s="67">
        <f t="shared" si="5"/>
        <v>58124906.255000003</v>
      </c>
      <c r="L24" s="67">
        <f t="shared" si="5"/>
        <v>3558432675.5155001</v>
      </c>
      <c r="M24" s="67">
        <f t="shared" si="5"/>
        <v>7610419735.3374004</v>
      </c>
      <c r="N24" s="70"/>
      <c r="O24" s="180"/>
      <c r="P24" s="72">
        <v>43</v>
      </c>
      <c r="Q24" s="185"/>
      <c r="R24" s="66" t="s">
        <v>163</v>
      </c>
      <c r="S24" s="66">
        <v>70233338.613600001</v>
      </c>
      <c r="T24" s="66">
        <v>0</v>
      </c>
      <c r="U24" s="66">
        <v>126344270.9809</v>
      </c>
      <c r="V24" s="66">
        <v>5742457.5033</v>
      </c>
      <c r="W24" s="66">
        <v>5897328.29</v>
      </c>
      <c r="X24" s="66">
        <v>0</v>
      </c>
      <c r="Y24" s="66">
        <f t="shared" si="3"/>
        <v>5897328.29</v>
      </c>
      <c r="Z24" s="66">
        <v>208564323.7685</v>
      </c>
      <c r="AA24" s="71">
        <f t="shared" si="4"/>
        <v>416781719.15630001</v>
      </c>
    </row>
    <row r="25" spans="1:27" ht="24.9" customHeight="1">
      <c r="A25" s="180">
        <v>2</v>
      </c>
      <c r="B25" s="181" t="s">
        <v>164</v>
      </c>
      <c r="C25" s="62">
        <v>1</v>
      </c>
      <c r="D25" s="66" t="s">
        <v>165</v>
      </c>
      <c r="E25" s="66">
        <v>86308096.236300007</v>
      </c>
      <c r="F25" s="66">
        <v>0</v>
      </c>
      <c r="G25" s="66">
        <v>155261499.93849999</v>
      </c>
      <c r="H25" s="66">
        <v>5906765.3448999999</v>
      </c>
      <c r="I25" s="66">
        <v>7247087.8899999997</v>
      </c>
      <c r="J25" s="66">
        <v>0</v>
      </c>
      <c r="K25" s="66">
        <f t="shared" ref="K25:K45" si="6">I25-J25</f>
        <v>7247087.8899999997</v>
      </c>
      <c r="L25" s="66">
        <v>220569285.37459999</v>
      </c>
      <c r="M25" s="71">
        <f t="shared" si="2"/>
        <v>475292734.78430003</v>
      </c>
      <c r="N25" s="70"/>
      <c r="O25" s="180"/>
      <c r="P25" s="72">
        <v>44</v>
      </c>
      <c r="Q25" s="186"/>
      <c r="R25" s="66" t="s">
        <v>166</v>
      </c>
      <c r="S25" s="66">
        <v>82584629.479399994</v>
      </c>
      <c r="T25" s="66">
        <v>0</v>
      </c>
      <c r="U25" s="66">
        <v>148563275.09130001</v>
      </c>
      <c r="V25" s="66">
        <v>6379057.5279999999</v>
      </c>
      <c r="W25" s="66">
        <v>6934437.1299999999</v>
      </c>
      <c r="X25" s="66">
        <v>0</v>
      </c>
      <c r="Y25" s="66">
        <f t="shared" si="3"/>
        <v>6934437.1299999999</v>
      </c>
      <c r="Z25" s="66">
        <v>233344963.4411</v>
      </c>
      <c r="AA25" s="71">
        <f t="shared" si="4"/>
        <v>477806362.66979998</v>
      </c>
    </row>
    <row r="26" spans="1:27" ht="24.9" customHeight="1">
      <c r="A26" s="180"/>
      <c r="B26" s="182"/>
      <c r="C26" s="62">
        <v>2</v>
      </c>
      <c r="D26" s="66" t="s">
        <v>167</v>
      </c>
      <c r="E26" s="66">
        <v>105438060.40700001</v>
      </c>
      <c r="F26" s="66">
        <v>0</v>
      </c>
      <c r="G26" s="66">
        <v>189674805.98480001</v>
      </c>
      <c r="H26" s="66">
        <v>6211916.1953999996</v>
      </c>
      <c r="I26" s="66">
        <v>8853385.9900000002</v>
      </c>
      <c r="J26" s="66">
        <v>0</v>
      </c>
      <c r="K26" s="66">
        <f t="shared" si="6"/>
        <v>8853385.9900000002</v>
      </c>
      <c r="L26" s="66">
        <v>232447753.7656</v>
      </c>
      <c r="M26" s="71">
        <f t="shared" si="2"/>
        <v>542625922.34280002</v>
      </c>
      <c r="N26" s="70"/>
      <c r="O26" s="73"/>
      <c r="P26" s="174" t="s">
        <v>168</v>
      </c>
      <c r="Q26" s="175"/>
      <c r="R26" s="67"/>
      <c r="S26" s="67">
        <f>1623189956.3452+2188785562.92</f>
        <v>3811975519.2652001</v>
      </c>
      <c r="T26" s="67">
        <v>0</v>
      </c>
      <c r="U26" s="67">
        <f>2919991498.8958+3937453661.38</f>
        <v>6857445160.2757998</v>
      </c>
      <c r="V26" s="67">
        <f>125419429.9318+169202472.57</f>
        <v>294621902.5018</v>
      </c>
      <c r="W26" s="67">
        <f>136295443.64+183787176.74</f>
        <v>320082620.38</v>
      </c>
      <c r="X26" s="67">
        <v>0</v>
      </c>
      <c r="Y26" s="67">
        <f>W26</f>
        <v>320082620.38</v>
      </c>
      <c r="Z26" s="67">
        <f>4597720661.082+6212225002.93</f>
        <v>10809945664.011999</v>
      </c>
      <c r="AA26" s="71">
        <f t="shared" si="4"/>
        <v>22094070866.434799</v>
      </c>
    </row>
    <row r="27" spans="1:27" ht="24.9" customHeight="1">
      <c r="A27" s="180"/>
      <c r="B27" s="182"/>
      <c r="C27" s="62">
        <v>3</v>
      </c>
      <c r="D27" s="66" t="s">
        <v>169</v>
      </c>
      <c r="E27" s="66">
        <v>89780538.639899999</v>
      </c>
      <c r="F27" s="66">
        <v>0</v>
      </c>
      <c r="G27" s="66">
        <v>161508151.63409999</v>
      </c>
      <c r="H27" s="66">
        <v>5724324.9562999997</v>
      </c>
      <c r="I27" s="66">
        <v>7538660.71</v>
      </c>
      <c r="J27" s="66">
        <v>0</v>
      </c>
      <c r="K27" s="66">
        <f t="shared" si="6"/>
        <v>7538660.71</v>
      </c>
      <c r="L27" s="66">
        <v>213467511.33000001</v>
      </c>
      <c r="M27" s="71">
        <f t="shared" si="2"/>
        <v>478019187.27029997</v>
      </c>
      <c r="N27" s="70"/>
      <c r="O27" s="181">
        <v>20</v>
      </c>
      <c r="P27" s="72">
        <v>1</v>
      </c>
      <c r="Q27" s="181" t="s">
        <v>105</v>
      </c>
      <c r="R27" s="66" t="s">
        <v>170</v>
      </c>
      <c r="S27" s="66">
        <v>83918068.547299996</v>
      </c>
      <c r="T27" s="66">
        <v>0</v>
      </c>
      <c r="U27" s="66">
        <v>150962027.4677</v>
      </c>
      <c r="V27" s="66">
        <v>5467028.3136999998</v>
      </c>
      <c r="W27" s="66">
        <v>7046402.8799999999</v>
      </c>
      <c r="X27" s="66">
        <v>0</v>
      </c>
      <c r="Y27" s="66">
        <f t="shared" ref="Y27:Y60" si="7">W27-X27</f>
        <v>7046402.8799999999</v>
      </c>
      <c r="Z27" s="66">
        <v>206071181.59999999</v>
      </c>
      <c r="AA27" s="71">
        <f t="shared" ref="AA27:AA90" si="8">S27+T27+U27+V27+Y27+Z27</f>
        <v>453464708.80870003</v>
      </c>
    </row>
    <row r="28" spans="1:27" ht="24.9" customHeight="1">
      <c r="A28" s="180"/>
      <c r="B28" s="182"/>
      <c r="C28" s="62">
        <v>4</v>
      </c>
      <c r="D28" s="66" t="s">
        <v>171</v>
      </c>
      <c r="E28" s="66">
        <v>78604155.185699999</v>
      </c>
      <c r="F28" s="66">
        <v>0</v>
      </c>
      <c r="G28" s="66">
        <v>141402713.85859999</v>
      </c>
      <c r="H28" s="66">
        <v>5339534.2034999998</v>
      </c>
      <c r="I28" s="66">
        <v>6600206.0800000001</v>
      </c>
      <c r="J28" s="66">
        <v>0</v>
      </c>
      <c r="K28" s="66">
        <f t="shared" si="6"/>
        <v>6600206.0800000001</v>
      </c>
      <c r="L28" s="66">
        <v>198488936.67449999</v>
      </c>
      <c r="M28" s="71">
        <f t="shared" si="2"/>
        <v>430435546.00230002</v>
      </c>
      <c r="N28" s="70"/>
      <c r="O28" s="182"/>
      <c r="P28" s="72">
        <v>2</v>
      </c>
      <c r="Q28" s="182"/>
      <c r="R28" s="66" t="s">
        <v>172</v>
      </c>
      <c r="S28" s="66">
        <v>86472649.803900003</v>
      </c>
      <c r="T28" s="66">
        <v>0</v>
      </c>
      <c r="U28" s="66">
        <v>155557518.89579999</v>
      </c>
      <c r="V28" s="66">
        <v>5864370.0262000002</v>
      </c>
      <c r="W28" s="66">
        <v>7260905.0599999996</v>
      </c>
      <c r="X28" s="66">
        <v>0</v>
      </c>
      <c r="Y28" s="66">
        <f t="shared" si="7"/>
        <v>7260905.0599999996</v>
      </c>
      <c r="Z28" s="66">
        <v>221538321.7552</v>
      </c>
      <c r="AA28" s="71">
        <f t="shared" si="8"/>
        <v>476693765.54110003</v>
      </c>
    </row>
    <row r="29" spans="1:27" ht="24.9" customHeight="1">
      <c r="A29" s="180"/>
      <c r="B29" s="182"/>
      <c r="C29" s="62">
        <v>5</v>
      </c>
      <c r="D29" s="66" t="s">
        <v>173</v>
      </c>
      <c r="E29" s="66">
        <v>77781628.319299996</v>
      </c>
      <c r="F29" s="66">
        <v>0</v>
      </c>
      <c r="G29" s="66">
        <v>139923052.49219999</v>
      </c>
      <c r="H29" s="66">
        <v>5525022.0373999998</v>
      </c>
      <c r="I29" s="66">
        <v>6531140.4199999999</v>
      </c>
      <c r="J29" s="66">
        <v>0</v>
      </c>
      <c r="K29" s="66">
        <f t="shared" si="6"/>
        <v>6531140.4199999999</v>
      </c>
      <c r="L29" s="66">
        <v>205709337.2344</v>
      </c>
      <c r="M29" s="71">
        <f t="shared" si="2"/>
        <v>435470180.50330001</v>
      </c>
      <c r="N29" s="70"/>
      <c r="O29" s="182"/>
      <c r="P29" s="72">
        <v>3</v>
      </c>
      <c r="Q29" s="182"/>
      <c r="R29" s="66" t="s">
        <v>174</v>
      </c>
      <c r="S29" s="66">
        <v>94074073.688199997</v>
      </c>
      <c r="T29" s="66">
        <v>0</v>
      </c>
      <c r="U29" s="66">
        <v>169231884.63789999</v>
      </c>
      <c r="V29" s="66">
        <v>6139802.6420999998</v>
      </c>
      <c r="W29" s="66">
        <v>7899178.75</v>
      </c>
      <c r="X29" s="66">
        <v>0</v>
      </c>
      <c r="Y29" s="66">
        <f t="shared" si="7"/>
        <v>7899178.75</v>
      </c>
      <c r="Z29" s="66">
        <v>232259961.94400001</v>
      </c>
      <c r="AA29" s="71">
        <f t="shared" si="8"/>
        <v>509604901.66219997</v>
      </c>
    </row>
    <row r="30" spans="1:27" ht="24.9" customHeight="1">
      <c r="A30" s="180"/>
      <c r="B30" s="182"/>
      <c r="C30" s="62">
        <v>6</v>
      </c>
      <c r="D30" s="66" t="s">
        <v>175</v>
      </c>
      <c r="E30" s="66">
        <v>83159769.0766</v>
      </c>
      <c r="F30" s="66">
        <v>0</v>
      </c>
      <c r="G30" s="66">
        <v>149597906.14829999</v>
      </c>
      <c r="H30" s="66">
        <v>5878932.0116999997</v>
      </c>
      <c r="I30" s="66">
        <v>6982730.25</v>
      </c>
      <c r="J30" s="66">
        <v>0</v>
      </c>
      <c r="K30" s="66">
        <f t="shared" si="6"/>
        <v>6982730.25</v>
      </c>
      <c r="L30" s="66">
        <v>219485829.8689</v>
      </c>
      <c r="M30" s="71">
        <f t="shared" si="2"/>
        <v>465105167.35549998</v>
      </c>
      <c r="N30" s="70"/>
      <c r="O30" s="182"/>
      <c r="P30" s="72">
        <v>4</v>
      </c>
      <c r="Q30" s="182"/>
      <c r="R30" s="66" t="s">
        <v>176</v>
      </c>
      <c r="S30" s="66">
        <v>88203800.031299993</v>
      </c>
      <c r="T30" s="66">
        <v>0</v>
      </c>
      <c r="U30" s="66">
        <v>158671722.4657</v>
      </c>
      <c r="V30" s="66">
        <v>6009405.8460999997</v>
      </c>
      <c r="W30" s="66">
        <v>7406265.6699999999</v>
      </c>
      <c r="X30" s="66">
        <v>0</v>
      </c>
      <c r="Y30" s="66">
        <f t="shared" si="7"/>
        <v>7406265.6699999999</v>
      </c>
      <c r="Z30" s="66">
        <v>227184065.1649</v>
      </c>
      <c r="AA30" s="71">
        <f t="shared" si="8"/>
        <v>487475259.17799997</v>
      </c>
    </row>
    <row r="31" spans="1:27" ht="24.9" customHeight="1">
      <c r="A31" s="180"/>
      <c r="B31" s="182"/>
      <c r="C31" s="62">
        <v>7</v>
      </c>
      <c r="D31" s="66" t="s">
        <v>177</v>
      </c>
      <c r="E31" s="66">
        <v>90580926.951700002</v>
      </c>
      <c r="F31" s="66">
        <v>0</v>
      </c>
      <c r="G31" s="66">
        <v>162947987.4702</v>
      </c>
      <c r="H31" s="66">
        <v>5781199.3141000001</v>
      </c>
      <c r="I31" s="66">
        <v>7605867.4299999997</v>
      </c>
      <c r="J31" s="66">
        <v>0</v>
      </c>
      <c r="K31" s="66">
        <f t="shared" si="6"/>
        <v>7605867.4299999997</v>
      </c>
      <c r="L31" s="66">
        <v>215681433.59</v>
      </c>
      <c r="M31" s="71">
        <f t="shared" si="2"/>
        <v>482597414.75599998</v>
      </c>
      <c r="N31" s="70"/>
      <c r="O31" s="182"/>
      <c r="P31" s="72">
        <v>5</v>
      </c>
      <c r="Q31" s="182"/>
      <c r="R31" s="66" t="s">
        <v>178</v>
      </c>
      <c r="S31" s="66">
        <v>82489798.813299999</v>
      </c>
      <c r="T31" s="66">
        <v>0</v>
      </c>
      <c r="U31" s="66">
        <v>148392682.15619999</v>
      </c>
      <c r="V31" s="66">
        <v>5500719.5138999997</v>
      </c>
      <c r="W31" s="66">
        <v>6926474.4199999999</v>
      </c>
      <c r="X31" s="66">
        <v>0</v>
      </c>
      <c r="Y31" s="66">
        <f t="shared" si="7"/>
        <v>6926474.4199999999</v>
      </c>
      <c r="Z31" s="66">
        <v>207382663.62940001</v>
      </c>
      <c r="AA31" s="71">
        <f t="shared" si="8"/>
        <v>450692338.53280002</v>
      </c>
    </row>
    <row r="32" spans="1:27" ht="24.9" customHeight="1">
      <c r="A32" s="180"/>
      <c r="B32" s="182"/>
      <c r="C32" s="62">
        <v>8</v>
      </c>
      <c r="D32" s="66" t="s">
        <v>179</v>
      </c>
      <c r="E32" s="66">
        <v>94755205.795599997</v>
      </c>
      <c r="F32" s="66">
        <v>0</v>
      </c>
      <c r="G32" s="66">
        <v>170457187.9034</v>
      </c>
      <c r="H32" s="66">
        <v>5773829.0113000004</v>
      </c>
      <c r="I32" s="66">
        <v>7956371.8099999996</v>
      </c>
      <c r="J32" s="66">
        <v>0</v>
      </c>
      <c r="K32" s="66">
        <f t="shared" si="6"/>
        <v>7956371.8099999996</v>
      </c>
      <c r="L32" s="66">
        <v>215394533.1661</v>
      </c>
      <c r="M32" s="71">
        <f t="shared" si="2"/>
        <v>494337127.6864</v>
      </c>
      <c r="N32" s="70"/>
      <c r="O32" s="182"/>
      <c r="P32" s="72">
        <v>6</v>
      </c>
      <c r="Q32" s="182"/>
      <c r="R32" s="66" t="s">
        <v>180</v>
      </c>
      <c r="S32" s="66">
        <v>77159697.576800004</v>
      </c>
      <c r="T32" s="66">
        <v>0</v>
      </c>
      <c r="U32" s="66">
        <v>138804247.84</v>
      </c>
      <c r="V32" s="66">
        <v>5334317.7166999998</v>
      </c>
      <c r="W32" s="66">
        <v>6478918.3700000001</v>
      </c>
      <c r="X32" s="66">
        <v>0</v>
      </c>
      <c r="Y32" s="66">
        <f t="shared" si="7"/>
        <v>6478918.3700000001</v>
      </c>
      <c r="Z32" s="66">
        <v>200905216.54080001</v>
      </c>
      <c r="AA32" s="71">
        <f t="shared" si="8"/>
        <v>428682398.04430002</v>
      </c>
    </row>
    <row r="33" spans="1:27" ht="24.9" customHeight="1">
      <c r="A33" s="180"/>
      <c r="B33" s="182"/>
      <c r="C33" s="62">
        <v>9</v>
      </c>
      <c r="D33" s="66" t="s">
        <v>181</v>
      </c>
      <c r="E33" s="66">
        <v>82384936.915999994</v>
      </c>
      <c r="F33" s="66">
        <v>0</v>
      </c>
      <c r="G33" s="66">
        <v>148204043.8346</v>
      </c>
      <c r="H33" s="66">
        <v>6109883.2138999999</v>
      </c>
      <c r="I33" s="66">
        <v>6917669.4299999997</v>
      </c>
      <c r="J33" s="66">
        <v>0</v>
      </c>
      <c r="K33" s="66">
        <f t="shared" si="6"/>
        <v>6917669.4299999997</v>
      </c>
      <c r="L33" s="66">
        <v>228475962.29300001</v>
      </c>
      <c r="M33" s="71">
        <f t="shared" si="2"/>
        <v>472092495.6875</v>
      </c>
      <c r="N33" s="70"/>
      <c r="O33" s="182"/>
      <c r="P33" s="72">
        <v>7</v>
      </c>
      <c r="Q33" s="182"/>
      <c r="R33" s="66" t="s">
        <v>182</v>
      </c>
      <c r="S33" s="66">
        <v>77412205.187000006</v>
      </c>
      <c r="T33" s="66">
        <v>0</v>
      </c>
      <c r="U33" s="66">
        <v>139258489.24110001</v>
      </c>
      <c r="V33" s="66">
        <v>5064314.0680999998</v>
      </c>
      <c r="W33" s="66">
        <v>6500120.8399999999</v>
      </c>
      <c r="X33" s="66">
        <v>0</v>
      </c>
      <c r="Y33" s="66">
        <f t="shared" si="7"/>
        <v>6500120.8399999999</v>
      </c>
      <c r="Z33" s="66">
        <v>190394907.292</v>
      </c>
      <c r="AA33" s="71">
        <f t="shared" si="8"/>
        <v>418630036.62819999</v>
      </c>
    </row>
    <row r="34" spans="1:27" ht="24.9" customHeight="1">
      <c r="A34" s="180"/>
      <c r="B34" s="182"/>
      <c r="C34" s="62">
        <v>10</v>
      </c>
      <c r="D34" s="66" t="s">
        <v>183</v>
      </c>
      <c r="E34" s="66">
        <v>73764876.639899999</v>
      </c>
      <c r="F34" s="66">
        <v>0</v>
      </c>
      <c r="G34" s="66">
        <v>132697231.07170001</v>
      </c>
      <c r="H34" s="66">
        <v>5145490.9493000004</v>
      </c>
      <c r="I34" s="66">
        <v>6193863.2300000004</v>
      </c>
      <c r="J34" s="66">
        <v>0</v>
      </c>
      <c r="K34" s="66">
        <f t="shared" si="6"/>
        <v>6193863.2300000004</v>
      </c>
      <c r="L34" s="66">
        <v>190935503.15700001</v>
      </c>
      <c r="M34" s="71">
        <f t="shared" si="2"/>
        <v>408736965.04790002</v>
      </c>
      <c r="N34" s="70"/>
      <c r="O34" s="182"/>
      <c r="P34" s="72">
        <v>8</v>
      </c>
      <c r="Q34" s="182"/>
      <c r="R34" s="66" t="s">
        <v>184</v>
      </c>
      <c r="S34" s="66">
        <v>82885237.123099998</v>
      </c>
      <c r="T34" s="66">
        <v>0</v>
      </c>
      <c r="U34" s="66">
        <v>149104044.6805</v>
      </c>
      <c r="V34" s="66">
        <v>5426034.5317000002</v>
      </c>
      <c r="W34" s="66">
        <v>6959678.4500000002</v>
      </c>
      <c r="X34" s="66">
        <v>0</v>
      </c>
      <c r="Y34" s="66">
        <f t="shared" si="7"/>
        <v>6959678.4500000002</v>
      </c>
      <c r="Z34" s="66">
        <v>204475435.2915</v>
      </c>
      <c r="AA34" s="71">
        <f t="shared" si="8"/>
        <v>448850430.07679999</v>
      </c>
    </row>
    <row r="35" spans="1:27" ht="24.9" customHeight="1">
      <c r="A35" s="180"/>
      <c r="B35" s="182"/>
      <c r="C35" s="62">
        <v>11</v>
      </c>
      <c r="D35" s="66" t="s">
        <v>185</v>
      </c>
      <c r="E35" s="66">
        <v>74961608.451000005</v>
      </c>
      <c r="F35" s="66">
        <v>0</v>
      </c>
      <c r="G35" s="66">
        <v>134850057.78740001</v>
      </c>
      <c r="H35" s="66">
        <v>5394072.1864999998</v>
      </c>
      <c r="I35" s="66">
        <v>6294349.9800000004</v>
      </c>
      <c r="J35" s="66">
        <v>0</v>
      </c>
      <c r="K35" s="66">
        <f t="shared" si="6"/>
        <v>6294349.9800000004</v>
      </c>
      <c r="L35" s="66">
        <v>200611911.9395</v>
      </c>
      <c r="M35" s="71">
        <f t="shared" si="2"/>
        <v>422112000.34439999</v>
      </c>
      <c r="N35" s="70"/>
      <c r="O35" s="182"/>
      <c r="P35" s="72">
        <v>9</v>
      </c>
      <c r="Q35" s="182"/>
      <c r="R35" s="66" t="s">
        <v>186</v>
      </c>
      <c r="S35" s="66">
        <v>77742411.658700004</v>
      </c>
      <c r="T35" s="66">
        <v>0</v>
      </c>
      <c r="U35" s="66">
        <v>139852504.79350001</v>
      </c>
      <c r="V35" s="66">
        <v>5199891.5208999999</v>
      </c>
      <c r="W35" s="66">
        <v>6527847.4900000002</v>
      </c>
      <c r="X35" s="66">
        <v>0</v>
      </c>
      <c r="Y35" s="66">
        <f t="shared" si="7"/>
        <v>6527847.4900000002</v>
      </c>
      <c r="Z35" s="66">
        <v>195672469.1471</v>
      </c>
      <c r="AA35" s="71">
        <f t="shared" si="8"/>
        <v>424995124.61019999</v>
      </c>
    </row>
    <row r="36" spans="1:27" ht="24.9" customHeight="1">
      <c r="A36" s="180"/>
      <c r="B36" s="182"/>
      <c r="C36" s="62">
        <v>12</v>
      </c>
      <c r="D36" s="66" t="s">
        <v>187</v>
      </c>
      <c r="E36" s="66">
        <v>73392240.441499993</v>
      </c>
      <c r="F36" s="66">
        <v>0</v>
      </c>
      <c r="G36" s="66">
        <v>132026887.7525</v>
      </c>
      <c r="H36" s="66">
        <v>5127567.4565000003</v>
      </c>
      <c r="I36" s="66">
        <v>6162573.8399999999</v>
      </c>
      <c r="J36" s="66">
        <v>0</v>
      </c>
      <c r="K36" s="66">
        <f t="shared" si="6"/>
        <v>6162573.8399999999</v>
      </c>
      <c r="L36" s="66">
        <v>190237803.5045</v>
      </c>
      <c r="M36" s="71">
        <f t="shared" si="2"/>
        <v>406947072.995</v>
      </c>
      <c r="N36" s="70"/>
      <c r="O36" s="182"/>
      <c r="P36" s="72">
        <v>10</v>
      </c>
      <c r="Q36" s="182"/>
      <c r="R36" s="66" t="s">
        <v>188</v>
      </c>
      <c r="S36" s="66">
        <v>93733524.261500001</v>
      </c>
      <c r="T36" s="66">
        <v>0</v>
      </c>
      <c r="U36" s="66">
        <v>168619262.91800001</v>
      </c>
      <c r="V36" s="66">
        <v>6261057.1023000004</v>
      </c>
      <c r="W36" s="66">
        <v>7870583.6200000001</v>
      </c>
      <c r="X36" s="66">
        <v>0</v>
      </c>
      <c r="Y36" s="66">
        <f t="shared" si="7"/>
        <v>7870583.6200000001</v>
      </c>
      <c r="Z36" s="66">
        <v>236979979.17750001</v>
      </c>
      <c r="AA36" s="71">
        <f t="shared" si="8"/>
        <v>513464407.07929999</v>
      </c>
    </row>
    <row r="37" spans="1:27" ht="24.9" customHeight="1">
      <c r="A37" s="180"/>
      <c r="B37" s="182"/>
      <c r="C37" s="62">
        <v>13</v>
      </c>
      <c r="D37" s="66" t="s">
        <v>189</v>
      </c>
      <c r="E37" s="66">
        <v>85099880.631300002</v>
      </c>
      <c r="F37" s="66">
        <v>0</v>
      </c>
      <c r="G37" s="66">
        <v>153088014.7669</v>
      </c>
      <c r="H37" s="66">
        <v>5600643.8267999999</v>
      </c>
      <c r="I37" s="66">
        <v>7145636.8600000003</v>
      </c>
      <c r="J37" s="66">
        <v>0</v>
      </c>
      <c r="K37" s="66">
        <f t="shared" si="6"/>
        <v>7145636.8600000003</v>
      </c>
      <c r="L37" s="66">
        <v>208653032.24180001</v>
      </c>
      <c r="M37" s="71">
        <f t="shared" si="2"/>
        <v>459587208.32679999</v>
      </c>
      <c r="N37" s="70"/>
      <c r="O37" s="182"/>
      <c r="P37" s="72">
        <v>11</v>
      </c>
      <c r="Q37" s="182"/>
      <c r="R37" s="66" t="s">
        <v>190</v>
      </c>
      <c r="S37" s="66">
        <v>77359881.046399996</v>
      </c>
      <c r="T37" s="66">
        <v>0</v>
      </c>
      <c r="U37" s="66">
        <v>139164362.20339999</v>
      </c>
      <c r="V37" s="66">
        <v>5135782.3025000002</v>
      </c>
      <c r="W37" s="66">
        <v>6495727.2999999998</v>
      </c>
      <c r="X37" s="66">
        <v>0</v>
      </c>
      <c r="Y37" s="66">
        <f t="shared" si="7"/>
        <v>6495727.2999999998</v>
      </c>
      <c r="Z37" s="66">
        <v>193176918.7527</v>
      </c>
      <c r="AA37" s="71">
        <f t="shared" si="8"/>
        <v>421332671.60500002</v>
      </c>
    </row>
    <row r="38" spans="1:27" ht="24.9" customHeight="1">
      <c r="A38" s="180"/>
      <c r="B38" s="182"/>
      <c r="C38" s="62">
        <v>14</v>
      </c>
      <c r="D38" s="66" t="s">
        <v>191</v>
      </c>
      <c r="E38" s="66">
        <v>82499294.381400004</v>
      </c>
      <c r="F38" s="66">
        <v>0</v>
      </c>
      <c r="G38" s="66">
        <v>148409763.94400001</v>
      </c>
      <c r="H38" s="66">
        <v>5625170.1176000005</v>
      </c>
      <c r="I38" s="66">
        <v>6927271.75</v>
      </c>
      <c r="J38" s="66">
        <v>0</v>
      </c>
      <c r="K38" s="66">
        <f t="shared" si="6"/>
        <v>6927271.75</v>
      </c>
      <c r="L38" s="66">
        <v>209607756.0106</v>
      </c>
      <c r="M38" s="71">
        <f t="shared" si="2"/>
        <v>453069256.20359999</v>
      </c>
      <c r="N38" s="70"/>
      <c r="O38" s="182"/>
      <c r="P38" s="72">
        <v>12</v>
      </c>
      <c r="Q38" s="182"/>
      <c r="R38" s="66" t="s">
        <v>192</v>
      </c>
      <c r="S38" s="66">
        <v>85921448.765100002</v>
      </c>
      <c r="T38" s="66">
        <v>0</v>
      </c>
      <c r="U38" s="66">
        <v>154565951.4346</v>
      </c>
      <c r="V38" s="66">
        <v>5696151.0487000002</v>
      </c>
      <c r="W38" s="66">
        <v>7214622</v>
      </c>
      <c r="X38" s="66">
        <v>0</v>
      </c>
      <c r="Y38" s="66">
        <f t="shared" si="7"/>
        <v>7214622</v>
      </c>
      <c r="Z38" s="66">
        <v>214990138.11489999</v>
      </c>
      <c r="AA38" s="71">
        <f t="shared" si="8"/>
        <v>468388311.36330003</v>
      </c>
    </row>
    <row r="39" spans="1:27" ht="24.9" customHeight="1">
      <c r="A39" s="180"/>
      <c r="B39" s="182"/>
      <c r="C39" s="62">
        <v>15</v>
      </c>
      <c r="D39" s="66" t="s">
        <v>193</v>
      </c>
      <c r="E39" s="66">
        <v>78724176.919100001</v>
      </c>
      <c r="F39" s="66">
        <v>0</v>
      </c>
      <c r="G39" s="66">
        <v>141618623.5458</v>
      </c>
      <c r="H39" s="66">
        <v>5577426.8086999999</v>
      </c>
      <c r="I39" s="66">
        <v>6610284.0199999996</v>
      </c>
      <c r="J39" s="66">
        <v>0</v>
      </c>
      <c r="K39" s="66">
        <f t="shared" si="6"/>
        <v>6610284.0199999996</v>
      </c>
      <c r="L39" s="66">
        <v>207749273.93880001</v>
      </c>
      <c r="M39" s="71">
        <f t="shared" si="2"/>
        <v>440279785.2324</v>
      </c>
      <c r="N39" s="70"/>
      <c r="O39" s="182"/>
      <c r="P39" s="72">
        <v>13</v>
      </c>
      <c r="Q39" s="182"/>
      <c r="R39" s="66" t="s">
        <v>194</v>
      </c>
      <c r="S39" s="66">
        <v>93634900.482299998</v>
      </c>
      <c r="T39" s="66">
        <v>0</v>
      </c>
      <c r="U39" s="66">
        <v>168441846.458</v>
      </c>
      <c r="V39" s="66">
        <v>5993717.1464999998</v>
      </c>
      <c r="W39" s="66">
        <v>7862302.4000000004</v>
      </c>
      <c r="X39" s="66">
        <v>0</v>
      </c>
      <c r="Y39" s="66">
        <f t="shared" si="7"/>
        <v>7862302.4000000004</v>
      </c>
      <c r="Z39" s="66">
        <v>226573358.2902</v>
      </c>
      <c r="AA39" s="71">
        <f t="shared" si="8"/>
        <v>502506124.77700001</v>
      </c>
    </row>
    <row r="40" spans="1:27" ht="24.9" customHeight="1">
      <c r="A40" s="180"/>
      <c r="B40" s="182"/>
      <c r="C40" s="62">
        <v>16</v>
      </c>
      <c r="D40" s="66" t="s">
        <v>195</v>
      </c>
      <c r="E40" s="66">
        <v>73341409.5132</v>
      </c>
      <c r="F40" s="66">
        <v>0</v>
      </c>
      <c r="G40" s="66">
        <v>131935446.91069999</v>
      </c>
      <c r="H40" s="66">
        <v>5327592.7329000002</v>
      </c>
      <c r="I40" s="66">
        <v>6158305.7000000002</v>
      </c>
      <c r="J40" s="66">
        <v>0</v>
      </c>
      <c r="K40" s="66">
        <f t="shared" si="6"/>
        <v>6158305.7000000002</v>
      </c>
      <c r="L40" s="66">
        <v>198024096.47780001</v>
      </c>
      <c r="M40" s="71">
        <f t="shared" si="2"/>
        <v>414786851.33459997</v>
      </c>
      <c r="N40" s="70"/>
      <c r="O40" s="182"/>
      <c r="P40" s="72">
        <v>14</v>
      </c>
      <c r="Q40" s="182"/>
      <c r="R40" s="66" t="s">
        <v>196</v>
      </c>
      <c r="S40" s="66">
        <v>93415962.768000007</v>
      </c>
      <c r="T40" s="66">
        <v>0</v>
      </c>
      <c r="U40" s="66">
        <v>168047994.67379999</v>
      </c>
      <c r="V40" s="66">
        <v>6327085.0826000003</v>
      </c>
      <c r="W40" s="66">
        <v>7843918.7199999997</v>
      </c>
      <c r="X40" s="66">
        <v>0</v>
      </c>
      <c r="Y40" s="66">
        <f t="shared" si="7"/>
        <v>7843918.7199999997</v>
      </c>
      <c r="Z40" s="66">
        <v>239550220.3407</v>
      </c>
      <c r="AA40" s="71">
        <f t="shared" si="8"/>
        <v>515185181.5851</v>
      </c>
    </row>
    <row r="41" spans="1:27" ht="24.9" customHeight="1">
      <c r="A41" s="180"/>
      <c r="B41" s="182"/>
      <c r="C41" s="62">
        <v>17</v>
      </c>
      <c r="D41" s="66" t="s">
        <v>197</v>
      </c>
      <c r="E41" s="66">
        <v>69700522.995399997</v>
      </c>
      <c r="F41" s="66">
        <v>0</v>
      </c>
      <c r="G41" s="66">
        <v>125385777.4455</v>
      </c>
      <c r="H41" s="66">
        <v>4896277.6492999997</v>
      </c>
      <c r="I41" s="66">
        <v>5852589.0099999998</v>
      </c>
      <c r="J41" s="66">
        <v>0</v>
      </c>
      <c r="K41" s="66">
        <f t="shared" si="6"/>
        <v>5852589.0099999998</v>
      </c>
      <c r="L41" s="66">
        <v>181234490.35659999</v>
      </c>
      <c r="M41" s="71">
        <f t="shared" si="2"/>
        <v>387069657.45679998</v>
      </c>
      <c r="N41" s="70"/>
      <c r="O41" s="182"/>
      <c r="P41" s="72">
        <v>15</v>
      </c>
      <c r="Q41" s="182"/>
      <c r="R41" s="66" t="s">
        <v>198</v>
      </c>
      <c r="S41" s="66">
        <v>81575993.1998</v>
      </c>
      <c r="T41" s="66">
        <v>0</v>
      </c>
      <c r="U41" s="66">
        <v>146748817.50009999</v>
      </c>
      <c r="V41" s="66">
        <v>5697076.5691</v>
      </c>
      <c r="W41" s="66">
        <v>6849744.3300000001</v>
      </c>
      <c r="X41" s="66">
        <v>0</v>
      </c>
      <c r="Y41" s="66">
        <f t="shared" si="7"/>
        <v>6849744.3300000001</v>
      </c>
      <c r="Z41" s="66">
        <v>215026165.4269</v>
      </c>
      <c r="AA41" s="71">
        <f t="shared" si="8"/>
        <v>455897797.02590001</v>
      </c>
    </row>
    <row r="42" spans="1:27" ht="24.9" customHeight="1">
      <c r="A42" s="180"/>
      <c r="B42" s="182"/>
      <c r="C42" s="62">
        <v>18</v>
      </c>
      <c r="D42" s="66" t="s">
        <v>199</v>
      </c>
      <c r="E42" s="66">
        <v>78959217.978499994</v>
      </c>
      <c r="F42" s="66">
        <v>0</v>
      </c>
      <c r="G42" s="66">
        <v>142041443.98500001</v>
      </c>
      <c r="H42" s="66">
        <v>5554819.2797999997</v>
      </c>
      <c r="I42" s="66">
        <v>6630019.8600000003</v>
      </c>
      <c r="J42" s="66">
        <v>0</v>
      </c>
      <c r="K42" s="66">
        <f t="shared" si="6"/>
        <v>6630019.8600000003</v>
      </c>
      <c r="L42" s="66">
        <v>206869240.93880001</v>
      </c>
      <c r="M42" s="71">
        <f t="shared" si="2"/>
        <v>440054742.04210001</v>
      </c>
      <c r="N42" s="70"/>
      <c r="O42" s="182"/>
      <c r="P42" s="72">
        <v>16</v>
      </c>
      <c r="Q42" s="182"/>
      <c r="R42" s="66" t="s">
        <v>200</v>
      </c>
      <c r="S42" s="66">
        <v>91901499.189500004</v>
      </c>
      <c r="T42" s="66">
        <v>0</v>
      </c>
      <c r="U42" s="66">
        <v>165323593.419</v>
      </c>
      <c r="V42" s="66">
        <v>5697020.1348999999</v>
      </c>
      <c r="W42" s="66">
        <v>7716752.7800000003</v>
      </c>
      <c r="X42" s="66">
        <v>0</v>
      </c>
      <c r="Y42" s="66">
        <f t="shared" si="7"/>
        <v>7716752.7800000003</v>
      </c>
      <c r="Z42" s="66">
        <v>215023968.63960001</v>
      </c>
      <c r="AA42" s="71">
        <f t="shared" si="8"/>
        <v>485662834.16299999</v>
      </c>
    </row>
    <row r="43" spans="1:27" ht="24.9" customHeight="1">
      <c r="A43" s="180"/>
      <c r="B43" s="182"/>
      <c r="C43" s="62">
        <v>19</v>
      </c>
      <c r="D43" s="66" t="s">
        <v>201</v>
      </c>
      <c r="E43" s="66">
        <v>99387381.634599999</v>
      </c>
      <c r="F43" s="66">
        <v>0</v>
      </c>
      <c r="G43" s="66">
        <v>178790109.15650001</v>
      </c>
      <c r="H43" s="66">
        <v>6047241.2839000002</v>
      </c>
      <c r="I43" s="66">
        <v>8345324.7199999997</v>
      </c>
      <c r="J43" s="66">
        <v>0</v>
      </c>
      <c r="K43" s="66">
        <f t="shared" si="6"/>
        <v>8345324.7199999997</v>
      </c>
      <c r="L43" s="66">
        <v>226037528.36899999</v>
      </c>
      <c r="M43" s="71">
        <f t="shared" si="2"/>
        <v>518607585.16399997</v>
      </c>
      <c r="N43" s="70"/>
      <c r="O43" s="182"/>
      <c r="P43" s="72">
        <v>17</v>
      </c>
      <c r="Q43" s="182"/>
      <c r="R43" s="66" t="s">
        <v>202</v>
      </c>
      <c r="S43" s="66">
        <v>94868647.227899998</v>
      </c>
      <c r="T43" s="66">
        <v>0</v>
      </c>
      <c r="U43" s="66">
        <v>170661260.1604</v>
      </c>
      <c r="V43" s="66">
        <v>6071020.6742000002</v>
      </c>
      <c r="W43" s="66">
        <v>7965897.2199999997</v>
      </c>
      <c r="X43" s="66">
        <v>0</v>
      </c>
      <c r="Y43" s="66">
        <f t="shared" si="7"/>
        <v>7965897.2199999997</v>
      </c>
      <c r="Z43" s="66">
        <v>229582517.55970001</v>
      </c>
      <c r="AA43" s="71">
        <f t="shared" si="8"/>
        <v>509149342.84219998</v>
      </c>
    </row>
    <row r="44" spans="1:27" ht="24.9" customHeight="1">
      <c r="A44" s="180"/>
      <c r="B44" s="182"/>
      <c r="C44" s="62">
        <v>20</v>
      </c>
      <c r="D44" s="66" t="s">
        <v>203</v>
      </c>
      <c r="E44" s="66">
        <v>85153206.559200004</v>
      </c>
      <c r="F44" s="66">
        <v>0</v>
      </c>
      <c r="G44" s="66">
        <v>153183943.935</v>
      </c>
      <c r="H44" s="66">
        <v>4459669.0405000001</v>
      </c>
      <c r="I44" s="66">
        <v>7150114.5199999996</v>
      </c>
      <c r="J44" s="66">
        <v>0</v>
      </c>
      <c r="K44" s="66">
        <f t="shared" si="6"/>
        <v>7150114.5199999996</v>
      </c>
      <c r="L44" s="66">
        <v>164238825.58489999</v>
      </c>
      <c r="M44" s="71">
        <f t="shared" si="2"/>
        <v>414185759.63959998</v>
      </c>
      <c r="N44" s="70"/>
      <c r="O44" s="182"/>
      <c r="P44" s="72">
        <v>18</v>
      </c>
      <c r="Q44" s="182"/>
      <c r="R44" s="66" t="s">
        <v>204</v>
      </c>
      <c r="S44" s="66">
        <v>90815378.034700006</v>
      </c>
      <c r="T44" s="66">
        <v>0</v>
      </c>
      <c r="U44" s="66">
        <v>163369746.5869</v>
      </c>
      <c r="V44" s="66">
        <v>5862406.1169999996</v>
      </c>
      <c r="W44" s="66">
        <v>7625553.7400000002</v>
      </c>
      <c r="X44" s="66">
        <v>0</v>
      </c>
      <c r="Y44" s="66">
        <f t="shared" si="7"/>
        <v>7625553.7400000002</v>
      </c>
      <c r="Z44" s="66">
        <v>221461873.55649999</v>
      </c>
      <c r="AA44" s="71">
        <f t="shared" si="8"/>
        <v>489134958.03509998</v>
      </c>
    </row>
    <row r="45" spans="1:27" ht="24.9" customHeight="1">
      <c r="A45" s="180"/>
      <c r="B45" s="182"/>
      <c r="C45" s="68">
        <v>21</v>
      </c>
      <c r="D45" s="66" t="s">
        <v>205</v>
      </c>
      <c r="E45" s="66">
        <v>82519881.614199996</v>
      </c>
      <c r="F45" s="66">
        <v>0</v>
      </c>
      <c r="G45" s="66">
        <v>148446798.76730001</v>
      </c>
      <c r="H45" s="66">
        <v>6068799.1372999996</v>
      </c>
      <c r="I45" s="66">
        <v>6929000.4100000001</v>
      </c>
      <c r="J45" s="66">
        <v>0</v>
      </c>
      <c r="K45" s="66">
        <f t="shared" si="6"/>
        <v>6929000.4100000001</v>
      </c>
      <c r="L45" s="66">
        <v>226876701.1248</v>
      </c>
      <c r="M45" s="71">
        <f t="shared" si="2"/>
        <v>470841181.05360001</v>
      </c>
      <c r="N45" s="70"/>
      <c r="O45" s="182"/>
      <c r="P45" s="72">
        <v>19</v>
      </c>
      <c r="Q45" s="182"/>
      <c r="R45" s="66" t="s">
        <v>206</v>
      </c>
      <c r="S45" s="66">
        <v>99589420.413399994</v>
      </c>
      <c r="T45" s="66">
        <v>0</v>
      </c>
      <c r="U45" s="66">
        <v>179153561.0772</v>
      </c>
      <c r="V45" s="66">
        <v>6554717.9555000002</v>
      </c>
      <c r="W45" s="66">
        <v>8362289.4400000004</v>
      </c>
      <c r="X45" s="66">
        <v>0</v>
      </c>
      <c r="Y45" s="66">
        <f t="shared" si="7"/>
        <v>8362289.4400000004</v>
      </c>
      <c r="Z45" s="66">
        <v>248411181.67039999</v>
      </c>
      <c r="AA45" s="71">
        <f t="shared" si="8"/>
        <v>542071170.55649996</v>
      </c>
    </row>
    <row r="46" spans="1:27" ht="24.9" customHeight="1">
      <c r="A46" s="62"/>
      <c r="B46" s="176" t="s">
        <v>207</v>
      </c>
      <c r="C46" s="176"/>
      <c r="D46" s="67"/>
      <c r="E46" s="67">
        <f t="shared" ref="E46:M46" si="9">SUM(E25:E45)</f>
        <v>1746297015.2874</v>
      </c>
      <c r="F46" s="67">
        <f t="shared" si="9"/>
        <v>0</v>
      </c>
      <c r="G46" s="67">
        <f t="shared" si="9"/>
        <v>3141451448.3330002</v>
      </c>
      <c r="H46" s="67">
        <f t="shared" si="9"/>
        <v>117076176.75759999</v>
      </c>
      <c r="I46" s="67">
        <f t="shared" si="9"/>
        <v>146632453.91</v>
      </c>
      <c r="J46" s="67">
        <f t="shared" si="9"/>
        <v>0</v>
      </c>
      <c r="K46" s="67">
        <f t="shared" si="9"/>
        <v>146632453.91</v>
      </c>
      <c r="L46" s="67">
        <f t="shared" si="9"/>
        <v>4360796746.9412003</v>
      </c>
      <c r="M46" s="67">
        <f t="shared" si="9"/>
        <v>9512253841.2292004</v>
      </c>
      <c r="N46" s="70"/>
      <c r="O46" s="182"/>
      <c r="P46" s="72">
        <v>20</v>
      </c>
      <c r="Q46" s="182"/>
      <c r="R46" s="66" t="s">
        <v>208</v>
      </c>
      <c r="S46" s="66">
        <v>79305295.445800006</v>
      </c>
      <c r="T46" s="66">
        <v>0</v>
      </c>
      <c r="U46" s="66">
        <v>142664010.21470001</v>
      </c>
      <c r="V46" s="66">
        <v>5490313.0526999999</v>
      </c>
      <c r="W46" s="66">
        <v>6659079.1699999999</v>
      </c>
      <c r="X46" s="66">
        <v>0</v>
      </c>
      <c r="Y46" s="66">
        <f t="shared" si="7"/>
        <v>6659079.1699999999</v>
      </c>
      <c r="Z46" s="66">
        <v>206977576.0478</v>
      </c>
      <c r="AA46" s="71">
        <f t="shared" si="8"/>
        <v>441096273.93099999</v>
      </c>
    </row>
    <row r="47" spans="1:27" ht="24.9" customHeight="1">
      <c r="A47" s="180">
        <v>3</v>
      </c>
      <c r="B47" s="181" t="s">
        <v>209</v>
      </c>
      <c r="C47" s="69">
        <v>1</v>
      </c>
      <c r="D47" s="66" t="s">
        <v>210</v>
      </c>
      <c r="E47" s="66">
        <v>79238594.252100006</v>
      </c>
      <c r="F47" s="66">
        <v>0</v>
      </c>
      <c r="G47" s="66">
        <v>142544020.00580001</v>
      </c>
      <c r="H47" s="66">
        <v>5396333.0122999996</v>
      </c>
      <c r="I47" s="66">
        <v>6653478.4299999997</v>
      </c>
      <c r="J47" s="66">
        <f t="shared" ref="J47:J77" si="10">I47/2</f>
        <v>3326739.2149999999</v>
      </c>
      <c r="K47" s="66">
        <f t="shared" ref="K47:K77" si="11">I47-J47</f>
        <v>3326739.2149999999</v>
      </c>
      <c r="L47" s="66">
        <v>201018712.27000001</v>
      </c>
      <c r="M47" s="71">
        <f t="shared" si="2"/>
        <v>431524398.75520003</v>
      </c>
      <c r="N47" s="70"/>
      <c r="O47" s="182"/>
      <c r="P47" s="72">
        <v>21</v>
      </c>
      <c r="Q47" s="182"/>
      <c r="R47" s="66" t="s">
        <v>105</v>
      </c>
      <c r="S47" s="66">
        <v>109224351.2528</v>
      </c>
      <c r="T47" s="66">
        <v>0</v>
      </c>
      <c r="U47" s="66">
        <v>196486046.43869999</v>
      </c>
      <c r="V47" s="66">
        <v>7375496.5411999999</v>
      </c>
      <c r="W47" s="66">
        <v>9171311.9299999997</v>
      </c>
      <c r="X47" s="66">
        <v>0</v>
      </c>
      <c r="Y47" s="66">
        <f t="shared" si="7"/>
        <v>9171311.9299999997</v>
      </c>
      <c r="Z47" s="66">
        <v>280361256.43709999</v>
      </c>
      <c r="AA47" s="71">
        <f t="shared" si="8"/>
        <v>602618462.59979999</v>
      </c>
    </row>
    <row r="48" spans="1:27" ht="24.9" customHeight="1">
      <c r="A48" s="180"/>
      <c r="B48" s="182"/>
      <c r="C48" s="62">
        <v>2</v>
      </c>
      <c r="D48" s="66" t="s">
        <v>211</v>
      </c>
      <c r="E48" s="66">
        <v>61869373.912799999</v>
      </c>
      <c r="F48" s="66">
        <v>0</v>
      </c>
      <c r="G48" s="66">
        <v>111298154.0889</v>
      </c>
      <c r="H48" s="66">
        <v>4509786.0433999998</v>
      </c>
      <c r="I48" s="66">
        <v>5195025.84</v>
      </c>
      <c r="J48" s="66">
        <f t="shared" si="10"/>
        <v>2597512.92</v>
      </c>
      <c r="K48" s="66">
        <f t="shared" si="11"/>
        <v>2597512.92</v>
      </c>
      <c r="L48" s="66">
        <v>166508501.5618</v>
      </c>
      <c r="M48" s="71">
        <f t="shared" si="2"/>
        <v>346783328.52689999</v>
      </c>
      <c r="N48" s="70"/>
      <c r="O48" s="182"/>
      <c r="P48" s="72">
        <v>22</v>
      </c>
      <c r="Q48" s="182"/>
      <c r="R48" s="66" t="s">
        <v>212</v>
      </c>
      <c r="S48" s="66">
        <v>76854948.224800006</v>
      </c>
      <c r="T48" s="66">
        <v>0</v>
      </c>
      <c r="U48" s="66">
        <v>138256027.64430001</v>
      </c>
      <c r="V48" s="66">
        <v>5108219.8531999998</v>
      </c>
      <c r="W48" s="66">
        <v>6453329.2800000003</v>
      </c>
      <c r="X48" s="66">
        <v>0</v>
      </c>
      <c r="Y48" s="66">
        <f t="shared" si="7"/>
        <v>6453329.2800000003</v>
      </c>
      <c r="Z48" s="66">
        <v>192104007.82620001</v>
      </c>
      <c r="AA48" s="71">
        <f t="shared" si="8"/>
        <v>418776532.82849997</v>
      </c>
    </row>
    <row r="49" spans="1:27" ht="24.9" customHeight="1">
      <c r="A49" s="180"/>
      <c r="B49" s="182"/>
      <c r="C49" s="62">
        <v>3</v>
      </c>
      <c r="D49" s="66" t="s">
        <v>213</v>
      </c>
      <c r="E49" s="66">
        <v>81685100.937399998</v>
      </c>
      <c r="F49" s="66">
        <v>0</v>
      </c>
      <c r="G49" s="66">
        <v>146945093.764</v>
      </c>
      <c r="H49" s="66">
        <v>5774069.4937000005</v>
      </c>
      <c r="I49" s="66">
        <v>6858905.8399999999</v>
      </c>
      <c r="J49" s="66">
        <f t="shared" si="10"/>
        <v>3429452.92</v>
      </c>
      <c r="K49" s="66">
        <f t="shared" si="11"/>
        <v>3429452.92</v>
      </c>
      <c r="L49" s="66">
        <v>215722688.5106</v>
      </c>
      <c r="M49" s="71">
        <f t="shared" si="2"/>
        <v>453556405.6257</v>
      </c>
      <c r="N49" s="70"/>
      <c r="O49" s="182"/>
      <c r="P49" s="72">
        <v>23</v>
      </c>
      <c r="Q49" s="182"/>
      <c r="R49" s="66" t="s">
        <v>214</v>
      </c>
      <c r="S49" s="66">
        <v>72607552.759800002</v>
      </c>
      <c r="T49" s="66">
        <v>0</v>
      </c>
      <c r="U49" s="66">
        <v>130615296.1212</v>
      </c>
      <c r="V49" s="66">
        <v>4901512.7709999997</v>
      </c>
      <c r="W49" s="66">
        <v>6096685.46</v>
      </c>
      <c r="X49" s="66">
        <v>0</v>
      </c>
      <c r="Y49" s="66">
        <f t="shared" si="7"/>
        <v>6096685.46</v>
      </c>
      <c r="Z49" s="66">
        <v>184057615.23429999</v>
      </c>
      <c r="AA49" s="71">
        <f t="shared" si="8"/>
        <v>398278662.34630001</v>
      </c>
    </row>
    <row r="50" spans="1:27" ht="24.9" customHeight="1">
      <c r="A50" s="180"/>
      <c r="B50" s="182"/>
      <c r="C50" s="62">
        <v>4</v>
      </c>
      <c r="D50" s="66" t="s">
        <v>215</v>
      </c>
      <c r="E50" s="66">
        <v>62620907.921700001</v>
      </c>
      <c r="F50" s="66">
        <v>0</v>
      </c>
      <c r="G50" s="66">
        <v>112650104.86210001</v>
      </c>
      <c r="H50" s="66">
        <v>4668388.6381000001</v>
      </c>
      <c r="I50" s="66">
        <v>5258130.3899999997</v>
      </c>
      <c r="J50" s="66">
        <f t="shared" si="10"/>
        <v>2629065.1949999998</v>
      </c>
      <c r="K50" s="66">
        <f t="shared" si="11"/>
        <v>2629065.1949999998</v>
      </c>
      <c r="L50" s="66">
        <v>172682352.64289999</v>
      </c>
      <c r="M50" s="71">
        <f t="shared" si="2"/>
        <v>355250819.25980002</v>
      </c>
      <c r="N50" s="70"/>
      <c r="O50" s="182"/>
      <c r="P50" s="72">
        <v>24</v>
      </c>
      <c r="Q50" s="182"/>
      <c r="R50" s="66" t="s">
        <v>216</v>
      </c>
      <c r="S50" s="66">
        <v>88325999.621399999</v>
      </c>
      <c r="T50" s="66">
        <v>0</v>
      </c>
      <c r="U50" s="66">
        <v>158891549.95359999</v>
      </c>
      <c r="V50" s="66">
        <v>6051765.335</v>
      </c>
      <c r="W50" s="66">
        <v>7416526.4900000002</v>
      </c>
      <c r="X50" s="66">
        <v>0</v>
      </c>
      <c r="Y50" s="66">
        <f t="shared" si="7"/>
        <v>7416526.4900000002</v>
      </c>
      <c r="Z50" s="66">
        <v>228832973.7265</v>
      </c>
      <c r="AA50" s="71">
        <f t="shared" si="8"/>
        <v>489518815.12650001</v>
      </c>
    </row>
    <row r="51" spans="1:27" ht="24.9" customHeight="1">
      <c r="A51" s="180"/>
      <c r="B51" s="182"/>
      <c r="C51" s="62">
        <v>5</v>
      </c>
      <c r="D51" s="66" t="s">
        <v>217</v>
      </c>
      <c r="E51" s="66">
        <v>84152217.564099997</v>
      </c>
      <c r="F51" s="66">
        <v>0</v>
      </c>
      <c r="G51" s="66">
        <v>151383243.1945</v>
      </c>
      <c r="H51" s="66">
        <v>6001059.017</v>
      </c>
      <c r="I51" s="66">
        <v>7066063.8300000001</v>
      </c>
      <c r="J51" s="66">
        <f t="shared" si="10"/>
        <v>3533031.915</v>
      </c>
      <c r="K51" s="66">
        <f t="shared" si="11"/>
        <v>3533031.915</v>
      </c>
      <c r="L51" s="66">
        <v>224558606.4648</v>
      </c>
      <c r="M51" s="71">
        <f t="shared" si="2"/>
        <v>469628158.15539998</v>
      </c>
      <c r="N51" s="70"/>
      <c r="O51" s="182"/>
      <c r="P51" s="72">
        <v>25</v>
      </c>
      <c r="Q51" s="182"/>
      <c r="R51" s="66" t="s">
        <v>218</v>
      </c>
      <c r="S51" s="66">
        <v>87894976.0722</v>
      </c>
      <c r="T51" s="66">
        <v>0</v>
      </c>
      <c r="U51" s="66">
        <v>158116172.36809999</v>
      </c>
      <c r="V51" s="66">
        <v>5845690.3154999996</v>
      </c>
      <c r="W51" s="66">
        <v>7380334.4500000002</v>
      </c>
      <c r="X51" s="66">
        <v>0</v>
      </c>
      <c r="Y51" s="66">
        <f t="shared" si="7"/>
        <v>7380334.4500000002</v>
      </c>
      <c r="Z51" s="66">
        <v>220811185.15259999</v>
      </c>
      <c r="AA51" s="71">
        <f t="shared" si="8"/>
        <v>480048358.35839999</v>
      </c>
    </row>
    <row r="52" spans="1:27" ht="24.9" customHeight="1">
      <c r="A52" s="180"/>
      <c r="B52" s="182"/>
      <c r="C52" s="62">
        <v>6</v>
      </c>
      <c r="D52" s="66" t="s">
        <v>219</v>
      </c>
      <c r="E52" s="66">
        <v>73348137.105199993</v>
      </c>
      <c r="F52" s="66">
        <v>0</v>
      </c>
      <c r="G52" s="66">
        <v>131947549.30769999</v>
      </c>
      <c r="H52" s="66">
        <v>5016282.7297999999</v>
      </c>
      <c r="I52" s="66">
        <v>6158870.5899999999</v>
      </c>
      <c r="J52" s="66">
        <f t="shared" si="10"/>
        <v>3079435.2949999999</v>
      </c>
      <c r="K52" s="66">
        <f t="shared" si="11"/>
        <v>3079435.2949999999</v>
      </c>
      <c r="L52" s="66">
        <v>186224667.7493</v>
      </c>
      <c r="M52" s="71">
        <f t="shared" si="2"/>
        <v>399616072.18699998</v>
      </c>
      <c r="N52" s="70"/>
      <c r="O52" s="182"/>
      <c r="P52" s="72">
        <v>26</v>
      </c>
      <c r="Q52" s="182"/>
      <c r="R52" s="66" t="s">
        <v>220</v>
      </c>
      <c r="S52" s="66">
        <v>83374701.295399994</v>
      </c>
      <c r="T52" s="66">
        <v>0</v>
      </c>
      <c r="U52" s="66">
        <v>149984552.36860001</v>
      </c>
      <c r="V52" s="66">
        <v>5778488.5044</v>
      </c>
      <c r="W52" s="66">
        <v>7000777.6100000003</v>
      </c>
      <c r="X52" s="66">
        <v>0</v>
      </c>
      <c r="Y52" s="66">
        <f t="shared" si="7"/>
        <v>7000777.6100000003</v>
      </c>
      <c r="Z52" s="66">
        <v>218195250.8132</v>
      </c>
      <c r="AA52" s="71">
        <f t="shared" si="8"/>
        <v>464333770.5916</v>
      </c>
    </row>
    <row r="53" spans="1:27" ht="24.9" customHeight="1">
      <c r="A53" s="180"/>
      <c r="B53" s="182"/>
      <c r="C53" s="62">
        <v>7</v>
      </c>
      <c r="D53" s="66" t="s">
        <v>221</v>
      </c>
      <c r="E53" s="66">
        <v>83189562.153600007</v>
      </c>
      <c r="F53" s="66">
        <v>0</v>
      </c>
      <c r="G53" s="66">
        <v>149651501.55450001</v>
      </c>
      <c r="H53" s="66">
        <v>5737127.6852000002</v>
      </c>
      <c r="I53" s="66">
        <v>6985231.9100000001</v>
      </c>
      <c r="J53" s="66">
        <f t="shared" si="10"/>
        <v>3492615.9550000001</v>
      </c>
      <c r="K53" s="66">
        <f t="shared" si="11"/>
        <v>3492615.9550000001</v>
      </c>
      <c r="L53" s="66">
        <v>214284671.5316</v>
      </c>
      <c r="M53" s="71">
        <f t="shared" si="2"/>
        <v>456355478.87989998</v>
      </c>
      <c r="N53" s="70"/>
      <c r="O53" s="182"/>
      <c r="P53" s="72">
        <v>27</v>
      </c>
      <c r="Q53" s="182"/>
      <c r="R53" s="66" t="s">
        <v>222</v>
      </c>
      <c r="S53" s="66">
        <v>85125759.543899998</v>
      </c>
      <c r="T53" s="66">
        <v>0</v>
      </c>
      <c r="U53" s="66">
        <v>153134568.90669999</v>
      </c>
      <c r="V53" s="66">
        <v>5735237.3556000004</v>
      </c>
      <c r="W53" s="66">
        <v>7147809.8600000003</v>
      </c>
      <c r="X53" s="66">
        <v>0</v>
      </c>
      <c r="Y53" s="66">
        <f t="shared" si="7"/>
        <v>7147809.8600000003</v>
      </c>
      <c r="Z53" s="66">
        <v>216511633.01199999</v>
      </c>
      <c r="AA53" s="71">
        <f t="shared" si="8"/>
        <v>467655008.67820001</v>
      </c>
    </row>
    <row r="54" spans="1:27" ht="24.9" customHeight="1">
      <c r="A54" s="180"/>
      <c r="B54" s="182"/>
      <c r="C54" s="62">
        <v>8</v>
      </c>
      <c r="D54" s="66" t="s">
        <v>223</v>
      </c>
      <c r="E54" s="66">
        <v>66655558.3323</v>
      </c>
      <c r="F54" s="66">
        <v>0</v>
      </c>
      <c r="G54" s="66">
        <v>119908124.6937</v>
      </c>
      <c r="H54" s="66">
        <v>4677248.8030000003</v>
      </c>
      <c r="I54" s="66">
        <v>5596910.4900000002</v>
      </c>
      <c r="J54" s="66">
        <f t="shared" si="10"/>
        <v>2798455.2450000001</v>
      </c>
      <c r="K54" s="66">
        <f t="shared" si="11"/>
        <v>2798455.2450000001</v>
      </c>
      <c r="L54" s="66">
        <v>173027248.252</v>
      </c>
      <c r="M54" s="71">
        <f t="shared" si="2"/>
        <v>367066635.32599998</v>
      </c>
      <c r="N54" s="70"/>
      <c r="O54" s="182"/>
      <c r="P54" s="72">
        <v>28</v>
      </c>
      <c r="Q54" s="182"/>
      <c r="R54" s="66" t="s">
        <v>224</v>
      </c>
      <c r="S54" s="66">
        <v>71702668.508200005</v>
      </c>
      <c r="T54" s="66">
        <v>0</v>
      </c>
      <c r="U54" s="66">
        <v>128987480.2943</v>
      </c>
      <c r="V54" s="66">
        <v>5082756.7551999995</v>
      </c>
      <c r="W54" s="66">
        <v>6020704.4699999997</v>
      </c>
      <c r="X54" s="66">
        <v>0</v>
      </c>
      <c r="Y54" s="66">
        <f t="shared" si="7"/>
        <v>6020704.4699999997</v>
      </c>
      <c r="Z54" s="66">
        <v>191112817.38789999</v>
      </c>
      <c r="AA54" s="71">
        <f t="shared" si="8"/>
        <v>402906427.4156</v>
      </c>
    </row>
    <row r="55" spans="1:27" ht="24.9" customHeight="1">
      <c r="A55" s="180"/>
      <c r="B55" s="182"/>
      <c r="C55" s="62">
        <v>9</v>
      </c>
      <c r="D55" s="66" t="s">
        <v>225</v>
      </c>
      <c r="E55" s="66">
        <v>77356081.779300004</v>
      </c>
      <c r="F55" s="66">
        <v>0</v>
      </c>
      <c r="G55" s="66">
        <v>139157527.61629999</v>
      </c>
      <c r="H55" s="66">
        <v>5373883.4989999998</v>
      </c>
      <c r="I55" s="66">
        <v>6495408.2800000003</v>
      </c>
      <c r="J55" s="66">
        <f t="shared" si="10"/>
        <v>3247704.14</v>
      </c>
      <c r="K55" s="66">
        <f t="shared" si="11"/>
        <v>3247704.14</v>
      </c>
      <c r="L55" s="66">
        <v>200144830.27450001</v>
      </c>
      <c r="M55" s="71">
        <f t="shared" si="2"/>
        <v>425280027.30909997</v>
      </c>
      <c r="N55" s="70"/>
      <c r="O55" s="182"/>
      <c r="P55" s="72">
        <v>29</v>
      </c>
      <c r="Q55" s="182"/>
      <c r="R55" s="66" t="s">
        <v>226</v>
      </c>
      <c r="S55" s="66">
        <v>85796779.3222</v>
      </c>
      <c r="T55" s="66">
        <v>0</v>
      </c>
      <c r="U55" s="66">
        <v>154341680.88479999</v>
      </c>
      <c r="V55" s="66">
        <v>5719210.051</v>
      </c>
      <c r="W55" s="66">
        <v>7204153.8099999996</v>
      </c>
      <c r="X55" s="66">
        <v>0</v>
      </c>
      <c r="Y55" s="66">
        <f t="shared" si="7"/>
        <v>7204153.8099999996</v>
      </c>
      <c r="Z55" s="66">
        <v>215887745.41339999</v>
      </c>
      <c r="AA55" s="71">
        <f t="shared" si="8"/>
        <v>468949569.48140001</v>
      </c>
    </row>
    <row r="56" spans="1:27" ht="24.9" customHeight="1">
      <c r="A56" s="180"/>
      <c r="B56" s="182"/>
      <c r="C56" s="62">
        <v>10</v>
      </c>
      <c r="D56" s="66" t="s">
        <v>227</v>
      </c>
      <c r="E56" s="66">
        <v>84159835.786899999</v>
      </c>
      <c r="F56" s="66">
        <v>0</v>
      </c>
      <c r="G56" s="66">
        <v>151396947.76840001</v>
      </c>
      <c r="H56" s="66">
        <v>5966882.483</v>
      </c>
      <c r="I56" s="66">
        <v>7066703.5</v>
      </c>
      <c r="J56" s="66">
        <f t="shared" si="10"/>
        <v>3533351.75</v>
      </c>
      <c r="K56" s="66">
        <f t="shared" si="11"/>
        <v>3533351.75</v>
      </c>
      <c r="L56" s="66">
        <v>223228232.0645</v>
      </c>
      <c r="M56" s="71">
        <f t="shared" si="2"/>
        <v>468285249.85280001</v>
      </c>
      <c r="N56" s="70"/>
      <c r="O56" s="182"/>
      <c r="P56" s="72">
        <v>30</v>
      </c>
      <c r="Q56" s="182"/>
      <c r="R56" s="66" t="s">
        <v>228</v>
      </c>
      <c r="S56" s="66">
        <v>77393858.9833</v>
      </c>
      <c r="T56" s="66">
        <v>0</v>
      </c>
      <c r="U56" s="66">
        <v>139225485.85190001</v>
      </c>
      <c r="V56" s="66">
        <v>5516385.6398</v>
      </c>
      <c r="W56" s="66">
        <v>6498580.3499999996</v>
      </c>
      <c r="X56" s="66">
        <v>0</v>
      </c>
      <c r="Y56" s="66">
        <f t="shared" si="7"/>
        <v>6498580.3499999996</v>
      </c>
      <c r="Z56" s="66">
        <v>207992491.78909999</v>
      </c>
      <c r="AA56" s="71">
        <f t="shared" si="8"/>
        <v>436626802.61409998</v>
      </c>
    </row>
    <row r="57" spans="1:27" ht="24.9" customHeight="1">
      <c r="A57" s="180"/>
      <c r="B57" s="182"/>
      <c r="C57" s="62">
        <v>11</v>
      </c>
      <c r="D57" s="66" t="s">
        <v>229</v>
      </c>
      <c r="E57" s="66">
        <v>64771740.063500002</v>
      </c>
      <c r="F57" s="66">
        <v>0</v>
      </c>
      <c r="G57" s="66">
        <v>116519283.2863</v>
      </c>
      <c r="H57" s="66">
        <v>4649697.6405999996</v>
      </c>
      <c r="I57" s="66">
        <v>5438730.7000000002</v>
      </c>
      <c r="J57" s="66">
        <f t="shared" si="10"/>
        <v>2719365.35</v>
      </c>
      <c r="K57" s="66">
        <f t="shared" si="11"/>
        <v>2719365.35</v>
      </c>
      <c r="L57" s="66">
        <v>171954776.68290001</v>
      </c>
      <c r="M57" s="71">
        <f t="shared" si="2"/>
        <v>360614863.02329999</v>
      </c>
      <c r="N57" s="70"/>
      <c r="O57" s="182"/>
      <c r="P57" s="72">
        <v>31</v>
      </c>
      <c r="Q57" s="182"/>
      <c r="R57" s="66" t="s">
        <v>230</v>
      </c>
      <c r="S57" s="66">
        <v>80186822.348399997</v>
      </c>
      <c r="T57" s="66">
        <v>0</v>
      </c>
      <c r="U57" s="66">
        <v>144249808.01969999</v>
      </c>
      <c r="V57" s="66">
        <v>5316676.3947999999</v>
      </c>
      <c r="W57" s="66">
        <v>6733098.9100000001</v>
      </c>
      <c r="X57" s="66">
        <v>0</v>
      </c>
      <c r="Y57" s="66">
        <f t="shared" si="7"/>
        <v>6733098.9100000001</v>
      </c>
      <c r="Z57" s="66">
        <v>200218500.8249</v>
      </c>
      <c r="AA57" s="71">
        <f t="shared" si="8"/>
        <v>436704906.49779999</v>
      </c>
    </row>
    <row r="58" spans="1:27" ht="24.9" customHeight="1">
      <c r="A58" s="180"/>
      <c r="B58" s="182"/>
      <c r="C58" s="62">
        <v>12</v>
      </c>
      <c r="D58" s="66" t="s">
        <v>231</v>
      </c>
      <c r="E58" s="66">
        <v>76613329.432400003</v>
      </c>
      <c r="F58" s="66">
        <v>0</v>
      </c>
      <c r="G58" s="66">
        <v>137821374.36500001</v>
      </c>
      <c r="H58" s="66">
        <v>5315225.8213999998</v>
      </c>
      <c r="I58" s="66">
        <v>6433041.1100000003</v>
      </c>
      <c r="J58" s="66">
        <f t="shared" si="10"/>
        <v>3216520.5550000002</v>
      </c>
      <c r="K58" s="66">
        <f t="shared" si="11"/>
        <v>3216520.5550000002</v>
      </c>
      <c r="L58" s="66">
        <v>197861489.5352</v>
      </c>
      <c r="M58" s="71">
        <f t="shared" si="2"/>
        <v>420827939.70899999</v>
      </c>
      <c r="N58" s="70"/>
      <c r="O58" s="182"/>
      <c r="P58" s="72">
        <v>32</v>
      </c>
      <c r="Q58" s="182"/>
      <c r="R58" s="66" t="s">
        <v>232</v>
      </c>
      <c r="S58" s="66">
        <v>86038814.264699996</v>
      </c>
      <c r="T58" s="66">
        <v>0</v>
      </c>
      <c r="U58" s="66">
        <v>154777082.7775</v>
      </c>
      <c r="V58" s="66">
        <v>5855385.7061000001</v>
      </c>
      <c r="W58" s="66">
        <v>7224476.9100000001</v>
      </c>
      <c r="X58" s="66">
        <v>0</v>
      </c>
      <c r="Y58" s="66">
        <f t="shared" si="7"/>
        <v>7224476.9100000001</v>
      </c>
      <c r="Z58" s="66">
        <v>221188593.21399999</v>
      </c>
      <c r="AA58" s="71">
        <f t="shared" si="8"/>
        <v>475084352.87230003</v>
      </c>
    </row>
    <row r="59" spans="1:27" ht="24.9" customHeight="1">
      <c r="A59" s="180"/>
      <c r="B59" s="182"/>
      <c r="C59" s="62">
        <v>13</v>
      </c>
      <c r="D59" s="66" t="s">
        <v>233</v>
      </c>
      <c r="E59" s="66">
        <v>76634930.031200007</v>
      </c>
      <c r="F59" s="66">
        <v>0</v>
      </c>
      <c r="G59" s="66">
        <v>137860232.15259999</v>
      </c>
      <c r="H59" s="66">
        <v>5316568.9546999997</v>
      </c>
      <c r="I59" s="66">
        <v>6434854.8600000003</v>
      </c>
      <c r="J59" s="66">
        <f t="shared" si="10"/>
        <v>3217427.43</v>
      </c>
      <c r="K59" s="66">
        <f t="shared" si="11"/>
        <v>3217427.43</v>
      </c>
      <c r="L59" s="66">
        <v>197913773.07339999</v>
      </c>
      <c r="M59" s="71">
        <f t="shared" si="2"/>
        <v>420942931.6419</v>
      </c>
      <c r="N59" s="70"/>
      <c r="O59" s="182"/>
      <c r="P59" s="72">
        <v>33</v>
      </c>
      <c r="Q59" s="182"/>
      <c r="R59" s="66" t="s">
        <v>234</v>
      </c>
      <c r="S59" s="66">
        <v>83387818.601999998</v>
      </c>
      <c r="T59" s="66">
        <v>0</v>
      </c>
      <c r="U59" s="66">
        <v>150008149.37650001</v>
      </c>
      <c r="V59" s="66">
        <v>5330638.2087000003</v>
      </c>
      <c r="W59" s="66">
        <v>7001879.04</v>
      </c>
      <c r="X59" s="66">
        <v>0</v>
      </c>
      <c r="Y59" s="66">
        <f t="shared" si="7"/>
        <v>7001879.04</v>
      </c>
      <c r="Z59" s="66">
        <v>200761986.00760001</v>
      </c>
      <c r="AA59" s="71">
        <f t="shared" si="8"/>
        <v>446490471.23479998</v>
      </c>
    </row>
    <row r="60" spans="1:27" ht="24.9" customHeight="1">
      <c r="A60" s="180"/>
      <c r="B60" s="182"/>
      <c r="C60" s="62">
        <v>14</v>
      </c>
      <c r="D60" s="66" t="s">
        <v>235</v>
      </c>
      <c r="E60" s="66">
        <v>79037530.055899993</v>
      </c>
      <c r="F60" s="66">
        <v>0</v>
      </c>
      <c r="G60" s="66">
        <v>142182321.26980001</v>
      </c>
      <c r="H60" s="66">
        <v>5441333.6204000004</v>
      </c>
      <c r="I60" s="66">
        <v>6636595.54</v>
      </c>
      <c r="J60" s="66">
        <f t="shared" si="10"/>
        <v>3318297.77</v>
      </c>
      <c r="K60" s="66">
        <f t="shared" si="11"/>
        <v>3318297.77</v>
      </c>
      <c r="L60" s="66">
        <v>202770430.4781</v>
      </c>
      <c r="M60" s="71">
        <f t="shared" si="2"/>
        <v>432749913.19419998</v>
      </c>
      <c r="N60" s="70"/>
      <c r="O60" s="183"/>
      <c r="P60" s="72">
        <v>34</v>
      </c>
      <c r="Q60" s="183"/>
      <c r="R60" s="66" t="s">
        <v>236</v>
      </c>
      <c r="S60" s="66">
        <v>81726904.0141</v>
      </c>
      <c r="T60" s="66">
        <v>0</v>
      </c>
      <c r="U60" s="66">
        <v>147020294.21830001</v>
      </c>
      <c r="V60" s="66">
        <v>5527661.1871999996</v>
      </c>
      <c r="W60" s="66">
        <v>6862415.9500000002</v>
      </c>
      <c r="X60" s="66">
        <v>0</v>
      </c>
      <c r="Y60" s="66">
        <f t="shared" si="7"/>
        <v>6862415.9500000002</v>
      </c>
      <c r="Z60" s="66">
        <v>208431409.8955</v>
      </c>
      <c r="AA60" s="71">
        <f t="shared" si="8"/>
        <v>449568685.2651</v>
      </c>
    </row>
    <row r="61" spans="1:27" ht="24.9" customHeight="1">
      <c r="A61" s="180"/>
      <c r="B61" s="182"/>
      <c r="C61" s="62">
        <v>15</v>
      </c>
      <c r="D61" s="66" t="s">
        <v>237</v>
      </c>
      <c r="E61" s="66">
        <v>72208529.292799994</v>
      </c>
      <c r="F61" s="66">
        <v>0</v>
      </c>
      <c r="G61" s="66">
        <v>129897484.1883</v>
      </c>
      <c r="H61" s="66">
        <v>4946056.0471999999</v>
      </c>
      <c r="I61" s="66">
        <v>6063180.4100000001</v>
      </c>
      <c r="J61" s="66">
        <f t="shared" si="10"/>
        <v>3031590.2050000001</v>
      </c>
      <c r="K61" s="66">
        <f t="shared" si="11"/>
        <v>3031590.2050000001</v>
      </c>
      <c r="L61" s="66">
        <v>183490985.60960001</v>
      </c>
      <c r="M61" s="71">
        <f t="shared" si="2"/>
        <v>393574645.34289998</v>
      </c>
      <c r="N61" s="70"/>
      <c r="O61" s="62"/>
      <c r="P61" s="174" t="s">
        <v>238</v>
      </c>
      <c r="Q61" s="175"/>
      <c r="R61" s="67"/>
      <c r="S61" s="67">
        <f t="shared" ref="S61:AA61" si="12">SUM(S27:S60)</f>
        <v>2902121848.0771999</v>
      </c>
      <c r="T61" s="67">
        <f t="shared" si="12"/>
        <v>0</v>
      </c>
      <c r="U61" s="67">
        <f t="shared" si="12"/>
        <v>5220689724.0487003</v>
      </c>
      <c r="V61" s="67">
        <f t="shared" si="12"/>
        <v>193937355.98410001</v>
      </c>
      <c r="W61" s="67">
        <f t="shared" si="12"/>
        <v>243684347.16999999</v>
      </c>
      <c r="X61" s="67">
        <f t="shared" si="12"/>
        <v>0</v>
      </c>
      <c r="Y61" s="67">
        <f t="shared" si="12"/>
        <v>243684347.16999999</v>
      </c>
      <c r="Z61" s="67">
        <f t="shared" si="12"/>
        <v>7320105586.6760998</v>
      </c>
      <c r="AA61" s="67">
        <f t="shared" si="12"/>
        <v>15880538861.9561</v>
      </c>
    </row>
    <row r="62" spans="1:27" ht="24.9" customHeight="1">
      <c r="A62" s="180"/>
      <c r="B62" s="182"/>
      <c r="C62" s="62">
        <v>16</v>
      </c>
      <c r="D62" s="66" t="s">
        <v>239</v>
      </c>
      <c r="E62" s="66">
        <v>73728545.970400006</v>
      </c>
      <c r="F62" s="66">
        <v>0</v>
      </c>
      <c r="G62" s="66">
        <v>132631875.04520001</v>
      </c>
      <c r="H62" s="66">
        <v>5260247.6518999999</v>
      </c>
      <c r="I62" s="66">
        <v>6190812.6299999999</v>
      </c>
      <c r="J62" s="66">
        <f t="shared" si="10"/>
        <v>3095406.3149999999</v>
      </c>
      <c r="K62" s="66">
        <f t="shared" si="11"/>
        <v>3095406.3149999999</v>
      </c>
      <c r="L62" s="66">
        <v>195721379.32910001</v>
      </c>
      <c r="M62" s="71">
        <f t="shared" si="2"/>
        <v>410437454.31160003</v>
      </c>
      <c r="N62" s="70"/>
      <c r="O62" s="181">
        <v>21</v>
      </c>
      <c r="P62" s="72">
        <v>1</v>
      </c>
      <c r="Q62" s="181" t="s">
        <v>106</v>
      </c>
      <c r="R62" s="66" t="s">
        <v>240</v>
      </c>
      <c r="S62" s="66">
        <v>65435777.040399998</v>
      </c>
      <c r="T62" s="66">
        <v>0</v>
      </c>
      <c r="U62" s="66">
        <v>117713833.7589</v>
      </c>
      <c r="V62" s="66">
        <v>4470144.6566000003</v>
      </c>
      <c r="W62" s="66">
        <v>5494488.3200000003</v>
      </c>
      <c r="X62" s="66">
        <f t="shared" ref="X62:X82" si="13">W62/2</f>
        <v>2747244.16</v>
      </c>
      <c r="Y62" s="66">
        <f t="shared" ref="Y62:Y82" si="14">W62-X62</f>
        <v>2747244.16</v>
      </c>
      <c r="Z62" s="66">
        <v>163145068.6992</v>
      </c>
      <c r="AA62" s="71">
        <f t="shared" si="8"/>
        <v>353512068.31510001</v>
      </c>
    </row>
    <row r="63" spans="1:27" ht="24.9" customHeight="1">
      <c r="A63" s="180"/>
      <c r="B63" s="182"/>
      <c r="C63" s="62">
        <v>17</v>
      </c>
      <c r="D63" s="66" t="s">
        <v>241</v>
      </c>
      <c r="E63" s="66">
        <v>68821215.040999994</v>
      </c>
      <c r="F63" s="66">
        <v>0</v>
      </c>
      <c r="G63" s="66">
        <v>123803971.35699999</v>
      </c>
      <c r="H63" s="66">
        <v>5000413.4408999998</v>
      </c>
      <c r="I63" s="66">
        <v>5778755.5899999999</v>
      </c>
      <c r="J63" s="66">
        <f t="shared" si="10"/>
        <v>2889377.7949999999</v>
      </c>
      <c r="K63" s="66">
        <f t="shared" si="11"/>
        <v>2889377.7949999999</v>
      </c>
      <c r="L63" s="66">
        <v>185606931.1552</v>
      </c>
      <c r="M63" s="71">
        <f t="shared" si="2"/>
        <v>386121908.78909999</v>
      </c>
      <c r="N63" s="70"/>
      <c r="O63" s="182"/>
      <c r="P63" s="72">
        <v>2</v>
      </c>
      <c r="Q63" s="182"/>
      <c r="R63" s="66" t="s">
        <v>242</v>
      </c>
      <c r="S63" s="66">
        <v>106919468.4646</v>
      </c>
      <c r="T63" s="66">
        <v>0</v>
      </c>
      <c r="U63" s="66">
        <v>192339742.95820001</v>
      </c>
      <c r="V63" s="66">
        <v>5802634.4462000001</v>
      </c>
      <c r="W63" s="66">
        <v>8977776.3399999999</v>
      </c>
      <c r="X63" s="66">
        <f t="shared" si="13"/>
        <v>4488888.17</v>
      </c>
      <c r="Y63" s="66">
        <f t="shared" si="14"/>
        <v>4488888.17</v>
      </c>
      <c r="Z63" s="66">
        <v>215014292.8017</v>
      </c>
      <c r="AA63" s="71">
        <f t="shared" si="8"/>
        <v>524565026.84069997</v>
      </c>
    </row>
    <row r="64" spans="1:27" ht="24.9" customHeight="1">
      <c r="A64" s="180"/>
      <c r="B64" s="182"/>
      <c r="C64" s="62">
        <v>18</v>
      </c>
      <c r="D64" s="66" t="s">
        <v>243</v>
      </c>
      <c r="E64" s="66">
        <v>85503794.069399998</v>
      </c>
      <c r="F64" s="66">
        <v>0</v>
      </c>
      <c r="G64" s="66">
        <v>153814623.37599999</v>
      </c>
      <c r="H64" s="66">
        <v>5835910.0585000003</v>
      </c>
      <c r="I64" s="66">
        <v>7179552.5199999996</v>
      </c>
      <c r="J64" s="66">
        <f t="shared" si="10"/>
        <v>3589776.26</v>
      </c>
      <c r="K64" s="66">
        <f t="shared" si="11"/>
        <v>3589776.26</v>
      </c>
      <c r="L64" s="66">
        <v>218129928.05469999</v>
      </c>
      <c r="M64" s="71">
        <f t="shared" si="2"/>
        <v>466874031.8186</v>
      </c>
      <c r="N64" s="70"/>
      <c r="O64" s="182"/>
      <c r="P64" s="72">
        <v>3</v>
      </c>
      <c r="Q64" s="182"/>
      <c r="R64" s="66" t="s">
        <v>244</v>
      </c>
      <c r="S64" s="66">
        <v>90057386.668599993</v>
      </c>
      <c r="T64" s="66">
        <v>0</v>
      </c>
      <c r="U64" s="66">
        <v>162006179.53569999</v>
      </c>
      <c r="V64" s="66">
        <v>5931913.8455999997</v>
      </c>
      <c r="W64" s="66">
        <v>7561906.9900000002</v>
      </c>
      <c r="X64" s="66">
        <f t="shared" si="13"/>
        <v>3780953.4950000001</v>
      </c>
      <c r="Y64" s="66">
        <f t="shared" si="14"/>
        <v>3780953.4950000001</v>
      </c>
      <c r="Z64" s="66">
        <v>220046693.19190001</v>
      </c>
      <c r="AA64" s="71">
        <f t="shared" si="8"/>
        <v>481823126.73680001</v>
      </c>
    </row>
    <row r="65" spans="1:27" ht="24.9" customHeight="1">
      <c r="A65" s="180"/>
      <c r="B65" s="182"/>
      <c r="C65" s="62">
        <v>19</v>
      </c>
      <c r="D65" s="66" t="s">
        <v>245</v>
      </c>
      <c r="E65" s="66">
        <v>71346585.478300005</v>
      </c>
      <c r="F65" s="66">
        <v>0</v>
      </c>
      <c r="G65" s="66">
        <v>128346914.8189</v>
      </c>
      <c r="H65" s="66">
        <v>5052321.5915000001</v>
      </c>
      <c r="I65" s="66">
        <v>5990805</v>
      </c>
      <c r="J65" s="66">
        <f t="shared" si="10"/>
        <v>2995402.5</v>
      </c>
      <c r="K65" s="66">
        <f t="shared" si="11"/>
        <v>2995402.5</v>
      </c>
      <c r="L65" s="66">
        <v>187627536.13119999</v>
      </c>
      <c r="M65" s="71">
        <f t="shared" si="2"/>
        <v>395368760.51990002</v>
      </c>
      <c r="N65" s="70"/>
      <c r="O65" s="182"/>
      <c r="P65" s="72">
        <v>4</v>
      </c>
      <c r="Q65" s="182"/>
      <c r="R65" s="66" t="s">
        <v>246</v>
      </c>
      <c r="S65" s="66">
        <v>74357538.943800002</v>
      </c>
      <c r="T65" s="66">
        <v>0</v>
      </c>
      <c r="U65" s="66">
        <v>133763384.1027</v>
      </c>
      <c r="V65" s="66">
        <v>5049317.2686999999</v>
      </c>
      <c r="W65" s="66">
        <v>6243627.6900000004</v>
      </c>
      <c r="X65" s="66">
        <f t="shared" si="13"/>
        <v>3121813.8450000002</v>
      </c>
      <c r="Y65" s="66">
        <f t="shared" si="14"/>
        <v>3121813.8450000002</v>
      </c>
      <c r="Z65" s="66">
        <v>185690257.5961</v>
      </c>
      <c r="AA65" s="71">
        <f t="shared" si="8"/>
        <v>401982311.75629997</v>
      </c>
    </row>
    <row r="66" spans="1:27" ht="24.9" customHeight="1">
      <c r="A66" s="180"/>
      <c r="B66" s="182"/>
      <c r="C66" s="62">
        <v>20</v>
      </c>
      <c r="D66" s="66" t="s">
        <v>247</v>
      </c>
      <c r="E66" s="66">
        <v>75068503.717500001</v>
      </c>
      <c r="F66" s="66">
        <v>0</v>
      </c>
      <c r="G66" s="66">
        <v>135042353.99649999</v>
      </c>
      <c r="H66" s="66">
        <v>5273769.2792999996</v>
      </c>
      <c r="I66" s="66">
        <v>6303325.7300000004</v>
      </c>
      <c r="J66" s="66">
        <f t="shared" si="10"/>
        <v>3151662.8650000002</v>
      </c>
      <c r="K66" s="66">
        <f t="shared" si="11"/>
        <v>3151662.8650000002</v>
      </c>
      <c r="L66" s="66">
        <v>196247729.57069999</v>
      </c>
      <c r="M66" s="71">
        <f t="shared" si="2"/>
        <v>414784019.42900002</v>
      </c>
      <c r="N66" s="70"/>
      <c r="O66" s="182"/>
      <c r="P66" s="72">
        <v>5</v>
      </c>
      <c r="Q66" s="182"/>
      <c r="R66" s="66" t="s">
        <v>248</v>
      </c>
      <c r="S66" s="66">
        <v>99029747.010399997</v>
      </c>
      <c r="T66" s="66">
        <v>0</v>
      </c>
      <c r="U66" s="66">
        <v>178146752.4984</v>
      </c>
      <c r="V66" s="66">
        <v>6409719.3994000005</v>
      </c>
      <c r="W66" s="66">
        <v>8315294.9900000002</v>
      </c>
      <c r="X66" s="66">
        <f t="shared" si="13"/>
        <v>4157647.4950000001</v>
      </c>
      <c r="Y66" s="66">
        <f t="shared" si="14"/>
        <v>4157647.4950000001</v>
      </c>
      <c r="Z66" s="66">
        <v>238646012.70649999</v>
      </c>
      <c r="AA66" s="71">
        <f t="shared" si="8"/>
        <v>526389879.10970002</v>
      </c>
    </row>
    <row r="67" spans="1:27" ht="24.9" customHeight="1">
      <c r="A67" s="180"/>
      <c r="B67" s="182"/>
      <c r="C67" s="62">
        <v>21</v>
      </c>
      <c r="D67" s="66" t="s">
        <v>249</v>
      </c>
      <c r="E67" s="66">
        <v>78082147.111000001</v>
      </c>
      <c r="F67" s="66">
        <v>0</v>
      </c>
      <c r="G67" s="66">
        <v>140463662.236</v>
      </c>
      <c r="H67" s="66">
        <v>5500070.3057000004</v>
      </c>
      <c r="I67" s="66">
        <v>6556374.2800000003</v>
      </c>
      <c r="J67" s="66">
        <f t="shared" si="10"/>
        <v>3278187.14</v>
      </c>
      <c r="K67" s="66">
        <f t="shared" si="11"/>
        <v>3278187.14</v>
      </c>
      <c r="L67" s="66">
        <v>205056846.71959999</v>
      </c>
      <c r="M67" s="71">
        <f t="shared" si="2"/>
        <v>432380913.51230001</v>
      </c>
      <c r="N67" s="70"/>
      <c r="O67" s="182"/>
      <c r="P67" s="72">
        <v>6</v>
      </c>
      <c r="Q67" s="182"/>
      <c r="R67" s="66" t="s">
        <v>250</v>
      </c>
      <c r="S67" s="66">
        <v>121156904.9065</v>
      </c>
      <c r="T67" s="66">
        <v>0</v>
      </c>
      <c r="U67" s="66">
        <v>217951775.13820001</v>
      </c>
      <c r="V67" s="66">
        <v>6755130.3875000002</v>
      </c>
      <c r="W67" s="66">
        <v>10173260.4</v>
      </c>
      <c r="X67" s="66">
        <f t="shared" si="13"/>
        <v>5086630.2</v>
      </c>
      <c r="Y67" s="66">
        <f t="shared" si="14"/>
        <v>5086630.2</v>
      </c>
      <c r="Z67" s="66">
        <v>252091669.1708</v>
      </c>
      <c r="AA67" s="71">
        <f t="shared" si="8"/>
        <v>603042109.80299997</v>
      </c>
    </row>
    <row r="68" spans="1:27" ht="24.9" customHeight="1">
      <c r="A68" s="180"/>
      <c r="B68" s="182"/>
      <c r="C68" s="62">
        <v>22</v>
      </c>
      <c r="D68" s="66" t="s">
        <v>251</v>
      </c>
      <c r="E68" s="66">
        <v>67113649.096900001</v>
      </c>
      <c r="F68" s="66">
        <v>0</v>
      </c>
      <c r="G68" s="66">
        <v>120732194.0669</v>
      </c>
      <c r="H68" s="66">
        <v>5000921.3483999996</v>
      </c>
      <c r="I68" s="66">
        <v>5635375.29</v>
      </c>
      <c r="J68" s="66">
        <f t="shared" si="10"/>
        <v>2817687.645</v>
      </c>
      <c r="K68" s="66">
        <f t="shared" si="11"/>
        <v>2817687.645</v>
      </c>
      <c r="L68" s="66">
        <v>185626702.24110001</v>
      </c>
      <c r="M68" s="71">
        <f t="shared" si="2"/>
        <v>381291154.39829999</v>
      </c>
      <c r="N68" s="70"/>
      <c r="O68" s="182"/>
      <c r="P68" s="72">
        <v>7</v>
      </c>
      <c r="Q68" s="182"/>
      <c r="R68" s="66" t="s">
        <v>252</v>
      </c>
      <c r="S68" s="66">
        <v>82540846.519700006</v>
      </c>
      <c r="T68" s="66">
        <v>0</v>
      </c>
      <c r="U68" s="66">
        <v>148484512.99399999</v>
      </c>
      <c r="V68" s="66">
        <v>5096428.5148</v>
      </c>
      <c r="W68" s="66">
        <v>6930760.79</v>
      </c>
      <c r="X68" s="66">
        <f t="shared" si="13"/>
        <v>3465380.395</v>
      </c>
      <c r="Y68" s="66">
        <f t="shared" si="14"/>
        <v>3465380.395</v>
      </c>
      <c r="Z68" s="66">
        <v>187524135.64989999</v>
      </c>
      <c r="AA68" s="71">
        <f t="shared" si="8"/>
        <v>427111304.07340002</v>
      </c>
    </row>
    <row r="69" spans="1:27" ht="24.9" customHeight="1">
      <c r="A69" s="180"/>
      <c r="B69" s="182"/>
      <c r="C69" s="62">
        <v>23</v>
      </c>
      <c r="D69" s="66" t="s">
        <v>253</v>
      </c>
      <c r="E69" s="66">
        <v>70079705.434499994</v>
      </c>
      <c r="F69" s="66">
        <v>0</v>
      </c>
      <c r="G69" s="66">
        <v>126067896.926</v>
      </c>
      <c r="H69" s="66">
        <v>5218937.8386000004</v>
      </c>
      <c r="I69" s="66">
        <v>5884428.0700000003</v>
      </c>
      <c r="J69" s="66">
        <f t="shared" si="10"/>
        <v>2942214.0350000001</v>
      </c>
      <c r="K69" s="66">
        <f t="shared" si="11"/>
        <v>2942214.0350000001</v>
      </c>
      <c r="L69" s="66">
        <v>194113331.01159999</v>
      </c>
      <c r="M69" s="71">
        <f t="shared" si="2"/>
        <v>398422085.2457</v>
      </c>
      <c r="N69" s="70"/>
      <c r="O69" s="182"/>
      <c r="P69" s="72">
        <v>8</v>
      </c>
      <c r="Q69" s="182"/>
      <c r="R69" s="66" t="s">
        <v>254</v>
      </c>
      <c r="S69" s="66">
        <v>87687661.683899999</v>
      </c>
      <c r="T69" s="66">
        <v>0</v>
      </c>
      <c r="U69" s="66">
        <v>157743230.03650001</v>
      </c>
      <c r="V69" s="66">
        <v>5353903.7774</v>
      </c>
      <c r="W69" s="66">
        <v>7362926.75</v>
      </c>
      <c r="X69" s="66">
        <f t="shared" si="13"/>
        <v>3681463.375</v>
      </c>
      <c r="Y69" s="66">
        <f t="shared" si="14"/>
        <v>3681463.375</v>
      </c>
      <c r="Z69" s="66">
        <v>197546758.11390001</v>
      </c>
      <c r="AA69" s="71">
        <f t="shared" si="8"/>
        <v>452013016.9867</v>
      </c>
    </row>
    <row r="70" spans="1:27" ht="24.9" customHeight="1">
      <c r="A70" s="180"/>
      <c r="B70" s="182"/>
      <c r="C70" s="62">
        <v>24</v>
      </c>
      <c r="D70" s="66" t="s">
        <v>255</v>
      </c>
      <c r="E70" s="66">
        <v>71781327.953600004</v>
      </c>
      <c r="F70" s="66">
        <v>0</v>
      </c>
      <c r="G70" s="66">
        <v>129128982.46510001</v>
      </c>
      <c r="H70" s="66">
        <v>4813605.0473999996</v>
      </c>
      <c r="I70" s="66">
        <v>6027309.3099999996</v>
      </c>
      <c r="J70" s="66">
        <f t="shared" si="10"/>
        <v>3013654.6549999998</v>
      </c>
      <c r="K70" s="66">
        <f t="shared" si="11"/>
        <v>3013654.6549999998</v>
      </c>
      <c r="L70" s="66">
        <v>178335125.77200001</v>
      </c>
      <c r="M70" s="71">
        <f t="shared" si="2"/>
        <v>387072695.89310002</v>
      </c>
      <c r="N70" s="70"/>
      <c r="O70" s="182"/>
      <c r="P70" s="72">
        <v>9</v>
      </c>
      <c r="Q70" s="182"/>
      <c r="R70" s="66" t="s">
        <v>256</v>
      </c>
      <c r="S70" s="66">
        <v>108935601.45200001</v>
      </c>
      <c r="T70" s="66">
        <v>0</v>
      </c>
      <c r="U70" s="66">
        <v>195966608.1701</v>
      </c>
      <c r="V70" s="66">
        <v>6718820.6418000003</v>
      </c>
      <c r="W70" s="66">
        <v>9147066.2899999991</v>
      </c>
      <c r="X70" s="66">
        <f t="shared" si="13"/>
        <v>4573533.1449999996</v>
      </c>
      <c r="Y70" s="66">
        <f t="shared" si="14"/>
        <v>4573533.1449999996</v>
      </c>
      <c r="Z70" s="66">
        <v>250678256.2098</v>
      </c>
      <c r="AA70" s="71">
        <f t="shared" si="8"/>
        <v>566872819.61870003</v>
      </c>
    </row>
    <row r="71" spans="1:27" ht="24.9" customHeight="1">
      <c r="A71" s="180"/>
      <c r="B71" s="182"/>
      <c r="C71" s="62">
        <v>25</v>
      </c>
      <c r="D71" s="66" t="s">
        <v>257</v>
      </c>
      <c r="E71" s="66">
        <v>84574305.775000006</v>
      </c>
      <c r="F71" s="66">
        <v>0</v>
      </c>
      <c r="G71" s="66">
        <v>152142546.7897</v>
      </c>
      <c r="H71" s="66">
        <v>5775164.3165999996</v>
      </c>
      <c r="I71" s="66">
        <v>7101505.5700000003</v>
      </c>
      <c r="J71" s="66">
        <f t="shared" si="10"/>
        <v>3550752.7850000001</v>
      </c>
      <c r="K71" s="66">
        <f t="shared" si="11"/>
        <v>3550752.7850000001</v>
      </c>
      <c r="L71" s="66">
        <v>215765306.1846</v>
      </c>
      <c r="M71" s="71">
        <f t="shared" ref="M71:M134" si="15">E71+F71+G71+H71+K71+L71</f>
        <v>461808075.85089999</v>
      </c>
      <c r="N71" s="70"/>
      <c r="O71" s="182"/>
      <c r="P71" s="72">
        <v>10</v>
      </c>
      <c r="Q71" s="182"/>
      <c r="R71" s="66" t="s">
        <v>258</v>
      </c>
      <c r="S71" s="66">
        <v>75852661.306700006</v>
      </c>
      <c r="T71" s="66">
        <v>0</v>
      </c>
      <c r="U71" s="66">
        <v>136452992.0379</v>
      </c>
      <c r="V71" s="66">
        <v>5093618.0931000002</v>
      </c>
      <c r="W71" s="66">
        <v>6369169.5999999996</v>
      </c>
      <c r="X71" s="66">
        <f t="shared" si="13"/>
        <v>3184584.8</v>
      </c>
      <c r="Y71" s="66">
        <f t="shared" si="14"/>
        <v>3184584.8</v>
      </c>
      <c r="Z71" s="66">
        <v>187414735.64140001</v>
      </c>
      <c r="AA71" s="71">
        <f t="shared" si="8"/>
        <v>407998591.87910002</v>
      </c>
    </row>
    <row r="72" spans="1:27" ht="24.9" customHeight="1">
      <c r="A72" s="180"/>
      <c r="B72" s="182"/>
      <c r="C72" s="62">
        <v>26</v>
      </c>
      <c r="D72" s="66" t="s">
        <v>259</v>
      </c>
      <c r="E72" s="66">
        <v>62999967.716799997</v>
      </c>
      <c r="F72" s="66">
        <v>0</v>
      </c>
      <c r="G72" s="66">
        <v>113332003.71439999</v>
      </c>
      <c r="H72" s="66">
        <v>4427787.1926999995</v>
      </c>
      <c r="I72" s="66">
        <v>5289959.1399999997</v>
      </c>
      <c r="J72" s="66">
        <f t="shared" si="10"/>
        <v>2644979.5699999998</v>
      </c>
      <c r="K72" s="66">
        <f t="shared" si="11"/>
        <v>2644979.5699999998</v>
      </c>
      <c r="L72" s="66">
        <v>163316569.5873</v>
      </c>
      <c r="M72" s="71">
        <f t="shared" si="15"/>
        <v>346721307.78119999</v>
      </c>
      <c r="N72" s="70"/>
      <c r="O72" s="182"/>
      <c r="P72" s="72">
        <v>11</v>
      </c>
      <c r="Q72" s="182"/>
      <c r="R72" s="66" t="s">
        <v>260</v>
      </c>
      <c r="S72" s="66">
        <v>80120206.746600002</v>
      </c>
      <c r="T72" s="66">
        <v>0</v>
      </c>
      <c r="U72" s="66">
        <v>144129971.77039999</v>
      </c>
      <c r="V72" s="66">
        <v>5430044.7611999996</v>
      </c>
      <c r="W72" s="66">
        <v>6727505.3499999996</v>
      </c>
      <c r="X72" s="66">
        <f t="shared" si="13"/>
        <v>3363752.6749999998</v>
      </c>
      <c r="Y72" s="66">
        <f t="shared" si="14"/>
        <v>3363752.6749999998</v>
      </c>
      <c r="Z72" s="66">
        <v>200510663.56459999</v>
      </c>
      <c r="AA72" s="71">
        <f t="shared" si="8"/>
        <v>433554639.51779997</v>
      </c>
    </row>
    <row r="73" spans="1:27" ht="24.9" customHeight="1">
      <c r="A73" s="180"/>
      <c r="B73" s="182"/>
      <c r="C73" s="62">
        <v>27</v>
      </c>
      <c r="D73" s="66" t="s">
        <v>261</v>
      </c>
      <c r="E73" s="66">
        <v>77301474.863100007</v>
      </c>
      <c r="F73" s="66">
        <v>0</v>
      </c>
      <c r="G73" s="66">
        <v>139059294.06740001</v>
      </c>
      <c r="H73" s="66">
        <v>5260247.6518999999</v>
      </c>
      <c r="I73" s="66">
        <v>6490823.0700000003</v>
      </c>
      <c r="J73" s="66">
        <f t="shared" si="10"/>
        <v>3245411.5350000001</v>
      </c>
      <c r="K73" s="66">
        <f t="shared" si="11"/>
        <v>3245411.5350000001</v>
      </c>
      <c r="L73" s="66">
        <v>195721379.32910001</v>
      </c>
      <c r="M73" s="71">
        <f t="shared" si="15"/>
        <v>420587807.4465</v>
      </c>
      <c r="N73" s="70"/>
      <c r="O73" s="182"/>
      <c r="P73" s="72">
        <v>12</v>
      </c>
      <c r="Q73" s="182"/>
      <c r="R73" s="66" t="s">
        <v>262</v>
      </c>
      <c r="S73" s="66">
        <v>88390003.236599997</v>
      </c>
      <c r="T73" s="66">
        <v>0</v>
      </c>
      <c r="U73" s="66">
        <v>159006687.44319999</v>
      </c>
      <c r="V73" s="66">
        <v>5907850.3150000004</v>
      </c>
      <c r="W73" s="66">
        <v>7421900.7199999997</v>
      </c>
      <c r="X73" s="66">
        <f t="shared" si="13"/>
        <v>3710950.36</v>
      </c>
      <c r="Y73" s="66">
        <f t="shared" si="14"/>
        <v>3710950.36</v>
      </c>
      <c r="Z73" s="66">
        <v>219109983.07910001</v>
      </c>
      <c r="AA73" s="71">
        <f t="shared" si="8"/>
        <v>476125474.4339</v>
      </c>
    </row>
    <row r="74" spans="1:27" ht="24.9" customHeight="1">
      <c r="A74" s="180"/>
      <c r="B74" s="182"/>
      <c r="C74" s="62">
        <v>28</v>
      </c>
      <c r="D74" s="66" t="s">
        <v>263</v>
      </c>
      <c r="E74" s="66">
        <v>63022402.7773</v>
      </c>
      <c r="F74" s="66">
        <v>0</v>
      </c>
      <c r="G74" s="66">
        <v>113372362.6266</v>
      </c>
      <c r="H74" s="66">
        <v>4545429.8658999996</v>
      </c>
      <c r="I74" s="66">
        <v>5291842.96</v>
      </c>
      <c r="J74" s="66">
        <f t="shared" si="10"/>
        <v>2645921.48</v>
      </c>
      <c r="K74" s="66">
        <f t="shared" si="11"/>
        <v>2645921.48</v>
      </c>
      <c r="L74" s="66">
        <v>167895992.43239999</v>
      </c>
      <c r="M74" s="71">
        <f t="shared" si="15"/>
        <v>351482109.18220001</v>
      </c>
      <c r="N74" s="70"/>
      <c r="O74" s="182"/>
      <c r="P74" s="72">
        <v>13</v>
      </c>
      <c r="Q74" s="182"/>
      <c r="R74" s="66" t="s">
        <v>264</v>
      </c>
      <c r="S74" s="66">
        <v>73559789.884299994</v>
      </c>
      <c r="T74" s="66">
        <v>0</v>
      </c>
      <c r="U74" s="66">
        <v>132328296.0786</v>
      </c>
      <c r="V74" s="66">
        <v>4689447.8459000001</v>
      </c>
      <c r="W74" s="66">
        <v>6176642.5800000001</v>
      </c>
      <c r="X74" s="66">
        <f t="shared" si="13"/>
        <v>3088321.29</v>
      </c>
      <c r="Y74" s="66">
        <f t="shared" si="14"/>
        <v>3088321.29</v>
      </c>
      <c r="Z74" s="66">
        <v>171681784.2207</v>
      </c>
      <c r="AA74" s="71">
        <f t="shared" si="8"/>
        <v>385347639.31950003</v>
      </c>
    </row>
    <row r="75" spans="1:27" ht="24.9" customHeight="1">
      <c r="A75" s="180"/>
      <c r="B75" s="182"/>
      <c r="C75" s="62">
        <v>29</v>
      </c>
      <c r="D75" s="66" t="s">
        <v>265</v>
      </c>
      <c r="E75" s="66">
        <v>82191330.651999995</v>
      </c>
      <c r="F75" s="66">
        <v>0</v>
      </c>
      <c r="G75" s="66">
        <v>147855761.33770001</v>
      </c>
      <c r="H75" s="66">
        <v>5161679.7285000002</v>
      </c>
      <c r="I75" s="66">
        <v>6901412.7599999998</v>
      </c>
      <c r="J75" s="66">
        <f t="shared" si="10"/>
        <v>3450706.38</v>
      </c>
      <c r="K75" s="66">
        <f t="shared" si="11"/>
        <v>3450706.38</v>
      </c>
      <c r="L75" s="66">
        <v>191884470.59779999</v>
      </c>
      <c r="M75" s="71">
        <f t="shared" si="15"/>
        <v>430543948.69599998</v>
      </c>
      <c r="N75" s="70"/>
      <c r="O75" s="182"/>
      <c r="P75" s="72">
        <v>14</v>
      </c>
      <c r="Q75" s="182"/>
      <c r="R75" s="66" t="s">
        <v>266</v>
      </c>
      <c r="S75" s="66">
        <v>84414666.248199999</v>
      </c>
      <c r="T75" s="66">
        <v>0</v>
      </c>
      <c r="U75" s="66">
        <v>151855367.8044</v>
      </c>
      <c r="V75" s="66">
        <v>5470519.3487999998</v>
      </c>
      <c r="W75" s="66">
        <v>7088101.0199999996</v>
      </c>
      <c r="X75" s="66">
        <f t="shared" si="13"/>
        <v>3544050.51</v>
      </c>
      <c r="Y75" s="66">
        <f t="shared" si="14"/>
        <v>3544050.51</v>
      </c>
      <c r="Z75" s="66">
        <v>202086199.42969999</v>
      </c>
      <c r="AA75" s="71">
        <f t="shared" si="8"/>
        <v>447370803.34109998</v>
      </c>
    </row>
    <row r="76" spans="1:27" ht="24.9" customHeight="1">
      <c r="A76" s="180"/>
      <c r="B76" s="182"/>
      <c r="C76" s="62">
        <v>30</v>
      </c>
      <c r="D76" s="66" t="s">
        <v>267</v>
      </c>
      <c r="E76" s="66">
        <v>68009279.922000006</v>
      </c>
      <c r="F76" s="66">
        <v>0</v>
      </c>
      <c r="G76" s="66">
        <v>122343363.7271</v>
      </c>
      <c r="H76" s="66">
        <v>4629607.0756999999</v>
      </c>
      <c r="I76" s="66">
        <v>5710579.3099999996</v>
      </c>
      <c r="J76" s="66">
        <f t="shared" si="10"/>
        <v>2855289.6549999998</v>
      </c>
      <c r="K76" s="66">
        <f t="shared" si="11"/>
        <v>2855289.6549999998</v>
      </c>
      <c r="L76" s="66">
        <v>171172720.3973</v>
      </c>
      <c r="M76" s="71">
        <f t="shared" si="15"/>
        <v>369010260.77710003</v>
      </c>
      <c r="N76" s="70"/>
      <c r="O76" s="182"/>
      <c r="P76" s="72">
        <v>15</v>
      </c>
      <c r="Q76" s="182"/>
      <c r="R76" s="66" t="s">
        <v>268</v>
      </c>
      <c r="S76" s="66">
        <v>97659775.806600004</v>
      </c>
      <c r="T76" s="66">
        <v>0</v>
      </c>
      <c r="U76" s="66">
        <v>175682281.68020001</v>
      </c>
      <c r="V76" s="66">
        <v>5708457.1013000002</v>
      </c>
      <c r="W76" s="66">
        <v>8200261.7199999997</v>
      </c>
      <c r="X76" s="66">
        <f t="shared" si="13"/>
        <v>4100130.86</v>
      </c>
      <c r="Y76" s="66">
        <f t="shared" si="14"/>
        <v>4100130.86</v>
      </c>
      <c r="Z76" s="66">
        <v>211348294.1239</v>
      </c>
      <c r="AA76" s="71">
        <f t="shared" si="8"/>
        <v>494498939.57200003</v>
      </c>
    </row>
    <row r="77" spans="1:27" ht="24.9" customHeight="1">
      <c r="A77" s="180"/>
      <c r="B77" s="183"/>
      <c r="C77" s="62">
        <v>31</v>
      </c>
      <c r="D77" s="66" t="s">
        <v>269</v>
      </c>
      <c r="E77" s="66">
        <v>102799342.98280001</v>
      </c>
      <c r="F77" s="66">
        <v>0</v>
      </c>
      <c r="G77" s="66">
        <v>184927960.17719999</v>
      </c>
      <c r="H77" s="66">
        <v>7320546.3735999996</v>
      </c>
      <c r="I77" s="66">
        <v>8631819.0999999996</v>
      </c>
      <c r="J77" s="66">
        <f t="shared" si="10"/>
        <v>4315909.55</v>
      </c>
      <c r="K77" s="66">
        <f t="shared" si="11"/>
        <v>4315909.55</v>
      </c>
      <c r="L77" s="66">
        <v>275921690.76899999</v>
      </c>
      <c r="M77" s="71">
        <f t="shared" si="15"/>
        <v>575285449.85259998</v>
      </c>
      <c r="N77" s="70"/>
      <c r="O77" s="182"/>
      <c r="P77" s="72">
        <v>16</v>
      </c>
      <c r="Q77" s="182"/>
      <c r="R77" s="66" t="s">
        <v>270</v>
      </c>
      <c r="S77" s="66">
        <v>78244405.925899997</v>
      </c>
      <c r="T77" s="66">
        <v>0</v>
      </c>
      <c r="U77" s="66">
        <v>140755553.13510001</v>
      </c>
      <c r="V77" s="66">
        <v>5133731.5020000003</v>
      </c>
      <c r="W77" s="66">
        <v>6569998.7699999996</v>
      </c>
      <c r="X77" s="66">
        <f t="shared" si="13"/>
        <v>3284999.3849999998</v>
      </c>
      <c r="Y77" s="66">
        <f t="shared" si="14"/>
        <v>3284999.3849999998</v>
      </c>
      <c r="Z77" s="66">
        <v>188976212.06779999</v>
      </c>
      <c r="AA77" s="71">
        <f t="shared" si="8"/>
        <v>416394902.0158</v>
      </c>
    </row>
    <row r="78" spans="1:27" ht="24.9" customHeight="1">
      <c r="A78" s="62"/>
      <c r="B78" s="173" t="s">
        <v>271</v>
      </c>
      <c r="C78" s="174"/>
      <c r="D78" s="67"/>
      <c r="E78" s="67">
        <f t="shared" ref="E78:M78" si="16">SUM(E47:E77)</f>
        <v>2325965007.1827998</v>
      </c>
      <c r="F78" s="67">
        <f t="shared" si="16"/>
        <v>0</v>
      </c>
      <c r="G78" s="67">
        <f t="shared" si="16"/>
        <v>4184228728.8456001</v>
      </c>
      <c r="H78" s="67">
        <f t="shared" si="16"/>
        <v>162866602.2559</v>
      </c>
      <c r="I78" s="67">
        <f t="shared" si="16"/>
        <v>195305812.05000001</v>
      </c>
      <c r="J78" s="67">
        <f t="shared" si="16"/>
        <v>97652906.025000006</v>
      </c>
      <c r="K78" s="67">
        <f t="shared" si="16"/>
        <v>97652906.025000006</v>
      </c>
      <c r="L78" s="67">
        <f t="shared" si="16"/>
        <v>6059535605.9839001</v>
      </c>
      <c r="M78" s="67">
        <f t="shared" si="16"/>
        <v>12830248850.2932</v>
      </c>
      <c r="N78" s="70"/>
      <c r="O78" s="182"/>
      <c r="P78" s="72">
        <v>17</v>
      </c>
      <c r="Q78" s="182"/>
      <c r="R78" s="66" t="s">
        <v>272</v>
      </c>
      <c r="S78" s="66">
        <v>77107422.038599998</v>
      </c>
      <c r="T78" s="66">
        <v>0</v>
      </c>
      <c r="U78" s="66">
        <v>138710208.2376</v>
      </c>
      <c r="V78" s="66">
        <v>4740622.3523000004</v>
      </c>
      <c r="W78" s="66">
        <v>6474528.9100000001</v>
      </c>
      <c r="X78" s="66">
        <f t="shared" si="13"/>
        <v>3237264.4550000001</v>
      </c>
      <c r="Y78" s="66">
        <f t="shared" si="14"/>
        <v>3237264.4550000001</v>
      </c>
      <c r="Z78" s="66">
        <v>173673830.96149999</v>
      </c>
      <c r="AA78" s="71">
        <f t="shared" si="8"/>
        <v>397469348.04500002</v>
      </c>
    </row>
    <row r="79" spans="1:27" ht="24.9" customHeight="1">
      <c r="A79" s="180">
        <v>4</v>
      </c>
      <c r="B79" s="181" t="s">
        <v>273</v>
      </c>
      <c r="C79" s="62">
        <v>1</v>
      </c>
      <c r="D79" s="66" t="s">
        <v>274</v>
      </c>
      <c r="E79" s="66">
        <v>115626410.06219999</v>
      </c>
      <c r="F79" s="66">
        <v>0</v>
      </c>
      <c r="G79" s="66">
        <v>208002848.40880001</v>
      </c>
      <c r="H79" s="66">
        <v>9892957.6249000002</v>
      </c>
      <c r="I79" s="66">
        <v>9708877.75</v>
      </c>
      <c r="J79" s="66">
        <v>0</v>
      </c>
      <c r="K79" s="66">
        <f t="shared" ref="K79:K99" si="17">I79-J79</f>
        <v>9708877.75</v>
      </c>
      <c r="L79" s="66">
        <v>318618420.44480002</v>
      </c>
      <c r="M79" s="71">
        <f t="shared" si="15"/>
        <v>661849514.29069996</v>
      </c>
      <c r="N79" s="70"/>
      <c r="O79" s="182"/>
      <c r="P79" s="72">
        <v>18</v>
      </c>
      <c r="Q79" s="182"/>
      <c r="R79" s="66" t="s">
        <v>275</v>
      </c>
      <c r="S79" s="66">
        <v>80018173.037599996</v>
      </c>
      <c r="T79" s="66">
        <v>0</v>
      </c>
      <c r="U79" s="66">
        <v>143946421.12799999</v>
      </c>
      <c r="V79" s="66">
        <v>5160594.1675000004</v>
      </c>
      <c r="W79" s="66">
        <v>6718937.8200000003</v>
      </c>
      <c r="X79" s="66">
        <f t="shared" si="13"/>
        <v>3359468.91</v>
      </c>
      <c r="Y79" s="66">
        <f t="shared" si="14"/>
        <v>3359468.91</v>
      </c>
      <c r="Z79" s="66">
        <v>190021882.83160001</v>
      </c>
      <c r="AA79" s="71">
        <f t="shared" si="8"/>
        <v>422506540.0747</v>
      </c>
    </row>
    <row r="80" spans="1:27" ht="24.9" customHeight="1">
      <c r="A80" s="180"/>
      <c r="B80" s="182"/>
      <c r="C80" s="62">
        <v>2</v>
      </c>
      <c r="D80" s="66" t="s">
        <v>276</v>
      </c>
      <c r="E80" s="66">
        <v>76042508.042799994</v>
      </c>
      <c r="F80" s="66">
        <v>0</v>
      </c>
      <c r="G80" s="66">
        <v>136794511.43149999</v>
      </c>
      <c r="H80" s="66">
        <v>7445509.2019999996</v>
      </c>
      <c r="I80" s="66">
        <v>6385110.5800000001</v>
      </c>
      <c r="J80" s="66">
        <v>0</v>
      </c>
      <c r="K80" s="66">
        <f t="shared" si="17"/>
        <v>6385110.5800000001</v>
      </c>
      <c r="L80" s="66">
        <v>223347708.63940001</v>
      </c>
      <c r="M80" s="71">
        <f t="shared" si="15"/>
        <v>450015347.89569998</v>
      </c>
      <c r="N80" s="70"/>
      <c r="O80" s="182"/>
      <c r="P80" s="72">
        <v>19</v>
      </c>
      <c r="Q80" s="182"/>
      <c r="R80" s="66" t="s">
        <v>277</v>
      </c>
      <c r="S80" s="66">
        <v>96811284.6347</v>
      </c>
      <c r="T80" s="66">
        <v>0</v>
      </c>
      <c r="U80" s="66">
        <v>174155912.5792</v>
      </c>
      <c r="V80" s="66">
        <v>5421139.449</v>
      </c>
      <c r="W80" s="66">
        <v>8129015.9199999999</v>
      </c>
      <c r="X80" s="66">
        <f t="shared" si="13"/>
        <v>4064507.96</v>
      </c>
      <c r="Y80" s="66">
        <f t="shared" si="14"/>
        <v>4064507.96</v>
      </c>
      <c r="Z80" s="66">
        <v>200164010.5257</v>
      </c>
      <c r="AA80" s="71">
        <f t="shared" si="8"/>
        <v>480616855.14859998</v>
      </c>
    </row>
    <row r="81" spans="1:27" ht="24.9" customHeight="1">
      <c r="A81" s="180"/>
      <c r="B81" s="182"/>
      <c r="C81" s="62">
        <v>3</v>
      </c>
      <c r="D81" s="66" t="s">
        <v>278</v>
      </c>
      <c r="E81" s="66">
        <v>78226236.556899995</v>
      </c>
      <c r="F81" s="66">
        <v>0</v>
      </c>
      <c r="G81" s="66">
        <v>140722867.8664</v>
      </c>
      <c r="H81" s="66">
        <v>7604484.2621999998</v>
      </c>
      <c r="I81" s="66">
        <v>6568473.1399999997</v>
      </c>
      <c r="J81" s="66">
        <v>0</v>
      </c>
      <c r="K81" s="66">
        <f t="shared" si="17"/>
        <v>6568473.1399999997</v>
      </c>
      <c r="L81" s="66">
        <v>229536058.5169</v>
      </c>
      <c r="M81" s="71">
        <f t="shared" si="15"/>
        <v>462658120.34240001</v>
      </c>
      <c r="N81" s="70"/>
      <c r="O81" s="182"/>
      <c r="P81" s="72">
        <v>20</v>
      </c>
      <c r="Q81" s="182"/>
      <c r="R81" s="66" t="s">
        <v>279</v>
      </c>
      <c r="S81" s="66">
        <v>74392779.273599997</v>
      </c>
      <c r="T81" s="66">
        <v>0</v>
      </c>
      <c r="U81" s="66">
        <v>133826778.6939</v>
      </c>
      <c r="V81" s="66">
        <v>4851684.8011999996</v>
      </c>
      <c r="W81" s="66">
        <v>6246586.7400000002</v>
      </c>
      <c r="X81" s="66">
        <f t="shared" si="13"/>
        <v>3123293.37</v>
      </c>
      <c r="Y81" s="66">
        <f t="shared" si="14"/>
        <v>3123293.37</v>
      </c>
      <c r="Z81" s="66">
        <v>177997108.40509999</v>
      </c>
      <c r="AA81" s="71">
        <f t="shared" si="8"/>
        <v>394191644.5438</v>
      </c>
    </row>
    <row r="82" spans="1:27" ht="24.9" customHeight="1">
      <c r="A82" s="180"/>
      <c r="B82" s="182"/>
      <c r="C82" s="62">
        <v>4</v>
      </c>
      <c r="D82" s="66" t="s">
        <v>280</v>
      </c>
      <c r="E82" s="66">
        <v>94551667.782399997</v>
      </c>
      <c r="F82" s="66">
        <v>0</v>
      </c>
      <c r="G82" s="66">
        <v>170091038.9725</v>
      </c>
      <c r="H82" s="66">
        <v>8931657.9528000001</v>
      </c>
      <c r="I82" s="66">
        <v>7939281.2000000002</v>
      </c>
      <c r="J82" s="66">
        <v>0</v>
      </c>
      <c r="K82" s="66">
        <f t="shared" si="17"/>
        <v>7939281.2000000002</v>
      </c>
      <c r="L82" s="66">
        <v>281198345.25389999</v>
      </c>
      <c r="M82" s="71">
        <f t="shared" si="15"/>
        <v>562711991.16159999</v>
      </c>
      <c r="N82" s="70"/>
      <c r="O82" s="183"/>
      <c r="P82" s="72">
        <v>21</v>
      </c>
      <c r="Q82" s="183"/>
      <c r="R82" s="66" t="s">
        <v>281</v>
      </c>
      <c r="S82" s="66">
        <v>88858296.555399999</v>
      </c>
      <c r="T82" s="66">
        <v>0</v>
      </c>
      <c r="U82" s="66">
        <v>159849110.41780001</v>
      </c>
      <c r="V82" s="66">
        <v>5594019.8890000004</v>
      </c>
      <c r="W82" s="66">
        <v>7461222.21</v>
      </c>
      <c r="X82" s="66">
        <f t="shared" si="13"/>
        <v>3730611.105</v>
      </c>
      <c r="Y82" s="66">
        <f t="shared" si="14"/>
        <v>3730611.105</v>
      </c>
      <c r="Z82" s="66">
        <v>206893648.7985</v>
      </c>
      <c r="AA82" s="71">
        <f t="shared" si="8"/>
        <v>464925686.76569998</v>
      </c>
    </row>
    <row r="83" spans="1:27" ht="24.9" customHeight="1">
      <c r="A83" s="180"/>
      <c r="B83" s="182"/>
      <c r="C83" s="62">
        <v>5</v>
      </c>
      <c r="D83" s="66" t="s">
        <v>282</v>
      </c>
      <c r="E83" s="66">
        <v>71808915.565699995</v>
      </c>
      <c r="F83" s="66">
        <v>0</v>
      </c>
      <c r="G83" s="66">
        <v>129178610.4197</v>
      </c>
      <c r="H83" s="66">
        <v>6985875.4512999998</v>
      </c>
      <c r="I83" s="66">
        <v>6029625.7800000003</v>
      </c>
      <c r="J83" s="66">
        <v>0</v>
      </c>
      <c r="K83" s="66">
        <f t="shared" si="17"/>
        <v>6029625.7800000003</v>
      </c>
      <c r="L83" s="66">
        <v>205455754.64160001</v>
      </c>
      <c r="M83" s="71">
        <f t="shared" si="15"/>
        <v>419458781.85829997</v>
      </c>
      <c r="N83" s="70"/>
      <c r="O83" s="62"/>
      <c r="P83" s="174" t="s">
        <v>283</v>
      </c>
      <c r="Q83" s="177"/>
      <c r="R83" s="67"/>
      <c r="S83" s="67">
        <f t="shared" ref="S83:AA83" si="18">SUM(S62:S82)</f>
        <v>1831550397.3847001</v>
      </c>
      <c r="T83" s="66">
        <v>0</v>
      </c>
      <c r="U83" s="67">
        <f t="shared" si="18"/>
        <v>3294815600.1989999</v>
      </c>
      <c r="V83" s="67">
        <f t="shared" si="18"/>
        <v>114789742.5643</v>
      </c>
      <c r="W83" s="67">
        <f t="shared" si="18"/>
        <v>153790979.91999999</v>
      </c>
      <c r="X83" s="67">
        <f t="shared" si="18"/>
        <v>76895489.959999993</v>
      </c>
      <c r="Y83" s="67">
        <f t="shared" si="18"/>
        <v>76895489.959999993</v>
      </c>
      <c r="Z83" s="67">
        <f t="shared" si="18"/>
        <v>4240261497.7894001</v>
      </c>
      <c r="AA83" s="67">
        <f t="shared" si="18"/>
        <v>9558312727.8973999</v>
      </c>
    </row>
    <row r="84" spans="1:27" ht="24.9" customHeight="1">
      <c r="A84" s="180"/>
      <c r="B84" s="182"/>
      <c r="C84" s="62">
        <v>6</v>
      </c>
      <c r="D84" s="66" t="s">
        <v>284</v>
      </c>
      <c r="E84" s="66">
        <v>82668074.359200001</v>
      </c>
      <c r="F84" s="66">
        <v>0</v>
      </c>
      <c r="G84" s="66">
        <v>148713385.89559999</v>
      </c>
      <c r="H84" s="66">
        <v>7848652.3472999996</v>
      </c>
      <c r="I84" s="66">
        <v>6941443.8099999996</v>
      </c>
      <c r="J84" s="66">
        <v>0</v>
      </c>
      <c r="K84" s="66">
        <f t="shared" si="17"/>
        <v>6941443.8099999996</v>
      </c>
      <c r="L84" s="66">
        <v>239040678.53099999</v>
      </c>
      <c r="M84" s="71">
        <f t="shared" si="15"/>
        <v>485212234.94309998</v>
      </c>
      <c r="N84" s="70"/>
      <c r="O84" s="181">
        <v>22</v>
      </c>
      <c r="P84" s="76">
        <v>1</v>
      </c>
      <c r="Q84" s="180" t="s">
        <v>107</v>
      </c>
      <c r="R84" s="77" t="s">
        <v>285</v>
      </c>
      <c r="S84" s="66">
        <v>94913416.780100003</v>
      </c>
      <c r="T84" s="78">
        <v>0</v>
      </c>
      <c r="U84" s="78">
        <v>170741797.06420001</v>
      </c>
      <c r="V84" s="66">
        <v>6200589.3689999999</v>
      </c>
      <c r="W84" s="66">
        <v>7969656.4100000001</v>
      </c>
      <c r="X84" s="66">
        <f t="shared" ref="X84:X104" si="19">W84/2</f>
        <v>3984828.2050000001</v>
      </c>
      <c r="Y84" s="66">
        <f t="shared" ref="Y84:Y104" si="20">W84-X84</f>
        <v>3984828.2050000001</v>
      </c>
      <c r="Z84" s="66">
        <v>226437520.54210001</v>
      </c>
      <c r="AA84" s="71">
        <f t="shared" si="8"/>
        <v>502278151.96039999</v>
      </c>
    </row>
    <row r="85" spans="1:27" ht="24.9" customHeight="1">
      <c r="A85" s="180"/>
      <c r="B85" s="182"/>
      <c r="C85" s="62">
        <v>7</v>
      </c>
      <c r="D85" s="66" t="s">
        <v>286</v>
      </c>
      <c r="E85" s="66">
        <v>76614656.037100002</v>
      </c>
      <c r="F85" s="66">
        <v>0</v>
      </c>
      <c r="G85" s="66">
        <v>137823760.82609999</v>
      </c>
      <c r="H85" s="66">
        <v>7502835.0330999997</v>
      </c>
      <c r="I85" s="66">
        <v>6433152.5</v>
      </c>
      <c r="J85" s="66">
        <v>0</v>
      </c>
      <c r="K85" s="66">
        <f t="shared" si="17"/>
        <v>6433152.5</v>
      </c>
      <c r="L85" s="66">
        <v>225579205.19800001</v>
      </c>
      <c r="M85" s="71">
        <f t="shared" si="15"/>
        <v>453953609.59429997</v>
      </c>
      <c r="N85" s="70"/>
      <c r="O85" s="182"/>
      <c r="P85" s="76">
        <v>2</v>
      </c>
      <c r="Q85" s="180"/>
      <c r="R85" s="77" t="s">
        <v>287</v>
      </c>
      <c r="S85" s="66">
        <v>83924879.104100004</v>
      </c>
      <c r="T85" s="78">
        <v>0</v>
      </c>
      <c r="U85" s="78">
        <v>150974279.11390001</v>
      </c>
      <c r="V85" s="66">
        <v>5299076.0580000002</v>
      </c>
      <c r="W85" s="66">
        <v>7046974.7400000002</v>
      </c>
      <c r="X85" s="66">
        <f t="shared" si="19"/>
        <v>3523487.37</v>
      </c>
      <c r="Y85" s="66">
        <f t="shared" si="20"/>
        <v>3523487.37</v>
      </c>
      <c r="Z85" s="66">
        <v>191344721.83700001</v>
      </c>
      <c r="AA85" s="71">
        <f t="shared" si="8"/>
        <v>435066443.48299998</v>
      </c>
    </row>
    <row r="86" spans="1:27" ht="24.9" customHeight="1">
      <c r="A86" s="180"/>
      <c r="B86" s="182"/>
      <c r="C86" s="62">
        <v>8</v>
      </c>
      <c r="D86" s="66" t="s">
        <v>288</v>
      </c>
      <c r="E86" s="66">
        <v>68503022.146300003</v>
      </c>
      <c r="F86" s="66">
        <v>0</v>
      </c>
      <c r="G86" s="66">
        <v>123231567.27519999</v>
      </c>
      <c r="H86" s="66">
        <v>6802735.2790000001</v>
      </c>
      <c r="I86" s="66">
        <v>5752037.6799999997</v>
      </c>
      <c r="J86" s="66">
        <v>0</v>
      </c>
      <c r="K86" s="66">
        <f t="shared" si="17"/>
        <v>5752037.6799999997</v>
      </c>
      <c r="L86" s="66">
        <v>198326740.43419999</v>
      </c>
      <c r="M86" s="71">
        <f t="shared" si="15"/>
        <v>402616102.81470001</v>
      </c>
      <c r="N86" s="70"/>
      <c r="O86" s="182"/>
      <c r="P86" s="76">
        <v>3</v>
      </c>
      <c r="Q86" s="180"/>
      <c r="R86" s="77" t="s">
        <v>289</v>
      </c>
      <c r="S86" s="66">
        <v>105917264.5829</v>
      </c>
      <c r="T86" s="78">
        <v>0</v>
      </c>
      <c r="U86" s="78">
        <v>190536856.7432</v>
      </c>
      <c r="V86" s="66">
        <v>6936028.2011000002</v>
      </c>
      <c r="W86" s="66">
        <v>8893623.6400000006</v>
      </c>
      <c r="X86" s="66">
        <f t="shared" si="19"/>
        <v>4446811.82</v>
      </c>
      <c r="Y86" s="66">
        <f t="shared" si="20"/>
        <v>4446811.82</v>
      </c>
      <c r="Z86" s="66">
        <v>255065613.52509999</v>
      </c>
      <c r="AA86" s="71">
        <f t="shared" si="8"/>
        <v>562902574.87230003</v>
      </c>
    </row>
    <row r="87" spans="1:27" ht="24.9" customHeight="1">
      <c r="A87" s="180"/>
      <c r="B87" s="182"/>
      <c r="C87" s="62">
        <v>9</v>
      </c>
      <c r="D87" s="66" t="s">
        <v>290</v>
      </c>
      <c r="E87" s="66">
        <v>76085447.199900001</v>
      </c>
      <c r="F87" s="66">
        <v>0</v>
      </c>
      <c r="G87" s="66">
        <v>136871755.61849999</v>
      </c>
      <c r="H87" s="66">
        <v>7500814.6897</v>
      </c>
      <c r="I87" s="66">
        <v>6388716.0899999999</v>
      </c>
      <c r="J87" s="66">
        <v>0</v>
      </c>
      <c r="K87" s="66">
        <f t="shared" si="17"/>
        <v>6388716.0899999999</v>
      </c>
      <c r="L87" s="66">
        <v>225500560.21200001</v>
      </c>
      <c r="M87" s="71">
        <f t="shared" si="15"/>
        <v>452347293.81010002</v>
      </c>
      <c r="N87" s="70"/>
      <c r="O87" s="182"/>
      <c r="P87" s="76">
        <v>4</v>
      </c>
      <c r="Q87" s="180"/>
      <c r="R87" s="77" t="s">
        <v>291</v>
      </c>
      <c r="S87" s="66">
        <v>83864205.323599994</v>
      </c>
      <c r="T87" s="78">
        <v>0</v>
      </c>
      <c r="U87" s="78">
        <v>150865131.74450001</v>
      </c>
      <c r="V87" s="66">
        <v>5498536.9926000005</v>
      </c>
      <c r="W87" s="66">
        <v>7041880.1100000003</v>
      </c>
      <c r="X87" s="66">
        <f t="shared" si="19"/>
        <v>3520940.0550000002</v>
      </c>
      <c r="Y87" s="66">
        <f t="shared" si="20"/>
        <v>3520940.0550000002</v>
      </c>
      <c r="Z87" s="66">
        <v>199109046.93700001</v>
      </c>
      <c r="AA87" s="71">
        <f t="shared" si="8"/>
        <v>442857861.05269998</v>
      </c>
    </row>
    <row r="88" spans="1:27" ht="24.9" customHeight="1">
      <c r="A88" s="180"/>
      <c r="B88" s="182"/>
      <c r="C88" s="62">
        <v>10</v>
      </c>
      <c r="D88" s="66" t="s">
        <v>292</v>
      </c>
      <c r="E88" s="66">
        <v>120369920.23540001</v>
      </c>
      <c r="F88" s="66">
        <v>0</v>
      </c>
      <c r="G88" s="66">
        <v>216536051.4023</v>
      </c>
      <c r="H88" s="66">
        <v>10577063.934800001</v>
      </c>
      <c r="I88" s="66">
        <v>10107179.15</v>
      </c>
      <c r="J88" s="66">
        <v>0</v>
      </c>
      <c r="K88" s="66">
        <f t="shared" si="17"/>
        <v>10107179.15</v>
      </c>
      <c r="L88" s="66">
        <v>345248315.6825</v>
      </c>
      <c r="M88" s="71">
        <f t="shared" si="15"/>
        <v>702838530.40499997</v>
      </c>
      <c r="N88" s="70"/>
      <c r="O88" s="182"/>
      <c r="P88" s="76">
        <v>5</v>
      </c>
      <c r="Q88" s="180"/>
      <c r="R88" s="77" t="s">
        <v>293</v>
      </c>
      <c r="S88" s="66">
        <v>114668417.59460001</v>
      </c>
      <c r="T88" s="78">
        <v>0</v>
      </c>
      <c r="U88" s="78">
        <v>206279495.0582</v>
      </c>
      <c r="V88" s="66">
        <v>6856557.6013000002</v>
      </c>
      <c r="W88" s="66">
        <v>9628437.3800000008</v>
      </c>
      <c r="X88" s="66">
        <f t="shared" si="19"/>
        <v>4814218.6900000004</v>
      </c>
      <c r="Y88" s="66">
        <f t="shared" si="20"/>
        <v>4814218.6900000004</v>
      </c>
      <c r="Z88" s="66">
        <v>251972097.62259999</v>
      </c>
      <c r="AA88" s="71">
        <f t="shared" si="8"/>
        <v>584590786.56669998</v>
      </c>
    </row>
    <row r="89" spans="1:27" ht="24.9" customHeight="1">
      <c r="A89" s="180"/>
      <c r="B89" s="182"/>
      <c r="C89" s="62">
        <v>11</v>
      </c>
      <c r="D89" s="66" t="s">
        <v>294</v>
      </c>
      <c r="E89" s="66">
        <v>83657239.926200002</v>
      </c>
      <c r="F89" s="66">
        <v>-1E-4</v>
      </c>
      <c r="G89" s="66">
        <v>150492817.2207</v>
      </c>
      <c r="H89" s="66">
        <v>8058971.2164000003</v>
      </c>
      <c r="I89" s="66">
        <v>7024501.7199999997</v>
      </c>
      <c r="J89" s="66">
        <v>0</v>
      </c>
      <c r="K89" s="66">
        <f t="shared" si="17"/>
        <v>7024501.7199999997</v>
      </c>
      <c r="L89" s="66">
        <v>247227665.5113</v>
      </c>
      <c r="M89" s="71">
        <f t="shared" si="15"/>
        <v>496461195.59450001</v>
      </c>
      <c r="N89" s="70"/>
      <c r="O89" s="182"/>
      <c r="P89" s="76">
        <v>6</v>
      </c>
      <c r="Q89" s="180"/>
      <c r="R89" s="77" t="s">
        <v>295</v>
      </c>
      <c r="S89" s="66">
        <v>89155533.889400005</v>
      </c>
      <c r="T89" s="78">
        <v>0</v>
      </c>
      <c r="U89" s="78">
        <v>160383817.0828</v>
      </c>
      <c r="V89" s="66">
        <v>5364629.9912</v>
      </c>
      <c r="W89" s="66">
        <v>7486180.5300000003</v>
      </c>
      <c r="X89" s="66">
        <f t="shared" si="19"/>
        <v>3743090.2650000001</v>
      </c>
      <c r="Y89" s="66">
        <f t="shared" si="20"/>
        <v>3743090.2650000001</v>
      </c>
      <c r="Z89" s="66">
        <v>193896509.98660001</v>
      </c>
      <c r="AA89" s="71">
        <f t="shared" si="8"/>
        <v>452543581.21499997</v>
      </c>
    </row>
    <row r="90" spans="1:27" ht="24.9" customHeight="1">
      <c r="A90" s="180"/>
      <c r="B90" s="182"/>
      <c r="C90" s="62">
        <v>12</v>
      </c>
      <c r="D90" s="66" t="s">
        <v>296</v>
      </c>
      <c r="E90" s="66">
        <v>102279375.0993</v>
      </c>
      <c r="F90" s="66">
        <v>0</v>
      </c>
      <c r="G90" s="66">
        <v>183992578.706</v>
      </c>
      <c r="H90" s="66">
        <v>9125294.8809999991</v>
      </c>
      <c r="I90" s="66">
        <v>8588158.6099999994</v>
      </c>
      <c r="J90" s="66">
        <v>0</v>
      </c>
      <c r="K90" s="66">
        <f t="shared" si="17"/>
        <v>8588158.6099999994</v>
      </c>
      <c r="L90" s="66">
        <v>288735961.90270001</v>
      </c>
      <c r="M90" s="71">
        <f t="shared" si="15"/>
        <v>592721369.199</v>
      </c>
      <c r="N90" s="70"/>
      <c r="O90" s="182"/>
      <c r="P90" s="76">
        <v>7</v>
      </c>
      <c r="Q90" s="180"/>
      <c r="R90" s="77" t="s">
        <v>297</v>
      </c>
      <c r="S90" s="66">
        <v>74809589.779100001</v>
      </c>
      <c r="T90" s="78">
        <v>0</v>
      </c>
      <c r="U90" s="78">
        <v>134576588.11289999</v>
      </c>
      <c r="V90" s="66">
        <v>4819317.8819000004</v>
      </c>
      <c r="W90" s="66">
        <v>6281585.3300000001</v>
      </c>
      <c r="X90" s="66">
        <f t="shared" si="19"/>
        <v>3140792.665</v>
      </c>
      <c r="Y90" s="66">
        <f t="shared" si="20"/>
        <v>3140792.665</v>
      </c>
      <c r="Z90" s="66">
        <v>172669393.48120001</v>
      </c>
      <c r="AA90" s="71">
        <f t="shared" si="8"/>
        <v>390015681.92009997</v>
      </c>
    </row>
    <row r="91" spans="1:27" ht="24.9" customHeight="1">
      <c r="A91" s="180"/>
      <c r="B91" s="182"/>
      <c r="C91" s="62">
        <v>13</v>
      </c>
      <c r="D91" s="66" t="s">
        <v>298</v>
      </c>
      <c r="E91" s="66">
        <v>75149234.564099997</v>
      </c>
      <c r="F91" s="66">
        <v>0</v>
      </c>
      <c r="G91" s="66">
        <v>135187582.46939999</v>
      </c>
      <c r="H91" s="66">
        <v>7390587.4665999999</v>
      </c>
      <c r="I91" s="66">
        <v>6310104.5099999998</v>
      </c>
      <c r="J91" s="66">
        <v>0</v>
      </c>
      <c r="K91" s="66">
        <f t="shared" si="17"/>
        <v>6310104.5099999998</v>
      </c>
      <c r="L91" s="66">
        <v>221209795.22060001</v>
      </c>
      <c r="M91" s="71">
        <f t="shared" si="15"/>
        <v>445247304.23070002</v>
      </c>
      <c r="N91" s="70"/>
      <c r="O91" s="182"/>
      <c r="P91" s="76">
        <v>8</v>
      </c>
      <c r="Q91" s="180"/>
      <c r="R91" s="77" t="s">
        <v>299</v>
      </c>
      <c r="S91" s="66">
        <v>87662000.453299999</v>
      </c>
      <c r="T91" s="78">
        <v>0</v>
      </c>
      <c r="U91" s="78">
        <v>157697067.48859999</v>
      </c>
      <c r="V91" s="66">
        <v>5589136.4111000001</v>
      </c>
      <c r="W91" s="66">
        <v>7360772.0300000003</v>
      </c>
      <c r="X91" s="66">
        <f t="shared" si="19"/>
        <v>3680386.0150000001</v>
      </c>
      <c r="Y91" s="66">
        <f t="shared" si="20"/>
        <v>3680386.0150000001</v>
      </c>
      <c r="Z91" s="66">
        <v>202635769.29890001</v>
      </c>
      <c r="AA91" s="71">
        <f t="shared" ref="AA91:AA154" si="21">S91+T91+U91+V91+Y91+Z91</f>
        <v>457264359.66689998</v>
      </c>
    </row>
    <row r="92" spans="1:27" ht="24.9" customHeight="1">
      <c r="A92" s="180"/>
      <c r="B92" s="182"/>
      <c r="C92" s="62">
        <v>14</v>
      </c>
      <c r="D92" s="66" t="s">
        <v>300</v>
      </c>
      <c r="E92" s="66">
        <v>74510913.239999995</v>
      </c>
      <c r="F92" s="66">
        <v>0</v>
      </c>
      <c r="G92" s="66">
        <v>134039292.4413</v>
      </c>
      <c r="H92" s="66">
        <v>7493342.8054999998</v>
      </c>
      <c r="I92" s="66">
        <v>6256506.1699999999</v>
      </c>
      <c r="J92" s="66">
        <v>0</v>
      </c>
      <c r="K92" s="66">
        <f t="shared" si="17"/>
        <v>6256506.1699999999</v>
      </c>
      <c r="L92" s="66">
        <v>225209705.57100001</v>
      </c>
      <c r="M92" s="71">
        <f t="shared" si="15"/>
        <v>447509760.22780001</v>
      </c>
      <c r="N92" s="70"/>
      <c r="O92" s="182"/>
      <c r="P92" s="76">
        <v>9</v>
      </c>
      <c r="Q92" s="180"/>
      <c r="R92" s="77" t="s">
        <v>301</v>
      </c>
      <c r="S92" s="66">
        <v>85970464.223399997</v>
      </c>
      <c r="T92" s="78">
        <v>0</v>
      </c>
      <c r="U92" s="78">
        <v>154654126.41299999</v>
      </c>
      <c r="V92" s="66">
        <v>5272077.9505000003</v>
      </c>
      <c r="W92" s="66">
        <v>7218737.7199999997</v>
      </c>
      <c r="X92" s="66">
        <f t="shared" si="19"/>
        <v>3609368.86</v>
      </c>
      <c r="Y92" s="66">
        <f t="shared" si="20"/>
        <v>3609368.86</v>
      </c>
      <c r="Z92" s="66">
        <v>190293778.7836</v>
      </c>
      <c r="AA92" s="71">
        <f t="shared" si="21"/>
        <v>439799816.23049998</v>
      </c>
    </row>
    <row r="93" spans="1:27" ht="24.9" customHeight="1">
      <c r="A93" s="180"/>
      <c r="B93" s="182"/>
      <c r="C93" s="62">
        <v>15</v>
      </c>
      <c r="D93" s="66" t="s">
        <v>302</v>
      </c>
      <c r="E93" s="66">
        <v>89429411.628700003</v>
      </c>
      <c r="F93" s="66">
        <v>0</v>
      </c>
      <c r="G93" s="66">
        <v>160876501.66440001</v>
      </c>
      <c r="H93" s="66">
        <v>8352146.7357999999</v>
      </c>
      <c r="I93" s="66">
        <v>7509177.4000000004</v>
      </c>
      <c r="J93" s="66">
        <v>0</v>
      </c>
      <c r="K93" s="66">
        <f t="shared" si="17"/>
        <v>7509177.4000000004</v>
      </c>
      <c r="L93" s="66">
        <v>258639975.63319999</v>
      </c>
      <c r="M93" s="71">
        <f t="shared" si="15"/>
        <v>524807213.06209999</v>
      </c>
      <c r="N93" s="70"/>
      <c r="O93" s="182"/>
      <c r="P93" s="76">
        <v>10</v>
      </c>
      <c r="Q93" s="180"/>
      <c r="R93" s="77" t="s">
        <v>303</v>
      </c>
      <c r="S93" s="66">
        <v>90890285.443100005</v>
      </c>
      <c r="T93" s="78">
        <v>0</v>
      </c>
      <c r="U93" s="78">
        <v>163504499.1392</v>
      </c>
      <c r="V93" s="66">
        <v>5560084.0997000001</v>
      </c>
      <c r="W93" s="66">
        <v>7631843.5300000003</v>
      </c>
      <c r="X93" s="66">
        <f t="shared" si="19"/>
        <v>3815921.7650000001</v>
      </c>
      <c r="Y93" s="66">
        <f t="shared" si="20"/>
        <v>3815921.7650000001</v>
      </c>
      <c r="Z93" s="66">
        <v>201504863.18709999</v>
      </c>
      <c r="AA93" s="71">
        <f t="shared" si="21"/>
        <v>465275653.63410002</v>
      </c>
    </row>
    <row r="94" spans="1:27" ht="24.9" customHeight="1">
      <c r="A94" s="180"/>
      <c r="B94" s="182"/>
      <c r="C94" s="62">
        <v>16</v>
      </c>
      <c r="D94" s="66" t="s">
        <v>304</v>
      </c>
      <c r="E94" s="66">
        <v>85452333.430999994</v>
      </c>
      <c r="F94" s="66">
        <v>0</v>
      </c>
      <c r="G94" s="66">
        <v>153722049.71990001</v>
      </c>
      <c r="H94" s="66">
        <v>8219199.1152999997</v>
      </c>
      <c r="I94" s="66">
        <v>7175231.4900000002</v>
      </c>
      <c r="J94" s="66">
        <v>0</v>
      </c>
      <c r="K94" s="66">
        <f t="shared" si="17"/>
        <v>7175231.4900000002</v>
      </c>
      <c r="L94" s="66">
        <v>253464784.06720001</v>
      </c>
      <c r="M94" s="71">
        <f t="shared" si="15"/>
        <v>508033597.82340002</v>
      </c>
      <c r="N94" s="70"/>
      <c r="O94" s="182"/>
      <c r="P94" s="76">
        <v>11</v>
      </c>
      <c r="Q94" s="180"/>
      <c r="R94" s="77" t="s">
        <v>107</v>
      </c>
      <c r="S94" s="66">
        <v>80009684.185699999</v>
      </c>
      <c r="T94" s="78">
        <v>0</v>
      </c>
      <c r="U94" s="78">
        <v>143931150.35839999</v>
      </c>
      <c r="V94" s="66">
        <v>5226603.2953000003</v>
      </c>
      <c r="W94" s="66">
        <v>6718225.04</v>
      </c>
      <c r="X94" s="66">
        <f t="shared" si="19"/>
        <v>3359112.52</v>
      </c>
      <c r="Y94" s="66">
        <f t="shared" si="20"/>
        <v>3359112.52</v>
      </c>
      <c r="Z94" s="66">
        <v>188523607.56200001</v>
      </c>
      <c r="AA94" s="71">
        <f t="shared" si="21"/>
        <v>421050157.92140001</v>
      </c>
    </row>
    <row r="95" spans="1:27" ht="24.9" customHeight="1">
      <c r="A95" s="180"/>
      <c r="B95" s="182"/>
      <c r="C95" s="62">
        <v>17</v>
      </c>
      <c r="D95" s="66" t="s">
        <v>305</v>
      </c>
      <c r="E95" s="66">
        <v>71585452.163699999</v>
      </c>
      <c r="F95" s="66">
        <v>0</v>
      </c>
      <c r="G95" s="66">
        <v>128776617.2617</v>
      </c>
      <c r="H95" s="66">
        <v>7125087.2648</v>
      </c>
      <c r="I95" s="66">
        <v>6010862.0800000001</v>
      </c>
      <c r="J95" s="66">
        <v>0</v>
      </c>
      <c r="K95" s="66">
        <f t="shared" si="17"/>
        <v>6010862.0800000001</v>
      </c>
      <c r="L95" s="66">
        <v>210874789.59990001</v>
      </c>
      <c r="M95" s="71">
        <f t="shared" si="15"/>
        <v>424372808.37010002</v>
      </c>
      <c r="N95" s="70"/>
      <c r="O95" s="182"/>
      <c r="P95" s="76">
        <v>12</v>
      </c>
      <c r="Q95" s="180"/>
      <c r="R95" s="77" t="s">
        <v>306</v>
      </c>
      <c r="S95" s="66">
        <v>102148946.2814</v>
      </c>
      <c r="T95" s="78">
        <v>0</v>
      </c>
      <c r="U95" s="78">
        <v>183757947.49399999</v>
      </c>
      <c r="V95" s="66">
        <v>6122337.7472999999</v>
      </c>
      <c r="W95" s="66">
        <v>8577206.8100000005</v>
      </c>
      <c r="X95" s="66">
        <f t="shared" si="19"/>
        <v>4288603.4050000003</v>
      </c>
      <c r="Y95" s="66">
        <f t="shared" si="20"/>
        <v>4288603.4050000003</v>
      </c>
      <c r="Z95" s="66">
        <v>223391455.2457</v>
      </c>
      <c r="AA95" s="71">
        <f t="shared" si="21"/>
        <v>519709290.17339998</v>
      </c>
    </row>
    <row r="96" spans="1:27" ht="24.9" customHeight="1">
      <c r="A96" s="180"/>
      <c r="B96" s="182"/>
      <c r="C96" s="62">
        <v>18</v>
      </c>
      <c r="D96" s="66" t="s">
        <v>307</v>
      </c>
      <c r="E96" s="66">
        <v>74175566.260700002</v>
      </c>
      <c r="F96" s="66">
        <v>0</v>
      </c>
      <c r="G96" s="66">
        <v>133436029.5104</v>
      </c>
      <c r="H96" s="66">
        <v>7257368.9621000001</v>
      </c>
      <c r="I96" s="66">
        <v>6228347.8799999999</v>
      </c>
      <c r="J96" s="66">
        <v>0</v>
      </c>
      <c r="K96" s="66">
        <f t="shared" si="17"/>
        <v>6228347.8799999999</v>
      </c>
      <c r="L96" s="66">
        <v>216024059.07550001</v>
      </c>
      <c r="M96" s="71">
        <f t="shared" si="15"/>
        <v>437121371.68870002</v>
      </c>
      <c r="N96" s="70"/>
      <c r="O96" s="182"/>
      <c r="P96" s="76">
        <v>13</v>
      </c>
      <c r="Q96" s="180"/>
      <c r="R96" s="77" t="s">
        <v>308</v>
      </c>
      <c r="S96" s="66">
        <v>67424400.950100005</v>
      </c>
      <c r="T96" s="78">
        <v>0</v>
      </c>
      <c r="U96" s="78">
        <v>121291212.30050001</v>
      </c>
      <c r="V96" s="66">
        <v>4415497.5264999997</v>
      </c>
      <c r="W96" s="66">
        <v>5661468.4000000004</v>
      </c>
      <c r="X96" s="66">
        <f t="shared" si="19"/>
        <v>2830734.2</v>
      </c>
      <c r="Y96" s="66">
        <f t="shared" si="20"/>
        <v>2830734.2</v>
      </c>
      <c r="Z96" s="66">
        <v>156950062.1417</v>
      </c>
      <c r="AA96" s="71">
        <f t="shared" si="21"/>
        <v>352911907.11879998</v>
      </c>
    </row>
    <row r="97" spans="1:27" ht="24.9" customHeight="1">
      <c r="A97" s="180"/>
      <c r="B97" s="182"/>
      <c r="C97" s="62">
        <v>19</v>
      </c>
      <c r="D97" s="66" t="s">
        <v>309</v>
      </c>
      <c r="E97" s="66">
        <v>80103313.440400004</v>
      </c>
      <c r="F97" s="66">
        <v>0</v>
      </c>
      <c r="G97" s="66">
        <v>144099582.03510001</v>
      </c>
      <c r="H97" s="66">
        <v>7660794.2781999996</v>
      </c>
      <c r="I97" s="66">
        <v>6726086.8600000003</v>
      </c>
      <c r="J97" s="66">
        <v>0</v>
      </c>
      <c r="K97" s="66">
        <f t="shared" si="17"/>
        <v>6726086.8600000003</v>
      </c>
      <c r="L97" s="66">
        <v>231728012.90369999</v>
      </c>
      <c r="M97" s="71">
        <f t="shared" si="15"/>
        <v>470317789.51740003</v>
      </c>
      <c r="N97" s="70"/>
      <c r="O97" s="182"/>
      <c r="P97" s="76">
        <v>14</v>
      </c>
      <c r="Q97" s="180"/>
      <c r="R97" s="77" t="s">
        <v>310</v>
      </c>
      <c r="S97" s="66">
        <v>98024955.163900003</v>
      </c>
      <c r="T97" s="78">
        <v>0</v>
      </c>
      <c r="U97" s="78">
        <v>176339210.71830001</v>
      </c>
      <c r="V97" s="66">
        <v>6087438.8558</v>
      </c>
      <c r="W97" s="66">
        <v>8230924.9699999997</v>
      </c>
      <c r="X97" s="66">
        <f t="shared" si="19"/>
        <v>4115462.4849999999</v>
      </c>
      <c r="Y97" s="66">
        <f t="shared" si="20"/>
        <v>4115462.4849999999</v>
      </c>
      <c r="Z97" s="66">
        <v>222032961.9677</v>
      </c>
      <c r="AA97" s="71">
        <f t="shared" si="21"/>
        <v>506600029.19069999</v>
      </c>
    </row>
    <row r="98" spans="1:27" ht="24.9" customHeight="1">
      <c r="A98" s="180"/>
      <c r="B98" s="182"/>
      <c r="C98" s="62">
        <v>20</v>
      </c>
      <c r="D98" s="66" t="s">
        <v>311</v>
      </c>
      <c r="E98" s="66">
        <v>81062527.8081</v>
      </c>
      <c r="F98" s="66">
        <v>0</v>
      </c>
      <c r="G98" s="66">
        <v>145825133.49360001</v>
      </c>
      <c r="H98" s="66">
        <v>7827760.4171000002</v>
      </c>
      <c r="I98" s="66">
        <v>6806629.8300000001</v>
      </c>
      <c r="J98" s="66">
        <v>0</v>
      </c>
      <c r="K98" s="66">
        <f t="shared" si="17"/>
        <v>6806629.8300000001</v>
      </c>
      <c r="L98" s="66">
        <v>238227427.86559999</v>
      </c>
      <c r="M98" s="71">
        <f t="shared" si="15"/>
        <v>479749479.41439998</v>
      </c>
      <c r="N98" s="70"/>
      <c r="O98" s="182"/>
      <c r="P98" s="76">
        <v>15</v>
      </c>
      <c r="Q98" s="180"/>
      <c r="R98" s="77" t="s">
        <v>312</v>
      </c>
      <c r="S98" s="66">
        <v>65457180.3561</v>
      </c>
      <c r="T98" s="78">
        <v>0</v>
      </c>
      <c r="U98" s="78">
        <v>117752336.6471</v>
      </c>
      <c r="V98" s="66">
        <v>4365666.1534000002</v>
      </c>
      <c r="W98" s="66">
        <v>5496285.5099999998</v>
      </c>
      <c r="X98" s="66">
        <f t="shared" si="19"/>
        <v>2748142.7549999999</v>
      </c>
      <c r="Y98" s="66">
        <f t="shared" si="20"/>
        <v>2748142.7549999999</v>
      </c>
      <c r="Z98" s="66">
        <v>155010298.9391</v>
      </c>
      <c r="AA98" s="71">
        <f t="shared" si="21"/>
        <v>345333624.85070002</v>
      </c>
    </row>
    <row r="99" spans="1:27" ht="24.9" customHeight="1">
      <c r="A99" s="180"/>
      <c r="B99" s="183"/>
      <c r="C99" s="62">
        <v>21</v>
      </c>
      <c r="D99" s="66" t="s">
        <v>313</v>
      </c>
      <c r="E99" s="66">
        <v>77831963.965900004</v>
      </c>
      <c r="F99" s="66">
        <v>0</v>
      </c>
      <c r="G99" s="66">
        <v>140013602.3761</v>
      </c>
      <c r="H99" s="66">
        <v>7611403.0915999999</v>
      </c>
      <c r="I99" s="66">
        <v>6535366.9900000002</v>
      </c>
      <c r="J99" s="66">
        <v>0</v>
      </c>
      <c r="K99" s="66">
        <f t="shared" si="17"/>
        <v>6535366.9900000002</v>
      </c>
      <c r="L99" s="66">
        <v>229805384.64219999</v>
      </c>
      <c r="M99" s="71">
        <f t="shared" si="15"/>
        <v>461797721.06580001</v>
      </c>
      <c r="N99" s="70"/>
      <c r="O99" s="182"/>
      <c r="P99" s="76">
        <v>16</v>
      </c>
      <c r="Q99" s="180"/>
      <c r="R99" s="77" t="s">
        <v>314</v>
      </c>
      <c r="S99" s="66">
        <v>94897993.671700001</v>
      </c>
      <c r="T99" s="78">
        <v>0</v>
      </c>
      <c r="U99" s="78">
        <v>170714052.10659999</v>
      </c>
      <c r="V99" s="66">
        <v>6175814.7679000003</v>
      </c>
      <c r="W99" s="66">
        <v>7968361.3700000001</v>
      </c>
      <c r="X99" s="66">
        <f t="shared" si="19"/>
        <v>3984180.6850000001</v>
      </c>
      <c r="Y99" s="66">
        <f t="shared" si="20"/>
        <v>3984180.6850000001</v>
      </c>
      <c r="Z99" s="66">
        <v>225473130.9091</v>
      </c>
      <c r="AA99" s="71">
        <f t="shared" si="21"/>
        <v>501245172.14029998</v>
      </c>
    </row>
    <row r="100" spans="1:27" ht="24.9" customHeight="1">
      <c r="A100" s="62"/>
      <c r="B100" s="173" t="s">
        <v>315</v>
      </c>
      <c r="C100" s="174"/>
      <c r="D100" s="67"/>
      <c r="E100" s="67">
        <f t="shared" ref="E100:M100" si="22">SUM(E79:E99)</f>
        <v>1755734189.516</v>
      </c>
      <c r="F100" s="67">
        <f t="shared" si="22"/>
        <v>-1E-4</v>
      </c>
      <c r="G100" s="67">
        <f t="shared" si="22"/>
        <v>3158428185.0152001</v>
      </c>
      <c r="H100" s="67">
        <f t="shared" si="22"/>
        <v>167214542.0115</v>
      </c>
      <c r="I100" s="67">
        <f t="shared" si="22"/>
        <v>147424871.22</v>
      </c>
      <c r="J100" s="67">
        <f t="shared" si="22"/>
        <v>0</v>
      </c>
      <c r="K100" s="67">
        <f t="shared" si="22"/>
        <v>147424871.22</v>
      </c>
      <c r="L100" s="67">
        <f t="shared" si="22"/>
        <v>5112999349.5472002</v>
      </c>
      <c r="M100" s="67">
        <f t="shared" si="22"/>
        <v>10341801137.309799</v>
      </c>
      <c r="N100" s="70"/>
      <c r="O100" s="182"/>
      <c r="P100" s="76">
        <v>17</v>
      </c>
      <c r="Q100" s="180"/>
      <c r="R100" s="77" t="s">
        <v>316</v>
      </c>
      <c r="S100" s="66">
        <v>118685315.9368</v>
      </c>
      <c r="T100" s="78">
        <v>0</v>
      </c>
      <c r="U100" s="78">
        <v>213505580.31369999</v>
      </c>
      <c r="V100" s="66">
        <v>7533180.7401000001</v>
      </c>
      <c r="W100" s="66">
        <v>9965726.8900000006</v>
      </c>
      <c r="X100" s="66">
        <f t="shared" si="19"/>
        <v>4982863.4450000003</v>
      </c>
      <c r="Y100" s="66">
        <f t="shared" si="20"/>
        <v>4982863.4450000003</v>
      </c>
      <c r="Z100" s="66">
        <v>278310698.86180001</v>
      </c>
      <c r="AA100" s="71">
        <f t="shared" si="21"/>
        <v>623017639.2974</v>
      </c>
    </row>
    <row r="101" spans="1:27" ht="24.9" customHeight="1">
      <c r="A101" s="180">
        <v>5</v>
      </c>
      <c r="B101" s="181" t="s">
        <v>317</v>
      </c>
      <c r="C101" s="62">
        <v>1</v>
      </c>
      <c r="D101" s="66" t="s">
        <v>318</v>
      </c>
      <c r="E101" s="66">
        <v>131233105.6635</v>
      </c>
      <c r="F101" s="66">
        <v>0</v>
      </c>
      <c r="G101" s="66">
        <v>236078070.4797</v>
      </c>
      <c r="H101" s="66">
        <v>7562424.7284000004</v>
      </c>
      <c r="I101" s="66">
        <v>11019335.279999999</v>
      </c>
      <c r="J101" s="66">
        <v>0</v>
      </c>
      <c r="K101" s="66">
        <f t="shared" ref="K101:K120" si="23">I101-J101</f>
        <v>11019335.279999999</v>
      </c>
      <c r="L101" s="66">
        <v>281453801.5715</v>
      </c>
      <c r="M101" s="71">
        <f t="shared" si="15"/>
        <v>667346737.72309995</v>
      </c>
      <c r="N101" s="70"/>
      <c r="O101" s="182"/>
      <c r="P101" s="76">
        <v>18</v>
      </c>
      <c r="Q101" s="180"/>
      <c r="R101" s="77" t="s">
        <v>319</v>
      </c>
      <c r="S101" s="66">
        <v>89652099.529599994</v>
      </c>
      <c r="T101" s="78">
        <v>0</v>
      </c>
      <c r="U101" s="78">
        <v>161277099.74810001</v>
      </c>
      <c r="V101" s="66">
        <v>5726068.284</v>
      </c>
      <c r="W101" s="66">
        <v>7527875.9800000004</v>
      </c>
      <c r="X101" s="66">
        <f t="shared" si="19"/>
        <v>3763937.99</v>
      </c>
      <c r="Y101" s="66">
        <f t="shared" si="20"/>
        <v>3763937.99</v>
      </c>
      <c r="Z101" s="66">
        <v>207966054.04949999</v>
      </c>
      <c r="AA101" s="71">
        <f t="shared" si="21"/>
        <v>468385259.60119998</v>
      </c>
    </row>
    <row r="102" spans="1:27" ht="24.9" customHeight="1">
      <c r="A102" s="180"/>
      <c r="B102" s="182"/>
      <c r="C102" s="62">
        <v>2</v>
      </c>
      <c r="D102" s="66" t="s">
        <v>90</v>
      </c>
      <c r="E102" s="66">
        <v>158477796.74219999</v>
      </c>
      <c r="F102" s="66">
        <v>0</v>
      </c>
      <c r="G102" s="66">
        <v>285089134.17150003</v>
      </c>
      <c r="H102" s="66">
        <v>9417822.2612999994</v>
      </c>
      <c r="I102" s="66">
        <v>13307007.93</v>
      </c>
      <c r="J102" s="66">
        <v>0</v>
      </c>
      <c r="K102" s="66">
        <f t="shared" si="23"/>
        <v>13307007.93</v>
      </c>
      <c r="L102" s="66">
        <v>353678017.61390001</v>
      </c>
      <c r="M102" s="71">
        <f t="shared" si="15"/>
        <v>819969778.71889997</v>
      </c>
      <c r="N102" s="70"/>
      <c r="O102" s="182"/>
      <c r="P102" s="76">
        <v>19</v>
      </c>
      <c r="Q102" s="180"/>
      <c r="R102" s="77" t="s">
        <v>320</v>
      </c>
      <c r="S102" s="66">
        <v>84886726.817200005</v>
      </c>
      <c r="T102" s="78">
        <v>0</v>
      </c>
      <c r="U102" s="78">
        <v>152704567.7536</v>
      </c>
      <c r="V102" s="66">
        <v>5141974.6122000003</v>
      </c>
      <c r="W102" s="66">
        <v>7127738.8300000001</v>
      </c>
      <c r="X102" s="66">
        <f t="shared" si="19"/>
        <v>3563869.415</v>
      </c>
      <c r="Y102" s="66">
        <f t="shared" si="20"/>
        <v>3563869.415</v>
      </c>
      <c r="Z102" s="66">
        <v>185229305.2985</v>
      </c>
      <c r="AA102" s="71">
        <f t="shared" si="21"/>
        <v>431526443.89649999</v>
      </c>
    </row>
    <row r="103" spans="1:27" ht="24.9" customHeight="1">
      <c r="A103" s="180"/>
      <c r="B103" s="182"/>
      <c r="C103" s="62">
        <v>3</v>
      </c>
      <c r="D103" s="66" t="s">
        <v>321</v>
      </c>
      <c r="E103" s="66">
        <v>69309704.433500007</v>
      </c>
      <c r="F103" s="66">
        <v>0</v>
      </c>
      <c r="G103" s="66">
        <v>124682725.48119999</v>
      </c>
      <c r="H103" s="66">
        <v>4794791.3918000003</v>
      </c>
      <c r="I103" s="66">
        <v>5819772.8899999997</v>
      </c>
      <c r="J103" s="66">
        <v>0</v>
      </c>
      <c r="K103" s="66">
        <f t="shared" si="23"/>
        <v>5819772.8899999997</v>
      </c>
      <c r="L103" s="66">
        <v>173719397.2335</v>
      </c>
      <c r="M103" s="71">
        <f t="shared" si="15"/>
        <v>378326391.43000001</v>
      </c>
      <c r="N103" s="70"/>
      <c r="O103" s="182"/>
      <c r="P103" s="76">
        <v>20</v>
      </c>
      <c r="Q103" s="180"/>
      <c r="R103" s="77" t="s">
        <v>322</v>
      </c>
      <c r="S103" s="66">
        <v>91019093.997799993</v>
      </c>
      <c r="T103" s="78">
        <v>0</v>
      </c>
      <c r="U103" s="78">
        <v>163736215.6383</v>
      </c>
      <c r="V103" s="66">
        <v>5600457.1058</v>
      </c>
      <c r="W103" s="66">
        <v>7642659.29</v>
      </c>
      <c r="X103" s="66">
        <f t="shared" si="19"/>
        <v>3821329.645</v>
      </c>
      <c r="Y103" s="66">
        <f t="shared" si="20"/>
        <v>3821329.645</v>
      </c>
      <c r="Z103" s="66">
        <v>203076444.83500001</v>
      </c>
      <c r="AA103" s="71">
        <f t="shared" si="21"/>
        <v>467253541.22189999</v>
      </c>
    </row>
    <row r="104" spans="1:27" ht="24.9" customHeight="1">
      <c r="A104" s="180"/>
      <c r="B104" s="182"/>
      <c r="C104" s="62">
        <v>4</v>
      </c>
      <c r="D104" s="66" t="s">
        <v>323</v>
      </c>
      <c r="E104" s="66">
        <v>81912746.374899998</v>
      </c>
      <c r="F104" s="66">
        <v>0</v>
      </c>
      <c r="G104" s="66">
        <v>147354610.05680001</v>
      </c>
      <c r="H104" s="66">
        <v>5547702.2433000002</v>
      </c>
      <c r="I104" s="66">
        <v>6878020.6900000004</v>
      </c>
      <c r="J104" s="66">
        <v>0</v>
      </c>
      <c r="K104" s="66">
        <f t="shared" si="23"/>
        <v>6878020.6900000004</v>
      </c>
      <c r="L104" s="66">
        <v>203027615.5704</v>
      </c>
      <c r="M104" s="71">
        <f t="shared" si="15"/>
        <v>444720694.93540001</v>
      </c>
      <c r="N104" s="70"/>
      <c r="O104" s="183"/>
      <c r="P104" s="76">
        <v>21</v>
      </c>
      <c r="Q104" s="180"/>
      <c r="R104" s="77" t="s">
        <v>324</v>
      </c>
      <c r="S104" s="66">
        <v>89059039.989700004</v>
      </c>
      <c r="T104" s="78">
        <v>0</v>
      </c>
      <c r="U104" s="78">
        <v>160210232.11559999</v>
      </c>
      <c r="V104" s="66">
        <v>5500309.0256000003</v>
      </c>
      <c r="W104" s="66">
        <v>7478078.1600000001</v>
      </c>
      <c r="X104" s="66">
        <f t="shared" si="19"/>
        <v>3739039.08</v>
      </c>
      <c r="Y104" s="66">
        <f t="shared" si="20"/>
        <v>3739039.08</v>
      </c>
      <c r="Z104" s="66">
        <v>199178026.05880001</v>
      </c>
      <c r="AA104" s="71">
        <f t="shared" si="21"/>
        <v>457686646.26969999</v>
      </c>
    </row>
    <row r="105" spans="1:27" ht="24.9" customHeight="1">
      <c r="A105" s="180"/>
      <c r="B105" s="182"/>
      <c r="C105" s="62">
        <v>5</v>
      </c>
      <c r="D105" s="66" t="s">
        <v>325</v>
      </c>
      <c r="E105" s="66">
        <v>103909692.1769</v>
      </c>
      <c r="F105" s="66">
        <v>0</v>
      </c>
      <c r="G105" s="66">
        <v>186925391.35069999</v>
      </c>
      <c r="H105" s="66">
        <v>6684004.2801999999</v>
      </c>
      <c r="I105" s="66">
        <v>8725052.5099999998</v>
      </c>
      <c r="J105" s="66">
        <v>0</v>
      </c>
      <c r="K105" s="66">
        <f t="shared" si="23"/>
        <v>8725052.5099999998</v>
      </c>
      <c r="L105" s="66">
        <v>247259928.23730001</v>
      </c>
      <c r="M105" s="71">
        <f t="shared" si="15"/>
        <v>553504068.55509996</v>
      </c>
      <c r="N105" s="70"/>
      <c r="O105" s="62"/>
      <c r="P105" s="174" t="s">
        <v>326</v>
      </c>
      <c r="Q105" s="177"/>
      <c r="R105" s="67"/>
      <c r="S105" s="67">
        <f t="shared" ref="S105:AA105" si="24">SUM(S84:S104)</f>
        <v>1893041494.0536001</v>
      </c>
      <c r="T105" s="67">
        <f t="shared" si="24"/>
        <v>0</v>
      </c>
      <c r="U105" s="67">
        <f t="shared" si="24"/>
        <v>3405433263.1546998</v>
      </c>
      <c r="V105" s="67">
        <f t="shared" si="24"/>
        <v>119291382.67030001</v>
      </c>
      <c r="W105" s="67">
        <f t="shared" si="24"/>
        <v>158954242.66999999</v>
      </c>
      <c r="X105" s="67">
        <f t="shared" si="24"/>
        <v>79477121.334999993</v>
      </c>
      <c r="Y105" s="67">
        <f t="shared" si="24"/>
        <v>79477121.334999993</v>
      </c>
      <c r="Z105" s="67">
        <f t="shared" si="24"/>
        <v>4330071361.0700998</v>
      </c>
      <c r="AA105" s="67">
        <f t="shared" si="24"/>
        <v>9827314622.2837009</v>
      </c>
    </row>
    <row r="106" spans="1:27" ht="24.9" customHeight="1">
      <c r="A106" s="180"/>
      <c r="B106" s="182"/>
      <c r="C106" s="62">
        <v>6</v>
      </c>
      <c r="D106" s="66" t="s">
        <v>327</v>
      </c>
      <c r="E106" s="66">
        <v>68807414.802200004</v>
      </c>
      <c r="F106" s="66">
        <v>0</v>
      </c>
      <c r="G106" s="66">
        <v>123779145.80419999</v>
      </c>
      <c r="H106" s="66">
        <v>4859442.3783</v>
      </c>
      <c r="I106" s="66">
        <v>5777596.8099999996</v>
      </c>
      <c r="J106" s="66">
        <v>0</v>
      </c>
      <c r="K106" s="66">
        <f t="shared" si="23"/>
        <v>5777596.8099999996</v>
      </c>
      <c r="L106" s="66">
        <v>176236036.78600001</v>
      </c>
      <c r="M106" s="71">
        <f t="shared" si="15"/>
        <v>379459636.58069998</v>
      </c>
      <c r="N106" s="70"/>
      <c r="O106" s="181">
        <v>23</v>
      </c>
      <c r="P106" s="76">
        <v>1</v>
      </c>
      <c r="Q106" s="180" t="s">
        <v>108</v>
      </c>
      <c r="R106" s="77" t="s">
        <v>328</v>
      </c>
      <c r="S106" s="66">
        <v>76916063.011399999</v>
      </c>
      <c r="T106" s="66">
        <v>0</v>
      </c>
      <c r="U106" s="66">
        <v>138365968.34869999</v>
      </c>
      <c r="V106" s="66">
        <v>5694390.8903999999</v>
      </c>
      <c r="W106" s="66">
        <v>6458460.9400000004</v>
      </c>
      <c r="X106" s="66">
        <f t="shared" ref="X106:X121" si="25">W106/2</f>
        <v>3229230.47</v>
      </c>
      <c r="Y106" s="66">
        <f t="shared" ref="Y106:Y121" si="26">W106-X106</f>
        <v>3229230.47</v>
      </c>
      <c r="Z106" s="66">
        <v>202095453.35859999</v>
      </c>
      <c r="AA106" s="71">
        <f t="shared" si="21"/>
        <v>426301106.07910001</v>
      </c>
    </row>
    <row r="107" spans="1:27" ht="24.9" customHeight="1">
      <c r="A107" s="180"/>
      <c r="B107" s="182"/>
      <c r="C107" s="62">
        <v>7</v>
      </c>
      <c r="D107" s="66" t="s">
        <v>329</v>
      </c>
      <c r="E107" s="66">
        <v>109773417.45029999</v>
      </c>
      <c r="F107" s="66">
        <v>0</v>
      </c>
      <c r="G107" s="66">
        <v>197473773.4795</v>
      </c>
      <c r="H107" s="66">
        <v>7076684.5301000001</v>
      </c>
      <c r="I107" s="66">
        <v>9217415.7200000007</v>
      </c>
      <c r="J107" s="66">
        <v>0</v>
      </c>
      <c r="K107" s="66">
        <f t="shared" si="23"/>
        <v>9217415.7200000007</v>
      </c>
      <c r="L107" s="66">
        <v>262545613.7599</v>
      </c>
      <c r="M107" s="71">
        <f t="shared" si="15"/>
        <v>586086904.93980002</v>
      </c>
      <c r="N107" s="70"/>
      <c r="O107" s="182"/>
      <c r="P107" s="76">
        <v>2</v>
      </c>
      <c r="Q107" s="180"/>
      <c r="R107" s="77" t="s">
        <v>330</v>
      </c>
      <c r="S107" s="66">
        <v>126484006.6867</v>
      </c>
      <c r="T107" s="66">
        <v>0</v>
      </c>
      <c r="U107" s="66">
        <v>227534813.67379999</v>
      </c>
      <c r="V107" s="66">
        <v>6631469.0160999997</v>
      </c>
      <c r="W107" s="66">
        <v>10620564.609999999</v>
      </c>
      <c r="X107" s="66">
        <f t="shared" si="25"/>
        <v>5310282.3049999997</v>
      </c>
      <c r="Y107" s="66">
        <f t="shared" si="26"/>
        <v>5310282.3049999997</v>
      </c>
      <c r="Z107" s="66">
        <v>238572667.4321</v>
      </c>
      <c r="AA107" s="71">
        <f t="shared" si="21"/>
        <v>604533239.11370003</v>
      </c>
    </row>
    <row r="108" spans="1:27" ht="24.9" customHeight="1">
      <c r="A108" s="180"/>
      <c r="B108" s="182"/>
      <c r="C108" s="62">
        <v>8</v>
      </c>
      <c r="D108" s="66" t="s">
        <v>331</v>
      </c>
      <c r="E108" s="66">
        <v>110813065.6608</v>
      </c>
      <c r="F108" s="66">
        <v>0</v>
      </c>
      <c r="G108" s="66">
        <v>199344019.12470001</v>
      </c>
      <c r="H108" s="66">
        <v>6671261.4442999996</v>
      </c>
      <c r="I108" s="66">
        <v>9304712.5399999991</v>
      </c>
      <c r="J108" s="66">
        <v>0</v>
      </c>
      <c r="K108" s="66">
        <f t="shared" si="23"/>
        <v>9304712.5399999991</v>
      </c>
      <c r="L108" s="66">
        <v>246763893.66069999</v>
      </c>
      <c r="M108" s="71">
        <f t="shared" si="15"/>
        <v>572896952.43050003</v>
      </c>
      <c r="N108" s="70"/>
      <c r="O108" s="182"/>
      <c r="P108" s="76">
        <v>3</v>
      </c>
      <c r="Q108" s="180"/>
      <c r="R108" s="77" t="s">
        <v>332</v>
      </c>
      <c r="S108" s="66">
        <v>96942051.613900006</v>
      </c>
      <c r="T108" s="66">
        <v>0</v>
      </c>
      <c r="U108" s="66">
        <v>174391152.1257</v>
      </c>
      <c r="V108" s="66">
        <v>6541287.2105999999</v>
      </c>
      <c r="W108" s="66">
        <v>8139996.1100000003</v>
      </c>
      <c r="X108" s="66">
        <f t="shared" si="25"/>
        <v>4069998.0550000002</v>
      </c>
      <c r="Y108" s="66">
        <f t="shared" si="26"/>
        <v>4069998.0550000002</v>
      </c>
      <c r="Z108" s="66">
        <v>235062201.2965</v>
      </c>
      <c r="AA108" s="71">
        <f t="shared" si="21"/>
        <v>517006690.3017</v>
      </c>
    </row>
    <row r="109" spans="1:27" ht="24.9" customHeight="1">
      <c r="A109" s="180"/>
      <c r="B109" s="182"/>
      <c r="C109" s="62">
        <v>9</v>
      </c>
      <c r="D109" s="66" t="s">
        <v>333</v>
      </c>
      <c r="E109" s="66">
        <v>77944726.457000002</v>
      </c>
      <c r="F109" s="66">
        <v>0</v>
      </c>
      <c r="G109" s="66">
        <v>140216453.25049999</v>
      </c>
      <c r="H109" s="66">
        <v>5615953.7298999997</v>
      </c>
      <c r="I109" s="66">
        <v>6544835.3899999997</v>
      </c>
      <c r="J109" s="66">
        <v>0</v>
      </c>
      <c r="K109" s="66">
        <f t="shared" si="23"/>
        <v>6544835.3899999997</v>
      </c>
      <c r="L109" s="66">
        <v>205684410.1539</v>
      </c>
      <c r="M109" s="71">
        <f t="shared" si="15"/>
        <v>436006378.9813</v>
      </c>
      <c r="N109" s="70"/>
      <c r="O109" s="182"/>
      <c r="P109" s="76">
        <v>4</v>
      </c>
      <c r="Q109" s="180"/>
      <c r="R109" s="77" t="s">
        <v>98</v>
      </c>
      <c r="S109" s="66">
        <v>59035552.833400004</v>
      </c>
      <c r="T109" s="66">
        <v>0</v>
      </c>
      <c r="U109" s="66">
        <v>106200332.0809</v>
      </c>
      <c r="V109" s="66">
        <v>4886422.8614999996</v>
      </c>
      <c r="W109" s="66">
        <v>4957076.54</v>
      </c>
      <c r="X109" s="66">
        <f t="shared" si="25"/>
        <v>2478538.27</v>
      </c>
      <c r="Y109" s="66">
        <f t="shared" si="26"/>
        <v>2478538.27</v>
      </c>
      <c r="Z109" s="66">
        <v>170644049.31330001</v>
      </c>
      <c r="AA109" s="71">
        <f t="shared" si="21"/>
        <v>343244895.35909998</v>
      </c>
    </row>
    <row r="110" spans="1:27" ht="24.9" customHeight="1">
      <c r="A110" s="180"/>
      <c r="B110" s="182"/>
      <c r="C110" s="62">
        <v>10</v>
      </c>
      <c r="D110" s="66" t="s">
        <v>334</v>
      </c>
      <c r="E110" s="66">
        <v>89269459.728</v>
      </c>
      <c r="F110" s="66">
        <v>0</v>
      </c>
      <c r="G110" s="66">
        <v>160588760.72749999</v>
      </c>
      <c r="H110" s="66">
        <v>6440197.3738000002</v>
      </c>
      <c r="I110" s="66">
        <v>7495746.6100000003</v>
      </c>
      <c r="J110" s="66">
        <v>0</v>
      </c>
      <c r="K110" s="66">
        <f t="shared" si="23"/>
        <v>7495746.6100000003</v>
      </c>
      <c r="L110" s="66">
        <v>237769367.662</v>
      </c>
      <c r="M110" s="71">
        <f t="shared" si="15"/>
        <v>501563532.1013</v>
      </c>
      <c r="N110" s="70"/>
      <c r="O110" s="182"/>
      <c r="P110" s="76">
        <v>5</v>
      </c>
      <c r="Q110" s="180"/>
      <c r="R110" s="77" t="s">
        <v>335</v>
      </c>
      <c r="S110" s="66">
        <v>102432844.9975</v>
      </c>
      <c r="T110" s="66">
        <v>0</v>
      </c>
      <c r="U110" s="66">
        <v>184268659.02849999</v>
      </c>
      <c r="V110" s="66">
        <v>6592901.9035</v>
      </c>
      <c r="W110" s="66">
        <v>8601045.1199999992</v>
      </c>
      <c r="X110" s="66">
        <f t="shared" si="25"/>
        <v>4300522.5599999996</v>
      </c>
      <c r="Y110" s="66">
        <f t="shared" si="26"/>
        <v>4300522.5599999996</v>
      </c>
      <c r="Z110" s="66">
        <v>237071382.97839999</v>
      </c>
      <c r="AA110" s="71">
        <f t="shared" si="21"/>
        <v>534666311.46789998</v>
      </c>
    </row>
    <row r="111" spans="1:27" ht="24.9" customHeight="1">
      <c r="A111" s="180"/>
      <c r="B111" s="182"/>
      <c r="C111" s="62">
        <v>11</v>
      </c>
      <c r="D111" s="66" t="s">
        <v>336</v>
      </c>
      <c r="E111" s="66">
        <v>69073885.307799995</v>
      </c>
      <c r="F111" s="66">
        <v>0</v>
      </c>
      <c r="G111" s="66">
        <v>124258505.3651</v>
      </c>
      <c r="H111" s="66">
        <v>5174796.5268999999</v>
      </c>
      <c r="I111" s="66">
        <v>5799971.7199999997</v>
      </c>
      <c r="J111" s="66">
        <v>0</v>
      </c>
      <c r="K111" s="66">
        <f t="shared" si="23"/>
        <v>5799971.7199999997</v>
      </c>
      <c r="L111" s="66">
        <v>188511684.32429999</v>
      </c>
      <c r="M111" s="71">
        <f t="shared" si="15"/>
        <v>392818843.24409997</v>
      </c>
      <c r="N111" s="70"/>
      <c r="O111" s="182"/>
      <c r="P111" s="76">
        <v>6</v>
      </c>
      <c r="Q111" s="180"/>
      <c r="R111" s="77" t="s">
        <v>337</v>
      </c>
      <c r="S111" s="66">
        <v>88039727.512400001</v>
      </c>
      <c r="T111" s="66">
        <v>0</v>
      </c>
      <c r="U111" s="66">
        <v>158376568.87470001</v>
      </c>
      <c r="V111" s="66">
        <v>6573353.1065999996</v>
      </c>
      <c r="W111" s="66">
        <v>7392488.9000000004</v>
      </c>
      <c r="X111" s="66">
        <f t="shared" si="25"/>
        <v>3696244.45</v>
      </c>
      <c r="Y111" s="66">
        <f t="shared" si="26"/>
        <v>3696244.45</v>
      </c>
      <c r="Z111" s="66">
        <v>236310415.8511</v>
      </c>
      <c r="AA111" s="71">
        <f t="shared" si="21"/>
        <v>492996309.79479998</v>
      </c>
    </row>
    <row r="112" spans="1:27" ht="24.9" customHeight="1">
      <c r="A112" s="180"/>
      <c r="B112" s="182"/>
      <c r="C112" s="62">
        <v>12</v>
      </c>
      <c r="D112" s="66" t="s">
        <v>338</v>
      </c>
      <c r="E112" s="66">
        <v>106968109.20200001</v>
      </c>
      <c r="F112" s="66">
        <v>0</v>
      </c>
      <c r="G112" s="66">
        <v>192427243.8459</v>
      </c>
      <c r="H112" s="66">
        <v>7184834.9758000001</v>
      </c>
      <c r="I112" s="66">
        <v>8981860.5999999996</v>
      </c>
      <c r="J112" s="66">
        <v>0</v>
      </c>
      <c r="K112" s="66">
        <f t="shared" si="23"/>
        <v>8981860.5999999996</v>
      </c>
      <c r="L112" s="66">
        <v>266755536.97799999</v>
      </c>
      <c r="M112" s="71">
        <f t="shared" si="15"/>
        <v>582317585.60169995</v>
      </c>
      <c r="N112" s="70"/>
      <c r="O112" s="182"/>
      <c r="P112" s="76">
        <v>7</v>
      </c>
      <c r="Q112" s="180"/>
      <c r="R112" s="77" t="s">
        <v>339</v>
      </c>
      <c r="S112" s="66">
        <v>88988550.914700001</v>
      </c>
      <c r="T112" s="66">
        <v>0</v>
      </c>
      <c r="U112" s="66">
        <v>160083427.7987</v>
      </c>
      <c r="V112" s="66">
        <v>6622800.7274000002</v>
      </c>
      <c r="W112" s="66">
        <v>7472159.3600000003</v>
      </c>
      <c r="X112" s="66">
        <f t="shared" si="25"/>
        <v>3736079.68</v>
      </c>
      <c r="Y112" s="66">
        <f t="shared" si="26"/>
        <v>3736079.68</v>
      </c>
      <c r="Z112" s="66">
        <v>238235240.90000001</v>
      </c>
      <c r="AA112" s="71">
        <f t="shared" si="21"/>
        <v>497666100.02079999</v>
      </c>
    </row>
    <row r="113" spans="1:27" ht="24.9" customHeight="1">
      <c r="A113" s="180"/>
      <c r="B113" s="182"/>
      <c r="C113" s="62">
        <v>13</v>
      </c>
      <c r="D113" s="66" t="s">
        <v>340</v>
      </c>
      <c r="E113" s="66">
        <v>87976164.919499993</v>
      </c>
      <c r="F113" s="66">
        <v>0</v>
      </c>
      <c r="G113" s="66">
        <v>158262224.7484</v>
      </c>
      <c r="H113" s="66">
        <v>5510410.5429999996</v>
      </c>
      <c r="I113" s="66">
        <v>7387151.6900000004</v>
      </c>
      <c r="J113" s="66">
        <v>0</v>
      </c>
      <c r="K113" s="66">
        <f t="shared" si="23"/>
        <v>7387151.6900000004</v>
      </c>
      <c r="L113" s="66">
        <v>201575978.50999999</v>
      </c>
      <c r="M113" s="71">
        <f t="shared" si="15"/>
        <v>460711930.4109</v>
      </c>
      <c r="N113" s="70"/>
      <c r="O113" s="182"/>
      <c r="P113" s="76">
        <v>8</v>
      </c>
      <c r="Q113" s="180"/>
      <c r="R113" s="77" t="s">
        <v>341</v>
      </c>
      <c r="S113" s="66">
        <v>104937025.323</v>
      </c>
      <c r="T113" s="66">
        <v>0</v>
      </c>
      <c r="U113" s="66">
        <v>188773483.1462</v>
      </c>
      <c r="V113" s="66">
        <v>8383264.6975999996</v>
      </c>
      <c r="W113" s="66">
        <v>8811315.25</v>
      </c>
      <c r="X113" s="66">
        <f t="shared" si="25"/>
        <v>4405657.625</v>
      </c>
      <c r="Y113" s="66">
        <f t="shared" si="26"/>
        <v>4405657.625</v>
      </c>
      <c r="Z113" s="66">
        <v>306764021.3143</v>
      </c>
      <c r="AA113" s="71">
        <f t="shared" si="21"/>
        <v>613263452.10609996</v>
      </c>
    </row>
    <row r="114" spans="1:27" ht="24.9" customHeight="1">
      <c r="A114" s="180"/>
      <c r="B114" s="182"/>
      <c r="C114" s="62">
        <v>14</v>
      </c>
      <c r="D114" s="66" t="s">
        <v>342</v>
      </c>
      <c r="E114" s="66">
        <v>102728497.8045</v>
      </c>
      <c r="F114" s="66">
        <v>0</v>
      </c>
      <c r="G114" s="66">
        <v>184800515.2464</v>
      </c>
      <c r="H114" s="66">
        <v>6818204.7392999995</v>
      </c>
      <c r="I114" s="66">
        <v>8625870.3900000006</v>
      </c>
      <c r="J114" s="66">
        <v>0</v>
      </c>
      <c r="K114" s="66">
        <f t="shared" si="23"/>
        <v>8625870.3900000006</v>
      </c>
      <c r="L114" s="66">
        <v>252483888.4817</v>
      </c>
      <c r="M114" s="71">
        <f t="shared" si="15"/>
        <v>555456976.66190004</v>
      </c>
      <c r="N114" s="70"/>
      <c r="O114" s="182"/>
      <c r="P114" s="76">
        <v>9</v>
      </c>
      <c r="Q114" s="180"/>
      <c r="R114" s="77" t="s">
        <v>343</v>
      </c>
      <c r="S114" s="66">
        <v>75862589.518600002</v>
      </c>
      <c r="T114" s="66">
        <v>0</v>
      </c>
      <c r="U114" s="66">
        <v>136470852.1191</v>
      </c>
      <c r="V114" s="66">
        <v>5944676.4396000002</v>
      </c>
      <c r="W114" s="66">
        <v>6370003.25</v>
      </c>
      <c r="X114" s="66">
        <f t="shared" si="25"/>
        <v>3185001.625</v>
      </c>
      <c r="Y114" s="66">
        <f t="shared" si="26"/>
        <v>3185001.625</v>
      </c>
      <c r="Z114" s="66">
        <v>211838205.11809999</v>
      </c>
      <c r="AA114" s="71">
        <f t="shared" si="21"/>
        <v>433301324.8204</v>
      </c>
    </row>
    <row r="115" spans="1:27" ht="24.9" customHeight="1">
      <c r="A115" s="180"/>
      <c r="B115" s="182"/>
      <c r="C115" s="62">
        <v>15</v>
      </c>
      <c r="D115" s="66" t="s">
        <v>344</v>
      </c>
      <c r="E115" s="66">
        <v>131644297.7772</v>
      </c>
      <c r="F115" s="66">
        <v>0</v>
      </c>
      <c r="G115" s="66">
        <v>236817772.85530001</v>
      </c>
      <c r="H115" s="66">
        <v>8214442.5685999999</v>
      </c>
      <c r="I115" s="66">
        <v>11053862.119999999</v>
      </c>
      <c r="J115" s="66">
        <v>0</v>
      </c>
      <c r="K115" s="66">
        <f t="shared" si="23"/>
        <v>11053862.119999999</v>
      </c>
      <c r="L115" s="66">
        <v>306834603.53969997</v>
      </c>
      <c r="M115" s="71">
        <f t="shared" si="15"/>
        <v>694564978.86080003</v>
      </c>
      <c r="N115" s="70"/>
      <c r="O115" s="182"/>
      <c r="P115" s="76">
        <v>10</v>
      </c>
      <c r="Q115" s="180"/>
      <c r="R115" s="77" t="s">
        <v>345</v>
      </c>
      <c r="S115" s="66">
        <v>100884126.17309999</v>
      </c>
      <c r="T115" s="66">
        <v>0</v>
      </c>
      <c r="U115" s="66">
        <v>181482635.26679999</v>
      </c>
      <c r="V115" s="66">
        <v>5668758.4897999996</v>
      </c>
      <c r="W115" s="66">
        <v>8471002.8499999996</v>
      </c>
      <c r="X115" s="66">
        <f t="shared" si="25"/>
        <v>4235501.4249999998</v>
      </c>
      <c r="Y115" s="66">
        <f t="shared" si="26"/>
        <v>4235501.4249999998</v>
      </c>
      <c r="Z115" s="66">
        <v>201097672.55829999</v>
      </c>
      <c r="AA115" s="71">
        <f t="shared" si="21"/>
        <v>493368693.91299999</v>
      </c>
    </row>
    <row r="116" spans="1:27" ht="24.9" customHeight="1">
      <c r="A116" s="180"/>
      <c r="B116" s="182"/>
      <c r="C116" s="62">
        <v>16</v>
      </c>
      <c r="D116" s="66" t="s">
        <v>346</v>
      </c>
      <c r="E116" s="66">
        <v>98691115.757499993</v>
      </c>
      <c r="F116" s="66">
        <v>0</v>
      </c>
      <c r="G116" s="66">
        <v>177537581.41350001</v>
      </c>
      <c r="H116" s="66">
        <v>6485547.8738000002</v>
      </c>
      <c r="I116" s="66">
        <v>8286860.9100000001</v>
      </c>
      <c r="J116" s="66">
        <v>0</v>
      </c>
      <c r="K116" s="66">
        <f t="shared" si="23"/>
        <v>8286860.9100000001</v>
      </c>
      <c r="L116" s="66">
        <v>239534705.9515</v>
      </c>
      <c r="M116" s="71">
        <f t="shared" si="15"/>
        <v>530535811.90630001</v>
      </c>
      <c r="N116" s="70"/>
      <c r="O116" s="182"/>
      <c r="P116" s="76">
        <v>11</v>
      </c>
      <c r="Q116" s="180"/>
      <c r="R116" s="77" t="s">
        <v>347</v>
      </c>
      <c r="S116" s="66">
        <v>79973808.167699993</v>
      </c>
      <c r="T116" s="66">
        <v>0</v>
      </c>
      <c r="U116" s="66">
        <v>143866612.19760001</v>
      </c>
      <c r="V116" s="66">
        <v>5495257.2739000004</v>
      </c>
      <c r="W116" s="66">
        <v>6715212.6100000003</v>
      </c>
      <c r="X116" s="66">
        <f t="shared" si="25"/>
        <v>3357606.3050000002</v>
      </c>
      <c r="Y116" s="66">
        <f t="shared" si="26"/>
        <v>3357606.3050000002</v>
      </c>
      <c r="Z116" s="66">
        <v>194343869.625</v>
      </c>
      <c r="AA116" s="71">
        <f t="shared" si="21"/>
        <v>427037153.56919998</v>
      </c>
    </row>
    <row r="117" spans="1:27" ht="24.9" customHeight="1">
      <c r="A117" s="180"/>
      <c r="B117" s="182"/>
      <c r="C117" s="62">
        <v>17</v>
      </c>
      <c r="D117" s="66" t="s">
        <v>348</v>
      </c>
      <c r="E117" s="66">
        <v>97070279.651099995</v>
      </c>
      <c r="F117" s="66">
        <v>0</v>
      </c>
      <c r="G117" s="66">
        <v>174621824.31169999</v>
      </c>
      <c r="H117" s="66">
        <v>6327238.7368000001</v>
      </c>
      <c r="I117" s="66">
        <v>8150763.1200000001</v>
      </c>
      <c r="J117" s="66">
        <v>0</v>
      </c>
      <c r="K117" s="66">
        <f t="shared" si="23"/>
        <v>8150763.1200000001</v>
      </c>
      <c r="L117" s="66">
        <v>233372278.16440001</v>
      </c>
      <c r="M117" s="71">
        <f t="shared" si="15"/>
        <v>519542383.98400003</v>
      </c>
      <c r="N117" s="70"/>
      <c r="O117" s="182"/>
      <c r="P117" s="76">
        <v>12</v>
      </c>
      <c r="Q117" s="180"/>
      <c r="R117" s="77" t="s">
        <v>349</v>
      </c>
      <c r="S117" s="66">
        <v>71035361.720599994</v>
      </c>
      <c r="T117" s="66">
        <v>0</v>
      </c>
      <c r="U117" s="66">
        <v>127787047.6786</v>
      </c>
      <c r="V117" s="66">
        <v>5279475.5769999996</v>
      </c>
      <c r="W117" s="66">
        <v>5964672.2800000003</v>
      </c>
      <c r="X117" s="66">
        <f t="shared" si="25"/>
        <v>2982336.14</v>
      </c>
      <c r="Y117" s="66">
        <f t="shared" si="26"/>
        <v>2982336.14</v>
      </c>
      <c r="Z117" s="66">
        <v>185944233.6322</v>
      </c>
      <c r="AA117" s="71">
        <f t="shared" si="21"/>
        <v>393028454.74839997</v>
      </c>
    </row>
    <row r="118" spans="1:27" ht="24.9" customHeight="1">
      <c r="A118" s="180"/>
      <c r="B118" s="182"/>
      <c r="C118" s="62">
        <v>18</v>
      </c>
      <c r="D118" s="66" t="s">
        <v>350</v>
      </c>
      <c r="E118" s="66">
        <v>136510877.62639999</v>
      </c>
      <c r="F118" s="66">
        <v>0</v>
      </c>
      <c r="G118" s="66">
        <v>245572368.5487</v>
      </c>
      <c r="H118" s="66">
        <v>7799222.5107000005</v>
      </c>
      <c r="I118" s="66">
        <v>11462497.390000001</v>
      </c>
      <c r="J118" s="66">
        <v>0</v>
      </c>
      <c r="K118" s="66">
        <f t="shared" si="23"/>
        <v>11462497.390000001</v>
      </c>
      <c r="L118" s="66">
        <v>290671521.16180003</v>
      </c>
      <c r="M118" s="71">
        <f t="shared" si="15"/>
        <v>692016487.23759997</v>
      </c>
      <c r="N118" s="70"/>
      <c r="O118" s="182"/>
      <c r="P118" s="76">
        <v>13</v>
      </c>
      <c r="Q118" s="180"/>
      <c r="R118" s="77" t="s">
        <v>351</v>
      </c>
      <c r="S118" s="66">
        <v>59436482.930699997</v>
      </c>
      <c r="T118" s="66">
        <v>0</v>
      </c>
      <c r="U118" s="66">
        <v>106921573.91159999</v>
      </c>
      <c r="V118" s="66">
        <v>4917676.1054999996</v>
      </c>
      <c r="W118" s="66">
        <v>4990741.71</v>
      </c>
      <c r="X118" s="66">
        <f t="shared" si="25"/>
        <v>2495370.855</v>
      </c>
      <c r="Y118" s="66">
        <f t="shared" si="26"/>
        <v>2495370.855</v>
      </c>
      <c r="Z118" s="66">
        <v>171860630.13049999</v>
      </c>
      <c r="AA118" s="71">
        <f t="shared" si="21"/>
        <v>345631733.93330002</v>
      </c>
    </row>
    <row r="119" spans="1:27" ht="24.9" customHeight="1">
      <c r="A119" s="180"/>
      <c r="B119" s="182"/>
      <c r="C119" s="62">
        <v>19</v>
      </c>
      <c r="D119" s="66" t="s">
        <v>352</v>
      </c>
      <c r="E119" s="66">
        <v>75976219.532100007</v>
      </c>
      <c r="F119" s="66">
        <v>0</v>
      </c>
      <c r="G119" s="66">
        <v>136675263.60600001</v>
      </c>
      <c r="H119" s="66">
        <v>5139096.2702000001</v>
      </c>
      <c r="I119" s="66">
        <v>6379544.5</v>
      </c>
      <c r="J119" s="66">
        <v>0</v>
      </c>
      <c r="K119" s="66">
        <f t="shared" si="23"/>
        <v>6379544.5</v>
      </c>
      <c r="L119" s="66">
        <v>187121996.6663</v>
      </c>
      <c r="M119" s="71">
        <f t="shared" si="15"/>
        <v>411292120.57459998</v>
      </c>
      <c r="N119" s="70"/>
      <c r="O119" s="182"/>
      <c r="P119" s="76">
        <v>14</v>
      </c>
      <c r="Q119" s="180"/>
      <c r="R119" s="77" t="s">
        <v>353</v>
      </c>
      <c r="S119" s="66">
        <v>59184443.644000001</v>
      </c>
      <c r="T119" s="66">
        <v>0</v>
      </c>
      <c r="U119" s="66">
        <v>106468174.9883</v>
      </c>
      <c r="V119" s="66">
        <v>4941592.9072000002</v>
      </c>
      <c r="W119" s="66">
        <v>4969578.5599999996</v>
      </c>
      <c r="X119" s="66">
        <f t="shared" si="25"/>
        <v>2484789.2799999998</v>
      </c>
      <c r="Y119" s="66">
        <f t="shared" si="26"/>
        <v>2484789.2799999998</v>
      </c>
      <c r="Z119" s="66">
        <v>172791628.59630001</v>
      </c>
      <c r="AA119" s="71">
        <f t="shared" si="21"/>
        <v>345870629.41579998</v>
      </c>
    </row>
    <row r="120" spans="1:27" ht="24.9" customHeight="1">
      <c r="A120" s="180"/>
      <c r="B120" s="183"/>
      <c r="C120" s="62">
        <v>20</v>
      </c>
      <c r="D120" s="66" t="s">
        <v>354</v>
      </c>
      <c r="E120" s="66">
        <v>85015165.940400004</v>
      </c>
      <c r="F120" s="66">
        <v>0</v>
      </c>
      <c r="G120" s="66">
        <v>152935619.6796</v>
      </c>
      <c r="H120" s="66">
        <v>6005214.0691</v>
      </c>
      <c r="I120" s="66">
        <v>7138523.5700000003</v>
      </c>
      <c r="J120" s="66">
        <v>0</v>
      </c>
      <c r="K120" s="66">
        <f t="shared" si="23"/>
        <v>7138523.5700000003</v>
      </c>
      <c r="L120" s="66">
        <v>220836970.3651</v>
      </c>
      <c r="M120" s="71">
        <f t="shared" si="15"/>
        <v>471931493.62419999</v>
      </c>
      <c r="N120" s="70"/>
      <c r="O120" s="182"/>
      <c r="P120" s="76">
        <v>15</v>
      </c>
      <c r="Q120" s="180"/>
      <c r="R120" s="77" t="s">
        <v>355</v>
      </c>
      <c r="S120" s="66">
        <v>67578788.920000002</v>
      </c>
      <c r="T120" s="66">
        <v>0</v>
      </c>
      <c r="U120" s="66">
        <v>121568944.1584</v>
      </c>
      <c r="V120" s="66">
        <v>5331157.9908999996</v>
      </c>
      <c r="W120" s="66">
        <v>5674431.9900000002</v>
      </c>
      <c r="X120" s="66">
        <f t="shared" si="25"/>
        <v>2837215.9950000001</v>
      </c>
      <c r="Y120" s="66">
        <f t="shared" si="26"/>
        <v>2837215.9950000001</v>
      </c>
      <c r="Z120" s="66">
        <v>187956051.4589</v>
      </c>
      <c r="AA120" s="71">
        <f t="shared" si="21"/>
        <v>385272158.52319998</v>
      </c>
    </row>
    <row r="121" spans="1:27" ht="24.9" customHeight="1">
      <c r="A121" s="62"/>
      <c r="B121" s="173" t="s">
        <v>356</v>
      </c>
      <c r="C121" s="174"/>
      <c r="D121" s="67"/>
      <c r="E121" s="67">
        <f t="shared" ref="E121:M121" si="27">SUM(E101:E120)</f>
        <v>1993105743.0078001</v>
      </c>
      <c r="F121" s="67">
        <f t="shared" si="27"/>
        <v>0</v>
      </c>
      <c r="G121" s="67">
        <f t="shared" si="27"/>
        <v>3585441003.5468998</v>
      </c>
      <c r="H121" s="67">
        <f t="shared" si="27"/>
        <v>129329293.17560001</v>
      </c>
      <c r="I121" s="67">
        <f t="shared" si="27"/>
        <v>167356402.38</v>
      </c>
      <c r="J121" s="67">
        <f t="shared" si="27"/>
        <v>0</v>
      </c>
      <c r="K121" s="67">
        <f t="shared" si="27"/>
        <v>167356402.38</v>
      </c>
      <c r="L121" s="67">
        <f t="shared" si="27"/>
        <v>4775837246.3919001</v>
      </c>
      <c r="M121" s="67">
        <f t="shared" si="27"/>
        <v>10651069688.502199</v>
      </c>
      <c r="N121" s="70"/>
      <c r="O121" s="183"/>
      <c r="P121" s="76">
        <v>16</v>
      </c>
      <c r="Q121" s="180"/>
      <c r="R121" s="77" t="s">
        <v>357</v>
      </c>
      <c r="S121" s="66">
        <v>81793719.540000007</v>
      </c>
      <c r="T121" s="66">
        <v>0</v>
      </c>
      <c r="U121" s="66">
        <v>147140490.11950001</v>
      </c>
      <c r="V121" s="66">
        <v>5535043.3646</v>
      </c>
      <c r="W121" s="66">
        <v>6868026.29</v>
      </c>
      <c r="X121" s="66">
        <f t="shared" si="25"/>
        <v>3434013.145</v>
      </c>
      <c r="Y121" s="66">
        <f t="shared" si="26"/>
        <v>3434013.145</v>
      </c>
      <c r="Z121" s="66">
        <v>195892604.6848</v>
      </c>
      <c r="AA121" s="71">
        <f t="shared" si="21"/>
        <v>433795870.85390002</v>
      </c>
    </row>
    <row r="122" spans="1:27" ht="24.9" customHeight="1">
      <c r="A122" s="180">
        <v>6</v>
      </c>
      <c r="B122" s="181" t="s">
        <v>358</v>
      </c>
      <c r="C122" s="62">
        <v>1</v>
      </c>
      <c r="D122" s="66" t="s">
        <v>359</v>
      </c>
      <c r="E122" s="66">
        <v>96541033.739999995</v>
      </c>
      <c r="F122" s="66">
        <v>0</v>
      </c>
      <c r="G122" s="66">
        <v>173669752.3976</v>
      </c>
      <c r="H122" s="66">
        <v>6359291.1984000001</v>
      </c>
      <c r="I122" s="66">
        <v>8106323.5800000001</v>
      </c>
      <c r="J122" s="66">
        <f t="shared" ref="J122:J129" si="28">I122/2</f>
        <v>4053161.79</v>
      </c>
      <c r="K122" s="66">
        <f t="shared" ref="K122:K129" si="29">I122-J122</f>
        <v>4053161.79</v>
      </c>
      <c r="L122" s="66">
        <v>240088201.24720001</v>
      </c>
      <c r="M122" s="71">
        <f t="shared" si="15"/>
        <v>520711440.3732</v>
      </c>
      <c r="N122" s="70"/>
      <c r="O122" s="62"/>
      <c r="P122" s="174" t="s">
        <v>360</v>
      </c>
      <c r="Q122" s="177"/>
      <c r="R122" s="67"/>
      <c r="S122" s="67">
        <f t="shared" ref="S122:AA122" si="30">SUM(S106:S121)</f>
        <v>1339525143.5077</v>
      </c>
      <c r="T122" s="67">
        <f t="shared" si="30"/>
        <v>0</v>
      </c>
      <c r="U122" s="67">
        <f t="shared" si="30"/>
        <v>2409700735.5170999</v>
      </c>
      <c r="V122" s="67">
        <f t="shared" si="30"/>
        <v>95039528.562199995</v>
      </c>
      <c r="W122" s="67">
        <f t="shared" si="30"/>
        <v>112476776.37</v>
      </c>
      <c r="X122" s="67">
        <f t="shared" si="30"/>
        <v>56238388.185000002</v>
      </c>
      <c r="Y122" s="67">
        <f t="shared" si="30"/>
        <v>56238388.185000002</v>
      </c>
      <c r="Z122" s="67">
        <f t="shared" si="30"/>
        <v>3386480328.2484002</v>
      </c>
      <c r="AA122" s="67">
        <f t="shared" si="30"/>
        <v>7286984124.0204</v>
      </c>
    </row>
    <row r="123" spans="1:27" ht="24.9" customHeight="1">
      <c r="A123" s="180"/>
      <c r="B123" s="182"/>
      <c r="C123" s="62">
        <v>2</v>
      </c>
      <c r="D123" s="66" t="s">
        <v>361</v>
      </c>
      <c r="E123" s="66">
        <v>110829607.2674</v>
      </c>
      <c r="F123" s="66">
        <v>0</v>
      </c>
      <c r="G123" s="66">
        <v>199373776.18149999</v>
      </c>
      <c r="H123" s="66">
        <v>7321019.7701000003</v>
      </c>
      <c r="I123" s="66">
        <v>9306101.5099999998</v>
      </c>
      <c r="J123" s="66">
        <f t="shared" si="28"/>
        <v>4653050.7549999999</v>
      </c>
      <c r="K123" s="66">
        <f t="shared" si="29"/>
        <v>4653050.7549999999</v>
      </c>
      <c r="L123" s="66">
        <v>277524972.02170002</v>
      </c>
      <c r="M123" s="71">
        <f t="shared" si="15"/>
        <v>599702425.9957</v>
      </c>
      <c r="N123" s="70"/>
      <c r="O123" s="181">
        <v>24</v>
      </c>
      <c r="P123" s="72">
        <v>1</v>
      </c>
      <c r="Q123" s="181" t="s">
        <v>109</v>
      </c>
      <c r="R123" s="66" t="s">
        <v>362</v>
      </c>
      <c r="S123" s="66">
        <v>114782138.7174</v>
      </c>
      <c r="T123" s="66">
        <v>0</v>
      </c>
      <c r="U123" s="66">
        <v>206484070.4377</v>
      </c>
      <c r="V123" s="66">
        <v>22795359.971500002</v>
      </c>
      <c r="W123" s="66">
        <v>9637986.2699999996</v>
      </c>
      <c r="X123" s="66">
        <v>0</v>
      </c>
      <c r="Y123" s="66">
        <f t="shared" ref="Y123:Y142" si="31">W123-X123</f>
        <v>9637986.2699999996</v>
      </c>
      <c r="Z123" s="66">
        <v>1401811840.3197999</v>
      </c>
      <c r="AA123" s="71">
        <f t="shared" si="21"/>
        <v>1755511395.7163999</v>
      </c>
    </row>
    <row r="124" spans="1:27" ht="24.9" customHeight="1">
      <c r="A124" s="180"/>
      <c r="B124" s="182"/>
      <c r="C124" s="62">
        <v>3</v>
      </c>
      <c r="D124" s="75" t="s">
        <v>363</v>
      </c>
      <c r="E124" s="66">
        <v>73757221.361699998</v>
      </c>
      <c r="F124" s="66">
        <v>0</v>
      </c>
      <c r="G124" s="66">
        <v>132683459.82340001</v>
      </c>
      <c r="H124" s="66">
        <v>5143055.8015000001</v>
      </c>
      <c r="I124" s="66">
        <v>6193220.4299999997</v>
      </c>
      <c r="J124" s="66">
        <f t="shared" si="28"/>
        <v>3096610.2149999999</v>
      </c>
      <c r="K124" s="66">
        <f t="shared" si="29"/>
        <v>3096610.2149999999</v>
      </c>
      <c r="L124" s="66">
        <v>192744359.02169999</v>
      </c>
      <c r="M124" s="71">
        <f t="shared" si="15"/>
        <v>407424706.22329998</v>
      </c>
      <c r="N124" s="70"/>
      <c r="O124" s="182"/>
      <c r="P124" s="72">
        <v>2</v>
      </c>
      <c r="Q124" s="182"/>
      <c r="R124" s="75" t="s">
        <v>364</v>
      </c>
      <c r="S124" s="66">
        <v>147537268.68619999</v>
      </c>
      <c r="T124" s="66">
        <v>0</v>
      </c>
      <c r="U124" s="66">
        <v>265407981.7667</v>
      </c>
      <c r="V124" s="66">
        <v>25325484.455200002</v>
      </c>
      <c r="W124" s="66">
        <v>12388357.51</v>
      </c>
      <c r="X124" s="66">
        <v>0</v>
      </c>
      <c r="Y124" s="66">
        <f t="shared" si="31"/>
        <v>12388357.51</v>
      </c>
      <c r="Z124" s="66">
        <v>1500300845.5474</v>
      </c>
      <c r="AA124" s="71">
        <f t="shared" si="21"/>
        <v>1950959937.9655001</v>
      </c>
    </row>
    <row r="125" spans="1:27" ht="24.9" customHeight="1">
      <c r="A125" s="180"/>
      <c r="B125" s="182"/>
      <c r="C125" s="62">
        <v>4</v>
      </c>
      <c r="D125" s="66" t="s">
        <v>365</v>
      </c>
      <c r="E125" s="66">
        <v>90945986.094500005</v>
      </c>
      <c r="F125" s="66">
        <v>0</v>
      </c>
      <c r="G125" s="66">
        <v>163604700.24579999</v>
      </c>
      <c r="H125" s="66">
        <v>5748470.3031000001</v>
      </c>
      <c r="I125" s="66">
        <v>7636520.5899999999</v>
      </c>
      <c r="J125" s="66">
        <f t="shared" si="28"/>
        <v>3818260.2949999999</v>
      </c>
      <c r="K125" s="66">
        <f t="shared" si="29"/>
        <v>3818260.2949999999</v>
      </c>
      <c r="L125" s="66">
        <v>216311054.0219</v>
      </c>
      <c r="M125" s="71">
        <f t="shared" si="15"/>
        <v>480428470.96030003</v>
      </c>
      <c r="N125" s="70"/>
      <c r="O125" s="182"/>
      <c r="P125" s="72">
        <v>3</v>
      </c>
      <c r="Q125" s="182"/>
      <c r="R125" s="66" t="s">
        <v>366</v>
      </c>
      <c r="S125" s="66">
        <v>237931980.48480001</v>
      </c>
      <c r="T125" s="66">
        <v>0</v>
      </c>
      <c r="U125" s="66">
        <v>428020982.76359999</v>
      </c>
      <c r="V125" s="66">
        <v>32025450.840100002</v>
      </c>
      <c r="W125" s="66">
        <v>19978588.890000001</v>
      </c>
      <c r="X125" s="66">
        <v>0</v>
      </c>
      <c r="Y125" s="66">
        <f t="shared" si="31"/>
        <v>19978588.890000001</v>
      </c>
      <c r="Z125" s="66">
        <v>1761107390.2693999</v>
      </c>
      <c r="AA125" s="71">
        <f t="shared" si="21"/>
        <v>2479064393.2479</v>
      </c>
    </row>
    <row r="126" spans="1:27" ht="24.9" customHeight="1">
      <c r="A126" s="180"/>
      <c r="B126" s="182"/>
      <c r="C126" s="62">
        <v>5</v>
      </c>
      <c r="D126" s="66" t="s">
        <v>367</v>
      </c>
      <c r="E126" s="66">
        <v>95576302.338599995</v>
      </c>
      <c r="F126" s="66">
        <v>0</v>
      </c>
      <c r="G126" s="66">
        <v>171934276.2297</v>
      </c>
      <c r="H126" s="66">
        <v>6301468.7466000002</v>
      </c>
      <c r="I126" s="66">
        <v>8025317.3600000003</v>
      </c>
      <c r="J126" s="66">
        <f t="shared" si="28"/>
        <v>4012658.68</v>
      </c>
      <c r="K126" s="66">
        <f t="shared" si="29"/>
        <v>4012658.68</v>
      </c>
      <c r="L126" s="66">
        <v>237837372.96020001</v>
      </c>
      <c r="M126" s="71">
        <f t="shared" si="15"/>
        <v>515662078.9551</v>
      </c>
      <c r="N126" s="70"/>
      <c r="O126" s="182"/>
      <c r="P126" s="72">
        <v>4</v>
      </c>
      <c r="Q126" s="182"/>
      <c r="R126" s="66" t="s">
        <v>368</v>
      </c>
      <c r="S126" s="66">
        <v>92994169.403899997</v>
      </c>
      <c r="T126" s="66">
        <v>0</v>
      </c>
      <c r="U126" s="66">
        <v>167289221.47530001</v>
      </c>
      <c r="V126" s="66">
        <v>21195191.621100001</v>
      </c>
      <c r="W126" s="66">
        <v>7808501.7199999997</v>
      </c>
      <c r="X126" s="66">
        <v>0</v>
      </c>
      <c r="Y126" s="66">
        <f t="shared" si="31"/>
        <v>7808501.7199999997</v>
      </c>
      <c r="Z126" s="66">
        <v>1339522814.6062</v>
      </c>
      <c r="AA126" s="71">
        <f t="shared" si="21"/>
        <v>1628809898.8264999</v>
      </c>
    </row>
    <row r="127" spans="1:27" ht="24.9" customHeight="1">
      <c r="A127" s="180"/>
      <c r="B127" s="182"/>
      <c r="C127" s="62">
        <v>6</v>
      </c>
      <c r="D127" s="66" t="s">
        <v>369</v>
      </c>
      <c r="E127" s="66">
        <v>93966341.918699995</v>
      </c>
      <c r="F127" s="66">
        <v>0</v>
      </c>
      <c r="G127" s="66">
        <v>169038083.6345</v>
      </c>
      <c r="H127" s="66">
        <v>6382959.6897999998</v>
      </c>
      <c r="I127" s="66">
        <v>7890132.7699999996</v>
      </c>
      <c r="J127" s="66">
        <f t="shared" si="28"/>
        <v>3945066.3849999998</v>
      </c>
      <c r="K127" s="66">
        <f t="shared" si="29"/>
        <v>3945066.3849999998</v>
      </c>
      <c r="L127" s="66">
        <v>241009533.8488</v>
      </c>
      <c r="M127" s="71">
        <f t="shared" si="15"/>
        <v>514341985.47680002</v>
      </c>
      <c r="N127" s="70"/>
      <c r="O127" s="182"/>
      <c r="P127" s="72">
        <v>5</v>
      </c>
      <c r="Q127" s="182"/>
      <c r="R127" s="66" t="s">
        <v>370</v>
      </c>
      <c r="S127" s="66">
        <v>78184482.035699993</v>
      </c>
      <c r="T127" s="66">
        <v>0</v>
      </c>
      <c r="U127" s="66">
        <v>140647754.7482</v>
      </c>
      <c r="V127" s="66">
        <v>20057433.582699999</v>
      </c>
      <c r="W127" s="66">
        <v>6564967.0999999996</v>
      </c>
      <c r="X127" s="66">
        <v>0</v>
      </c>
      <c r="Y127" s="66">
        <f t="shared" si="31"/>
        <v>6564967.0999999996</v>
      </c>
      <c r="Z127" s="66">
        <v>1295233824.8264</v>
      </c>
      <c r="AA127" s="71">
        <f t="shared" si="21"/>
        <v>1540688462.293</v>
      </c>
    </row>
    <row r="128" spans="1:27" ht="24.9" customHeight="1">
      <c r="A128" s="180"/>
      <c r="B128" s="182"/>
      <c r="C128" s="62">
        <v>7</v>
      </c>
      <c r="D128" s="66" t="s">
        <v>371</v>
      </c>
      <c r="E128" s="66">
        <v>129820928.8818</v>
      </c>
      <c r="F128" s="66">
        <v>0</v>
      </c>
      <c r="G128" s="66">
        <v>233537675.14789999</v>
      </c>
      <c r="H128" s="66">
        <v>7875835.3938999996</v>
      </c>
      <c r="I128" s="66">
        <v>10900758.119999999</v>
      </c>
      <c r="J128" s="66">
        <f t="shared" si="28"/>
        <v>5450379.0599999996</v>
      </c>
      <c r="K128" s="66">
        <f t="shared" si="29"/>
        <v>5450379.0599999996</v>
      </c>
      <c r="L128" s="66">
        <v>299122027.51169997</v>
      </c>
      <c r="M128" s="71">
        <f t="shared" si="15"/>
        <v>675806845.99530005</v>
      </c>
      <c r="N128" s="70"/>
      <c r="O128" s="182"/>
      <c r="P128" s="72">
        <v>6</v>
      </c>
      <c r="Q128" s="182"/>
      <c r="R128" s="66" t="s">
        <v>372</v>
      </c>
      <c r="S128" s="66">
        <v>87407366.427200004</v>
      </c>
      <c r="T128" s="66">
        <v>0</v>
      </c>
      <c r="U128" s="66">
        <v>157239000.83649999</v>
      </c>
      <c r="V128" s="66">
        <v>20325281.445900001</v>
      </c>
      <c r="W128" s="66">
        <v>7339391.0199999996</v>
      </c>
      <c r="X128" s="66">
        <v>0</v>
      </c>
      <c r="Y128" s="66">
        <f t="shared" si="31"/>
        <v>7339391.0199999996</v>
      </c>
      <c r="Z128" s="66">
        <v>1305660216.7995999</v>
      </c>
      <c r="AA128" s="71">
        <f t="shared" si="21"/>
        <v>1577971256.5292001</v>
      </c>
    </row>
    <row r="129" spans="1:27" ht="24.9" customHeight="1">
      <c r="A129" s="180"/>
      <c r="B129" s="183"/>
      <c r="C129" s="62">
        <v>8</v>
      </c>
      <c r="D129" s="66" t="s">
        <v>373</v>
      </c>
      <c r="E129" s="66">
        <v>119829570.1119</v>
      </c>
      <c r="F129" s="66">
        <v>0</v>
      </c>
      <c r="G129" s="66">
        <v>215564003.8741</v>
      </c>
      <c r="H129" s="66">
        <v>8258808.9664000003</v>
      </c>
      <c r="I129" s="66">
        <v>10061807.220000001</v>
      </c>
      <c r="J129" s="66">
        <f t="shared" si="28"/>
        <v>5030903.6100000003</v>
      </c>
      <c r="K129" s="66">
        <f t="shared" si="29"/>
        <v>5030903.6100000003</v>
      </c>
      <c r="L129" s="66">
        <v>314029865.61549997</v>
      </c>
      <c r="M129" s="71">
        <f t="shared" si="15"/>
        <v>662713152.17789996</v>
      </c>
      <c r="N129" s="70"/>
      <c r="O129" s="182"/>
      <c r="P129" s="72">
        <v>7</v>
      </c>
      <c r="Q129" s="182"/>
      <c r="R129" s="66" t="s">
        <v>374</v>
      </c>
      <c r="S129" s="66">
        <v>80253316.279499993</v>
      </c>
      <c r="T129" s="66">
        <v>0</v>
      </c>
      <c r="U129" s="66">
        <v>144369425.39340001</v>
      </c>
      <c r="V129" s="66">
        <v>19651638.031300001</v>
      </c>
      <c r="W129" s="66">
        <v>6738682.25</v>
      </c>
      <c r="X129" s="66">
        <v>0</v>
      </c>
      <c r="Y129" s="66">
        <f t="shared" si="31"/>
        <v>6738682.25</v>
      </c>
      <c r="Z129" s="66">
        <v>1279437605.9309001</v>
      </c>
      <c r="AA129" s="71">
        <f t="shared" si="21"/>
        <v>1530450667.8850999</v>
      </c>
    </row>
    <row r="130" spans="1:27" ht="24.9" customHeight="1">
      <c r="A130" s="62"/>
      <c r="B130" s="173" t="s">
        <v>375</v>
      </c>
      <c r="C130" s="174"/>
      <c r="D130" s="67"/>
      <c r="E130" s="67">
        <f t="shared" ref="E130:M130" si="32">SUM(E122:E129)</f>
        <v>811266991.71459997</v>
      </c>
      <c r="F130" s="67">
        <f t="shared" si="32"/>
        <v>0</v>
      </c>
      <c r="G130" s="67">
        <f t="shared" si="32"/>
        <v>1459405727.5344999</v>
      </c>
      <c r="H130" s="67">
        <f t="shared" si="32"/>
        <v>53390909.869800001</v>
      </c>
      <c r="I130" s="67">
        <f t="shared" si="32"/>
        <v>68120181.579999998</v>
      </c>
      <c r="J130" s="67">
        <f t="shared" si="32"/>
        <v>34060090.789999999</v>
      </c>
      <c r="K130" s="67">
        <f t="shared" si="32"/>
        <v>34060090.789999999</v>
      </c>
      <c r="L130" s="67">
        <f t="shared" si="32"/>
        <v>2018667386.2486999</v>
      </c>
      <c r="M130" s="67">
        <f t="shared" si="32"/>
        <v>4376791106.1576004</v>
      </c>
      <c r="N130" s="70"/>
      <c r="O130" s="182"/>
      <c r="P130" s="72">
        <v>8</v>
      </c>
      <c r="Q130" s="182"/>
      <c r="R130" s="66" t="s">
        <v>376</v>
      </c>
      <c r="S130" s="66">
        <v>96817088.368100002</v>
      </c>
      <c r="T130" s="66">
        <v>0</v>
      </c>
      <c r="U130" s="66">
        <v>174166353.0372</v>
      </c>
      <c r="V130" s="66">
        <v>20852286.310199998</v>
      </c>
      <c r="W130" s="66">
        <v>8129503.2400000002</v>
      </c>
      <c r="X130" s="66">
        <v>0</v>
      </c>
      <c r="Y130" s="66">
        <f t="shared" si="31"/>
        <v>8129503.2400000002</v>
      </c>
      <c r="Z130" s="66">
        <v>1326174695.4988</v>
      </c>
      <c r="AA130" s="71">
        <f t="shared" si="21"/>
        <v>1626139926.4542999</v>
      </c>
    </row>
    <row r="131" spans="1:27" ht="24.9" customHeight="1">
      <c r="A131" s="180">
        <v>7</v>
      </c>
      <c r="B131" s="181" t="s">
        <v>377</v>
      </c>
      <c r="C131" s="62">
        <v>1</v>
      </c>
      <c r="D131" s="66" t="s">
        <v>378</v>
      </c>
      <c r="E131" s="66">
        <v>95482416.0581</v>
      </c>
      <c r="F131" s="66">
        <v>0</v>
      </c>
      <c r="G131" s="66">
        <v>171765382.16749999</v>
      </c>
      <c r="H131" s="66">
        <v>5856430.1146999998</v>
      </c>
      <c r="I131" s="66">
        <v>8017433.9500000002</v>
      </c>
      <c r="J131" s="66">
        <f t="shared" ref="J131:J153" si="33">I131/2</f>
        <v>4008716.9750000001</v>
      </c>
      <c r="K131" s="66">
        <f t="shared" ref="K131:K153" si="34">I131-J131</f>
        <v>4008716.9750000001</v>
      </c>
      <c r="L131" s="66">
        <v>212386201.57800001</v>
      </c>
      <c r="M131" s="71">
        <f t="shared" si="15"/>
        <v>489499146.8933</v>
      </c>
      <c r="N131" s="70"/>
      <c r="O131" s="182"/>
      <c r="P131" s="72">
        <v>9</v>
      </c>
      <c r="Q131" s="182"/>
      <c r="R131" s="66" t="s">
        <v>379</v>
      </c>
      <c r="S131" s="66">
        <v>64648310.783</v>
      </c>
      <c r="T131" s="66">
        <v>0</v>
      </c>
      <c r="U131" s="66">
        <v>116297243.683</v>
      </c>
      <c r="V131" s="66">
        <v>18930093.292199999</v>
      </c>
      <c r="W131" s="66">
        <v>5428366.6299999999</v>
      </c>
      <c r="X131" s="66">
        <v>0</v>
      </c>
      <c r="Y131" s="66">
        <f t="shared" si="31"/>
        <v>5428366.6299999999</v>
      </c>
      <c r="Z131" s="66">
        <v>1251350361.9858</v>
      </c>
      <c r="AA131" s="71">
        <f t="shared" si="21"/>
        <v>1456654376.3740001</v>
      </c>
    </row>
    <row r="132" spans="1:27" ht="24.9" customHeight="1">
      <c r="A132" s="180"/>
      <c r="B132" s="182"/>
      <c r="C132" s="62">
        <v>2</v>
      </c>
      <c r="D132" s="66" t="s">
        <v>380</v>
      </c>
      <c r="E132" s="66">
        <v>84248784.930299997</v>
      </c>
      <c r="F132" s="66">
        <v>0</v>
      </c>
      <c r="G132" s="66">
        <v>151556960.31510001</v>
      </c>
      <c r="H132" s="66">
        <v>5141307.5842000004</v>
      </c>
      <c r="I132" s="66">
        <v>7074172.3600000003</v>
      </c>
      <c r="J132" s="66">
        <f t="shared" si="33"/>
        <v>3537086.18</v>
      </c>
      <c r="K132" s="66">
        <f t="shared" si="34"/>
        <v>3537086.18</v>
      </c>
      <c r="L132" s="66">
        <v>184548952.0298</v>
      </c>
      <c r="M132" s="71">
        <f t="shared" si="15"/>
        <v>429033091.03939998</v>
      </c>
      <c r="N132" s="70"/>
      <c r="O132" s="182"/>
      <c r="P132" s="72">
        <v>10</v>
      </c>
      <c r="Q132" s="182"/>
      <c r="R132" s="66" t="s">
        <v>381</v>
      </c>
      <c r="S132" s="66">
        <v>110231878.8328</v>
      </c>
      <c r="T132" s="66">
        <v>0</v>
      </c>
      <c r="U132" s="66">
        <v>198298509.5853</v>
      </c>
      <c r="V132" s="66">
        <v>22433492.778999999</v>
      </c>
      <c r="W132" s="66">
        <v>9255911.6600000001</v>
      </c>
      <c r="X132" s="66">
        <v>0</v>
      </c>
      <c r="Y132" s="66">
        <f t="shared" si="31"/>
        <v>9255911.6600000001</v>
      </c>
      <c r="Z132" s="66">
        <v>1387725600.6733</v>
      </c>
      <c r="AA132" s="71">
        <f t="shared" si="21"/>
        <v>1727945393.5304</v>
      </c>
    </row>
    <row r="133" spans="1:27" ht="24.9" customHeight="1">
      <c r="A133" s="180"/>
      <c r="B133" s="182"/>
      <c r="C133" s="62">
        <v>3</v>
      </c>
      <c r="D133" s="66" t="s">
        <v>382</v>
      </c>
      <c r="E133" s="66">
        <v>81577871.572400004</v>
      </c>
      <c r="F133" s="66">
        <v>0</v>
      </c>
      <c r="G133" s="66">
        <v>146752196.54300001</v>
      </c>
      <c r="H133" s="66">
        <v>4929589.1475999998</v>
      </c>
      <c r="I133" s="66">
        <v>6849902.0499999998</v>
      </c>
      <c r="J133" s="66">
        <f t="shared" si="33"/>
        <v>3424951.0249999999</v>
      </c>
      <c r="K133" s="66">
        <f t="shared" si="34"/>
        <v>3424951.0249999999</v>
      </c>
      <c r="L133" s="66">
        <v>176307484.72409999</v>
      </c>
      <c r="M133" s="71">
        <f t="shared" si="15"/>
        <v>412992093.01209998</v>
      </c>
      <c r="N133" s="70"/>
      <c r="O133" s="182"/>
      <c r="P133" s="72">
        <v>11</v>
      </c>
      <c r="Q133" s="182"/>
      <c r="R133" s="66" t="s">
        <v>383</v>
      </c>
      <c r="S133" s="66">
        <v>95290006.096399993</v>
      </c>
      <c r="T133" s="66">
        <v>0</v>
      </c>
      <c r="U133" s="66">
        <v>171419251.7263</v>
      </c>
      <c r="V133" s="66">
        <v>21139096.055</v>
      </c>
      <c r="W133" s="66">
        <v>8001277.7300000004</v>
      </c>
      <c r="X133" s="66">
        <v>0</v>
      </c>
      <c r="Y133" s="66">
        <f t="shared" si="31"/>
        <v>8001277.7300000004</v>
      </c>
      <c r="Z133" s="66">
        <v>1337339208.0111001</v>
      </c>
      <c r="AA133" s="71">
        <f t="shared" si="21"/>
        <v>1633188839.6187999</v>
      </c>
    </row>
    <row r="134" spans="1:27" ht="24.9" customHeight="1">
      <c r="A134" s="180"/>
      <c r="B134" s="182"/>
      <c r="C134" s="62">
        <v>4</v>
      </c>
      <c r="D134" s="66" t="s">
        <v>384</v>
      </c>
      <c r="E134" s="66">
        <v>96709500.435299993</v>
      </c>
      <c r="F134" s="66">
        <v>0</v>
      </c>
      <c r="G134" s="66">
        <v>173972810.77559999</v>
      </c>
      <c r="H134" s="66">
        <v>6136783.7903000005</v>
      </c>
      <c r="I134" s="66">
        <v>8120469.3300000001</v>
      </c>
      <c r="J134" s="66">
        <f t="shared" si="33"/>
        <v>4060234.665</v>
      </c>
      <c r="K134" s="66">
        <f t="shared" si="34"/>
        <v>4060234.665</v>
      </c>
      <c r="L134" s="66">
        <v>223299401.62099999</v>
      </c>
      <c r="M134" s="71">
        <f t="shared" si="15"/>
        <v>504178731.28719997</v>
      </c>
      <c r="N134" s="70"/>
      <c r="O134" s="182"/>
      <c r="P134" s="72">
        <v>12</v>
      </c>
      <c r="Q134" s="182"/>
      <c r="R134" s="66" t="s">
        <v>385</v>
      </c>
      <c r="S134" s="66">
        <v>131019032.0697</v>
      </c>
      <c r="T134" s="66">
        <v>0</v>
      </c>
      <c r="U134" s="66">
        <v>235692968.86070001</v>
      </c>
      <c r="V134" s="66">
        <v>23649547.586599998</v>
      </c>
      <c r="W134" s="66">
        <v>11001360.029999999</v>
      </c>
      <c r="X134" s="66">
        <v>0</v>
      </c>
      <c r="Y134" s="66">
        <f t="shared" si="31"/>
        <v>11001360.029999999</v>
      </c>
      <c r="Z134" s="66">
        <v>1435062413.1793001</v>
      </c>
      <c r="AA134" s="71">
        <f t="shared" si="21"/>
        <v>1836425321.7263</v>
      </c>
    </row>
    <row r="135" spans="1:27" ht="24.9" customHeight="1">
      <c r="A135" s="180"/>
      <c r="B135" s="182"/>
      <c r="C135" s="62">
        <v>5</v>
      </c>
      <c r="D135" s="66" t="s">
        <v>386</v>
      </c>
      <c r="E135" s="66">
        <v>125513874.34639999</v>
      </c>
      <c r="F135" s="66">
        <v>0</v>
      </c>
      <c r="G135" s="66">
        <v>225789621.63710001</v>
      </c>
      <c r="H135" s="66">
        <v>7888669.7664999999</v>
      </c>
      <c r="I135" s="66">
        <v>10539104.880000001</v>
      </c>
      <c r="J135" s="66">
        <f t="shared" si="33"/>
        <v>5269552.4400000004</v>
      </c>
      <c r="K135" s="66">
        <f t="shared" si="34"/>
        <v>5269552.4400000004</v>
      </c>
      <c r="L135" s="66">
        <v>291494270.36299998</v>
      </c>
      <c r="M135" s="71">
        <f t="shared" ref="M135:M198" si="35">E135+F135+G135+H135+K135+L135</f>
        <v>655955988.55299997</v>
      </c>
      <c r="N135" s="70"/>
      <c r="O135" s="182"/>
      <c r="P135" s="72">
        <v>13</v>
      </c>
      <c r="Q135" s="182"/>
      <c r="R135" s="66" t="s">
        <v>387</v>
      </c>
      <c r="S135" s="66">
        <v>141754126.95750001</v>
      </c>
      <c r="T135" s="66">
        <v>0</v>
      </c>
      <c r="U135" s="66">
        <v>255004563.1074</v>
      </c>
      <c r="V135" s="66">
        <v>25114285.212900002</v>
      </c>
      <c r="W135" s="66">
        <v>11902760.699999999</v>
      </c>
      <c r="X135" s="66">
        <v>0</v>
      </c>
      <c r="Y135" s="66">
        <f t="shared" si="31"/>
        <v>11902760.699999999</v>
      </c>
      <c r="Z135" s="66">
        <v>1492079588.6849999</v>
      </c>
      <c r="AA135" s="71">
        <f t="shared" si="21"/>
        <v>1925855324.6628001</v>
      </c>
    </row>
    <row r="136" spans="1:27" ht="24.9" customHeight="1">
      <c r="A136" s="180"/>
      <c r="B136" s="182"/>
      <c r="C136" s="62">
        <v>6</v>
      </c>
      <c r="D136" s="66" t="s">
        <v>388</v>
      </c>
      <c r="E136" s="66">
        <v>102546408.4868</v>
      </c>
      <c r="F136" s="66">
        <v>0</v>
      </c>
      <c r="G136" s="66">
        <v>184472950.83610001</v>
      </c>
      <c r="H136" s="66">
        <v>5999964.7856999999</v>
      </c>
      <c r="I136" s="66">
        <v>8610580.7799999993</v>
      </c>
      <c r="J136" s="66">
        <f t="shared" si="33"/>
        <v>4305290.3899999997</v>
      </c>
      <c r="K136" s="66">
        <f t="shared" si="34"/>
        <v>4305290.3899999997</v>
      </c>
      <c r="L136" s="66">
        <v>217973510.44499999</v>
      </c>
      <c r="M136" s="71">
        <f t="shared" si="35"/>
        <v>515298124.9436</v>
      </c>
      <c r="N136" s="70"/>
      <c r="O136" s="182"/>
      <c r="P136" s="72">
        <v>14</v>
      </c>
      <c r="Q136" s="182"/>
      <c r="R136" s="66" t="s">
        <v>389</v>
      </c>
      <c r="S136" s="66">
        <v>76308438.332499996</v>
      </c>
      <c r="T136" s="66">
        <v>0</v>
      </c>
      <c r="U136" s="66">
        <v>137272899.1803</v>
      </c>
      <c r="V136" s="66">
        <v>19967985.421300001</v>
      </c>
      <c r="W136" s="66">
        <v>6407440.1299999999</v>
      </c>
      <c r="X136" s="66">
        <v>0</v>
      </c>
      <c r="Y136" s="66">
        <f t="shared" si="31"/>
        <v>6407440.1299999999</v>
      </c>
      <c r="Z136" s="66">
        <v>1291751916.9259</v>
      </c>
      <c r="AA136" s="71">
        <f t="shared" si="21"/>
        <v>1531708679.99</v>
      </c>
    </row>
    <row r="137" spans="1:27" ht="24.9" customHeight="1">
      <c r="A137" s="180"/>
      <c r="B137" s="182"/>
      <c r="C137" s="62">
        <v>7</v>
      </c>
      <c r="D137" s="66" t="s">
        <v>390</v>
      </c>
      <c r="E137" s="66">
        <v>97274840.995299995</v>
      </c>
      <c r="F137" s="66">
        <v>0</v>
      </c>
      <c r="G137" s="66">
        <v>174989814.13499999</v>
      </c>
      <c r="H137" s="66">
        <v>5684475.1951000001</v>
      </c>
      <c r="I137" s="66">
        <v>8167939.6500000004</v>
      </c>
      <c r="J137" s="66">
        <f t="shared" si="33"/>
        <v>4083969.8250000002</v>
      </c>
      <c r="K137" s="66">
        <f t="shared" si="34"/>
        <v>4083969.8250000002</v>
      </c>
      <c r="L137" s="66">
        <v>205692590.61719999</v>
      </c>
      <c r="M137" s="71">
        <f t="shared" si="35"/>
        <v>487725690.7676</v>
      </c>
      <c r="N137" s="70"/>
      <c r="O137" s="182"/>
      <c r="P137" s="72">
        <v>15</v>
      </c>
      <c r="Q137" s="182"/>
      <c r="R137" s="66" t="s">
        <v>391</v>
      </c>
      <c r="S137" s="66">
        <v>92078386.154300004</v>
      </c>
      <c r="T137" s="66">
        <v>0</v>
      </c>
      <c r="U137" s="66">
        <v>165641799.18790001</v>
      </c>
      <c r="V137" s="66">
        <v>21190157.693100002</v>
      </c>
      <c r="W137" s="66">
        <v>7731605.5599999996</v>
      </c>
      <c r="X137" s="66">
        <v>0</v>
      </c>
      <c r="Y137" s="66">
        <f t="shared" si="31"/>
        <v>7731605.5599999996</v>
      </c>
      <c r="Z137" s="66">
        <v>1339326861.1773</v>
      </c>
      <c r="AA137" s="71">
        <f t="shared" si="21"/>
        <v>1625968809.7725999</v>
      </c>
    </row>
    <row r="138" spans="1:27" ht="24.9" customHeight="1">
      <c r="A138" s="180"/>
      <c r="B138" s="182"/>
      <c r="C138" s="62">
        <v>8</v>
      </c>
      <c r="D138" s="66" t="s">
        <v>392</v>
      </c>
      <c r="E138" s="66">
        <v>83593377.984500006</v>
      </c>
      <c r="F138" s="66">
        <v>0</v>
      </c>
      <c r="G138" s="66">
        <v>150377934.59040001</v>
      </c>
      <c r="H138" s="66">
        <v>5216049.0005000001</v>
      </c>
      <c r="I138" s="66">
        <v>7019139.3799999999</v>
      </c>
      <c r="J138" s="66">
        <f t="shared" si="33"/>
        <v>3509569.69</v>
      </c>
      <c r="K138" s="66">
        <f t="shared" si="34"/>
        <v>3509569.69</v>
      </c>
      <c r="L138" s="66">
        <v>187458377.155</v>
      </c>
      <c r="M138" s="71">
        <f t="shared" si="35"/>
        <v>430155308.42040002</v>
      </c>
      <c r="N138" s="70"/>
      <c r="O138" s="182"/>
      <c r="P138" s="72">
        <v>16</v>
      </c>
      <c r="Q138" s="182"/>
      <c r="R138" s="66" t="s">
        <v>393</v>
      </c>
      <c r="S138" s="66">
        <v>137848261.90059999</v>
      </c>
      <c r="T138" s="66">
        <v>0</v>
      </c>
      <c r="U138" s="66">
        <v>247978218.03119999</v>
      </c>
      <c r="V138" s="66">
        <v>24748772.373</v>
      </c>
      <c r="W138" s="66">
        <v>11574794.4</v>
      </c>
      <c r="X138" s="66">
        <v>0</v>
      </c>
      <c r="Y138" s="66">
        <f t="shared" si="31"/>
        <v>11574794.4</v>
      </c>
      <c r="Z138" s="66">
        <v>1477851436.5776999</v>
      </c>
      <c r="AA138" s="71">
        <f t="shared" si="21"/>
        <v>1900001483.2825</v>
      </c>
    </row>
    <row r="139" spans="1:27" ht="24.9" customHeight="1">
      <c r="A139" s="180"/>
      <c r="B139" s="182"/>
      <c r="C139" s="62">
        <v>9</v>
      </c>
      <c r="D139" s="66" t="s">
        <v>394</v>
      </c>
      <c r="E139" s="66">
        <v>105599996.676</v>
      </c>
      <c r="F139" s="66">
        <v>0</v>
      </c>
      <c r="G139" s="66">
        <v>189966116.6426</v>
      </c>
      <c r="H139" s="66">
        <v>6373773.4488000004</v>
      </c>
      <c r="I139" s="66">
        <v>8866983.4000000004</v>
      </c>
      <c r="J139" s="66">
        <f t="shared" si="33"/>
        <v>4433491.7</v>
      </c>
      <c r="K139" s="66">
        <f t="shared" si="34"/>
        <v>4433491.7</v>
      </c>
      <c r="L139" s="66">
        <v>232524590.28819999</v>
      </c>
      <c r="M139" s="71">
        <f t="shared" si="35"/>
        <v>538897968.75559998</v>
      </c>
      <c r="N139" s="70"/>
      <c r="O139" s="182"/>
      <c r="P139" s="72">
        <v>17</v>
      </c>
      <c r="Q139" s="182"/>
      <c r="R139" s="66" t="s">
        <v>395</v>
      </c>
      <c r="S139" s="66">
        <v>133756788.1867</v>
      </c>
      <c r="T139" s="66">
        <v>0</v>
      </c>
      <c r="U139" s="66">
        <v>240617977.52959999</v>
      </c>
      <c r="V139" s="66">
        <v>24354432.9584</v>
      </c>
      <c r="W139" s="66">
        <v>11231242.98</v>
      </c>
      <c r="X139" s="66">
        <v>0</v>
      </c>
      <c r="Y139" s="66">
        <f t="shared" si="31"/>
        <v>11231242.98</v>
      </c>
      <c r="Z139" s="66">
        <v>1462501165.5079</v>
      </c>
      <c r="AA139" s="71">
        <f t="shared" si="21"/>
        <v>1872461607.1626</v>
      </c>
    </row>
    <row r="140" spans="1:27" ht="24.9" customHeight="1">
      <c r="A140" s="180"/>
      <c r="B140" s="182"/>
      <c r="C140" s="62">
        <v>10</v>
      </c>
      <c r="D140" s="66" t="s">
        <v>396</v>
      </c>
      <c r="E140" s="66">
        <v>99909568.1558</v>
      </c>
      <c r="F140" s="66">
        <v>0</v>
      </c>
      <c r="G140" s="66">
        <v>179729481.76719999</v>
      </c>
      <c r="H140" s="66">
        <v>6384541.0886000004</v>
      </c>
      <c r="I140" s="66">
        <v>8389171.4900000002</v>
      </c>
      <c r="J140" s="66">
        <f t="shared" si="33"/>
        <v>4194585.7450000001</v>
      </c>
      <c r="K140" s="66">
        <f t="shared" si="34"/>
        <v>4194585.7450000001</v>
      </c>
      <c r="L140" s="66">
        <v>232943737.3087</v>
      </c>
      <c r="M140" s="71">
        <f t="shared" si="35"/>
        <v>523161914.06529999</v>
      </c>
      <c r="N140" s="70"/>
      <c r="O140" s="182"/>
      <c r="P140" s="72">
        <v>18</v>
      </c>
      <c r="Q140" s="182"/>
      <c r="R140" s="66" t="s">
        <v>397</v>
      </c>
      <c r="S140" s="66">
        <v>136576866.5799</v>
      </c>
      <c r="T140" s="66">
        <v>0</v>
      </c>
      <c r="U140" s="66">
        <v>245691077.5059</v>
      </c>
      <c r="V140" s="66">
        <v>24618973.779199999</v>
      </c>
      <c r="W140" s="66">
        <v>11468038.33</v>
      </c>
      <c r="X140" s="66">
        <v>0</v>
      </c>
      <c r="Y140" s="66">
        <f t="shared" si="31"/>
        <v>11468038.33</v>
      </c>
      <c r="Z140" s="66">
        <v>1472798825.7441001</v>
      </c>
      <c r="AA140" s="71">
        <f t="shared" si="21"/>
        <v>1891153781.9391</v>
      </c>
    </row>
    <row r="141" spans="1:27" ht="24.9" customHeight="1">
      <c r="A141" s="180"/>
      <c r="B141" s="182"/>
      <c r="C141" s="62">
        <v>11</v>
      </c>
      <c r="D141" s="66" t="s">
        <v>398</v>
      </c>
      <c r="E141" s="66">
        <v>114389787.60439999</v>
      </c>
      <c r="F141" s="66">
        <v>0</v>
      </c>
      <c r="G141" s="66">
        <v>205778261.54539999</v>
      </c>
      <c r="H141" s="66">
        <v>6644420.4469999997</v>
      </c>
      <c r="I141" s="66">
        <v>9605041.4800000004</v>
      </c>
      <c r="J141" s="66">
        <f t="shared" si="33"/>
        <v>4802520.74</v>
      </c>
      <c r="K141" s="66">
        <f t="shared" si="34"/>
        <v>4802520.74</v>
      </c>
      <c r="L141" s="66">
        <v>243059942.91240001</v>
      </c>
      <c r="M141" s="71">
        <f t="shared" si="35"/>
        <v>574674933.24919999</v>
      </c>
      <c r="N141" s="70"/>
      <c r="O141" s="182"/>
      <c r="P141" s="72">
        <v>19</v>
      </c>
      <c r="Q141" s="182"/>
      <c r="R141" s="66" t="s">
        <v>399</v>
      </c>
      <c r="S141" s="66">
        <v>105629435.7321</v>
      </c>
      <c r="T141" s="66">
        <v>0</v>
      </c>
      <c r="U141" s="66">
        <v>190019075.19409999</v>
      </c>
      <c r="V141" s="66">
        <v>22149008.122000001</v>
      </c>
      <c r="W141" s="66">
        <v>8869455.3300000001</v>
      </c>
      <c r="X141" s="66">
        <v>0</v>
      </c>
      <c r="Y141" s="66">
        <f t="shared" si="31"/>
        <v>8869455.3300000001</v>
      </c>
      <c r="Z141" s="66">
        <v>1376651595.7985001</v>
      </c>
      <c r="AA141" s="71">
        <f t="shared" si="21"/>
        <v>1703318570.1767001</v>
      </c>
    </row>
    <row r="142" spans="1:27" ht="24.9" customHeight="1">
      <c r="A142" s="180"/>
      <c r="B142" s="182"/>
      <c r="C142" s="62">
        <v>12</v>
      </c>
      <c r="D142" s="66" t="s">
        <v>400</v>
      </c>
      <c r="E142" s="66">
        <v>87844619.2051</v>
      </c>
      <c r="F142" s="66">
        <v>0</v>
      </c>
      <c r="G142" s="66">
        <v>158025584.32179999</v>
      </c>
      <c r="H142" s="66">
        <v>5745604.6892999997</v>
      </c>
      <c r="I142" s="66">
        <v>7376106.1100000003</v>
      </c>
      <c r="J142" s="66">
        <f t="shared" si="33"/>
        <v>3688053.0550000002</v>
      </c>
      <c r="K142" s="66">
        <f t="shared" si="34"/>
        <v>3688053.0550000002</v>
      </c>
      <c r="L142" s="66">
        <v>208072150.64109999</v>
      </c>
      <c r="M142" s="71">
        <f t="shared" si="35"/>
        <v>463376011.91229999</v>
      </c>
      <c r="N142" s="70"/>
      <c r="O142" s="183"/>
      <c r="P142" s="72">
        <v>20</v>
      </c>
      <c r="Q142" s="183"/>
      <c r="R142" s="66" t="s">
        <v>401</v>
      </c>
      <c r="S142" s="66">
        <v>120826633.8536</v>
      </c>
      <c r="T142" s="66">
        <v>0</v>
      </c>
      <c r="U142" s="66">
        <v>217357643.40470001</v>
      </c>
      <c r="V142" s="66">
        <v>23292387.004000001</v>
      </c>
      <c r="W142" s="66">
        <v>10145528.32</v>
      </c>
      <c r="X142" s="66">
        <v>0</v>
      </c>
      <c r="Y142" s="66">
        <f t="shared" si="31"/>
        <v>10145528.32</v>
      </c>
      <c r="Z142" s="66">
        <v>1421159385.5952001</v>
      </c>
      <c r="AA142" s="71">
        <f t="shared" si="21"/>
        <v>1792781578.1775</v>
      </c>
    </row>
    <row r="143" spans="1:27" ht="24.9" customHeight="1">
      <c r="A143" s="180"/>
      <c r="B143" s="182"/>
      <c r="C143" s="62">
        <v>13</v>
      </c>
      <c r="D143" s="66" t="s">
        <v>402</v>
      </c>
      <c r="E143" s="66">
        <v>105522034.9228</v>
      </c>
      <c r="F143" s="66">
        <v>0</v>
      </c>
      <c r="G143" s="66">
        <v>189825869.56420001</v>
      </c>
      <c r="H143" s="66">
        <v>7194100.5612000003</v>
      </c>
      <c r="I143" s="66">
        <v>8860437.1400000006</v>
      </c>
      <c r="J143" s="66">
        <f t="shared" si="33"/>
        <v>4430218.57</v>
      </c>
      <c r="K143" s="66">
        <f t="shared" si="34"/>
        <v>4430218.57</v>
      </c>
      <c r="L143" s="66">
        <v>264457090.7563</v>
      </c>
      <c r="M143" s="71">
        <f t="shared" si="35"/>
        <v>571429314.37450004</v>
      </c>
      <c r="N143" s="70"/>
      <c r="O143" s="62"/>
      <c r="P143" s="174" t="s">
        <v>403</v>
      </c>
      <c r="Q143" s="177"/>
      <c r="R143" s="67"/>
      <c r="S143" s="67">
        <f t="shared" ref="S143:AA143" si="36">SUM(S123:S142)</f>
        <v>2281875975.8818998</v>
      </c>
      <c r="T143" s="67">
        <f t="shared" si="36"/>
        <v>0</v>
      </c>
      <c r="U143" s="67">
        <f t="shared" si="36"/>
        <v>4104916017.4549999</v>
      </c>
      <c r="V143" s="67">
        <f t="shared" si="36"/>
        <v>453816358.53469998</v>
      </c>
      <c r="W143" s="67">
        <f t="shared" si="36"/>
        <v>191603759.80000001</v>
      </c>
      <c r="X143" s="67">
        <f t="shared" si="36"/>
        <v>0</v>
      </c>
      <c r="Y143" s="67">
        <f t="shared" si="36"/>
        <v>191603759.80000001</v>
      </c>
      <c r="Z143" s="67">
        <f t="shared" si="36"/>
        <v>27954847593.659599</v>
      </c>
      <c r="AA143" s="67">
        <f t="shared" si="36"/>
        <v>34987059705.3312</v>
      </c>
    </row>
    <row r="144" spans="1:27" ht="24.9" customHeight="1">
      <c r="A144" s="180"/>
      <c r="B144" s="182"/>
      <c r="C144" s="62">
        <v>14</v>
      </c>
      <c r="D144" s="66" t="s">
        <v>404</v>
      </c>
      <c r="E144" s="66">
        <v>77949549.437800005</v>
      </c>
      <c r="F144" s="66">
        <v>0</v>
      </c>
      <c r="G144" s="66">
        <v>140225129.41589999</v>
      </c>
      <c r="H144" s="66">
        <v>4953178.6310999999</v>
      </c>
      <c r="I144" s="66">
        <v>6545240.3600000003</v>
      </c>
      <c r="J144" s="66">
        <f t="shared" si="33"/>
        <v>3272620.18</v>
      </c>
      <c r="K144" s="66">
        <f t="shared" si="34"/>
        <v>3272620.18</v>
      </c>
      <c r="L144" s="66">
        <v>177225741.82339999</v>
      </c>
      <c r="M144" s="71">
        <f t="shared" si="35"/>
        <v>403626219.48820001</v>
      </c>
      <c r="N144" s="70"/>
      <c r="O144" s="181">
        <v>25</v>
      </c>
      <c r="P144" s="72">
        <v>1</v>
      </c>
      <c r="Q144" s="181" t="s">
        <v>110</v>
      </c>
      <c r="R144" s="66" t="s">
        <v>405</v>
      </c>
      <c r="S144" s="66">
        <v>79057022.550600007</v>
      </c>
      <c r="T144" s="66">
        <v>0</v>
      </c>
      <c r="U144" s="66">
        <v>142217386.74880001</v>
      </c>
      <c r="V144" s="66">
        <v>5583922.2679000003</v>
      </c>
      <c r="W144" s="66">
        <v>6638232.2800000003</v>
      </c>
      <c r="X144" s="66">
        <v>6638232.2800000003</v>
      </c>
      <c r="Y144" s="66">
        <f t="shared" ref="Y144:Y207" si="37">W144-X144</f>
        <v>0</v>
      </c>
      <c r="Z144" s="66">
        <v>192327080.01120001</v>
      </c>
      <c r="AA144" s="71">
        <f t="shared" si="21"/>
        <v>419185411.57849997</v>
      </c>
    </row>
    <row r="145" spans="1:27" ht="24.9" customHeight="1">
      <c r="A145" s="180"/>
      <c r="B145" s="182"/>
      <c r="C145" s="62">
        <v>15</v>
      </c>
      <c r="D145" s="66" t="s">
        <v>406</v>
      </c>
      <c r="E145" s="66">
        <v>81887651.080899999</v>
      </c>
      <c r="F145" s="66">
        <v>0</v>
      </c>
      <c r="G145" s="66">
        <v>147309465.58790001</v>
      </c>
      <c r="H145" s="66">
        <v>5290113.2067999998</v>
      </c>
      <c r="I145" s="66">
        <v>6875913.5</v>
      </c>
      <c r="J145" s="66">
        <f t="shared" si="33"/>
        <v>3437956.75</v>
      </c>
      <c r="K145" s="66">
        <f t="shared" si="34"/>
        <v>3437956.75</v>
      </c>
      <c r="L145" s="66">
        <v>190341440.83239999</v>
      </c>
      <c r="M145" s="71">
        <f t="shared" si="35"/>
        <v>428266627.458</v>
      </c>
      <c r="N145" s="70"/>
      <c r="O145" s="182"/>
      <c r="P145" s="72">
        <v>2</v>
      </c>
      <c r="Q145" s="182"/>
      <c r="R145" s="66" t="s">
        <v>407</v>
      </c>
      <c r="S145" s="66">
        <v>89111538.968500003</v>
      </c>
      <c r="T145" s="66">
        <v>0</v>
      </c>
      <c r="U145" s="66">
        <v>160304673.66460001</v>
      </c>
      <c r="V145" s="66">
        <v>5574260.7378000002</v>
      </c>
      <c r="W145" s="66">
        <v>7482486.3799999999</v>
      </c>
      <c r="X145" s="66">
        <v>7482486.3799999999</v>
      </c>
      <c r="Y145" s="66">
        <f t="shared" si="37"/>
        <v>0</v>
      </c>
      <c r="Z145" s="66">
        <v>191950990.02219999</v>
      </c>
      <c r="AA145" s="71">
        <f t="shared" si="21"/>
        <v>446941463.39310002</v>
      </c>
    </row>
    <row r="146" spans="1:27" ht="24.9" customHeight="1">
      <c r="A146" s="180"/>
      <c r="B146" s="182"/>
      <c r="C146" s="62">
        <v>16</v>
      </c>
      <c r="D146" s="66" t="s">
        <v>408</v>
      </c>
      <c r="E146" s="66">
        <v>74691524.228200004</v>
      </c>
      <c r="F146" s="66">
        <v>0</v>
      </c>
      <c r="G146" s="66">
        <v>134364197.45269999</v>
      </c>
      <c r="H146" s="66">
        <v>4644224.1176000005</v>
      </c>
      <c r="I146" s="66">
        <v>6271671.6500000004</v>
      </c>
      <c r="J146" s="66">
        <f t="shared" si="33"/>
        <v>3135835.8250000002</v>
      </c>
      <c r="K146" s="66">
        <f t="shared" si="34"/>
        <v>3135835.8250000002</v>
      </c>
      <c r="L146" s="66">
        <v>165199209.96709999</v>
      </c>
      <c r="M146" s="71">
        <f t="shared" si="35"/>
        <v>382034991.59060001</v>
      </c>
      <c r="N146" s="70"/>
      <c r="O146" s="182"/>
      <c r="P146" s="72">
        <v>3</v>
      </c>
      <c r="Q146" s="182"/>
      <c r="R146" s="66" t="s">
        <v>409</v>
      </c>
      <c r="S146" s="66">
        <v>91242305.496000007</v>
      </c>
      <c r="T146" s="66">
        <v>0</v>
      </c>
      <c r="U146" s="66">
        <v>164137755.63620001</v>
      </c>
      <c r="V146" s="66">
        <v>5879377.7276999997</v>
      </c>
      <c r="W146" s="66">
        <v>7661401.8399999999</v>
      </c>
      <c r="X146" s="66">
        <v>7661401.8399999999</v>
      </c>
      <c r="Y146" s="66">
        <f t="shared" si="37"/>
        <v>0</v>
      </c>
      <c r="Z146" s="66">
        <v>203828140.34079999</v>
      </c>
      <c r="AA146" s="71">
        <f t="shared" si="21"/>
        <v>465087579.20069999</v>
      </c>
    </row>
    <row r="147" spans="1:27" ht="24.9" customHeight="1">
      <c r="A147" s="180"/>
      <c r="B147" s="182"/>
      <c r="C147" s="62">
        <v>17</v>
      </c>
      <c r="D147" s="66" t="s">
        <v>410</v>
      </c>
      <c r="E147" s="66">
        <v>94507595.4965</v>
      </c>
      <c r="F147" s="66">
        <v>0</v>
      </c>
      <c r="G147" s="66">
        <v>170011756.38229999</v>
      </c>
      <c r="H147" s="66">
        <v>5758844.1458999999</v>
      </c>
      <c r="I147" s="66">
        <v>7935580.5499999998</v>
      </c>
      <c r="J147" s="66">
        <f t="shared" si="33"/>
        <v>3967790.2749999999</v>
      </c>
      <c r="K147" s="66">
        <f t="shared" si="34"/>
        <v>3967790.2749999999</v>
      </c>
      <c r="L147" s="66">
        <v>208587516.9461</v>
      </c>
      <c r="M147" s="71">
        <f t="shared" si="35"/>
        <v>482833503.24580002</v>
      </c>
      <c r="N147" s="70"/>
      <c r="O147" s="182"/>
      <c r="P147" s="72">
        <v>4</v>
      </c>
      <c r="Q147" s="182"/>
      <c r="R147" s="66" t="s">
        <v>411</v>
      </c>
      <c r="S147" s="66">
        <v>107653486.4665</v>
      </c>
      <c r="T147" s="66">
        <v>0</v>
      </c>
      <c r="U147" s="66">
        <v>193660183.808</v>
      </c>
      <c r="V147" s="66">
        <v>6622841.4989999998</v>
      </c>
      <c r="W147" s="66">
        <v>9039410.0999999996</v>
      </c>
      <c r="X147" s="66">
        <v>9039410.0999999996</v>
      </c>
      <c r="Y147" s="66">
        <f t="shared" si="37"/>
        <v>0</v>
      </c>
      <c r="Z147" s="66">
        <v>232768616.48050001</v>
      </c>
      <c r="AA147" s="71">
        <f t="shared" si="21"/>
        <v>540705128.25399995</v>
      </c>
    </row>
    <row r="148" spans="1:27" ht="24.9" customHeight="1">
      <c r="A148" s="180"/>
      <c r="B148" s="182"/>
      <c r="C148" s="62">
        <v>18</v>
      </c>
      <c r="D148" s="66" t="s">
        <v>412</v>
      </c>
      <c r="E148" s="66">
        <v>88563220.419699997</v>
      </c>
      <c r="F148" s="66">
        <v>0</v>
      </c>
      <c r="G148" s="66">
        <v>159318291.56850001</v>
      </c>
      <c r="H148" s="66">
        <v>5831204.0401999997</v>
      </c>
      <c r="I148" s="66">
        <v>7436445.3600000003</v>
      </c>
      <c r="J148" s="66">
        <f t="shared" si="33"/>
        <v>3718222.68</v>
      </c>
      <c r="K148" s="66">
        <f t="shared" si="34"/>
        <v>3718222.68</v>
      </c>
      <c r="L148" s="66">
        <v>211404237.6464</v>
      </c>
      <c r="M148" s="71">
        <f t="shared" si="35"/>
        <v>468835176.35479999</v>
      </c>
      <c r="N148" s="70"/>
      <c r="O148" s="182"/>
      <c r="P148" s="72">
        <v>5</v>
      </c>
      <c r="Q148" s="182"/>
      <c r="R148" s="66" t="s">
        <v>413</v>
      </c>
      <c r="S148" s="66">
        <v>76869222.133599997</v>
      </c>
      <c r="T148" s="66">
        <v>0</v>
      </c>
      <c r="U148" s="66">
        <v>138281705.2748</v>
      </c>
      <c r="V148" s="66">
        <v>5198172.1342000002</v>
      </c>
      <c r="W148" s="66">
        <v>6454527.8200000003</v>
      </c>
      <c r="X148" s="66">
        <v>6454527.8200000003</v>
      </c>
      <c r="Y148" s="66">
        <f t="shared" si="37"/>
        <v>0</v>
      </c>
      <c r="Z148" s="66">
        <v>177311159.97130001</v>
      </c>
      <c r="AA148" s="71">
        <f t="shared" si="21"/>
        <v>397660259.51389998</v>
      </c>
    </row>
    <row r="149" spans="1:27" ht="24.9" customHeight="1">
      <c r="A149" s="180"/>
      <c r="B149" s="182"/>
      <c r="C149" s="62">
        <v>19</v>
      </c>
      <c r="D149" s="66" t="s">
        <v>414</v>
      </c>
      <c r="E149" s="66">
        <v>103723833.16689999</v>
      </c>
      <c r="F149" s="66">
        <v>0</v>
      </c>
      <c r="G149" s="66">
        <v>186591045.5433</v>
      </c>
      <c r="H149" s="66">
        <v>6790799.4002</v>
      </c>
      <c r="I149" s="66">
        <v>8709446.3599999994</v>
      </c>
      <c r="J149" s="66">
        <f t="shared" si="33"/>
        <v>4354723.18</v>
      </c>
      <c r="K149" s="66">
        <f t="shared" si="34"/>
        <v>4354723.18</v>
      </c>
      <c r="L149" s="66">
        <v>248757969.8603</v>
      </c>
      <c r="M149" s="71">
        <f t="shared" si="35"/>
        <v>550218371.15069997</v>
      </c>
      <c r="N149" s="70"/>
      <c r="O149" s="182"/>
      <c r="P149" s="72">
        <v>6</v>
      </c>
      <c r="Q149" s="182"/>
      <c r="R149" s="66" t="s">
        <v>415</v>
      </c>
      <c r="S149" s="66">
        <v>72282766.996900007</v>
      </c>
      <c r="T149" s="66">
        <v>0</v>
      </c>
      <c r="U149" s="66">
        <v>130031031.99690001</v>
      </c>
      <c r="V149" s="66">
        <v>5349539.8680999996</v>
      </c>
      <c r="W149" s="66">
        <v>6069413.9699999997</v>
      </c>
      <c r="X149" s="66">
        <v>6069413.9699999997</v>
      </c>
      <c r="Y149" s="66">
        <f t="shared" si="37"/>
        <v>0</v>
      </c>
      <c r="Z149" s="66">
        <v>183203382.91819999</v>
      </c>
      <c r="AA149" s="71">
        <f t="shared" si="21"/>
        <v>390866721.78009999</v>
      </c>
    </row>
    <row r="150" spans="1:27" ht="24.9" customHeight="1">
      <c r="A150" s="180"/>
      <c r="B150" s="182"/>
      <c r="C150" s="62">
        <v>20</v>
      </c>
      <c r="D150" s="66" t="s">
        <v>416</v>
      </c>
      <c r="E150" s="66">
        <v>71888680.957900003</v>
      </c>
      <c r="F150" s="66">
        <v>0</v>
      </c>
      <c r="G150" s="66">
        <v>129322102.105</v>
      </c>
      <c r="H150" s="66">
        <v>4734654.2335000001</v>
      </c>
      <c r="I150" s="66">
        <v>6036323.4900000002</v>
      </c>
      <c r="J150" s="66">
        <f t="shared" si="33"/>
        <v>3018161.7450000001</v>
      </c>
      <c r="K150" s="66">
        <f t="shared" si="34"/>
        <v>3018161.7450000001</v>
      </c>
      <c r="L150" s="66">
        <v>168719341.96700001</v>
      </c>
      <c r="M150" s="71">
        <f t="shared" si="35"/>
        <v>377682941.00840002</v>
      </c>
      <c r="N150" s="70"/>
      <c r="O150" s="182"/>
      <c r="P150" s="72">
        <v>7</v>
      </c>
      <c r="Q150" s="182"/>
      <c r="R150" s="66" t="s">
        <v>417</v>
      </c>
      <c r="S150" s="66">
        <v>82589553.538299993</v>
      </c>
      <c r="T150" s="66">
        <v>0</v>
      </c>
      <c r="U150" s="66">
        <v>148572133.10159999</v>
      </c>
      <c r="V150" s="66">
        <v>5542375.4310999997</v>
      </c>
      <c r="W150" s="66">
        <v>6934850.5999999996</v>
      </c>
      <c r="X150" s="66">
        <v>6934850.5999999996</v>
      </c>
      <c r="Y150" s="66">
        <f t="shared" si="37"/>
        <v>0</v>
      </c>
      <c r="Z150" s="66">
        <v>190709805.18700001</v>
      </c>
      <c r="AA150" s="71">
        <f t="shared" si="21"/>
        <v>427413867.25800002</v>
      </c>
    </row>
    <row r="151" spans="1:27" ht="24.9" customHeight="1">
      <c r="A151" s="180"/>
      <c r="B151" s="182"/>
      <c r="C151" s="62">
        <v>21</v>
      </c>
      <c r="D151" s="66" t="s">
        <v>418</v>
      </c>
      <c r="E151" s="66">
        <v>98295071.167899996</v>
      </c>
      <c r="F151" s="66">
        <v>0</v>
      </c>
      <c r="G151" s="66">
        <v>176825128.23640001</v>
      </c>
      <c r="H151" s="66">
        <v>6285871.5837000003</v>
      </c>
      <c r="I151" s="66">
        <v>8253605.9800000004</v>
      </c>
      <c r="J151" s="66">
        <f t="shared" si="33"/>
        <v>4126802.99</v>
      </c>
      <c r="K151" s="66">
        <f t="shared" si="34"/>
        <v>4126802.99</v>
      </c>
      <c r="L151" s="66">
        <v>229102874.36019999</v>
      </c>
      <c r="M151" s="71">
        <f t="shared" si="35"/>
        <v>514635748.33819997</v>
      </c>
      <c r="N151" s="70"/>
      <c r="O151" s="182"/>
      <c r="P151" s="72">
        <v>8</v>
      </c>
      <c r="Q151" s="182"/>
      <c r="R151" s="66" t="s">
        <v>419</v>
      </c>
      <c r="S151" s="66">
        <v>129232735.38079999</v>
      </c>
      <c r="T151" s="66">
        <v>0</v>
      </c>
      <c r="U151" s="66">
        <v>232479561.13609999</v>
      </c>
      <c r="V151" s="66">
        <v>8036348.1847000001</v>
      </c>
      <c r="W151" s="66">
        <v>10851368.890000001</v>
      </c>
      <c r="X151" s="66">
        <v>10851368.890000001</v>
      </c>
      <c r="Y151" s="66">
        <f t="shared" si="37"/>
        <v>0</v>
      </c>
      <c r="Z151" s="66">
        <v>287791548.45810002</v>
      </c>
      <c r="AA151" s="71">
        <f t="shared" si="21"/>
        <v>657540193.15970004</v>
      </c>
    </row>
    <row r="152" spans="1:27" ht="24.9" customHeight="1">
      <c r="A152" s="180"/>
      <c r="B152" s="182"/>
      <c r="C152" s="62">
        <v>22</v>
      </c>
      <c r="D152" s="66" t="s">
        <v>420</v>
      </c>
      <c r="E152" s="66">
        <v>95711693.029799998</v>
      </c>
      <c r="F152" s="66">
        <v>0</v>
      </c>
      <c r="G152" s="66">
        <v>172177833.46939999</v>
      </c>
      <c r="H152" s="66">
        <v>5963192.2796999998</v>
      </c>
      <c r="I152" s="66">
        <v>8036685.79</v>
      </c>
      <c r="J152" s="66">
        <f t="shared" si="33"/>
        <v>4018342.895</v>
      </c>
      <c r="K152" s="66">
        <f t="shared" si="34"/>
        <v>4018342.895</v>
      </c>
      <c r="L152" s="66">
        <v>216542083.82800001</v>
      </c>
      <c r="M152" s="71">
        <f t="shared" si="35"/>
        <v>494413145.50190002</v>
      </c>
      <c r="N152" s="70"/>
      <c r="O152" s="182"/>
      <c r="P152" s="72">
        <v>9</v>
      </c>
      <c r="Q152" s="182"/>
      <c r="R152" s="66" t="s">
        <v>421</v>
      </c>
      <c r="S152" s="66">
        <v>119765733.029</v>
      </c>
      <c r="T152" s="66">
        <v>0</v>
      </c>
      <c r="U152" s="66">
        <v>215449165.97</v>
      </c>
      <c r="V152" s="66">
        <v>6446292.8377999999</v>
      </c>
      <c r="W152" s="66">
        <v>10056446.970000001</v>
      </c>
      <c r="X152" s="66">
        <v>10056446.970000001</v>
      </c>
      <c r="Y152" s="66">
        <f t="shared" si="37"/>
        <v>0</v>
      </c>
      <c r="Z152" s="66">
        <v>225896187.03200001</v>
      </c>
      <c r="AA152" s="71">
        <f t="shared" si="21"/>
        <v>567557378.86880004</v>
      </c>
    </row>
    <row r="153" spans="1:27" ht="24.9" customHeight="1">
      <c r="A153" s="180"/>
      <c r="B153" s="183"/>
      <c r="C153" s="62">
        <v>23</v>
      </c>
      <c r="D153" s="66" t="s">
        <v>422</v>
      </c>
      <c r="E153" s="66">
        <v>101375618.502</v>
      </c>
      <c r="F153" s="66">
        <v>0</v>
      </c>
      <c r="G153" s="66">
        <v>182366791.42410001</v>
      </c>
      <c r="H153" s="66">
        <v>6434744.9272999996</v>
      </c>
      <c r="I153" s="66">
        <v>8512272.2899999991</v>
      </c>
      <c r="J153" s="66">
        <f t="shared" si="33"/>
        <v>4256136.1449999996</v>
      </c>
      <c r="K153" s="66">
        <f t="shared" si="34"/>
        <v>4256136.1449999996</v>
      </c>
      <c r="L153" s="66">
        <v>234897999.30759999</v>
      </c>
      <c r="M153" s="71">
        <f t="shared" si="35"/>
        <v>529331290.30599999</v>
      </c>
      <c r="N153" s="70"/>
      <c r="O153" s="182"/>
      <c r="P153" s="72">
        <v>10</v>
      </c>
      <c r="Q153" s="182"/>
      <c r="R153" s="79" t="s">
        <v>423</v>
      </c>
      <c r="S153" s="66">
        <v>91618962.326800004</v>
      </c>
      <c r="T153" s="66">
        <v>0</v>
      </c>
      <c r="U153" s="66">
        <v>164815331.74219999</v>
      </c>
      <c r="V153" s="66">
        <v>5986850.9632999999</v>
      </c>
      <c r="W153" s="66">
        <v>7693028.8200000003</v>
      </c>
      <c r="X153" s="66">
        <v>7693028.8200000003</v>
      </c>
      <c r="Y153" s="66">
        <f t="shared" si="37"/>
        <v>0</v>
      </c>
      <c r="Z153" s="66">
        <v>208011702.111</v>
      </c>
      <c r="AA153" s="71">
        <f t="shared" si="21"/>
        <v>470432847.1433</v>
      </c>
    </row>
    <row r="154" spans="1:27" ht="24.9" customHeight="1">
      <c r="A154" s="62"/>
      <c r="B154" s="173" t="s">
        <v>424</v>
      </c>
      <c r="C154" s="174"/>
      <c r="D154" s="67"/>
      <c r="E154" s="67">
        <f t="shared" ref="E154:M154" si="38">SUM(E131:E153)</f>
        <v>2168807518.8607998</v>
      </c>
      <c r="F154" s="67">
        <f t="shared" si="38"/>
        <v>0</v>
      </c>
      <c r="G154" s="67">
        <f t="shared" si="38"/>
        <v>3901514726.0265002</v>
      </c>
      <c r="H154" s="67">
        <f t="shared" si="38"/>
        <v>135882536.1855</v>
      </c>
      <c r="I154" s="67">
        <f t="shared" si="38"/>
        <v>182109667.33000001</v>
      </c>
      <c r="J154" s="67">
        <f t="shared" si="38"/>
        <v>91054833.665000007</v>
      </c>
      <c r="K154" s="67">
        <f t="shared" si="38"/>
        <v>91054833.665000007</v>
      </c>
      <c r="L154" s="67">
        <f t="shared" si="38"/>
        <v>4930996716.9783001</v>
      </c>
      <c r="M154" s="67">
        <f t="shared" si="38"/>
        <v>11228256331.716101</v>
      </c>
      <c r="N154" s="70"/>
      <c r="O154" s="182"/>
      <c r="P154" s="72">
        <v>11</v>
      </c>
      <c r="Q154" s="182"/>
      <c r="R154" s="66" t="s">
        <v>404</v>
      </c>
      <c r="S154" s="66">
        <v>87697052.0088</v>
      </c>
      <c r="T154" s="66">
        <v>0</v>
      </c>
      <c r="U154" s="66">
        <v>157760122.49529999</v>
      </c>
      <c r="V154" s="66">
        <v>5983972.8206000002</v>
      </c>
      <c r="W154" s="66">
        <v>7363715.2300000004</v>
      </c>
      <c r="X154" s="66">
        <v>7363715.2300000004</v>
      </c>
      <c r="Y154" s="66">
        <f t="shared" si="37"/>
        <v>0</v>
      </c>
      <c r="Z154" s="66">
        <v>207899665.95770001</v>
      </c>
      <c r="AA154" s="71">
        <f t="shared" si="21"/>
        <v>459340813.28240001</v>
      </c>
    </row>
    <row r="155" spans="1:27" ht="24.9" customHeight="1">
      <c r="A155" s="180">
        <v>8</v>
      </c>
      <c r="B155" s="181" t="s">
        <v>425</v>
      </c>
      <c r="C155" s="62">
        <v>1</v>
      </c>
      <c r="D155" s="66" t="s">
        <v>426</v>
      </c>
      <c r="E155" s="66">
        <v>85135217.480399996</v>
      </c>
      <c r="F155" s="66">
        <v>0</v>
      </c>
      <c r="G155" s="66">
        <v>153151582.97909999</v>
      </c>
      <c r="H155" s="66">
        <v>5008251.2328000003</v>
      </c>
      <c r="I155" s="66">
        <v>7148604.0099999998</v>
      </c>
      <c r="J155" s="66">
        <v>0</v>
      </c>
      <c r="K155" s="66">
        <f t="shared" ref="K155:K181" si="39">I155-J155</f>
        <v>7148604.0099999998</v>
      </c>
      <c r="L155" s="66">
        <v>188342330.35910001</v>
      </c>
      <c r="M155" s="71">
        <f t="shared" si="35"/>
        <v>438785986.0614</v>
      </c>
      <c r="N155" s="70"/>
      <c r="O155" s="182"/>
      <c r="P155" s="72">
        <v>12</v>
      </c>
      <c r="Q155" s="182"/>
      <c r="R155" s="66" t="s">
        <v>427</v>
      </c>
      <c r="S155" s="66">
        <v>93171823.223199993</v>
      </c>
      <c r="T155" s="66">
        <v>0</v>
      </c>
      <c r="U155" s="66">
        <v>167608806.78049999</v>
      </c>
      <c r="V155" s="66">
        <v>5647659.0208000001</v>
      </c>
      <c r="W155" s="66">
        <v>7823418.9000000004</v>
      </c>
      <c r="X155" s="66">
        <v>7823418.9000000004</v>
      </c>
      <c r="Y155" s="66">
        <f t="shared" si="37"/>
        <v>0</v>
      </c>
      <c r="Z155" s="66">
        <v>194808131.6092</v>
      </c>
      <c r="AA155" s="71">
        <f t="shared" ref="AA155:AA218" si="40">S155+T155+U155+V155+Y155+Z155</f>
        <v>461236420.63370001</v>
      </c>
    </row>
    <row r="156" spans="1:27" ht="24.9" customHeight="1">
      <c r="A156" s="180"/>
      <c r="B156" s="182"/>
      <c r="C156" s="62">
        <v>2</v>
      </c>
      <c r="D156" s="66" t="s">
        <v>428</v>
      </c>
      <c r="E156" s="66">
        <v>82322645.156299993</v>
      </c>
      <c r="F156" s="66">
        <v>0</v>
      </c>
      <c r="G156" s="66">
        <v>148091985.82890001</v>
      </c>
      <c r="H156" s="66">
        <v>5436146.4056000002</v>
      </c>
      <c r="I156" s="66">
        <v>6912438.9199999999</v>
      </c>
      <c r="J156" s="66">
        <v>0</v>
      </c>
      <c r="K156" s="66">
        <f t="shared" si="39"/>
        <v>6912438.9199999999</v>
      </c>
      <c r="L156" s="66">
        <v>204998811.1688</v>
      </c>
      <c r="M156" s="71">
        <f t="shared" si="35"/>
        <v>447762027.47960001</v>
      </c>
      <c r="N156" s="70"/>
      <c r="O156" s="183"/>
      <c r="P156" s="72">
        <v>13</v>
      </c>
      <c r="Q156" s="183"/>
      <c r="R156" s="66" t="s">
        <v>429</v>
      </c>
      <c r="S156" s="66">
        <v>74795098.910600007</v>
      </c>
      <c r="T156" s="66">
        <v>0</v>
      </c>
      <c r="U156" s="66">
        <v>134550520.1868</v>
      </c>
      <c r="V156" s="66">
        <v>5126399.1551999999</v>
      </c>
      <c r="W156" s="66">
        <v>6280368.5800000001</v>
      </c>
      <c r="X156" s="66">
        <v>6280368.5800000001</v>
      </c>
      <c r="Y156" s="66">
        <f t="shared" si="37"/>
        <v>0</v>
      </c>
      <c r="Z156" s="66">
        <v>174517285.85910001</v>
      </c>
      <c r="AA156" s="71">
        <f t="shared" si="40"/>
        <v>388989304.1117</v>
      </c>
    </row>
    <row r="157" spans="1:27" ht="24.9" customHeight="1">
      <c r="A157" s="180"/>
      <c r="B157" s="182"/>
      <c r="C157" s="62">
        <v>3</v>
      </c>
      <c r="D157" s="66" t="s">
        <v>430</v>
      </c>
      <c r="E157" s="66">
        <v>115495104.8337</v>
      </c>
      <c r="F157" s="66">
        <v>0</v>
      </c>
      <c r="G157" s="66">
        <v>207766640.58939999</v>
      </c>
      <c r="H157" s="66">
        <v>6924823.4073000001</v>
      </c>
      <c r="I157" s="66">
        <v>9697852.3599999994</v>
      </c>
      <c r="J157" s="66">
        <v>0</v>
      </c>
      <c r="K157" s="66">
        <f t="shared" si="39"/>
        <v>9697852.3599999994</v>
      </c>
      <c r="L157" s="66">
        <v>262947863.85510001</v>
      </c>
      <c r="M157" s="71">
        <f t="shared" si="35"/>
        <v>602832285.04550004</v>
      </c>
      <c r="N157" s="70"/>
      <c r="O157" s="62"/>
      <c r="P157" s="174" t="s">
        <v>431</v>
      </c>
      <c r="Q157" s="175"/>
      <c r="R157" s="67"/>
      <c r="S157" s="67">
        <f t="shared" ref="S157:X157" si="41">SUM(S144:S156)</f>
        <v>1195087301.0295999</v>
      </c>
      <c r="T157" s="67">
        <f>SUM(T136:T156)</f>
        <v>0</v>
      </c>
      <c r="U157" s="67">
        <f t="shared" si="41"/>
        <v>2149868378.5418</v>
      </c>
      <c r="V157" s="67">
        <f t="shared" si="41"/>
        <v>76978012.648200005</v>
      </c>
      <c r="W157" s="67">
        <f t="shared" si="41"/>
        <v>100348670.38</v>
      </c>
      <c r="X157" s="67">
        <f t="shared" si="41"/>
        <v>100348670.38</v>
      </c>
      <c r="Y157" s="67">
        <f t="shared" si="37"/>
        <v>0</v>
      </c>
      <c r="Z157" s="67">
        <f>SUM(Z144:Z156)</f>
        <v>2671023695.9583001</v>
      </c>
      <c r="AA157" s="67">
        <f>SUM(AA144:AA156)</f>
        <v>6092957388.1779003</v>
      </c>
    </row>
    <row r="158" spans="1:27" ht="24.9" customHeight="1">
      <c r="A158" s="180"/>
      <c r="B158" s="182"/>
      <c r="C158" s="62">
        <v>4</v>
      </c>
      <c r="D158" s="66" t="s">
        <v>432</v>
      </c>
      <c r="E158" s="66">
        <v>66528672.5995</v>
      </c>
      <c r="F158" s="66">
        <v>0</v>
      </c>
      <c r="G158" s="66">
        <v>119679867.2097</v>
      </c>
      <c r="H158" s="66">
        <v>4768947.7732999995</v>
      </c>
      <c r="I158" s="66">
        <v>5586256.2000000002</v>
      </c>
      <c r="J158" s="66">
        <v>0</v>
      </c>
      <c r="K158" s="66">
        <f t="shared" si="39"/>
        <v>5586256.2000000002</v>
      </c>
      <c r="L158" s="66">
        <v>179027073.4118</v>
      </c>
      <c r="M158" s="71">
        <f t="shared" si="35"/>
        <v>375590817.1943</v>
      </c>
      <c r="N158" s="70"/>
      <c r="O158" s="181">
        <v>26</v>
      </c>
      <c r="P158" s="72">
        <v>1</v>
      </c>
      <c r="Q158" s="181" t="s">
        <v>111</v>
      </c>
      <c r="R158" s="66" t="s">
        <v>433</v>
      </c>
      <c r="S158" s="66">
        <v>82242769.846900001</v>
      </c>
      <c r="T158" s="66">
        <v>0</v>
      </c>
      <c r="U158" s="66">
        <v>147948296.42449999</v>
      </c>
      <c r="V158" s="66">
        <v>5467865.0734999999</v>
      </c>
      <c r="W158" s="66">
        <v>6905731.9900000002</v>
      </c>
      <c r="X158" s="66">
        <f t="shared" ref="X158:X182" si="42">W158/2</f>
        <v>3452865.9950000001</v>
      </c>
      <c r="Y158" s="66">
        <f t="shared" si="37"/>
        <v>3452865.9950000001</v>
      </c>
      <c r="Z158" s="66">
        <v>194503992.57440001</v>
      </c>
      <c r="AA158" s="71">
        <f t="shared" si="40"/>
        <v>433615789.91430002</v>
      </c>
    </row>
    <row r="159" spans="1:27" ht="24.9" customHeight="1">
      <c r="A159" s="180"/>
      <c r="B159" s="182"/>
      <c r="C159" s="62">
        <v>5</v>
      </c>
      <c r="D159" s="66" t="s">
        <v>434</v>
      </c>
      <c r="E159" s="66">
        <v>92081087.894400001</v>
      </c>
      <c r="F159" s="66">
        <v>0</v>
      </c>
      <c r="G159" s="66">
        <v>165646659.42030001</v>
      </c>
      <c r="H159" s="66">
        <v>5864831.6568</v>
      </c>
      <c r="I159" s="66">
        <v>7731832.4199999999</v>
      </c>
      <c r="J159" s="66">
        <v>0</v>
      </c>
      <c r="K159" s="66">
        <f t="shared" si="39"/>
        <v>7731832.4199999999</v>
      </c>
      <c r="L159" s="66">
        <v>221686047.0009</v>
      </c>
      <c r="M159" s="71">
        <f t="shared" si="35"/>
        <v>493010458.39240003</v>
      </c>
      <c r="N159" s="70"/>
      <c r="O159" s="182"/>
      <c r="P159" s="72">
        <v>2</v>
      </c>
      <c r="Q159" s="182"/>
      <c r="R159" s="66" t="s">
        <v>435</v>
      </c>
      <c r="S159" s="66">
        <v>70611025.509100005</v>
      </c>
      <c r="T159" s="66">
        <v>0</v>
      </c>
      <c r="U159" s="66">
        <v>127023700.1065</v>
      </c>
      <c r="V159" s="66">
        <v>4615776.8096000003</v>
      </c>
      <c r="W159" s="66">
        <v>5929041.7699999996</v>
      </c>
      <c r="X159" s="66">
        <f t="shared" si="42"/>
        <v>2964520.8849999998</v>
      </c>
      <c r="Y159" s="66">
        <f t="shared" si="37"/>
        <v>2964520.8849999998</v>
      </c>
      <c r="Z159" s="66">
        <v>161335140.2031</v>
      </c>
      <c r="AA159" s="71">
        <f t="shared" si="40"/>
        <v>366550163.5133</v>
      </c>
    </row>
    <row r="160" spans="1:27" ht="24.9" customHeight="1">
      <c r="A160" s="180"/>
      <c r="B160" s="182"/>
      <c r="C160" s="62">
        <v>6</v>
      </c>
      <c r="D160" s="66" t="s">
        <v>436</v>
      </c>
      <c r="E160" s="66">
        <v>66334794.493900001</v>
      </c>
      <c r="F160" s="66">
        <v>0</v>
      </c>
      <c r="G160" s="66">
        <v>119331095.68260001</v>
      </c>
      <c r="H160" s="66">
        <v>4623652.3562000003</v>
      </c>
      <c r="I160" s="66">
        <v>5569976.7000000002</v>
      </c>
      <c r="J160" s="66">
        <v>0</v>
      </c>
      <c r="K160" s="66">
        <f t="shared" si="39"/>
        <v>5569976.7000000002</v>
      </c>
      <c r="L160" s="66">
        <v>173371224.78049999</v>
      </c>
      <c r="M160" s="71">
        <f t="shared" si="35"/>
        <v>369230744.01319999</v>
      </c>
      <c r="N160" s="70"/>
      <c r="O160" s="182"/>
      <c r="P160" s="72">
        <v>3</v>
      </c>
      <c r="Q160" s="182"/>
      <c r="R160" s="66" t="s">
        <v>437</v>
      </c>
      <c r="S160" s="66">
        <v>80864283.3829</v>
      </c>
      <c r="T160" s="66">
        <v>0</v>
      </c>
      <c r="U160" s="66">
        <v>145468507.31670001</v>
      </c>
      <c r="V160" s="66">
        <v>6091733.5491000004</v>
      </c>
      <c r="W160" s="66">
        <v>6789983.7199999997</v>
      </c>
      <c r="X160" s="66">
        <f t="shared" si="42"/>
        <v>3394991.86</v>
      </c>
      <c r="Y160" s="66">
        <f t="shared" si="37"/>
        <v>3394991.86</v>
      </c>
      <c r="Z160" s="66">
        <v>218789037.02779999</v>
      </c>
      <c r="AA160" s="71">
        <f t="shared" si="40"/>
        <v>454608553.1365</v>
      </c>
    </row>
    <row r="161" spans="1:27" ht="24.9" customHeight="1">
      <c r="A161" s="180"/>
      <c r="B161" s="182"/>
      <c r="C161" s="62">
        <v>7</v>
      </c>
      <c r="D161" s="66" t="s">
        <v>438</v>
      </c>
      <c r="E161" s="66">
        <v>111198637.0342</v>
      </c>
      <c r="F161" s="66">
        <v>0</v>
      </c>
      <c r="G161" s="66">
        <v>200037631.80050001</v>
      </c>
      <c r="H161" s="66">
        <v>6491262.2438000003</v>
      </c>
      <c r="I161" s="66">
        <v>9337088.0600000005</v>
      </c>
      <c r="J161" s="66">
        <v>0</v>
      </c>
      <c r="K161" s="66">
        <f t="shared" si="39"/>
        <v>9337088.0600000005</v>
      </c>
      <c r="L161" s="66">
        <v>246070825.5986</v>
      </c>
      <c r="M161" s="71">
        <f t="shared" si="35"/>
        <v>573135444.73710001</v>
      </c>
      <c r="N161" s="70"/>
      <c r="O161" s="182"/>
      <c r="P161" s="72">
        <v>4</v>
      </c>
      <c r="Q161" s="182"/>
      <c r="R161" s="66" t="s">
        <v>439</v>
      </c>
      <c r="S161" s="66">
        <v>131635174.6259</v>
      </c>
      <c r="T161" s="66">
        <v>0</v>
      </c>
      <c r="U161" s="66">
        <v>236801361.0291</v>
      </c>
      <c r="V161" s="66">
        <v>5908706.2450999999</v>
      </c>
      <c r="W161" s="66">
        <v>11053096.07</v>
      </c>
      <c r="X161" s="66">
        <f t="shared" si="42"/>
        <v>5526548.0350000001</v>
      </c>
      <c r="Y161" s="66">
        <f t="shared" si="37"/>
        <v>5526548.0350000001</v>
      </c>
      <c r="Z161" s="66">
        <v>211664416.39500001</v>
      </c>
      <c r="AA161" s="71">
        <f t="shared" si="40"/>
        <v>591536206.33010006</v>
      </c>
    </row>
    <row r="162" spans="1:27" ht="24.9" customHeight="1">
      <c r="A162" s="180"/>
      <c r="B162" s="182"/>
      <c r="C162" s="62">
        <v>8</v>
      </c>
      <c r="D162" s="66" t="s">
        <v>440</v>
      </c>
      <c r="E162" s="66">
        <v>73587425.376399994</v>
      </c>
      <c r="F162" s="66">
        <v>0</v>
      </c>
      <c r="G162" s="66">
        <v>132378010.15449999</v>
      </c>
      <c r="H162" s="66">
        <v>5072913.5061999997</v>
      </c>
      <c r="I162" s="66">
        <v>6178963.0599999996</v>
      </c>
      <c r="J162" s="66">
        <v>0</v>
      </c>
      <c r="K162" s="66">
        <f t="shared" si="39"/>
        <v>6178963.0599999996</v>
      </c>
      <c r="L162" s="66">
        <v>190859409.26910001</v>
      </c>
      <c r="M162" s="71">
        <f t="shared" si="35"/>
        <v>408076721.36619997</v>
      </c>
      <c r="N162" s="70"/>
      <c r="O162" s="182"/>
      <c r="P162" s="72">
        <v>5</v>
      </c>
      <c r="Q162" s="182"/>
      <c r="R162" s="66" t="s">
        <v>441</v>
      </c>
      <c r="S162" s="66">
        <v>79014764.190899998</v>
      </c>
      <c r="T162" s="66">
        <v>0</v>
      </c>
      <c r="U162" s="66">
        <v>142141367.27360001</v>
      </c>
      <c r="V162" s="66">
        <v>5630982.4018999999</v>
      </c>
      <c r="W162" s="66">
        <v>6634683.9500000002</v>
      </c>
      <c r="X162" s="66">
        <f t="shared" si="42"/>
        <v>3317341.9750000001</v>
      </c>
      <c r="Y162" s="66">
        <f t="shared" si="37"/>
        <v>3317341.9750000001</v>
      </c>
      <c r="Z162" s="66">
        <v>200853586.641</v>
      </c>
      <c r="AA162" s="71">
        <f t="shared" si="40"/>
        <v>430958042.4824</v>
      </c>
    </row>
    <row r="163" spans="1:27" ht="24.9" customHeight="1">
      <c r="A163" s="180"/>
      <c r="B163" s="182"/>
      <c r="C163" s="62">
        <v>9</v>
      </c>
      <c r="D163" s="66" t="s">
        <v>442</v>
      </c>
      <c r="E163" s="66">
        <v>87396226.146200001</v>
      </c>
      <c r="F163" s="66">
        <v>0</v>
      </c>
      <c r="G163" s="66">
        <v>157218960.34150001</v>
      </c>
      <c r="H163" s="66">
        <v>5601916.1399999997</v>
      </c>
      <c r="I163" s="66">
        <v>7338455.5899999999</v>
      </c>
      <c r="J163" s="66">
        <v>0</v>
      </c>
      <c r="K163" s="66">
        <f t="shared" si="39"/>
        <v>7338455.5899999999</v>
      </c>
      <c r="L163" s="66">
        <v>211451654.2394</v>
      </c>
      <c r="M163" s="71">
        <f t="shared" si="35"/>
        <v>469007212.45709997</v>
      </c>
      <c r="N163" s="70"/>
      <c r="O163" s="182"/>
      <c r="P163" s="72">
        <v>6</v>
      </c>
      <c r="Q163" s="182"/>
      <c r="R163" s="66" t="s">
        <v>443</v>
      </c>
      <c r="S163" s="66">
        <v>83219293.206300005</v>
      </c>
      <c r="T163" s="66">
        <v>0</v>
      </c>
      <c r="U163" s="66">
        <v>149704985.40259999</v>
      </c>
      <c r="V163" s="66">
        <v>5777282.3472999996</v>
      </c>
      <c r="W163" s="66">
        <v>6987728.3600000003</v>
      </c>
      <c r="X163" s="66">
        <f t="shared" si="42"/>
        <v>3493864.18</v>
      </c>
      <c r="Y163" s="66">
        <f t="shared" si="37"/>
        <v>3493864.18</v>
      </c>
      <c r="Z163" s="66">
        <v>206548538.08660001</v>
      </c>
      <c r="AA163" s="71">
        <f t="shared" si="40"/>
        <v>448743963.22280002</v>
      </c>
    </row>
    <row r="164" spans="1:27" ht="24.9" customHeight="1">
      <c r="A164" s="180"/>
      <c r="B164" s="182"/>
      <c r="C164" s="62">
        <v>10</v>
      </c>
      <c r="D164" s="66" t="s">
        <v>444</v>
      </c>
      <c r="E164" s="66">
        <v>74493226.871700004</v>
      </c>
      <c r="F164" s="66">
        <v>0</v>
      </c>
      <c r="G164" s="66">
        <v>134007476.0529</v>
      </c>
      <c r="H164" s="66">
        <v>4957099.3</v>
      </c>
      <c r="I164" s="66">
        <v>6255021.0899999999</v>
      </c>
      <c r="J164" s="66">
        <v>0</v>
      </c>
      <c r="K164" s="66">
        <f t="shared" si="39"/>
        <v>6255021.0899999999</v>
      </c>
      <c r="L164" s="66">
        <v>186351162.33320001</v>
      </c>
      <c r="M164" s="71">
        <f t="shared" si="35"/>
        <v>406063985.64780003</v>
      </c>
      <c r="N164" s="70"/>
      <c r="O164" s="182"/>
      <c r="P164" s="72">
        <v>7</v>
      </c>
      <c r="Q164" s="182"/>
      <c r="R164" s="66" t="s">
        <v>445</v>
      </c>
      <c r="S164" s="66">
        <v>78824289.259800002</v>
      </c>
      <c r="T164" s="66">
        <v>0</v>
      </c>
      <c r="U164" s="66">
        <v>141798717.79910001</v>
      </c>
      <c r="V164" s="66">
        <v>5406453.4084000001</v>
      </c>
      <c r="W164" s="66">
        <v>6618690.21</v>
      </c>
      <c r="X164" s="66">
        <f t="shared" si="42"/>
        <v>3309345.105</v>
      </c>
      <c r="Y164" s="66">
        <f t="shared" si="37"/>
        <v>3309345.105</v>
      </c>
      <c r="Z164" s="66">
        <v>192113448.61390001</v>
      </c>
      <c r="AA164" s="71">
        <f t="shared" si="40"/>
        <v>421452254.18620002</v>
      </c>
    </row>
    <row r="165" spans="1:27" ht="24.9" customHeight="1">
      <c r="A165" s="180"/>
      <c r="B165" s="182"/>
      <c r="C165" s="62">
        <v>11</v>
      </c>
      <c r="D165" s="66" t="s">
        <v>446</v>
      </c>
      <c r="E165" s="66">
        <v>107329660.22660001</v>
      </c>
      <c r="F165" s="66">
        <v>0</v>
      </c>
      <c r="G165" s="66">
        <v>193077645.79789999</v>
      </c>
      <c r="H165" s="66">
        <v>6996223.9206999997</v>
      </c>
      <c r="I165" s="66">
        <v>9012219.1799999997</v>
      </c>
      <c r="J165" s="66">
        <v>0</v>
      </c>
      <c r="K165" s="66">
        <f t="shared" si="39"/>
        <v>9012219.1799999997</v>
      </c>
      <c r="L165" s="66">
        <v>265727239.17109999</v>
      </c>
      <c r="M165" s="71">
        <f t="shared" si="35"/>
        <v>582142988.29630005</v>
      </c>
      <c r="N165" s="70"/>
      <c r="O165" s="182"/>
      <c r="P165" s="72">
        <v>8</v>
      </c>
      <c r="Q165" s="182"/>
      <c r="R165" s="66" t="s">
        <v>447</v>
      </c>
      <c r="S165" s="66">
        <v>70434496.570099995</v>
      </c>
      <c r="T165" s="66">
        <v>0</v>
      </c>
      <c r="U165" s="66">
        <v>126706138.3793</v>
      </c>
      <c r="V165" s="66">
        <v>4994574.2533999998</v>
      </c>
      <c r="W165" s="66">
        <v>5914219.0499999998</v>
      </c>
      <c r="X165" s="66">
        <f t="shared" si="42"/>
        <v>2957109.5249999999</v>
      </c>
      <c r="Y165" s="66">
        <f t="shared" si="37"/>
        <v>2957109.5249999999</v>
      </c>
      <c r="Z165" s="66">
        <v>176080416.04530001</v>
      </c>
      <c r="AA165" s="71">
        <f t="shared" si="40"/>
        <v>381172734.77310002</v>
      </c>
    </row>
    <row r="166" spans="1:27" ht="24.9" customHeight="1">
      <c r="A166" s="180"/>
      <c r="B166" s="182"/>
      <c r="C166" s="62">
        <v>12</v>
      </c>
      <c r="D166" s="66" t="s">
        <v>448</v>
      </c>
      <c r="E166" s="66">
        <v>76012579.403200001</v>
      </c>
      <c r="F166" s="66">
        <v>0</v>
      </c>
      <c r="G166" s="66">
        <v>136740672.15329999</v>
      </c>
      <c r="H166" s="66">
        <v>5235500.3534000004</v>
      </c>
      <c r="I166" s="66">
        <v>6382597.54</v>
      </c>
      <c r="J166" s="66">
        <v>0</v>
      </c>
      <c r="K166" s="66">
        <f t="shared" si="39"/>
        <v>6382597.54</v>
      </c>
      <c r="L166" s="66">
        <v>197188353.535</v>
      </c>
      <c r="M166" s="71">
        <f t="shared" si="35"/>
        <v>421559702.9849</v>
      </c>
      <c r="N166" s="70"/>
      <c r="O166" s="182"/>
      <c r="P166" s="72">
        <v>9</v>
      </c>
      <c r="Q166" s="182"/>
      <c r="R166" s="66" t="s">
        <v>449</v>
      </c>
      <c r="S166" s="66">
        <v>76002876.496999994</v>
      </c>
      <c r="T166" s="66">
        <v>0</v>
      </c>
      <c r="U166" s="66">
        <v>136723217.38080001</v>
      </c>
      <c r="V166" s="66">
        <v>5346746.0553000001</v>
      </c>
      <c r="W166" s="66">
        <v>6381782.8099999996</v>
      </c>
      <c r="X166" s="66">
        <f t="shared" si="42"/>
        <v>3190891.4049999998</v>
      </c>
      <c r="Y166" s="66">
        <f t="shared" si="37"/>
        <v>3190891.4049999998</v>
      </c>
      <c r="Z166" s="66">
        <v>189789247.6304</v>
      </c>
      <c r="AA166" s="71">
        <f t="shared" si="40"/>
        <v>411052978.96850002</v>
      </c>
    </row>
    <row r="167" spans="1:27" ht="24.9" customHeight="1">
      <c r="A167" s="180"/>
      <c r="B167" s="182"/>
      <c r="C167" s="62">
        <v>13</v>
      </c>
      <c r="D167" s="66" t="s">
        <v>450</v>
      </c>
      <c r="E167" s="66">
        <v>87700811.871600002</v>
      </c>
      <c r="F167" s="66">
        <v>0</v>
      </c>
      <c r="G167" s="66">
        <v>157766886.20100001</v>
      </c>
      <c r="H167" s="66">
        <v>6261360.7171999998</v>
      </c>
      <c r="I167" s="66">
        <v>7364030.9500000002</v>
      </c>
      <c r="J167" s="66">
        <v>0</v>
      </c>
      <c r="K167" s="66">
        <f t="shared" si="39"/>
        <v>7364030.9500000002</v>
      </c>
      <c r="L167" s="66">
        <v>237121553.41870001</v>
      </c>
      <c r="M167" s="71">
        <f t="shared" si="35"/>
        <v>496214643.15850002</v>
      </c>
      <c r="N167" s="70"/>
      <c r="O167" s="182"/>
      <c r="P167" s="72">
        <v>10</v>
      </c>
      <c r="Q167" s="182"/>
      <c r="R167" s="66" t="s">
        <v>451</v>
      </c>
      <c r="S167" s="66">
        <v>83700516.780000001</v>
      </c>
      <c r="T167" s="66">
        <v>0</v>
      </c>
      <c r="U167" s="66">
        <v>150570668.87869999</v>
      </c>
      <c r="V167" s="66">
        <v>5682732.5368999997</v>
      </c>
      <c r="W167" s="66">
        <v>7028135.5700000003</v>
      </c>
      <c r="X167" s="66">
        <f t="shared" si="42"/>
        <v>3514067.7850000001</v>
      </c>
      <c r="Y167" s="66">
        <f t="shared" si="37"/>
        <v>3514067.7850000001</v>
      </c>
      <c r="Z167" s="66">
        <v>202868040.61250001</v>
      </c>
      <c r="AA167" s="71">
        <f t="shared" si="40"/>
        <v>446336026.59310001</v>
      </c>
    </row>
    <row r="168" spans="1:27" ht="24.9" customHeight="1">
      <c r="A168" s="180"/>
      <c r="B168" s="182"/>
      <c r="C168" s="62">
        <v>14</v>
      </c>
      <c r="D168" s="66" t="s">
        <v>452</v>
      </c>
      <c r="E168" s="66">
        <v>77522948.2148</v>
      </c>
      <c r="F168" s="66">
        <v>0</v>
      </c>
      <c r="G168" s="66">
        <v>139457707.26620001</v>
      </c>
      <c r="H168" s="66">
        <v>4893520.5628000004</v>
      </c>
      <c r="I168" s="66">
        <v>6509419.6699999999</v>
      </c>
      <c r="J168" s="66">
        <v>0</v>
      </c>
      <c r="K168" s="66">
        <f t="shared" si="39"/>
        <v>6509419.6699999999</v>
      </c>
      <c r="L168" s="66">
        <v>183876261.73969999</v>
      </c>
      <c r="M168" s="71">
        <f t="shared" si="35"/>
        <v>412259857.45349997</v>
      </c>
      <c r="N168" s="70"/>
      <c r="O168" s="182"/>
      <c r="P168" s="72">
        <v>11</v>
      </c>
      <c r="Q168" s="182"/>
      <c r="R168" s="66" t="s">
        <v>453</v>
      </c>
      <c r="S168" s="66">
        <v>81758221.684100002</v>
      </c>
      <c r="T168" s="66">
        <v>0</v>
      </c>
      <c r="U168" s="66">
        <v>147076632.2516</v>
      </c>
      <c r="V168" s="66">
        <v>5210750.9895000001</v>
      </c>
      <c r="W168" s="66">
        <v>6865045.6200000001</v>
      </c>
      <c r="X168" s="66">
        <f t="shared" si="42"/>
        <v>3432522.81</v>
      </c>
      <c r="Y168" s="66">
        <f t="shared" si="37"/>
        <v>3432522.81</v>
      </c>
      <c r="Z168" s="66">
        <v>184495429.54929999</v>
      </c>
      <c r="AA168" s="71">
        <f t="shared" si="40"/>
        <v>421973557.2845</v>
      </c>
    </row>
    <row r="169" spans="1:27" ht="24.9" customHeight="1">
      <c r="A169" s="180"/>
      <c r="B169" s="182"/>
      <c r="C169" s="62">
        <v>15</v>
      </c>
      <c r="D169" s="66" t="s">
        <v>454</v>
      </c>
      <c r="E169" s="66">
        <v>71342783.915000007</v>
      </c>
      <c r="F169" s="66">
        <v>0</v>
      </c>
      <c r="G169" s="66">
        <v>128340076.11669999</v>
      </c>
      <c r="H169" s="66">
        <v>4563741.84</v>
      </c>
      <c r="I169" s="66">
        <v>5990485.7999999998</v>
      </c>
      <c r="J169" s="66">
        <v>0</v>
      </c>
      <c r="K169" s="66">
        <f t="shared" si="39"/>
        <v>5990485.7999999998</v>
      </c>
      <c r="L169" s="66">
        <v>171039115.36269999</v>
      </c>
      <c r="M169" s="71">
        <f t="shared" si="35"/>
        <v>381276203.03439999</v>
      </c>
      <c r="N169" s="70"/>
      <c r="O169" s="182"/>
      <c r="P169" s="72">
        <v>12</v>
      </c>
      <c r="Q169" s="182"/>
      <c r="R169" s="66" t="s">
        <v>455</v>
      </c>
      <c r="S169" s="66">
        <v>95135569.508100003</v>
      </c>
      <c r="T169" s="66">
        <v>0</v>
      </c>
      <c r="U169" s="66">
        <v>171141432.42269999</v>
      </c>
      <c r="V169" s="66">
        <v>6337064.1781000001</v>
      </c>
      <c r="W169" s="66">
        <v>7988310.0599999996</v>
      </c>
      <c r="X169" s="66">
        <f t="shared" si="42"/>
        <v>3994155.03</v>
      </c>
      <c r="Y169" s="66">
        <f t="shared" si="37"/>
        <v>3994155.03</v>
      </c>
      <c r="Z169" s="66">
        <v>228338910.86070001</v>
      </c>
      <c r="AA169" s="71">
        <f t="shared" si="40"/>
        <v>504947131.99959999</v>
      </c>
    </row>
    <row r="170" spans="1:27" ht="24.9" customHeight="1">
      <c r="A170" s="180"/>
      <c r="B170" s="182"/>
      <c r="C170" s="62">
        <v>16</v>
      </c>
      <c r="D170" s="66" t="s">
        <v>456</v>
      </c>
      <c r="E170" s="66">
        <v>104537147.155</v>
      </c>
      <c r="F170" s="66">
        <v>0</v>
      </c>
      <c r="G170" s="66">
        <v>188054133.65740001</v>
      </c>
      <c r="H170" s="66">
        <v>5644648.0944999997</v>
      </c>
      <c r="I170" s="66">
        <v>8777738.4199999999</v>
      </c>
      <c r="J170" s="66">
        <v>0</v>
      </c>
      <c r="K170" s="66">
        <f t="shared" si="39"/>
        <v>8777738.4199999999</v>
      </c>
      <c r="L170" s="66">
        <v>213115061.59729999</v>
      </c>
      <c r="M170" s="71">
        <f t="shared" si="35"/>
        <v>520128728.9242</v>
      </c>
      <c r="N170" s="70"/>
      <c r="O170" s="182"/>
      <c r="P170" s="72">
        <v>13</v>
      </c>
      <c r="Q170" s="182"/>
      <c r="R170" s="66" t="s">
        <v>457</v>
      </c>
      <c r="S170" s="66">
        <v>97454124.524599999</v>
      </c>
      <c r="T170" s="66">
        <v>0</v>
      </c>
      <c r="U170" s="66">
        <v>175312331.1584</v>
      </c>
      <c r="V170" s="66">
        <v>6018053.0952000003</v>
      </c>
      <c r="W170" s="66">
        <v>8182993.6699999999</v>
      </c>
      <c r="X170" s="66">
        <f t="shared" si="42"/>
        <v>4091496.835</v>
      </c>
      <c r="Y170" s="66">
        <f t="shared" si="37"/>
        <v>4091496.835</v>
      </c>
      <c r="Z170" s="66">
        <v>215920911.50420001</v>
      </c>
      <c r="AA170" s="71">
        <f t="shared" si="40"/>
        <v>498796917.11739999</v>
      </c>
    </row>
    <row r="171" spans="1:27" ht="24.9" customHeight="1">
      <c r="A171" s="180"/>
      <c r="B171" s="182"/>
      <c r="C171" s="62">
        <v>17</v>
      </c>
      <c r="D171" s="66" t="s">
        <v>458</v>
      </c>
      <c r="E171" s="66">
        <v>107736156.79350001</v>
      </c>
      <c r="F171" s="66">
        <v>0</v>
      </c>
      <c r="G171" s="66">
        <v>193808901.2466</v>
      </c>
      <c r="H171" s="66">
        <v>6178515.3539000005</v>
      </c>
      <c r="I171" s="66">
        <v>9046351.7400000002</v>
      </c>
      <c r="J171" s="66">
        <v>0</v>
      </c>
      <c r="K171" s="66">
        <f t="shared" si="39"/>
        <v>9046351.7400000002</v>
      </c>
      <c r="L171" s="66">
        <v>233896669.6345</v>
      </c>
      <c r="M171" s="71">
        <f t="shared" si="35"/>
        <v>550666594.76849997</v>
      </c>
      <c r="N171" s="70"/>
      <c r="O171" s="182"/>
      <c r="P171" s="72">
        <v>14</v>
      </c>
      <c r="Q171" s="182"/>
      <c r="R171" s="66" t="s">
        <v>459</v>
      </c>
      <c r="S171" s="66">
        <v>107907580.0922</v>
      </c>
      <c r="T171" s="66">
        <v>0</v>
      </c>
      <c r="U171" s="66">
        <v>194117278.32589999</v>
      </c>
      <c r="V171" s="66">
        <v>6218699.1475</v>
      </c>
      <c r="W171" s="66">
        <v>9060745.75</v>
      </c>
      <c r="X171" s="66">
        <f t="shared" si="42"/>
        <v>4530372.875</v>
      </c>
      <c r="Y171" s="66">
        <f t="shared" si="37"/>
        <v>4530372.875</v>
      </c>
      <c r="Z171" s="66">
        <v>223731369.13789999</v>
      </c>
      <c r="AA171" s="71">
        <f t="shared" si="40"/>
        <v>536505299.57849997</v>
      </c>
    </row>
    <row r="172" spans="1:27" ht="24.9" customHeight="1">
      <c r="A172" s="180"/>
      <c r="B172" s="182"/>
      <c r="C172" s="62">
        <v>18</v>
      </c>
      <c r="D172" s="66" t="s">
        <v>460</v>
      </c>
      <c r="E172" s="66">
        <v>59987544.839500003</v>
      </c>
      <c r="F172" s="66">
        <v>0</v>
      </c>
      <c r="G172" s="66">
        <v>107912891.0958</v>
      </c>
      <c r="H172" s="66">
        <v>4515242.3132999996</v>
      </c>
      <c r="I172" s="66">
        <v>5037013.08</v>
      </c>
      <c r="J172" s="66">
        <v>0</v>
      </c>
      <c r="K172" s="66">
        <f t="shared" si="39"/>
        <v>5037013.08</v>
      </c>
      <c r="L172" s="66">
        <v>169151196.34079999</v>
      </c>
      <c r="M172" s="71">
        <f t="shared" si="35"/>
        <v>346603887.66939998</v>
      </c>
      <c r="N172" s="70"/>
      <c r="O172" s="182"/>
      <c r="P172" s="72">
        <v>15</v>
      </c>
      <c r="Q172" s="182"/>
      <c r="R172" s="66" t="s">
        <v>461</v>
      </c>
      <c r="S172" s="66">
        <v>127324235.32799999</v>
      </c>
      <c r="T172" s="66">
        <v>0</v>
      </c>
      <c r="U172" s="66">
        <v>229046319.1401</v>
      </c>
      <c r="V172" s="66">
        <v>6394683.4669000003</v>
      </c>
      <c r="W172" s="66">
        <v>10691116.630000001</v>
      </c>
      <c r="X172" s="66">
        <f t="shared" si="42"/>
        <v>5345558.3150000004</v>
      </c>
      <c r="Y172" s="66">
        <f t="shared" si="37"/>
        <v>5345558.3150000004</v>
      </c>
      <c r="Z172" s="66">
        <v>230581830.71329999</v>
      </c>
      <c r="AA172" s="71">
        <f t="shared" si="40"/>
        <v>598692626.96329999</v>
      </c>
    </row>
    <row r="173" spans="1:27" ht="24.9" customHeight="1">
      <c r="A173" s="180"/>
      <c r="B173" s="182"/>
      <c r="C173" s="62">
        <v>19</v>
      </c>
      <c r="D173" s="66" t="s">
        <v>462</v>
      </c>
      <c r="E173" s="66">
        <v>80814891.050799996</v>
      </c>
      <c r="F173" s="66">
        <v>0</v>
      </c>
      <c r="G173" s="66">
        <v>145379654.38280001</v>
      </c>
      <c r="H173" s="66">
        <v>5045926.6854999997</v>
      </c>
      <c r="I173" s="66">
        <v>6785836.3600000003</v>
      </c>
      <c r="J173" s="66">
        <v>0</v>
      </c>
      <c r="K173" s="66">
        <f t="shared" si="39"/>
        <v>6785836.3600000003</v>
      </c>
      <c r="L173" s="66">
        <v>189808905.57319999</v>
      </c>
      <c r="M173" s="71">
        <f t="shared" si="35"/>
        <v>427835214.05229998</v>
      </c>
      <c r="N173" s="70"/>
      <c r="O173" s="182"/>
      <c r="P173" s="72">
        <v>16</v>
      </c>
      <c r="Q173" s="182"/>
      <c r="R173" s="66" t="s">
        <v>463</v>
      </c>
      <c r="S173" s="66">
        <v>80638538.796599999</v>
      </c>
      <c r="T173" s="66">
        <v>0</v>
      </c>
      <c r="U173" s="66">
        <v>145062410.4966</v>
      </c>
      <c r="V173" s="66">
        <v>6241261.5290999999</v>
      </c>
      <c r="W173" s="66">
        <v>6771028.4699999997</v>
      </c>
      <c r="X173" s="66">
        <f t="shared" si="42"/>
        <v>3385514.2349999999</v>
      </c>
      <c r="Y173" s="66">
        <f t="shared" si="37"/>
        <v>3385514.2349999999</v>
      </c>
      <c r="Z173" s="66">
        <v>224609644.70809999</v>
      </c>
      <c r="AA173" s="71">
        <f t="shared" si="40"/>
        <v>459937369.76539999</v>
      </c>
    </row>
    <row r="174" spans="1:27" ht="24.9" customHeight="1">
      <c r="A174" s="180"/>
      <c r="B174" s="182"/>
      <c r="C174" s="62">
        <v>20</v>
      </c>
      <c r="D174" s="66" t="s">
        <v>464</v>
      </c>
      <c r="E174" s="66">
        <v>95635665.970599994</v>
      </c>
      <c r="F174" s="66">
        <v>0</v>
      </c>
      <c r="G174" s="66">
        <v>172041066.75229999</v>
      </c>
      <c r="H174" s="66">
        <v>5460300.2308999998</v>
      </c>
      <c r="I174" s="66">
        <v>8030301.9800000004</v>
      </c>
      <c r="J174" s="66">
        <v>0</v>
      </c>
      <c r="K174" s="66">
        <f t="shared" si="39"/>
        <v>8030301.9800000004</v>
      </c>
      <c r="L174" s="66">
        <v>205939036.14129999</v>
      </c>
      <c r="M174" s="71">
        <f t="shared" si="35"/>
        <v>487106371.0751</v>
      </c>
      <c r="N174" s="70"/>
      <c r="O174" s="182"/>
      <c r="P174" s="72">
        <v>17</v>
      </c>
      <c r="Q174" s="182"/>
      <c r="R174" s="66" t="s">
        <v>465</v>
      </c>
      <c r="S174" s="66">
        <v>109450760.22149999</v>
      </c>
      <c r="T174" s="66">
        <v>0</v>
      </c>
      <c r="U174" s="66">
        <v>196893338.42820001</v>
      </c>
      <c r="V174" s="66">
        <v>6732329.1130999997</v>
      </c>
      <c r="W174" s="66">
        <v>9190322.9600000009</v>
      </c>
      <c r="X174" s="66">
        <f t="shared" si="42"/>
        <v>4595161.4800000004</v>
      </c>
      <c r="Y174" s="66">
        <f t="shared" si="37"/>
        <v>4595161.4800000004</v>
      </c>
      <c r="Z174" s="66">
        <v>243725209.24259999</v>
      </c>
      <c r="AA174" s="71">
        <f t="shared" si="40"/>
        <v>561396798.48539996</v>
      </c>
    </row>
    <row r="175" spans="1:27" ht="24.9" customHeight="1">
      <c r="A175" s="180"/>
      <c r="B175" s="182"/>
      <c r="C175" s="62">
        <v>21</v>
      </c>
      <c r="D175" s="66" t="s">
        <v>466</v>
      </c>
      <c r="E175" s="66">
        <v>139268382.42770001</v>
      </c>
      <c r="F175" s="66">
        <v>0</v>
      </c>
      <c r="G175" s="66">
        <v>250532903.5343</v>
      </c>
      <c r="H175" s="66">
        <v>9763529.9390999991</v>
      </c>
      <c r="I175" s="66">
        <v>11694038.58</v>
      </c>
      <c r="J175" s="66">
        <v>0</v>
      </c>
      <c r="K175" s="66">
        <f t="shared" si="39"/>
        <v>11694038.58</v>
      </c>
      <c r="L175" s="66">
        <v>373448902.14270002</v>
      </c>
      <c r="M175" s="71">
        <f t="shared" si="35"/>
        <v>784707756.62380004</v>
      </c>
      <c r="N175" s="70"/>
      <c r="O175" s="182"/>
      <c r="P175" s="72">
        <v>18</v>
      </c>
      <c r="Q175" s="182"/>
      <c r="R175" s="66" t="s">
        <v>467</v>
      </c>
      <c r="S175" s="66">
        <v>73931636.895999998</v>
      </c>
      <c r="T175" s="66">
        <v>0</v>
      </c>
      <c r="U175" s="66">
        <v>132997219.7051</v>
      </c>
      <c r="V175" s="66">
        <v>5137657.4510000004</v>
      </c>
      <c r="W175" s="66">
        <v>6207865.7000000002</v>
      </c>
      <c r="X175" s="66">
        <f t="shared" si="42"/>
        <v>3103932.85</v>
      </c>
      <c r="Y175" s="66">
        <f t="shared" si="37"/>
        <v>3103932.85</v>
      </c>
      <c r="Z175" s="66">
        <v>181650150.61379999</v>
      </c>
      <c r="AA175" s="71">
        <f t="shared" si="40"/>
        <v>396820597.51590002</v>
      </c>
    </row>
    <row r="176" spans="1:27" ht="24.9" customHeight="1">
      <c r="A176" s="180"/>
      <c r="B176" s="182"/>
      <c r="C176" s="62">
        <v>22</v>
      </c>
      <c r="D176" s="66" t="s">
        <v>468</v>
      </c>
      <c r="E176" s="66">
        <v>86967408.242599994</v>
      </c>
      <c r="F176" s="66">
        <v>0</v>
      </c>
      <c r="G176" s="66">
        <v>156447550.55779999</v>
      </c>
      <c r="H176" s="66">
        <v>5337713.9242000002</v>
      </c>
      <c r="I176" s="66">
        <v>7302448.7699999996</v>
      </c>
      <c r="J176" s="66">
        <v>0</v>
      </c>
      <c r="K176" s="66">
        <f t="shared" si="39"/>
        <v>7302448.7699999996</v>
      </c>
      <c r="L176" s="66">
        <v>201167174.72710001</v>
      </c>
      <c r="M176" s="71">
        <f t="shared" si="35"/>
        <v>457222296.22170001</v>
      </c>
      <c r="N176" s="70"/>
      <c r="O176" s="182"/>
      <c r="P176" s="72">
        <v>19</v>
      </c>
      <c r="Q176" s="182"/>
      <c r="R176" s="66" t="s">
        <v>469</v>
      </c>
      <c r="S176" s="66">
        <v>85086798.912699997</v>
      </c>
      <c r="T176" s="66">
        <v>0</v>
      </c>
      <c r="U176" s="66">
        <v>153064481.78330001</v>
      </c>
      <c r="V176" s="66">
        <v>5752056.2726999996</v>
      </c>
      <c r="W176" s="66">
        <v>7144538.4199999999</v>
      </c>
      <c r="X176" s="66">
        <f t="shared" si="42"/>
        <v>3572269.21</v>
      </c>
      <c r="Y176" s="66">
        <f t="shared" si="37"/>
        <v>3572269.21</v>
      </c>
      <c r="Z176" s="66">
        <v>205566574.15509999</v>
      </c>
      <c r="AA176" s="71">
        <f t="shared" si="40"/>
        <v>453042180.33380002</v>
      </c>
    </row>
    <row r="177" spans="1:28" ht="24.9" customHeight="1">
      <c r="A177" s="180"/>
      <c r="B177" s="182"/>
      <c r="C177" s="62">
        <v>23</v>
      </c>
      <c r="D177" s="66" t="s">
        <v>470</v>
      </c>
      <c r="E177" s="66">
        <v>80985727.110300004</v>
      </c>
      <c r="F177" s="66">
        <v>0</v>
      </c>
      <c r="G177" s="66">
        <v>145686975.0598</v>
      </c>
      <c r="H177" s="66">
        <v>5194190.54</v>
      </c>
      <c r="I177" s="66">
        <v>6800181.0599999996</v>
      </c>
      <c r="J177" s="66">
        <v>0</v>
      </c>
      <c r="K177" s="66">
        <f t="shared" si="39"/>
        <v>6800181.0599999996</v>
      </c>
      <c r="L177" s="66">
        <v>195580305.2175</v>
      </c>
      <c r="M177" s="71">
        <f t="shared" si="35"/>
        <v>434247378.98760003</v>
      </c>
      <c r="N177" s="70"/>
      <c r="O177" s="182"/>
      <c r="P177" s="72">
        <v>20</v>
      </c>
      <c r="Q177" s="182"/>
      <c r="R177" s="66" t="s">
        <v>471</v>
      </c>
      <c r="S177" s="66">
        <v>98138093.387400001</v>
      </c>
      <c r="T177" s="66">
        <v>0</v>
      </c>
      <c r="U177" s="66">
        <v>176542737.51980001</v>
      </c>
      <c r="V177" s="66">
        <v>6021168.2615</v>
      </c>
      <c r="W177" s="66">
        <v>8240424.9299999997</v>
      </c>
      <c r="X177" s="66">
        <f t="shared" si="42"/>
        <v>4120212.4649999999</v>
      </c>
      <c r="Y177" s="66">
        <f t="shared" si="37"/>
        <v>4120212.4649999999</v>
      </c>
      <c r="Z177" s="66">
        <v>216042174.16420001</v>
      </c>
      <c r="AA177" s="71">
        <f t="shared" si="40"/>
        <v>500864385.79790002</v>
      </c>
    </row>
    <row r="178" spans="1:28" ht="24.9" customHeight="1">
      <c r="A178" s="180"/>
      <c r="B178" s="182"/>
      <c r="C178" s="62">
        <v>24</v>
      </c>
      <c r="D178" s="66" t="s">
        <v>472</v>
      </c>
      <c r="E178" s="66">
        <v>79049748.199000001</v>
      </c>
      <c r="F178" s="66">
        <v>0</v>
      </c>
      <c r="G178" s="66">
        <v>142204300.76159999</v>
      </c>
      <c r="H178" s="66">
        <v>5117406.2067</v>
      </c>
      <c r="I178" s="66">
        <v>6637621.4699999997</v>
      </c>
      <c r="J178" s="66">
        <v>0</v>
      </c>
      <c r="K178" s="66">
        <f t="shared" si="39"/>
        <v>6637621.4699999997</v>
      </c>
      <c r="L178" s="66">
        <v>192591356.39140001</v>
      </c>
      <c r="M178" s="71">
        <f t="shared" si="35"/>
        <v>425600433.02869999</v>
      </c>
      <c r="N178" s="70"/>
      <c r="O178" s="182"/>
      <c r="P178" s="72">
        <v>21</v>
      </c>
      <c r="Q178" s="182"/>
      <c r="R178" s="66" t="s">
        <v>473</v>
      </c>
      <c r="S178" s="66">
        <v>92321497.873500004</v>
      </c>
      <c r="T178" s="66">
        <v>0</v>
      </c>
      <c r="U178" s="66">
        <v>166079138.1293</v>
      </c>
      <c r="V178" s="66">
        <v>5954846.8234999999</v>
      </c>
      <c r="W178" s="66">
        <v>7752019.0800000001</v>
      </c>
      <c r="X178" s="66">
        <f t="shared" si="42"/>
        <v>3876009.54</v>
      </c>
      <c r="Y178" s="66">
        <f t="shared" si="37"/>
        <v>3876009.54</v>
      </c>
      <c r="Z178" s="66">
        <v>213460509.70699999</v>
      </c>
      <c r="AA178" s="71">
        <f t="shared" si="40"/>
        <v>481692002.0733</v>
      </c>
    </row>
    <row r="179" spans="1:28" ht="24.9" customHeight="1">
      <c r="A179" s="180"/>
      <c r="B179" s="182"/>
      <c r="C179" s="62">
        <v>25</v>
      </c>
      <c r="D179" s="66" t="s">
        <v>474</v>
      </c>
      <c r="E179" s="66">
        <v>90406730.502700001</v>
      </c>
      <c r="F179" s="66">
        <v>0</v>
      </c>
      <c r="G179" s="66">
        <v>162634621.70140001</v>
      </c>
      <c r="H179" s="66">
        <v>6553317.2583999997</v>
      </c>
      <c r="I179" s="66">
        <v>7591240.5599999996</v>
      </c>
      <c r="J179" s="66">
        <v>0</v>
      </c>
      <c r="K179" s="66">
        <f t="shared" si="39"/>
        <v>7591240.5599999996</v>
      </c>
      <c r="L179" s="66">
        <v>248486412.93450001</v>
      </c>
      <c r="M179" s="71">
        <f t="shared" si="35"/>
        <v>515672322.95700002</v>
      </c>
      <c r="N179" s="70"/>
      <c r="O179" s="182"/>
      <c r="P179" s="72">
        <v>22</v>
      </c>
      <c r="Q179" s="182"/>
      <c r="R179" s="66" t="s">
        <v>475</v>
      </c>
      <c r="S179" s="66">
        <v>109138155.8311</v>
      </c>
      <c r="T179" s="66">
        <v>0</v>
      </c>
      <c r="U179" s="66">
        <v>196330987.61849999</v>
      </c>
      <c r="V179" s="66">
        <v>6624731.7222999996</v>
      </c>
      <c r="W179" s="66">
        <v>9164074.3000000007</v>
      </c>
      <c r="X179" s="66">
        <f t="shared" si="42"/>
        <v>4582037.1500000004</v>
      </c>
      <c r="Y179" s="66">
        <f t="shared" si="37"/>
        <v>4582037.1500000004</v>
      </c>
      <c r="Z179" s="66">
        <v>239536814.54030001</v>
      </c>
      <c r="AA179" s="71">
        <f t="shared" si="40"/>
        <v>556212726.86220002</v>
      </c>
    </row>
    <row r="180" spans="1:28" ht="24.9" customHeight="1">
      <c r="A180" s="180"/>
      <c r="B180" s="182"/>
      <c r="C180" s="62">
        <v>26</v>
      </c>
      <c r="D180" s="66" t="s">
        <v>476</v>
      </c>
      <c r="E180" s="66">
        <v>78585963.140699998</v>
      </c>
      <c r="F180" s="66">
        <v>0</v>
      </c>
      <c r="G180" s="66">
        <v>141369987.7807</v>
      </c>
      <c r="H180" s="66">
        <v>5003950.949</v>
      </c>
      <c r="I180" s="66">
        <v>6598678.5199999996</v>
      </c>
      <c r="J180" s="66">
        <v>0</v>
      </c>
      <c r="K180" s="66">
        <f t="shared" si="39"/>
        <v>6598678.5199999996</v>
      </c>
      <c r="L180" s="66">
        <v>188174935.1654</v>
      </c>
      <c r="M180" s="71">
        <f t="shared" si="35"/>
        <v>419733515.55580002</v>
      </c>
      <c r="N180" s="70"/>
      <c r="O180" s="182"/>
      <c r="P180" s="72">
        <v>23</v>
      </c>
      <c r="Q180" s="182"/>
      <c r="R180" s="66" t="s">
        <v>477</v>
      </c>
      <c r="S180" s="66">
        <v>79815473.881600007</v>
      </c>
      <c r="T180" s="66">
        <v>0</v>
      </c>
      <c r="U180" s="66">
        <v>143581781.24290001</v>
      </c>
      <c r="V180" s="66">
        <v>6412245.7810000004</v>
      </c>
      <c r="W180" s="66">
        <v>6701917.6600000001</v>
      </c>
      <c r="X180" s="66">
        <f t="shared" si="42"/>
        <v>3350958.83</v>
      </c>
      <c r="Y180" s="66">
        <f t="shared" si="37"/>
        <v>3350958.83</v>
      </c>
      <c r="Z180" s="66">
        <v>231265470.92699999</v>
      </c>
      <c r="AA180" s="71">
        <f t="shared" si="40"/>
        <v>464425930.66250002</v>
      </c>
    </row>
    <row r="181" spans="1:28" ht="24.9" customHeight="1">
      <c r="A181" s="180"/>
      <c r="B181" s="183"/>
      <c r="C181" s="62">
        <v>27</v>
      </c>
      <c r="D181" s="66" t="s">
        <v>478</v>
      </c>
      <c r="E181" s="66">
        <v>76217838.747400001</v>
      </c>
      <c r="F181" s="66">
        <v>0</v>
      </c>
      <c r="G181" s="66">
        <v>137109917.62400001</v>
      </c>
      <c r="H181" s="66">
        <v>5032371.1975999996</v>
      </c>
      <c r="I181" s="66">
        <v>6399832.6900000004</v>
      </c>
      <c r="J181" s="66">
        <v>0</v>
      </c>
      <c r="K181" s="66">
        <f t="shared" si="39"/>
        <v>6399832.6900000004</v>
      </c>
      <c r="L181" s="66">
        <v>189281237.25920001</v>
      </c>
      <c r="M181" s="71">
        <f t="shared" si="35"/>
        <v>414041197.51819998</v>
      </c>
      <c r="N181" s="70"/>
      <c r="O181" s="182"/>
      <c r="P181" s="72">
        <v>24</v>
      </c>
      <c r="Q181" s="182"/>
      <c r="R181" s="66" t="s">
        <v>479</v>
      </c>
      <c r="S181" s="66">
        <v>64957126.837099999</v>
      </c>
      <c r="T181" s="66">
        <v>0</v>
      </c>
      <c r="U181" s="66">
        <v>116852779.57250001</v>
      </c>
      <c r="V181" s="66">
        <v>4910713.0750000002</v>
      </c>
      <c r="W181" s="66">
        <v>5454297.2000000002</v>
      </c>
      <c r="X181" s="66">
        <f t="shared" si="42"/>
        <v>2727148.6</v>
      </c>
      <c r="Y181" s="66">
        <f t="shared" si="37"/>
        <v>2727148.6</v>
      </c>
      <c r="Z181" s="66">
        <v>172815990.08939999</v>
      </c>
      <c r="AA181" s="71">
        <f t="shared" si="40"/>
        <v>362263758.17400002</v>
      </c>
    </row>
    <row r="182" spans="1:28" ht="24.9" customHeight="1">
      <c r="A182" s="62"/>
      <c r="B182" s="173" t="s">
        <v>480</v>
      </c>
      <c r="C182" s="174"/>
      <c r="D182" s="67"/>
      <c r="E182" s="67">
        <f t="shared" ref="E182:M182" si="43">SUM(E155:E181)</f>
        <v>2354675025.6977</v>
      </c>
      <c r="F182" s="67">
        <f t="shared" si="43"/>
        <v>0</v>
      </c>
      <c r="G182" s="67">
        <f t="shared" si="43"/>
        <v>4235875801.7490001</v>
      </c>
      <c r="H182" s="67">
        <f t="shared" si="43"/>
        <v>151547304.1092</v>
      </c>
      <c r="I182" s="67">
        <f t="shared" si="43"/>
        <v>197716524.78</v>
      </c>
      <c r="J182" s="67">
        <f t="shared" si="43"/>
        <v>0</v>
      </c>
      <c r="K182" s="67">
        <f t="shared" si="43"/>
        <v>197716524.78</v>
      </c>
      <c r="L182" s="67">
        <f t="shared" si="43"/>
        <v>5720700118.3685999</v>
      </c>
      <c r="M182" s="67">
        <f t="shared" si="43"/>
        <v>12660514774.7045</v>
      </c>
      <c r="N182" s="70"/>
      <c r="O182" s="183"/>
      <c r="P182" s="72">
        <v>25</v>
      </c>
      <c r="Q182" s="183"/>
      <c r="R182" s="66" t="s">
        <v>481</v>
      </c>
      <c r="S182" s="66">
        <v>72407104.9384</v>
      </c>
      <c r="T182" s="66">
        <v>0</v>
      </c>
      <c r="U182" s="66">
        <v>130254706.2105</v>
      </c>
      <c r="V182" s="66">
        <v>4890836.9599000001</v>
      </c>
      <c r="W182" s="66">
        <v>6079854.3399999999</v>
      </c>
      <c r="X182" s="66">
        <f t="shared" si="42"/>
        <v>3039927.17</v>
      </c>
      <c r="Y182" s="66">
        <f t="shared" si="37"/>
        <v>3039927.17</v>
      </c>
      <c r="Z182" s="66">
        <v>172042281.59560001</v>
      </c>
      <c r="AA182" s="71">
        <f t="shared" si="40"/>
        <v>382634856.87440002</v>
      </c>
    </row>
    <row r="183" spans="1:28" ht="24.9" customHeight="1">
      <c r="A183" s="180">
        <v>9</v>
      </c>
      <c r="B183" s="181" t="s">
        <v>482</v>
      </c>
      <c r="C183" s="62">
        <v>1</v>
      </c>
      <c r="D183" s="66" t="s">
        <v>483</v>
      </c>
      <c r="E183" s="66">
        <v>80801031.968199998</v>
      </c>
      <c r="F183" s="66">
        <v>0</v>
      </c>
      <c r="G183" s="66">
        <v>145354722.98379999</v>
      </c>
      <c r="H183" s="66">
        <v>5751249.1890000002</v>
      </c>
      <c r="I183" s="66">
        <v>6784672.6500000004</v>
      </c>
      <c r="J183" s="66">
        <f t="shared" ref="J183:J200" si="44">I183/2</f>
        <v>3392336.3250000002</v>
      </c>
      <c r="K183" s="66">
        <f t="shared" ref="K183:K200" si="45">I183-J183</f>
        <v>3392336.3250000002</v>
      </c>
      <c r="L183" s="66">
        <v>200609024.29679999</v>
      </c>
      <c r="M183" s="71">
        <f t="shared" si="35"/>
        <v>435908364.76279998</v>
      </c>
      <c r="N183" s="70"/>
      <c r="O183" s="62"/>
      <c r="P183" s="173" t="s">
        <v>484</v>
      </c>
      <c r="Q183" s="175"/>
      <c r="R183" s="67"/>
      <c r="S183" s="67">
        <f t="shared" ref="S183:X183" si="46">SUM(S158:S182)</f>
        <v>2212014408.5818</v>
      </c>
      <c r="T183" s="66">
        <v>0</v>
      </c>
      <c r="U183" s="67">
        <f t="shared" si="46"/>
        <v>3979240533.9963002</v>
      </c>
      <c r="V183" s="67">
        <f t="shared" si="46"/>
        <v>143779950.54679999</v>
      </c>
      <c r="W183" s="67">
        <f t="shared" si="46"/>
        <v>185737648.28999999</v>
      </c>
      <c r="X183" s="67">
        <f t="shared" si="46"/>
        <v>92868824.144999996</v>
      </c>
      <c r="Y183" s="67">
        <f t="shared" si="37"/>
        <v>92868824.144999996</v>
      </c>
      <c r="Z183" s="67">
        <f>SUM(Z158:Z182)</f>
        <v>5138329135.3385</v>
      </c>
      <c r="AA183" s="67">
        <f>SUM(AA158:AA182)</f>
        <v>11566232852.6084</v>
      </c>
      <c r="AB183" s="80"/>
    </row>
    <row r="184" spans="1:28" ht="24.9" customHeight="1">
      <c r="A184" s="180"/>
      <c r="B184" s="182"/>
      <c r="C184" s="62">
        <v>2</v>
      </c>
      <c r="D184" s="66" t="s">
        <v>485</v>
      </c>
      <c r="E184" s="66">
        <v>101565916.9507</v>
      </c>
      <c r="F184" s="66">
        <v>0</v>
      </c>
      <c r="G184" s="66">
        <v>182709123.42840001</v>
      </c>
      <c r="H184" s="66">
        <v>5822615.8419000003</v>
      </c>
      <c r="I184" s="66">
        <v>8528251.2100000009</v>
      </c>
      <c r="J184" s="66">
        <f t="shared" si="44"/>
        <v>4264125.6050000004</v>
      </c>
      <c r="K184" s="66">
        <f t="shared" si="45"/>
        <v>4264125.6050000004</v>
      </c>
      <c r="L184" s="66">
        <v>203387081.5404</v>
      </c>
      <c r="M184" s="71">
        <f t="shared" si="35"/>
        <v>497748863.3664</v>
      </c>
      <c r="N184" s="70"/>
      <c r="O184" s="181">
        <v>27</v>
      </c>
      <c r="P184" s="72">
        <v>1</v>
      </c>
      <c r="Q184" s="181" t="s">
        <v>112</v>
      </c>
      <c r="R184" s="66" t="s">
        <v>486</v>
      </c>
      <c r="S184" s="66">
        <v>81292524.697999999</v>
      </c>
      <c r="T184" s="66">
        <v>0</v>
      </c>
      <c r="U184" s="66">
        <v>146238879.87619999</v>
      </c>
      <c r="V184" s="66">
        <v>7543867.4566000002</v>
      </c>
      <c r="W184" s="66">
        <v>6825942.1399999997</v>
      </c>
      <c r="X184" s="66">
        <v>0</v>
      </c>
      <c r="Y184" s="66">
        <f t="shared" si="37"/>
        <v>6825942.1399999997</v>
      </c>
      <c r="Z184" s="66">
        <v>229046514.2606</v>
      </c>
      <c r="AA184" s="71">
        <f t="shared" si="40"/>
        <v>470947728.4314</v>
      </c>
    </row>
    <row r="185" spans="1:28" ht="24.9" customHeight="1">
      <c r="A185" s="180"/>
      <c r="B185" s="182"/>
      <c r="C185" s="62">
        <v>3</v>
      </c>
      <c r="D185" s="66" t="s">
        <v>487</v>
      </c>
      <c r="E185" s="66">
        <v>97228490.590700001</v>
      </c>
      <c r="F185" s="66">
        <v>0</v>
      </c>
      <c r="G185" s="66">
        <v>174906433.39390001</v>
      </c>
      <c r="H185" s="66">
        <v>7180083.3957000002</v>
      </c>
      <c r="I185" s="66">
        <v>8164047.7199999997</v>
      </c>
      <c r="J185" s="66">
        <f t="shared" si="44"/>
        <v>4082023.86</v>
      </c>
      <c r="K185" s="66">
        <f t="shared" si="45"/>
        <v>4082023.86</v>
      </c>
      <c r="L185" s="66">
        <v>256228603.71020001</v>
      </c>
      <c r="M185" s="71">
        <f t="shared" si="35"/>
        <v>539625634.95050001</v>
      </c>
      <c r="N185" s="70"/>
      <c r="O185" s="182"/>
      <c r="P185" s="72">
        <v>2</v>
      </c>
      <c r="Q185" s="182"/>
      <c r="R185" s="66" t="s">
        <v>488</v>
      </c>
      <c r="S185" s="66">
        <v>83922093.107299998</v>
      </c>
      <c r="T185" s="66">
        <v>0</v>
      </c>
      <c r="U185" s="66">
        <v>150969267.3238</v>
      </c>
      <c r="V185" s="66">
        <v>8096346.7056999998</v>
      </c>
      <c r="W185" s="66">
        <v>7046740.8099999996</v>
      </c>
      <c r="X185" s="66">
        <v>0</v>
      </c>
      <c r="Y185" s="66">
        <f t="shared" si="37"/>
        <v>7046740.8099999996</v>
      </c>
      <c r="Z185" s="66">
        <v>250552622.75549999</v>
      </c>
      <c r="AA185" s="71">
        <f t="shared" si="40"/>
        <v>500587070.70230001</v>
      </c>
    </row>
    <row r="186" spans="1:28" ht="24.9" customHeight="1">
      <c r="A186" s="180"/>
      <c r="B186" s="182"/>
      <c r="C186" s="62">
        <v>4</v>
      </c>
      <c r="D186" s="66" t="s">
        <v>489</v>
      </c>
      <c r="E186" s="66">
        <v>62733524.676700003</v>
      </c>
      <c r="F186" s="66">
        <v>0</v>
      </c>
      <c r="G186" s="66">
        <v>112852693.5724</v>
      </c>
      <c r="H186" s="66">
        <v>4482417.1446000002</v>
      </c>
      <c r="I186" s="66">
        <v>5267586.55</v>
      </c>
      <c r="J186" s="66">
        <f t="shared" si="44"/>
        <v>2633793.2749999999</v>
      </c>
      <c r="K186" s="66">
        <f t="shared" si="45"/>
        <v>2633793.2749999999</v>
      </c>
      <c r="L186" s="66">
        <v>151217776.29010001</v>
      </c>
      <c r="M186" s="71">
        <f t="shared" si="35"/>
        <v>333920204.95880002</v>
      </c>
      <c r="N186" s="70"/>
      <c r="O186" s="182"/>
      <c r="P186" s="72">
        <v>3</v>
      </c>
      <c r="Q186" s="182"/>
      <c r="R186" s="66" t="s">
        <v>490</v>
      </c>
      <c r="S186" s="66">
        <v>128991035.30060001</v>
      </c>
      <c r="T186" s="66">
        <v>0</v>
      </c>
      <c r="U186" s="66">
        <v>232044761.6415</v>
      </c>
      <c r="V186" s="66">
        <v>11214752.2766</v>
      </c>
      <c r="W186" s="66">
        <v>10831073.91</v>
      </c>
      <c r="X186" s="66">
        <v>0</v>
      </c>
      <c r="Y186" s="66">
        <f t="shared" si="37"/>
        <v>10831073.91</v>
      </c>
      <c r="Z186" s="66">
        <v>371941378.35320002</v>
      </c>
      <c r="AA186" s="71">
        <f t="shared" si="40"/>
        <v>755023001.48189998</v>
      </c>
    </row>
    <row r="187" spans="1:28" ht="24.9" customHeight="1">
      <c r="A187" s="180"/>
      <c r="B187" s="182"/>
      <c r="C187" s="62">
        <v>5</v>
      </c>
      <c r="D187" s="66" t="s">
        <v>491</v>
      </c>
      <c r="E187" s="66">
        <v>74939686.494299993</v>
      </c>
      <c r="F187" s="66">
        <v>0</v>
      </c>
      <c r="G187" s="66">
        <v>134810621.92089999</v>
      </c>
      <c r="H187" s="66">
        <v>5311288.3904999997</v>
      </c>
      <c r="I187" s="66">
        <v>6292509.2599999998</v>
      </c>
      <c r="J187" s="66">
        <f t="shared" si="44"/>
        <v>3146254.63</v>
      </c>
      <c r="K187" s="66">
        <f t="shared" si="45"/>
        <v>3146254.63</v>
      </c>
      <c r="L187" s="66">
        <v>183482870.35839999</v>
      </c>
      <c r="M187" s="71">
        <f t="shared" si="35"/>
        <v>401690721.79409999</v>
      </c>
      <c r="N187" s="70"/>
      <c r="O187" s="182"/>
      <c r="P187" s="72">
        <v>4</v>
      </c>
      <c r="Q187" s="182"/>
      <c r="R187" s="66" t="s">
        <v>492</v>
      </c>
      <c r="S187" s="66">
        <v>84812688.560200006</v>
      </c>
      <c r="T187" s="66">
        <v>0</v>
      </c>
      <c r="U187" s="66">
        <v>152571378.74599999</v>
      </c>
      <c r="V187" s="66">
        <v>7323740.3284</v>
      </c>
      <c r="W187" s="66">
        <v>7121522.0199999996</v>
      </c>
      <c r="X187" s="66">
        <v>0</v>
      </c>
      <c r="Y187" s="66">
        <f t="shared" si="37"/>
        <v>7121522.0199999996</v>
      </c>
      <c r="Z187" s="66">
        <v>220477725.64430001</v>
      </c>
      <c r="AA187" s="71">
        <f t="shared" si="40"/>
        <v>472307055.29890001</v>
      </c>
    </row>
    <row r="188" spans="1:28" ht="24.9" customHeight="1">
      <c r="A188" s="180"/>
      <c r="B188" s="182"/>
      <c r="C188" s="62">
        <v>6</v>
      </c>
      <c r="D188" s="66" t="s">
        <v>493</v>
      </c>
      <c r="E188" s="66">
        <v>86212550.754299998</v>
      </c>
      <c r="F188" s="66">
        <v>0</v>
      </c>
      <c r="G188" s="66">
        <v>155089621.0959</v>
      </c>
      <c r="H188" s="66">
        <v>6026433.4945999999</v>
      </c>
      <c r="I188" s="66">
        <v>7239065.1500000004</v>
      </c>
      <c r="J188" s="66">
        <f t="shared" si="44"/>
        <v>3619532.5750000002</v>
      </c>
      <c r="K188" s="66">
        <f t="shared" si="45"/>
        <v>3619532.5750000002</v>
      </c>
      <c r="L188" s="66">
        <v>211320998.62149999</v>
      </c>
      <c r="M188" s="71">
        <f t="shared" si="35"/>
        <v>462269136.5413</v>
      </c>
      <c r="N188" s="70"/>
      <c r="O188" s="182"/>
      <c r="P188" s="72">
        <v>5</v>
      </c>
      <c r="Q188" s="182"/>
      <c r="R188" s="66" t="s">
        <v>494</v>
      </c>
      <c r="S188" s="66">
        <v>76007321.940099999</v>
      </c>
      <c r="T188" s="66">
        <v>0</v>
      </c>
      <c r="U188" s="66">
        <v>136731214.39610001</v>
      </c>
      <c r="V188" s="66">
        <v>7177282.3673999999</v>
      </c>
      <c r="W188" s="66">
        <v>6382156.0899999999</v>
      </c>
      <c r="X188" s="66">
        <v>0</v>
      </c>
      <c r="Y188" s="66">
        <f t="shared" si="37"/>
        <v>6382156.0899999999</v>
      </c>
      <c r="Z188" s="66">
        <v>214776623.19420001</v>
      </c>
      <c r="AA188" s="71">
        <f t="shared" si="40"/>
        <v>441074597.9878</v>
      </c>
    </row>
    <row r="189" spans="1:28" ht="24.9" customHeight="1">
      <c r="A189" s="180"/>
      <c r="B189" s="182"/>
      <c r="C189" s="62">
        <v>7</v>
      </c>
      <c r="D189" s="66" t="s">
        <v>495</v>
      </c>
      <c r="E189" s="66">
        <v>98838143.414000005</v>
      </c>
      <c r="F189" s="66">
        <v>1E-4</v>
      </c>
      <c r="G189" s="66">
        <v>177802072.6435</v>
      </c>
      <c r="H189" s="66">
        <v>6217835.6295999996</v>
      </c>
      <c r="I189" s="66">
        <v>8299206.4800000004</v>
      </c>
      <c r="J189" s="66">
        <f t="shared" si="44"/>
        <v>4149603.24</v>
      </c>
      <c r="K189" s="66">
        <f t="shared" si="45"/>
        <v>4149603.24</v>
      </c>
      <c r="L189" s="66">
        <v>218771622.49239999</v>
      </c>
      <c r="M189" s="71">
        <f t="shared" si="35"/>
        <v>505779277.41960001</v>
      </c>
      <c r="N189" s="70"/>
      <c r="O189" s="182"/>
      <c r="P189" s="72">
        <v>6</v>
      </c>
      <c r="Q189" s="182"/>
      <c r="R189" s="66" t="s">
        <v>496</v>
      </c>
      <c r="S189" s="66">
        <v>57816853.7249</v>
      </c>
      <c r="T189" s="66">
        <v>0</v>
      </c>
      <c r="U189" s="66">
        <v>104007987.9171</v>
      </c>
      <c r="V189" s="66">
        <v>5894037.0356000001</v>
      </c>
      <c r="W189" s="66">
        <v>4854745.25</v>
      </c>
      <c r="X189" s="66">
        <v>0</v>
      </c>
      <c r="Y189" s="66">
        <f t="shared" si="37"/>
        <v>4854745.25</v>
      </c>
      <c r="Z189" s="66">
        <v>164824315.7062</v>
      </c>
      <c r="AA189" s="71">
        <f t="shared" si="40"/>
        <v>337397939.63380003</v>
      </c>
    </row>
    <row r="190" spans="1:28" ht="24.9" customHeight="1">
      <c r="A190" s="180"/>
      <c r="B190" s="182"/>
      <c r="C190" s="62">
        <v>8</v>
      </c>
      <c r="D190" s="66" t="s">
        <v>497</v>
      </c>
      <c r="E190" s="66">
        <v>78295024.732500002</v>
      </c>
      <c r="F190" s="66">
        <v>0</v>
      </c>
      <c r="G190" s="66">
        <v>140846612.39320001</v>
      </c>
      <c r="H190" s="66">
        <v>6141660.7852999996</v>
      </c>
      <c r="I190" s="66">
        <v>6574249.1100000003</v>
      </c>
      <c r="J190" s="66">
        <f t="shared" si="44"/>
        <v>3287124.5550000002</v>
      </c>
      <c r="K190" s="66">
        <f t="shared" si="45"/>
        <v>3287124.5550000002</v>
      </c>
      <c r="L190" s="66">
        <v>215806398.9693</v>
      </c>
      <c r="M190" s="71">
        <f t="shared" si="35"/>
        <v>444376821.43529999</v>
      </c>
      <c r="N190" s="70"/>
      <c r="O190" s="182"/>
      <c r="P190" s="72">
        <v>7</v>
      </c>
      <c r="Q190" s="182"/>
      <c r="R190" s="66" t="s">
        <v>498</v>
      </c>
      <c r="S190" s="66">
        <v>56323832.482000001</v>
      </c>
      <c r="T190" s="66">
        <v>0</v>
      </c>
      <c r="U190" s="66">
        <v>101322159.72570001</v>
      </c>
      <c r="V190" s="66">
        <v>5947705.9324000003</v>
      </c>
      <c r="W190" s="66">
        <v>4729379.76</v>
      </c>
      <c r="X190" s="66">
        <v>0</v>
      </c>
      <c r="Y190" s="66">
        <f t="shared" si="37"/>
        <v>4729379.76</v>
      </c>
      <c r="Z190" s="66">
        <v>166913460.4465</v>
      </c>
      <c r="AA190" s="71">
        <f t="shared" si="40"/>
        <v>335236538.3466</v>
      </c>
    </row>
    <row r="191" spans="1:28" ht="24.9" customHeight="1">
      <c r="A191" s="180"/>
      <c r="B191" s="182"/>
      <c r="C191" s="62">
        <v>9</v>
      </c>
      <c r="D191" s="66" t="s">
        <v>499</v>
      </c>
      <c r="E191" s="66">
        <v>83452845.698599994</v>
      </c>
      <c r="F191" s="66">
        <v>0</v>
      </c>
      <c r="G191" s="66">
        <v>150125128.02110001</v>
      </c>
      <c r="H191" s="66">
        <v>6279789.0626999997</v>
      </c>
      <c r="I191" s="66">
        <v>7007339.21</v>
      </c>
      <c r="J191" s="66">
        <f t="shared" si="44"/>
        <v>3503669.605</v>
      </c>
      <c r="K191" s="66">
        <f t="shared" si="45"/>
        <v>3503669.605</v>
      </c>
      <c r="L191" s="66">
        <v>221183255.61109999</v>
      </c>
      <c r="M191" s="71">
        <f t="shared" si="35"/>
        <v>464544687.99849999</v>
      </c>
      <c r="N191" s="70"/>
      <c r="O191" s="182"/>
      <c r="P191" s="72">
        <v>8</v>
      </c>
      <c r="Q191" s="182"/>
      <c r="R191" s="66" t="s">
        <v>500</v>
      </c>
      <c r="S191" s="66">
        <v>126472778.8882</v>
      </c>
      <c r="T191" s="66">
        <v>0</v>
      </c>
      <c r="U191" s="66">
        <v>227514615.75139999</v>
      </c>
      <c r="V191" s="66">
        <v>11195248.6271</v>
      </c>
      <c r="W191" s="66">
        <v>10619621.84</v>
      </c>
      <c r="X191" s="66">
        <v>0</v>
      </c>
      <c r="Y191" s="66">
        <f t="shared" si="37"/>
        <v>10619621.84</v>
      </c>
      <c r="Z191" s="66">
        <v>371182168.65579998</v>
      </c>
      <c r="AA191" s="71">
        <f t="shared" si="40"/>
        <v>746984433.76250005</v>
      </c>
    </row>
    <row r="192" spans="1:28" ht="24.9" customHeight="1">
      <c r="A192" s="180"/>
      <c r="B192" s="182"/>
      <c r="C192" s="62">
        <v>10</v>
      </c>
      <c r="D192" s="66" t="s">
        <v>501</v>
      </c>
      <c r="E192" s="66">
        <v>65346830.455899999</v>
      </c>
      <c r="F192" s="66">
        <v>0</v>
      </c>
      <c r="G192" s="66">
        <v>117553825.8213</v>
      </c>
      <c r="H192" s="66">
        <v>5022051.9763000002</v>
      </c>
      <c r="I192" s="66">
        <v>5487019.6799999997</v>
      </c>
      <c r="J192" s="66">
        <f t="shared" si="44"/>
        <v>2743509.84</v>
      </c>
      <c r="K192" s="66">
        <f t="shared" si="45"/>
        <v>2743509.84</v>
      </c>
      <c r="L192" s="66">
        <v>172223895.99129999</v>
      </c>
      <c r="M192" s="71">
        <f t="shared" si="35"/>
        <v>362890114.0848</v>
      </c>
      <c r="N192" s="70"/>
      <c r="O192" s="182"/>
      <c r="P192" s="72">
        <v>9</v>
      </c>
      <c r="Q192" s="182"/>
      <c r="R192" s="66" t="s">
        <v>502</v>
      </c>
      <c r="S192" s="66">
        <v>75267030.068900004</v>
      </c>
      <c r="T192" s="66">
        <v>0</v>
      </c>
      <c r="U192" s="66">
        <v>135399487.34040001</v>
      </c>
      <c r="V192" s="66">
        <v>6515264.392</v>
      </c>
      <c r="W192" s="66">
        <v>6319995.5199999996</v>
      </c>
      <c r="X192" s="66">
        <v>0</v>
      </c>
      <c r="Y192" s="66">
        <f t="shared" si="37"/>
        <v>6319995.5199999996</v>
      </c>
      <c r="Z192" s="66">
        <v>189006550.5131</v>
      </c>
      <c r="AA192" s="71">
        <f t="shared" si="40"/>
        <v>412508327.8344</v>
      </c>
    </row>
    <row r="193" spans="1:27" ht="24.9" customHeight="1">
      <c r="A193" s="180"/>
      <c r="B193" s="182"/>
      <c r="C193" s="62">
        <v>11</v>
      </c>
      <c r="D193" s="66" t="s">
        <v>503</v>
      </c>
      <c r="E193" s="66">
        <v>89164828.732999995</v>
      </c>
      <c r="F193" s="66">
        <v>0</v>
      </c>
      <c r="G193" s="66">
        <v>160400537.7685</v>
      </c>
      <c r="H193" s="66">
        <v>5949683.0218000002</v>
      </c>
      <c r="I193" s="66">
        <v>7486960.9900000002</v>
      </c>
      <c r="J193" s="66">
        <f t="shared" si="44"/>
        <v>3743480.4950000001</v>
      </c>
      <c r="K193" s="66">
        <f t="shared" si="45"/>
        <v>3743480.4950000001</v>
      </c>
      <c r="L193" s="66">
        <v>208333367.86770001</v>
      </c>
      <c r="M193" s="71">
        <f t="shared" si="35"/>
        <v>467591897.88599998</v>
      </c>
      <c r="N193" s="70"/>
      <c r="O193" s="182"/>
      <c r="P193" s="72">
        <v>10</v>
      </c>
      <c r="Q193" s="182"/>
      <c r="R193" s="66" t="s">
        <v>504</v>
      </c>
      <c r="S193" s="66">
        <v>94038794.377599999</v>
      </c>
      <c r="T193" s="66">
        <v>0</v>
      </c>
      <c r="U193" s="66">
        <v>169168419.92219999</v>
      </c>
      <c r="V193" s="66">
        <v>8480753.7061000001</v>
      </c>
      <c r="W193" s="66">
        <v>7896216.4299999997</v>
      </c>
      <c r="X193" s="66">
        <v>0</v>
      </c>
      <c r="Y193" s="66">
        <f t="shared" si="37"/>
        <v>7896216.4299999997</v>
      </c>
      <c r="Z193" s="66">
        <v>265516259.2572</v>
      </c>
      <c r="AA193" s="71">
        <f t="shared" si="40"/>
        <v>545100443.69309998</v>
      </c>
    </row>
    <row r="194" spans="1:27" ht="24.9" customHeight="1">
      <c r="A194" s="180"/>
      <c r="B194" s="182"/>
      <c r="C194" s="62">
        <v>12</v>
      </c>
      <c r="D194" s="66" t="s">
        <v>505</v>
      </c>
      <c r="E194" s="66">
        <v>76947447.759100005</v>
      </c>
      <c r="F194" s="66">
        <v>0</v>
      </c>
      <c r="G194" s="66">
        <v>138422427.04539999</v>
      </c>
      <c r="H194" s="66">
        <v>5362101.7182</v>
      </c>
      <c r="I194" s="66">
        <v>6461096.2400000002</v>
      </c>
      <c r="J194" s="66">
        <f t="shared" si="44"/>
        <v>3230548.12</v>
      </c>
      <c r="K194" s="66">
        <f t="shared" si="45"/>
        <v>3230548.12</v>
      </c>
      <c r="L194" s="66">
        <v>185460857.66029999</v>
      </c>
      <c r="M194" s="71">
        <f t="shared" si="35"/>
        <v>409423382.30299997</v>
      </c>
      <c r="N194" s="70"/>
      <c r="O194" s="182"/>
      <c r="P194" s="72">
        <v>11</v>
      </c>
      <c r="Q194" s="182"/>
      <c r="R194" s="66" t="s">
        <v>506</v>
      </c>
      <c r="S194" s="66">
        <v>72550971.013799995</v>
      </c>
      <c r="T194" s="66">
        <v>0</v>
      </c>
      <c r="U194" s="66">
        <v>130513509.9994</v>
      </c>
      <c r="V194" s="66">
        <v>7010034.0575999999</v>
      </c>
      <c r="W194" s="66">
        <v>6091934.4299999997</v>
      </c>
      <c r="X194" s="66">
        <v>0</v>
      </c>
      <c r="Y194" s="66">
        <f t="shared" si="37"/>
        <v>6091934.4299999997</v>
      </c>
      <c r="Z194" s="66">
        <v>208266224.2958</v>
      </c>
      <c r="AA194" s="71">
        <f t="shared" si="40"/>
        <v>424432673.79659998</v>
      </c>
    </row>
    <row r="195" spans="1:27" ht="24.9" customHeight="1">
      <c r="A195" s="180"/>
      <c r="B195" s="182"/>
      <c r="C195" s="62">
        <v>13</v>
      </c>
      <c r="D195" s="66" t="s">
        <v>507</v>
      </c>
      <c r="E195" s="66">
        <v>84807714.084999993</v>
      </c>
      <c r="F195" s="66">
        <v>0</v>
      </c>
      <c r="G195" s="66">
        <v>152562430.04499999</v>
      </c>
      <c r="H195" s="66">
        <v>6063239.8609999996</v>
      </c>
      <c r="I195" s="66">
        <v>7121104.3200000003</v>
      </c>
      <c r="J195" s="66">
        <f t="shared" si="44"/>
        <v>3560552.16</v>
      </c>
      <c r="K195" s="66">
        <f t="shared" si="45"/>
        <v>3560552.16</v>
      </c>
      <c r="L195" s="66">
        <v>212753743.3109</v>
      </c>
      <c r="M195" s="71">
        <f t="shared" si="35"/>
        <v>459747679.4619</v>
      </c>
      <c r="N195" s="70"/>
      <c r="O195" s="182"/>
      <c r="P195" s="72">
        <v>12</v>
      </c>
      <c r="Q195" s="182"/>
      <c r="R195" s="66" t="s">
        <v>508</v>
      </c>
      <c r="S195" s="66">
        <v>65546628.713399999</v>
      </c>
      <c r="T195" s="66">
        <v>0</v>
      </c>
      <c r="U195" s="66">
        <v>117913247.22939999</v>
      </c>
      <c r="V195" s="66">
        <v>6611642.6695999997</v>
      </c>
      <c r="W195" s="66">
        <v>5503796.2800000003</v>
      </c>
      <c r="X195" s="66">
        <v>0</v>
      </c>
      <c r="Y195" s="66">
        <f t="shared" si="37"/>
        <v>5503796.2800000003</v>
      </c>
      <c r="Z195" s="66">
        <v>192758223.8964</v>
      </c>
      <c r="AA195" s="71">
        <f t="shared" si="40"/>
        <v>388333538.7888</v>
      </c>
    </row>
    <row r="196" spans="1:27" ht="24.9" customHeight="1">
      <c r="A196" s="180"/>
      <c r="B196" s="182"/>
      <c r="C196" s="62">
        <v>14</v>
      </c>
      <c r="D196" s="66" t="s">
        <v>509</v>
      </c>
      <c r="E196" s="66">
        <v>80290551.502100006</v>
      </c>
      <c r="F196" s="66">
        <v>0</v>
      </c>
      <c r="G196" s="66">
        <v>144436408.646</v>
      </c>
      <c r="H196" s="66">
        <v>5923982.9002</v>
      </c>
      <c r="I196" s="66">
        <v>6741808.8099999996</v>
      </c>
      <c r="J196" s="66">
        <f t="shared" si="44"/>
        <v>3370904.4049999998</v>
      </c>
      <c r="K196" s="66">
        <f t="shared" si="45"/>
        <v>3370904.4049999998</v>
      </c>
      <c r="L196" s="66">
        <v>207332950.92269999</v>
      </c>
      <c r="M196" s="71">
        <f t="shared" si="35"/>
        <v>441354798.37599999</v>
      </c>
      <c r="N196" s="70"/>
      <c r="O196" s="182"/>
      <c r="P196" s="72">
        <v>13</v>
      </c>
      <c r="Q196" s="182"/>
      <c r="R196" s="66" t="s">
        <v>510</v>
      </c>
      <c r="S196" s="66">
        <v>59107195.486900002</v>
      </c>
      <c r="T196" s="66">
        <v>0</v>
      </c>
      <c r="U196" s="66">
        <v>106329211.5995</v>
      </c>
      <c r="V196" s="66">
        <v>6034874.1531999996</v>
      </c>
      <c r="W196" s="66">
        <v>4963092.21</v>
      </c>
      <c r="X196" s="66">
        <v>0</v>
      </c>
      <c r="Y196" s="66">
        <f t="shared" si="37"/>
        <v>4963092.21</v>
      </c>
      <c r="Z196" s="66">
        <v>170306618.13940001</v>
      </c>
      <c r="AA196" s="71">
        <f t="shared" si="40"/>
        <v>346740991.58899999</v>
      </c>
    </row>
    <row r="197" spans="1:27" ht="24.9" customHeight="1">
      <c r="A197" s="180"/>
      <c r="B197" s="182"/>
      <c r="C197" s="62">
        <v>15</v>
      </c>
      <c r="D197" s="66" t="s">
        <v>511</v>
      </c>
      <c r="E197" s="66">
        <v>91073186.802499995</v>
      </c>
      <c r="F197" s="66">
        <v>0</v>
      </c>
      <c r="G197" s="66">
        <v>163833524.3468</v>
      </c>
      <c r="H197" s="66">
        <v>6288976.5458000004</v>
      </c>
      <c r="I197" s="66">
        <v>7647201.3300000001</v>
      </c>
      <c r="J197" s="66">
        <f t="shared" si="44"/>
        <v>3823600.665</v>
      </c>
      <c r="K197" s="66">
        <f t="shared" si="45"/>
        <v>3823600.665</v>
      </c>
      <c r="L197" s="66">
        <v>221540892.58660001</v>
      </c>
      <c r="M197" s="71">
        <f t="shared" si="35"/>
        <v>486560180.94669998</v>
      </c>
      <c r="N197" s="70"/>
      <c r="O197" s="182"/>
      <c r="P197" s="72">
        <v>14</v>
      </c>
      <c r="Q197" s="182"/>
      <c r="R197" s="66" t="s">
        <v>512</v>
      </c>
      <c r="S197" s="66">
        <v>67951227.486100003</v>
      </c>
      <c r="T197" s="66">
        <v>0</v>
      </c>
      <c r="U197" s="66">
        <v>122238931.9332</v>
      </c>
      <c r="V197" s="66">
        <v>6199470.0569000002</v>
      </c>
      <c r="W197" s="66">
        <v>5705704.7800000003</v>
      </c>
      <c r="X197" s="66">
        <v>0</v>
      </c>
      <c r="Y197" s="66">
        <f t="shared" si="37"/>
        <v>5705704.7800000003</v>
      </c>
      <c r="Z197" s="66">
        <v>176713768.03380001</v>
      </c>
      <c r="AA197" s="71">
        <f t="shared" si="40"/>
        <v>378809102.29000002</v>
      </c>
    </row>
    <row r="198" spans="1:27" ht="24.9" customHeight="1">
      <c r="A198" s="180"/>
      <c r="B198" s="182"/>
      <c r="C198" s="62">
        <v>16</v>
      </c>
      <c r="D198" s="66" t="s">
        <v>513</v>
      </c>
      <c r="E198" s="66">
        <v>85593172.052699998</v>
      </c>
      <c r="F198" s="66">
        <v>0</v>
      </c>
      <c r="G198" s="66">
        <v>153975407.36320001</v>
      </c>
      <c r="H198" s="66">
        <v>6057111.1100000003</v>
      </c>
      <c r="I198" s="66">
        <v>7187057.3799999999</v>
      </c>
      <c r="J198" s="66">
        <f t="shared" si="44"/>
        <v>3593528.69</v>
      </c>
      <c r="K198" s="66">
        <f t="shared" si="45"/>
        <v>3593528.69</v>
      </c>
      <c r="L198" s="66">
        <v>212515172.208</v>
      </c>
      <c r="M198" s="71">
        <f t="shared" si="35"/>
        <v>461734391.42390001</v>
      </c>
      <c r="N198" s="70"/>
      <c r="O198" s="182"/>
      <c r="P198" s="72">
        <v>15</v>
      </c>
      <c r="Q198" s="182"/>
      <c r="R198" s="66" t="s">
        <v>514</v>
      </c>
      <c r="S198" s="66">
        <v>71173348.184699997</v>
      </c>
      <c r="T198" s="66">
        <v>0</v>
      </c>
      <c r="U198" s="66">
        <v>128035274.5223</v>
      </c>
      <c r="V198" s="66">
        <v>6969333.7334000003</v>
      </c>
      <c r="W198" s="66">
        <v>5976258.6900000004</v>
      </c>
      <c r="X198" s="66">
        <v>0</v>
      </c>
      <c r="Y198" s="66">
        <f t="shared" si="37"/>
        <v>5976258.6900000004</v>
      </c>
      <c r="Z198" s="66">
        <v>206681901.28130001</v>
      </c>
      <c r="AA198" s="71">
        <f t="shared" si="40"/>
        <v>418836116.41170001</v>
      </c>
    </row>
    <row r="199" spans="1:27" ht="24.9" customHeight="1">
      <c r="A199" s="180"/>
      <c r="B199" s="182"/>
      <c r="C199" s="62">
        <v>17</v>
      </c>
      <c r="D199" s="66" t="s">
        <v>515</v>
      </c>
      <c r="E199" s="66">
        <v>85930599.734899998</v>
      </c>
      <c r="F199" s="66">
        <v>0</v>
      </c>
      <c r="G199" s="66">
        <v>154582413.31369999</v>
      </c>
      <c r="H199" s="66">
        <v>6334191.6036999999</v>
      </c>
      <c r="I199" s="66">
        <v>7215390.3899999997</v>
      </c>
      <c r="J199" s="66">
        <f t="shared" si="44"/>
        <v>3607695.1949999998</v>
      </c>
      <c r="K199" s="66">
        <f t="shared" si="45"/>
        <v>3607695.1949999998</v>
      </c>
      <c r="L199" s="66">
        <v>223300958.58660001</v>
      </c>
      <c r="M199" s="71">
        <f t="shared" ref="M199:M262" si="47">E199+F199+G199+H199+K199+L199</f>
        <v>473755858.4339</v>
      </c>
      <c r="N199" s="70"/>
      <c r="O199" s="182"/>
      <c r="P199" s="72">
        <v>16</v>
      </c>
      <c r="Q199" s="182"/>
      <c r="R199" s="66" t="s">
        <v>516</v>
      </c>
      <c r="S199" s="66">
        <v>86297898.766499996</v>
      </c>
      <c r="T199" s="66">
        <v>0</v>
      </c>
      <c r="U199" s="66">
        <v>155243155.47920001</v>
      </c>
      <c r="V199" s="66">
        <v>7854503.7084999997</v>
      </c>
      <c r="W199" s="66">
        <v>7246231.6200000001</v>
      </c>
      <c r="X199" s="66">
        <v>0</v>
      </c>
      <c r="Y199" s="66">
        <f t="shared" si="37"/>
        <v>7246231.6200000001</v>
      </c>
      <c r="Z199" s="66">
        <v>241138510.37889999</v>
      </c>
      <c r="AA199" s="71">
        <f t="shared" si="40"/>
        <v>497780299.95310003</v>
      </c>
    </row>
    <row r="200" spans="1:27" ht="24.9" customHeight="1">
      <c r="A200" s="180"/>
      <c r="B200" s="183"/>
      <c r="C200" s="62">
        <v>18</v>
      </c>
      <c r="D200" s="66" t="s">
        <v>517</v>
      </c>
      <c r="E200" s="66">
        <v>94763280.038599998</v>
      </c>
      <c r="F200" s="66">
        <v>0</v>
      </c>
      <c r="G200" s="66">
        <v>170471712.83840001</v>
      </c>
      <c r="H200" s="66">
        <v>6496643.0088999998</v>
      </c>
      <c r="I200" s="66">
        <v>7957049.79</v>
      </c>
      <c r="J200" s="66">
        <f t="shared" si="44"/>
        <v>3978524.895</v>
      </c>
      <c r="K200" s="66">
        <f t="shared" si="45"/>
        <v>3978524.895</v>
      </c>
      <c r="L200" s="66">
        <v>229624630.56290001</v>
      </c>
      <c r="M200" s="71">
        <f t="shared" si="47"/>
        <v>505334791.34380001</v>
      </c>
      <c r="N200" s="70"/>
      <c r="O200" s="182"/>
      <c r="P200" s="72">
        <v>17</v>
      </c>
      <c r="Q200" s="182"/>
      <c r="R200" s="66" t="s">
        <v>518</v>
      </c>
      <c r="S200" s="66">
        <v>72445362.566699997</v>
      </c>
      <c r="T200" s="66">
        <v>0</v>
      </c>
      <c r="U200" s="66">
        <v>130323528.68700001</v>
      </c>
      <c r="V200" s="66">
        <v>6506833.1267999997</v>
      </c>
      <c r="W200" s="66">
        <v>6083066.7400000002</v>
      </c>
      <c r="X200" s="66">
        <v>0</v>
      </c>
      <c r="Y200" s="66">
        <f t="shared" si="37"/>
        <v>6083066.7400000002</v>
      </c>
      <c r="Z200" s="66">
        <v>188678350.48769999</v>
      </c>
      <c r="AA200" s="71">
        <f t="shared" si="40"/>
        <v>404037141.60820001</v>
      </c>
    </row>
    <row r="201" spans="1:27" ht="24.9" customHeight="1">
      <c r="A201" s="62"/>
      <c r="B201" s="173" t="s">
        <v>519</v>
      </c>
      <c r="C201" s="174"/>
      <c r="D201" s="67"/>
      <c r="E201" s="67">
        <f t="shared" ref="E201:M201" si="48">SUM(E183:E200)</f>
        <v>1517984826.4438</v>
      </c>
      <c r="F201" s="67">
        <f t="shared" si="48"/>
        <v>1E-4</v>
      </c>
      <c r="G201" s="67">
        <f t="shared" si="48"/>
        <v>2730735716.6413999</v>
      </c>
      <c r="H201" s="67">
        <f t="shared" si="48"/>
        <v>106711354.6798</v>
      </c>
      <c r="I201" s="67">
        <f t="shared" si="48"/>
        <v>127461616.27</v>
      </c>
      <c r="J201" s="67">
        <f t="shared" si="48"/>
        <v>63730808.134999998</v>
      </c>
      <c r="K201" s="67">
        <f t="shared" si="48"/>
        <v>63730808.134999998</v>
      </c>
      <c r="L201" s="67">
        <f t="shared" si="48"/>
        <v>3735094101.5872002</v>
      </c>
      <c r="M201" s="67">
        <f t="shared" si="48"/>
        <v>8154256807.4872999</v>
      </c>
      <c r="N201" s="70"/>
      <c r="O201" s="182"/>
      <c r="P201" s="72">
        <v>18</v>
      </c>
      <c r="Q201" s="182"/>
      <c r="R201" s="66" t="s">
        <v>520</v>
      </c>
      <c r="S201" s="66">
        <v>67330428.213</v>
      </c>
      <c r="T201" s="66">
        <v>0</v>
      </c>
      <c r="U201" s="66">
        <v>121122162.71610001</v>
      </c>
      <c r="V201" s="66">
        <v>6706316.6350999996</v>
      </c>
      <c r="W201" s="66">
        <v>5653577.7300000004</v>
      </c>
      <c r="X201" s="66">
        <v>0</v>
      </c>
      <c r="Y201" s="66">
        <f t="shared" si="37"/>
        <v>5653577.7300000004</v>
      </c>
      <c r="Z201" s="66">
        <v>196443554.30270001</v>
      </c>
      <c r="AA201" s="71">
        <f t="shared" si="40"/>
        <v>397256039.59689999</v>
      </c>
    </row>
    <row r="202" spans="1:27" ht="24.9" customHeight="1">
      <c r="A202" s="180">
        <v>10</v>
      </c>
      <c r="B202" s="181" t="s">
        <v>521</v>
      </c>
      <c r="C202" s="62">
        <v>1</v>
      </c>
      <c r="D202" s="66" t="s">
        <v>522</v>
      </c>
      <c r="E202" s="66">
        <v>66359046.932999998</v>
      </c>
      <c r="F202" s="66">
        <v>0</v>
      </c>
      <c r="G202" s="66">
        <v>119374723.9316</v>
      </c>
      <c r="H202" s="66">
        <v>6341217.3176999995</v>
      </c>
      <c r="I202" s="66">
        <v>5572013.1299999999</v>
      </c>
      <c r="J202" s="66">
        <f t="shared" ref="J202:J226" si="49">I202/2</f>
        <v>2786006.5649999999</v>
      </c>
      <c r="K202" s="66">
        <f t="shared" ref="K202:K226" si="50">I202-J202</f>
        <v>2786006.5649999999</v>
      </c>
      <c r="L202" s="81">
        <v>187347924.43920001</v>
      </c>
      <c r="M202" s="71">
        <f t="shared" si="47"/>
        <v>382208919.18650001</v>
      </c>
      <c r="N202" s="70"/>
      <c r="O202" s="182"/>
      <c r="P202" s="72">
        <v>19</v>
      </c>
      <c r="Q202" s="182"/>
      <c r="R202" s="66" t="s">
        <v>523</v>
      </c>
      <c r="S202" s="66">
        <v>63953281.979900002</v>
      </c>
      <c r="T202" s="66">
        <v>0</v>
      </c>
      <c r="U202" s="66">
        <v>115046941.35259999</v>
      </c>
      <c r="V202" s="66">
        <v>6094705.6615000004</v>
      </c>
      <c r="W202" s="66">
        <v>5370006.7000000002</v>
      </c>
      <c r="X202" s="66">
        <v>0</v>
      </c>
      <c r="Y202" s="66">
        <f t="shared" si="37"/>
        <v>5370006.7000000002</v>
      </c>
      <c r="Z202" s="66">
        <v>172635652.05489999</v>
      </c>
      <c r="AA202" s="71">
        <f t="shared" si="40"/>
        <v>363100587.7489</v>
      </c>
    </row>
    <row r="203" spans="1:27" ht="24.9" customHeight="1">
      <c r="A203" s="180"/>
      <c r="B203" s="182"/>
      <c r="C203" s="62">
        <v>2</v>
      </c>
      <c r="D203" s="66" t="s">
        <v>524</v>
      </c>
      <c r="E203" s="66">
        <v>72328728.2227</v>
      </c>
      <c r="F203" s="66">
        <v>0</v>
      </c>
      <c r="G203" s="66">
        <v>130113712.645</v>
      </c>
      <c r="H203" s="66">
        <v>6746335.659</v>
      </c>
      <c r="I203" s="66">
        <v>6073273.2300000004</v>
      </c>
      <c r="J203" s="66">
        <f t="shared" si="49"/>
        <v>3036636.6150000002</v>
      </c>
      <c r="K203" s="66">
        <f t="shared" si="50"/>
        <v>3036636.6150000002</v>
      </c>
      <c r="L203" s="81">
        <v>203117781.88699999</v>
      </c>
      <c r="M203" s="71">
        <f t="shared" si="47"/>
        <v>415343195.02869999</v>
      </c>
      <c r="N203" s="70"/>
      <c r="O203" s="183"/>
      <c r="P203" s="72">
        <v>20</v>
      </c>
      <c r="Q203" s="183"/>
      <c r="R203" s="66" t="s">
        <v>525</v>
      </c>
      <c r="S203" s="66">
        <v>86741785.715399995</v>
      </c>
      <c r="T203" s="66">
        <v>0</v>
      </c>
      <c r="U203" s="66">
        <v>156041673.30919999</v>
      </c>
      <c r="V203" s="66">
        <v>8131719.6442</v>
      </c>
      <c r="W203" s="66">
        <v>7283503.7699999996</v>
      </c>
      <c r="X203" s="66">
        <v>0</v>
      </c>
      <c r="Y203" s="66">
        <f t="shared" si="37"/>
        <v>7283503.7699999996</v>
      </c>
      <c r="Z203" s="66">
        <v>251929569.04699999</v>
      </c>
      <c r="AA203" s="71">
        <f t="shared" si="40"/>
        <v>510128251.48580003</v>
      </c>
    </row>
    <row r="204" spans="1:27" ht="24.9" customHeight="1">
      <c r="A204" s="180"/>
      <c r="B204" s="182"/>
      <c r="C204" s="62">
        <v>3</v>
      </c>
      <c r="D204" s="66" t="s">
        <v>526</v>
      </c>
      <c r="E204" s="66">
        <v>61829143.446699999</v>
      </c>
      <c r="F204" s="66">
        <v>0</v>
      </c>
      <c r="G204" s="66">
        <v>111225782.6234</v>
      </c>
      <c r="H204" s="66">
        <v>6137298.0835999995</v>
      </c>
      <c r="I204" s="66">
        <v>5191647.78</v>
      </c>
      <c r="J204" s="66">
        <f t="shared" si="49"/>
        <v>2595823.89</v>
      </c>
      <c r="K204" s="66">
        <f t="shared" si="50"/>
        <v>2595823.89</v>
      </c>
      <c r="L204" s="81">
        <v>179410053.141</v>
      </c>
      <c r="M204" s="71">
        <f t="shared" si="47"/>
        <v>361198101.18470001</v>
      </c>
      <c r="N204" s="70"/>
      <c r="O204" s="62"/>
      <c r="P204" s="174" t="s">
        <v>527</v>
      </c>
      <c r="Q204" s="175"/>
      <c r="R204" s="67"/>
      <c r="S204" s="67">
        <f t="shared" ref="S204:X204" si="51">SUM(S184:S203)</f>
        <v>1578043081.2742</v>
      </c>
      <c r="T204" s="67">
        <f t="shared" si="51"/>
        <v>0</v>
      </c>
      <c r="U204" s="67">
        <f t="shared" si="51"/>
        <v>2838775809.4682999</v>
      </c>
      <c r="V204" s="67">
        <f t="shared" si="51"/>
        <v>147508432.27469999</v>
      </c>
      <c r="W204" s="67">
        <f t="shared" si="51"/>
        <v>132504566.72</v>
      </c>
      <c r="X204" s="67">
        <f t="shared" si="51"/>
        <v>0</v>
      </c>
      <c r="Y204" s="67">
        <f t="shared" si="37"/>
        <v>132504566.72</v>
      </c>
      <c r="Z204" s="67">
        <f>SUM(Z184:Z203)</f>
        <v>4449789990.7045002</v>
      </c>
      <c r="AA204" s="67">
        <f>SUM(AA184:AA203)</f>
        <v>9146621880.4417</v>
      </c>
    </row>
    <row r="205" spans="1:27" ht="33.75" customHeight="1">
      <c r="A205" s="180"/>
      <c r="B205" s="182"/>
      <c r="C205" s="62">
        <v>4</v>
      </c>
      <c r="D205" s="66" t="s">
        <v>528</v>
      </c>
      <c r="E205" s="66">
        <v>88859659.051100001</v>
      </c>
      <c r="F205" s="66">
        <v>0</v>
      </c>
      <c r="G205" s="66">
        <v>159851561.43220001</v>
      </c>
      <c r="H205" s="66">
        <v>7525827.0050999997</v>
      </c>
      <c r="I205" s="66">
        <v>7461336.6100000003</v>
      </c>
      <c r="J205" s="66">
        <f t="shared" si="49"/>
        <v>3730668.3050000002</v>
      </c>
      <c r="K205" s="66">
        <f t="shared" si="50"/>
        <v>3730668.3050000002</v>
      </c>
      <c r="L205" s="81">
        <v>233460687.0512</v>
      </c>
      <c r="M205" s="71">
        <f t="shared" si="47"/>
        <v>493428402.84460002</v>
      </c>
      <c r="N205" s="70"/>
      <c r="O205" s="181">
        <v>28</v>
      </c>
      <c r="P205" s="72">
        <v>1</v>
      </c>
      <c r="Q205" s="187" t="s">
        <v>113</v>
      </c>
      <c r="R205" s="75" t="s">
        <v>529</v>
      </c>
      <c r="S205" s="66">
        <v>83612107.949699998</v>
      </c>
      <c r="T205" s="66">
        <v>0</v>
      </c>
      <c r="U205" s="66">
        <v>150411628.33149999</v>
      </c>
      <c r="V205" s="66">
        <v>6519367.7259</v>
      </c>
      <c r="W205" s="66">
        <v>7020712.0899999999</v>
      </c>
      <c r="X205" s="66">
        <f t="shared" ref="X205:X222" si="52">W205/2</f>
        <v>3510356.0449999999</v>
      </c>
      <c r="Y205" s="66">
        <f t="shared" si="37"/>
        <v>3510356.0449999999</v>
      </c>
      <c r="Z205" s="66">
        <v>214044585.33719999</v>
      </c>
      <c r="AA205" s="71">
        <f t="shared" si="40"/>
        <v>458098045.38929999</v>
      </c>
    </row>
    <row r="206" spans="1:27" ht="24.9" customHeight="1">
      <c r="A206" s="180"/>
      <c r="B206" s="182"/>
      <c r="C206" s="62">
        <v>5</v>
      </c>
      <c r="D206" s="66" t="s">
        <v>530</v>
      </c>
      <c r="E206" s="66">
        <v>80848481.977400005</v>
      </c>
      <c r="F206" s="66">
        <v>0</v>
      </c>
      <c r="G206" s="66">
        <v>145440081.83070001</v>
      </c>
      <c r="H206" s="66">
        <v>7425667.6381000001</v>
      </c>
      <c r="I206" s="66">
        <v>6788656.9100000001</v>
      </c>
      <c r="J206" s="66">
        <f t="shared" si="49"/>
        <v>3394328.4550000001</v>
      </c>
      <c r="K206" s="66">
        <f t="shared" si="50"/>
        <v>3394328.4550000001</v>
      </c>
      <c r="L206" s="81">
        <v>229561828.91749999</v>
      </c>
      <c r="M206" s="71">
        <f t="shared" si="47"/>
        <v>466670388.81870002</v>
      </c>
      <c r="N206" s="70"/>
      <c r="O206" s="182"/>
      <c r="P206" s="72">
        <v>2</v>
      </c>
      <c r="Q206" s="188"/>
      <c r="R206" s="75" t="s">
        <v>531</v>
      </c>
      <c r="S206" s="66">
        <v>88448200.789299995</v>
      </c>
      <c r="T206" s="66">
        <v>0</v>
      </c>
      <c r="U206" s="66">
        <v>159111380.2674</v>
      </c>
      <c r="V206" s="66">
        <v>6952590.2845000001</v>
      </c>
      <c r="W206" s="66">
        <v>7426787.4299999997</v>
      </c>
      <c r="X206" s="66">
        <f t="shared" si="52"/>
        <v>3713393.7149999999</v>
      </c>
      <c r="Y206" s="66">
        <f t="shared" si="37"/>
        <v>3713393.7149999999</v>
      </c>
      <c r="Z206" s="66">
        <v>230908442.8698</v>
      </c>
      <c r="AA206" s="71">
        <f t="shared" si="40"/>
        <v>489134007.926</v>
      </c>
    </row>
    <row r="207" spans="1:27" ht="24.9" customHeight="1">
      <c r="A207" s="180"/>
      <c r="B207" s="182"/>
      <c r="C207" s="62">
        <v>6</v>
      </c>
      <c r="D207" s="66" t="s">
        <v>532</v>
      </c>
      <c r="E207" s="66">
        <v>82816392.725899994</v>
      </c>
      <c r="F207" s="66">
        <v>0</v>
      </c>
      <c r="G207" s="66">
        <v>148980199.00960001</v>
      </c>
      <c r="H207" s="66">
        <v>7457270.7740000002</v>
      </c>
      <c r="I207" s="66">
        <v>6953897.75</v>
      </c>
      <c r="J207" s="66">
        <f t="shared" si="49"/>
        <v>3476948.875</v>
      </c>
      <c r="K207" s="66">
        <f t="shared" si="50"/>
        <v>3476948.875</v>
      </c>
      <c r="L207" s="81">
        <v>230792029.8161</v>
      </c>
      <c r="M207" s="71">
        <f t="shared" si="47"/>
        <v>473522841.20060003</v>
      </c>
      <c r="N207" s="70"/>
      <c r="O207" s="182"/>
      <c r="P207" s="72">
        <v>3</v>
      </c>
      <c r="Q207" s="188"/>
      <c r="R207" s="75" t="s">
        <v>533</v>
      </c>
      <c r="S207" s="66">
        <v>90047548.684200004</v>
      </c>
      <c r="T207" s="66">
        <v>0</v>
      </c>
      <c r="U207" s="66">
        <v>161988481.77200001</v>
      </c>
      <c r="V207" s="66">
        <v>7129725.8609999996</v>
      </c>
      <c r="W207" s="66">
        <v>7561080.9100000001</v>
      </c>
      <c r="X207" s="66">
        <f t="shared" si="52"/>
        <v>3780540.4550000001</v>
      </c>
      <c r="Y207" s="66">
        <f t="shared" si="37"/>
        <v>3780540.4550000001</v>
      </c>
      <c r="Z207" s="66">
        <v>237803718.90650001</v>
      </c>
      <c r="AA207" s="71">
        <f t="shared" si="40"/>
        <v>500750015.67869997</v>
      </c>
    </row>
    <row r="208" spans="1:27" ht="24.9" customHeight="1">
      <c r="A208" s="180"/>
      <c r="B208" s="182"/>
      <c r="C208" s="62">
        <v>7</v>
      </c>
      <c r="D208" s="66" t="s">
        <v>534</v>
      </c>
      <c r="E208" s="66">
        <v>87800657.858899996</v>
      </c>
      <c r="F208" s="66">
        <v>0</v>
      </c>
      <c r="G208" s="66">
        <v>157946501.3066</v>
      </c>
      <c r="H208" s="66">
        <v>7232267.7335000001</v>
      </c>
      <c r="I208" s="66">
        <v>7372414.7800000003</v>
      </c>
      <c r="J208" s="66">
        <f t="shared" si="49"/>
        <v>3686207.39</v>
      </c>
      <c r="K208" s="66">
        <f t="shared" si="50"/>
        <v>3686207.39</v>
      </c>
      <c r="L208" s="81">
        <v>222033438.7755</v>
      </c>
      <c r="M208" s="71">
        <f t="shared" si="47"/>
        <v>478699073.06449997</v>
      </c>
      <c r="N208" s="70"/>
      <c r="O208" s="182"/>
      <c r="P208" s="72">
        <v>4</v>
      </c>
      <c r="Q208" s="188"/>
      <c r="R208" s="75" t="s">
        <v>535</v>
      </c>
      <c r="S208" s="66">
        <v>66789811.856700003</v>
      </c>
      <c r="T208" s="66">
        <v>0</v>
      </c>
      <c r="U208" s="66">
        <v>120149636.26809999</v>
      </c>
      <c r="V208" s="66">
        <v>5469884.0180000002</v>
      </c>
      <c r="W208" s="66">
        <v>5608183.4500000002</v>
      </c>
      <c r="X208" s="66">
        <f t="shared" si="52"/>
        <v>2804091.7250000001</v>
      </c>
      <c r="Y208" s="66">
        <f t="shared" ref="Y208:Y271" si="53">W208-X208</f>
        <v>2804091.7250000001</v>
      </c>
      <c r="Z208" s="66">
        <v>173191810.28169999</v>
      </c>
      <c r="AA208" s="71">
        <f t="shared" si="40"/>
        <v>368405234.14950001</v>
      </c>
    </row>
    <row r="209" spans="1:27" ht="24.9" customHeight="1">
      <c r="A209" s="180"/>
      <c r="B209" s="182"/>
      <c r="C209" s="62">
        <v>8</v>
      </c>
      <c r="D209" s="66" t="s">
        <v>536</v>
      </c>
      <c r="E209" s="66">
        <v>82577803.223499998</v>
      </c>
      <c r="F209" s="66">
        <v>0</v>
      </c>
      <c r="G209" s="66">
        <v>148550995.20539999</v>
      </c>
      <c r="H209" s="66">
        <v>6994533.1438999996</v>
      </c>
      <c r="I209" s="66">
        <v>6933863.96</v>
      </c>
      <c r="J209" s="66">
        <f t="shared" si="49"/>
        <v>3466931.98</v>
      </c>
      <c r="K209" s="66">
        <f t="shared" si="50"/>
        <v>3466931.98</v>
      </c>
      <c r="L209" s="81">
        <v>212779252.51570001</v>
      </c>
      <c r="M209" s="71">
        <f t="shared" si="47"/>
        <v>454369516.06849998</v>
      </c>
      <c r="N209" s="70"/>
      <c r="O209" s="182"/>
      <c r="P209" s="72">
        <v>5</v>
      </c>
      <c r="Q209" s="188"/>
      <c r="R209" s="66" t="s">
        <v>537</v>
      </c>
      <c r="S209" s="66">
        <v>69987639.788499996</v>
      </c>
      <c r="T209" s="66">
        <v>0</v>
      </c>
      <c r="U209" s="66">
        <v>125902278.0442</v>
      </c>
      <c r="V209" s="66">
        <v>6024756.0760000004</v>
      </c>
      <c r="W209" s="66">
        <v>5876697.5300000003</v>
      </c>
      <c r="X209" s="66">
        <f t="shared" si="52"/>
        <v>2938348.7650000001</v>
      </c>
      <c r="Y209" s="66">
        <f t="shared" si="53"/>
        <v>2938348.7650000001</v>
      </c>
      <c r="Z209" s="66">
        <v>194791062.55899999</v>
      </c>
      <c r="AA209" s="71">
        <f t="shared" si="40"/>
        <v>399644085.23269999</v>
      </c>
    </row>
    <row r="210" spans="1:27" ht="24.9" customHeight="1">
      <c r="A210" s="180"/>
      <c r="B210" s="182"/>
      <c r="C210" s="62">
        <v>9</v>
      </c>
      <c r="D210" s="66" t="s">
        <v>538</v>
      </c>
      <c r="E210" s="66">
        <v>77699627.377900004</v>
      </c>
      <c r="F210" s="66">
        <v>0</v>
      </c>
      <c r="G210" s="66">
        <v>139775539.22319999</v>
      </c>
      <c r="H210" s="66">
        <v>6786415.2073999997</v>
      </c>
      <c r="I210" s="66">
        <v>6524255</v>
      </c>
      <c r="J210" s="66">
        <f t="shared" si="49"/>
        <v>3262127.5</v>
      </c>
      <c r="K210" s="66">
        <f t="shared" si="50"/>
        <v>3262127.5</v>
      </c>
      <c r="L210" s="81">
        <v>204677940.24090001</v>
      </c>
      <c r="M210" s="71">
        <f t="shared" si="47"/>
        <v>432201649.54939997</v>
      </c>
      <c r="N210" s="70"/>
      <c r="O210" s="182"/>
      <c r="P210" s="72">
        <v>6</v>
      </c>
      <c r="Q210" s="188"/>
      <c r="R210" s="66" t="s">
        <v>539</v>
      </c>
      <c r="S210" s="66">
        <v>107554543.8698</v>
      </c>
      <c r="T210" s="66">
        <v>0</v>
      </c>
      <c r="U210" s="66">
        <v>193482193.8459</v>
      </c>
      <c r="V210" s="66">
        <v>8526189.4269999992</v>
      </c>
      <c r="W210" s="66">
        <v>9031102.1400000006</v>
      </c>
      <c r="X210" s="66">
        <f t="shared" si="52"/>
        <v>4515551.07</v>
      </c>
      <c r="Y210" s="66">
        <f t="shared" si="53"/>
        <v>4515551.07</v>
      </c>
      <c r="Z210" s="66">
        <v>292163221.11369997</v>
      </c>
      <c r="AA210" s="71">
        <f t="shared" si="40"/>
        <v>606241699.32640004</v>
      </c>
    </row>
    <row r="211" spans="1:27" ht="24.9" customHeight="1">
      <c r="A211" s="180"/>
      <c r="B211" s="182"/>
      <c r="C211" s="62">
        <v>10</v>
      </c>
      <c r="D211" s="66" t="s">
        <v>540</v>
      </c>
      <c r="E211" s="66">
        <v>86885525.617599994</v>
      </c>
      <c r="F211" s="66">
        <v>0</v>
      </c>
      <c r="G211" s="66">
        <v>156300250.13159999</v>
      </c>
      <c r="H211" s="66">
        <v>7729509.2158000004</v>
      </c>
      <c r="I211" s="66">
        <v>7295573.2699999996</v>
      </c>
      <c r="J211" s="66">
        <f t="shared" si="49"/>
        <v>3647786.6349999998</v>
      </c>
      <c r="K211" s="66">
        <f t="shared" si="50"/>
        <v>3647786.6349999998</v>
      </c>
      <c r="L211" s="81">
        <v>241389331.8427</v>
      </c>
      <c r="M211" s="71">
        <f t="shared" si="47"/>
        <v>495952403.44270003</v>
      </c>
      <c r="N211" s="70"/>
      <c r="O211" s="182"/>
      <c r="P211" s="72">
        <v>7</v>
      </c>
      <c r="Q211" s="188"/>
      <c r="R211" s="66" t="s">
        <v>541</v>
      </c>
      <c r="S211" s="66">
        <v>75748683.079300001</v>
      </c>
      <c r="T211" s="66">
        <v>0</v>
      </c>
      <c r="U211" s="66">
        <v>136265943.3515</v>
      </c>
      <c r="V211" s="66">
        <v>5995827.9198000003</v>
      </c>
      <c r="W211" s="66">
        <v>6360438.79</v>
      </c>
      <c r="X211" s="66">
        <f t="shared" si="52"/>
        <v>3180219.395</v>
      </c>
      <c r="Y211" s="66">
        <f t="shared" si="53"/>
        <v>3180219.395</v>
      </c>
      <c r="Z211" s="66">
        <v>193664989.37940001</v>
      </c>
      <c r="AA211" s="71">
        <f t="shared" si="40"/>
        <v>414855663.125</v>
      </c>
    </row>
    <row r="212" spans="1:27" ht="24.9" customHeight="1">
      <c r="A212" s="180"/>
      <c r="B212" s="182"/>
      <c r="C212" s="62">
        <v>11</v>
      </c>
      <c r="D212" s="66" t="s">
        <v>542</v>
      </c>
      <c r="E212" s="66">
        <v>73010620.594300002</v>
      </c>
      <c r="F212" s="66">
        <v>0</v>
      </c>
      <c r="G212" s="66">
        <v>131340383.5698</v>
      </c>
      <c r="H212" s="66">
        <v>6323835.5930000003</v>
      </c>
      <c r="I212" s="66">
        <v>6130530.1299999999</v>
      </c>
      <c r="J212" s="66">
        <f t="shared" si="49"/>
        <v>3065265.0649999999</v>
      </c>
      <c r="K212" s="66">
        <f t="shared" si="50"/>
        <v>3065265.0649999999</v>
      </c>
      <c r="L212" s="81">
        <v>186671313.94499999</v>
      </c>
      <c r="M212" s="71">
        <f t="shared" si="47"/>
        <v>400411418.76709998</v>
      </c>
      <c r="N212" s="70"/>
      <c r="O212" s="182"/>
      <c r="P212" s="72">
        <v>8</v>
      </c>
      <c r="Q212" s="188"/>
      <c r="R212" s="66" t="s">
        <v>543</v>
      </c>
      <c r="S212" s="66">
        <v>76317145.124200001</v>
      </c>
      <c r="T212" s="66">
        <v>0</v>
      </c>
      <c r="U212" s="66">
        <v>137288562.00940001</v>
      </c>
      <c r="V212" s="66">
        <v>6529729.0398000004</v>
      </c>
      <c r="W212" s="66">
        <v>6408171.21</v>
      </c>
      <c r="X212" s="66">
        <f t="shared" si="52"/>
        <v>3204085.605</v>
      </c>
      <c r="Y212" s="66">
        <f t="shared" si="53"/>
        <v>3204085.605</v>
      </c>
      <c r="Z212" s="66">
        <v>214447915.48890001</v>
      </c>
      <c r="AA212" s="71">
        <f t="shared" si="40"/>
        <v>437787437.26730001</v>
      </c>
    </row>
    <row r="213" spans="1:27" ht="24.9" customHeight="1">
      <c r="A213" s="180"/>
      <c r="B213" s="182"/>
      <c r="C213" s="62">
        <v>12</v>
      </c>
      <c r="D213" s="66" t="s">
        <v>544</v>
      </c>
      <c r="E213" s="66">
        <v>75299413.369100004</v>
      </c>
      <c r="F213" s="66">
        <v>0</v>
      </c>
      <c r="G213" s="66">
        <v>135457742.3608</v>
      </c>
      <c r="H213" s="66">
        <v>6844768.1403999999</v>
      </c>
      <c r="I213" s="66">
        <v>6322714.6699999999</v>
      </c>
      <c r="J213" s="66">
        <f t="shared" si="49"/>
        <v>3161357.335</v>
      </c>
      <c r="K213" s="66">
        <f t="shared" si="50"/>
        <v>3161357.335</v>
      </c>
      <c r="L213" s="81">
        <v>206949418.32870001</v>
      </c>
      <c r="M213" s="71">
        <f t="shared" si="47"/>
        <v>427712699.53399998</v>
      </c>
      <c r="N213" s="70"/>
      <c r="O213" s="182"/>
      <c r="P213" s="72">
        <v>9</v>
      </c>
      <c r="Q213" s="188"/>
      <c r="R213" s="66" t="s">
        <v>545</v>
      </c>
      <c r="S213" s="66">
        <v>91751843.691400006</v>
      </c>
      <c r="T213" s="66">
        <v>0</v>
      </c>
      <c r="U213" s="66">
        <v>165054374.89969999</v>
      </c>
      <c r="V213" s="66">
        <v>7175764.8578000003</v>
      </c>
      <c r="W213" s="66">
        <v>7704186.5599999996</v>
      </c>
      <c r="X213" s="66">
        <f t="shared" si="52"/>
        <v>3852093.28</v>
      </c>
      <c r="Y213" s="66">
        <f t="shared" si="53"/>
        <v>3852093.28</v>
      </c>
      <c r="Z213" s="66">
        <v>239595858.00130001</v>
      </c>
      <c r="AA213" s="71">
        <f t="shared" si="40"/>
        <v>507429934.73019999</v>
      </c>
    </row>
    <row r="214" spans="1:27" ht="24.9" customHeight="1">
      <c r="A214" s="180"/>
      <c r="B214" s="182"/>
      <c r="C214" s="62">
        <v>13</v>
      </c>
      <c r="D214" s="66" t="s">
        <v>546</v>
      </c>
      <c r="E214" s="66">
        <v>68972637.606900007</v>
      </c>
      <c r="F214" s="66">
        <v>0</v>
      </c>
      <c r="G214" s="66">
        <v>124076368.6891</v>
      </c>
      <c r="H214" s="66">
        <v>6626977.3870000001</v>
      </c>
      <c r="I214" s="66">
        <v>5791470.1900000004</v>
      </c>
      <c r="J214" s="66">
        <f t="shared" si="49"/>
        <v>2895735.0950000002</v>
      </c>
      <c r="K214" s="66">
        <f t="shared" si="50"/>
        <v>2895735.0950000002</v>
      </c>
      <c r="L214" s="81">
        <v>198471576.70739999</v>
      </c>
      <c r="M214" s="71">
        <f t="shared" si="47"/>
        <v>401043295.48540002</v>
      </c>
      <c r="N214" s="70"/>
      <c r="O214" s="182"/>
      <c r="P214" s="72">
        <v>10</v>
      </c>
      <c r="Q214" s="188"/>
      <c r="R214" s="66" t="s">
        <v>547</v>
      </c>
      <c r="S214" s="66">
        <v>99562009.834000006</v>
      </c>
      <c r="T214" s="66">
        <v>0</v>
      </c>
      <c r="U214" s="66">
        <v>179104251.58880001</v>
      </c>
      <c r="V214" s="66">
        <v>7819678.7511</v>
      </c>
      <c r="W214" s="66">
        <v>8359987.8399999999</v>
      </c>
      <c r="X214" s="66">
        <f t="shared" si="52"/>
        <v>4179993.92</v>
      </c>
      <c r="Y214" s="66">
        <f t="shared" si="53"/>
        <v>4179993.92</v>
      </c>
      <c r="Z214" s="66">
        <v>264661201.31040001</v>
      </c>
      <c r="AA214" s="71">
        <f t="shared" si="40"/>
        <v>555327135.40429997</v>
      </c>
    </row>
    <row r="215" spans="1:27" ht="24.9" customHeight="1">
      <c r="A215" s="180"/>
      <c r="B215" s="182"/>
      <c r="C215" s="62">
        <v>14</v>
      </c>
      <c r="D215" s="66" t="s">
        <v>548</v>
      </c>
      <c r="E215" s="66">
        <v>67549390.6875</v>
      </c>
      <c r="F215" s="66">
        <v>0</v>
      </c>
      <c r="G215" s="66">
        <v>121516059.0372</v>
      </c>
      <c r="H215" s="66">
        <v>6460914.1947999997</v>
      </c>
      <c r="I215" s="66">
        <v>5671963.4900000002</v>
      </c>
      <c r="J215" s="66">
        <f t="shared" si="49"/>
        <v>2835981.7450000001</v>
      </c>
      <c r="K215" s="66">
        <f t="shared" si="50"/>
        <v>2835981.7450000001</v>
      </c>
      <c r="L215" s="81">
        <v>192007310.3427</v>
      </c>
      <c r="M215" s="71">
        <f t="shared" si="47"/>
        <v>390369656.0072</v>
      </c>
      <c r="N215" s="70"/>
      <c r="O215" s="182"/>
      <c r="P215" s="72">
        <v>11</v>
      </c>
      <c r="Q215" s="188"/>
      <c r="R215" s="66" t="s">
        <v>549</v>
      </c>
      <c r="S215" s="66">
        <v>76179799.836400002</v>
      </c>
      <c r="T215" s="66">
        <v>0</v>
      </c>
      <c r="U215" s="66">
        <v>137041488.60010001</v>
      </c>
      <c r="V215" s="66">
        <v>6288766.4155999999</v>
      </c>
      <c r="W215" s="66">
        <v>6396638.6500000004</v>
      </c>
      <c r="X215" s="66">
        <f t="shared" si="52"/>
        <v>3198319.3250000002</v>
      </c>
      <c r="Y215" s="66">
        <f t="shared" si="53"/>
        <v>3198319.3250000002</v>
      </c>
      <c r="Z215" s="66">
        <v>205068072.99450001</v>
      </c>
      <c r="AA215" s="71">
        <f t="shared" si="40"/>
        <v>427776447.17159998</v>
      </c>
    </row>
    <row r="216" spans="1:27" ht="24.9" customHeight="1">
      <c r="A216" s="180"/>
      <c r="B216" s="182"/>
      <c r="C216" s="62">
        <v>15</v>
      </c>
      <c r="D216" s="66" t="s">
        <v>550</v>
      </c>
      <c r="E216" s="66">
        <v>73298880.110200003</v>
      </c>
      <c r="F216" s="66">
        <v>0</v>
      </c>
      <c r="G216" s="66">
        <v>131858939.8345</v>
      </c>
      <c r="H216" s="66">
        <v>6847905.8803000003</v>
      </c>
      <c r="I216" s="66">
        <v>6154734.5999999996</v>
      </c>
      <c r="J216" s="66">
        <f t="shared" si="49"/>
        <v>3077367.3</v>
      </c>
      <c r="K216" s="66">
        <f t="shared" si="50"/>
        <v>3077367.3</v>
      </c>
      <c r="L216" s="81">
        <v>207071559.70359999</v>
      </c>
      <c r="M216" s="71">
        <f t="shared" si="47"/>
        <v>422154652.82859999</v>
      </c>
      <c r="N216" s="70"/>
      <c r="O216" s="182"/>
      <c r="P216" s="72">
        <v>12</v>
      </c>
      <c r="Q216" s="188"/>
      <c r="R216" s="66" t="s">
        <v>551</v>
      </c>
      <c r="S216" s="66">
        <v>78851086.283199996</v>
      </c>
      <c r="T216" s="66">
        <v>0</v>
      </c>
      <c r="U216" s="66">
        <v>141846923.54260001</v>
      </c>
      <c r="V216" s="66">
        <v>6490710.4538000003</v>
      </c>
      <c r="W216" s="66">
        <v>6620940.2999999998</v>
      </c>
      <c r="X216" s="66">
        <f t="shared" si="52"/>
        <v>3310470.15</v>
      </c>
      <c r="Y216" s="66">
        <f t="shared" si="53"/>
        <v>3310470.15</v>
      </c>
      <c r="Z216" s="66">
        <v>212929056.73660001</v>
      </c>
      <c r="AA216" s="71">
        <f t="shared" si="40"/>
        <v>443428247.16619998</v>
      </c>
    </row>
    <row r="217" spans="1:27" ht="24.9" customHeight="1">
      <c r="A217" s="180"/>
      <c r="B217" s="182"/>
      <c r="C217" s="62">
        <v>16</v>
      </c>
      <c r="D217" s="66" t="s">
        <v>552</v>
      </c>
      <c r="E217" s="66">
        <v>60533337.166199997</v>
      </c>
      <c r="F217" s="66">
        <v>0</v>
      </c>
      <c r="G217" s="66">
        <v>108894728.7103</v>
      </c>
      <c r="H217" s="66">
        <v>5923559.3036000002</v>
      </c>
      <c r="I217" s="66">
        <v>5082841.9800000004</v>
      </c>
      <c r="J217" s="66">
        <f t="shared" si="49"/>
        <v>2541420.9900000002</v>
      </c>
      <c r="K217" s="66">
        <f t="shared" si="50"/>
        <v>2541420.9900000002</v>
      </c>
      <c r="L217" s="81">
        <v>171089940.84920001</v>
      </c>
      <c r="M217" s="71">
        <f t="shared" si="47"/>
        <v>348982987.01929998</v>
      </c>
      <c r="N217" s="70"/>
      <c r="O217" s="182"/>
      <c r="P217" s="72">
        <v>13</v>
      </c>
      <c r="Q217" s="188"/>
      <c r="R217" s="66" t="s">
        <v>553</v>
      </c>
      <c r="S217" s="66">
        <v>73277606.961400002</v>
      </c>
      <c r="T217" s="66">
        <v>0</v>
      </c>
      <c r="U217" s="66">
        <v>131820671.11499999</v>
      </c>
      <c r="V217" s="66">
        <v>6178019.9981000004</v>
      </c>
      <c r="W217" s="66">
        <v>6152948.3399999999</v>
      </c>
      <c r="X217" s="66">
        <f t="shared" si="52"/>
        <v>3076474.17</v>
      </c>
      <c r="Y217" s="66">
        <f t="shared" si="53"/>
        <v>3076474.17</v>
      </c>
      <c r="Z217" s="66">
        <v>200757097.5598</v>
      </c>
      <c r="AA217" s="71">
        <f t="shared" si="40"/>
        <v>415109869.80430001</v>
      </c>
    </row>
    <row r="218" spans="1:27" ht="24.9" customHeight="1">
      <c r="A218" s="180"/>
      <c r="B218" s="182"/>
      <c r="C218" s="62">
        <v>17</v>
      </c>
      <c r="D218" s="66" t="s">
        <v>554</v>
      </c>
      <c r="E218" s="66">
        <v>76246417.855700001</v>
      </c>
      <c r="F218" s="66">
        <v>0</v>
      </c>
      <c r="G218" s="66">
        <v>137161329.2114</v>
      </c>
      <c r="H218" s="66">
        <v>7099432.9813000001</v>
      </c>
      <c r="I218" s="66">
        <v>6402232.4199999999</v>
      </c>
      <c r="J218" s="66">
        <f t="shared" si="49"/>
        <v>3201116.21</v>
      </c>
      <c r="K218" s="66">
        <f t="shared" si="50"/>
        <v>3201116.21</v>
      </c>
      <c r="L218" s="81">
        <v>216862640.78420001</v>
      </c>
      <c r="M218" s="71">
        <f t="shared" si="47"/>
        <v>440570937.04259998</v>
      </c>
      <c r="N218" s="70"/>
      <c r="O218" s="182"/>
      <c r="P218" s="72">
        <v>14</v>
      </c>
      <c r="Q218" s="188"/>
      <c r="R218" s="66" t="s">
        <v>555</v>
      </c>
      <c r="S218" s="66">
        <v>91643646.952399999</v>
      </c>
      <c r="T218" s="66">
        <v>0</v>
      </c>
      <c r="U218" s="66">
        <v>164859737.45100001</v>
      </c>
      <c r="V218" s="66">
        <v>7139488.9726</v>
      </c>
      <c r="W218" s="66">
        <v>7695101.5300000003</v>
      </c>
      <c r="X218" s="66">
        <f t="shared" si="52"/>
        <v>3847550.7650000001</v>
      </c>
      <c r="Y218" s="66">
        <f t="shared" si="53"/>
        <v>3847550.7650000001</v>
      </c>
      <c r="Z218" s="66">
        <v>238183763.1126</v>
      </c>
      <c r="AA218" s="71">
        <f t="shared" si="40"/>
        <v>505674187.2536</v>
      </c>
    </row>
    <row r="219" spans="1:27" ht="24.9" customHeight="1">
      <c r="A219" s="180"/>
      <c r="B219" s="182"/>
      <c r="C219" s="62">
        <v>18</v>
      </c>
      <c r="D219" s="66" t="s">
        <v>556</v>
      </c>
      <c r="E219" s="66">
        <v>80165211.834900007</v>
      </c>
      <c r="F219" s="66">
        <v>0</v>
      </c>
      <c r="G219" s="66">
        <v>144210932.3919</v>
      </c>
      <c r="H219" s="66">
        <v>6777453.4610000001</v>
      </c>
      <c r="I219" s="66">
        <v>6731284.3200000003</v>
      </c>
      <c r="J219" s="66">
        <f t="shared" si="49"/>
        <v>3365642.16</v>
      </c>
      <c r="K219" s="66">
        <f t="shared" si="50"/>
        <v>3365642.16</v>
      </c>
      <c r="L219" s="81">
        <v>204329090.4147</v>
      </c>
      <c r="M219" s="71">
        <f t="shared" si="47"/>
        <v>438848330.26249999</v>
      </c>
      <c r="N219" s="70"/>
      <c r="O219" s="182"/>
      <c r="P219" s="72">
        <v>15</v>
      </c>
      <c r="Q219" s="188"/>
      <c r="R219" s="66" t="s">
        <v>557</v>
      </c>
      <c r="S219" s="66">
        <v>60821000.499700002</v>
      </c>
      <c r="T219" s="66">
        <v>0</v>
      </c>
      <c r="U219" s="66">
        <v>109412212.4815</v>
      </c>
      <c r="V219" s="66">
        <v>5383336.5730999997</v>
      </c>
      <c r="W219" s="66">
        <v>5106996.38</v>
      </c>
      <c r="X219" s="66">
        <f t="shared" si="52"/>
        <v>2553498.19</v>
      </c>
      <c r="Y219" s="66">
        <f t="shared" si="53"/>
        <v>2553498.19</v>
      </c>
      <c r="Z219" s="66">
        <v>169822817.24939999</v>
      </c>
      <c r="AA219" s="71">
        <f t="shared" ref="AA219:AA282" si="54">S219+T219+U219+V219+Y219+Z219</f>
        <v>347992864.99370003</v>
      </c>
    </row>
    <row r="220" spans="1:27" ht="24.9" customHeight="1">
      <c r="A220" s="180"/>
      <c r="B220" s="182"/>
      <c r="C220" s="62">
        <v>19</v>
      </c>
      <c r="D220" s="66" t="s">
        <v>558</v>
      </c>
      <c r="E220" s="66">
        <v>104693433.3303</v>
      </c>
      <c r="F220" s="66">
        <v>0</v>
      </c>
      <c r="G220" s="66">
        <v>188335280.24470001</v>
      </c>
      <c r="H220" s="66">
        <v>8782751.4395000003</v>
      </c>
      <c r="I220" s="66">
        <v>8790861.4100000001</v>
      </c>
      <c r="J220" s="66">
        <f t="shared" si="49"/>
        <v>4395430.7050000001</v>
      </c>
      <c r="K220" s="66">
        <f t="shared" si="50"/>
        <v>4395430.7050000001</v>
      </c>
      <c r="L220" s="81">
        <v>282388412.93360001</v>
      </c>
      <c r="M220" s="71">
        <f t="shared" si="47"/>
        <v>588595308.65310001</v>
      </c>
      <c r="N220" s="70"/>
      <c r="O220" s="182"/>
      <c r="P220" s="72">
        <v>16</v>
      </c>
      <c r="Q220" s="188"/>
      <c r="R220" s="66" t="s">
        <v>559</v>
      </c>
      <c r="S220" s="66">
        <v>100520559.0607</v>
      </c>
      <c r="T220" s="66">
        <v>0</v>
      </c>
      <c r="U220" s="66">
        <v>180828606.51800001</v>
      </c>
      <c r="V220" s="66">
        <v>7741314.2609999999</v>
      </c>
      <c r="W220" s="66">
        <v>8440474.9700000007</v>
      </c>
      <c r="X220" s="66">
        <f t="shared" si="52"/>
        <v>4220237.4850000003</v>
      </c>
      <c r="Y220" s="66">
        <f t="shared" si="53"/>
        <v>4220237.4850000003</v>
      </c>
      <c r="Z220" s="66">
        <v>261610742.4393</v>
      </c>
      <c r="AA220" s="71">
        <f t="shared" si="54"/>
        <v>554921459.76400006</v>
      </c>
    </row>
    <row r="221" spans="1:27" ht="24.9" customHeight="1">
      <c r="A221" s="180"/>
      <c r="B221" s="182"/>
      <c r="C221" s="62">
        <v>20</v>
      </c>
      <c r="D221" s="66" t="s">
        <v>560</v>
      </c>
      <c r="E221" s="66">
        <v>82992102.363199994</v>
      </c>
      <c r="F221" s="66">
        <v>0</v>
      </c>
      <c r="G221" s="66">
        <v>149296286.8757</v>
      </c>
      <c r="H221" s="66">
        <v>7569958.5269999998</v>
      </c>
      <c r="I221" s="66">
        <v>6968651.6799999997</v>
      </c>
      <c r="J221" s="66">
        <f t="shared" si="49"/>
        <v>3484325.84</v>
      </c>
      <c r="K221" s="66">
        <f t="shared" si="50"/>
        <v>3484325.84</v>
      </c>
      <c r="L221" s="81">
        <v>235178574.73460001</v>
      </c>
      <c r="M221" s="71">
        <f t="shared" si="47"/>
        <v>478521248.3405</v>
      </c>
      <c r="N221" s="70"/>
      <c r="O221" s="182"/>
      <c r="P221" s="72">
        <v>17</v>
      </c>
      <c r="Q221" s="188"/>
      <c r="R221" s="66" t="s">
        <v>561</v>
      </c>
      <c r="S221" s="66">
        <v>80992300.136899993</v>
      </c>
      <c r="T221" s="66">
        <v>0</v>
      </c>
      <c r="U221" s="66">
        <v>145698799.41819999</v>
      </c>
      <c r="V221" s="66">
        <v>6175028.9869999997</v>
      </c>
      <c r="W221" s="66">
        <v>6800732.9800000004</v>
      </c>
      <c r="X221" s="66">
        <f t="shared" si="52"/>
        <v>3400366.49</v>
      </c>
      <c r="Y221" s="66">
        <f t="shared" si="53"/>
        <v>3400366.49</v>
      </c>
      <c r="Z221" s="66">
        <v>200640667.8319</v>
      </c>
      <c r="AA221" s="71">
        <f t="shared" si="54"/>
        <v>436907162.86400002</v>
      </c>
    </row>
    <row r="222" spans="1:27" ht="24.9" customHeight="1">
      <c r="A222" s="180"/>
      <c r="B222" s="182"/>
      <c r="C222" s="62">
        <v>21</v>
      </c>
      <c r="D222" s="66" t="s">
        <v>562</v>
      </c>
      <c r="E222" s="66">
        <v>65820107.225000001</v>
      </c>
      <c r="F222" s="66">
        <v>0</v>
      </c>
      <c r="G222" s="66">
        <v>118405213.6435</v>
      </c>
      <c r="H222" s="66">
        <v>6518183.5916999998</v>
      </c>
      <c r="I222" s="66">
        <v>5526759.6299999999</v>
      </c>
      <c r="J222" s="66">
        <f t="shared" si="49"/>
        <v>2763379.8149999999</v>
      </c>
      <c r="K222" s="66">
        <f t="shared" si="50"/>
        <v>2763379.8149999999</v>
      </c>
      <c r="L222" s="81">
        <v>194236610.11399999</v>
      </c>
      <c r="M222" s="71">
        <f t="shared" si="47"/>
        <v>387743494.38919997</v>
      </c>
      <c r="N222" s="70"/>
      <c r="O222" s="183"/>
      <c r="P222" s="72">
        <v>18</v>
      </c>
      <c r="Q222" s="189"/>
      <c r="R222" s="66" t="s">
        <v>563</v>
      </c>
      <c r="S222" s="66">
        <v>95025426.4648</v>
      </c>
      <c r="T222" s="66">
        <v>0</v>
      </c>
      <c r="U222" s="66">
        <v>170943293.706</v>
      </c>
      <c r="V222" s="66">
        <v>7010085.4181000004</v>
      </c>
      <c r="W222" s="66">
        <v>7979061.5999999996</v>
      </c>
      <c r="X222" s="66">
        <f t="shared" si="52"/>
        <v>3989530.8</v>
      </c>
      <c r="Y222" s="66">
        <f t="shared" si="53"/>
        <v>3989530.8</v>
      </c>
      <c r="Z222" s="66">
        <v>233146529.79030001</v>
      </c>
      <c r="AA222" s="71">
        <f t="shared" si="54"/>
        <v>510114866.17919999</v>
      </c>
    </row>
    <row r="223" spans="1:27" ht="24.9" customHeight="1">
      <c r="A223" s="180"/>
      <c r="B223" s="182"/>
      <c r="C223" s="62">
        <v>22</v>
      </c>
      <c r="D223" s="66" t="s">
        <v>564</v>
      </c>
      <c r="E223" s="66">
        <v>77337749.578999996</v>
      </c>
      <c r="F223" s="66">
        <v>0</v>
      </c>
      <c r="G223" s="66">
        <v>139124549.43529999</v>
      </c>
      <c r="H223" s="66">
        <v>7320474.3430000003</v>
      </c>
      <c r="I223" s="66">
        <v>6493868.9699999997</v>
      </c>
      <c r="J223" s="66">
        <f t="shared" si="49"/>
        <v>3246934.4849999999</v>
      </c>
      <c r="K223" s="66">
        <f t="shared" si="50"/>
        <v>3246934.4849999999</v>
      </c>
      <c r="L223" s="81">
        <v>225467017.35499999</v>
      </c>
      <c r="M223" s="71">
        <f t="shared" si="47"/>
        <v>452496725.19730002</v>
      </c>
      <c r="N223" s="70"/>
      <c r="O223" s="62"/>
      <c r="P223" s="174" t="s">
        <v>565</v>
      </c>
      <c r="Q223" s="175"/>
      <c r="R223" s="67"/>
      <c r="S223" s="67">
        <f t="shared" ref="S223:X223" si="55">SUM(S205:S222)</f>
        <v>1507130960.8626001</v>
      </c>
      <c r="T223" s="67">
        <f t="shared" si="55"/>
        <v>0</v>
      </c>
      <c r="U223" s="67">
        <f t="shared" si="55"/>
        <v>2711210463.2108998</v>
      </c>
      <c r="V223" s="67">
        <f t="shared" si="55"/>
        <v>120550265.0402</v>
      </c>
      <c r="W223" s="67">
        <f t="shared" si="55"/>
        <v>126550242.7</v>
      </c>
      <c r="X223" s="67">
        <f t="shared" si="55"/>
        <v>63275121.350000001</v>
      </c>
      <c r="Y223" s="67">
        <f t="shared" si="53"/>
        <v>63275121.350000001</v>
      </c>
      <c r="Z223" s="67">
        <f>SUM(Z205:Z222)</f>
        <v>3977431552.9622998</v>
      </c>
      <c r="AA223" s="67">
        <f>SUM(AA205:AA222)</f>
        <v>8379598363.4259996</v>
      </c>
    </row>
    <row r="224" spans="1:27" ht="24.9" customHeight="1">
      <c r="A224" s="180"/>
      <c r="B224" s="182"/>
      <c r="C224" s="62">
        <v>23</v>
      </c>
      <c r="D224" s="66" t="s">
        <v>566</v>
      </c>
      <c r="E224" s="66">
        <v>96108585.160699993</v>
      </c>
      <c r="F224" s="66">
        <v>0</v>
      </c>
      <c r="G224" s="66">
        <v>172891811.3134</v>
      </c>
      <c r="H224" s="66">
        <v>8583979.0017000008</v>
      </c>
      <c r="I224" s="66">
        <v>8070011.9000000004</v>
      </c>
      <c r="J224" s="66">
        <f t="shared" si="49"/>
        <v>4035005.95</v>
      </c>
      <c r="K224" s="66">
        <f t="shared" si="50"/>
        <v>4035005.95</v>
      </c>
      <c r="L224" s="81">
        <v>274650888.63880002</v>
      </c>
      <c r="M224" s="71">
        <f t="shared" si="47"/>
        <v>556270270.06459999</v>
      </c>
      <c r="N224" s="70"/>
      <c r="O224" s="181">
        <v>29</v>
      </c>
      <c r="P224" s="72">
        <v>1</v>
      </c>
      <c r="Q224" s="181" t="s">
        <v>114</v>
      </c>
      <c r="R224" s="66" t="s">
        <v>567</v>
      </c>
      <c r="S224" s="66">
        <v>59386446.579999998</v>
      </c>
      <c r="T224" s="66">
        <v>0</v>
      </c>
      <c r="U224" s="66">
        <v>106831562.44</v>
      </c>
      <c r="V224" s="66">
        <v>4877683.21</v>
      </c>
      <c r="W224" s="66">
        <v>4986540.2699999996</v>
      </c>
      <c r="X224" s="66">
        <v>0</v>
      </c>
      <c r="Y224" s="66">
        <f t="shared" si="53"/>
        <v>4986540.2699999996</v>
      </c>
      <c r="Z224" s="66">
        <v>167377888.75999999</v>
      </c>
      <c r="AA224" s="71">
        <f t="shared" si="54"/>
        <v>343460121.25999999</v>
      </c>
    </row>
    <row r="225" spans="1:27" ht="24.9" customHeight="1">
      <c r="A225" s="180"/>
      <c r="B225" s="182"/>
      <c r="C225" s="62">
        <v>24</v>
      </c>
      <c r="D225" s="66" t="s">
        <v>568</v>
      </c>
      <c r="E225" s="66">
        <v>79091733.571999997</v>
      </c>
      <c r="F225" s="66">
        <v>0</v>
      </c>
      <c r="G225" s="66">
        <v>142279829.15439999</v>
      </c>
      <c r="H225" s="66">
        <v>6709043.9587000003</v>
      </c>
      <c r="I225" s="66">
        <v>6641146.8799999999</v>
      </c>
      <c r="J225" s="66">
        <f t="shared" si="49"/>
        <v>3320573.44</v>
      </c>
      <c r="K225" s="66">
        <f t="shared" si="50"/>
        <v>3320573.44</v>
      </c>
      <c r="L225" s="81">
        <v>201666144.82659999</v>
      </c>
      <c r="M225" s="71">
        <f t="shared" si="47"/>
        <v>433067324.95169997</v>
      </c>
      <c r="N225" s="70"/>
      <c r="O225" s="182"/>
      <c r="P225" s="72">
        <v>2</v>
      </c>
      <c r="Q225" s="182"/>
      <c r="R225" s="66" t="s">
        <v>569</v>
      </c>
      <c r="S225" s="66">
        <v>59553033.780000001</v>
      </c>
      <c r="T225" s="66">
        <v>0</v>
      </c>
      <c r="U225" s="66">
        <v>107131239.76000001</v>
      </c>
      <c r="V225" s="66">
        <v>4792422.46</v>
      </c>
      <c r="W225" s="66">
        <v>5000528.2</v>
      </c>
      <c r="X225" s="66">
        <v>0</v>
      </c>
      <c r="Y225" s="66">
        <f t="shared" si="53"/>
        <v>5000528.2</v>
      </c>
      <c r="Z225" s="66">
        <v>164058982.47999999</v>
      </c>
      <c r="AA225" s="71">
        <f t="shared" si="54"/>
        <v>340536206.68000001</v>
      </c>
    </row>
    <row r="226" spans="1:27" ht="24.9" customHeight="1">
      <c r="A226" s="180"/>
      <c r="B226" s="183"/>
      <c r="C226" s="62">
        <v>25</v>
      </c>
      <c r="D226" s="66" t="s">
        <v>570</v>
      </c>
      <c r="E226" s="66">
        <v>75955155.794499993</v>
      </c>
      <c r="F226" s="66">
        <v>0</v>
      </c>
      <c r="G226" s="66">
        <v>136637371.57949999</v>
      </c>
      <c r="H226" s="66">
        <v>6476320.7236000001</v>
      </c>
      <c r="I226" s="66">
        <v>6377775.8200000003</v>
      </c>
      <c r="J226" s="66">
        <f t="shared" si="49"/>
        <v>3188887.91</v>
      </c>
      <c r="K226" s="66">
        <f t="shared" si="50"/>
        <v>3188887.91</v>
      </c>
      <c r="L226" s="81">
        <v>192607033.28080001</v>
      </c>
      <c r="M226" s="71">
        <f t="shared" si="47"/>
        <v>414864769.28839999</v>
      </c>
      <c r="N226" s="70"/>
      <c r="O226" s="182"/>
      <c r="P226" s="72">
        <v>3</v>
      </c>
      <c r="Q226" s="182"/>
      <c r="R226" s="66" t="s">
        <v>571</v>
      </c>
      <c r="S226" s="66">
        <v>74193076.730000004</v>
      </c>
      <c r="T226" s="66">
        <v>0</v>
      </c>
      <c r="U226" s="66">
        <v>133467529.48</v>
      </c>
      <c r="V226" s="66">
        <v>5715109.8700000001</v>
      </c>
      <c r="W226" s="66">
        <v>6229818.1799999997</v>
      </c>
      <c r="X226" s="66">
        <v>0</v>
      </c>
      <c r="Y226" s="66">
        <f t="shared" si="53"/>
        <v>6229818.1799999997</v>
      </c>
      <c r="Z226" s="66">
        <v>199976015.78999999</v>
      </c>
      <c r="AA226" s="71">
        <f t="shared" si="54"/>
        <v>419581550.05000001</v>
      </c>
    </row>
    <row r="227" spans="1:27" ht="24.9" customHeight="1">
      <c r="A227" s="62"/>
      <c r="B227" s="173" t="s">
        <v>572</v>
      </c>
      <c r="C227" s="174"/>
      <c r="D227" s="67"/>
      <c r="E227" s="67">
        <f t="shared" ref="E227:M227" si="56">SUM(E202:E226)</f>
        <v>1945079842.6842</v>
      </c>
      <c r="F227" s="67">
        <f t="shared" si="56"/>
        <v>0</v>
      </c>
      <c r="G227" s="67">
        <f t="shared" si="56"/>
        <v>3499046173.3908</v>
      </c>
      <c r="H227" s="67">
        <f t="shared" si="56"/>
        <v>175241900.30469999</v>
      </c>
      <c r="I227" s="67">
        <f t="shared" si="56"/>
        <v>163323780.50999999</v>
      </c>
      <c r="J227" s="67">
        <f t="shared" si="56"/>
        <v>81661890.254999995</v>
      </c>
      <c r="K227" s="67">
        <f t="shared" si="56"/>
        <v>81661890.254999995</v>
      </c>
      <c r="L227" s="67">
        <f t="shared" si="56"/>
        <v>5334217801.5857</v>
      </c>
      <c r="M227" s="67">
        <f t="shared" si="56"/>
        <v>11035247608.2204</v>
      </c>
      <c r="N227" s="70"/>
      <c r="O227" s="182"/>
      <c r="P227" s="72">
        <v>4</v>
      </c>
      <c r="Q227" s="182"/>
      <c r="R227" s="66" t="s">
        <v>573</v>
      </c>
      <c r="S227" s="66">
        <v>65585039.93</v>
      </c>
      <c r="T227" s="66">
        <v>0</v>
      </c>
      <c r="U227" s="66">
        <v>117982345.98999999</v>
      </c>
      <c r="V227" s="66">
        <v>4873721.53</v>
      </c>
      <c r="W227" s="66">
        <v>5507021.5800000001</v>
      </c>
      <c r="X227" s="66">
        <v>0</v>
      </c>
      <c r="Y227" s="66">
        <f t="shared" si="53"/>
        <v>5507021.5800000001</v>
      </c>
      <c r="Z227" s="66">
        <v>167223674.28999999</v>
      </c>
      <c r="AA227" s="71">
        <f t="shared" si="54"/>
        <v>361171803.31999999</v>
      </c>
    </row>
    <row r="228" spans="1:27" ht="24.9" customHeight="1">
      <c r="A228" s="180"/>
      <c r="B228" s="181" t="s">
        <v>574</v>
      </c>
      <c r="C228" s="62">
        <v>1</v>
      </c>
      <c r="D228" s="66" t="s">
        <v>575</v>
      </c>
      <c r="E228" s="66">
        <v>86252166.254999995</v>
      </c>
      <c r="F228" s="66">
        <f>-888397.3125</f>
        <v>-888397.3125</v>
      </c>
      <c r="G228" s="66">
        <v>155160886.2852</v>
      </c>
      <c r="H228" s="66">
        <v>5684909.5395999998</v>
      </c>
      <c r="I228" s="66">
        <v>7242391.5800000001</v>
      </c>
      <c r="J228" s="66">
        <v>0</v>
      </c>
      <c r="K228" s="66">
        <f t="shared" ref="K228:K240" si="57">I228-J228</f>
        <v>7242391.5800000001</v>
      </c>
      <c r="L228" s="81">
        <v>202776930.53209999</v>
      </c>
      <c r="M228" s="71">
        <f t="shared" si="47"/>
        <v>456228886.87940001</v>
      </c>
      <c r="N228" s="70"/>
      <c r="O228" s="182"/>
      <c r="P228" s="72">
        <v>5</v>
      </c>
      <c r="Q228" s="182"/>
      <c r="R228" s="66" t="s">
        <v>576</v>
      </c>
      <c r="S228" s="66">
        <v>62064026.020000003</v>
      </c>
      <c r="T228" s="66">
        <v>0</v>
      </c>
      <c r="U228" s="66">
        <v>111648317.95999999</v>
      </c>
      <c r="V228" s="66">
        <v>4816485.99</v>
      </c>
      <c r="W228" s="66">
        <v>5211370.32</v>
      </c>
      <c r="X228" s="66">
        <v>0</v>
      </c>
      <c r="Y228" s="66">
        <f t="shared" si="53"/>
        <v>5211370.32</v>
      </c>
      <c r="Z228" s="66">
        <v>164995692.59999999</v>
      </c>
      <c r="AA228" s="71">
        <f t="shared" si="54"/>
        <v>348735892.88999999</v>
      </c>
    </row>
    <row r="229" spans="1:27" ht="24.9" customHeight="1">
      <c r="A229" s="180"/>
      <c r="B229" s="182"/>
      <c r="C229" s="62">
        <v>2</v>
      </c>
      <c r="D229" s="66" t="s">
        <v>577</v>
      </c>
      <c r="E229" s="66">
        <v>80990648.584800005</v>
      </c>
      <c r="F229" s="66">
        <f>-834203.6804</f>
        <v>-834203.68039999995</v>
      </c>
      <c r="G229" s="66">
        <v>145695828.41679999</v>
      </c>
      <c r="H229" s="66">
        <v>5740079.5854000002</v>
      </c>
      <c r="I229" s="66">
        <v>6800594.3099999996</v>
      </c>
      <c r="J229" s="66">
        <v>0</v>
      </c>
      <c r="K229" s="66">
        <f t="shared" si="57"/>
        <v>6800594.3099999996</v>
      </c>
      <c r="L229" s="81">
        <v>204924509.81510001</v>
      </c>
      <c r="M229" s="71">
        <f t="shared" si="47"/>
        <v>443317457.03170002</v>
      </c>
      <c r="N229" s="70"/>
      <c r="O229" s="182"/>
      <c r="P229" s="72">
        <v>6</v>
      </c>
      <c r="Q229" s="182"/>
      <c r="R229" s="66" t="s">
        <v>578</v>
      </c>
      <c r="S229" s="66">
        <v>70687877.230000004</v>
      </c>
      <c r="T229" s="66">
        <v>0</v>
      </c>
      <c r="U229" s="66">
        <v>127161950.31999999</v>
      </c>
      <c r="V229" s="66">
        <v>5590570.9500000002</v>
      </c>
      <c r="W229" s="66">
        <v>5935494.8300000001</v>
      </c>
      <c r="X229" s="66">
        <v>0</v>
      </c>
      <c r="Y229" s="66">
        <f t="shared" si="53"/>
        <v>5935494.8300000001</v>
      </c>
      <c r="Z229" s="66">
        <v>195128145.53</v>
      </c>
      <c r="AA229" s="71">
        <f t="shared" si="54"/>
        <v>404504038.86000001</v>
      </c>
    </row>
    <row r="230" spans="1:27" ht="24.9" customHeight="1">
      <c r="A230" s="180"/>
      <c r="B230" s="182"/>
      <c r="C230" s="62">
        <v>3</v>
      </c>
      <c r="D230" s="66" t="s">
        <v>579</v>
      </c>
      <c r="E230" s="66">
        <v>81687865.770300001</v>
      </c>
      <c r="F230" s="66">
        <f>-841385.0174</f>
        <v>-841385.01740000001</v>
      </c>
      <c r="G230" s="66">
        <v>146950067.4729</v>
      </c>
      <c r="H230" s="66">
        <v>5745282.8158999998</v>
      </c>
      <c r="I230" s="66">
        <v>6859137.9900000002</v>
      </c>
      <c r="J230" s="66">
        <v>0</v>
      </c>
      <c r="K230" s="66">
        <f t="shared" si="57"/>
        <v>6859137.9900000002</v>
      </c>
      <c r="L230" s="81">
        <v>205127053.60589999</v>
      </c>
      <c r="M230" s="71">
        <f t="shared" si="47"/>
        <v>445528022.6376</v>
      </c>
      <c r="N230" s="70"/>
      <c r="O230" s="182"/>
      <c r="P230" s="72">
        <v>7</v>
      </c>
      <c r="Q230" s="182"/>
      <c r="R230" s="66" t="s">
        <v>580</v>
      </c>
      <c r="S230" s="66">
        <v>59246943.670000002</v>
      </c>
      <c r="T230" s="66">
        <v>0</v>
      </c>
      <c r="U230" s="66">
        <v>106580607.64</v>
      </c>
      <c r="V230" s="66">
        <v>4963846.9000000004</v>
      </c>
      <c r="W230" s="66">
        <v>4974826.54</v>
      </c>
      <c r="X230" s="66">
        <v>0</v>
      </c>
      <c r="Y230" s="66">
        <f t="shared" si="53"/>
        <v>4974826.54</v>
      </c>
      <c r="Z230" s="66">
        <v>170731943.63999999</v>
      </c>
      <c r="AA230" s="71">
        <f t="shared" si="54"/>
        <v>346498168.38999999</v>
      </c>
    </row>
    <row r="231" spans="1:27" ht="24.9" customHeight="1">
      <c r="A231" s="180"/>
      <c r="B231" s="182"/>
      <c r="C231" s="62">
        <v>4</v>
      </c>
      <c r="D231" s="66" t="s">
        <v>96</v>
      </c>
      <c r="E231" s="66">
        <v>78769928.403799996</v>
      </c>
      <c r="F231" s="66">
        <f>-811330.2625</f>
        <v>-811330.26249999995</v>
      </c>
      <c r="G231" s="66">
        <v>141700926.87259999</v>
      </c>
      <c r="H231" s="66">
        <v>5404025.3827999998</v>
      </c>
      <c r="I231" s="66">
        <v>6614125.6600000001</v>
      </c>
      <c r="J231" s="66">
        <v>0</v>
      </c>
      <c r="K231" s="66">
        <f t="shared" si="57"/>
        <v>6614125.6600000001</v>
      </c>
      <c r="L231" s="81">
        <v>191843080.68830001</v>
      </c>
      <c r="M231" s="71">
        <f t="shared" si="47"/>
        <v>423520756.745</v>
      </c>
      <c r="N231" s="70"/>
      <c r="O231" s="182"/>
      <c r="P231" s="72">
        <v>8</v>
      </c>
      <c r="Q231" s="182"/>
      <c r="R231" s="66" t="s">
        <v>581</v>
      </c>
      <c r="S231" s="66">
        <v>61530992.630000003</v>
      </c>
      <c r="T231" s="66">
        <v>0</v>
      </c>
      <c r="U231" s="66">
        <v>110689432.68000001</v>
      </c>
      <c r="V231" s="66">
        <v>4875854.74</v>
      </c>
      <c r="W231" s="66">
        <v>5166612.76</v>
      </c>
      <c r="X231" s="66">
        <v>0</v>
      </c>
      <c r="Y231" s="66">
        <f t="shared" si="53"/>
        <v>5166612.76</v>
      </c>
      <c r="Z231" s="66">
        <v>167306712.84999999</v>
      </c>
      <c r="AA231" s="71">
        <f t="shared" si="54"/>
        <v>349569605.66000003</v>
      </c>
    </row>
    <row r="232" spans="1:27" ht="24.9" customHeight="1">
      <c r="A232" s="180"/>
      <c r="B232" s="182"/>
      <c r="C232" s="62">
        <v>5</v>
      </c>
      <c r="D232" s="66" t="s">
        <v>582</v>
      </c>
      <c r="E232" s="66">
        <v>78514315.647400007</v>
      </c>
      <c r="F232" s="66">
        <f>-808697.4512</f>
        <v>-808697.45120000001</v>
      </c>
      <c r="G232" s="66">
        <v>141241099.56470001</v>
      </c>
      <c r="H232" s="66">
        <v>5616014.7034</v>
      </c>
      <c r="I232" s="66">
        <v>6592662.46</v>
      </c>
      <c r="J232" s="66">
        <v>0</v>
      </c>
      <c r="K232" s="66">
        <f t="shared" si="57"/>
        <v>6592662.46</v>
      </c>
      <c r="L232" s="81">
        <v>200095092.5731</v>
      </c>
      <c r="M232" s="71">
        <f t="shared" si="47"/>
        <v>431250487.49739999</v>
      </c>
      <c r="N232" s="70"/>
      <c r="O232" s="182"/>
      <c r="P232" s="72">
        <v>9</v>
      </c>
      <c r="Q232" s="182"/>
      <c r="R232" s="66" t="s">
        <v>583</v>
      </c>
      <c r="S232" s="66">
        <v>60518784.329999998</v>
      </c>
      <c r="T232" s="66">
        <v>0</v>
      </c>
      <c r="U232" s="66">
        <v>108868549.3</v>
      </c>
      <c r="V232" s="66">
        <v>4857795.8099999996</v>
      </c>
      <c r="W232" s="66">
        <v>5081620.01</v>
      </c>
      <c r="X232" s="66">
        <v>0</v>
      </c>
      <c r="Y232" s="66">
        <f t="shared" si="53"/>
        <v>5081620.01</v>
      </c>
      <c r="Z232" s="66">
        <v>166603740.91</v>
      </c>
      <c r="AA232" s="71">
        <f t="shared" si="54"/>
        <v>345930490.36000001</v>
      </c>
    </row>
    <row r="233" spans="1:27" ht="24.9" customHeight="1">
      <c r="A233" s="180"/>
      <c r="B233" s="182"/>
      <c r="C233" s="62">
        <v>6</v>
      </c>
      <c r="D233" s="66" t="s">
        <v>584</v>
      </c>
      <c r="E233" s="66">
        <v>81607149.671200007</v>
      </c>
      <c r="F233" s="66">
        <f>-840553.6416</f>
        <v>-840553.64159999997</v>
      </c>
      <c r="G233" s="66">
        <v>146804865.54269999</v>
      </c>
      <c r="H233" s="66">
        <v>5475899.9431999996</v>
      </c>
      <c r="I233" s="66">
        <v>6852360.46</v>
      </c>
      <c r="J233" s="66">
        <v>0</v>
      </c>
      <c r="K233" s="66">
        <f t="shared" si="57"/>
        <v>6852360.46</v>
      </c>
      <c r="L233" s="81">
        <v>194640909.01769999</v>
      </c>
      <c r="M233" s="71">
        <f t="shared" si="47"/>
        <v>434540630.9932</v>
      </c>
      <c r="N233" s="70"/>
      <c r="O233" s="182"/>
      <c r="P233" s="72">
        <v>10</v>
      </c>
      <c r="Q233" s="182"/>
      <c r="R233" s="66" t="s">
        <v>585</v>
      </c>
      <c r="S233" s="66">
        <v>68700779.170000002</v>
      </c>
      <c r="T233" s="66">
        <v>0</v>
      </c>
      <c r="U233" s="66">
        <v>123587316.67</v>
      </c>
      <c r="V233" s="66">
        <v>5514757.2800000003</v>
      </c>
      <c r="W233" s="66">
        <v>5768642.8799999999</v>
      </c>
      <c r="X233" s="66">
        <v>0</v>
      </c>
      <c r="Y233" s="66">
        <f t="shared" si="53"/>
        <v>5768642.8799999999</v>
      </c>
      <c r="Z233" s="66">
        <v>192176981.44999999</v>
      </c>
      <c r="AA233" s="71">
        <f t="shared" si="54"/>
        <v>395748477.44999999</v>
      </c>
    </row>
    <row r="234" spans="1:27" ht="24.9" customHeight="1">
      <c r="A234" s="180"/>
      <c r="B234" s="182"/>
      <c r="C234" s="62">
        <v>7</v>
      </c>
      <c r="D234" s="66" t="s">
        <v>586</v>
      </c>
      <c r="E234" s="66">
        <v>95351737.572099999</v>
      </c>
      <c r="F234" s="66">
        <f>-982122.897</f>
        <v>-982122.897</v>
      </c>
      <c r="G234" s="66">
        <v>171530301.8224</v>
      </c>
      <c r="H234" s="66">
        <v>6394636.9632999999</v>
      </c>
      <c r="I234" s="66">
        <v>8006461.1799999997</v>
      </c>
      <c r="J234" s="66">
        <v>0</v>
      </c>
      <c r="K234" s="66">
        <f t="shared" si="57"/>
        <v>8006461.1799999997</v>
      </c>
      <c r="L234" s="81">
        <v>230404167.21259999</v>
      </c>
      <c r="M234" s="71">
        <f t="shared" si="47"/>
        <v>510705181.85339999</v>
      </c>
      <c r="N234" s="70"/>
      <c r="O234" s="182"/>
      <c r="P234" s="72">
        <v>11</v>
      </c>
      <c r="Q234" s="182"/>
      <c r="R234" s="66" t="s">
        <v>587</v>
      </c>
      <c r="S234" s="66">
        <v>72742488.370000005</v>
      </c>
      <c r="T234" s="66">
        <v>0</v>
      </c>
      <c r="U234" s="66">
        <v>130858034.72</v>
      </c>
      <c r="V234" s="66">
        <v>5905428.4699999997</v>
      </c>
      <c r="W234" s="66">
        <v>6108015.6900000004</v>
      </c>
      <c r="X234" s="66">
        <v>0</v>
      </c>
      <c r="Y234" s="66">
        <f t="shared" si="53"/>
        <v>6108015.6900000004</v>
      </c>
      <c r="Z234" s="66">
        <v>207384461.34</v>
      </c>
      <c r="AA234" s="71">
        <f t="shared" si="54"/>
        <v>422998428.58999997</v>
      </c>
    </row>
    <row r="235" spans="1:27" ht="24.9" customHeight="1">
      <c r="A235" s="180"/>
      <c r="B235" s="182"/>
      <c r="C235" s="62">
        <v>8</v>
      </c>
      <c r="D235" s="66" t="s">
        <v>588</v>
      </c>
      <c r="E235" s="66">
        <v>84460028.723100007</v>
      </c>
      <c r="F235" s="66">
        <f>-869938.2958</f>
        <v>-869938.29579999996</v>
      </c>
      <c r="G235" s="66">
        <v>151936971.3337</v>
      </c>
      <c r="H235" s="66">
        <v>5677290.9265000001</v>
      </c>
      <c r="I235" s="66">
        <v>7091910</v>
      </c>
      <c r="J235" s="66">
        <v>0</v>
      </c>
      <c r="K235" s="66">
        <f t="shared" si="57"/>
        <v>7091910</v>
      </c>
      <c r="L235" s="81">
        <v>202480364.24399999</v>
      </c>
      <c r="M235" s="71">
        <f t="shared" si="47"/>
        <v>450776626.93150002</v>
      </c>
      <c r="N235" s="70"/>
      <c r="O235" s="182"/>
      <c r="P235" s="72">
        <v>12</v>
      </c>
      <c r="Q235" s="182"/>
      <c r="R235" s="66" t="s">
        <v>589</v>
      </c>
      <c r="S235" s="66">
        <v>84073553.260000005</v>
      </c>
      <c r="T235" s="66">
        <v>0</v>
      </c>
      <c r="U235" s="66">
        <v>151241732.28</v>
      </c>
      <c r="V235" s="66">
        <v>6140567.0899999999</v>
      </c>
      <c r="W235" s="66">
        <v>7059458.5700000003</v>
      </c>
      <c r="X235" s="66">
        <v>0</v>
      </c>
      <c r="Y235" s="66">
        <f t="shared" si="53"/>
        <v>7059458.5700000003</v>
      </c>
      <c r="Z235" s="66">
        <v>216537595.38999999</v>
      </c>
      <c r="AA235" s="71">
        <f t="shared" si="54"/>
        <v>465052906.58999997</v>
      </c>
    </row>
    <row r="236" spans="1:27" ht="24.9" customHeight="1">
      <c r="A236" s="180"/>
      <c r="B236" s="182"/>
      <c r="C236" s="62">
        <v>9</v>
      </c>
      <c r="D236" s="66" t="s">
        <v>590</v>
      </c>
      <c r="E236" s="66">
        <v>76416090.851500005</v>
      </c>
      <c r="F236" s="66">
        <f>-787085.7358</f>
        <v>-787085.73580000002</v>
      </c>
      <c r="G236" s="66">
        <v>137466557.63139999</v>
      </c>
      <c r="H236" s="66">
        <v>5337229.8976999996</v>
      </c>
      <c r="I236" s="66">
        <v>6416479.46</v>
      </c>
      <c r="J236" s="66">
        <v>0</v>
      </c>
      <c r="K236" s="66">
        <f t="shared" si="57"/>
        <v>6416479.46</v>
      </c>
      <c r="L236" s="81">
        <v>189242963.21759999</v>
      </c>
      <c r="M236" s="71">
        <f t="shared" si="47"/>
        <v>414092235.32239997</v>
      </c>
      <c r="N236" s="70"/>
      <c r="O236" s="182"/>
      <c r="P236" s="72">
        <v>13</v>
      </c>
      <c r="Q236" s="182"/>
      <c r="R236" s="66" t="s">
        <v>591</v>
      </c>
      <c r="S236" s="66">
        <v>78368678.530000001</v>
      </c>
      <c r="T236" s="66">
        <v>0</v>
      </c>
      <c r="U236" s="66">
        <v>140979109.80000001</v>
      </c>
      <c r="V236" s="66">
        <v>5752379</v>
      </c>
      <c r="W236" s="66">
        <v>6580433.6500000004</v>
      </c>
      <c r="X236" s="66">
        <v>0</v>
      </c>
      <c r="Y236" s="66">
        <f t="shared" si="53"/>
        <v>6580433.6500000004</v>
      </c>
      <c r="Z236" s="66">
        <v>201426774.13999999</v>
      </c>
      <c r="AA236" s="71">
        <f t="shared" si="54"/>
        <v>433107375.12</v>
      </c>
    </row>
    <row r="237" spans="1:27" ht="24.9" customHeight="1">
      <c r="A237" s="180"/>
      <c r="B237" s="182"/>
      <c r="C237" s="62">
        <v>10</v>
      </c>
      <c r="D237" s="66" t="s">
        <v>592</v>
      </c>
      <c r="E237" s="66">
        <v>106141619.6292</v>
      </c>
      <c r="F237" s="66">
        <f>-1093258.6822</f>
        <v>-1093258.6821999999</v>
      </c>
      <c r="G237" s="66">
        <v>190940453.88319999</v>
      </c>
      <c r="H237" s="66">
        <v>6614369.0521999998</v>
      </c>
      <c r="I237" s="66">
        <v>8912462.2100000009</v>
      </c>
      <c r="J237" s="66">
        <v>0</v>
      </c>
      <c r="K237" s="66">
        <f t="shared" si="57"/>
        <v>8912462.2100000009</v>
      </c>
      <c r="L237" s="81">
        <v>238957578.31760001</v>
      </c>
      <c r="M237" s="71">
        <f t="shared" si="47"/>
        <v>550473224.40999997</v>
      </c>
      <c r="N237" s="70"/>
      <c r="O237" s="182"/>
      <c r="P237" s="72">
        <v>14</v>
      </c>
      <c r="Q237" s="182"/>
      <c r="R237" s="66" t="s">
        <v>593</v>
      </c>
      <c r="S237" s="66">
        <v>68313215.799999997</v>
      </c>
      <c r="T237" s="66">
        <v>0</v>
      </c>
      <c r="U237" s="66">
        <v>122890120.55</v>
      </c>
      <c r="V237" s="66">
        <v>5545197.8700000001</v>
      </c>
      <c r="W237" s="66">
        <v>5736100.0899999999</v>
      </c>
      <c r="X237" s="66">
        <v>0</v>
      </c>
      <c r="Y237" s="66">
        <f t="shared" si="53"/>
        <v>5736100.0899999999</v>
      </c>
      <c r="Z237" s="66">
        <v>193361928.53</v>
      </c>
      <c r="AA237" s="71">
        <f t="shared" si="54"/>
        <v>395846562.83999997</v>
      </c>
    </row>
    <row r="238" spans="1:27" ht="24.9" customHeight="1">
      <c r="A238" s="180"/>
      <c r="B238" s="182"/>
      <c r="C238" s="62">
        <v>11</v>
      </c>
      <c r="D238" s="66" t="s">
        <v>594</v>
      </c>
      <c r="E238" s="66">
        <v>82343083.538100004</v>
      </c>
      <c r="F238" s="66">
        <f>-848133.7605</f>
        <v>-848133.76049999997</v>
      </c>
      <c r="G238" s="66">
        <v>148128752.8906</v>
      </c>
      <c r="H238" s="66">
        <v>5649954.2139999997</v>
      </c>
      <c r="I238" s="66">
        <v>6914155.0999999996</v>
      </c>
      <c r="J238" s="66">
        <v>0</v>
      </c>
      <c r="K238" s="66">
        <f t="shared" si="57"/>
        <v>6914155.0999999996</v>
      </c>
      <c r="L238" s="81">
        <v>201416240.4668</v>
      </c>
      <c r="M238" s="71">
        <f t="shared" si="47"/>
        <v>443604052.449</v>
      </c>
      <c r="N238" s="70"/>
      <c r="O238" s="182"/>
      <c r="P238" s="72">
        <v>15</v>
      </c>
      <c r="Q238" s="182"/>
      <c r="R238" s="66" t="s">
        <v>595</v>
      </c>
      <c r="S238" s="66">
        <v>53681977.020000003</v>
      </c>
      <c r="T238" s="66">
        <v>0</v>
      </c>
      <c r="U238" s="66">
        <v>96569668.840000004</v>
      </c>
      <c r="V238" s="66">
        <v>4435927.8</v>
      </c>
      <c r="W238" s="66">
        <v>4507549.38</v>
      </c>
      <c r="X238" s="66">
        <v>0</v>
      </c>
      <c r="Y238" s="66">
        <f t="shared" si="53"/>
        <v>4507549.38</v>
      </c>
      <c r="Z238" s="66">
        <v>150181876.99000001</v>
      </c>
      <c r="AA238" s="71">
        <f t="shared" si="54"/>
        <v>309377000.02999997</v>
      </c>
    </row>
    <row r="239" spans="1:27" ht="24.9" customHeight="1">
      <c r="A239" s="180"/>
      <c r="B239" s="182"/>
      <c r="C239" s="62">
        <v>12</v>
      </c>
      <c r="D239" s="66" t="s">
        <v>596</v>
      </c>
      <c r="E239" s="66">
        <v>90859267.488800004</v>
      </c>
      <c r="F239" s="66">
        <f>-935850.4551</f>
        <v>-935850.45510000002</v>
      </c>
      <c r="G239" s="66">
        <v>163448700.2683</v>
      </c>
      <c r="H239" s="66">
        <v>6188460.3623000002</v>
      </c>
      <c r="I239" s="66">
        <v>7629239.0300000003</v>
      </c>
      <c r="J239" s="66">
        <v>0</v>
      </c>
      <c r="K239" s="66">
        <f t="shared" si="57"/>
        <v>7629239.0300000003</v>
      </c>
      <c r="L239" s="81">
        <v>222378424.42160001</v>
      </c>
      <c r="M239" s="71">
        <f t="shared" si="47"/>
        <v>489568241.11589998</v>
      </c>
      <c r="N239" s="70"/>
      <c r="O239" s="182"/>
      <c r="P239" s="72">
        <v>16</v>
      </c>
      <c r="Q239" s="182"/>
      <c r="R239" s="66" t="s">
        <v>335</v>
      </c>
      <c r="S239" s="66">
        <v>69174307.959999993</v>
      </c>
      <c r="T239" s="66">
        <v>0</v>
      </c>
      <c r="U239" s="66">
        <v>124439157.84999999</v>
      </c>
      <c r="V239" s="66">
        <v>5109638.9400000004</v>
      </c>
      <c r="W239" s="66">
        <v>5808403.9800000004</v>
      </c>
      <c r="X239" s="66">
        <v>0</v>
      </c>
      <c r="Y239" s="66">
        <f t="shared" si="53"/>
        <v>5808403.9800000004</v>
      </c>
      <c r="Z239" s="66">
        <v>176407124</v>
      </c>
      <c r="AA239" s="71">
        <f t="shared" si="54"/>
        <v>380938632.73000002</v>
      </c>
    </row>
    <row r="240" spans="1:27" ht="24.9" customHeight="1">
      <c r="A240" s="180"/>
      <c r="B240" s="183"/>
      <c r="C240" s="62">
        <v>13</v>
      </c>
      <c r="D240" s="66" t="s">
        <v>597</v>
      </c>
      <c r="E240" s="66">
        <v>99513442.331100002</v>
      </c>
      <c r="F240" s="66">
        <f>-1024988.456</f>
        <v>-1024988.456</v>
      </c>
      <c r="G240" s="66">
        <v>179016882.46689999</v>
      </c>
      <c r="H240" s="66">
        <v>6645475.5674000001</v>
      </c>
      <c r="I240" s="66">
        <v>8355909.7400000002</v>
      </c>
      <c r="J240" s="66">
        <v>0</v>
      </c>
      <c r="K240" s="66">
        <f t="shared" si="57"/>
        <v>8355909.7400000002</v>
      </c>
      <c r="L240" s="81">
        <v>240168447.4878</v>
      </c>
      <c r="M240" s="71">
        <f t="shared" si="47"/>
        <v>532675169.1372</v>
      </c>
      <c r="N240" s="70"/>
      <c r="O240" s="182"/>
      <c r="P240" s="72">
        <v>17</v>
      </c>
      <c r="Q240" s="182"/>
      <c r="R240" s="66" t="s">
        <v>598</v>
      </c>
      <c r="S240" s="66">
        <v>60986610.329999998</v>
      </c>
      <c r="T240" s="66">
        <v>0</v>
      </c>
      <c r="U240" s="66">
        <v>109710131.59999999</v>
      </c>
      <c r="V240" s="66">
        <v>4717997.08</v>
      </c>
      <c r="W240" s="66">
        <v>5120902.26</v>
      </c>
      <c r="X240" s="66">
        <v>0</v>
      </c>
      <c r="Y240" s="66">
        <f t="shared" si="53"/>
        <v>5120902.26</v>
      </c>
      <c r="Z240" s="66">
        <v>161161859.37</v>
      </c>
      <c r="AA240" s="71">
        <f t="shared" si="54"/>
        <v>341697500.63999999</v>
      </c>
    </row>
    <row r="241" spans="1:27" ht="24.9" customHeight="1">
      <c r="A241" s="62"/>
      <c r="B241" s="173" t="s">
        <v>599</v>
      </c>
      <c r="C241" s="174"/>
      <c r="D241" s="67"/>
      <c r="E241" s="67">
        <f t="shared" ref="E241:M241" si="58">SUM(E228:E240)</f>
        <v>1122907344.4663999</v>
      </c>
      <c r="F241" s="67">
        <f t="shared" si="58"/>
        <v>-11565945.648</v>
      </c>
      <c r="G241" s="67">
        <f t="shared" si="58"/>
        <v>2020022294.4514</v>
      </c>
      <c r="H241" s="67">
        <f t="shared" si="58"/>
        <v>76173628.953700006</v>
      </c>
      <c r="I241" s="67">
        <f t="shared" si="58"/>
        <v>94287889.180000007</v>
      </c>
      <c r="J241" s="67">
        <f t="shared" si="58"/>
        <v>0</v>
      </c>
      <c r="K241" s="67">
        <f t="shared" si="58"/>
        <v>94287889.180000007</v>
      </c>
      <c r="L241" s="67">
        <f t="shared" si="58"/>
        <v>2724455761.6002002</v>
      </c>
      <c r="M241" s="67">
        <f t="shared" si="58"/>
        <v>6026280973.0037003</v>
      </c>
      <c r="N241" s="70"/>
      <c r="O241" s="182"/>
      <c r="P241" s="72">
        <v>18</v>
      </c>
      <c r="Q241" s="182"/>
      <c r="R241" s="66" t="s">
        <v>600</v>
      </c>
      <c r="S241" s="66">
        <v>63579201.520000003</v>
      </c>
      <c r="T241" s="66">
        <v>0</v>
      </c>
      <c r="U241" s="66">
        <v>114373999.92</v>
      </c>
      <c r="V241" s="66">
        <v>5220678.8099999996</v>
      </c>
      <c r="W241" s="66">
        <v>5338596.05</v>
      </c>
      <c r="X241" s="66">
        <v>0</v>
      </c>
      <c r="Y241" s="66">
        <f t="shared" si="53"/>
        <v>5338596.05</v>
      </c>
      <c r="Z241" s="66">
        <v>180729522.72999999</v>
      </c>
      <c r="AA241" s="71">
        <f t="shared" si="54"/>
        <v>369241999.02999997</v>
      </c>
    </row>
    <row r="242" spans="1:27" ht="24.9" customHeight="1">
      <c r="A242" s="180">
        <v>12</v>
      </c>
      <c r="B242" s="181" t="s">
        <v>601</v>
      </c>
      <c r="C242" s="62">
        <v>1</v>
      </c>
      <c r="D242" s="66" t="s">
        <v>602</v>
      </c>
      <c r="E242" s="66">
        <v>103316102.3334</v>
      </c>
      <c r="F242" s="66">
        <v>0</v>
      </c>
      <c r="G242" s="66">
        <v>185857569.74219999</v>
      </c>
      <c r="H242" s="66">
        <v>8420960.5822000001</v>
      </c>
      <c r="I242" s="66">
        <v>8675210.1600000001</v>
      </c>
      <c r="J242" s="66">
        <f t="shared" ref="J242:J259" si="59">I242/2</f>
        <v>4337605.08</v>
      </c>
      <c r="K242" s="66">
        <f t="shared" ref="K242:K259" si="60">I242-J242</f>
        <v>4337605.08</v>
      </c>
      <c r="L242" s="81">
        <v>260321282.75929999</v>
      </c>
      <c r="M242" s="71">
        <f t="shared" si="47"/>
        <v>562253520.4971</v>
      </c>
      <c r="N242" s="70"/>
      <c r="O242" s="182"/>
      <c r="P242" s="72">
        <v>19</v>
      </c>
      <c r="Q242" s="182"/>
      <c r="R242" s="66" t="s">
        <v>603</v>
      </c>
      <c r="S242" s="66">
        <v>67374523.200000003</v>
      </c>
      <c r="T242" s="66">
        <v>0</v>
      </c>
      <c r="U242" s="66">
        <v>121201486.14</v>
      </c>
      <c r="V242" s="66">
        <v>5186468.42</v>
      </c>
      <c r="W242" s="66">
        <v>5657280.2800000003</v>
      </c>
      <c r="X242" s="66">
        <v>0</v>
      </c>
      <c r="Y242" s="66">
        <f t="shared" si="53"/>
        <v>5657280.2800000003</v>
      </c>
      <c r="Z242" s="66">
        <v>179397830.25999999</v>
      </c>
      <c r="AA242" s="71">
        <f t="shared" si="54"/>
        <v>378817588.30000001</v>
      </c>
    </row>
    <row r="243" spans="1:27" ht="24.9" customHeight="1">
      <c r="A243" s="180"/>
      <c r="B243" s="182"/>
      <c r="C243" s="62">
        <v>2</v>
      </c>
      <c r="D243" s="66" t="s">
        <v>604</v>
      </c>
      <c r="E243" s="66">
        <v>98127815.798299998</v>
      </c>
      <c r="F243" s="66">
        <v>0</v>
      </c>
      <c r="G243" s="66">
        <v>176524248.93849999</v>
      </c>
      <c r="H243" s="66">
        <v>9298952.1306999996</v>
      </c>
      <c r="I243" s="66">
        <v>8239561.9400000004</v>
      </c>
      <c r="J243" s="66">
        <f t="shared" si="59"/>
        <v>4119780.97</v>
      </c>
      <c r="K243" s="66">
        <f t="shared" si="60"/>
        <v>4119780.97</v>
      </c>
      <c r="L243" s="81">
        <v>294498460.50989997</v>
      </c>
      <c r="M243" s="71">
        <f t="shared" si="47"/>
        <v>582569258.34739995</v>
      </c>
      <c r="N243" s="70"/>
      <c r="O243" s="182"/>
      <c r="P243" s="72">
        <v>20</v>
      </c>
      <c r="Q243" s="182"/>
      <c r="R243" s="66" t="s">
        <v>343</v>
      </c>
      <c r="S243" s="66">
        <v>66677047.049999997</v>
      </c>
      <c r="T243" s="66">
        <v>0</v>
      </c>
      <c r="U243" s="66">
        <v>119946781.20999999</v>
      </c>
      <c r="V243" s="66">
        <v>5366403.13</v>
      </c>
      <c r="W243" s="66">
        <v>5598714.8499999996</v>
      </c>
      <c r="X243" s="66">
        <v>0</v>
      </c>
      <c r="Y243" s="66">
        <f t="shared" si="53"/>
        <v>5598714.8499999996</v>
      </c>
      <c r="Z243" s="66">
        <v>186402066.94999999</v>
      </c>
      <c r="AA243" s="71">
        <f t="shared" si="54"/>
        <v>383991013.19</v>
      </c>
    </row>
    <row r="244" spans="1:27" ht="24.9" customHeight="1">
      <c r="A244" s="180"/>
      <c r="B244" s="182"/>
      <c r="C244" s="62">
        <v>3</v>
      </c>
      <c r="D244" s="66" t="s">
        <v>605</v>
      </c>
      <c r="E244" s="66">
        <v>64932973.015299998</v>
      </c>
      <c r="F244" s="66">
        <v>0</v>
      </c>
      <c r="G244" s="66">
        <v>116809328.73109999</v>
      </c>
      <c r="H244" s="66">
        <v>6651184.9737999998</v>
      </c>
      <c r="I244" s="66">
        <v>5452269.0499999998</v>
      </c>
      <c r="J244" s="66">
        <f t="shared" si="59"/>
        <v>2726134.5249999999</v>
      </c>
      <c r="K244" s="66">
        <f t="shared" si="60"/>
        <v>2726134.5249999999</v>
      </c>
      <c r="L244" s="81">
        <v>191430032.4373</v>
      </c>
      <c r="M244" s="71">
        <f t="shared" si="47"/>
        <v>382549653.6825</v>
      </c>
      <c r="N244" s="70"/>
      <c r="O244" s="182"/>
      <c r="P244" s="72">
        <v>21</v>
      </c>
      <c r="Q244" s="182"/>
      <c r="R244" s="66" t="s">
        <v>606</v>
      </c>
      <c r="S244" s="66">
        <v>72142051.980000004</v>
      </c>
      <c r="T244" s="66">
        <v>0</v>
      </c>
      <c r="U244" s="66">
        <v>129777896.70999999</v>
      </c>
      <c r="V244" s="66">
        <v>5638438.4100000001</v>
      </c>
      <c r="W244" s="66">
        <v>6057598.46</v>
      </c>
      <c r="X244" s="66">
        <v>0</v>
      </c>
      <c r="Y244" s="66">
        <f t="shared" si="53"/>
        <v>6057598.46</v>
      </c>
      <c r="Z244" s="66">
        <v>196991460.53999999</v>
      </c>
      <c r="AA244" s="71">
        <f t="shared" si="54"/>
        <v>410607446.10000002</v>
      </c>
    </row>
    <row r="245" spans="1:27" ht="24.9" customHeight="1">
      <c r="A245" s="180"/>
      <c r="B245" s="182"/>
      <c r="C245" s="62">
        <v>4</v>
      </c>
      <c r="D245" s="66" t="s">
        <v>607</v>
      </c>
      <c r="E245" s="66">
        <v>66850408.862300001</v>
      </c>
      <c r="F245" s="66">
        <v>0</v>
      </c>
      <c r="G245" s="66">
        <v>120258645.5311</v>
      </c>
      <c r="H245" s="66">
        <v>6809606.9791000001</v>
      </c>
      <c r="I245" s="66">
        <v>5613271.6399999997</v>
      </c>
      <c r="J245" s="66">
        <f t="shared" si="59"/>
        <v>2806635.82</v>
      </c>
      <c r="K245" s="66">
        <f t="shared" si="60"/>
        <v>2806635.82</v>
      </c>
      <c r="L245" s="81">
        <v>197596853.79899999</v>
      </c>
      <c r="M245" s="71">
        <f t="shared" si="47"/>
        <v>394322150.99150002</v>
      </c>
      <c r="N245" s="70"/>
      <c r="O245" s="182"/>
      <c r="P245" s="72">
        <v>22</v>
      </c>
      <c r="Q245" s="182"/>
      <c r="R245" s="66" t="s">
        <v>608</v>
      </c>
      <c r="S245" s="66">
        <v>65480877.280000001</v>
      </c>
      <c r="T245" s="66">
        <v>0</v>
      </c>
      <c r="U245" s="66">
        <v>117794965.56999999</v>
      </c>
      <c r="V245" s="66">
        <v>5182202</v>
      </c>
      <c r="W245" s="66">
        <v>5498275.29</v>
      </c>
      <c r="X245" s="66">
        <v>0</v>
      </c>
      <c r="Y245" s="66">
        <f t="shared" si="53"/>
        <v>5498275.29</v>
      </c>
      <c r="Z245" s="66">
        <v>179231753.13999999</v>
      </c>
      <c r="AA245" s="71">
        <f t="shared" si="54"/>
        <v>373188073.27999997</v>
      </c>
    </row>
    <row r="246" spans="1:27" ht="24.9" customHeight="1">
      <c r="A246" s="180"/>
      <c r="B246" s="182"/>
      <c r="C246" s="62">
        <v>5</v>
      </c>
      <c r="D246" s="66" t="s">
        <v>609</v>
      </c>
      <c r="E246" s="66">
        <v>80042996.363299996</v>
      </c>
      <c r="F246" s="66">
        <v>0</v>
      </c>
      <c r="G246" s="66">
        <v>143991076.34540001</v>
      </c>
      <c r="H246" s="66">
        <v>7355607.5854000002</v>
      </c>
      <c r="I246" s="66">
        <v>6721022.1799999997</v>
      </c>
      <c r="J246" s="66">
        <f t="shared" si="59"/>
        <v>3360511.09</v>
      </c>
      <c r="K246" s="66">
        <f t="shared" si="60"/>
        <v>3360511.09</v>
      </c>
      <c r="L246" s="81">
        <v>218850771.10980001</v>
      </c>
      <c r="M246" s="71">
        <f t="shared" si="47"/>
        <v>453600962.4939</v>
      </c>
      <c r="N246" s="70"/>
      <c r="O246" s="182"/>
      <c r="P246" s="72">
        <v>23</v>
      </c>
      <c r="Q246" s="182"/>
      <c r="R246" s="66" t="s">
        <v>610</v>
      </c>
      <c r="S246" s="66">
        <v>80517927.599999994</v>
      </c>
      <c r="T246" s="66">
        <v>0</v>
      </c>
      <c r="U246" s="66">
        <v>144845440.41999999</v>
      </c>
      <c r="V246" s="66">
        <v>6177700.7800000003</v>
      </c>
      <c r="W246" s="66">
        <v>6760901.04</v>
      </c>
      <c r="X246" s="66">
        <v>0</v>
      </c>
      <c r="Y246" s="66">
        <f t="shared" si="53"/>
        <v>6760901.04</v>
      </c>
      <c r="Z246" s="66">
        <v>217983081.44</v>
      </c>
      <c r="AA246" s="71">
        <f t="shared" si="54"/>
        <v>456285051.27999997</v>
      </c>
    </row>
    <row r="247" spans="1:27" ht="24.9" customHeight="1">
      <c r="A247" s="180"/>
      <c r="B247" s="182"/>
      <c r="C247" s="62">
        <v>6</v>
      </c>
      <c r="D247" s="66" t="s">
        <v>611</v>
      </c>
      <c r="E247" s="66">
        <v>68033653.181500003</v>
      </c>
      <c r="F247" s="66">
        <v>0</v>
      </c>
      <c r="G247" s="66">
        <v>122387209.3143</v>
      </c>
      <c r="H247" s="66">
        <v>6882926.2543000001</v>
      </c>
      <c r="I247" s="66">
        <v>5712625.8799999999</v>
      </c>
      <c r="J247" s="66">
        <f t="shared" si="59"/>
        <v>2856312.94</v>
      </c>
      <c r="K247" s="66">
        <f t="shared" si="60"/>
        <v>2856312.94</v>
      </c>
      <c r="L247" s="81">
        <v>200450919.8838</v>
      </c>
      <c r="M247" s="71">
        <f t="shared" si="47"/>
        <v>400611021.57389998</v>
      </c>
      <c r="N247" s="70"/>
      <c r="O247" s="182"/>
      <c r="P247" s="72">
        <v>24</v>
      </c>
      <c r="Q247" s="182"/>
      <c r="R247" s="66" t="s">
        <v>612</v>
      </c>
      <c r="S247" s="66">
        <v>66770578.899999999</v>
      </c>
      <c r="T247" s="66">
        <v>0</v>
      </c>
      <c r="U247" s="66">
        <v>120115037.67</v>
      </c>
      <c r="V247" s="66">
        <v>5332700.6399999997</v>
      </c>
      <c r="W247" s="66">
        <v>5606568.5</v>
      </c>
      <c r="X247" s="66">
        <v>0</v>
      </c>
      <c r="Y247" s="66">
        <f t="shared" si="53"/>
        <v>5606568.5</v>
      </c>
      <c r="Z247" s="66">
        <v>185090145.56</v>
      </c>
      <c r="AA247" s="71">
        <f t="shared" si="54"/>
        <v>382915031.26999998</v>
      </c>
    </row>
    <row r="248" spans="1:27" ht="24.9" customHeight="1">
      <c r="A248" s="180"/>
      <c r="B248" s="182"/>
      <c r="C248" s="62">
        <v>7</v>
      </c>
      <c r="D248" s="66" t="s">
        <v>613</v>
      </c>
      <c r="E248" s="66">
        <v>68096229.379700005</v>
      </c>
      <c r="F248" s="66">
        <v>-1E-4</v>
      </c>
      <c r="G248" s="66">
        <v>122499778.97939999</v>
      </c>
      <c r="H248" s="66">
        <v>6530020.8081999999</v>
      </c>
      <c r="I248" s="66">
        <v>5717880.25</v>
      </c>
      <c r="J248" s="66">
        <f t="shared" si="59"/>
        <v>2858940.125</v>
      </c>
      <c r="K248" s="66">
        <f t="shared" si="60"/>
        <v>2858940.125</v>
      </c>
      <c r="L248" s="81">
        <v>186713530.06349999</v>
      </c>
      <c r="M248" s="71">
        <f t="shared" si="47"/>
        <v>386698499.35570002</v>
      </c>
      <c r="N248" s="70"/>
      <c r="O248" s="182"/>
      <c r="P248" s="72">
        <v>25</v>
      </c>
      <c r="Q248" s="182"/>
      <c r="R248" s="66" t="s">
        <v>614</v>
      </c>
      <c r="S248" s="66">
        <v>87969406.829999998</v>
      </c>
      <c r="T248" s="66">
        <v>0</v>
      </c>
      <c r="U248" s="66">
        <v>158250067.47</v>
      </c>
      <c r="V248" s="66">
        <v>5531337.6399999997</v>
      </c>
      <c r="W248" s="66">
        <v>7386584.2199999997</v>
      </c>
      <c r="X248" s="66">
        <v>0</v>
      </c>
      <c r="Y248" s="66">
        <f t="shared" si="53"/>
        <v>7386584.2199999997</v>
      </c>
      <c r="Z248" s="66">
        <v>192822397.56</v>
      </c>
      <c r="AA248" s="71">
        <f t="shared" si="54"/>
        <v>451959793.72000003</v>
      </c>
    </row>
    <row r="249" spans="1:27" ht="24.9" customHeight="1">
      <c r="A249" s="180"/>
      <c r="B249" s="182"/>
      <c r="C249" s="62">
        <v>8</v>
      </c>
      <c r="D249" s="66" t="s">
        <v>615</v>
      </c>
      <c r="E249" s="66">
        <v>78997303.124300003</v>
      </c>
      <c r="F249" s="66">
        <v>0</v>
      </c>
      <c r="G249" s="66">
        <v>142109956.16949999</v>
      </c>
      <c r="H249" s="66">
        <v>7110401.1116000004</v>
      </c>
      <c r="I249" s="66">
        <v>6633217.7800000003</v>
      </c>
      <c r="J249" s="66">
        <f t="shared" si="59"/>
        <v>3316608.89</v>
      </c>
      <c r="K249" s="66">
        <f t="shared" si="60"/>
        <v>3316608.89</v>
      </c>
      <c r="L249" s="81">
        <v>209305730.20899999</v>
      </c>
      <c r="M249" s="71">
        <f t="shared" si="47"/>
        <v>440839999.50440001</v>
      </c>
      <c r="N249" s="70"/>
      <c r="O249" s="182"/>
      <c r="P249" s="72">
        <v>26</v>
      </c>
      <c r="Q249" s="182"/>
      <c r="R249" s="66" t="s">
        <v>616</v>
      </c>
      <c r="S249" s="66">
        <v>60213007.829999998</v>
      </c>
      <c r="T249" s="66">
        <v>0</v>
      </c>
      <c r="U249" s="66">
        <v>108318481.34</v>
      </c>
      <c r="V249" s="66">
        <v>4882152.79</v>
      </c>
      <c r="W249" s="66">
        <v>5055944.67</v>
      </c>
      <c r="X249" s="66">
        <v>0</v>
      </c>
      <c r="Y249" s="66">
        <f t="shared" si="53"/>
        <v>5055944.67</v>
      </c>
      <c r="Z249" s="66">
        <v>167551874.31999999</v>
      </c>
      <c r="AA249" s="71">
        <f t="shared" si="54"/>
        <v>346021460.94999999</v>
      </c>
    </row>
    <row r="250" spans="1:27" ht="24.9" customHeight="1">
      <c r="A250" s="180"/>
      <c r="B250" s="182"/>
      <c r="C250" s="62">
        <v>9</v>
      </c>
      <c r="D250" s="66" t="s">
        <v>617</v>
      </c>
      <c r="E250" s="66">
        <v>86946228.313800007</v>
      </c>
      <c r="F250" s="66">
        <v>0</v>
      </c>
      <c r="G250" s="66">
        <v>156409449.52239999</v>
      </c>
      <c r="H250" s="66">
        <v>7692948.4870999996</v>
      </c>
      <c r="I250" s="66">
        <v>7300670.3399999999</v>
      </c>
      <c r="J250" s="66">
        <f t="shared" si="59"/>
        <v>3650335.17</v>
      </c>
      <c r="K250" s="66">
        <f t="shared" si="60"/>
        <v>3650335.17</v>
      </c>
      <c r="L250" s="81">
        <v>231982286.98750001</v>
      </c>
      <c r="M250" s="71">
        <f t="shared" si="47"/>
        <v>486681248.48079997</v>
      </c>
      <c r="N250" s="70"/>
      <c r="O250" s="182"/>
      <c r="P250" s="72">
        <v>27</v>
      </c>
      <c r="Q250" s="182"/>
      <c r="R250" s="66" t="s">
        <v>618</v>
      </c>
      <c r="S250" s="66">
        <v>72830503.980000004</v>
      </c>
      <c r="T250" s="66">
        <v>0</v>
      </c>
      <c r="U250" s="66">
        <v>131016367.89</v>
      </c>
      <c r="V250" s="66">
        <v>5504824.8700000001</v>
      </c>
      <c r="W250" s="66">
        <v>6115406.1600000001</v>
      </c>
      <c r="X250" s="66">
        <v>0</v>
      </c>
      <c r="Y250" s="66">
        <f t="shared" si="53"/>
        <v>6115406.1600000001</v>
      </c>
      <c r="Z250" s="66">
        <v>191790346.88</v>
      </c>
      <c r="AA250" s="71">
        <f t="shared" si="54"/>
        <v>407257449.77999997</v>
      </c>
    </row>
    <row r="251" spans="1:27" ht="24.9" customHeight="1">
      <c r="A251" s="180"/>
      <c r="B251" s="182"/>
      <c r="C251" s="62">
        <v>10</v>
      </c>
      <c r="D251" s="66" t="s">
        <v>619</v>
      </c>
      <c r="E251" s="66">
        <v>63266139.971299998</v>
      </c>
      <c r="F251" s="66">
        <v>0</v>
      </c>
      <c r="G251" s="66">
        <v>113810826.7406</v>
      </c>
      <c r="H251" s="66">
        <v>6248572.3097000001</v>
      </c>
      <c r="I251" s="66">
        <v>5312309</v>
      </c>
      <c r="J251" s="66">
        <f t="shared" si="59"/>
        <v>2656154.5</v>
      </c>
      <c r="K251" s="66">
        <f t="shared" si="60"/>
        <v>2656154.5</v>
      </c>
      <c r="L251" s="81">
        <v>175757712.34650001</v>
      </c>
      <c r="M251" s="71">
        <f t="shared" si="47"/>
        <v>361739405.86809999</v>
      </c>
      <c r="N251" s="70"/>
      <c r="O251" s="182"/>
      <c r="P251" s="72">
        <v>28</v>
      </c>
      <c r="Q251" s="182"/>
      <c r="R251" s="66" t="s">
        <v>620</v>
      </c>
      <c r="S251" s="66">
        <v>73064024.420000002</v>
      </c>
      <c r="T251" s="66">
        <v>0</v>
      </c>
      <c r="U251" s="66">
        <v>131436452.86</v>
      </c>
      <c r="V251" s="66">
        <v>5695075.7400000002</v>
      </c>
      <c r="W251" s="66">
        <v>6135014.3200000003</v>
      </c>
      <c r="X251" s="66">
        <v>0</v>
      </c>
      <c r="Y251" s="66">
        <f t="shared" si="53"/>
        <v>6135014.3200000003</v>
      </c>
      <c r="Z251" s="66">
        <v>199196156.28999999</v>
      </c>
      <c r="AA251" s="71">
        <f t="shared" si="54"/>
        <v>415526723.63</v>
      </c>
    </row>
    <row r="252" spans="1:27" ht="24.9" customHeight="1">
      <c r="A252" s="180"/>
      <c r="B252" s="182"/>
      <c r="C252" s="62">
        <v>11</v>
      </c>
      <c r="D252" s="66" t="s">
        <v>621</v>
      </c>
      <c r="E252" s="66">
        <v>108557640.54189999</v>
      </c>
      <c r="F252" s="66">
        <v>0</v>
      </c>
      <c r="G252" s="66">
        <v>195286686.13170001</v>
      </c>
      <c r="H252" s="66">
        <v>9651180.3668000009</v>
      </c>
      <c r="I252" s="66">
        <v>9115329.8000000007</v>
      </c>
      <c r="J252" s="66">
        <f t="shared" si="59"/>
        <v>4557664.9000000004</v>
      </c>
      <c r="K252" s="66">
        <f t="shared" si="60"/>
        <v>4557664.9000000004</v>
      </c>
      <c r="L252" s="81">
        <v>308209488.88239998</v>
      </c>
      <c r="M252" s="71">
        <f t="shared" si="47"/>
        <v>626262660.82280004</v>
      </c>
      <c r="N252" s="70"/>
      <c r="O252" s="182"/>
      <c r="P252" s="72">
        <v>29</v>
      </c>
      <c r="Q252" s="182"/>
      <c r="R252" s="66" t="s">
        <v>622</v>
      </c>
      <c r="S252" s="66">
        <v>64385888.229999997</v>
      </c>
      <c r="T252" s="66">
        <v>0</v>
      </c>
      <c r="U252" s="66">
        <v>115825166.09</v>
      </c>
      <c r="V252" s="66">
        <v>5181073.3099999996</v>
      </c>
      <c r="W252" s="66">
        <v>5406331.6299999999</v>
      </c>
      <c r="X252" s="66">
        <v>0</v>
      </c>
      <c r="Y252" s="66">
        <f t="shared" si="53"/>
        <v>5406331.6299999999</v>
      </c>
      <c r="Z252" s="66">
        <v>179187817.38999999</v>
      </c>
      <c r="AA252" s="71">
        <f t="shared" si="54"/>
        <v>369986276.64999998</v>
      </c>
    </row>
    <row r="253" spans="1:27" ht="24.9" customHeight="1">
      <c r="A253" s="180"/>
      <c r="B253" s="182"/>
      <c r="C253" s="62">
        <v>12</v>
      </c>
      <c r="D253" s="66" t="s">
        <v>623</v>
      </c>
      <c r="E253" s="66">
        <v>111723082.91599999</v>
      </c>
      <c r="F253" s="66">
        <v>0</v>
      </c>
      <c r="G253" s="66">
        <v>200981068.83970001</v>
      </c>
      <c r="H253" s="66">
        <v>9691417.9308000002</v>
      </c>
      <c r="I253" s="66">
        <v>9381124.5600000005</v>
      </c>
      <c r="J253" s="66">
        <f t="shared" si="59"/>
        <v>4690562.28</v>
      </c>
      <c r="K253" s="66">
        <f t="shared" si="60"/>
        <v>4690562.28</v>
      </c>
      <c r="L253" s="81">
        <v>309775798.24080002</v>
      </c>
      <c r="M253" s="71">
        <f t="shared" si="47"/>
        <v>636861930.20729995</v>
      </c>
      <c r="N253" s="70"/>
      <c r="O253" s="183"/>
      <c r="P253" s="72">
        <v>30</v>
      </c>
      <c r="Q253" s="183"/>
      <c r="R253" s="66" t="s">
        <v>624</v>
      </c>
      <c r="S253" s="66">
        <v>71634121.379999995</v>
      </c>
      <c r="T253" s="66">
        <v>0</v>
      </c>
      <c r="U253" s="66">
        <v>128864169.38</v>
      </c>
      <c r="V253" s="66">
        <v>5786239.5</v>
      </c>
      <c r="W253" s="66">
        <v>6014948.7199999997</v>
      </c>
      <c r="X253" s="66">
        <v>0</v>
      </c>
      <c r="Y253" s="66">
        <f t="shared" si="53"/>
        <v>6014948.7199999997</v>
      </c>
      <c r="Z253" s="66">
        <v>202744846.53</v>
      </c>
      <c r="AA253" s="71">
        <f t="shared" si="54"/>
        <v>415044325.50999999</v>
      </c>
    </row>
    <row r="254" spans="1:27" ht="24.9" customHeight="1">
      <c r="A254" s="180"/>
      <c r="B254" s="182"/>
      <c r="C254" s="62">
        <v>13</v>
      </c>
      <c r="D254" s="66" t="s">
        <v>625</v>
      </c>
      <c r="E254" s="66">
        <v>87569364.562600002</v>
      </c>
      <c r="F254" s="66">
        <v>0</v>
      </c>
      <c r="G254" s="66">
        <v>157530422.79429999</v>
      </c>
      <c r="H254" s="66">
        <v>7524864.9516000003</v>
      </c>
      <c r="I254" s="66">
        <v>7352993.6200000001</v>
      </c>
      <c r="J254" s="66">
        <f t="shared" si="59"/>
        <v>3676496.81</v>
      </c>
      <c r="K254" s="66">
        <f t="shared" si="60"/>
        <v>3676496.81</v>
      </c>
      <c r="L254" s="81">
        <v>225439375.6367</v>
      </c>
      <c r="M254" s="71">
        <f t="shared" si="47"/>
        <v>481740524.75520003</v>
      </c>
      <c r="N254" s="70"/>
      <c r="O254" s="62"/>
      <c r="P254" s="174" t="s">
        <v>626</v>
      </c>
      <c r="Q254" s="175"/>
      <c r="R254" s="67"/>
      <c r="S254" s="67">
        <f>SUM(S224:S253)</f>
        <v>2041446991.54</v>
      </c>
      <c r="T254" s="67">
        <f t="shared" ref="T254:AA254" si="61">SUM(T224:T253)</f>
        <v>0</v>
      </c>
      <c r="U254" s="67">
        <f t="shared" si="61"/>
        <v>3672403120.5500002</v>
      </c>
      <c r="V254" s="67">
        <f t="shared" si="61"/>
        <v>159170681.03</v>
      </c>
      <c r="W254" s="67">
        <f t="shared" si="61"/>
        <v>171415503.38</v>
      </c>
      <c r="X254" s="67">
        <f t="shared" si="61"/>
        <v>0</v>
      </c>
      <c r="Y254" s="67">
        <f t="shared" si="61"/>
        <v>171415503.38</v>
      </c>
      <c r="Z254" s="67">
        <f t="shared" si="61"/>
        <v>5521160697.6499996</v>
      </c>
      <c r="AA254" s="67">
        <f t="shared" si="61"/>
        <v>11565596994.15</v>
      </c>
    </row>
    <row r="255" spans="1:27" ht="24.9" customHeight="1">
      <c r="A255" s="180"/>
      <c r="B255" s="182"/>
      <c r="C255" s="62">
        <v>14</v>
      </c>
      <c r="D255" s="66" t="s">
        <v>627</v>
      </c>
      <c r="E255" s="66">
        <v>83512732.270099998</v>
      </c>
      <c r="F255" s="66">
        <v>0</v>
      </c>
      <c r="G255" s="66">
        <v>150232859.27399999</v>
      </c>
      <c r="H255" s="66">
        <v>7199036.6207999997</v>
      </c>
      <c r="I255" s="66">
        <v>7012367.75</v>
      </c>
      <c r="J255" s="66">
        <f t="shared" si="59"/>
        <v>3506183.875</v>
      </c>
      <c r="K255" s="66">
        <f t="shared" si="60"/>
        <v>3506183.875</v>
      </c>
      <c r="L255" s="81">
        <v>212756004.3721</v>
      </c>
      <c r="M255" s="71">
        <f t="shared" si="47"/>
        <v>457206816.412</v>
      </c>
      <c r="N255" s="70"/>
      <c r="O255" s="181">
        <v>30</v>
      </c>
      <c r="P255" s="72">
        <v>1</v>
      </c>
      <c r="Q255" s="181" t="s">
        <v>115</v>
      </c>
      <c r="R255" s="66" t="s">
        <v>628</v>
      </c>
      <c r="S255" s="82">
        <v>70501593.390000001</v>
      </c>
      <c r="T255" s="66">
        <v>0</v>
      </c>
      <c r="U255" s="66">
        <v>126826840.285</v>
      </c>
      <c r="V255" s="66">
        <v>7392415.6739999996</v>
      </c>
      <c r="W255" s="66">
        <v>5919853.0099999998</v>
      </c>
      <c r="X255" s="66">
        <v>0</v>
      </c>
      <c r="Y255" s="66">
        <f t="shared" si="53"/>
        <v>5919853.0099999998</v>
      </c>
      <c r="Z255" s="66">
        <v>277852367.34990001</v>
      </c>
      <c r="AA255" s="71">
        <f t="shared" si="54"/>
        <v>488493069.70889997</v>
      </c>
    </row>
    <row r="256" spans="1:27" ht="24.9" customHeight="1">
      <c r="A256" s="180"/>
      <c r="B256" s="182"/>
      <c r="C256" s="62">
        <v>15</v>
      </c>
      <c r="D256" s="66" t="s">
        <v>629</v>
      </c>
      <c r="E256" s="66">
        <v>91147275.827800006</v>
      </c>
      <c r="F256" s="66">
        <v>0</v>
      </c>
      <c r="G256" s="66">
        <v>163966804.71200001</v>
      </c>
      <c r="H256" s="66">
        <v>6990309.1952999998</v>
      </c>
      <c r="I256" s="66">
        <v>7653422.4199999999</v>
      </c>
      <c r="J256" s="66">
        <f t="shared" si="59"/>
        <v>3826711.21</v>
      </c>
      <c r="K256" s="66">
        <f t="shared" si="60"/>
        <v>3826711.21</v>
      </c>
      <c r="L256" s="81">
        <v>204630966.79429999</v>
      </c>
      <c r="M256" s="71">
        <f t="shared" si="47"/>
        <v>470562067.73940003</v>
      </c>
      <c r="N256" s="70"/>
      <c r="O256" s="182"/>
      <c r="P256" s="72">
        <v>2</v>
      </c>
      <c r="Q256" s="182"/>
      <c r="R256" s="66" t="s">
        <v>630</v>
      </c>
      <c r="S256" s="82">
        <v>81873381.920000002</v>
      </c>
      <c r="T256" s="66">
        <v>0</v>
      </c>
      <c r="U256" s="66">
        <v>147283796.49720001</v>
      </c>
      <c r="V256" s="66">
        <v>8263601.2614000002</v>
      </c>
      <c r="W256" s="66">
        <v>6874715.3499999996</v>
      </c>
      <c r="X256" s="66">
        <v>0</v>
      </c>
      <c r="Y256" s="66">
        <f t="shared" si="53"/>
        <v>6874715.3499999996</v>
      </c>
      <c r="Z256" s="66">
        <v>311764612.54979998</v>
      </c>
      <c r="AA256" s="71">
        <f t="shared" si="54"/>
        <v>556060107.57840002</v>
      </c>
    </row>
    <row r="257" spans="1:27" ht="24.9" customHeight="1">
      <c r="A257" s="180"/>
      <c r="B257" s="182"/>
      <c r="C257" s="62">
        <v>16</v>
      </c>
      <c r="D257" s="66" t="s">
        <v>631</v>
      </c>
      <c r="E257" s="66">
        <v>79955095.269899994</v>
      </c>
      <c r="F257" s="66">
        <v>0</v>
      </c>
      <c r="G257" s="66">
        <v>143832949.17340001</v>
      </c>
      <c r="H257" s="66">
        <v>7205086.3640000001</v>
      </c>
      <c r="I257" s="66">
        <v>6713641.3399999999</v>
      </c>
      <c r="J257" s="66">
        <f t="shared" si="59"/>
        <v>3356820.67</v>
      </c>
      <c r="K257" s="66">
        <f t="shared" si="60"/>
        <v>3356820.67</v>
      </c>
      <c r="L257" s="81">
        <v>212991499.9727</v>
      </c>
      <c r="M257" s="71">
        <f t="shared" si="47"/>
        <v>447341451.44999999</v>
      </c>
      <c r="N257" s="70"/>
      <c r="O257" s="182"/>
      <c r="P257" s="72">
        <v>3</v>
      </c>
      <c r="Q257" s="182"/>
      <c r="R257" s="66" t="s">
        <v>632</v>
      </c>
      <c r="S257" s="82">
        <v>81554834.640000001</v>
      </c>
      <c r="T257" s="66">
        <v>0</v>
      </c>
      <c r="U257" s="66">
        <v>146710754.90790001</v>
      </c>
      <c r="V257" s="66">
        <v>7793425.6075999998</v>
      </c>
      <c r="W257" s="66">
        <v>6847967.6900000004</v>
      </c>
      <c r="X257" s="66">
        <v>0</v>
      </c>
      <c r="Y257" s="66">
        <f t="shared" si="53"/>
        <v>6847967.6900000004</v>
      </c>
      <c r="Z257" s="66">
        <v>293462298.68080002</v>
      </c>
      <c r="AA257" s="71">
        <f t="shared" si="54"/>
        <v>536369281.52630001</v>
      </c>
    </row>
    <row r="258" spans="1:27" ht="24.9" customHeight="1">
      <c r="A258" s="180"/>
      <c r="B258" s="182"/>
      <c r="C258" s="62">
        <v>17</v>
      </c>
      <c r="D258" s="66" t="s">
        <v>633</v>
      </c>
      <c r="E258" s="66">
        <v>65574034.996100001</v>
      </c>
      <c r="F258" s="66">
        <v>0</v>
      </c>
      <c r="G258" s="66">
        <v>117962548.98639999</v>
      </c>
      <c r="H258" s="66">
        <v>6561770.6730000004</v>
      </c>
      <c r="I258" s="66">
        <v>5506097.5199999996</v>
      </c>
      <c r="J258" s="66">
        <f t="shared" si="59"/>
        <v>2753048.76</v>
      </c>
      <c r="K258" s="66">
        <f t="shared" si="60"/>
        <v>2753048.76</v>
      </c>
      <c r="L258" s="81">
        <v>187949442.60910001</v>
      </c>
      <c r="M258" s="71">
        <f t="shared" si="47"/>
        <v>380800846.02460003</v>
      </c>
      <c r="N258" s="70"/>
      <c r="O258" s="182"/>
      <c r="P258" s="72">
        <v>4</v>
      </c>
      <c r="Q258" s="182"/>
      <c r="R258" s="66" t="s">
        <v>634</v>
      </c>
      <c r="S258" s="82">
        <v>87376409.950000003</v>
      </c>
      <c r="T258" s="66">
        <v>0</v>
      </c>
      <c r="U258" s="66">
        <v>157183312.56020001</v>
      </c>
      <c r="V258" s="66">
        <v>7128518.2027000003</v>
      </c>
      <c r="W258" s="66">
        <v>7336791.6799999997</v>
      </c>
      <c r="X258" s="66">
        <v>0</v>
      </c>
      <c r="Y258" s="66">
        <f t="shared" si="53"/>
        <v>7336791.6799999997</v>
      </c>
      <c r="Z258" s="66">
        <v>267579750.48899999</v>
      </c>
      <c r="AA258" s="71">
        <f t="shared" si="54"/>
        <v>526604782.88190001</v>
      </c>
    </row>
    <row r="259" spans="1:27" ht="24.9" customHeight="1">
      <c r="A259" s="180"/>
      <c r="B259" s="183"/>
      <c r="C259" s="62">
        <v>18</v>
      </c>
      <c r="D259" s="66" t="s">
        <v>635</v>
      </c>
      <c r="E259" s="66">
        <v>81600271.038499996</v>
      </c>
      <c r="F259" s="66">
        <v>0</v>
      </c>
      <c r="G259" s="66">
        <v>146792491.4199</v>
      </c>
      <c r="H259" s="66">
        <v>6826164.7649999997</v>
      </c>
      <c r="I259" s="66">
        <v>6851782.8700000001</v>
      </c>
      <c r="J259" s="66">
        <f t="shared" si="59"/>
        <v>3425891.4350000001</v>
      </c>
      <c r="K259" s="66">
        <f t="shared" si="60"/>
        <v>3425891.4350000001</v>
      </c>
      <c r="L259" s="81">
        <v>198241391.19839999</v>
      </c>
      <c r="M259" s="71">
        <f t="shared" si="47"/>
        <v>436886209.85680002</v>
      </c>
      <c r="N259" s="70"/>
      <c r="O259" s="182"/>
      <c r="P259" s="72">
        <v>5</v>
      </c>
      <c r="Q259" s="182"/>
      <c r="R259" s="66" t="s">
        <v>636</v>
      </c>
      <c r="S259" s="82">
        <v>88652133.109999999</v>
      </c>
      <c r="T259" s="66">
        <v>0</v>
      </c>
      <c r="U259" s="66">
        <v>159478238.5273</v>
      </c>
      <c r="V259" s="66">
        <v>9056095.0405999999</v>
      </c>
      <c r="W259" s="66">
        <v>7443911.1500000004</v>
      </c>
      <c r="X259" s="66">
        <v>0</v>
      </c>
      <c r="Y259" s="66">
        <f t="shared" si="53"/>
        <v>7443911.1500000004</v>
      </c>
      <c r="Z259" s="66">
        <v>342613657.51230001</v>
      </c>
      <c r="AA259" s="71">
        <f t="shared" si="54"/>
        <v>607244035.34019995</v>
      </c>
    </row>
    <row r="260" spans="1:27" ht="24.9" customHeight="1">
      <c r="A260" s="62"/>
      <c r="B260" s="173" t="s">
        <v>601</v>
      </c>
      <c r="C260" s="174"/>
      <c r="D260" s="67"/>
      <c r="E260" s="67">
        <f t="shared" ref="E260:M260" si="62">SUM(E242:E259)</f>
        <v>1488249347.7660999</v>
      </c>
      <c r="F260" s="67">
        <f t="shared" si="62"/>
        <v>-1E-4</v>
      </c>
      <c r="G260" s="67">
        <f t="shared" si="62"/>
        <v>2677243921.3459001</v>
      </c>
      <c r="H260" s="67">
        <f t="shared" si="62"/>
        <v>134651012.08939999</v>
      </c>
      <c r="I260" s="67">
        <f t="shared" si="62"/>
        <v>124964798.09999999</v>
      </c>
      <c r="J260" s="67">
        <f t="shared" si="62"/>
        <v>62482399.049999997</v>
      </c>
      <c r="K260" s="67">
        <f t="shared" si="62"/>
        <v>62482399.049999997</v>
      </c>
      <c r="L260" s="67">
        <f t="shared" si="62"/>
        <v>4026901547.8120999</v>
      </c>
      <c r="M260" s="67">
        <f t="shared" si="62"/>
        <v>8389528228.0634003</v>
      </c>
      <c r="N260" s="70"/>
      <c r="O260" s="182"/>
      <c r="P260" s="72">
        <v>6</v>
      </c>
      <c r="Q260" s="182"/>
      <c r="R260" s="66" t="s">
        <v>637</v>
      </c>
      <c r="S260" s="82">
        <v>91116347.560000002</v>
      </c>
      <c r="T260" s="66">
        <v>0</v>
      </c>
      <c r="U260" s="66">
        <v>163911167.18169999</v>
      </c>
      <c r="V260" s="66">
        <v>9340771.5736999996</v>
      </c>
      <c r="W260" s="66">
        <v>7650825.4500000002</v>
      </c>
      <c r="X260" s="66">
        <v>0</v>
      </c>
      <c r="Y260" s="66">
        <f t="shared" si="53"/>
        <v>7650825.4500000002</v>
      </c>
      <c r="Z260" s="66">
        <v>353695131.46390003</v>
      </c>
      <c r="AA260" s="71">
        <f t="shared" si="54"/>
        <v>625714243.22930002</v>
      </c>
    </row>
    <row r="261" spans="1:27" ht="24.9" customHeight="1">
      <c r="A261" s="180">
        <v>13</v>
      </c>
      <c r="B261" s="181" t="s">
        <v>638</v>
      </c>
      <c r="C261" s="62">
        <v>1</v>
      </c>
      <c r="D261" s="66" t="s">
        <v>639</v>
      </c>
      <c r="E261" s="66">
        <v>95882054.775900006</v>
      </c>
      <c r="F261" s="66">
        <v>0</v>
      </c>
      <c r="G261" s="66">
        <v>172484300.8928</v>
      </c>
      <c r="H261" s="66">
        <v>7488632.0368999997</v>
      </c>
      <c r="I261" s="66">
        <v>8050990.6699999999</v>
      </c>
      <c r="J261" s="66">
        <v>0</v>
      </c>
      <c r="K261" s="66">
        <f t="shared" ref="K261:K276" si="63">I261-J261</f>
        <v>8050990.6699999999</v>
      </c>
      <c r="L261" s="81">
        <v>278162819.64420003</v>
      </c>
      <c r="M261" s="71">
        <f t="shared" si="47"/>
        <v>562068798.01979995</v>
      </c>
      <c r="N261" s="70"/>
      <c r="O261" s="182"/>
      <c r="P261" s="72">
        <v>7</v>
      </c>
      <c r="Q261" s="182"/>
      <c r="R261" s="66" t="s">
        <v>640</v>
      </c>
      <c r="S261" s="82">
        <v>98782908.189999998</v>
      </c>
      <c r="T261" s="66">
        <v>0</v>
      </c>
      <c r="U261" s="66">
        <v>177702708.80149999</v>
      </c>
      <c r="V261" s="66">
        <v>9607186.0090999994</v>
      </c>
      <c r="W261" s="66">
        <v>8294568.5099999998</v>
      </c>
      <c r="X261" s="66">
        <v>0</v>
      </c>
      <c r="Y261" s="66">
        <f t="shared" si="53"/>
        <v>8294568.5099999998</v>
      </c>
      <c r="Z261" s="66">
        <v>364065725.03920001</v>
      </c>
      <c r="AA261" s="71">
        <f t="shared" si="54"/>
        <v>658453096.54980004</v>
      </c>
    </row>
    <row r="262" spans="1:27" ht="24.9" customHeight="1">
      <c r="A262" s="180"/>
      <c r="B262" s="182"/>
      <c r="C262" s="62">
        <v>2</v>
      </c>
      <c r="D262" s="66" t="s">
        <v>641</v>
      </c>
      <c r="E262" s="66">
        <v>72959764.591999993</v>
      </c>
      <c r="F262" s="66">
        <v>0</v>
      </c>
      <c r="G262" s="66">
        <v>131248897.6083</v>
      </c>
      <c r="H262" s="66">
        <v>5677907.7938000001</v>
      </c>
      <c r="I262" s="66">
        <v>6126259.8700000001</v>
      </c>
      <c r="J262" s="66">
        <v>0</v>
      </c>
      <c r="K262" s="66">
        <f t="shared" si="63"/>
        <v>6126259.8700000001</v>
      </c>
      <c r="L262" s="81">
        <v>207677580.44350001</v>
      </c>
      <c r="M262" s="71">
        <f t="shared" si="47"/>
        <v>423690410.30760002</v>
      </c>
      <c r="N262" s="70"/>
      <c r="O262" s="182"/>
      <c r="P262" s="72">
        <v>8</v>
      </c>
      <c r="Q262" s="182"/>
      <c r="R262" s="66" t="s">
        <v>642</v>
      </c>
      <c r="S262" s="82">
        <v>72700595.219999999</v>
      </c>
      <c r="T262" s="66">
        <v>0</v>
      </c>
      <c r="U262" s="66">
        <v>130782672.215</v>
      </c>
      <c r="V262" s="66">
        <v>7603039.2877000002</v>
      </c>
      <c r="W262" s="66">
        <v>6104498.0300000003</v>
      </c>
      <c r="X262" s="66">
        <v>0</v>
      </c>
      <c r="Y262" s="66">
        <f t="shared" si="53"/>
        <v>6104498.0300000003</v>
      </c>
      <c r="Z262" s="66">
        <v>286051216.98159999</v>
      </c>
      <c r="AA262" s="71">
        <f t="shared" si="54"/>
        <v>503242021.73430002</v>
      </c>
    </row>
    <row r="263" spans="1:27" ht="24.9" customHeight="1">
      <c r="A263" s="180"/>
      <c r="B263" s="182"/>
      <c r="C263" s="62">
        <v>3</v>
      </c>
      <c r="D263" s="66" t="s">
        <v>643</v>
      </c>
      <c r="E263" s="66">
        <v>69566109.684599996</v>
      </c>
      <c r="F263" s="66">
        <v>0</v>
      </c>
      <c r="G263" s="66">
        <v>125143978.434</v>
      </c>
      <c r="H263" s="66">
        <v>4986566.6231000004</v>
      </c>
      <c r="I263" s="66">
        <v>5841302.6399999997</v>
      </c>
      <c r="J263" s="66">
        <v>0</v>
      </c>
      <c r="K263" s="66">
        <f t="shared" si="63"/>
        <v>5841302.6399999997</v>
      </c>
      <c r="L263" s="81">
        <v>180766057.07159999</v>
      </c>
      <c r="M263" s="71">
        <f t="shared" ref="M263:M326" si="64">E263+F263+G263+H263+K263+L263</f>
        <v>386304014.4533</v>
      </c>
      <c r="N263" s="70"/>
      <c r="O263" s="182"/>
      <c r="P263" s="72">
        <v>9</v>
      </c>
      <c r="Q263" s="182"/>
      <c r="R263" s="66" t="s">
        <v>644</v>
      </c>
      <c r="S263" s="82">
        <v>86280263.760000005</v>
      </c>
      <c r="T263" s="66">
        <v>0</v>
      </c>
      <c r="U263" s="66">
        <v>155211431.48190001</v>
      </c>
      <c r="V263" s="66">
        <v>8880844.3653999995</v>
      </c>
      <c r="W263" s="66">
        <v>7244750.8499999996</v>
      </c>
      <c r="X263" s="66">
        <v>0</v>
      </c>
      <c r="Y263" s="66">
        <f t="shared" si="53"/>
        <v>7244750.8499999996</v>
      </c>
      <c r="Z263" s="66">
        <v>335791754.17199999</v>
      </c>
      <c r="AA263" s="71">
        <f t="shared" si="54"/>
        <v>593409044.6293</v>
      </c>
    </row>
    <row r="264" spans="1:27" ht="24.9" customHeight="1">
      <c r="A264" s="180"/>
      <c r="B264" s="182"/>
      <c r="C264" s="62">
        <v>4</v>
      </c>
      <c r="D264" s="66" t="s">
        <v>645</v>
      </c>
      <c r="E264" s="66">
        <v>71830784.897699997</v>
      </c>
      <c r="F264" s="66">
        <v>0</v>
      </c>
      <c r="G264" s="66">
        <v>129217951.6339</v>
      </c>
      <c r="H264" s="66">
        <v>5562353.1848999998</v>
      </c>
      <c r="I264" s="66">
        <v>6031462.0999999996</v>
      </c>
      <c r="J264" s="66">
        <v>0</v>
      </c>
      <c r="K264" s="66">
        <f t="shared" si="63"/>
        <v>6031462.0999999996</v>
      </c>
      <c r="L264" s="81">
        <v>203179438.72929999</v>
      </c>
      <c r="M264" s="71">
        <f t="shared" si="64"/>
        <v>415821990.54579997</v>
      </c>
      <c r="N264" s="70"/>
      <c r="O264" s="182"/>
      <c r="P264" s="72">
        <v>10</v>
      </c>
      <c r="Q264" s="182"/>
      <c r="R264" s="66" t="s">
        <v>646</v>
      </c>
      <c r="S264" s="82">
        <v>90331471.390000001</v>
      </c>
      <c r="T264" s="66">
        <v>0</v>
      </c>
      <c r="U264" s="66">
        <v>162499236.465</v>
      </c>
      <c r="V264" s="66">
        <v>9067517.3168000001</v>
      </c>
      <c r="W264" s="66">
        <v>7584921.2300000004</v>
      </c>
      <c r="X264" s="66">
        <v>0</v>
      </c>
      <c r="Y264" s="66">
        <f t="shared" si="53"/>
        <v>7584921.2300000004</v>
      </c>
      <c r="Z264" s="66">
        <v>343058287.26560003</v>
      </c>
      <c r="AA264" s="71">
        <f t="shared" si="54"/>
        <v>612541433.6674</v>
      </c>
    </row>
    <row r="265" spans="1:27" ht="24.9" customHeight="1">
      <c r="A265" s="180"/>
      <c r="B265" s="182"/>
      <c r="C265" s="62">
        <v>5</v>
      </c>
      <c r="D265" s="66" t="s">
        <v>647</v>
      </c>
      <c r="E265" s="66">
        <v>76082798.938999996</v>
      </c>
      <c r="F265" s="66">
        <v>0</v>
      </c>
      <c r="G265" s="66">
        <v>136866991.6011</v>
      </c>
      <c r="H265" s="66">
        <v>5870732.0698999995</v>
      </c>
      <c r="I265" s="66">
        <v>6388493.7199999997</v>
      </c>
      <c r="J265" s="66">
        <v>0</v>
      </c>
      <c r="K265" s="66">
        <f t="shared" si="63"/>
        <v>6388493.7199999997</v>
      </c>
      <c r="L265" s="81">
        <v>215183563.3549</v>
      </c>
      <c r="M265" s="71">
        <f t="shared" si="64"/>
        <v>440392579.68489999</v>
      </c>
      <c r="N265" s="70"/>
      <c r="O265" s="182"/>
      <c r="P265" s="72">
        <v>11</v>
      </c>
      <c r="Q265" s="182"/>
      <c r="R265" s="66" t="s">
        <v>648</v>
      </c>
      <c r="S265" s="82">
        <v>65330952.890000001</v>
      </c>
      <c r="T265" s="66">
        <v>0</v>
      </c>
      <c r="U265" s="66">
        <v>117525263.3334</v>
      </c>
      <c r="V265" s="66">
        <v>7040334.1667999998</v>
      </c>
      <c r="W265" s="66">
        <v>5485686.4900000002</v>
      </c>
      <c r="X265" s="66">
        <v>0</v>
      </c>
      <c r="Y265" s="66">
        <f t="shared" si="53"/>
        <v>5485686.4900000002</v>
      </c>
      <c r="Z265" s="66">
        <v>264147050.62439999</v>
      </c>
      <c r="AA265" s="71">
        <f t="shared" si="54"/>
        <v>459529287.50459999</v>
      </c>
    </row>
    <row r="266" spans="1:27" ht="24.9" customHeight="1">
      <c r="A266" s="180"/>
      <c r="B266" s="182"/>
      <c r="C266" s="62">
        <v>6</v>
      </c>
      <c r="D266" s="66" t="s">
        <v>649</v>
      </c>
      <c r="E266" s="66">
        <v>77559434.027500004</v>
      </c>
      <c r="F266" s="66">
        <v>0</v>
      </c>
      <c r="G266" s="66">
        <v>139523342.37560001</v>
      </c>
      <c r="H266" s="66">
        <v>6035689.1523000002</v>
      </c>
      <c r="I266" s="66">
        <v>6512483.29</v>
      </c>
      <c r="J266" s="66">
        <v>0</v>
      </c>
      <c r="K266" s="66">
        <f t="shared" si="63"/>
        <v>6512483.29</v>
      </c>
      <c r="L266" s="81">
        <v>221604772.6882</v>
      </c>
      <c r="M266" s="71">
        <f t="shared" si="64"/>
        <v>451235721.53359997</v>
      </c>
      <c r="N266" s="70"/>
      <c r="O266" s="182"/>
      <c r="P266" s="72">
        <v>12</v>
      </c>
      <c r="Q266" s="182"/>
      <c r="R266" s="66" t="s">
        <v>650</v>
      </c>
      <c r="S266" s="82">
        <v>67646048.25</v>
      </c>
      <c r="T266" s="66">
        <v>0</v>
      </c>
      <c r="U266" s="66">
        <v>122564792.9077</v>
      </c>
      <c r="V266" s="66">
        <v>7019035.9106000001</v>
      </c>
      <c r="W266" s="66">
        <v>5720914.8899999997</v>
      </c>
      <c r="X266" s="66">
        <v>0</v>
      </c>
      <c r="Y266" s="66">
        <f t="shared" si="53"/>
        <v>5720914.8899999997</v>
      </c>
      <c r="Z266" s="66">
        <v>263317983.09029999</v>
      </c>
      <c r="AA266" s="71">
        <f t="shared" si="54"/>
        <v>466268775.04860002</v>
      </c>
    </row>
    <row r="267" spans="1:27" ht="24.9" customHeight="1">
      <c r="A267" s="180"/>
      <c r="B267" s="182"/>
      <c r="C267" s="62">
        <v>7</v>
      </c>
      <c r="D267" s="66" t="s">
        <v>651</v>
      </c>
      <c r="E267" s="66">
        <v>63909455.244099997</v>
      </c>
      <c r="F267" s="66">
        <v>0</v>
      </c>
      <c r="G267" s="66">
        <v>114968100.4938</v>
      </c>
      <c r="H267" s="66">
        <v>5064931.1131999996</v>
      </c>
      <c r="I267" s="66">
        <v>5366326.67</v>
      </c>
      <c r="J267" s="66">
        <v>0</v>
      </c>
      <c r="K267" s="66">
        <f t="shared" si="63"/>
        <v>5366326.67</v>
      </c>
      <c r="L267" s="81">
        <v>183816515.9427</v>
      </c>
      <c r="M267" s="71">
        <f t="shared" si="64"/>
        <v>373125329.46380001</v>
      </c>
      <c r="N267" s="70"/>
      <c r="O267" s="182"/>
      <c r="P267" s="72">
        <v>13</v>
      </c>
      <c r="Q267" s="182"/>
      <c r="R267" s="66" t="s">
        <v>652</v>
      </c>
      <c r="S267" s="82">
        <v>68132369.879999995</v>
      </c>
      <c r="T267" s="66">
        <v>0</v>
      </c>
      <c r="U267" s="66">
        <v>120150656.7177</v>
      </c>
      <c r="V267" s="66">
        <v>7043517.0539999995</v>
      </c>
      <c r="W267" s="66">
        <v>5608231.0700000003</v>
      </c>
      <c r="X267" s="66">
        <v>0</v>
      </c>
      <c r="Y267" s="66">
        <f t="shared" si="53"/>
        <v>5608231.0700000003</v>
      </c>
      <c r="Z267" s="66">
        <v>264270949.42919999</v>
      </c>
      <c r="AA267" s="71">
        <f t="shared" si="54"/>
        <v>465205724.15090001</v>
      </c>
    </row>
    <row r="268" spans="1:27" ht="24.9" customHeight="1">
      <c r="A268" s="180"/>
      <c r="B268" s="182"/>
      <c r="C268" s="62">
        <v>8</v>
      </c>
      <c r="D268" s="66" t="s">
        <v>653</v>
      </c>
      <c r="E268" s="66">
        <v>78731336.349600002</v>
      </c>
      <c r="F268" s="66">
        <v>0</v>
      </c>
      <c r="G268" s="66">
        <v>141631502.7951</v>
      </c>
      <c r="H268" s="66">
        <v>5801171.3104999997</v>
      </c>
      <c r="I268" s="66">
        <v>6610885.1699999999</v>
      </c>
      <c r="J268" s="66">
        <v>0</v>
      </c>
      <c r="K268" s="66">
        <f t="shared" si="63"/>
        <v>6610885.1699999999</v>
      </c>
      <c r="L268" s="81">
        <v>212475803.30559999</v>
      </c>
      <c r="M268" s="71">
        <f t="shared" si="64"/>
        <v>445250698.93080002</v>
      </c>
      <c r="N268" s="70"/>
      <c r="O268" s="182"/>
      <c r="P268" s="72">
        <v>14</v>
      </c>
      <c r="Q268" s="182"/>
      <c r="R268" s="66" t="s">
        <v>654</v>
      </c>
      <c r="S268" s="82">
        <v>66790379.119999997</v>
      </c>
      <c r="T268" s="66">
        <v>0</v>
      </c>
      <c r="U268" s="66">
        <v>178455440.20829999</v>
      </c>
      <c r="V268" s="66">
        <v>9015789.7555</v>
      </c>
      <c r="W268" s="66">
        <v>8329703.5</v>
      </c>
      <c r="X268" s="66">
        <v>0</v>
      </c>
      <c r="Y268" s="66">
        <f t="shared" si="53"/>
        <v>8329703.5</v>
      </c>
      <c r="Z268" s="66">
        <v>341044712.00910002</v>
      </c>
      <c r="AA268" s="71">
        <f t="shared" si="54"/>
        <v>603636024.59290004</v>
      </c>
    </row>
    <row r="269" spans="1:27" ht="24.9" customHeight="1">
      <c r="A269" s="180"/>
      <c r="B269" s="182"/>
      <c r="C269" s="62">
        <v>9</v>
      </c>
      <c r="D269" s="66" t="s">
        <v>655</v>
      </c>
      <c r="E269" s="66">
        <v>84239400.483400002</v>
      </c>
      <c r="F269" s="66">
        <v>0</v>
      </c>
      <c r="G269" s="66">
        <v>151540078.4192</v>
      </c>
      <c r="H269" s="66">
        <v>6504239.5020000003</v>
      </c>
      <c r="I269" s="66">
        <v>7073384.3600000003</v>
      </c>
      <c r="J269" s="66">
        <v>0</v>
      </c>
      <c r="K269" s="66">
        <f t="shared" si="63"/>
        <v>7073384.3600000003</v>
      </c>
      <c r="L269" s="81">
        <v>239843819.08239999</v>
      </c>
      <c r="M269" s="71">
        <f t="shared" si="64"/>
        <v>489200921.847</v>
      </c>
      <c r="N269" s="70"/>
      <c r="O269" s="182"/>
      <c r="P269" s="72">
        <v>15</v>
      </c>
      <c r="Q269" s="182"/>
      <c r="R269" s="66" t="s">
        <v>656</v>
      </c>
      <c r="S269" s="82">
        <v>79801524.079999998</v>
      </c>
      <c r="T269" s="66">
        <v>0</v>
      </c>
      <c r="U269" s="66">
        <v>121689938.4138</v>
      </c>
      <c r="V269" s="66">
        <v>7212424.5284000002</v>
      </c>
      <c r="W269" s="66">
        <v>5680079.5999999996</v>
      </c>
      <c r="X269" s="66">
        <v>0</v>
      </c>
      <c r="Y269" s="66">
        <f t="shared" si="53"/>
        <v>5680079.5999999996</v>
      </c>
      <c r="Z269" s="66">
        <v>270845933.87480003</v>
      </c>
      <c r="AA269" s="71">
        <f t="shared" si="54"/>
        <v>485229900.49699998</v>
      </c>
    </row>
    <row r="270" spans="1:27" ht="24.9" customHeight="1">
      <c r="A270" s="180"/>
      <c r="B270" s="182"/>
      <c r="C270" s="62">
        <v>10</v>
      </c>
      <c r="D270" s="66" t="s">
        <v>657</v>
      </c>
      <c r="E270" s="66">
        <v>73559495.716999993</v>
      </c>
      <c r="F270" s="66">
        <v>0</v>
      </c>
      <c r="G270" s="66">
        <v>132327766.88609999</v>
      </c>
      <c r="H270" s="66">
        <v>5668449.4266999997</v>
      </c>
      <c r="I270" s="66">
        <v>6176617.8799999999</v>
      </c>
      <c r="J270" s="66">
        <v>0</v>
      </c>
      <c r="K270" s="66">
        <f t="shared" si="63"/>
        <v>6176617.8799999999</v>
      </c>
      <c r="L270" s="81">
        <v>207309398.88890001</v>
      </c>
      <c r="M270" s="71">
        <f t="shared" si="64"/>
        <v>425041728.79869998</v>
      </c>
      <c r="N270" s="70"/>
      <c r="O270" s="182"/>
      <c r="P270" s="72">
        <v>16</v>
      </c>
      <c r="Q270" s="182"/>
      <c r="R270" s="66" t="s">
        <v>658</v>
      </c>
      <c r="S270" s="82">
        <v>70984925.829999998</v>
      </c>
      <c r="T270" s="66">
        <v>0</v>
      </c>
      <c r="U270" s="66">
        <v>127696317.4763</v>
      </c>
      <c r="V270" s="66">
        <v>7261262.6601</v>
      </c>
      <c r="W270" s="66">
        <v>5960437.2999999998</v>
      </c>
      <c r="X270" s="66">
        <v>0</v>
      </c>
      <c r="Y270" s="66">
        <f t="shared" si="53"/>
        <v>5960437.2999999998</v>
      </c>
      <c r="Z270" s="66">
        <v>272747033.62059999</v>
      </c>
      <c r="AA270" s="71">
        <f t="shared" si="54"/>
        <v>484649976.88700002</v>
      </c>
    </row>
    <row r="271" spans="1:27" ht="24.9" customHeight="1">
      <c r="A271" s="180"/>
      <c r="B271" s="182"/>
      <c r="C271" s="62">
        <v>11</v>
      </c>
      <c r="D271" s="66" t="s">
        <v>659</v>
      </c>
      <c r="E271" s="66">
        <v>78831128.315400004</v>
      </c>
      <c r="F271" s="66">
        <v>0</v>
      </c>
      <c r="G271" s="66">
        <v>141811020.72130001</v>
      </c>
      <c r="H271" s="66">
        <v>5906387.1793</v>
      </c>
      <c r="I271" s="66">
        <v>6619264.4699999997</v>
      </c>
      <c r="J271" s="66">
        <v>0</v>
      </c>
      <c r="K271" s="66">
        <f t="shared" si="63"/>
        <v>6619264.4699999997</v>
      </c>
      <c r="L271" s="81">
        <v>216571493.583</v>
      </c>
      <c r="M271" s="71">
        <f t="shared" si="64"/>
        <v>449739294.26899999</v>
      </c>
      <c r="N271" s="70"/>
      <c r="O271" s="182"/>
      <c r="P271" s="72">
        <v>17</v>
      </c>
      <c r="Q271" s="182"/>
      <c r="R271" s="66" t="s">
        <v>660</v>
      </c>
      <c r="S271" s="82">
        <v>92743002.840000004</v>
      </c>
      <c r="T271" s="66">
        <v>0</v>
      </c>
      <c r="U271" s="66">
        <v>166837392.52700001</v>
      </c>
      <c r="V271" s="66">
        <v>8777908.4371000007</v>
      </c>
      <c r="W271" s="66">
        <v>7787411.8700000001</v>
      </c>
      <c r="X271" s="66">
        <v>0</v>
      </c>
      <c r="Y271" s="66">
        <f t="shared" si="53"/>
        <v>7787411.8700000001</v>
      </c>
      <c r="Z271" s="66">
        <v>331784814.10229999</v>
      </c>
      <c r="AA271" s="71">
        <f t="shared" si="54"/>
        <v>607930529.77639997</v>
      </c>
    </row>
    <row r="272" spans="1:27" ht="24.9" customHeight="1">
      <c r="A272" s="180"/>
      <c r="B272" s="182"/>
      <c r="C272" s="62">
        <v>12</v>
      </c>
      <c r="D272" s="66" t="s">
        <v>661</v>
      </c>
      <c r="E272" s="66">
        <v>55320555.203500003</v>
      </c>
      <c r="F272" s="66">
        <v>0</v>
      </c>
      <c r="G272" s="66">
        <v>99517342.557500005</v>
      </c>
      <c r="H272" s="66">
        <v>4496593.8619999997</v>
      </c>
      <c r="I272" s="66">
        <v>4645136.9400000004</v>
      </c>
      <c r="J272" s="66">
        <v>0</v>
      </c>
      <c r="K272" s="66">
        <f t="shared" si="63"/>
        <v>4645136.9400000004</v>
      </c>
      <c r="L272" s="81">
        <v>161693110.21110001</v>
      </c>
      <c r="M272" s="71">
        <f t="shared" si="64"/>
        <v>325672738.77410001</v>
      </c>
      <c r="N272" s="70"/>
      <c r="O272" s="182"/>
      <c r="P272" s="72">
        <v>18</v>
      </c>
      <c r="Q272" s="182"/>
      <c r="R272" s="66" t="s">
        <v>662</v>
      </c>
      <c r="S272" s="82">
        <v>80192573.209999993</v>
      </c>
      <c r="T272" s="66">
        <v>0</v>
      </c>
      <c r="U272" s="66">
        <v>144260153.36129999</v>
      </c>
      <c r="V272" s="66">
        <v>7330101.0621999996</v>
      </c>
      <c r="W272" s="66">
        <v>6733581.7999999998</v>
      </c>
      <c r="X272" s="66">
        <v>0</v>
      </c>
      <c r="Y272" s="66">
        <f t="shared" ref="Y272:Y335" si="65">W272-X272</f>
        <v>6733581.7999999998</v>
      </c>
      <c r="Z272" s="66">
        <v>275426674.79229999</v>
      </c>
      <c r="AA272" s="71">
        <f t="shared" si="54"/>
        <v>513943084.22579998</v>
      </c>
    </row>
    <row r="273" spans="1:27" ht="24.9" customHeight="1">
      <c r="A273" s="180"/>
      <c r="B273" s="182"/>
      <c r="C273" s="62">
        <v>13</v>
      </c>
      <c r="D273" s="66" t="s">
        <v>663</v>
      </c>
      <c r="E273" s="66">
        <v>70115070.728300005</v>
      </c>
      <c r="F273" s="66">
        <v>0</v>
      </c>
      <c r="G273" s="66">
        <v>126131516.3194</v>
      </c>
      <c r="H273" s="66">
        <v>5462961.3225999996</v>
      </c>
      <c r="I273" s="66">
        <v>5887397.6100000003</v>
      </c>
      <c r="J273" s="66">
        <v>0</v>
      </c>
      <c r="K273" s="66">
        <f t="shared" si="63"/>
        <v>5887397.6100000003</v>
      </c>
      <c r="L273" s="81">
        <v>199310456.9032</v>
      </c>
      <c r="M273" s="71">
        <f t="shared" si="64"/>
        <v>406907402.88349998</v>
      </c>
      <c r="N273" s="70"/>
      <c r="O273" s="182"/>
      <c r="P273" s="72">
        <v>19</v>
      </c>
      <c r="Q273" s="182"/>
      <c r="R273" s="66" t="s">
        <v>664</v>
      </c>
      <c r="S273" s="82">
        <v>73617954.700000003</v>
      </c>
      <c r="T273" s="66">
        <v>0</v>
      </c>
      <c r="U273" s="66">
        <v>132432930.0161</v>
      </c>
      <c r="V273" s="66">
        <v>7040345.4535999997</v>
      </c>
      <c r="W273" s="66">
        <v>6181526.54</v>
      </c>
      <c r="X273" s="66">
        <v>0</v>
      </c>
      <c r="Y273" s="66">
        <f t="shared" si="65"/>
        <v>6181526.54</v>
      </c>
      <c r="Z273" s="66">
        <v>264147489.98190001</v>
      </c>
      <c r="AA273" s="71">
        <f t="shared" si="54"/>
        <v>483420246.69160002</v>
      </c>
    </row>
    <row r="274" spans="1:27" ht="24.9" customHeight="1">
      <c r="A274" s="180"/>
      <c r="B274" s="182"/>
      <c r="C274" s="62">
        <v>14</v>
      </c>
      <c r="D274" s="66" t="s">
        <v>665</v>
      </c>
      <c r="E274" s="66">
        <v>68420890.086199999</v>
      </c>
      <c r="F274" s="66">
        <v>0</v>
      </c>
      <c r="G274" s="66">
        <v>123083818.1402</v>
      </c>
      <c r="H274" s="66">
        <v>5289200.5094999997</v>
      </c>
      <c r="I274" s="66">
        <v>5745141.2400000002</v>
      </c>
      <c r="J274" s="66">
        <v>0</v>
      </c>
      <c r="K274" s="66">
        <f t="shared" si="63"/>
        <v>5745141.2400000002</v>
      </c>
      <c r="L274" s="81">
        <v>192546548.74810001</v>
      </c>
      <c r="M274" s="71">
        <f t="shared" si="64"/>
        <v>395085598.72399998</v>
      </c>
      <c r="N274" s="70"/>
      <c r="O274" s="182"/>
      <c r="P274" s="72">
        <v>20</v>
      </c>
      <c r="Q274" s="182"/>
      <c r="R274" s="66" t="s">
        <v>666</v>
      </c>
      <c r="S274" s="82">
        <v>66472815.340000004</v>
      </c>
      <c r="T274" s="66">
        <v>0</v>
      </c>
      <c r="U274" s="66">
        <v>119579384.37639999</v>
      </c>
      <c r="V274" s="66">
        <v>6800827.5443000002</v>
      </c>
      <c r="W274" s="66">
        <v>5581565.9900000002</v>
      </c>
      <c r="X274" s="66">
        <v>0</v>
      </c>
      <c r="Y274" s="66">
        <f t="shared" si="65"/>
        <v>5581565.9900000002</v>
      </c>
      <c r="Z274" s="66">
        <v>254823885.24290001</v>
      </c>
      <c r="AA274" s="71">
        <f t="shared" si="54"/>
        <v>453258478.49360001</v>
      </c>
    </row>
    <row r="275" spans="1:27" ht="24.9" customHeight="1">
      <c r="A275" s="180"/>
      <c r="B275" s="182"/>
      <c r="C275" s="62">
        <v>15</v>
      </c>
      <c r="D275" s="66" t="s">
        <v>667</v>
      </c>
      <c r="E275" s="66">
        <v>73382327.5396</v>
      </c>
      <c r="F275" s="66">
        <v>0</v>
      </c>
      <c r="G275" s="66">
        <v>132009055.2314</v>
      </c>
      <c r="H275" s="66">
        <v>5658754.0361000001</v>
      </c>
      <c r="I275" s="66">
        <v>6161741.4900000002</v>
      </c>
      <c r="J275" s="66">
        <v>0</v>
      </c>
      <c r="K275" s="66">
        <f t="shared" si="63"/>
        <v>6161741.4900000002</v>
      </c>
      <c r="L275" s="81">
        <v>206931990.82749999</v>
      </c>
      <c r="M275" s="71">
        <f t="shared" si="64"/>
        <v>424143869.12459999</v>
      </c>
      <c r="N275" s="70"/>
      <c r="O275" s="182"/>
      <c r="P275" s="72">
        <v>21</v>
      </c>
      <c r="Q275" s="182"/>
      <c r="R275" s="66" t="s">
        <v>668</v>
      </c>
      <c r="S275" s="82">
        <v>82093535.450000003</v>
      </c>
      <c r="T275" s="66">
        <v>0</v>
      </c>
      <c r="U275" s="66">
        <v>147679835.43669999</v>
      </c>
      <c r="V275" s="66">
        <v>8146647.0850999998</v>
      </c>
      <c r="W275" s="66">
        <v>6893201.1200000001</v>
      </c>
      <c r="X275" s="66">
        <v>0</v>
      </c>
      <c r="Y275" s="66">
        <f t="shared" si="65"/>
        <v>6893201.1200000001</v>
      </c>
      <c r="Z275" s="66">
        <v>307211990.51010001</v>
      </c>
      <c r="AA275" s="71">
        <f t="shared" si="54"/>
        <v>552025209.60189998</v>
      </c>
    </row>
    <row r="276" spans="1:27" ht="24.9" customHeight="1">
      <c r="A276" s="180"/>
      <c r="B276" s="183"/>
      <c r="C276" s="62">
        <v>16</v>
      </c>
      <c r="D276" s="66" t="s">
        <v>669</v>
      </c>
      <c r="E276" s="66">
        <v>71333345.945800006</v>
      </c>
      <c r="F276" s="66">
        <v>0</v>
      </c>
      <c r="G276" s="66">
        <v>128323097.9483</v>
      </c>
      <c r="H276" s="66">
        <v>5520083.9907</v>
      </c>
      <c r="I276" s="66">
        <v>5989693.3200000003</v>
      </c>
      <c r="J276" s="66">
        <v>0</v>
      </c>
      <c r="K276" s="66">
        <f t="shared" si="63"/>
        <v>5989693.3200000003</v>
      </c>
      <c r="L276" s="81">
        <v>201534045.02739999</v>
      </c>
      <c r="M276" s="71">
        <f t="shared" si="64"/>
        <v>412700266.23220003</v>
      </c>
      <c r="N276" s="70"/>
      <c r="O276" s="182"/>
      <c r="P276" s="72">
        <v>22</v>
      </c>
      <c r="Q276" s="182"/>
      <c r="R276" s="66" t="s">
        <v>670</v>
      </c>
      <c r="S276" s="82">
        <v>76040338.140000001</v>
      </c>
      <c r="T276" s="66">
        <v>0</v>
      </c>
      <c r="U276" s="66">
        <v>136790607.9409</v>
      </c>
      <c r="V276" s="66">
        <v>7547993.3970999997</v>
      </c>
      <c r="W276" s="66">
        <v>6384928.3799999999</v>
      </c>
      <c r="X276" s="66">
        <v>0</v>
      </c>
      <c r="Y276" s="66">
        <f t="shared" si="65"/>
        <v>6384928.3799999999</v>
      </c>
      <c r="Z276" s="66">
        <v>283908470.63069999</v>
      </c>
      <c r="AA276" s="71">
        <f t="shared" si="54"/>
        <v>510672338.48869997</v>
      </c>
    </row>
    <row r="277" spans="1:27" ht="24.9" customHeight="1">
      <c r="A277" s="62"/>
      <c r="B277" s="173" t="s">
        <v>671</v>
      </c>
      <c r="C277" s="174"/>
      <c r="D277" s="67"/>
      <c r="E277" s="67">
        <f t="shared" ref="E277:M277" si="66">SUM(E261:E276)</f>
        <v>1181723952.5295999</v>
      </c>
      <c r="F277" s="67">
        <f t="shared" si="66"/>
        <v>0</v>
      </c>
      <c r="G277" s="67">
        <f t="shared" si="66"/>
        <v>2125828762.0580001</v>
      </c>
      <c r="H277" s="67">
        <f t="shared" si="66"/>
        <v>90994653.113499999</v>
      </c>
      <c r="I277" s="67">
        <f t="shared" si="66"/>
        <v>99226581.439999998</v>
      </c>
      <c r="J277" s="67">
        <f t="shared" si="66"/>
        <v>0</v>
      </c>
      <c r="K277" s="67">
        <f t="shared" si="66"/>
        <v>99226581.439999998</v>
      </c>
      <c r="L277" s="67">
        <f t="shared" si="66"/>
        <v>3328607414.4516001</v>
      </c>
      <c r="M277" s="67">
        <f t="shared" si="66"/>
        <v>6826381363.5927</v>
      </c>
      <c r="N277" s="70"/>
      <c r="O277" s="182"/>
      <c r="P277" s="72">
        <v>23</v>
      </c>
      <c r="Q277" s="182"/>
      <c r="R277" s="66" t="s">
        <v>672</v>
      </c>
      <c r="S277" s="82">
        <v>78720852.310000002</v>
      </c>
      <c r="T277" s="66">
        <v>0</v>
      </c>
      <c r="U277" s="66">
        <v>141612642.82370001</v>
      </c>
      <c r="V277" s="66">
        <v>8120946.9634999996</v>
      </c>
      <c r="W277" s="66">
        <v>6610004.8499999996</v>
      </c>
      <c r="X277" s="66">
        <v>0</v>
      </c>
      <c r="Y277" s="66">
        <f t="shared" si="65"/>
        <v>6610004.8499999996</v>
      </c>
      <c r="Z277" s="66">
        <v>306211573.565</v>
      </c>
      <c r="AA277" s="71">
        <f t="shared" si="54"/>
        <v>541276020.5122</v>
      </c>
    </row>
    <row r="278" spans="1:27" ht="24.9" customHeight="1">
      <c r="A278" s="180">
        <v>14</v>
      </c>
      <c r="B278" s="181" t="s">
        <v>99</v>
      </c>
      <c r="C278" s="62">
        <v>1</v>
      </c>
      <c r="D278" s="66" t="s">
        <v>673</v>
      </c>
      <c r="E278" s="66">
        <v>89357299.954999998</v>
      </c>
      <c r="F278" s="66">
        <v>0</v>
      </c>
      <c r="G278" s="66">
        <v>160746778.4161</v>
      </c>
      <c r="H278" s="66">
        <v>7347736.2619000003</v>
      </c>
      <c r="I278" s="66">
        <v>7503122.3499999996</v>
      </c>
      <c r="J278" s="66">
        <v>0</v>
      </c>
      <c r="K278" s="66">
        <f t="shared" ref="K278:K294" si="67">I278-J278</f>
        <v>7503122.3499999996</v>
      </c>
      <c r="L278" s="81">
        <v>225743299.18009999</v>
      </c>
      <c r="M278" s="71">
        <f t="shared" si="64"/>
        <v>490698236.1631</v>
      </c>
      <c r="N278" s="70"/>
      <c r="O278" s="182"/>
      <c r="P278" s="72">
        <v>24</v>
      </c>
      <c r="Q278" s="182"/>
      <c r="R278" s="66" t="s">
        <v>674</v>
      </c>
      <c r="S278" s="82">
        <v>67390790.519999996</v>
      </c>
      <c r="T278" s="66">
        <v>0</v>
      </c>
      <c r="U278" s="66">
        <v>121230749.767</v>
      </c>
      <c r="V278" s="66">
        <v>7015909.4574999996</v>
      </c>
      <c r="W278" s="66">
        <v>5658646.21</v>
      </c>
      <c r="X278" s="66">
        <v>0</v>
      </c>
      <c r="Y278" s="66">
        <f t="shared" si="65"/>
        <v>5658646.21</v>
      </c>
      <c r="Z278" s="66">
        <v>263196281.07280001</v>
      </c>
      <c r="AA278" s="71">
        <f t="shared" si="54"/>
        <v>464492377.0273</v>
      </c>
    </row>
    <row r="279" spans="1:27" ht="24.9" customHeight="1">
      <c r="A279" s="180"/>
      <c r="B279" s="182"/>
      <c r="C279" s="62">
        <v>2</v>
      </c>
      <c r="D279" s="66" t="s">
        <v>675</v>
      </c>
      <c r="E279" s="66">
        <v>75289947.065300003</v>
      </c>
      <c r="F279" s="66">
        <v>0</v>
      </c>
      <c r="G279" s="66">
        <v>135440713.22080001</v>
      </c>
      <c r="H279" s="66">
        <v>6620739.9818000002</v>
      </c>
      <c r="I279" s="66">
        <v>6321919.8099999996</v>
      </c>
      <c r="J279" s="66">
        <v>0</v>
      </c>
      <c r="K279" s="66">
        <f t="shared" si="67"/>
        <v>6321919.8099999996</v>
      </c>
      <c r="L279" s="81">
        <v>197443845.58000001</v>
      </c>
      <c r="M279" s="71">
        <f t="shared" si="64"/>
        <v>421117165.65789998</v>
      </c>
      <c r="N279" s="70"/>
      <c r="O279" s="182"/>
      <c r="P279" s="72">
        <v>25</v>
      </c>
      <c r="Q279" s="182"/>
      <c r="R279" s="66" t="s">
        <v>676</v>
      </c>
      <c r="S279" s="82">
        <v>61669210.469999999</v>
      </c>
      <c r="T279" s="66">
        <v>0</v>
      </c>
      <c r="U279" s="66">
        <v>110938075.7447</v>
      </c>
      <c r="V279" s="66">
        <v>6613748.2668000003</v>
      </c>
      <c r="W279" s="66">
        <v>5178218.58</v>
      </c>
      <c r="X279" s="66">
        <v>0</v>
      </c>
      <c r="Y279" s="66">
        <f t="shared" si="65"/>
        <v>5178218.58</v>
      </c>
      <c r="Z279" s="66">
        <v>247541535.28060001</v>
      </c>
      <c r="AA279" s="71">
        <f t="shared" si="54"/>
        <v>431940788.34210002</v>
      </c>
    </row>
    <row r="280" spans="1:27" ht="24.9" customHeight="1">
      <c r="A280" s="180"/>
      <c r="B280" s="182"/>
      <c r="C280" s="62">
        <v>3</v>
      </c>
      <c r="D280" s="66" t="s">
        <v>677</v>
      </c>
      <c r="E280" s="66">
        <v>101912923.27079999</v>
      </c>
      <c r="F280" s="66">
        <v>0</v>
      </c>
      <c r="G280" s="66">
        <v>183333360.59900001</v>
      </c>
      <c r="H280" s="66">
        <v>8261461.9276000001</v>
      </c>
      <c r="I280" s="66">
        <v>8557388.5199999996</v>
      </c>
      <c r="J280" s="66">
        <v>0</v>
      </c>
      <c r="K280" s="66">
        <f t="shared" si="67"/>
        <v>8557388.5199999996</v>
      </c>
      <c r="L280" s="81">
        <v>261311482.6611</v>
      </c>
      <c r="M280" s="71">
        <f t="shared" si="64"/>
        <v>563376616.97850001</v>
      </c>
      <c r="N280" s="70"/>
      <c r="O280" s="182"/>
      <c r="P280" s="72">
        <v>26</v>
      </c>
      <c r="Q280" s="182"/>
      <c r="R280" s="66" t="s">
        <v>678</v>
      </c>
      <c r="S280" s="82">
        <v>81746051.030000001</v>
      </c>
      <c r="T280" s="66">
        <v>0</v>
      </c>
      <c r="U280" s="66">
        <v>147054738.20100001</v>
      </c>
      <c r="V280" s="66">
        <v>8166150.7346000001</v>
      </c>
      <c r="W280" s="66">
        <v>6864023.6799999997</v>
      </c>
      <c r="X280" s="66">
        <v>0</v>
      </c>
      <c r="Y280" s="66">
        <f t="shared" si="65"/>
        <v>6864023.6799999997</v>
      </c>
      <c r="Z280" s="66">
        <v>307971200.20749998</v>
      </c>
      <c r="AA280" s="71">
        <f t="shared" si="54"/>
        <v>551802163.85309994</v>
      </c>
    </row>
    <row r="281" spans="1:27" ht="24.9" customHeight="1">
      <c r="A281" s="180"/>
      <c r="B281" s="182"/>
      <c r="C281" s="62">
        <v>4</v>
      </c>
      <c r="D281" s="66" t="s">
        <v>679</v>
      </c>
      <c r="E281" s="66">
        <v>95801891.563800007</v>
      </c>
      <c r="F281" s="66">
        <v>0</v>
      </c>
      <c r="G281" s="66">
        <v>172340093.5688</v>
      </c>
      <c r="H281" s="66">
        <v>7875034.5838000001</v>
      </c>
      <c r="I281" s="66">
        <v>8044259.5599999996</v>
      </c>
      <c r="J281" s="66">
        <v>0</v>
      </c>
      <c r="K281" s="66">
        <f t="shared" si="67"/>
        <v>8044259.5599999996</v>
      </c>
      <c r="L281" s="81">
        <v>246269201.1733</v>
      </c>
      <c r="M281" s="71">
        <f t="shared" si="64"/>
        <v>530330480.4497</v>
      </c>
      <c r="N281" s="70"/>
      <c r="O281" s="182"/>
      <c r="P281" s="72">
        <v>27</v>
      </c>
      <c r="Q281" s="182"/>
      <c r="R281" s="66" t="s">
        <v>680</v>
      </c>
      <c r="S281" s="82">
        <v>89064607.379999995</v>
      </c>
      <c r="T281" s="66">
        <v>0</v>
      </c>
      <c r="U281" s="66">
        <v>160220247.412</v>
      </c>
      <c r="V281" s="66">
        <v>8869704.2599999998</v>
      </c>
      <c r="W281" s="66">
        <v>7478545.6399999997</v>
      </c>
      <c r="X281" s="66">
        <v>0</v>
      </c>
      <c r="Y281" s="66">
        <f t="shared" si="65"/>
        <v>7478545.6399999997</v>
      </c>
      <c r="Z281" s="66">
        <v>335358108.35530001</v>
      </c>
      <c r="AA281" s="71">
        <f t="shared" si="54"/>
        <v>600991213.04729998</v>
      </c>
    </row>
    <row r="282" spans="1:27" ht="24.9" customHeight="1">
      <c r="A282" s="180"/>
      <c r="B282" s="182"/>
      <c r="C282" s="62">
        <v>5</v>
      </c>
      <c r="D282" s="66" t="s">
        <v>681</v>
      </c>
      <c r="E282" s="66">
        <v>92629396.340700001</v>
      </c>
      <c r="F282" s="66">
        <v>0</v>
      </c>
      <c r="G282" s="66">
        <v>166633023.33050001</v>
      </c>
      <c r="H282" s="66">
        <v>7354384.2072999999</v>
      </c>
      <c r="I282" s="66">
        <v>7777872.5899999999</v>
      </c>
      <c r="J282" s="66">
        <v>0</v>
      </c>
      <c r="K282" s="66">
        <f t="shared" si="67"/>
        <v>7777872.5899999999</v>
      </c>
      <c r="L282" s="81">
        <v>226002080.7263</v>
      </c>
      <c r="M282" s="71">
        <f t="shared" si="64"/>
        <v>500396757.19480002</v>
      </c>
      <c r="N282" s="70"/>
      <c r="O282" s="182"/>
      <c r="P282" s="72">
        <v>28</v>
      </c>
      <c r="Q282" s="182"/>
      <c r="R282" s="66" t="s">
        <v>682</v>
      </c>
      <c r="S282" s="82">
        <v>68215021.730000004</v>
      </c>
      <c r="T282" s="66">
        <v>0</v>
      </c>
      <c r="U282" s="66">
        <v>122713477.11589999</v>
      </c>
      <c r="V282" s="66">
        <v>7056835.5184000004</v>
      </c>
      <c r="W282" s="66">
        <v>5727854.96</v>
      </c>
      <c r="X282" s="66">
        <v>0</v>
      </c>
      <c r="Y282" s="66">
        <f t="shared" si="65"/>
        <v>5727854.96</v>
      </c>
      <c r="Z282" s="66">
        <v>264789391.23649999</v>
      </c>
      <c r="AA282" s="71">
        <f t="shared" si="54"/>
        <v>468502580.56080002</v>
      </c>
    </row>
    <row r="283" spans="1:27" ht="24.9" customHeight="1">
      <c r="A283" s="180"/>
      <c r="B283" s="182"/>
      <c r="C283" s="62">
        <v>6</v>
      </c>
      <c r="D283" s="66" t="s">
        <v>683</v>
      </c>
      <c r="E283" s="66">
        <v>89060226.420599997</v>
      </c>
      <c r="F283" s="66">
        <v>0</v>
      </c>
      <c r="G283" s="66">
        <v>160212366.40669999</v>
      </c>
      <c r="H283" s="66">
        <v>7027009.5801999997</v>
      </c>
      <c r="I283" s="66">
        <v>7478177.7800000003</v>
      </c>
      <c r="J283" s="66">
        <v>0</v>
      </c>
      <c r="K283" s="66">
        <f t="shared" si="67"/>
        <v>7478177.7800000003</v>
      </c>
      <c r="L283" s="81">
        <v>213258517.48910001</v>
      </c>
      <c r="M283" s="71">
        <f t="shared" si="64"/>
        <v>477036297.67659998</v>
      </c>
      <c r="N283" s="70"/>
      <c r="O283" s="182"/>
      <c r="P283" s="72">
        <v>29</v>
      </c>
      <c r="Q283" s="182"/>
      <c r="R283" s="66" t="s">
        <v>684</v>
      </c>
      <c r="S283" s="82">
        <v>82036469.109999999</v>
      </c>
      <c r="T283" s="66">
        <v>0</v>
      </c>
      <c r="U283" s="66">
        <v>147577177.5693</v>
      </c>
      <c r="V283" s="66">
        <v>7578140.5313999997</v>
      </c>
      <c r="W283" s="66">
        <v>6888409.4000000004</v>
      </c>
      <c r="X283" s="66">
        <v>0</v>
      </c>
      <c r="Y283" s="66">
        <f t="shared" si="65"/>
        <v>6888409.4000000004</v>
      </c>
      <c r="Z283" s="66">
        <v>285081994.41649997</v>
      </c>
      <c r="AA283" s="71">
        <f t="shared" ref="AA283:AA346" si="68">S283+T283+U283+V283+Y283+Z283</f>
        <v>529162191.02719998</v>
      </c>
    </row>
    <row r="284" spans="1:27" ht="24.9" customHeight="1">
      <c r="A284" s="180"/>
      <c r="B284" s="182"/>
      <c r="C284" s="62">
        <v>7</v>
      </c>
      <c r="D284" s="66" t="s">
        <v>685</v>
      </c>
      <c r="E284" s="66">
        <v>89922856.224900007</v>
      </c>
      <c r="F284" s="66">
        <v>0</v>
      </c>
      <c r="G284" s="66">
        <v>161764169.81830001</v>
      </c>
      <c r="H284" s="66">
        <v>7473178.1376</v>
      </c>
      <c r="I284" s="66">
        <v>7550610.7800000003</v>
      </c>
      <c r="J284" s="66">
        <v>0</v>
      </c>
      <c r="K284" s="66">
        <f t="shared" si="67"/>
        <v>7550610.7800000003</v>
      </c>
      <c r="L284" s="81">
        <v>230626318.03259999</v>
      </c>
      <c r="M284" s="71">
        <f t="shared" si="64"/>
        <v>497337132.99339998</v>
      </c>
      <c r="N284" s="70"/>
      <c r="O284" s="182"/>
      <c r="P284" s="72">
        <v>30</v>
      </c>
      <c r="Q284" s="182"/>
      <c r="R284" s="66" t="s">
        <v>686</v>
      </c>
      <c r="S284" s="82">
        <v>69266152.540000007</v>
      </c>
      <c r="T284" s="66">
        <v>0</v>
      </c>
      <c r="U284" s="66">
        <v>124604379.0466</v>
      </c>
      <c r="V284" s="66">
        <v>7275856.5367999999</v>
      </c>
      <c r="W284" s="66">
        <v>5816115.9500000002</v>
      </c>
      <c r="X284" s="66">
        <v>0</v>
      </c>
      <c r="Y284" s="66">
        <f t="shared" si="65"/>
        <v>5816115.9500000002</v>
      </c>
      <c r="Z284" s="66">
        <v>273315122.82130003</v>
      </c>
      <c r="AA284" s="71">
        <f t="shared" si="68"/>
        <v>480277626.89469999</v>
      </c>
    </row>
    <row r="285" spans="1:27" ht="24.9" customHeight="1">
      <c r="A285" s="180"/>
      <c r="B285" s="182"/>
      <c r="C285" s="62">
        <v>8</v>
      </c>
      <c r="D285" s="66" t="s">
        <v>687</v>
      </c>
      <c r="E285" s="66">
        <v>97325060.969999999</v>
      </c>
      <c r="F285" s="66">
        <v>0</v>
      </c>
      <c r="G285" s="66">
        <v>175080155.93430001</v>
      </c>
      <c r="H285" s="66">
        <v>8039585.3400999997</v>
      </c>
      <c r="I285" s="66">
        <v>8172156.5099999998</v>
      </c>
      <c r="J285" s="66">
        <v>0</v>
      </c>
      <c r="K285" s="66">
        <f t="shared" si="67"/>
        <v>8172156.5099999998</v>
      </c>
      <c r="L285" s="81">
        <v>252674593.63789999</v>
      </c>
      <c r="M285" s="71">
        <f t="shared" si="64"/>
        <v>541291552.39230001</v>
      </c>
      <c r="N285" s="70"/>
      <c r="O285" s="182"/>
      <c r="P285" s="72">
        <v>31</v>
      </c>
      <c r="Q285" s="182"/>
      <c r="R285" s="66" t="s">
        <v>688</v>
      </c>
      <c r="S285" s="82">
        <v>69568530.239999995</v>
      </c>
      <c r="T285" s="66">
        <v>0</v>
      </c>
      <c r="U285" s="66">
        <v>125148332.8319</v>
      </c>
      <c r="V285" s="66">
        <v>7415700.4129999997</v>
      </c>
      <c r="W285" s="66">
        <v>5841505.9000000004</v>
      </c>
      <c r="X285" s="66">
        <v>0</v>
      </c>
      <c r="Y285" s="66">
        <f t="shared" si="65"/>
        <v>5841505.9000000004</v>
      </c>
      <c r="Z285" s="66">
        <v>278758761.79769999</v>
      </c>
      <c r="AA285" s="71">
        <f t="shared" si="68"/>
        <v>486732831.18260002</v>
      </c>
    </row>
    <row r="286" spans="1:27" ht="24.9" customHeight="1">
      <c r="A286" s="180"/>
      <c r="B286" s="182"/>
      <c r="C286" s="62">
        <v>9</v>
      </c>
      <c r="D286" s="66" t="s">
        <v>689</v>
      </c>
      <c r="E286" s="66">
        <v>88558637.058400005</v>
      </c>
      <c r="F286" s="66">
        <v>0</v>
      </c>
      <c r="G286" s="66">
        <v>159310046.46219999</v>
      </c>
      <c r="H286" s="66">
        <v>6774297.3616000004</v>
      </c>
      <c r="I286" s="66">
        <v>7436060.5</v>
      </c>
      <c r="J286" s="66">
        <v>0</v>
      </c>
      <c r="K286" s="66">
        <f t="shared" si="67"/>
        <v>7436060.5</v>
      </c>
      <c r="L286" s="81">
        <v>203421303.8748</v>
      </c>
      <c r="M286" s="71">
        <f t="shared" si="64"/>
        <v>465500345.25700003</v>
      </c>
      <c r="N286" s="70"/>
      <c r="O286" s="182"/>
      <c r="P286" s="72">
        <v>32</v>
      </c>
      <c r="Q286" s="182"/>
      <c r="R286" s="66" t="s">
        <v>690</v>
      </c>
      <c r="S286" s="82">
        <v>69230710.159999996</v>
      </c>
      <c r="T286" s="66">
        <v>0</v>
      </c>
      <c r="U286" s="66">
        <v>124540620.97570001</v>
      </c>
      <c r="V286" s="66">
        <v>7122095.9939999999</v>
      </c>
      <c r="W286" s="66">
        <v>5813139.9299999997</v>
      </c>
      <c r="X286" s="66">
        <v>0</v>
      </c>
      <c r="Y286" s="66">
        <f t="shared" si="65"/>
        <v>5813139.9299999997</v>
      </c>
      <c r="Z286" s="66">
        <v>267329756.09209999</v>
      </c>
      <c r="AA286" s="71">
        <f t="shared" si="68"/>
        <v>474036323.15179998</v>
      </c>
    </row>
    <row r="287" spans="1:27" ht="24.9" customHeight="1">
      <c r="A287" s="180"/>
      <c r="B287" s="182"/>
      <c r="C287" s="62">
        <v>10</v>
      </c>
      <c r="D287" s="66" t="s">
        <v>691</v>
      </c>
      <c r="E287" s="66">
        <v>82817160.029799998</v>
      </c>
      <c r="F287" s="66">
        <v>0</v>
      </c>
      <c r="G287" s="66">
        <v>148981579.33090001</v>
      </c>
      <c r="H287" s="66">
        <v>6786566.1503999997</v>
      </c>
      <c r="I287" s="66">
        <v>6953962.1799999997</v>
      </c>
      <c r="J287" s="66">
        <v>0</v>
      </c>
      <c r="K287" s="66">
        <f t="shared" si="67"/>
        <v>6953962.1799999997</v>
      </c>
      <c r="L287" s="81">
        <v>203898885.43799999</v>
      </c>
      <c r="M287" s="71">
        <f t="shared" si="64"/>
        <v>449438153.12910002</v>
      </c>
      <c r="N287" s="70"/>
      <c r="O287" s="183"/>
      <c r="P287" s="72">
        <v>33</v>
      </c>
      <c r="Q287" s="183"/>
      <c r="R287" s="66" t="s">
        <v>692</v>
      </c>
      <c r="S287" s="82">
        <v>99201342.989999995</v>
      </c>
      <c r="T287" s="66">
        <v>0</v>
      </c>
      <c r="U287" s="66">
        <v>143556686.6354</v>
      </c>
      <c r="V287" s="66">
        <v>7481547.8039999995</v>
      </c>
      <c r="W287" s="66">
        <v>6700746.3200000003</v>
      </c>
      <c r="X287" s="66">
        <v>0</v>
      </c>
      <c r="Y287" s="66">
        <f t="shared" si="65"/>
        <v>6700746.3200000003</v>
      </c>
      <c r="Z287" s="66">
        <v>281321973.2414</v>
      </c>
      <c r="AA287" s="71">
        <f t="shared" si="68"/>
        <v>538262296.99080002</v>
      </c>
    </row>
    <row r="288" spans="1:27" ht="24.9" customHeight="1">
      <c r="A288" s="180"/>
      <c r="B288" s="182"/>
      <c r="C288" s="62">
        <v>11</v>
      </c>
      <c r="D288" s="66" t="s">
        <v>693</v>
      </c>
      <c r="E288" s="66">
        <v>86703999.598100007</v>
      </c>
      <c r="F288" s="66">
        <v>0</v>
      </c>
      <c r="G288" s="66">
        <v>155973699.05219999</v>
      </c>
      <c r="H288" s="66">
        <v>6790618.1239</v>
      </c>
      <c r="I288" s="66">
        <v>7280330.96</v>
      </c>
      <c r="J288" s="66">
        <v>0</v>
      </c>
      <c r="K288" s="66">
        <f t="shared" si="67"/>
        <v>7280330.96</v>
      </c>
      <c r="L288" s="81">
        <v>204056614.76750001</v>
      </c>
      <c r="M288" s="71">
        <f t="shared" si="64"/>
        <v>460805262.50169998</v>
      </c>
      <c r="N288" s="70"/>
      <c r="O288" s="62"/>
      <c r="P288" s="174" t="s">
        <v>694</v>
      </c>
      <c r="Q288" s="175"/>
      <c r="R288" s="67"/>
      <c r="S288" s="67">
        <f>SUM(S255:S287)</f>
        <v>2575126097.3400002</v>
      </c>
      <c r="T288" s="67">
        <f t="shared" ref="T288:X288" si="69">SUM(T255:T287)</f>
        <v>0</v>
      </c>
      <c r="U288" s="67">
        <f t="shared" si="69"/>
        <v>4632449999.7615004</v>
      </c>
      <c r="V288" s="67">
        <f t="shared" si="69"/>
        <v>257086237.87380001</v>
      </c>
      <c r="W288" s="67">
        <f t="shared" si="69"/>
        <v>216227282.91999999</v>
      </c>
      <c r="X288" s="67">
        <f t="shared" si="69"/>
        <v>0</v>
      </c>
      <c r="Y288" s="67">
        <f t="shared" si="65"/>
        <v>216227282.91999999</v>
      </c>
      <c r="Z288" s="67">
        <f>SUM(Z255:Z287)</f>
        <v>9680487487.4993992</v>
      </c>
      <c r="AA288" s="67">
        <f>SUM(AA255:AA287)</f>
        <v>17361377105.394699</v>
      </c>
    </row>
    <row r="289" spans="1:27" ht="24.9" customHeight="1">
      <c r="A289" s="180"/>
      <c r="B289" s="182"/>
      <c r="C289" s="62">
        <v>12</v>
      </c>
      <c r="D289" s="66" t="s">
        <v>695</v>
      </c>
      <c r="E289" s="66">
        <v>84183505.387199998</v>
      </c>
      <c r="F289" s="66">
        <v>0</v>
      </c>
      <c r="G289" s="66">
        <v>151439527.52759999</v>
      </c>
      <c r="H289" s="66">
        <v>6767152.7955</v>
      </c>
      <c r="I289" s="66">
        <v>7068690.9900000002</v>
      </c>
      <c r="J289" s="66">
        <v>0</v>
      </c>
      <c r="K289" s="66">
        <f t="shared" si="67"/>
        <v>7068690.9900000002</v>
      </c>
      <c r="L289" s="81">
        <v>203143190.60030001</v>
      </c>
      <c r="M289" s="71">
        <f t="shared" si="64"/>
        <v>452602067.30059999</v>
      </c>
      <c r="N289" s="70"/>
      <c r="O289" s="181">
        <v>31</v>
      </c>
      <c r="P289" s="72">
        <v>1</v>
      </c>
      <c r="Q289" s="181" t="s">
        <v>116</v>
      </c>
      <c r="R289" s="66" t="s">
        <v>696</v>
      </c>
      <c r="S289" s="83">
        <v>94132819.459999993</v>
      </c>
      <c r="T289" s="66">
        <v>0</v>
      </c>
      <c r="U289" s="66">
        <v>169337563.6776</v>
      </c>
      <c r="V289" s="66">
        <v>6396720.2581000002</v>
      </c>
      <c r="W289" s="66">
        <v>7904111.4900000002</v>
      </c>
      <c r="X289" s="66">
        <f t="shared" ref="X289:X305" si="70">W289/2</f>
        <v>3952055.7450000001</v>
      </c>
      <c r="Y289" s="66">
        <f t="shared" si="65"/>
        <v>3952055.7450000001</v>
      </c>
      <c r="Z289" s="66">
        <v>216329321.9228</v>
      </c>
      <c r="AA289" s="71">
        <f t="shared" si="68"/>
        <v>490148481.06349999</v>
      </c>
    </row>
    <row r="290" spans="1:27" ht="24.9" customHeight="1">
      <c r="A290" s="180"/>
      <c r="B290" s="182"/>
      <c r="C290" s="62">
        <v>13</v>
      </c>
      <c r="D290" s="66" t="s">
        <v>697</v>
      </c>
      <c r="E290" s="66">
        <v>109028652.1716</v>
      </c>
      <c r="F290" s="66">
        <v>0</v>
      </c>
      <c r="G290" s="66">
        <v>196133999.1356</v>
      </c>
      <c r="H290" s="66">
        <v>8606206.9924999997</v>
      </c>
      <c r="I290" s="66">
        <v>9154879.5399999991</v>
      </c>
      <c r="J290" s="66">
        <v>0</v>
      </c>
      <c r="K290" s="66">
        <f t="shared" si="67"/>
        <v>9154879.5399999991</v>
      </c>
      <c r="L290" s="81">
        <v>274731217.03500003</v>
      </c>
      <c r="M290" s="71">
        <f t="shared" si="64"/>
        <v>597654954.87469995</v>
      </c>
      <c r="N290" s="70"/>
      <c r="O290" s="182"/>
      <c r="P290" s="72">
        <v>2</v>
      </c>
      <c r="Q290" s="182"/>
      <c r="R290" s="66" t="s">
        <v>291</v>
      </c>
      <c r="S290" s="83">
        <v>94956838.420000002</v>
      </c>
      <c r="T290" s="66">
        <v>0</v>
      </c>
      <c r="U290" s="66">
        <v>170819909.2053</v>
      </c>
      <c r="V290" s="66">
        <v>6527557.2406000001</v>
      </c>
      <c r="W290" s="66">
        <v>7973302.4299999997</v>
      </c>
      <c r="X290" s="66">
        <f t="shared" si="70"/>
        <v>3986651.2149999999</v>
      </c>
      <c r="Y290" s="66">
        <f t="shared" si="65"/>
        <v>3986651.2149999999</v>
      </c>
      <c r="Z290" s="66">
        <v>221422353.64309999</v>
      </c>
      <c r="AA290" s="71">
        <f t="shared" si="68"/>
        <v>497713309.72399998</v>
      </c>
    </row>
    <row r="291" spans="1:27" ht="24.9" customHeight="1">
      <c r="A291" s="180"/>
      <c r="B291" s="182"/>
      <c r="C291" s="62">
        <v>14</v>
      </c>
      <c r="D291" s="66" t="s">
        <v>698</v>
      </c>
      <c r="E291" s="66">
        <v>74808991.360100001</v>
      </c>
      <c r="F291" s="66">
        <v>0</v>
      </c>
      <c r="G291" s="66">
        <v>134575511.6083</v>
      </c>
      <c r="H291" s="66">
        <v>6540197.1327</v>
      </c>
      <c r="I291" s="66">
        <v>6281535.0899999999</v>
      </c>
      <c r="J291" s="66">
        <v>0</v>
      </c>
      <c r="K291" s="66">
        <f t="shared" si="67"/>
        <v>6281535.0899999999</v>
      </c>
      <c r="L291" s="81">
        <v>194308590.7184</v>
      </c>
      <c r="M291" s="71">
        <f t="shared" si="64"/>
        <v>416514825.9095</v>
      </c>
      <c r="N291" s="70"/>
      <c r="O291" s="182"/>
      <c r="P291" s="72">
        <v>3</v>
      </c>
      <c r="Q291" s="182"/>
      <c r="R291" s="66" t="s">
        <v>699</v>
      </c>
      <c r="S291" s="83">
        <v>94543053.700000003</v>
      </c>
      <c r="T291" s="66">
        <v>0</v>
      </c>
      <c r="U291" s="66">
        <v>170075542.9161</v>
      </c>
      <c r="V291" s="66">
        <v>6432691.3987999996</v>
      </c>
      <c r="W291" s="66">
        <v>7938557.9000000004</v>
      </c>
      <c r="X291" s="66">
        <f t="shared" si="70"/>
        <v>3969278.95</v>
      </c>
      <c r="Y291" s="66">
        <f t="shared" si="65"/>
        <v>3969278.95</v>
      </c>
      <c r="Z291" s="66">
        <v>217729554.15990001</v>
      </c>
      <c r="AA291" s="71">
        <f t="shared" si="68"/>
        <v>492750121.12480003</v>
      </c>
    </row>
    <row r="292" spans="1:27" ht="24.9" customHeight="1">
      <c r="A292" s="180"/>
      <c r="B292" s="182"/>
      <c r="C292" s="62">
        <v>15</v>
      </c>
      <c r="D292" s="66" t="s">
        <v>700</v>
      </c>
      <c r="E292" s="66">
        <v>82801455.470200002</v>
      </c>
      <c r="F292" s="66">
        <v>0</v>
      </c>
      <c r="G292" s="66">
        <v>148953328.0535</v>
      </c>
      <c r="H292" s="66">
        <v>7125746.8060999997</v>
      </c>
      <c r="I292" s="66">
        <v>6952643.5</v>
      </c>
      <c r="J292" s="66">
        <v>0</v>
      </c>
      <c r="K292" s="66">
        <f t="shared" si="67"/>
        <v>6952643.5</v>
      </c>
      <c r="L292" s="81">
        <v>217102016.58230001</v>
      </c>
      <c r="M292" s="71">
        <f t="shared" si="64"/>
        <v>462935190.41210002</v>
      </c>
      <c r="N292" s="70"/>
      <c r="O292" s="182"/>
      <c r="P292" s="72">
        <v>4</v>
      </c>
      <c r="Q292" s="182"/>
      <c r="R292" s="66" t="s">
        <v>701</v>
      </c>
      <c r="S292" s="83">
        <v>71776378.879999995</v>
      </c>
      <c r="T292" s="66">
        <v>0</v>
      </c>
      <c r="U292" s="66">
        <v>129120079.4602</v>
      </c>
      <c r="V292" s="66">
        <v>5384686.2662000004</v>
      </c>
      <c r="W292" s="66">
        <v>6026893.75</v>
      </c>
      <c r="X292" s="66">
        <f t="shared" si="70"/>
        <v>3013446.875</v>
      </c>
      <c r="Y292" s="66">
        <f t="shared" si="65"/>
        <v>3013446.875</v>
      </c>
      <c r="Z292" s="66">
        <v>176934334.93220001</v>
      </c>
      <c r="AA292" s="71">
        <f t="shared" si="68"/>
        <v>386228926.41360003</v>
      </c>
    </row>
    <row r="293" spans="1:27" ht="24.9" customHeight="1">
      <c r="A293" s="180"/>
      <c r="B293" s="182"/>
      <c r="C293" s="62">
        <v>16</v>
      </c>
      <c r="D293" s="66" t="s">
        <v>702</v>
      </c>
      <c r="E293" s="66">
        <v>94019948.632499993</v>
      </c>
      <c r="F293" s="66">
        <v>0</v>
      </c>
      <c r="G293" s="66">
        <v>169134517.90810001</v>
      </c>
      <c r="H293" s="66">
        <v>7752572.4323000005</v>
      </c>
      <c r="I293" s="66">
        <v>7894634</v>
      </c>
      <c r="J293" s="66">
        <v>0</v>
      </c>
      <c r="K293" s="66">
        <f t="shared" si="67"/>
        <v>7894634</v>
      </c>
      <c r="L293" s="81">
        <v>241502172.69119999</v>
      </c>
      <c r="M293" s="71">
        <f t="shared" si="64"/>
        <v>520303845.66409999</v>
      </c>
      <c r="N293" s="70"/>
      <c r="O293" s="182"/>
      <c r="P293" s="72">
        <v>5</v>
      </c>
      <c r="Q293" s="182"/>
      <c r="R293" s="66" t="s">
        <v>703</v>
      </c>
      <c r="S293" s="83">
        <v>124881103.42</v>
      </c>
      <c r="T293" s="66">
        <v>0</v>
      </c>
      <c r="U293" s="66">
        <v>224651316.3441</v>
      </c>
      <c r="V293" s="66">
        <v>9263948.6199999992</v>
      </c>
      <c r="W293" s="66">
        <v>10485972.59</v>
      </c>
      <c r="X293" s="66">
        <f t="shared" si="70"/>
        <v>5242986.2949999999</v>
      </c>
      <c r="Y293" s="66">
        <f t="shared" si="65"/>
        <v>5242986.2949999999</v>
      </c>
      <c r="Z293" s="66">
        <v>327940616.52139997</v>
      </c>
      <c r="AA293" s="71">
        <f t="shared" si="68"/>
        <v>691979971.20050001</v>
      </c>
    </row>
    <row r="294" spans="1:27" ht="24.9" customHeight="1">
      <c r="A294" s="180"/>
      <c r="B294" s="183"/>
      <c r="C294" s="62">
        <v>17</v>
      </c>
      <c r="D294" s="66" t="s">
        <v>704</v>
      </c>
      <c r="E294" s="66">
        <v>77861511.628600001</v>
      </c>
      <c r="F294" s="66">
        <v>0</v>
      </c>
      <c r="G294" s="66">
        <v>140066756.30540001</v>
      </c>
      <c r="H294" s="66">
        <v>6516415.773</v>
      </c>
      <c r="I294" s="66">
        <v>6537848.04</v>
      </c>
      <c r="J294" s="66">
        <v>0</v>
      </c>
      <c r="K294" s="66">
        <f t="shared" si="67"/>
        <v>6537848.04</v>
      </c>
      <c r="L294" s="81">
        <v>193382864.5422</v>
      </c>
      <c r="M294" s="71">
        <f t="shared" si="64"/>
        <v>424365396.28920001</v>
      </c>
      <c r="N294" s="70"/>
      <c r="O294" s="182"/>
      <c r="P294" s="72">
        <v>6</v>
      </c>
      <c r="Q294" s="182"/>
      <c r="R294" s="66" t="s">
        <v>705</v>
      </c>
      <c r="S294" s="83">
        <v>107990381.64</v>
      </c>
      <c r="T294" s="66">
        <v>0</v>
      </c>
      <c r="U294" s="66">
        <v>194266231.82789999</v>
      </c>
      <c r="V294" s="66">
        <v>7880363.3317999998</v>
      </c>
      <c r="W294" s="66">
        <v>9067698.4000000004</v>
      </c>
      <c r="X294" s="66">
        <f t="shared" si="70"/>
        <v>4533849.2</v>
      </c>
      <c r="Y294" s="66">
        <f t="shared" si="65"/>
        <v>4533849.2</v>
      </c>
      <c r="Z294" s="66">
        <v>274082421.1803</v>
      </c>
      <c r="AA294" s="71">
        <f t="shared" si="68"/>
        <v>588753247.17999995</v>
      </c>
    </row>
    <row r="295" spans="1:27" ht="24.9" customHeight="1">
      <c r="A295" s="62"/>
      <c r="B295" s="173" t="s">
        <v>706</v>
      </c>
      <c r="C295" s="174"/>
      <c r="D295" s="67"/>
      <c r="E295" s="67">
        <f t="shared" ref="E295:M295" si="71">SUM(E278:E294)</f>
        <v>1512083463.1475999</v>
      </c>
      <c r="F295" s="67">
        <f t="shared" si="71"/>
        <v>0</v>
      </c>
      <c r="G295" s="67">
        <f t="shared" si="71"/>
        <v>2720119626.6782999</v>
      </c>
      <c r="H295" s="67">
        <f t="shared" si="71"/>
        <v>123658903.5883</v>
      </c>
      <c r="I295" s="67">
        <f t="shared" si="71"/>
        <v>126966092.7</v>
      </c>
      <c r="J295" s="67">
        <f t="shared" si="71"/>
        <v>0</v>
      </c>
      <c r="K295" s="67">
        <f t="shared" si="71"/>
        <v>126966092.7</v>
      </c>
      <c r="L295" s="67">
        <f t="shared" si="71"/>
        <v>3788876194.7301002</v>
      </c>
      <c r="M295" s="67">
        <f t="shared" si="71"/>
        <v>8271704280.8443003</v>
      </c>
      <c r="N295" s="70"/>
      <c r="O295" s="182"/>
      <c r="P295" s="72">
        <v>7</v>
      </c>
      <c r="Q295" s="182"/>
      <c r="R295" s="66" t="s">
        <v>707</v>
      </c>
      <c r="S295" s="83">
        <v>94798654.599999994</v>
      </c>
      <c r="T295" s="66">
        <v>0</v>
      </c>
      <c r="U295" s="66">
        <v>170535348.91150001</v>
      </c>
      <c r="V295" s="66">
        <v>6290973.9080999997</v>
      </c>
      <c r="W295" s="66">
        <v>7960020.1100000003</v>
      </c>
      <c r="X295" s="66">
        <f t="shared" si="70"/>
        <v>3980010.0550000002</v>
      </c>
      <c r="Y295" s="66">
        <f t="shared" si="65"/>
        <v>3980010.0550000002</v>
      </c>
      <c r="Z295" s="66">
        <v>212212981.84459999</v>
      </c>
      <c r="AA295" s="71">
        <f t="shared" si="68"/>
        <v>487817969.31919998</v>
      </c>
    </row>
    <row r="296" spans="1:27" ht="24.9" customHeight="1">
      <c r="A296" s="180">
        <v>15</v>
      </c>
      <c r="B296" s="181" t="s">
        <v>708</v>
      </c>
      <c r="C296" s="62">
        <v>1</v>
      </c>
      <c r="D296" s="66" t="s">
        <v>709</v>
      </c>
      <c r="E296" s="66">
        <v>124229412.9496</v>
      </c>
      <c r="F296" s="66">
        <v>0</v>
      </c>
      <c r="G296" s="66">
        <v>223478976.2692</v>
      </c>
      <c r="H296" s="66">
        <v>7843996.8081</v>
      </c>
      <c r="I296" s="66">
        <v>10431251.68</v>
      </c>
      <c r="J296" s="66">
        <v>10431251.68</v>
      </c>
      <c r="K296" s="66">
        <f t="shared" ref="K296:K306" si="72">I296-J296</f>
        <v>0</v>
      </c>
      <c r="L296" s="81">
        <v>290115635.42909998</v>
      </c>
      <c r="M296" s="71">
        <f t="shared" si="64"/>
        <v>645668021.45599997</v>
      </c>
      <c r="N296" s="70"/>
      <c r="O296" s="182"/>
      <c r="P296" s="72">
        <v>8</v>
      </c>
      <c r="Q296" s="182"/>
      <c r="R296" s="66" t="s">
        <v>710</v>
      </c>
      <c r="S296" s="83">
        <v>83722504.260000005</v>
      </c>
      <c r="T296" s="66">
        <v>0</v>
      </c>
      <c r="U296" s="66">
        <v>150610222.63949999</v>
      </c>
      <c r="V296" s="66">
        <v>5789003.2423</v>
      </c>
      <c r="W296" s="66">
        <v>7029981.8099999996</v>
      </c>
      <c r="X296" s="66">
        <f t="shared" si="70"/>
        <v>3514990.9049999998</v>
      </c>
      <c r="Y296" s="66">
        <f t="shared" si="65"/>
        <v>3514990.9049999998</v>
      </c>
      <c r="Z296" s="66">
        <v>192672998.00009999</v>
      </c>
      <c r="AA296" s="71">
        <f t="shared" si="68"/>
        <v>436309719.04689997</v>
      </c>
    </row>
    <row r="297" spans="1:27" ht="24.9" customHeight="1">
      <c r="A297" s="180"/>
      <c r="B297" s="182"/>
      <c r="C297" s="62">
        <v>2</v>
      </c>
      <c r="D297" s="66" t="s">
        <v>711</v>
      </c>
      <c r="E297" s="66">
        <v>90219436.480399996</v>
      </c>
      <c r="F297" s="66">
        <v>0</v>
      </c>
      <c r="G297" s="66">
        <v>162297694.4373</v>
      </c>
      <c r="H297" s="66">
        <v>6429711.3307999996</v>
      </c>
      <c r="I297" s="66">
        <v>7575513.9199999999</v>
      </c>
      <c r="J297" s="66">
        <v>7575513.9199999999</v>
      </c>
      <c r="K297" s="66">
        <f t="shared" si="72"/>
        <v>0</v>
      </c>
      <c r="L297" s="81">
        <v>235062387.78659999</v>
      </c>
      <c r="M297" s="71">
        <f t="shared" si="64"/>
        <v>494009230.03509998</v>
      </c>
      <c r="N297" s="70"/>
      <c r="O297" s="182"/>
      <c r="P297" s="72">
        <v>9</v>
      </c>
      <c r="Q297" s="182"/>
      <c r="R297" s="66" t="s">
        <v>712</v>
      </c>
      <c r="S297" s="83">
        <v>85872140.120000005</v>
      </c>
      <c r="T297" s="66">
        <v>0</v>
      </c>
      <c r="U297" s="66">
        <v>154477249.05180001</v>
      </c>
      <c r="V297" s="66">
        <v>6005924.9095000001</v>
      </c>
      <c r="W297" s="66">
        <v>7210481.6699999999</v>
      </c>
      <c r="X297" s="66">
        <f t="shared" si="70"/>
        <v>3605240.835</v>
      </c>
      <c r="Y297" s="66">
        <f t="shared" si="65"/>
        <v>3605240.835</v>
      </c>
      <c r="Z297" s="66">
        <v>201117009.0966</v>
      </c>
      <c r="AA297" s="71">
        <f t="shared" si="68"/>
        <v>451077564.01289999</v>
      </c>
    </row>
    <row r="298" spans="1:27" ht="24.9" customHeight="1">
      <c r="A298" s="180"/>
      <c r="B298" s="182"/>
      <c r="C298" s="62">
        <v>3</v>
      </c>
      <c r="D298" s="66" t="s">
        <v>713</v>
      </c>
      <c r="E298" s="66">
        <v>90803880.618399993</v>
      </c>
      <c r="F298" s="66">
        <v>0</v>
      </c>
      <c r="G298" s="66">
        <v>163349063.64070001</v>
      </c>
      <c r="H298" s="66">
        <v>6312271.8206000002</v>
      </c>
      <c r="I298" s="66">
        <v>7624588.3300000001</v>
      </c>
      <c r="J298" s="66">
        <v>7624588.3300000001</v>
      </c>
      <c r="K298" s="66">
        <f t="shared" si="72"/>
        <v>0</v>
      </c>
      <c r="L298" s="81">
        <v>230490873.3759</v>
      </c>
      <c r="M298" s="71">
        <f t="shared" si="64"/>
        <v>490956089.45560002</v>
      </c>
      <c r="N298" s="70"/>
      <c r="O298" s="182"/>
      <c r="P298" s="72">
        <v>10</v>
      </c>
      <c r="Q298" s="182"/>
      <c r="R298" s="66" t="s">
        <v>714</v>
      </c>
      <c r="S298" s="83">
        <v>81462169.760000005</v>
      </c>
      <c r="T298" s="66">
        <v>0</v>
      </c>
      <c r="U298" s="66">
        <v>146544058.04350001</v>
      </c>
      <c r="V298" s="66">
        <v>5618357.5954</v>
      </c>
      <c r="W298" s="66">
        <v>6840186.8300000001</v>
      </c>
      <c r="X298" s="66">
        <f t="shared" si="70"/>
        <v>3420093.415</v>
      </c>
      <c r="Y298" s="66">
        <f t="shared" si="65"/>
        <v>3420093.415</v>
      </c>
      <c r="Z298" s="66">
        <v>186030352.505</v>
      </c>
      <c r="AA298" s="71">
        <f t="shared" si="68"/>
        <v>423075031.31889999</v>
      </c>
    </row>
    <row r="299" spans="1:27" ht="24.9" customHeight="1">
      <c r="A299" s="180"/>
      <c r="B299" s="182"/>
      <c r="C299" s="62">
        <v>4</v>
      </c>
      <c r="D299" s="66" t="s">
        <v>715</v>
      </c>
      <c r="E299" s="66">
        <v>98943080.863499999</v>
      </c>
      <c r="F299" s="66">
        <v>0</v>
      </c>
      <c r="G299" s="66">
        <v>177990846.90099999</v>
      </c>
      <c r="H299" s="66">
        <v>6369225.1860999996</v>
      </c>
      <c r="I299" s="66">
        <v>8308017.8399999999</v>
      </c>
      <c r="J299" s="66">
        <v>8308017.8399999999</v>
      </c>
      <c r="K299" s="66">
        <f t="shared" si="72"/>
        <v>0</v>
      </c>
      <c r="L299" s="81">
        <v>232707871.1381</v>
      </c>
      <c r="M299" s="71">
        <f t="shared" si="64"/>
        <v>516011024.0887</v>
      </c>
      <c r="N299" s="70"/>
      <c r="O299" s="182"/>
      <c r="P299" s="72">
        <v>11</v>
      </c>
      <c r="Q299" s="182"/>
      <c r="R299" s="66" t="s">
        <v>716</v>
      </c>
      <c r="S299" s="83">
        <v>112550552.54000001</v>
      </c>
      <c r="T299" s="66">
        <v>0</v>
      </c>
      <c r="U299" s="66">
        <v>202469621.83180001</v>
      </c>
      <c r="V299" s="66">
        <v>7747347.9902999997</v>
      </c>
      <c r="W299" s="66">
        <v>9450605.2400000002</v>
      </c>
      <c r="X299" s="66">
        <f t="shared" si="70"/>
        <v>4725302.62</v>
      </c>
      <c r="Y299" s="66">
        <f t="shared" si="65"/>
        <v>4725302.62</v>
      </c>
      <c r="Z299" s="66">
        <v>268904593.46960002</v>
      </c>
      <c r="AA299" s="71">
        <f t="shared" si="68"/>
        <v>596397418.45169997</v>
      </c>
    </row>
    <row r="300" spans="1:27" ht="24.9" customHeight="1">
      <c r="A300" s="180"/>
      <c r="B300" s="182"/>
      <c r="C300" s="62">
        <v>5</v>
      </c>
      <c r="D300" s="66" t="s">
        <v>717</v>
      </c>
      <c r="E300" s="66">
        <v>96235687.284600005</v>
      </c>
      <c r="F300" s="66">
        <v>0</v>
      </c>
      <c r="G300" s="66">
        <v>173120458.065</v>
      </c>
      <c r="H300" s="66">
        <v>6695380.8350999998</v>
      </c>
      <c r="I300" s="66">
        <v>8080684.3600000003</v>
      </c>
      <c r="J300" s="66">
        <v>8080684.3600000003</v>
      </c>
      <c r="K300" s="66">
        <f t="shared" si="72"/>
        <v>0</v>
      </c>
      <c r="L300" s="81">
        <v>245403983.7692</v>
      </c>
      <c r="M300" s="71">
        <f t="shared" si="64"/>
        <v>521455509.95389998</v>
      </c>
      <c r="N300" s="70"/>
      <c r="O300" s="182"/>
      <c r="P300" s="72">
        <v>12</v>
      </c>
      <c r="Q300" s="182"/>
      <c r="R300" s="66" t="s">
        <v>718</v>
      </c>
      <c r="S300" s="83">
        <v>75774922.349999994</v>
      </c>
      <c r="T300" s="66">
        <v>0</v>
      </c>
      <c r="U300" s="66">
        <v>136313145.7394</v>
      </c>
      <c r="V300" s="66">
        <v>5517972.4917000001</v>
      </c>
      <c r="W300" s="66">
        <v>6362642.04</v>
      </c>
      <c r="X300" s="66">
        <f t="shared" si="70"/>
        <v>3181321.02</v>
      </c>
      <c r="Y300" s="66">
        <f t="shared" si="65"/>
        <v>3181321.02</v>
      </c>
      <c r="Z300" s="66">
        <v>182122707.22209999</v>
      </c>
      <c r="AA300" s="71">
        <f t="shared" si="68"/>
        <v>402910068.82319999</v>
      </c>
    </row>
    <row r="301" spans="1:27" ht="24.9" customHeight="1">
      <c r="A301" s="180"/>
      <c r="B301" s="182"/>
      <c r="C301" s="62">
        <v>6</v>
      </c>
      <c r="D301" s="66" t="s">
        <v>100</v>
      </c>
      <c r="E301" s="66">
        <v>104788438.73019999</v>
      </c>
      <c r="F301" s="66">
        <v>-1E-4</v>
      </c>
      <c r="G301" s="66">
        <v>188506187.5086</v>
      </c>
      <c r="H301" s="66">
        <v>7055577.5761000002</v>
      </c>
      <c r="I301" s="66">
        <v>8798838.7899999991</v>
      </c>
      <c r="J301" s="66">
        <v>8798838.7899999991</v>
      </c>
      <c r="K301" s="66">
        <f t="shared" si="72"/>
        <v>0</v>
      </c>
      <c r="L301" s="81">
        <v>259425198.51109999</v>
      </c>
      <c r="M301" s="71">
        <f t="shared" si="64"/>
        <v>559775402.32589996</v>
      </c>
      <c r="N301" s="70"/>
      <c r="O301" s="182"/>
      <c r="P301" s="72">
        <v>13</v>
      </c>
      <c r="Q301" s="182"/>
      <c r="R301" s="66" t="s">
        <v>719</v>
      </c>
      <c r="S301" s="83">
        <v>101160987.61</v>
      </c>
      <c r="T301" s="66">
        <v>0</v>
      </c>
      <c r="U301" s="66">
        <v>181980687.27739999</v>
      </c>
      <c r="V301" s="66">
        <v>6582027.5026000002</v>
      </c>
      <c r="W301" s="66">
        <v>8494250.25</v>
      </c>
      <c r="X301" s="66">
        <f t="shared" si="70"/>
        <v>4247125.125</v>
      </c>
      <c r="Y301" s="66">
        <f t="shared" si="65"/>
        <v>4247125.125</v>
      </c>
      <c r="Z301" s="66">
        <v>223542692.7633</v>
      </c>
      <c r="AA301" s="71">
        <f t="shared" si="68"/>
        <v>517513520.27829999</v>
      </c>
    </row>
    <row r="302" spans="1:27" ht="24.9" customHeight="1">
      <c r="A302" s="180"/>
      <c r="B302" s="182"/>
      <c r="C302" s="62">
        <v>7</v>
      </c>
      <c r="D302" s="66" t="s">
        <v>720</v>
      </c>
      <c r="E302" s="66">
        <v>82163819.168500006</v>
      </c>
      <c r="F302" s="66">
        <v>0</v>
      </c>
      <c r="G302" s="66">
        <v>147806270.3432</v>
      </c>
      <c r="H302" s="66">
        <v>5721530.2034</v>
      </c>
      <c r="I302" s="66">
        <v>6899102.6900000004</v>
      </c>
      <c r="J302" s="66">
        <v>6899102.6900000004</v>
      </c>
      <c r="K302" s="66">
        <f t="shared" si="72"/>
        <v>0</v>
      </c>
      <c r="L302" s="81">
        <v>207495343.07859999</v>
      </c>
      <c r="M302" s="71">
        <f t="shared" si="64"/>
        <v>443186962.79369998</v>
      </c>
      <c r="N302" s="70"/>
      <c r="O302" s="182"/>
      <c r="P302" s="72">
        <v>14</v>
      </c>
      <c r="Q302" s="182"/>
      <c r="R302" s="66" t="s">
        <v>721</v>
      </c>
      <c r="S302" s="83">
        <v>101014675.37</v>
      </c>
      <c r="T302" s="66">
        <v>0</v>
      </c>
      <c r="U302" s="66">
        <v>181717483.02320001</v>
      </c>
      <c r="V302" s="66">
        <v>6641215.6613999996</v>
      </c>
      <c r="W302" s="66">
        <v>8481964.75</v>
      </c>
      <c r="X302" s="66">
        <f t="shared" si="70"/>
        <v>4240982.375</v>
      </c>
      <c r="Y302" s="66">
        <f t="shared" si="65"/>
        <v>4240982.375</v>
      </c>
      <c r="Z302" s="66">
        <v>225846683.30340001</v>
      </c>
      <c r="AA302" s="71">
        <f t="shared" si="68"/>
        <v>519461039.73299998</v>
      </c>
    </row>
    <row r="303" spans="1:27" ht="24.9" customHeight="1">
      <c r="A303" s="180"/>
      <c r="B303" s="182"/>
      <c r="C303" s="62">
        <v>8</v>
      </c>
      <c r="D303" s="66" t="s">
        <v>722</v>
      </c>
      <c r="E303" s="66">
        <v>88135830.762799993</v>
      </c>
      <c r="F303" s="66">
        <v>0</v>
      </c>
      <c r="G303" s="66">
        <v>158549451.07589999</v>
      </c>
      <c r="H303" s="66">
        <v>6235002.1534000002</v>
      </c>
      <c r="I303" s="66">
        <v>7400558.4500000002</v>
      </c>
      <c r="J303" s="66">
        <v>7400558.4500000002</v>
      </c>
      <c r="K303" s="66">
        <f t="shared" si="72"/>
        <v>0</v>
      </c>
      <c r="L303" s="81">
        <v>227483032.17879999</v>
      </c>
      <c r="M303" s="71">
        <f t="shared" si="64"/>
        <v>480403316.17089999</v>
      </c>
      <c r="N303" s="70"/>
      <c r="O303" s="182"/>
      <c r="P303" s="72">
        <v>15</v>
      </c>
      <c r="Q303" s="182"/>
      <c r="R303" s="66" t="s">
        <v>723</v>
      </c>
      <c r="S303" s="83">
        <v>79829500.769999996</v>
      </c>
      <c r="T303" s="66">
        <v>0</v>
      </c>
      <c r="U303" s="66">
        <v>143607014.5018</v>
      </c>
      <c r="V303" s="66">
        <v>5903372.7335999999</v>
      </c>
      <c r="W303" s="66">
        <v>6703095.46</v>
      </c>
      <c r="X303" s="66">
        <f t="shared" si="70"/>
        <v>3351547.73</v>
      </c>
      <c r="Y303" s="66">
        <f t="shared" si="65"/>
        <v>3351547.73</v>
      </c>
      <c r="Z303" s="66">
        <v>197125007.18059999</v>
      </c>
      <c r="AA303" s="71">
        <f t="shared" si="68"/>
        <v>429816442.91600001</v>
      </c>
    </row>
    <row r="304" spans="1:27" ht="24.9" customHeight="1">
      <c r="A304" s="180"/>
      <c r="B304" s="182"/>
      <c r="C304" s="62">
        <v>9</v>
      </c>
      <c r="D304" s="66" t="s">
        <v>724</v>
      </c>
      <c r="E304" s="66">
        <v>80351897.104000002</v>
      </c>
      <c r="F304" s="66">
        <v>0</v>
      </c>
      <c r="G304" s="66">
        <v>144546764.56119999</v>
      </c>
      <c r="H304" s="66">
        <v>5590377.1896000002</v>
      </c>
      <c r="I304" s="66">
        <v>6746959.8499999996</v>
      </c>
      <c r="J304" s="66">
        <v>6746959.8499999996</v>
      </c>
      <c r="K304" s="66">
        <f t="shared" si="72"/>
        <v>0</v>
      </c>
      <c r="L304" s="81">
        <v>202390009.34940001</v>
      </c>
      <c r="M304" s="71">
        <f t="shared" si="64"/>
        <v>432879048.20420003</v>
      </c>
      <c r="N304" s="70"/>
      <c r="O304" s="182"/>
      <c r="P304" s="72">
        <v>16</v>
      </c>
      <c r="Q304" s="182"/>
      <c r="R304" s="66" t="s">
        <v>725</v>
      </c>
      <c r="S304" s="83">
        <v>101717283.20999999</v>
      </c>
      <c r="T304" s="66">
        <v>0</v>
      </c>
      <c r="U304" s="66">
        <v>182981419.46149999</v>
      </c>
      <c r="V304" s="66">
        <v>6766364.0794000002</v>
      </c>
      <c r="W304" s="66">
        <v>8540961.0800000001</v>
      </c>
      <c r="X304" s="66">
        <f t="shared" si="70"/>
        <v>4270480.54</v>
      </c>
      <c r="Y304" s="66">
        <f t="shared" si="65"/>
        <v>4270480.54</v>
      </c>
      <c r="Z304" s="66">
        <v>230718278.8619</v>
      </c>
      <c r="AA304" s="71">
        <f t="shared" si="68"/>
        <v>526453826.15280002</v>
      </c>
    </row>
    <row r="305" spans="1:27" ht="24.9" customHeight="1">
      <c r="A305" s="180"/>
      <c r="B305" s="182"/>
      <c r="C305" s="62">
        <v>10</v>
      </c>
      <c r="D305" s="66" t="s">
        <v>726</v>
      </c>
      <c r="E305" s="66">
        <v>76203602.355100006</v>
      </c>
      <c r="F305" s="66">
        <v>0</v>
      </c>
      <c r="G305" s="66">
        <v>137084307.47310001</v>
      </c>
      <c r="H305" s="66">
        <v>5740887.1240999997</v>
      </c>
      <c r="I305" s="66">
        <v>6398637.29</v>
      </c>
      <c r="J305" s="66">
        <v>6398637.29</v>
      </c>
      <c r="K305" s="66">
        <f t="shared" si="72"/>
        <v>0</v>
      </c>
      <c r="L305" s="81">
        <v>208248841.12900001</v>
      </c>
      <c r="M305" s="71">
        <f t="shared" si="64"/>
        <v>427277638.08130002</v>
      </c>
      <c r="N305" s="70"/>
      <c r="O305" s="183"/>
      <c r="P305" s="72">
        <v>17</v>
      </c>
      <c r="Q305" s="183"/>
      <c r="R305" s="66" t="s">
        <v>727</v>
      </c>
      <c r="S305" s="83">
        <v>108075066.20999999</v>
      </c>
      <c r="T305" s="66">
        <v>0</v>
      </c>
      <c r="U305" s="66">
        <v>194418572.7317</v>
      </c>
      <c r="V305" s="66">
        <v>6243749.7937000003</v>
      </c>
      <c r="W305" s="66">
        <v>9074809.1699999999</v>
      </c>
      <c r="X305" s="66">
        <f t="shared" si="70"/>
        <v>4537404.585</v>
      </c>
      <c r="Y305" s="66">
        <f t="shared" si="65"/>
        <v>4537404.585</v>
      </c>
      <c r="Z305" s="66">
        <v>210374710.21610001</v>
      </c>
      <c r="AA305" s="71">
        <f t="shared" si="68"/>
        <v>523649503.53649998</v>
      </c>
    </row>
    <row r="306" spans="1:27" ht="24.9" customHeight="1">
      <c r="A306" s="180"/>
      <c r="B306" s="183"/>
      <c r="C306" s="62">
        <v>11</v>
      </c>
      <c r="D306" s="66" t="s">
        <v>728</v>
      </c>
      <c r="E306" s="66">
        <v>104005558.7156</v>
      </c>
      <c r="F306" s="66">
        <v>0</v>
      </c>
      <c r="G306" s="66">
        <v>187097847.7286</v>
      </c>
      <c r="H306" s="66">
        <v>6911647.8658999996</v>
      </c>
      <c r="I306" s="66">
        <v>8733102.1899999995</v>
      </c>
      <c r="J306" s="66">
        <v>8733102.1899999995</v>
      </c>
      <c r="K306" s="66">
        <f t="shared" si="72"/>
        <v>0</v>
      </c>
      <c r="L306" s="81">
        <v>253822512.1329</v>
      </c>
      <c r="M306" s="71">
        <f t="shared" si="64"/>
        <v>551837566.44299996</v>
      </c>
      <c r="N306" s="70"/>
      <c r="O306" s="62"/>
      <c r="P306" s="174" t="s">
        <v>729</v>
      </c>
      <c r="Q306" s="175"/>
      <c r="R306" s="67"/>
      <c r="S306" s="67">
        <f t="shared" ref="S306:X306" si="73">SUM(S289:S305)</f>
        <v>1614259032.3199999</v>
      </c>
      <c r="T306" s="67">
        <f t="shared" si="73"/>
        <v>0</v>
      </c>
      <c r="U306" s="67">
        <f t="shared" si="73"/>
        <v>2903925466.6443</v>
      </c>
      <c r="V306" s="67">
        <f t="shared" si="73"/>
        <v>110992277.0235</v>
      </c>
      <c r="W306" s="67">
        <f t="shared" si="73"/>
        <v>135545534.97</v>
      </c>
      <c r="X306" s="67">
        <f t="shared" si="73"/>
        <v>67772767.484999999</v>
      </c>
      <c r="Y306" s="67">
        <f t="shared" si="65"/>
        <v>67772767.484999999</v>
      </c>
      <c r="Z306" s="67">
        <f>SUM(Z289:Z305)</f>
        <v>3765106616.823</v>
      </c>
      <c r="AA306" s="67">
        <f>SUM(AA289:AA305)</f>
        <v>8462056160.2958002</v>
      </c>
    </row>
    <row r="307" spans="1:27" ht="24.9" customHeight="1">
      <c r="A307" s="62"/>
      <c r="B307" s="173" t="s">
        <v>730</v>
      </c>
      <c r="C307" s="174"/>
      <c r="D307" s="67"/>
      <c r="E307" s="67">
        <f t="shared" ref="E307:M307" si="74">SUM(E296:E306)</f>
        <v>1036080645.0326999</v>
      </c>
      <c r="F307" s="67">
        <f t="shared" si="74"/>
        <v>-1E-4</v>
      </c>
      <c r="G307" s="67">
        <f t="shared" si="74"/>
        <v>1863827868.0037999</v>
      </c>
      <c r="H307" s="67">
        <f t="shared" si="74"/>
        <v>70905608.093199998</v>
      </c>
      <c r="I307" s="67">
        <f t="shared" si="74"/>
        <v>86997255.390000001</v>
      </c>
      <c r="J307" s="67">
        <f t="shared" si="74"/>
        <v>86997255.390000001</v>
      </c>
      <c r="K307" s="67">
        <f t="shared" si="74"/>
        <v>0</v>
      </c>
      <c r="L307" s="67">
        <f t="shared" si="74"/>
        <v>2592645687.8786998</v>
      </c>
      <c r="M307" s="67">
        <f t="shared" si="74"/>
        <v>5563459809.0082998</v>
      </c>
      <c r="N307" s="70"/>
      <c r="O307" s="181">
        <v>32</v>
      </c>
      <c r="P307" s="72">
        <v>1</v>
      </c>
      <c r="Q307" s="181" t="s">
        <v>117</v>
      </c>
      <c r="R307" s="66" t="s">
        <v>731</v>
      </c>
      <c r="S307" s="66">
        <v>71908455.680000007</v>
      </c>
      <c r="T307" s="66">
        <v>0</v>
      </c>
      <c r="U307" s="66">
        <v>129357675.2816</v>
      </c>
      <c r="V307" s="66">
        <v>7384987.5092000002</v>
      </c>
      <c r="W307" s="66">
        <v>6037983.9299999997</v>
      </c>
      <c r="X307" s="66">
        <f t="shared" ref="X307:X329" si="75">W307/2</f>
        <v>3018991.9649999999</v>
      </c>
      <c r="Y307" s="66">
        <f t="shared" si="65"/>
        <v>3018991.9649999999</v>
      </c>
      <c r="Z307" s="66">
        <v>506412056.93589997</v>
      </c>
      <c r="AA307" s="71">
        <f t="shared" si="68"/>
        <v>718082167.37170005</v>
      </c>
    </row>
    <row r="308" spans="1:27" ht="24.9" customHeight="1">
      <c r="A308" s="180">
        <v>16</v>
      </c>
      <c r="B308" s="181" t="s">
        <v>732</v>
      </c>
      <c r="C308" s="62">
        <v>1</v>
      </c>
      <c r="D308" s="66" t="s">
        <v>733</v>
      </c>
      <c r="E308" s="66">
        <v>81300747.444999993</v>
      </c>
      <c r="F308" s="66">
        <v>0</v>
      </c>
      <c r="G308" s="66">
        <v>146253671.94929999</v>
      </c>
      <c r="H308" s="66">
        <v>6513171.2790000001</v>
      </c>
      <c r="I308" s="66">
        <v>6826632.5800000001</v>
      </c>
      <c r="J308" s="66">
        <f t="shared" ref="J308:J334" si="76">I308/2</f>
        <v>3413316.29</v>
      </c>
      <c r="K308" s="66">
        <f t="shared" ref="K308:K334" si="77">I308-J308</f>
        <v>3413316.29</v>
      </c>
      <c r="L308" s="81">
        <v>220342767.17390001</v>
      </c>
      <c r="M308" s="71">
        <f t="shared" si="64"/>
        <v>457823674.1372</v>
      </c>
      <c r="N308" s="70"/>
      <c r="O308" s="182"/>
      <c r="P308" s="72">
        <v>2</v>
      </c>
      <c r="Q308" s="182"/>
      <c r="R308" s="66" t="s">
        <v>734</v>
      </c>
      <c r="S308" s="66">
        <v>89844030.780000001</v>
      </c>
      <c r="T308" s="66">
        <v>0</v>
      </c>
      <c r="U308" s="66">
        <v>161622369.01980001</v>
      </c>
      <c r="V308" s="66">
        <v>8318160.3903000001</v>
      </c>
      <c r="W308" s="66">
        <v>7543991.9900000002</v>
      </c>
      <c r="X308" s="66">
        <f t="shared" si="75"/>
        <v>3771995.9950000001</v>
      </c>
      <c r="Y308" s="66">
        <f t="shared" si="65"/>
        <v>3771995.9950000001</v>
      </c>
      <c r="Z308" s="66">
        <v>542737253.32700002</v>
      </c>
      <c r="AA308" s="71">
        <f t="shared" si="68"/>
        <v>806293809.51209998</v>
      </c>
    </row>
    <row r="309" spans="1:27" ht="24.9" customHeight="1">
      <c r="A309" s="180"/>
      <c r="B309" s="182"/>
      <c r="C309" s="62">
        <v>2</v>
      </c>
      <c r="D309" s="66" t="s">
        <v>735</v>
      </c>
      <c r="E309" s="66">
        <v>76508101.422600001</v>
      </c>
      <c r="F309" s="66">
        <v>0</v>
      </c>
      <c r="G309" s="66">
        <v>137632077.4242</v>
      </c>
      <c r="H309" s="66">
        <v>6233822.1316</v>
      </c>
      <c r="I309" s="66">
        <v>6424205.3600000003</v>
      </c>
      <c r="J309" s="66">
        <f t="shared" si="76"/>
        <v>3212102.68</v>
      </c>
      <c r="K309" s="66">
        <f t="shared" si="77"/>
        <v>3212102.68</v>
      </c>
      <c r="L309" s="81">
        <v>209468669.9452</v>
      </c>
      <c r="M309" s="71">
        <f t="shared" si="64"/>
        <v>433054773.60360003</v>
      </c>
      <c r="N309" s="70"/>
      <c r="O309" s="182"/>
      <c r="P309" s="72">
        <v>3</v>
      </c>
      <c r="Q309" s="182"/>
      <c r="R309" s="66" t="s">
        <v>736</v>
      </c>
      <c r="S309" s="66">
        <v>82765197.819999993</v>
      </c>
      <c r="T309" s="66">
        <v>0</v>
      </c>
      <c r="U309" s="66">
        <v>148888103.38569999</v>
      </c>
      <c r="V309" s="66">
        <v>7263755.6227000002</v>
      </c>
      <c r="W309" s="66">
        <v>6949599.0300000003</v>
      </c>
      <c r="X309" s="66">
        <f t="shared" si="75"/>
        <v>3474799.5150000001</v>
      </c>
      <c r="Y309" s="66">
        <f t="shared" si="65"/>
        <v>3474799.5150000001</v>
      </c>
      <c r="Z309" s="66">
        <v>501692918.4174</v>
      </c>
      <c r="AA309" s="71">
        <f t="shared" si="68"/>
        <v>744084774.7608</v>
      </c>
    </row>
    <row r="310" spans="1:27" ht="24.9" customHeight="1">
      <c r="A310" s="180"/>
      <c r="B310" s="182"/>
      <c r="C310" s="62">
        <v>3</v>
      </c>
      <c r="D310" s="66" t="s">
        <v>737</v>
      </c>
      <c r="E310" s="66">
        <v>70287195.392199993</v>
      </c>
      <c r="F310" s="66">
        <v>0</v>
      </c>
      <c r="G310" s="66">
        <v>126441155.09819999</v>
      </c>
      <c r="H310" s="66">
        <v>5782676.0802999996</v>
      </c>
      <c r="I310" s="66">
        <v>5901850.5099999998</v>
      </c>
      <c r="J310" s="66">
        <f t="shared" si="76"/>
        <v>2950925.2549999999</v>
      </c>
      <c r="K310" s="66">
        <f t="shared" si="77"/>
        <v>2950925.2549999999</v>
      </c>
      <c r="L310" s="81">
        <v>191907112.76010001</v>
      </c>
      <c r="M310" s="71">
        <f t="shared" si="64"/>
        <v>397369064.58579999</v>
      </c>
      <c r="N310" s="70"/>
      <c r="O310" s="182"/>
      <c r="P310" s="72">
        <v>4</v>
      </c>
      <c r="Q310" s="182"/>
      <c r="R310" s="66" t="s">
        <v>738</v>
      </c>
      <c r="S310" s="66">
        <v>88350190.379999995</v>
      </c>
      <c r="T310" s="66">
        <v>0</v>
      </c>
      <c r="U310" s="66">
        <v>158935067.22310001</v>
      </c>
      <c r="V310" s="66">
        <v>7884565.3662999999</v>
      </c>
      <c r="W310" s="66">
        <v>7418557.7300000004</v>
      </c>
      <c r="X310" s="66">
        <f t="shared" si="75"/>
        <v>3709278.8650000002</v>
      </c>
      <c r="Y310" s="66">
        <f t="shared" si="65"/>
        <v>3709278.8650000002</v>
      </c>
      <c r="Z310" s="66">
        <v>525858896.99809998</v>
      </c>
      <c r="AA310" s="71">
        <f t="shared" si="68"/>
        <v>784737998.83249998</v>
      </c>
    </row>
    <row r="311" spans="1:27" ht="24.9" customHeight="1">
      <c r="A311" s="180"/>
      <c r="B311" s="182"/>
      <c r="C311" s="62">
        <v>4</v>
      </c>
      <c r="D311" s="66" t="s">
        <v>739</v>
      </c>
      <c r="E311" s="66">
        <v>74755854.345200002</v>
      </c>
      <c r="F311" s="66">
        <v>0</v>
      </c>
      <c r="G311" s="66">
        <v>134479922.2845</v>
      </c>
      <c r="H311" s="66">
        <v>6173900.3285999997</v>
      </c>
      <c r="I311" s="66">
        <v>6277073.2999999998</v>
      </c>
      <c r="J311" s="66">
        <f t="shared" si="76"/>
        <v>3138536.65</v>
      </c>
      <c r="K311" s="66">
        <f t="shared" si="77"/>
        <v>3138536.65</v>
      </c>
      <c r="L311" s="81">
        <v>207136121.1699</v>
      </c>
      <c r="M311" s="71">
        <f t="shared" si="64"/>
        <v>425684334.77819997</v>
      </c>
      <c r="N311" s="70"/>
      <c r="O311" s="182"/>
      <c r="P311" s="72">
        <v>5</v>
      </c>
      <c r="Q311" s="182"/>
      <c r="R311" s="66" t="s">
        <v>740</v>
      </c>
      <c r="S311" s="66">
        <v>82011080.269999996</v>
      </c>
      <c r="T311" s="66">
        <v>0</v>
      </c>
      <c r="U311" s="66">
        <v>147531505.02579999</v>
      </c>
      <c r="V311" s="66">
        <v>7987173.9763000002</v>
      </c>
      <c r="W311" s="66">
        <v>6886277.5599999996</v>
      </c>
      <c r="X311" s="66">
        <f t="shared" si="75"/>
        <v>3443138.78</v>
      </c>
      <c r="Y311" s="66">
        <f t="shared" si="65"/>
        <v>3443138.78</v>
      </c>
      <c r="Z311" s="66">
        <v>529853095.70139998</v>
      </c>
      <c r="AA311" s="71">
        <f t="shared" si="68"/>
        <v>770825993.75349998</v>
      </c>
    </row>
    <row r="312" spans="1:27" ht="24.9" customHeight="1">
      <c r="A312" s="180"/>
      <c r="B312" s="182"/>
      <c r="C312" s="62">
        <v>5</v>
      </c>
      <c r="D312" s="66" t="s">
        <v>741</v>
      </c>
      <c r="E312" s="66">
        <v>80161174.266399994</v>
      </c>
      <c r="F312" s="66">
        <v>0</v>
      </c>
      <c r="G312" s="66">
        <v>144203669.13499999</v>
      </c>
      <c r="H312" s="66">
        <v>6092781.8509999998</v>
      </c>
      <c r="I312" s="66">
        <v>6730945.2999999998</v>
      </c>
      <c r="J312" s="66">
        <f t="shared" si="76"/>
        <v>3365472.65</v>
      </c>
      <c r="K312" s="66">
        <f t="shared" si="77"/>
        <v>3365472.65</v>
      </c>
      <c r="L312" s="81">
        <v>203978459.07769999</v>
      </c>
      <c r="M312" s="71">
        <f t="shared" si="64"/>
        <v>437801556.98009998</v>
      </c>
      <c r="N312" s="70"/>
      <c r="O312" s="182"/>
      <c r="P312" s="72">
        <v>6</v>
      </c>
      <c r="Q312" s="182"/>
      <c r="R312" s="66" t="s">
        <v>742</v>
      </c>
      <c r="S312" s="66">
        <v>81997376.349999994</v>
      </c>
      <c r="T312" s="66">
        <v>0</v>
      </c>
      <c r="U312" s="66">
        <v>147506852.75819999</v>
      </c>
      <c r="V312" s="66">
        <v>7933651.8084000004</v>
      </c>
      <c r="W312" s="66">
        <v>6885126.8700000001</v>
      </c>
      <c r="X312" s="66">
        <f t="shared" si="75"/>
        <v>3442563.4350000001</v>
      </c>
      <c r="Y312" s="66">
        <f t="shared" si="65"/>
        <v>3442563.4350000001</v>
      </c>
      <c r="Z312" s="66">
        <v>527769662.6081</v>
      </c>
      <c r="AA312" s="71">
        <f t="shared" si="68"/>
        <v>768650106.95969999</v>
      </c>
    </row>
    <row r="313" spans="1:27" ht="24.9" customHeight="1">
      <c r="A313" s="180"/>
      <c r="B313" s="182"/>
      <c r="C313" s="62">
        <v>6</v>
      </c>
      <c r="D313" s="66" t="s">
        <v>743</v>
      </c>
      <c r="E313" s="66">
        <v>80429591.818700001</v>
      </c>
      <c r="F313" s="66">
        <v>0</v>
      </c>
      <c r="G313" s="66">
        <v>144686531.26030001</v>
      </c>
      <c r="H313" s="66">
        <v>6109407.3578000003</v>
      </c>
      <c r="I313" s="66">
        <v>6753483.6900000004</v>
      </c>
      <c r="J313" s="66">
        <f t="shared" si="76"/>
        <v>3376741.8450000002</v>
      </c>
      <c r="K313" s="66">
        <f t="shared" si="77"/>
        <v>3376741.8450000002</v>
      </c>
      <c r="L313" s="81">
        <v>204625632.62180001</v>
      </c>
      <c r="M313" s="71">
        <f t="shared" si="64"/>
        <v>439227904.90359998</v>
      </c>
      <c r="N313" s="70"/>
      <c r="O313" s="182"/>
      <c r="P313" s="72">
        <v>7</v>
      </c>
      <c r="Q313" s="182"/>
      <c r="R313" s="66" t="s">
        <v>744</v>
      </c>
      <c r="S313" s="66">
        <v>88866393.260000005</v>
      </c>
      <c r="T313" s="66">
        <v>0</v>
      </c>
      <c r="U313" s="66">
        <v>159863675.7464</v>
      </c>
      <c r="V313" s="66">
        <v>8322088.2087000003</v>
      </c>
      <c r="W313" s="66">
        <v>7461902.0700000003</v>
      </c>
      <c r="X313" s="66">
        <f t="shared" si="75"/>
        <v>3730951.0350000001</v>
      </c>
      <c r="Y313" s="66">
        <f t="shared" si="65"/>
        <v>3730951.0350000001</v>
      </c>
      <c r="Z313" s="66">
        <v>542890149.72440004</v>
      </c>
      <c r="AA313" s="71">
        <f t="shared" si="68"/>
        <v>803673257.97449994</v>
      </c>
    </row>
    <row r="314" spans="1:27" ht="24.9" customHeight="1">
      <c r="A314" s="180"/>
      <c r="B314" s="182"/>
      <c r="C314" s="62">
        <v>7</v>
      </c>
      <c r="D314" s="66" t="s">
        <v>745</v>
      </c>
      <c r="E314" s="66">
        <v>71988726.700299993</v>
      </c>
      <c r="F314" s="66">
        <v>0</v>
      </c>
      <c r="G314" s="66">
        <v>129502076.5495</v>
      </c>
      <c r="H314" s="66">
        <v>5667697.0998999998</v>
      </c>
      <c r="I314" s="66">
        <v>6044724.0999999996</v>
      </c>
      <c r="J314" s="66">
        <f t="shared" si="76"/>
        <v>3022362.05</v>
      </c>
      <c r="K314" s="66">
        <f t="shared" si="77"/>
        <v>3022362.05</v>
      </c>
      <c r="L314" s="81">
        <v>187431378.27649999</v>
      </c>
      <c r="M314" s="71">
        <f t="shared" si="64"/>
        <v>397612240.67619997</v>
      </c>
      <c r="N314" s="70"/>
      <c r="O314" s="182"/>
      <c r="P314" s="72">
        <v>8</v>
      </c>
      <c r="Q314" s="182"/>
      <c r="R314" s="66" t="s">
        <v>746</v>
      </c>
      <c r="S314" s="66">
        <v>86094724.980000004</v>
      </c>
      <c r="T314" s="66">
        <v>0</v>
      </c>
      <c r="U314" s="66">
        <v>154877661.77149999</v>
      </c>
      <c r="V314" s="66">
        <v>7657417.8272000002</v>
      </c>
      <c r="W314" s="66">
        <v>7229171.5999999996</v>
      </c>
      <c r="X314" s="66">
        <f t="shared" si="75"/>
        <v>3614585.8</v>
      </c>
      <c r="Y314" s="66">
        <f t="shared" si="65"/>
        <v>3614585.8</v>
      </c>
      <c r="Z314" s="66">
        <v>517016828.03939998</v>
      </c>
      <c r="AA314" s="71">
        <f t="shared" si="68"/>
        <v>769261218.4181</v>
      </c>
    </row>
    <row r="315" spans="1:27" ht="24.9" customHeight="1">
      <c r="A315" s="180"/>
      <c r="B315" s="182"/>
      <c r="C315" s="62">
        <v>8</v>
      </c>
      <c r="D315" s="66" t="s">
        <v>747</v>
      </c>
      <c r="E315" s="66">
        <v>76250971.129899994</v>
      </c>
      <c r="F315" s="66">
        <v>0</v>
      </c>
      <c r="G315" s="66">
        <v>137169520.18040001</v>
      </c>
      <c r="H315" s="66">
        <v>5990184.5277000004</v>
      </c>
      <c r="I315" s="66">
        <v>6402614.7400000002</v>
      </c>
      <c r="J315" s="66">
        <f t="shared" si="76"/>
        <v>3201307.37</v>
      </c>
      <c r="K315" s="66">
        <f t="shared" si="77"/>
        <v>3201307.37</v>
      </c>
      <c r="L315" s="81">
        <v>199984699.73179999</v>
      </c>
      <c r="M315" s="71">
        <f t="shared" si="64"/>
        <v>422596682.93980002</v>
      </c>
      <c r="N315" s="70"/>
      <c r="O315" s="182"/>
      <c r="P315" s="72">
        <v>9</v>
      </c>
      <c r="Q315" s="182"/>
      <c r="R315" s="66" t="s">
        <v>748</v>
      </c>
      <c r="S315" s="66">
        <v>82119449.170000002</v>
      </c>
      <c r="T315" s="66">
        <v>0</v>
      </c>
      <c r="U315" s="66">
        <v>147726452.18349999</v>
      </c>
      <c r="V315" s="66">
        <v>7781764.8799999999</v>
      </c>
      <c r="W315" s="66">
        <v>6895377.0499999998</v>
      </c>
      <c r="X315" s="66">
        <f t="shared" si="75"/>
        <v>3447688.5249999999</v>
      </c>
      <c r="Y315" s="66">
        <f t="shared" si="65"/>
        <v>3447688.5249999999</v>
      </c>
      <c r="Z315" s="66">
        <v>521857229.21789998</v>
      </c>
      <c r="AA315" s="71">
        <f t="shared" si="68"/>
        <v>762932583.97640002</v>
      </c>
    </row>
    <row r="316" spans="1:27" ht="24.9" customHeight="1">
      <c r="A316" s="180"/>
      <c r="B316" s="182"/>
      <c r="C316" s="62">
        <v>9</v>
      </c>
      <c r="D316" s="66" t="s">
        <v>749</v>
      </c>
      <c r="E316" s="66">
        <v>85788509.493699998</v>
      </c>
      <c r="F316" s="66">
        <v>0</v>
      </c>
      <c r="G316" s="66">
        <v>154326804.1024</v>
      </c>
      <c r="H316" s="66">
        <v>6547979.8757999996</v>
      </c>
      <c r="I316" s="66">
        <v>7203459.4000000004</v>
      </c>
      <c r="J316" s="66">
        <f t="shared" si="76"/>
        <v>3601729.7</v>
      </c>
      <c r="K316" s="66">
        <f t="shared" si="77"/>
        <v>3601729.7</v>
      </c>
      <c r="L316" s="81">
        <v>221697745.5923</v>
      </c>
      <c r="M316" s="71">
        <f t="shared" si="64"/>
        <v>471962768.76419997</v>
      </c>
      <c r="N316" s="70"/>
      <c r="O316" s="182"/>
      <c r="P316" s="72">
        <v>10</v>
      </c>
      <c r="Q316" s="182"/>
      <c r="R316" s="66" t="s">
        <v>750</v>
      </c>
      <c r="S316" s="66">
        <v>96298271.019999996</v>
      </c>
      <c r="T316" s="66">
        <v>0</v>
      </c>
      <c r="U316" s="66">
        <v>173233041.29550001</v>
      </c>
      <c r="V316" s="66">
        <v>8318487.7084999997</v>
      </c>
      <c r="W316" s="66">
        <v>8085939.3700000001</v>
      </c>
      <c r="X316" s="66">
        <f t="shared" si="75"/>
        <v>4042969.6850000001</v>
      </c>
      <c r="Y316" s="66">
        <f t="shared" si="65"/>
        <v>4042969.6850000001</v>
      </c>
      <c r="Z316" s="66">
        <v>542749994.69350004</v>
      </c>
      <c r="AA316" s="71">
        <f t="shared" si="68"/>
        <v>824642764.40250003</v>
      </c>
    </row>
    <row r="317" spans="1:27" ht="24.9" customHeight="1">
      <c r="A317" s="180"/>
      <c r="B317" s="182"/>
      <c r="C317" s="62">
        <v>10</v>
      </c>
      <c r="D317" s="66" t="s">
        <v>751</v>
      </c>
      <c r="E317" s="66">
        <v>75825035.768800005</v>
      </c>
      <c r="F317" s="66">
        <v>0</v>
      </c>
      <c r="G317" s="66">
        <v>136403295.85389999</v>
      </c>
      <c r="H317" s="66">
        <v>6161202.6401000004</v>
      </c>
      <c r="I317" s="66">
        <v>6366849.9500000002</v>
      </c>
      <c r="J317" s="66">
        <f t="shared" si="76"/>
        <v>3183424.9750000001</v>
      </c>
      <c r="K317" s="66">
        <f t="shared" si="77"/>
        <v>3183424.9750000001</v>
      </c>
      <c r="L317" s="81">
        <v>206641844.02320001</v>
      </c>
      <c r="M317" s="71">
        <f t="shared" si="64"/>
        <v>428214803.26099998</v>
      </c>
      <c r="N317" s="70"/>
      <c r="O317" s="182"/>
      <c r="P317" s="72">
        <v>11</v>
      </c>
      <c r="Q317" s="182"/>
      <c r="R317" s="66" t="s">
        <v>752</v>
      </c>
      <c r="S317" s="66">
        <v>85763268.219999999</v>
      </c>
      <c r="T317" s="66">
        <v>0</v>
      </c>
      <c r="U317" s="66">
        <v>154281397.04049999</v>
      </c>
      <c r="V317" s="66">
        <v>8085685.4654999999</v>
      </c>
      <c r="W317" s="66">
        <v>7201339.96</v>
      </c>
      <c r="X317" s="66">
        <f t="shared" si="75"/>
        <v>3600669.98</v>
      </c>
      <c r="Y317" s="66">
        <f t="shared" si="65"/>
        <v>3600669.98</v>
      </c>
      <c r="Z317" s="66">
        <v>533687807.64539999</v>
      </c>
      <c r="AA317" s="71">
        <f t="shared" si="68"/>
        <v>785418828.35140002</v>
      </c>
    </row>
    <row r="318" spans="1:27" ht="24.9" customHeight="1">
      <c r="A318" s="180"/>
      <c r="B318" s="182"/>
      <c r="C318" s="62">
        <v>11</v>
      </c>
      <c r="D318" s="66" t="s">
        <v>753</v>
      </c>
      <c r="E318" s="66">
        <v>93526999.276500002</v>
      </c>
      <c r="F318" s="66">
        <v>0</v>
      </c>
      <c r="G318" s="66">
        <v>168247740.65740001</v>
      </c>
      <c r="H318" s="66">
        <v>6986123.4939999999</v>
      </c>
      <c r="I318" s="66">
        <v>7853242.2000000002</v>
      </c>
      <c r="J318" s="66">
        <f t="shared" si="76"/>
        <v>3926621.1</v>
      </c>
      <c r="K318" s="66">
        <f t="shared" si="77"/>
        <v>3926621.1</v>
      </c>
      <c r="L318" s="81">
        <v>238753162.97909999</v>
      </c>
      <c r="M318" s="71">
        <f t="shared" si="64"/>
        <v>511440647.50700003</v>
      </c>
      <c r="N318" s="70"/>
      <c r="O318" s="182"/>
      <c r="P318" s="72">
        <v>12</v>
      </c>
      <c r="Q318" s="182"/>
      <c r="R318" s="66" t="s">
        <v>754</v>
      </c>
      <c r="S318" s="66">
        <v>82082804.859999999</v>
      </c>
      <c r="T318" s="66">
        <v>0</v>
      </c>
      <c r="U318" s="66">
        <v>147660531.94299999</v>
      </c>
      <c r="V318" s="66">
        <v>7644347.6732000001</v>
      </c>
      <c r="W318" s="66">
        <v>6892300.1100000003</v>
      </c>
      <c r="X318" s="66">
        <f t="shared" si="75"/>
        <v>3446150.0550000002</v>
      </c>
      <c r="Y318" s="66">
        <f t="shared" si="65"/>
        <v>3446150.0550000002</v>
      </c>
      <c r="Z318" s="66">
        <v>516508052.09630001</v>
      </c>
      <c r="AA318" s="71">
        <f t="shared" si="68"/>
        <v>757341886.62750006</v>
      </c>
    </row>
    <row r="319" spans="1:27" ht="24.9" customHeight="1">
      <c r="A319" s="180"/>
      <c r="B319" s="182"/>
      <c r="C319" s="62">
        <v>12</v>
      </c>
      <c r="D319" s="66" t="s">
        <v>755</v>
      </c>
      <c r="E319" s="66">
        <v>79432048.663699999</v>
      </c>
      <c r="F319" s="66">
        <v>0</v>
      </c>
      <c r="G319" s="66">
        <v>142892029.32429999</v>
      </c>
      <c r="H319" s="66">
        <v>6110005.5599999996</v>
      </c>
      <c r="I319" s="66">
        <v>6669722.3399999999</v>
      </c>
      <c r="J319" s="66">
        <f t="shared" si="76"/>
        <v>3334861.17</v>
      </c>
      <c r="K319" s="66">
        <f t="shared" si="77"/>
        <v>3334861.17</v>
      </c>
      <c r="L319" s="81">
        <v>204648918.56740001</v>
      </c>
      <c r="M319" s="71">
        <f t="shared" si="64"/>
        <v>436417863.28539997</v>
      </c>
      <c r="N319" s="70"/>
      <c r="O319" s="182"/>
      <c r="P319" s="72">
        <v>13</v>
      </c>
      <c r="Q319" s="182"/>
      <c r="R319" s="66" t="s">
        <v>756</v>
      </c>
      <c r="S319" s="66">
        <v>97446556.489999995</v>
      </c>
      <c r="T319" s="66">
        <v>0</v>
      </c>
      <c r="U319" s="66">
        <v>175298716.8538</v>
      </c>
      <c r="V319" s="66">
        <v>8823720.2695000004</v>
      </c>
      <c r="W319" s="66">
        <v>8182358.2000000002</v>
      </c>
      <c r="X319" s="66">
        <f t="shared" si="75"/>
        <v>4091179.1</v>
      </c>
      <c r="Y319" s="66">
        <f t="shared" si="65"/>
        <v>4091179.1</v>
      </c>
      <c r="Z319" s="66">
        <v>562416952.84500003</v>
      </c>
      <c r="AA319" s="71">
        <f t="shared" si="68"/>
        <v>848077125.55830002</v>
      </c>
    </row>
    <row r="320" spans="1:27" ht="24.9" customHeight="1">
      <c r="A320" s="180"/>
      <c r="B320" s="182"/>
      <c r="C320" s="62">
        <v>13</v>
      </c>
      <c r="D320" s="66" t="s">
        <v>757</v>
      </c>
      <c r="E320" s="66">
        <v>71756856.157600001</v>
      </c>
      <c r="F320" s="66">
        <v>0</v>
      </c>
      <c r="G320" s="66">
        <v>129084959.6116</v>
      </c>
      <c r="H320" s="66">
        <v>5942712.1029000003</v>
      </c>
      <c r="I320" s="66">
        <v>6025254.4699999997</v>
      </c>
      <c r="J320" s="66">
        <f t="shared" si="76"/>
        <v>3012627.2349999999</v>
      </c>
      <c r="K320" s="66">
        <f t="shared" si="77"/>
        <v>3012627.2349999999</v>
      </c>
      <c r="L320" s="81">
        <v>198136762.23910001</v>
      </c>
      <c r="M320" s="71">
        <f t="shared" si="64"/>
        <v>407933917.34619999</v>
      </c>
      <c r="N320" s="70"/>
      <c r="O320" s="182"/>
      <c r="P320" s="72">
        <v>14</v>
      </c>
      <c r="Q320" s="182"/>
      <c r="R320" s="66" t="s">
        <v>758</v>
      </c>
      <c r="S320" s="66">
        <v>119333877.27</v>
      </c>
      <c r="T320" s="66">
        <v>0</v>
      </c>
      <c r="U320" s="66">
        <v>214672291.30790001</v>
      </c>
      <c r="V320" s="66">
        <v>10748938.1591</v>
      </c>
      <c r="W320" s="66">
        <v>10020185.060000001</v>
      </c>
      <c r="X320" s="66">
        <f t="shared" si="75"/>
        <v>5010092.53</v>
      </c>
      <c r="Y320" s="66">
        <f t="shared" si="65"/>
        <v>5010092.53</v>
      </c>
      <c r="Z320" s="66">
        <v>637359034.15830004</v>
      </c>
      <c r="AA320" s="71">
        <f t="shared" si="68"/>
        <v>987124233.4253</v>
      </c>
    </row>
    <row r="321" spans="1:27" ht="24.9" customHeight="1">
      <c r="A321" s="180"/>
      <c r="B321" s="182"/>
      <c r="C321" s="62">
        <v>14</v>
      </c>
      <c r="D321" s="66" t="s">
        <v>759</v>
      </c>
      <c r="E321" s="66">
        <v>69831108.960999995</v>
      </c>
      <c r="F321" s="66">
        <v>0</v>
      </c>
      <c r="G321" s="66">
        <v>125620691.3636</v>
      </c>
      <c r="H321" s="66">
        <v>5754921.7549000001</v>
      </c>
      <c r="I321" s="66">
        <v>5863554.0099999998</v>
      </c>
      <c r="J321" s="66">
        <f t="shared" si="76"/>
        <v>2931777.0049999999</v>
      </c>
      <c r="K321" s="66">
        <f t="shared" si="77"/>
        <v>2931777.0049999999</v>
      </c>
      <c r="L321" s="81">
        <v>190826732.75659999</v>
      </c>
      <c r="M321" s="71">
        <f t="shared" si="64"/>
        <v>394965231.84109998</v>
      </c>
      <c r="N321" s="70"/>
      <c r="O321" s="182"/>
      <c r="P321" s="72">
        <v>15</v>
      </c>
      <c r="Q321" s="182"/>
      <c r="R321" s="66" t="s">
        <v>760</v>
      </c>
      <c r="S321" s="66">
        <v>96343404.390000001</v>
      </c>
      <c r="T321" s="66">
        <v>0</v>
      </c>
      <c r="U321" s="66">
        <v>173314232.6832</v>
      </c>
      <c r="V321" s="66">
        <v>8696980.4079</v>
      </c>
      <c r="W321" s="66">
        <v>8089729.1100000003</v>
      </c>
      <c r="X321" s="66">
        <f t="shared" si="75"/>
        <v>4044864.5550000002</v>
      </c>
      <c r="Y321" s="66">
        <f t="shared" si="65"/>
        <v>4044864.5550000002</v>
      </c>
      <c r="Z321" s="66">
        <v>557483407.88409996</v>
      </c>
      <c r="AA321" s="71">
        <f t="shared" si="68"/>
        <v>839882889.92019999</v>
      </c>
    </row>
    <row r="322" spans="1:27" ht="24.9" customHeight="1">
      <c r="A322" s="180"/>
      <c r="B322" s="182"/>
      <c r="C322" s="62">
        <v>15</v>
      </c>
      <c r="D322" s="66" t="s">
        <v>761</v>
      </c>
      <c r="E322" s="66">
        <v>62208448.738499999</v>
      </c>
      <c r="F322" s="66">
        <v>0</v>
      </c>
      <c r="G322" s="66">
        <v>111908123.11390001</v>
      </c>
      <c r="H322" s="66">
        <v>5209541.9244999997</v>
      </c>
      <c r="I322" s="66">
        <v>5223497.1500000004</v>
      </c>
      <c r="J322" s="66">
        <f t="shared" si="76"/>
        <v>2611748.5750000002</v>
      </c>
      <c r="K322" s="66">
        <f t="shared" si="77"/>
        <v>2611748.5750000002</v>
      </c>
      <c r="L322" s="81">
        <v>169596980.10640001</v>
      </c>
      <c r="M322" s="71">
        <f t="shared" si="64"/>
        <v>351534842.45829999</v>
      </c>
      <c r="N322" s="70"/>
      <c r="O322" s="182"/>
      <c r="P322" s="72">
        <v>16</v>
      </c>
      <c r="Q322" s="182"/>
      <c r="R322" s="66" t="s">
        <v>762</v>
      </c>
      <c r="S322" s="66">
        <v>97218942.459999993</v>
      </c>
      <c r="T322" s="66">
        <v>0</v>
      </c>
      <c r="U322" s="66">
        <v>174889257.0562</v>
      </c>
      <c r="V322" s="66">
        <v>8708515.5524000004</v>
      </c>
      <c r="W322" s="66">
        <v>8163245.9800000004</v>
      </c>
      <c r="X322" s="66">
        <f t="shared" si="75"/>
        <v>4081622.99</v>
      </c>
      <c r="Y322" s="66">
        <f t="shared" si="65"/>
        <v>4081622.99</v>
      </c>
      <c r="Z322" s="66">
        <v>557932431.21210003</v>
      </c>
      <c r="AA322" s="71">
        <f t="shared" si="68"/>
        <v>842830769.27069998</v>
      </c>
    </row>
    <row r="323" spans="1:27" ht="24.9" customHeight="1">
      <c r="A323" s="180"/>
      <c r="B323" s="182"/>
      <c r="C323" s="62">
        <v>16</v>
      </c>
      <c r="D323" s="66" t="s">
        <v>763</v>
      </c>
      <c r="E323" s="66">
        <v>67433145.958299994</v>
      </c>
      <c r="F323" s="66">
        <v>0</v>
      </c>
      <c r="G323" s="66">
        <v>121306943.8844</v>
      </c>
      <c r="H323" s="66">
        <v>5638012.7259</v>
      </c>
      <c r="I323" s="66">
        <v>5662202.7000000002</v>
      </c>
      <c r="J323" s="66">
        <f t="shared" si="76"/>
        <v>2831101.35</v>
      </c>
      <c r="K323" s="66">
        <f t="shared" si="77"/>
        <v>2831101.35</v>
      </c>
      <c r="L323" s="81">
        <v>186275868.14669999</v>
      </c>
      <c r="M323" s="71">
        <f t="shared" si="64"/>
        <v>383485072.06529999</v>
      </c>
      <c r="N323" s="70"/>
      <c r="O323" s="182"/>
      <c r="P323" s="72">
        <v>17</v>
      </c>
      <c r="Q323" s="182"/>
      <c r="R323" s="66" t="s">
        <v>764</v>
      </c>
      <c r="S323" s="66">
        <v>66793756.020000003</v>
      </c>
      <c r="T323" s="66">
        <v>0</v>
      </c>
      <c r="U323" s="66">
        <v>120156731.50390001</v>
      </c>
      <c r="V323" s="66">
        <v>6345876.4019999998</v>
      </c>
      <c r="W323" s="66">
        <v>5608514.6299999999</v>
      </c>
      <c r="X323" s="66">
        <f t="shared" si="75"/>
        <v>2804257.3149999999</v>
      </c>
      <c r="Y323" s="66">
        <f t="shared" si="65"/>
        <v>2804257.3149999999</v>
      </c>
      <c r="Z323" s="66">
        <v>465963051.3897</v>
      </c>
      <c r="AA323" s="71">
        <f t="shared" si="68"/>
        <v>662063672.63059998</v>
      </c>
    </row>
    <row r="324" spans="1:27" ht="24.9" customHeight="1">
      <c r="A324" s="180"/>
      <c r="B324" s="182"/>
      <c r="C324" s="62">
        <v>17</v>
      </c>
      <c r="D324" s="66" t="s">
        <v>765</v>
      </c>
      <c r="E324" s="66">
        <v>79164094.505899996</v>
      </c>
      <c r="F324" s="66">
        <v>0</v>
      </c>
      <c r="G324" s="66">
        <v>142410000.80610001</v>
      </c>
      <c r="H324" s="66">
        <v>5918987.1774000004</v>
      </c>
      <c r="I324" s="66">
        <v>6647222.8600000003</v>
      </c>
      <c r="J324" s="66">
        <f t="shared" si="76"/>
        <v>3323611.43</v>
      </c>
      <c r="K324" s="66">
        <f t="shared" si="77"/>
        <v>3323611.43</v>
      </c>
      <c r="L324" s="81">
        <v>197213232.85030001</v>
      </c>
      <c r="M324" s="71">
        <f t="shared" si="64"/>
        <v>428029926.76969999</v>
      </c>
      <c r="N324" s="70"/>
      <c r="O324" s="182"/>
      <c r="P324" s="72">
        <v>18</v>
      </c>
      <c r="Q324" s="182"/>
      <c r="R324" s="66" t="s">
        <v>766</v>
      </c>
      <c r="S324" s="66">
        <v>82190002.090000004</v>
      </c>
      <c r="T324" s="66">
        <v>0</v>
      </c>
      <c r="U324" s="66">
        <v>147853371.3592</v>
      </c>
      <c r="V324" s="66">
        <v>8008912.4190999996</v>
      </c>
      <c r="W324" s="66">
        <v>6901301.2000000002</v>
      </c>
      <c r="X324" s="66">
        <f t="shared" si="75"/>
        <v>3450650.6</v>
      </c>
      <c r="Y324" s="66">
        <f t="shared" si="65"/>
        <v>3450650.6</v>
      </c>
      <c r="Z324" s="66">
        <v>530699298.1767</v>
      </c>
      <c r="AA324" s="71">
        <f t="shared" si="68"/>
        <v>772202234.64499998</v>
      </c>
    </row>
    <row r="325" spans="1:27" ht="24.9" customHeight="1">
      <c r="A325" s="180"/>
      <c r="B325" s="182"/>
      <c r="C325" s="62">
        <v>18</v>
      </c>
      <c r="D325" s="66" t="s">
        <v>767</v>
      </c>
      <c r="E325" s="66">
        <v>85685817.017499998</v>
      </c>
      <c r="F325" s="66">
        <v>0</v>
      </c>
      <c r="G325" s="66">
        <v>154142068.39489999</v>
      </c>
      <c r="H325" s="66">
        <v>6365155.7347999997</v>
      </c>
      <c r="I325" s="66">
        <v>7194836.5599999996</v>
      </c>
      <c r="J325" s="66">
        <f t="shared" si="76"/>
        <v>3597418.28</v>
      </c>
      <c r="K325" s="66">
        <f t="shared" si="77"/>
        <v>3597418.28</v>
      </c>
      <c r="L325" s="81">
        <v>214581033.39379999</v>
      </c>
      <c r="M325" s="71">
        <f t="shared" si="64"/>
        <v>464371492.82099998</v>
      </c>
      <c r="N325" s="70"/>
      <c r="O325" s="182"/>
      <c r="P325" s="72">
        <v>19</v>
      </c>
      <c r="Q325" s="182"/>
      <c r="R325" s="66" t="s">
        <v>768</v>
      </c>
      <c r="S325" s="66">
        <v>65143680.399999999</v>
      </c>
      <c r="T325" s="66">
        <v>0</v>
      </c>
      <c r="U325" s="66">
        <v>117188374.8044</v>
      </c>
      <c r="V325" s="66">
        <v>6635756.1656999998</v>
      </c>
      <c r="W325" s="66">
        <v>5469961.6500000004</v>
      </c>
      <c r="X325" s="66">
        <f t="shared" si="75"/>
        <v>2734980.8250000002</v>
      </c>
      <c r="Y325" s="66">
        <f t="shared" si="65"/>
        <v>2734980.8250000002</v>
      </c>
      <c r="Z325" s="66">
        <v>477247069.1322</v>
      </c>
      <c r="AA325" s="71">
        <f t="shared" si="68"/>
        <v>668949861.32729995</v>
      </c>
    </row>
    <row r="326" spans="1:27" ht="24.9" customHeight="1">
      <c r="A326" s="180"/>
      <c r="B326" s="182"/>
      <c r="C326" s="62">
        <v>19</v>
      </c>
      <c r="D326" s="66" t="s">
        <v>769</v>
      </c>
      <c r="E326" s="66">
        <v>75073313.907199994</v>
      </c>
      <c r="F326" s="66">
        <v>0</v>
      </c>
      <c r="G326" s="66">
        <v>135051007.1582</v>
      </c>
      <c r="H326" s="66">
        <v>5797416.6858000001</v>
      </c>
      <c r="I326" s="66">
        <v>6303729.6299999999</v>
      </c>
      <c r="J326" s="66">
        <f t="shared" si="76"/>
        <v>3151864.8149999999</v>
      </c>
      <c r="K326" s="66">
        <f t="shared" si="77"/>
        <v>3151864.8149999999</v>
      </c>
      <c r="L326" s="81">
        <v>192480913.60780001</v>
      </c>
      <c r="M326" s="71">
        <f t="shared" si="64"/>
        <v>411554516.17400002</v>
      </c>
      <c r="N326" s="70"/>
      <c r="O326" s="182"/>
      <c r="P326" s="72">
        <v>20</v>
      </c>
      <c r="Q326" s="182"/>
      <c r="R326" s="66" t="s">
        <v>770</v>
      </c>
      <c r="S326" s="66">
        <v>70463925.620000005</v>
      </c>
      <c r="T326" s="66">
        <v>0</v>
      </c>
      <c r="U326" s="66">
        <v>126759078.92649999</v>
      </c>
      <c r="V326" s="66">
        <v>7213021.3027999997</v>
      </c>
      <c r="W326" s="66">
        <v>5916690.1399999997</v>
      </c>
      <c r="X326" s="66">
        <f t="shared" si="75"/>
        <v>2958345.07</v>
      </c>
      <c r="Y326" s="66">
        <f t="shared" si="65"/>
        <v>2958345.07</v>
      </c>
      <c r="Z326" s="66">
        <v>499718006.61760002</v>
      </c>
      <c r="AA326" s="71">
        <f t="shared" si="68"/>
        <v>707112377.53690004</v>
      </c>
    </row>
    <row r="327" spans="1:27" ht="24.9" customHeight="1">
      <c r="A327" s="180"/>
      <c r="B327" s="182"/>
      <c r="C327" s="62">
        <v>20</v>
      </c>
      <c r="D327" s="66" t="s">
        <v>771</v>
      </c>
      <c r="E327" s="66">
        <v>66694775.888700001</v>
      </c>
      <c r="F327" s="66">
        <v>0</v>
      </c>
      <c r="G327" s="66">
        <v>119978674.0094</v>
      </c>
      <c r="H327" s="66">
        <v>5425064.0242999997</v>
      </c>
      <c r="I327" s="66">
        <v>5600203.5</v>
      </c>
      <c r="J327" s="66">
        <f t="shared" si="76"/>
        <v>2800101.75</v>
      </c>
      <c r="K327" s="66">
        <f t="shared" si="77"/>
        <v>2800101.75</v>
      </c>
      <c r="L327" s="81">
        <v>177986510.87740001</v>
      </c>
      <c r="M327" s="71">
        <f t="shared" ref="M327:M390" si="78">E327+F327+G327+H327+K327+L327</f>
        <v>372885126.54979998</v>
      </c>
      <c r="N327" s="70"/>
      <c r="O327" s="182"/>
      <c r="P327" s="72">
        <v>21</v>
      </c>
      <c r="Q327" s="182"/>
      <c r="R327" s="66" t="s">
        <v>772</v>
      </c>
      <c r="S327" s="66">
        <v>72776409.890000001</v>
      </c>
      <c r="T327" s="66">
        <v>0</v>
      </c>
      <c r="U327" s="66">
        <v>130919056.8672</v>
      </c>
      <c r="V327" s="66">
        <v>6887689.5926999999</v>
      </c>
      <c r="W327" s="66">
        <v>6110864.0099999998</v>
      </c>
      <c r="X327" s="66">
        <f t="shared" si="75"/>
        <v>3055432.0049999999</v>
      </c>
      <c r="Y327" s="66">
        <f t="shared" si="65"/>
        <v>3055432.0049999999</v>
      </c>
      <c r="Z327" s="66">
        <v>487053967.08139998</v>
      </c>
      <c r="AA327" s="71">
        <f t="shared" si="68"/>
        <v>700692555.43630004</v>
      </c>
    </row>
    <row r="328" spans="1:27" ht="24.9" customHeight="1">
      <c r="A328" s="180"/>
      <c r="B328" s="182"/>
      <c r="C328" s="62">
        <v>21</v>
      </c>
      <c r="D328" s="66" t="s">
        <v>773</v>
      </c>
      <c r="E328" s="66">
        <v>73355088.8301</v>
      </c>
      <c r="F328" s="66">
        <v>0</v>
      </c>
      <c r="G328" s="66">
        <v>131960054.913</v>
      </c>
      <c r="H328" s="66">
        <v>5915702.7085999995</v>
      </c>
      <c r="I328" s="66">
        <v>6159454.3099999996</v>
      </c>
      <c r="J328" s="66">
        <f t="shared" si="76"/>
        <v>3079727.1549999998</v>
      </c>
      <c r="K328" s="66">
        <f t="shared" si="77"/>
        <v>3079727.1549999998</v>
      </c>
      <c r="L328" s="81">
        <v>197085379.8283</v>
      </c>
      <c r="M328" s="71">
        <f t="shared" si="78"/>
        <v>411395953.435</v>
      </c>
      <c r="N328" s="70"/>
      <c r="O328" s="182"/>
      <c r="P328" s="72">
        <v>22</v>
      </c>
      <c r="Q328" s="182"/>
      <c r="R328" s="66" t="s">
        <v>774</v>
      </c>
      <c r="S328" s="66">
        <v>135155242.53</v>
      </c>
      <c r="T328" s="66">
        <v>0</v>
      </c>
      <c r="U328" s="66">
        <v>243133687.27610001</v>
      </c>
      <c r="V328" s="66">
        <v>11610417.0691</v>
      </c>
      <c r="W328" s="66">
        <v>11348667.9</v>
      </c>
      <c r="X328" s="66">
        <f t="shared" si="75"/>
        <v>5674333.9500000002</v>
      </c>
      <c r="Y328" s="66">
        <f t="shared" si="65"/>
        <v>5674333.9500000002</v>
      </c>
      <c r="Z328" s="66">
        <v>670893431.93939996</v>
      </c>
      <c r="AA328" s="71">
        <f t="shared" si="68"/>
        <v>1066467112.7646</v>
      </c>
    </row>
    <row r="329" spans="1:27" ht="24.9" customHeight="1">
      <c r="A329" s="180"/>
      <c r="B329" s="182"/>
      <c r="C329" s="62">
        <v>22</v>
      </c>
      <c r="D329" s="66" t="s">
        <v>775</v>
      </c>
      <c r="E329" s="66">
        <v>71358591.570700005</v>
      </c>
      <c r="F329" s="66">
        <v>0</v>
      </c>
      <c r="G329" s="66">
        <v>128368512.85070001</v>
      </c>
      <c r="H329" s="66">
        <v>5659333.5557000004</v>
      </c>
      <c r="I329" s="66">
        <v>5991813.1399999997</v>
      </c>
      <c r="J329" s="66">
        <f t="shared" si="76"/>
        <v>2995906.57</v>
      </c>
      <c r="K329" s="66">
        <f t="shared" si="77"/>
        <v>2995906.57</v>
      </c>
      <c r="L329" s="81">
        <v>187105814.39579999</v>
      </c>
      <c r="M329" s="71">
        <f t="shared" si="78"/>
        <v>395488158.9429</v>
      </c>
      <c r="N329" s="70"/>
      <c r="O329" s="183"/>
      <c r="P329" s="72">
        <v>23</v>
      </c>
      <c r="Q329" s="183"/>
      <c r="R329" s="66" t="s">
        <v>776</v>
      </c>
      <c r="S329" s="66">
        <v>79996520.109999999</v>
      </c>
      <c r="T329" s="66">
        <v>0</v>
      </c>
      <c r="U329" s="66">
        <v>143907469.21689999</v>
      </c>
      <c r="V329" s="66">
        <v>6832496.9732999997</v>
      </c>
      <c r="W329" s="66">
        <v>6717119.6799999997</v>
      </c>
      <c r="X329" s="66">
        <f t="shared" si="75"/>
        <v>3358559.84</v>
      </c>
      <c r="Y329" s="66">
        <f t="shared" si="65"/>
        <v>3358559.84</v>
      </c>
      <c r="Z329" s="66">
        <v>484905509.08350003</v>
      </c>
      <c r="AA329" s="71">
        <f t="shared" si="68"/>
        <v>719000555.22370005</v>
      </c>
    </row>
    <row r="330" spans="1:27" ht="24.9" customHeight="1">
      <c r="A330" s="180"/>
      <c r="B330" s="182"/>
      <c r="C330" s="62">
        <v>23</v>
      </c>
      <c r="D330" s="66" t="s">
        <v>777</v>
      </c>
      <c r="E330" s="66">
        <v>69022172.645699993</v>
      </c>
      <c r="F330" s="66">
        <v>0</v>
      </c>
      <c r="G330" s="66">
        <v>124165478.3391</v>
      </c>
      <c r="H330" s="66">
        <v>5566995.9648000002</v>
      </c>
      <c r="I330" s="66">
        <v>5795629.5300000003</v>
      </c>
      <c r="J330" s="66">
        <f t="shared" si="76"/>
        <v>2897814.7650000001</v>
      </c>
      <c r="K330" s="66">
        <f t="shared" si="77"/>
        <v>2897814.7650000001</v>
      </c>
      <c r="L330" s="81">
        <v>183511430.98460001</v>
      </c>
      <c r="M330" s="71">
        <f t="shared" si="78"/>
        <v>385163892.69919997</v>
      </c>
      <c r="N330" s="70"/>
      <c r="O330" s="62"/>
      <c r="P330" s="174" t="s">
        <v>778</v>
      </c>
      <c r="Q330" s="175"/>
      <c r="R330" s="67"/>
      <c r="S330" s="67">
        <f t="shared" ref="S330:X330" si="79">SUM(S307:S329)</f>
        <v>2000963560.0599999</v>
      </c>
      <c r="T330" s="67">
        <f t="shared" si="79"/>
        <v>0</v>
      </c>
      <c r="U330" s="67">
        <f t="shared" si="79"/>
        <v>3599576600.5299001</v>
      </c>
      <c r="V330" s="67">
        <f t="shared" si="79"/>
        <v>185094410.74990001</v>
      </c>
      <c r="W330" s="67">
        <f t="shared" si="79"/>
        <v>168016204.83000001</v>
      </c>
      <c r="X330" s="67">
        <f t="shared" si="79"/>
        <v>84008102.415000007</v>
      </c>
      <c r="Y330" s="67">
        <f t="shared" si="65"/>
        <v>84008102.415000007</v>
      </c>
      <c r="Z330" s="67">
        <f>SUM(Z307:Z329)</f>
        <v>12240706104.924801</v>
      </c>
      <c r="AA330" s="67">
        <f>SUM(AA307:AA329)</f>
        <v>18110348778.6796</v>
      </c>
    </row>
    <row r="331" spans="1:27" ht="24.9" customHeight="1">
      <c r="A331" s="180"/>
      <c r="B331" s="182"/>
      <c r="C331" s="62">
        <v>24</v>
      </c>
      <c r="D331" s="66" t="s">
        <v>779</v>
      </c>
      <c r="E331" s="66">
        <v>71402528.832200006</v>
      </c>
      <c r="F331" s="66">
        <v>0</v>
      </c>
      <c r="G331" s="66">
        <v>128447552.5266</v>
      </c>
      <c r="H331" s="66">
        <v>5630992.3150000004</v>
      </c>
      <c r="I331" s="66">
        <v>5995502.4400000004</v>
      </c>
      <c r="J331" s="66">
        <f t="shared" si="76"/>
        <v>2997751.22</v>
      </c>
      <c r="K331" s="66">
        <f t="shared" si="77"/>
        <v>2997751.22</v>
      </c>
      <c r="L331" s="81">
        <v>186002587.80419999</v>
      </c>
      <c r="M331" s="71">
        <f t="shared" si="78"/>
        <v>394481412.69800001</v>
      </c>
      <c r="N331" s="70"/>
      <c r="O331" s="181">
        <v>33</v>
      </c>
      <c r="P331" s="72">
        <v>1</v>
      </c>
      <c r="Q331" s="190" t="s">
        <v>118</v>
      </c>
      <c r="R331" s="66" t="s">
        <v>780</v>
      </c>
      <c r="S331" s="66">
        <v>74949782.489999995</v>
      </c>
      <c r="T331" s="66">
        <v>0</v>
      </c>
      <c r="U331" s="66">
        <v>134828783.82030001</v>
      </c>
      <c r="V331" s="66">
        <v>5014468.6900000004</v>
      </c>
      <c r="W331" s="66">
        <v>6293356.9800000004</v>
      </c>
      <c r="X331" s="66">
        <v>0</v>
      </c>
      <c r="Y331" s="66">
        <f t="shared" si="65"/>
        <v>6293356.9800000004</v>
      </c>
      <c r="Z331" s="66">
        <v>193433454.8788</v>
      </c>
      <c r="AA331" s="71">
        <f t="shared" si="68"/>
        <v>414519846.85909998</v>
      </c>
    </row>
    <row r="332" spans="1:27" ht="24.9" customHeight="1">
      <c r="A332" s="180"/>
      <c r="B332" s="182"/>
      <c r="C332" s="62">
        <v>25</v>
      </c>
      <c r="D332" s="66" t="s">
        <v>781</v>
      </c>
      <c r="E332" s="66">
        <v>72056424.424500003</v>
      </c>
      <c r="F332" s="66">
        <v>0</v>
      </c>
      <c r="G332" s="66">
        <v>129623859.44589999</v>
      </c>
      <c r="H332" s="66">
        <v>5740711.6305999998</v>
      </c>
      <c r="I332" s="66">
        <v>6050408.5099999998</v>
      </c>
      <c r="J332" s="66">
        <f t="shared" si="76"/>
        <v>3025204.2549999999</v>
      </c>
      <c r="K332" s="66">
        <f t="shared" si="77"/>
        <v>3025204.2549999999</v>
      </c>
      <c r="L332" s="81">
        <v>190273581.70969999</v>
      </c>
      <c r="M332" s="71">
        <f t="shared" si="78"/>
        <v>400719781.46569997</v>
      </c>
      <c r="N332" s="70"/>
      <c r="O332" s="182"/>
      <c r="P332" s="72">
        <v>2</v>
      </c>
      <c r="Q332" s="191"/>
      <c r="R332" s="66" t="s">
        <v>782</v>
      </c>
      <c r="S332" s="66">
        <v>85317966.420000002</v>
      </c>
      <c r="T332" s="66">
        <v>0</v>
      </c>
      <c r="U332" s="66">
        <v>153480333.99669999</v>
      </c>
      <c r="V332" s="66">
        <v>5808824.7967999997</v>
      </c>
      <c r="W332" s="66">
        <v>7163949.0099999998</v>
      </c>
      <c r="X332" s="66">
        <v>0</v>
      </c>
      <c r="Y332" s="66">
        <f t="shared" si="65"/>
        <v>7163949.0099999998</v>
      </c>
      <c r="Z332" s="66">
        <v>224354993.82280001</v>
      </c>
      <c r="AA332" s="71">
        <f t="shared" si="68"/>
        <v>476126068.04629999</v>
      </c>
    </row>
    <row r="333" spans="1:27" ht="24.9" customHeight="1">
      <c r="A333" s="180"/>
      <c r="B333" s="182"/>
      <c r="C333" s="62">
        <v>26</v>
      </c>
      <c r="D333" s="66" t="s">
        <v>783</v>
      </c>
      <c r="E333" s="66">
        <v>76655787.181299999</v>
      </c>
      <c r="F333" s="66">
        <v>0</v>
      </c>
      <c r="G333" s="66">
        <v>137897752.54049999</v>
      </c>
      <c r="H333" s="66">
        <v>6284533.8777999999</v>
      </c>
      <c r="I333" s="66">
        <v>6436606.2000000002</v>
      </c>
      <c r="J333" s="66">
        <f t="shared" si="76"/>
        <v>3218303.1</v>
      </c>
      <c r="K333" s="66">
        <f t="shared" si="77"/>
        <v>3218303.1</v>
      </c>
      <c r="L333" s="81">
        <v>211442703.03</v>
      </c>
      <c r="M333" s="71">
        <f t="shared" si="78"/>
        <v>435499079.72960001</v>
      </c>
      <c r="N333" s="70"/>
      <c r="O333" s="182"/>
      <c r="P333" s="72">
        <v>3</v>
      </c>
      <c r="Q333" s="191"/>
      <c r="R333" s="66" t="s">
        <v>784</v>
      </c>
      <c r="S333" s="66">
        <v>91944291.180000007</v>
      </c>
      <c r="T333" s="66">
        <v>0</v>
      </c>
      <c r="U333" s="66">
        <v>165400572.845</v>
      </c>
      <c r="V333" s="66">
        <v>6024854.8041000003</v>
      </c>
      <c r="W333" s="66">
        <v>7720345.9299999997</v>
      </c>
      <c r="X333" s="66">
        <v>0</v>
      </c>
      <c r="Y333" s="66">
        <f t="shared" si="65"/>
        <v>7720345.9299999997</v>
      </c>
      <c r="Z333" s="66">
        <v>232764295.67969999</v>
      </c>
      <c r="AA333" s="71">
        <f t="shared" si="68"/>
        <v>503854360.43879998</v>
      </c>
    </row>
    <row r="334" spans="1:27" ht="24.9" customHeight="1">
      <c r="A334" s="180"/>
      <c r="B334" s="183"/>
      <c r="C334" s="62">
        <v>27</v>
      </c>
      <c r="D334" s="66" t="s">
        <v>785</v>
      </c>
      <c r="E334" s="66">
        <v>68575090.463799998</v>
      </c>
      <c r="F334" s="66">
        <v>0</v>
      </c>
      <c r="G334" s="66">
        <v>123361212.5302</v>
      </c>
      <c r="H334" s="66">
        <v>5425267.1873000003</v>
      </c>
      <c r="I334" s="66">
        <v>5758089.0899999999</v>
      </c>
      <c r="J334" s="66">
        <f t="shared" si="76"/>
        <v>2879044.5449999999</v>
      </c>
      <c r="K334" s="66">
        <f t="shared" si="77"/>
        <v>2879044.5449999999</v>
      </c>
      <c r="L334" s="81">
        <v>177994419.3118</v>
      </c>
      <c r="M334" s="71">
        <f t="shared" si="78"/>
        <v>378235034.0381</v>
      </c>
      <c r="N334" s="70"/>
      <c r="O334" s="182"/>
      <c r="P334" s="72">
        <v>4</v>
      </c>
      <c r="Q334" s="191"/>
      <c r="R334" s="66" t="s">
        <v>786</v>
      </c>
      <c r="S334" s="66">
        <v>99829646.409999996</v>
      </c>
      <c r="T334" s="66">
        <v>0</v>
      </c>
      <c r="U334" s="66">
        <v>179585708.81940001</v>
      </c>
      <c r="V334" s="66">
        <v>6631194.8262</v>
      </c>
      <c r="W334" s="66">
        <v>8382460.6500000004</v>
      </c>
      <c r="X334" s="66">
        <v>0</v>
      </c>
      <c r="Y334" s="66">
        <f t="shared" si="65"/>
        <v>8382460.6500000004</v>
      </c>
      <c r="Z334" s="66">
        <v>256367017.9919</v>
      </c>
      <c r="AA334" s="71">
        <f t="shared" si="68"/>
        <v>550796028.69749999</v>
      </c>
    </row>
    <row r="335" spans="1:27" ht="24.9" customHeight="1">
      <c r="A335" s="62"/>
      <c r="B335" s="173" t="s">
        <v>787</v>
      </c>
      <c r="C335" s="174"/>
      <c r="D335" s="67"/>
      <c r="E335" s="67">
        <f t="shared" ref="E335:N335" si="80">SUM(E308:E334)</f>
        <v>2026528200.806</v>
      </c>
      <c r="F335" s="67">
        <f t="shared" si="80"/>
        <v>0</v>
      </c>
      <c r="G335" s="67">
        <f t="shared" si="80"/>
        <v>3645565385.3074999</v>
      </c>
      <c r="H335" s="67">
        <f t="shared" si="80"/>
        <v>160644301.5961</v>
      </c>
      <c r="I335" s="67">
        <f t="shared" si="80"/>
        <v>170162807.56999999</v>
      </c>
      <c r="J335" s="67">
        <f t="shared" si="80"/>
        <v>85081403.784999996</v>
      </c>
      <c r="K335" s="67">
        <f t="shared" si="80"/>
        <v>85081403.784999996</v>
      </c>
      <c r="L335" s="67">
        <f t="shared" si="80"/>
        <v>5357130462.9614</v>
      </c>
      <c r="M335" s="67">
        <f t="shared" si="80"/>
        <v>11274949754.455999</v>
      </c>
      <c r="N335" s="67">
        <f t="shared" si="80"/>
        <v>0</v>
      </c>
      <c r="O335" s="182"/>
      <c r="P335" s="72">
        <v>5</v>
      </c>
      <c r="Q335" s="191"/>
      <c r="R335" s="66" t="s">
        <v>788</v>
      </c>
      <c r="S335" s="66">
        <v>93910239.069999993</v>
      </c>
      <c r="T335" s="66">
        <v>0</v>
      </c>
      <c r="U335" s="66">
        <v>168937158.99919999</v>
      </c>
      <c r="V335" s="66">
        <v>5886591.0846999995</v>
      </c>
      <c r="W335" s="66">
        <v>7885421.9400000004</v>
      </c>
      <c r="X335" s="66">
        <v>0</v>
      </c>
      <c r="Y335" s="66">
        <f t="shared" si="65"/>
        <v>7885421.9400000004</v>
      </c>
      <c r="Z335" s="66">
        <v>227382166.74829999</v>
      </c>
      <c r="AA335" s="71">
        <f t="shared" si="68"/>
        <v>504001577.84219998</v>
      </c>
    </row>
    <row r="336" spans="1:27" ht="24.9" customHeight="1">
      <c r="A336" s="180">
        <v>17</v>
      </c>
      <c r="B336" s="181" t="s">
        <v>789</v>
      </c>
      <c r="C336" s="62">
        <v>1</v>
      </c>
      <c r="D336" s="66" t="s">
        <v>790</v>
      </c>
      <c r="E336" s="66">
        <v>71611470.444800004</v>
      </c>
      <c r="F336" s="66">
        <v>0</v>
      </c>
      <c r="G336" s="66">
        <v>128823422.1127</v>
      </c>
      <c r="H336" s="66">
        <v>5109612.2637</v>
      </c>
      <c r="I336" s="66">
        <v>6013046.7699999996</v>
      </c>
      <c r="J336" s="66">
        <v>0</v>
      </c>
      <c r="K336" s="66">
        <f t="shared" ref="K336:K362" si="81">I336-J336</f>
        <v>6013046.7699999996</v>
      </c>
      <c r="L336" s="81">
        <v>202902046.4903</v>
      </c>
      <c r="M336" s="71">
        <f t="shared" si="78"/>
        <v>414459598.08149999</v>
      </c>
      <c r="N336" s="70"/>
      <c r="O336" s="182"/>
      <c r="P336" s="72">
        <v>6</v>
      </c>
      <c r="Q336" s="191"/>
      <c r="R336" s="66" t="s">
        <v>791</v>
      </c>
      <c r="S336" s="66">
        <v>85093306.370000005</v>
      </c>
      <c r="T336" s="66">
        <v>0</v>
      </c>
      <c r="U336" s="66">
        <v>153076188.18380001</v>
      </c>
      <c r="V336" s="66">
        <v>4907435.6409</v>
      </c>
      <c r="W336" s="66">
        <v>7145084.8399999999</v>
      </c>
      <c r="X336" s="66">
        <v>0</v>
      </c>
      <c r="Y336" s="66">
        <f t="shared" ref="Y336:Y399" si="82">W336-X336</f>
        <v>7145084.8399999999</v>
      </c>
      <c r="Z336" s="66">
        <v>189267028.04969999</v>
      </c>
      <c r="AA336" s="71">
        <f t="shared" si="68"/>
        <v>439489043.0844</v>
      </c>
    </row>
    <row r="337" spans="1:27" ht="24.9" customHeight="1">
      <c r="A337" s="180"/>
      <c r="B337" s="182"/>
      <c r="C337" s="62">
        <v>2</v>
      </c>
      <c r="D337" s="66" t="s">
        <v>792</v>
      </c>
      <c r="E337" s="66">
        <v>84695690.568700001</v>
      </c>
      <c r="F337" s="66">
        <v>0</v>
      </c>
      <c r="G337" s="66">
        <v>152360908.52959999</v>
      </c>
      <c r="H337" s="66">
        <v>5968540.3492000001</v>
      </c>
      <c r="I337" s="66">
        <v>7111697.9800000004</v>
      </c>
      <c r="J337" s="66">
        <v>0</v>
      </c>
      <c r="K337" s="66">
        <f t="shared" si="81"/>
        <v>7111697.9800000004</v>
      </c>
      <c r="L337" s="81">
        <v>236337149.48460001</v>
      </c>
      <c r="M337" s="71">
        <f t="shared" si="78"/>
        <v>486473986.91210002</v>
      </c>
      <c r="N337" s="70"/>
      <c r="O337" s="182"/>
      <c r="P337" s="72">
        <v>7</v>
      </c>
      <c r="Q337" s="191"/>
      <c r="R337" s="66" t="s">
        <v>793</v>
      </c>
      <c r="S337" s="66">
        <v>97188698.129999995</v>
      </c>
      <c r="T337" s="66">
        <v>0</v>
      </c>
      <c r="U337" s="66">
        <v>174834849.86939999</v>
      </c>
      <c r="V337" s="66">
        <v>6440345.7460000003</v>
      </c>
      <c r="W337" s="66">
        <v>8160706.4400000004</v>
      </c>
      <c r="X337" s="66">
        <v>0</v>
      </c>
      <c r="Y337" s="66">
        <f t="shared" si="82"/>
        <v>8160706.4400000004</v>
      </c>
      <c r="Z337" s="66">
        <v>248937922.6367</v>
      </c>
      <c r="AA337" s="71">
        <f t="shared" si="68"/>
        <v>535562522.82209998</v>
      </c>
    </row>
    <row r="338" spans="1:27" ht="24.9" customHeight="1">
      <c r="A338" s="180"/>
      <c r="B338" s="182"/>
      <c r="C338" s="62">
        <v>3</v>
      </c>
      <c r="D338" s="66" t="s">
        <v>794</v>
      </c>
      <c r="E338" s="66">
        <v>105109661.8304</v>
      </c>
      <c r="F338" s="66">
        <v>0</v>
      </c>
      <c r="G338" s="66">
        <v>189084042.68180001</v>
      </c>
      <c r="H338" s="66">
        <v>7156727.9631000003</v>
      </c>
      <c r="I338" s="66">
        <v>8825811.1300000008</v>
      </c>
      <c r="J338" s="66">
        <v>0</v>
      </c>
      <c r="K338" s="66">
        <f t="shared" si="81"/>
        <v>8825811.1300000008</v>
      </c>
      <c r="L338" s="81">
        <v>282589188.41250002</v>
      </c>
      <c r="M338" s="71">
        <f t="shared" si="78"/>
        <v>592765432.01779997</v>
      </c>
      <c r="N338" s="70"/>
      <c r="O338" s="182"/>
      <c r="P338" s="72">
        <v>8</v>
      </c>
      <c r="Q338" s="191"/>
      <c r="R338" s="66" t="s">
        <v>795</v>
      </c>
      <c r="S338" s="66">
        <v>82932158.099999994</v>
      </c>
      <c r="T338" s="66">
        <v>0</v>
      </c>
      <c r="U338" s="66">
        <v>149188451.8457</v>
      </c>
      <c r="V338" s="66">
        <v>5527590.7481000004</v>
      </c>
      <c r="W338" s="66">
        <v>6963618.2999999998</v>
      </c>
      <c r="X338" s="66">
        <v>0</v>
      </c>
      <c r="Y338" s="66">
        <f t="shared" si="82"/>
        <v>6963618.2999999998</v>
      </c>
      <c r="Z338" s="66">
        <v>213407523.8976</v>
      </c>
      <c r="AA338" s="71">
        <f t="shared" si="68"/>
        <v>458019342.89139998</v>
      </c>
    </row>
    <row r="339" spans="1:27" ht="24.9" customHeight="1">
      <c r="A339" s="180"/>
      <c r="B339" s="182"/>
      <c r="C339" s="62">
        <v>4</v>
      </c>
      <c r="D339" s="66" t="s">
        <v>796</v>
      </c>
      <c r="E339" s="66">
        <v>79503172.027999997</v>
      </c>
      <c r="F339" s="66">
        <v>0</v>
      </c>
      <c r="G339" s="66">
        <v>143019974.68000001</v>
      </c>
      <c r="H339" s="66">
        <v>5226182.6876999997</v>
      </c>
      <c r="I339" s="66">
        <v>6675694.4000000004</v>
      </c>
      <c r="J339" s="66">
        <v>0</v>
      </c>
      <c r="K339" s="66">
        <f t="shared" si="81"/>
        <v>6675694.4000000004</v>
      </c>
      <c r="L339" s="81">
        <v>207439730.37630001</v>
      </c>
      <c r="M339" s="71">
        <f t="shared" si="78"/>
        <v>441864754.17199999</v>
      </c>
      <c r="N339" s="70"/>
      <c r="O339" s="182"/>
      <c r="P339" s="72">
        <v>9</v>
      </c>
      <c r="Q339" s="191"/>
      <c r="R339" s="66" t="s">
        <v>797</v>
      </c>
      <c r="S339" s="66">
        <v>93873025.75</v>
      </c>
      <c r="T339" s="66">
        <v>0</v>
      </c>
      <c r="U339" s="66">
        <v>168870215.16159999</v>
      </c>
      <c r="V339" s="66">
        <v>5478086.6930999998</v>
      </c>
      <c r="W339" s="66">
        <v>7882297.2199999997</v>
      </c>
      <c r="X339" s="66">
        <v>0</v>
      </c>
      <c r="Y339" s="66">
        <f t="shared" si="82"/>
        <v>7882297.2199999997</v>
      </c>
      <c r="Z339" s="66">
        <v>211480502.0614</v>
      </c>
      <c r="AA339" s="71">
        <f t="shared" si="68"/>
        <v>487584126.88609999</v>
      </c>
    </row>
    <row r="340" spans="1:27" ht="24.9" customHeight="1">
      <c r="A340" s="180"/>
      <c r="B340" s="182"/>
      <c r="C340" s="62">
        <v>5</v>
      </c>
      <c r="D340" s="66" t="s">
        <v>798</v>
      </c>
      <c r="E340" s="66">
        <v>68220656.952500001</v>
      </c>
      <c r="F340" s="66">
        <v>0</v>
      </c>
      <c r="G340" s="66">
        <v>122723614.4348</v>
      </c>
      <c r="H340" s="66">
        <v>4527132.6091999998</v>
      </c>
      <c r="I340" s="66">
        <v>5728328.1399999997</v>
      </c>
      <c r="J340" s="66">
        <v>0</v>
      </c>
      <c r="K340" s="66">
        <f t="shared" si="81"/>
        <v>5728328.1399999997</v>
      </c>
      <c r="L340" s="81">
        <v>180228125.8565</v>
      </c>
      <c r="M340" s="71">
        <f t="shared" si="78"/>
        <v>381427857.99299997</v>
      </c>
      <c r="N340" s="70"/>
      <c r="O340" s="182"/>
      <c r="P340" s="72">
        <v>10</v>
      </c>
      <c r="Q340" s="191"/>
      <c r="R340" s="66" t="s">
        <v>799</v>
      </c>
      <c r="S340" s="66">
        <v>84754273.129999995</v>
      </c>
      <c r="T340" s="66">
        <v>0</v>
      </c>
      <c r="U340" s="66">
        <v>152466293.9666</v>
      </c>
      <c r="V340" s="66">
        <v>5236040.5329</v>
      </c>
      <c r="W340" s="66">
        <v>7116617.0099999998</v>
      </c>
      <c r="X340" s="66">
        <v>0</v>
      </c>
      <c r="Y340" s="66">
        <f t="shared" si="82"/>
        <v>7116617.0099999998</v>
      </c>
      <c r="Z340" s="66">
        <v>202058481.25040001</v>
      </c>
      <c r="AA340" s="71">
        <f t="shared" si="68"/>
        <v>451631705.88990003</v>
      </c>
    </row>
    <row r="341" spans="1:27" ht="24.9" customHeight="1">
      <c r="A341" s="180"/>
      <c r="B341" s="182"/>
      <c r="C341" s="62">
        <v>6</v>
      </c>
      <c r="D341" s="66" t="s">
        <v>800</v>
      </c>
      <c r="E341" s="66">
        <v>66922652.834399998</v>
      </c>
      <c r="F341" s="66">
        <v>0</v>
      </c>
      <c r="G341" s="66">
        <v>120388606.7581</v>
      </c>
      <c r="H341" s="66">
        <v>4718749.1941</v>
      </c>
      <c r="I341" s="66">
        <v>5619337.7800000003</v>
      </c>
      <c r="J341" s="66">
        <v>0</v>
      </c>
      <c r="K341" s="66">
        <f t="shared" si="81"/>
        <v>5619337.7800000003</v>
      </c>
      <c r="L341" s="81">
        <v>187687097.51930001</v>
      </c>
      <c r="M341" s="71">
        <f t="shared" si="78"/>
        <v>385336444.08590001</v>
      </c>
      <c r="N341" s="70"/>
      <c r="O341" s="182"/>
      <c r="P341" s="72">
        <v>11</v>
      </c>
      <c r="Q341" s="191"/>
      <c r="R341" s="66" t="s">
        <v>801</v>
      </c>
      <c r="S341" s="66">
        <v>78593240.75</v>
      </c>
      <c r="T341" s="66">
        <v>0</v>
      </c>
      <c r="U341" s="66">
        <v>141383079.6408</v>
      </c>
      <c r="V341" s="66">
        <v>5340342.1681000004</v>
      </c>
      <c r="W341" s="66">
        <v>6599289.6100000003</v>
      </c>
      <c r="X341" s="66">
        <v>0</v>
      </c>
      <c r="Y341" s="66">
        <f t="shared" si="82"/>
        <v>6599289.6100000003</v>
      </c>
      <c r="Z341" s="66">
        <v>206118583.5733</v>
      </c>
      <c r="AA341" s="71">
        <f t="shared" si="68"/>
        <v>438034535.74220002</v>
      </c>
    </row>
    <row r="342" spans="1:27" ht="24.9" customHeight="1">
      <c r="A342" s="180"/>
      <c r="B342" s="182"/>
      <c r="C342" s="62">
        <v>7</v>
      </c>
      <c r="D342" s="66" t="s">
        <v>802</v>
      </c>
      <c r="E342" s="66">
        <v>93941031.775099993</v>
      </c>
      <c r="F342" s="66">
        <v>0</v>
      </c>
      <c r="G342" s="66">
        <v>168992552.66</v>
      </c>
      <c r="H342" s="66">
        <v>6397914.0972999996</v>
      </c>
      <c r="I342" s="66">
        <v>7888007.5300000003</v>
      </c>
      <c r="J342" s="66">
        <v>0</v>
      </c>
      <c r="K342" s="66">
        <f t="shared" si="81"/>
        <v>7888007.5300000003</v>
      </c>
      <c r="L342" s="81">
        <v>253051186.12200001</v>
      </c>
      <c r="M342" s="71">
        <f t="shared" si="78"/>
        <v>530270692.18440002</v>
      </c>
      <c r="N342" s="70"/>
      <c r="O342" s="182"/>
      <c r="P342" s="72">
        <v>12</v>
      </c>
      <c r="Q342" s="191"/>
      <c r="R342" s="66" t="s">
        <v>803</v>
      </c>
      <c r="S342" s="66">
        <v>93574815.5</v>
      </c>
      <c r="T342" s="66">
        <v>0</v>
      </c>
      <c r="U342" s="66">
        <v>168333758.28369999</v>
      </c>
      <c r="V342" s="66">
        <v>5512646.9796000002</v>
      </c>
      <c r="W342" s="66">
        <v>7857257.21</v>
      </c>
      <c r="X342" s="66">
        <v>0</v>
      </c>
      <c r="Y342" s="66">
        <f t="shared" si="82"/>
        <v>7857257.21</v>
      </c>
      <c r="Z342" s="66">
        <v>212825814.6155</v>
      </c>
      <c r="AA342" s="71">
        <f t="shared" si="68"/>
        <v>488104292.58880001</v>
      </c>
    </row>
    <row r="343" spans="1:27" ht="24.9" customHeight="1">
      <c r="A343" s="180"/>
      <c r="B343" s="182"/>
      <c r="C343" s="62">
        <v>8</v>
      </c>
      <c r="D343" s="66" t="s">
        <v>804</v>
      </c>
      <c r="E343" s="66">
        <v>78841796.135100007</v>
      </c>
      <c r="F343" s="66">
        <v>0</v>
      </c>
      <c r="G343" s="66">
        <v>141830211.28459999</v>
      </c>
      <c r="H343" s="66">
        <v>5337967.4939999999</v>
      </c>
      <c r="I343" s="66">
        <v>6620160.2199999997</v>
      </c>
      <c r="J343" s="66">
        <v>0</v>
      </c>
      <c r="K343" s="66">
        <f t="shared" si="81"/>
        <v>6620160.2199999997</v>
      </c>
      <c r="L343" s="81">
        <v>211791126.69760001</v>
      </c>
      <c r="M343" s="71">
        <f t="shared" si="78"/>
        <v>444421261.83130002</v>
      </c>
      <c r="N343" s="70"/>
      <c r="O343" s="182"/>
      <c r="P343" s="72">
        <v>13</v>
      </c>
      <c r="Q343" s="191"/>
      <c r="R343" s="66" t="s">
        <v>805</v>
      </c>
      <c r="S343" s="66">
        <v>98178864.25</v>
      </c>
      <c r="T343" s="66">
        <v>0</v>
      </c>
      <c r="U343" s="66">
        <v>176616081.1045</v>
      </c>
      <c r="V343" s="66">
        <v>6172181.8514</v>
      </c>
      <c r="W343" s="66">
        <v>8243848.3600000003</v>
      </c>
      <c r="X343" s="66">
        <v>0</v>
      </c>
      <c r="Y343" s="66">
        <f t="shared" si="82"/>
        <v>8243848.3600000003</v>
      </c>
      <c r="Z343" s="66">
        <v>238499228.65450001</v>
      </c>
      <c r="AA343" s="71">
        <f t="shared" si="68"/>
        <v>527710204.22039998</v>
      </c>
    </row>
    <row r="344" spans="1:27" ht="24.9" customHeight="1">
      <c r="A344" s="180"/>
      <c r="B344" s="182"/>
      <c r="C344" s="62">
        <v>9</v>
      </c>
      <c r="D344" s="66" t="s">
        <v>806</v>
      </c>
      <c r="E344" s="66">
        <v>69060181.127700001</v>
      </c>
      <c r="F344" s="66">
        <v>0</v>
      </c>
      <c r="G344" s="66">
        <v>124233852.61130001</v>
      </c>
      <c r="H344" s="66">
        <v>4829247.3013000004</v>
      </c>
      <c r="I344" s="66">
        <v>5798821.0099999998</v>
      </c>
      <c r="J344" s="66">
        <v>0</v>
      </c>
      <c r="K344" s="66">
        <f t="shared" si="81"/>
        <v>5798821.0099999998</v>
      </c>
      <c r="L344" s="81">
        <v>191988407.0898</v>
      </c>
      <c r="M344" s="71">
        <f t="shared" si="78"/>
        <v>395910509.1401</v>
      </c>
      <c r="N344" s="70"/>
      <c r="O344" s="182"/>
      <c r="P344" s="72">
        <v>14</v>
      </c>
      <c r="Q344" s="191"/>
      <c r="R344" s="66" t="s">
        <v>807</v>
      </c>
      <c r="S344" s="66">
        <v>88464357.879999995</v>
      </c>
      <c r="T344" s="66">
        <v>0</v>
      </c>
      <c r="U344" s="66">
        <v>159140445.6047</v>
      </c>
      <c r="V344" s="66">
        <v>5594453.9540999997</v>
      </c>
      <c r="W344" s="66">
        <v>7428144.1100000003</v>
      </c>
      <c r="X344" s="66">
        <v>0</v>
      </c>
      <c r="Y344" s="66">
        <f t="shared" si="82"/>
        <v>7428144.1100000003</v>
      </c>
      <c r="Z344" s="66">
        <v>216010277.51300001</v>
      </c>
      <c r="AA344" s="71">
        <f t="shared" si="68"/>
        <v>476637679.0618</v>
      </c>
    </row>
    <row r="345" spans="1:27" ht="24.9" customHeight="1">
      <c r="A345" s="180"/>
      <c r="B345" s="182"/>
      <c r="C345" s="62">
        <v>10</v>
      </c>
      <c r="D345" s="66" t="s">
        <v>808</v>
      </c>
      <c r="E345" s="66">
        <v>72958322.265100002</v>
      </c>
      <c r="F345" s="66">
        <v>0</v>
      </c>
      <c r="G345" s="66">
        <v>131246302.97490001</v>
      </c>
      <c r="H345" s="66">
        <v>4917927.9578999998</v>
      </c>
      <c r="I345" s="66">
        <v>6126138.7599999998</v>
      </c>
      <c r="J345" s="66">
        <v>0</v>
      </c>
      <c r="K345" s="66">
        <f t="shared" si="81"/>
        <v>6126138.7599999998</v>
      </c>
      <c r="L345" s="81">
        <v>195440438.68270001</v>
      </c>
      <c r="M345" s="71">
        <f t="shared" si="78"/>
        <v>410689130.64060003</v>
      </c>
      <c r="N345" s="70"/>
      <c r="O345" s="182"/>
      <c r="P345" s="72">
        <v>15</v>
      </c>
      <c r="Q345" s="191"/>
      <c r="R345" s="66" t="s">
        <v>809</v>
      </c>
      <c r="S345" s="66">
        <v>79214413.200000003</v>
      </c>
      <c r="T345" s="66">
        <v>0</v>
      </c>
      <c r="U345" s="66">
        <v>142500520.19049999</v>
      </c>
      <c r="V345" s="66">
        <v>5007143.5345999999</v>
      </c>
      <c r="W345" s="66">
        <v>6651448.0099999998</v>
      </c>
      <c r="X345" s="66">
        <v>0</v>
      </c>
      <c r="Y345" s="66">
        <f t="shared" si="82"/>
        <v>6651448.0099999998</v>
      </c>
      <c r="Z345" s="66">
        <v>193148311.88479999</v>
      </c>
      <c r="AA345" s="71">
        <f t="shared" si="68"/>
        <v>426521836.81989998</v>
      </c>
    </row>
    <row r="346" spans="1:27" ht="24.9" customHeight="1">
      <c r="A346" s="180"/>
      <c r="B346" s="182"/>
      <c r="C346" s="62">
        <v>11</v>
      </c>
      <c r="D346" s="66" t="s">
        <v>810</v>
      </c>
      <c r="E346" s="66">
        <v>101489259.494</v>
      </c>
      <c r="F346" s="66">
        <v>0</v>
      </c>
      <c r="G346" s="66">
        <v>182571222.66139999</v>
      </c>
      <c r="H346" s="66">
        <v>6696326.7077000001</v>
      </c>
      <c r="I346" s="66">
        <v>8521814.4600000009</v>
      </c>
      <c r="J346" s="66">
        <v>0</v>
      </c>
      <c r="K346" s="66">
        <f t="shared" si="81"/>
        <v>8521814.4600000009</v>
      </c>
      <c r="L346" s="81">
        <v>264667358.10710001</v>
      </c>
      <c r="M346" s="71">
        <f t="shared" si="78"/>
        <v>563945981.43019998</v>
      </c>
      <c r="N346" s="70"/>
      <c r="O346" s="182"/>
      <c r="P346" s="72">
        <v>16</v>
      </c>
      <c r="Q346" s="191"/>
      <c r="R346" s="66" t="s">
        <v>811</v>
      </c>
      <c r="S346" s="66">
        <v>88026057.629999995</v>
      </c>
      <c r="T346" s="66">
        <v>0</v>
      </c>
      <c r="U346" s="66">
        <v>158351977.82390001</v>
      </c>
      <c r="V346" s="66">
        <v>6457140.5554</v>
      </c>
      <c r="W346" s="66">
        <v>7391341.0599999996</v>
      </c>
      <c r="X346" s="66">
        <v>0</v>
      </c>
      <c r="Y346" s="66">
        <f t="shared" si="82"/>
        <v>7391341.0599999996</v>
      </c>
      <c r="Z346" s="66">
        <v>249591686.54280001</v>
      </c>
      <c r="AA346" s="71">
        <f t="shared" si="68"/>
        <v>509818203.61210001</v>
      </c>
    </row>
    <row r="347" spans="1:27" ht="24.9" customHeight="1">
      <c r="A347" s="180"/>
      <c r="B347" s="182"/>
      <c r="C347" s="62">
        <v>12</v>
      </c>
      <c r="D347" s="66" t="s">
        <v>812</v>
      </c>
      <c r="E347" s="66">
        <v>75037458.807899997</v>
      </c>
      <c r="F347" s="66">
        <v>0</v>
      </c>
      <c r="G347" s="66">
        <v>134986506.6327</v>
      </c>
      <c r="H347" s="66">
        <v>5025141.5963000003</v>
      </c>
      <c r="I347" s="66">
        <v>6300718.96</v>
      </c>
      <c r="J347" s="66">
        <v>0</v>
      </c>
      <c r="K347" s="66">
        <f t="shared" si="81"/>
        <v>6300718.96</v>
      </c>
      <c r="L347" s="81">
        <v>199613895.2313</v>
      </c>
      <c r="M347" s="71">
        <f t="shared" si="78"/>
        <v>420963721.22820002</v>
      </c>
      <c r="N347" s="70"/>
      <c r="O347" s="182"/>
      <c r="P347" s="72">
        <v>17</v>
      </c>
      <c r="Q347" s="191"/>
      <c r="R347" s="66" t="s">
        <v>813</v>
      </c>
      <c r="S347" s="66">
        <v>87314939.260000005</v>
      </c>
      <c r="T347" s="66">
        <v>0</v>
      </c>
      <c r="U347" s="66">
        <v>157072731.61410001</v>
      </c>
      <c r="V347" s="66">
        <v>6029008.3591</v>
      </c>
      <c r="W347" s="66">
        <v>7331630.1299999999</v>
      </c>
      <c r="X347" s="66">
        <v>0</v>
      </c>
      <c r="Y347" s="66">
        <f t="shared" si="82"/>
        <v>7331630.1299999999</v>
      </c>
      <c r="Z347" s="66">
        <v>232925979.22639999</v>
      </c>
      <c r="AA347" s="71">
        <f t="shared" ref="AA347:AA410" si="83">S347+T347+U347+V347+Y347+Z347</f>
        <v>490674288.58960003</v>
      </c>
    </row>
    <row r="348" spans="1:27" ht="24.9" customHeight="1">
      <c r="A348" s="180"/>
      <c r="B348" s="182"/>
      <c r="C348" s="62">
        <v>13</v>
      </c>
      <c r="D348" s="66" t="s">
        <v>814</v>
      </c>
      <c r="E348" s="66">
        <v>63343846.524899997</v>
      </c>
      <c r="F348" s="66">
        <v>0</v>
      </c>
      <c r="G348" s="66">
        <v>113950614.7456</v>
      </c>
      <c r="H348" s="66">
        <v>4811944.5844000001</v>
      </c>
      <c r="I348" s="66">
        <v>5318833.84</v>
      </c>
      <c r="J348" s="66">
        <v>0</v>
      </c>
      <c r="K348" s="66">
        <f t="shared" si="81"/>
        <v>5318833.84</v>
      </c>
      <c r="L348" s="81">
        <v>191314872.09779999</v>
      </c>
      <c r="M348" s="71">
        <f t="shared" si="78"/>
        <v>378740111.79269999</v>
      </c>
      <c r="N348" s="70"/>
      <c r="O348" s="182"/>
      <c r="P348" s="72">
        <v>18</v>
      </c>
      <c r="Q348" s="191"/>
      <c r="R348" s="66" t="s">
        <v>815</v>
      </c>
      <c r="S348" s="66">
        <v>97767979.209999993</v>
      </c>
      <c r="T348" s="66">
        <v>0</v>
      </c>
      <c r="U348" s="66">
        <v>175876931.12619999</v>
      </c>
      <c r="V348" s="66">
        <v>6367805.2624000004</v>
      </c>
      <c r="W348" s="66">
        <v>8209347.3099999996</v>
      </c>
      <c r="X348" s="66">
        <v>0</v>
      </c>
      <c r="Y348" s="66">
        <f t="shared" si="82"/>
        <v>8209347.3099999996</v>
      </c>
      <c r="Z348" s="66">
        <v>246114172.21689999</v>
      </c>
      <c r="AA348" s="71">
        <f t="shared" si="83"/>
        <v>534336235.12550002</v>
      </c>
    </row>
    <row r="349" spans="1:27" ht="24.9" customHeight="1">
      <c r="A349" s="180"/>
      <c r="B349" s="182"/>
      <c r="C349" s="62">
        <v>14</v>
      </c>
      <c r="D349" s="66" t="s">
        <v>816</v>
      </c>
      <c r="E349" s="66">
        <v>87064095.725099996</v>
      </c>
      <c r="F349" s="66">
        <v>0</v>
      </c>
      <c r="G349" s="66">
        <v>156621483.75220001</v>
      </c>
      <c r="H349" s="66">
        <v>6205484.8603999997</v>
      </c>
      <c r="I349" s="66">
        <v>7310567.3799999999</v>
      </c>
      <c r="J349" s="66">
        <v>0</v>
      </c>
      <c r="K349" s="66">
        <f t="shared" si="81"/>
        <v>7310567.3799999999</v>
      </c>
      <c r="L349" s="81">
        <v>245560580.72189999</v>
      </c>
      <c r="M349" s="71">
        <f t="shared" si="78"/>
        <v>502762212.43959999</v>
      </c>
      <c r="N349" s="70"/>
      <c r="O349" s="182"/>
      <c r="P349" s="72">
        <v>19</v>
      </c>
      <c r="Q349" s="191"/>
      <c r="R349" s="66" t="s">
        <v>817</v>
      </c>
      <c r="S349" s="66">
        <v>90138136.769999996</v>
      </c>
      <c r="T349" s="66">
        <v>0</v>
      </c>
      <c r="U349" s="66">
        <v>162151442.6397</v>
      </c>
      <c r="V349" s="66">
        <v>5114086.2889999999</v>
      </c>
      <c r="W349" s="66">
        <v>7568687.3799999999</v>
      </c>
      <c r="X349" s="66">
        <v>0</v>
      </c>
      <c r="Y349" s="66">
        <f t="shared" si="82"/>
        <v>7568687.3799999999</v>
      </c>
      <c r="Z349" s="66">
        <v>197311223.85420001</v>
      </c>
      <c r="AA349" s="71">
        <f t="shared" si="83"/>
        <v>462283576.93290001</v>
      </c>
    </row>
    <row r="350" spans="1:27" ht="24.9" customHeight="1">
      <c r="A350" s="180"/>
      <c r="B350" s="182"/>
      <c r="C350" s="62">
        <v>15</v>
      </c>
      <c r="D350" s="66" t="s">
        <v>818</v>
      </c>
      <c r="E350" s="66">
        <v>97924818.992599994</v>
      </c>
      <c r="F350" s="66">
        <v>0</v>
      </c>
      <c r="G350" s="66">
        <v>176159073.60420001</v>
      </c>
      <c r="H350" s="66">
        <v>6679125.5723000001</v>
      </c>
      <c r="I350" s="66">
        <v>8222516.7800000003</v>
      </c>
      <c r="J350" s="66">
        <v>0</v>
      </c>
      <c r="K350" s="66">
        <f t="shared" si="81"/>
        <v>8222516.7800000003</v>
      </c>
      <c r="L350" s="81">
        <v>263997777.33230001</v>
      </c>
      <c r="M350" s="71">
        <f t="shared" si="78"/>
        <v>552983312.28139997</v>
      </c>
      <c r="N350" s="70"/>
      <c r="O350" s="182"/>
      <c r="P350" s="72">
        <v>20</v>
      </c>
      <c r="Q350" s="191"/>
      <c r="R350" s="66" t="s">
        <v>819</v>
      </c>
      <c r="S350" s="66">
        <v>82027019.659999996</v>
      </c>
      <c r="T350" s="66">
        <v>0</v>
      </c>
      <c r="U350" s="66">
        <v>147560178.73570001</v>
      </c>
      <c r="V350" s="66">
        <v>4600727.2072999999</v>
      </c>
      <c r="W350" s="66">
        <v>6887615.9500000002</v>
      </c>
      <c r="X350" s="66">
        <v>0</v>
      </c>
      <c r="Y350" s="66">
        <f t="shared" si="82"/>
        <v>6887615.9500000002</v>
      </c>
      <c r="Z350" s="66">
        <v>177327928.32870001</v>
      </c>
      <c r="AA350" s="71">
        <f t="shared" si="83"/>
        <v>418403469.88169998</v>
      </c>
    </row>
    <row r="351" spans="1:27" ht="24.9" customHeight="1">
      <c r="A351" s="180"/>
      <c r="B351" s="182"/>
      <c r="C351" s="62">
        <v>16</v>
      </c>
      <c r="D351" s="66" t="s">
        <v>820</v>
      </c>
      <c r="E351" s="66">
        <v>71769462.774200007</v>
      </c>
      <c r="F351" s="66">
        <v>0</v>
      </c>
      <c r="G351" s="66">
        <v>129107637.9293</v>
      </c>
      <c r="H351" s="66">
        <v>5063957.0192</v>
      </c>
      <c r="I351" s="66">
        <v>6026313.0199999996</v>
      </c>
      <c r="J351" s="66">
        <v>0</v>
      </c>
      <c r="K351" s="66">
        <f t="shared" si="81"/>
        <v>6026313.0199999996</v>
      </c>
      <c r="L351" s="81">
        <v>201124845.5492</v>
      </c>
      <c r="M351" s="71">
        <f t="shared" si="78"/>
        <v>413092216.29189998</v>
      </c>
      <c r="N351" s="70"/>
      <c r="O351" s="182"/>
      <c r="P351" s="72">
        <v>21</v>
      </c>
      <c r="Q351" s="191"/>
      <c r="R351" s="66" t="s">
        <v>821</v>
      </c>
      <c r="S351" s="66">
        <v>84557236.640000001</v>
      </c>
      <c r="T351" s="66">
        <v>0</v>
      </c>
      <c r="U351" s="66">
        <v>152111840.76350001</v>
      </c>
      <c r="V351" s="66">
        <v>5856376.2293999996</v>
      </c>
      <c r="W351" s="66">
        <v>7100072.3200000003</v>
      </c>
      <c r="X351" s="66">
        <v>0</v>
      </c>
      <c r="Y351" s="66">
        <f t="shared" si="82"/>
        <v>7100072.3200000003</v>
      </c>
      <c r="Z351" s="66">
        <v>226206006.8177</v>
      </c>
      <c r="AA351" s="71">
        <f t="shared" si="83"/>
        <v>475831532.77060002</v>
      </c>
    </row>
    <row r="352" spans="1:27" ht="24.9" customHeight="1">
      <c r="A352" s="180"/>
      <c r="B352" s="182"/>
      <c r="C352" s="62">
        <v>17</v>
      </c>
      <c r="D352" s="66" t="s">
        <v>822</v>
      </c>
      <c r="E352" s="66">
        <v>75945696.319299996</v>
      </c>
      <c r="F352" s="66">
        <v>0</v>
      </c>
      <c r="G352" s="66">
        <v>136620354.73230001</v>
      </c>
      <c r="H352" s="66">
        <v>5442494.8658999996</v>
      </c>
      <c r="I352" s="66">
        <v>6376981.5300000003</v>
      </c>
      <c r="J352" s="66">
        <v>0</v>
      </c>
      <c r="K352" s="66">
        <f t="shared" si="81"/>
        <v>6376981.5300000003</v>
      </c>
      <c r="L352" s="81">
        <v>215860016.16980001</v>
      </c>
      <c r="M352" s="71">
        <f t="shared" si="78"/>
        <v>440245543.61729997</v>
      </c>
      <c r="N352" s="70"/>
      <c r="O352" s="182"/>
      <c r="P352" s="72">
        <v>22</v>
      </c>
      <c r="Q352" s="191"/>
      <c r="R352" s="66" t="s">
        <v>823</v>
      </c>
      <c r="S352" s="66">
        <v>81357200.569999993</v>
      </c>
      <c r="T352" s="66">
        <v>0</v>
      </c>
      <c r="U352" s="66">
        <v>146355226.70699999</v>
      </c>
      <c r="V352" s="66">
        <v>5660978.5551000005</v>
      </c>
      <c r="W352" s="66">
        <v>6831372.8200000003</v>
      </c>
      <c r="X352" s="66">
        <v>0</v>
      </c>
      <c r="Y352" s="66">
        <f t="shared" si="82"/>
        <v>6831372.8200000003</v>
      </c>
      <c r="Z352" s="66">
        <v>218599850.40459999</v>
      </c>
      <c r="AA352" s="71">
        <f t="shared" si="83"/>
        <v>458804629.05669999</v>
      </c>
    </row>
    <row r="353" spans="1:27" ht="24.9" customHeight="1">
      <c r="A353" s="180"/>
      <c r="B353" s="182"/>
      <c r="C353" s="62">
        <v>18</v>
      </c>
      <c r="D353" s="66" t="s">
        <v>824</v>
      </c>
      <c r="E353" s="66">
        <v>79210033.598499998</v>
      </c>
      <c r="F353" s="66">
        <v>0</v>
      </c>
      <c r="G353" s="66">
        <v>142492641.62799999</v>
      </c>
      <c r="H353" s="66">
        <v>5781427.2111999998</v>
      </c>
      <c r="I353" s="66">
        <v>6651080.2599999998</v>
      </c>
      <c r="J353" s="66">
        <v>0</v>
      </c>
      <c r="K353" s="66">
        <f t="shared" si="81"/>
        <v>6651080.2599999998</v>
      </c>
      <c r="L353" s="81">
        <v>229053481.4499</v>
      </c>
      <c r="M353" s="71">
        <f t="shared" si="78"/>
        <v>463188664.1476</v>
      </c>
      <c r="N353" s="70"/>
      <c r="O353" s="183"/>
      <c r="P353" s="72">
        <v>23</v>
      </c>
      <c r="Q353" s="192"/>
      <c r="R353" s="66" t="s">
        <v>825</v>
      </c>
      <c r="S353" s="66">
        <v>76272357.629999995</v>
      </c>
      <c r="T353" s="66">
        <v>0</v>
      </c>
      <c r="U353" s="66">
        <v>137207992.82370001</v>
      </c>
      <c r="V353" s="66">
        <v>5127156.443</v>
      </c>
      <c r="W353" s="66">
        <v>6404410.5099999998</v>
      </c>
      <c r="X353" s="66">
        <v>0</v>
      </c>
      <c r="Y353" s="66">
        <f t="shared" si="82"/>
        <v>6404410.5099999998</v>
      </c>
      <c r="Z353" s="66">
        <v>197819999.79730001</v>
      </c>
      <c r="AA353" s="71">
        <f t="shared" si="83"/>
        <v>422831917.204</v>
      </c>
    </row>
    <row r="354" spans="1:27" ht="24.9" customHeight="1">
      <c r="A354" s="180"/>
      <c r="B354" s="182"/>
      <c r="C354" s="62">
        <v>19</v>
      </c>
      <c r="D354" s="66" t="s">
        <v>826</v>
      </c>
      <c r="E354" s="66">
        <v>81835576.212599993</v>
      </c>
      <c r="F354" s="66">
        <v>0</v>
      </c>
      <c r="G354" s="66">
        <v>147215786.99219999</v>
      </c>
      <c r="H354" s="66">
        <v>5571379.2260999996</v>
      </c>
      <c r="I354" s="66">
        <v>6871540.9000000004</v>
      </c>
      <c r="J354" s="66">
        <v>0</v>
      </c>
      <c r="K354" s="66">
        <f t="shared" si="81"/>
        <v>6871540.9000000004</v>
      </c>
      <c r="L354" s="81">
        <v>220877039.04879999</v>
      </c>
      <c r="M354" s="71">
        <f t="shared" si="78"/>
        <v>462371322.37970001</v>
      </c>
      <c r="N354" s="70"/>
      <c r="O354" s="62"/>
      <c r="P354" s="174" t="s">
        <v>827</v>
      </c>
      <c r="Q354" s="175"/>
      <c r="R354" s="67"/>
      <c r="S354" s="67">
        <f t="shared" ref="S354:X354" si="84">SUM(S331:S353)</f>
        <v>2015280006</v>
      </c>
      <c r="T354" s="67">
        <f t="shared" si="84"/>
        <v>0</v>
      </c>
      <c r="U354" s="67">
        <f t="shared" si="84"/>
        <v>3625330764.5657001</v>
      </c>
      <c r="V354" s="67">
        <f t="shared" si="84"/>
        <v>129795480.9513</v>
      </c>
      <c r="W354" s="67">
        <f t="shared" si="84"/>
        <v>169218323.09999999</v>
      </c>
      <c r="X354" s="67">
        <f t="shared" si="84"/>
        <v>0</v>
      </c>
      <c r="Y354" s="67">
        <f t="shared" si="82"/>
        <v>169218323.09999999</v>
      </c>
      <c r="Z354" s="67">
        <f>SUM(Z331:Z353)</f>
        <v>5011952450.4469995</v>
      </c>
      <c r="AA354" s="71">
        <f t="shared" si="83"/>
        <v>10951577025.063999</v>
      </c>
    </row>
    <row r="355" spans="1:27" ht="24.9" customHeight="1">
      <c r="A355" s="180"/>
      <c r="B355" s="182"/>
      <c r="C355" s="62">
        <v>20</v>
      </c>
      <c r="D355" s="66" t="s">
        <v>828</v>
      </c>
      <c r="E355" s="66">
        <v>82543182.693000004</v>
      </c>
      <c r="F355" s="66">
        <v>0</v>
      </c>
      <c r="G355" s="66">
        <v>148488715.5776</v>
      </c>
      <c r="H355" s="66">
        <v>5648152.2725</v>
      </c>
      <c r="I355" s="66">
        <v>6930956.9500000002</v>
      </c>
      <c r="J355" s="66">
        <v>0</v>
      </c>
      <c r="K355" s="66">
        <f t="shared" si="81"/>
        <v>6930956.9500000002</v>
      </c>
      <c r="L355" s="81">
        <v>223865548.51750001</v>
      </c>
      <c r="M355" s="71">
        <f t="shared" si="78"/>
        <v>467476556.01059997</v>
      </c>
      <c r="N355" s="70"/>
      <c r="O355" s="181">
        <v>34</v>
      </c>
      <c r="P355" s="72">
        <v>1</v>
      </c>
      <c r="Q355" s="181" t="s">
        <v>119</v>
      </c>
      <c r="R355" s="66" t="s">
        <v>829</v>
      </c>
      <c r="S355" s="66">
        <v>75705843.409999996</v>
      </c>
      <c r="T355" s="66">
        <v>0</v>
      </c>
      <c r="U355" s="66">
        <v>136188878.1417</v>
      </c>
      <c r="V355" s="66">
        <v>4787976.4364</v>
      </c>
      <c r="W355" s="66">
        <v>6356841.6399999997</v>
      </c>
      <c r="X355" s="66">
        <v>6356841.6399999997</v>
      </c>
      <c r="Y355" s="66">
        <f t="shared" si="82"/>
        <v>0</v>
      </c>
      <c r="Z355" s="66">
        <v>177285091.43509999</v>
      </c>
      <c r="AA355" s="71">
        <f t="shared" si="83"/>
        <v>393967789.42320001</v>
      </c>
    </row>
    <row r="356" spans="1:27" ht="24.9" customHeight="1">
      <c r="A356" s="180"/>
      <c r="B356" s="182"/>
      <c r="C356" s="62">
        <v>21</v>
      </c>
      <c r="D356" s="66" t="s">
        <v>830</v>
      </c>
      <c r="E356" s="66">
        <v>77326411.369399995</v>
      </c>
      <c r="F356" s="66">
        <v>0</v>
      </c>
      <c r="G356" s="66">
        <v>139104152.8786</v>
      </c>
      <c r="H356" s="66">
        <v>5441580.6322999997</v>
      </c>
      <c r="I356" s="66">
        <v>6492916.9299999997</v>
      </c>
      <c r="J356" s="66">
        <v>0</v>
      </c>
      <c r="K356" s="66">
        <f t="shared" si="81"/>
        <v>6492916.9299999997</v>
      </c>
      <c r="L356" s="81">
        <v>215824428.21520001</v>
      </c>
      <c r="M356" s="71">
        <f t="shared" si="78"/>
        <v>444189490.0255</v>
      </c>
      <c r="N356" s="70"/>
      <c r="O356" s="182"/>
      <c r="P356" s="72">
        <v>2</v>
      </c>
      <c r="Q356" s="182"/>
      <c r="R356" s="66" t="s">
        <v>831</v>
      </c>
      <c r="S356" s="66">
        <v>129550132.26000001</v>
      </c>
      <c r="T356" s="66">
        <v>0</v>
      </c>
      <c r="U356" s="66">
        <v>233050533.24239999</v>
      </c>
      <c r="V356" s="66">
        <v>6165128.2291000001</v>
      </c>
      <c r="W356" s="66">
        <v>10878019.970000001</v>
      </c>
      <c r="X356" s="66">
        <v>10878019.970000001</v>
      </c>
      <c r="Y356" s="66">
        <f t="shared" si="82"/>
        <v>0</v>
      </c>
      <c r="Z356" s="66">
        <v>230892853.02180001</v>
      </c>
      <c r="AA356" s="71">
        <f t="shared" si="83"/>
        <v>599658646.75329995</v>
      </c>
    </row>
    <row r="357" spans="1:27" ht="24.9" customHeight="1">
      <c r="A357" s="180"/>
      <c r="B357" s="182"/>
      <c r="C357" s="62">
        <v>22</v>
      </c>
      <c r="D357" s="66" t="s">
        <v>832</v>
      </c>
      <c r="E357" s="66">
        <v>70928355.952299997</v>
      </c>
      <c r="F357" s="66">
        <v>0</v>
      </c>
      <c r="G357" s="66">
        <v>127594552.6944</v>
      </c>
      <c r="H357" s="66">
        <v>5069239.2577</v>
      </c>
      <c r="I357" s="66">
        <v>5955687.2599999998</v>
      </c>
      <c r="J357" s="66">
        <v>0</v>
      </c>
      <c r="K357" s="66">
        <f t="shared" si="81"/>
        <v>5955687.2599999998</v>
      </c>
      <c r="L357" s="81">
        <v>201330464.8423</v>
      </c>
      <c r="M357" s="71">
        <f t="shared" si="78"/>
        <v>410878300.00669998</v>
      </c>
      <c r="N357" s="70"/>
      <c r="O357" s="182"/>
      <c r="P357" s="72">
        <v>3</v>
      </c>
      <c r="Q357" s="182"/>
      <c r="R357" s="66" t="s">
        <v>833</v>
      </c>
      <c r="S357" s="66">
        <v>88977110.579999998</v>
      </c>
      <c r="T357" s="66">
        <v>0</v>
      </c>
      <c r="U357" s="66">
        <v>160062847.53740001</v>
      </c>
      <c r="V357" s="66">
        <v>5320602.1441000002</v>
      </c>
      <c r="W357" s="66">
        <v>7471198.75</v>
      </c>
      <c r="X357" s="66">
        <v>7471198.75</v>
      </c>
      <c r="Y357" s="66">
        <f t="shared" si="82"/>
        <v>0</v>
      </c>
      <c r="Z357" s="66">
        <v>198018370.15130001</v>
      </c>
      <c r="AA357" s="71">
        <f t="shared" si="83"/>
        <v>452378930.41280001</v>
      </c>
    </row>
    <row r="358" spans="1:27" ht="24.9" customHeight="1">
      <c r="A358" s="180"/>
      <c r="B358" s="182"/>
      <c r="C358" s="62">
        <v>23</v>
      </c>
      <c r="D358" s="66" t="s">
        <v>834</v>
      </c>
      <c r="E358" s="66">
        <v>87044590.484200001</v>
      </c>
      <c r="F358" s="66">
        <v>0</v>
      </c>
      <c r="G358" s="66">
        <v>156586395.3479</v>
      </c>
      <c r="H358" s="66">
        <v>5787081.9151999997</v>
      </c>
      <c r="I358" s="66">
        <v>7308929.5700000003</v>
      </c>
      <c r="J358" s="66">
        <v>0</v>
      </c>
      <c r="K358" s="66">
        <f t="shared" si="81"/>
        <v>7308929.5700000003</v>
      </c>
      <c r="L358" s="81">
        <v>229273599.53920001</v>
      </c>
      <c r="M358" s="71">
        <f t="shared" si="78"/>
        <v>486000596.85650003</v>
      </c>
      <c r="N358" s="70"/>
      <c r="O358" s="182"/>
      <c r="P358" s="72">
        <v>4</v>
      </c>
      <c r="Q358" s="182"/>
      <c r="R358" s="66" t="s">
        <v>835</v>
      </c>
      <c r="S358" s="66">
        <v>106239202.15000001</v>
      </c>
      <c r="T358" s="66">
        <v>0</v>
      </c>
      <c r="U358" s="66">
        <v>191115997.18669999</v>
      </c>
      <c r="V358" s="66">
        <v>4797683.1138000004</v>
      </c>
      <c r="W358" s="66">
        <v>8920655.9800000004</v>
      </c>
      <c r="X358" s="66">
        <v>8920655.9800000004</v>
      </c>
      <c r="Y358" s="66">
        <f t="shared" si="82"/>
        <v>0</v>
      </c>
      <c r="Z358" s="66">
        <v>177662938.854</v>
      </c>
      <c r="AA358" s="71">
        <f t="shared" si="83"/>
        <v>479815821.30449998</v>
      </c>
    </row>
    <row r="359" spans="1:27" ht="24.9" customHeight="1">
      <c r="A359" s="180"/>
      <c r="B359" s="182"/>
      <c r="C359" s="62">
        <v>24</v>
      </c>
      <c r="D359" s="66" t="s">
        <v>836</v>
      </c>
      <c r="E359" s="66">
        <v>64370210.756899998</v>
      </c>
      <c r="F359" s="66">
        <v>0</v>
      </c>
      <c r="G359" s="66">
        <v>115796963.536</v>
      </c>
      <c r="H359" s="66">
        <v>4498069.0110999998</v>
      </c>
      <c r="I359" s="66">
        <v>5405015.2300000004</v>
      </c>
      <c r="J359" s="66">
        <v>0</v>
      </c>
      <c r="K359" s="66">
        <f t="shared" si="81"/>
        <v>5405015.2300000004</v>
      </c>
      <c r="L359" s="81">
        <v>179096780.38730001</v>
      </c>
      <c r="M359" s="71">
        <f t="shared" si="78"/>
        <v>369167038.92129999</v>
      </c>
      <c r="N359" s="70"/>
      <c r="O359" s="182"/>
      <c r="P359" s="72">
        <v>5</v>
      </c>
      <c r="Q359" s="182"/>
      <c r="R359" s="66" t="s">
        <v>837</v>
      </c>
      <c r="S359" s="66">
        <v>114775040.45</v>
      </c>
      <c r="T359" s="66">
        <v>0</v>
      </c>
      <c r="U359" s="66">
        <v>206471301.2098</v>
      </c>
      <c r="V359" s="66">
        <v>6569354.9104000004</v>
      </c>
      <c r="W359" s="66">
        <v>9637390.25</v>
      </c>
      <c r="X359" s="66">
        <v>9637390.25</v>
      </c>
      <c r="Y359" s="66">
        <f t="shared" si="82"/>
        <v>0</v>
      </c>
      <c r="Z359" s="66">
        <v>246628001.2299</v>
      </c>
      <c r="AA359" s="71">
        <f t="shared" si="83"/>
        <v>574443697.80009997</v>
      </c>
    </row>
    <row r="360" spans="1:27" ht="24.9" customHeight="1">
      <c r="A360" s="180"/>
      <c r="B360" s="182"/>
      <c r="C360" s="62">
        <v>25</v>
      </c>
      <c r="D360" s="66" t="s">
        <v>838</v>
      </c>
      <c r="E360" s="66">
        <v>80792301.162499994</v>
      </c>
      <c r="F360" s="66">
        <v>0</v>
      </c>
      <c r="G360" s="66">
        <v>145339016.956</v>
      </c>
      <c r="H360" s="66">
        <v>5096609.8306999998</v>
      </c>
      <c r="I360" s="66">
        <v>6783939.5499999998</v>
      </c>
      <c r="J360" s="66">
        <v>0</v>
      </c>
      <c r="K360" s="66">
        <f t="shared" si="81"/>
        <v>6783939.5499999998</v>
      </c>
      <c r="L360" s="81">
        <v>202395906.692</v>
      </c>
      <c r="M360" s="71">
        <f t="shared" si="78"/>
        <v>440407774.19120002</v>
      </c>
      <c r="N360" s="70"/>
      <c r="O360" s="182"/>
      <c r="P360" s="72">
        <v>6</v>
      </c>
      <c r="Q360" s="182"/>
      <c r="R360" s="66" t="s">
        <v>839</v>
      </c>
      <c r="S360" s="66">
        <v>79510463.340000004</v>
      </c>
      <c r="T360" s="66">
        <v>0</v>
      </c>
      <c r="U360" s="66">
        <v>143033091.18470001</v>
      </c>
      <c r="V360" s="66">
        <v>4755617.0826000003</v>
      </c>
      <c r="W360" s="66">
        <v>6676306.6399999997</v>
      </c>
      <c r="X360" s="66">
        <v>6676306.6399999997</v>
      </c>
      <c r="Y360" s="66">
        <f t="shared" si="82"/>
        <v>0</v>
      </c>
      <c r="Z360" s="66">
        <v>176025453.5864</v>
      </c>
      <c r="AA360" s="71">
        <f t="shared" si="83"/>
        <v>403324625.19370002</v>
      </c>
    </row>
    <row r="361" spans="1:27" ht="24.9" customHeight="1">
      <c r="A361" s="180"/>
      <c r="B361" s="182"/>
      <c r="C361" s="62">
        <v>26</v>
      </c>
      <c r="D361" s="66" t="s">
        <v>840</v>
      </c>
      <c r="E361" s="66">
        <v>73480188.440799996</v>
      </c>
      <c r="F361" s="66">
        <v>0</v>
      </c>
      <c r="G361" s="66">
        <v>132185099.3097</v>
      </c>
      <c r="H361" s="66">
        <v>5106858.2762000002</v>
      </c>
      <c r="I361" s="66">
        <v>6169958.6299999999</v>
      </c>
      <c r="J361" s="66">
        <v>0</v>
      </c>
      <c r="K361" s="66">
        <f t="shared" si="81"/>
        <v>6169958.6299999999</v>
      </c>
      <c r="L361" s="81">
        <v>202794843.26910001</v>
      </c>
      <c r="M361" s="71">
        <f t="shared" si="78"/>
        <v>419736947.92580003</v>
      </c>
      <c r="N361" s="70"/>
      <c r="O361" s="182"/>
      <c r="P361" s="72">
        <v>7</v>
      </c>
      <c r="Q361" s="182"/>
      <c r="R361" s="66" t="s">
        <v>841</v>
      </c>
      <c r="S361" s="66">
        <v>76475398.280000001</v>
      </c>
      <c r="T361" s="66">
        <v>0</v>
      </c>
      <c r="U361" s="66">
        <v>137573247.04620001</v>
      </c>
      <c r="V361" s="66">
        <v>5385320.8515999997</v>
      </c>
      <c r="W361" s="66">
        <v>6421459.3600000003</v>
      </c>
      <c r="X361" s="66">
        <v>6421459.3600000003</v>
      </c>
      <c r="Y361" s="66">
        <f t="shared" si="82"/>
        <v>0</v>
      </c>
      <c r="Z361" s="66">
        <v>200537645.8486</v>
      </c>
      <c r="AA361" s="71">
        <f t="shared" si="83"/>
        <v>419971612.02640003</v>
      </c>
    </row>
    <row r="362" spans="1:27" ht="24.9" customHeight="1">
      <c r="A362" s="180"/>
      <c r="B362" s="183"/>
      <c r="C362" s="62">
        <v>27</v>
      </c>
      <c r="D362" s="66" t="s">
        <v>842</v>
      </c>
      <c r="E362" s="66">
        <v>68088553.764799997</v>
      </c>
      <c r="F362" s="66">
        <v>0</v>
      </c>
      <c r="G362" s="66">
        <v>122485971.1472</v>
      </c>
      <c r="H362" s="66">
        <v>4700554.8173000002</v>
      </c>
      <c r="I362" s="66">
        <v>5717235.7400000002</v>
      </c>
      <c r="J362" s="66">
        <v>0</v>
      </c>
      <c r="K362" s="66">
        <f t="shared" si="81"/>
        <v>5717235.7400000002</v>
      </c>
      <c r="L362" s="81">
        <v>186978853.28760001</v>
      </c>
      <c r="M362" s="71">
        <f t="shared" si="78"/>
        <v>387971168.75690001</v>
      </c>
      <c r="N362" s="70"/>
      <c r="O362" s="182"/>
      <c r="P362" s="72">
        <v>8</v>
      </c>
      <c r="Q362" s="182"/>
      <c r="R362" s="66" t="s">
        <v>843</v>
      </c>
      <c r="S362" s="66">
        <v>118700276.83</v>
      </c>
      <c r="T362" s="66">
        <v>0</v>
      </c>
      <c r="U362" s="66">
        <v>213532493.7814</v>
      </c>
      <c r="V362" s="66">
        <v>6017372.2821000004</v>
      </c>
      <c r="W362" s="66">
        <v>9966983.1099999994</v>
      </c>
      <c r="X362" s="66">
        <v>9966983.1099999994</v>
      </c>
      <c r="Y362" s="66">
        <f t="shared" si="82"/>
        <v>0</v>
      </c>
      <c r="Z362" s="66">
        <v>225141224.46329999</v>
      </c>
      <c r="AA362" s="71">
        <f t="shared" si="83"/>
        <v>563391367.35679996</v>
      </c>
    </row>
    <row r="363" spans="1:27" ht="24.9" customHeight="1">
      <c r="A363" s="62"/>
      <c r="B363" s="173" t="s">
        <v>844</v>
      </c>
      <c r="C363" s="174"/>
      <c r="D363" s="67"/>
      <c r="E363" s="67">
        <f t="shared" ref="E363:M363" si="85">SUM(E336:E362)</f>
        <v>2129058679.0348001</v>
      </c>
      <c r="F363" s="67">
        <f t="shared" si="85"/>
        <v>0</v>
      </c>
      <c r="G363" s="67">
        <f t="shared" si="85"/>
        <v>3830009678.8530998</v>
      </c>
      <c r="H363" s="67">
        <f t="shared" si="85"/>
        <v>146815429.574</v>
      </c>
      <c r="I363" s="67">
        <f t="shared" si="85"/>
        <v>178772050.71000001</v>
      </c>
      <c r="J363" s="67">
        <f t="shared" si="85"/>
        <v>0</v>
      </c>
      <c r="K363" s="67">
        <f t="shared" si="85"/>
        <v>178772050.71000001</v>
      </c>
      <c r="L363" s="67">
        <f t="shared" si="85"/>
        <v>5823084787.1899004</v>
      </c>
      <c r="M363" s="67">
        <f t="shared" si="85"/>
        <v>12107740625.361799</v>
      </c>
      <c r="N363" s="70"/>
      <c r="O363" s="182"/>
      <c r="P363" s="72">
        <v>9</v>
      </c>
      <c r="Q363" s="182"/>
      <c r="R363" s="66" t="s">
        <v>845</v>
      </c>
      <c r="S363" s="66">
        <v>84495519.030000001</v>
      </c>
      <c r="T363" s="66">
        <v>0</v>
      </c>
      <c r="U363" s="66">
        <v>152000815.6112</v>
      </c>
      <c r="V363" s="66">
        <v>4840008.7422000002</v>
      </c>
      <c r="W363" s="66">
        <v>7094890.04</v>
      </c>
      <c r="X363" s="66">
        <v>7094890.04</v>
      </c>
      <c r="Y363" s="66">
        <f t="shared" si="82"/>
        <v>0</v>
      </c>
      <c r="Z363" s="66">
        <v>179310529.3432</v>
      </c>
      <c r="AA363" s="71">
        <f t="shared" si="83"/>
        <v>420646872.72659999</v>
      </c>
    </row>
    <row r="364" spans="1:27" ht="24.9" customHeight="1">
      <c r="A364" s="180">
        <v>18</v>
      </c>
      <c r="B364" s="181" t="s">
        <v>846</v>
      </c>
      <c r="C364" s="62">
        <v>1</v>
      </c>
      <c r="D364" s="66" t="s">
        <v>847</v>
      </c>
      <c r="E364" s="66">
        <v>127481402.6798</v>
      </c>
      <c r="F364" s="66">
        <v>0</v>
      </c>
      <c r="G364" s="66">
        <v>229329050.88569999</v>
      </c>
      <c r="H364" s="66">
        <v>7523811.0313999997</v>
      </c>
      <c r="I364" s="66">
        <v>10704313.609999999</v>
      </c>
      <c r="J364" s="66">
        <v>10704313.609999999</v>
      </c>
      <c r="K364" s="66">
        <f>I364-J364</f>
        <v>0</v>
      </c>
      <c r="L364" s="81">
        <v>252734943.5332</v>
      </c>
      <c r="M364" s="71">
        <f t="shared" si="78"/>
        <v>617069208.13010001</v>
      </c>
      <c r="N364" s="70"/>
      <c r="O364" s="182"/>
      <c r="P364" s="72">
        <v>10</v>
      </c>
      <c r="Q364" s="182"/>
      <c r="R364" s="66" t="s">
        <v>848</v>
      </c>
      <c r="S364" s="66">
        <v>78014519.670000002</v>
      </c>
      <c r="T364" s="66">
        <v>0</v>
      </c>
      <c r="U364" s="66">
        <v>140342005.77079999</v>
      </c>
      <c r="V364" s="66">
        <v>4897108.8366</v>
      </c>
      <c r="W364" s="66">
        <v>6550695.7599999998</v>
      </c>
      <c r="X364" s="66">
        <v>6550695.7599999998</v>
      </c>
      <c r="Y364" s="66">
        <f t="shared" si="82"/>
        <v>0</v>
      </c>
      <c r="Z364" s="66">
        <v>181533238.7525</v>
      </c>
      <c r="AA364" s="71">
        <f t="shared" si="83"/>
        <v>404786873.02990001</v>
      </c>
    </row>
    <row r="365" spans="1:27" ht="24.9" customHeight="1">
      <c r="A365" s="180"/>
      <c r="B365" s="182"/>
      <c r="C365" s="62">
        <v>2</v>
      </c>
      <c r="D365" s="66" t="s">
        <v>849</v>
      </c>
      <c r="E365" s="66">
        <v>129626448.0405</v>
      </c>
      <c r="F365" s="66">
        <v>0</v>
      </c>
      <c r="G365" s="66">
        <v>233187819.35030001</v>
      </c>
      <c r="H365" s="66">
        <v>8831808.3906999994</v>
      </c>
      <c r="I365" s="66">
        <v>10884428.02</v>
      </c>
      <c r="J365" s="66">
        <v>10884428.02</v>
      </c>
      <c r="K365" s="66">
        <f t="shared" ref="K365:K386" si="86">I365-J365</f>
        <v>0</v>
      </c>
      <c r="L365" s="81">
        <v>303650761.93919998</v>
      </c>
      <c r="M365" s="71">
        <f t="shared" si="78"/>
        <v>675296837.72070003</v>
      </c>
      <c r="N365" s="70"/>
      <c r="O365" s="182"/>
      <c r="P365" s="72">
        <v>11</v>
      </c>
      <c r="Q365" s="182"/>
      <c r="R365" s="66" t="s">
        <v>850</v>
      </c>
      <c r="S365" s="66">
        <v>116422473.83</v>
      </c>
      <c r="T365" s="66">
        <v>0</v>
      </c>
      <c r="U365" s="66">
        <v>209434904.7333</v>
      </c>
      <c r="V365" s="66">
        <v>6340096.7334000003</v>
      </c>
      <c r="W365" s="66">
        <v>9775721.3499999996</v>
      </c>
      <c r="X365" s="66">
        <v>9775721.3499999996</v>
      </c>
      <c r="Y365" s="66">
        <f t="shared" si="82"/>
        <v>0</v>
      </c>
      <c r="Z365" s="66">
        <v>237703772.42539999</v>
      </c>
      <c r="AA365" s="71">
        <f t="shared" si="83"/>
        <v>569901247.72210002</v>
      </c>
    </row>
    <row r="366" spans="1:27" ht="24.9" customHeight="1">
      <c r="A366" s="180"/>
      <c r="B366" s="182"/>
      <c r="C366" s="62">
        <v>3</v>
      </c>
      <c r="D366" s="66" t="s">
        <v>851</v>
      </c>
      <c r="E366" s="66">
        <v>107276237.45649999</v>
      </c>
      <c r="F366" s="66">
        <v>0</v>
      </c>
      <c r="G366" s="66">
        <v>192981542.41</v>
      </c>
      <c r="H366" s="66">
        <v>7908285.7527999999</v>
      </c>
      <c r="I366" s="66">
        <v>9007733.3900000006</v>
      </c>
      <c r="J366" s="66">
        <v>9007733.3900000006</v>
      </c>
      <c r="K366" s="66">
        <f t="shared" si="86"/>
        <v>0</v>
      </c>
      <c r="L366" s="81">
        <v>267701216.17969999</v>
      </c>
      <c r="M366" s="71">
        <f t="shared" si="78"/>
        <v>575867281.79900002</v>
      </c>
      <c r="N366" s="70"/>
      <c r="O366" s="182"/>
      <c r="P366" s="72">
        <v>12</v>
      </c>
      <c r="Q366" s="182"/>
      <c r="R366" s="66" t="s">
        <v>852</v>
      </c>
      <c r="S366" s="66">
        <v>92152151.950000003</v>
      </c>
      <c r="T366" s="66">
        <v>0</v>
      </c>
      <c r="U366" s="66">
        <v>165774498.07269999</v>
      </c>
      <c r="V366" s="66">
        <v>5334575.2449000003</v>
      </c>
      <c r="W366" s="66">
        <v>7737799.5</v>
      </c>
      <c r="X366" s="66">
        <v>7737799.5</v>
      </c>
      <c r="Y366" s="66">
        <f t="shared" si="82"/>
        <v>0</v>
      </c>
      <c r="Z366" s="66">
        <v>198562294.69139999</v>
      </c>
      <c r="AA366" s="71">
        <f t="shared" si="83"/>
        <v>461823519.95899999</v>
      </c>
    </row>
    <row r="367" spans="1:27" ht="24.9" customHeight="1">
      <c r="A367" s="180"/>
      <c r="B367" s="182"/>
      <c r="C367" s="62">
        <v>4</v>
      </c>
      <c r="D367" s="66" t="s">
        <v>853</v>
      </c>
      <c r="E367" s="66">
        <v>82601168.1417</v>
      </c>
      <c r="F367" s="66">
        <v>0</v>
      </c>
      <c r="G367" s="66">
        <v>148593026.84850001</v>
      </c>
      <c r="H367" s="66">
        <v>5926780.4209000003</v>
      </c>
      <c r="I367" s="66">
        <v>6935825.8499999996</v>
      </c>
      <c r="J367" s="66">
        <v>6935825.8499999996</v>
      </c>
      <c r="K367" s="66">
        <f t="shared" si="86"/>
        <v>0</v>
      </c>
      <c r="L367" s="81">
        <v>190568059.19440001</v>
      </c>
      <c r="M367" s="71">
        <f t="shared" si="78"/>
        <v>427689034.60549998</v>
      </c>
      <c r="N367" s="70"/>
      <c r="O367" s="182"/>
      <c r="P367" s="72">
        <v>13</v>
      </c>
      <c r="Q367" s="182"/>
      <c r="R367" s="66" t="s">
        <v>854</v>
      </c>
      <c r="S367" s="66">
        <v>79203545.140000001</v>
      </c>
      <c r="T367" s="66">
        <v>0</v>
      </c>
      <c r="U367" s="66">
        <v>142480969.4048</v>
      </c>
      <c r="V367" s="66">
        <v>5074086.3975</v>
      </c>
      <c r="W367" s="66">
        <v>6650535.4299999997</v>
      </c>
      <c r="X367" s="66">
        <v>6650535.4299999997</v>
      </c>
      <c r="Y367" s="66">
        <f t="shared" si="82"/>
        <v>0</v>
      </c>
      <c r="Z367" s="66">
        <v>188422363.78470001</v>
      </c>
      <c r="AA367" s="71">
        <f t="shared" si="83"/>
        <v>415180964.727</v>
      </c>
    </row>
    <row r="368" spans="1:27" ht="24.9" customHeight="1">
      <c r="A368" s="180"/>
      <c r="B368" s="182"/>
      <c r="C368" s="62">
        <v>5</v>
      </c>
      <c r="D368" s="66" t="s">
        <v>855</v>
      </c>
      <c r="E368" s="66">
        <v>135792591.50220001</v>
      </c>
      <c r="F368" s="66">
        <v>0</v>
      </c>
      <c r="G368" s="66">
        <v>244280228.12009999</v>
      </c>
      <c r="H368" s="66">
        <v>9531355.0899</v>
      </c>
      <c r="I368" s="66">
        <v>11402184.59</v>
      </c>
      <c r="J368" s="66">
        <v>11402184.59</v>
      </c>
      <c r="K368" s="66">
        <f t="shared" si="86"/>
        <v>0</v>
      </c>
      <c r="L368" s="81">
        <v>330881698.18739998</v>
      </c>
      <c r="M368" s="71">
        <f t="shared" si="78"/>
        <v>720485872.89960003</v>
      </c>
      <c r="N368" s="70"/>
      <c r="O368" s="182"/>
      <c r="P368" s="72">
        <v>14</v>
      </c>
      <c r="Q368" s="182"/>
      <c r="R368" s="66" t="s">
        <v>856</v>
      </c>
      <c r="S368" s="66">
        <v>113447829.72</v>
      </c>
      <c r="T368" s="66">
        <v>0</v>
      </c>
      <c r="U368" s="66">
        <v>204083753.14629999</v>
      </c>
      <c r="V368" s="66">
        <v>6533203.1804</v>
      </c>
      <c r="W368" s="66">
        <v>9525947.4800000004</v>
      </c>
      <c r="X368" s="66">
        <v>9525947.4800000004</v>
      </c>
      <c r="Y368" s="66">
        <f t="shared" si="82"/>
        <v>0</v>
      </c>
      <c r="Z368" s="66">
        <v>245220739.27340001</v>
      </c>
      <c r="AA368" s="71">
        <f t="shared" si="83"/>
        <v>569285525.32009995</v>
      </c>
    </row>
    <row r="369" spans="1:27" ht="24.9" customHeight="1">
      <c r="A369" s="180"/>
      <c r="B369" s="182"/>
      <c r="C369" s="62">
        <v>6</v>
      </c>
      <c r="D369" s="66" t="s">
        <v>857</v>
      </c>
      <c r="E369" s="66">
        <v>90968787.144400001</v>
      </c>
      <c r="F369" s="66">
        <v>0</v>
      </c>
      <c r="G369" s="66">
        <v>163645717.5447</v>
      </c>
      <c r="H369" s="66">
        <v>6864242.2989999996</v>
      </c>
      <c r="I369" s="66">
        <v>7638435.1399999997</v>
      </c>
      <c r="J369" s="66">
        <v>7638435.1399999997</v>
      </c>
      <c r="K369" s="66">
        <f t="shared" si="86"/>
        <v>0</v>
      </c>
      <c r="L369" s="81">
        <v>227060211.42179999</v>
      </c>
      <c r="M369" s="71">
        <f t="shared" si="78"/>
        <v>488538958.40990001</v>
      </c>
      <c r="N369" s="70"/>
      <c r="O369" s="182"/>
      <c r="P369" s="72">
        <v>15</v>
      </c>
      <c r="Q369" s="182"/>
      <c r="R369" s="66" t="s">
        <v>858</v>
      </c>
      <c r="S369" s="66">
        <v>75206074.590000004</v>
      </c>
      <c r="T369" s="66">
        <v>0</v>
      </c>
      <c r="U369" s="66">
        <v>135289833.21270001</v>
      </c>
      <c r="V369" s="66">
        <v>4816069.3668</v>
      </c>
      <c r="W369" s="66">
        <v>6314877.2400000002</v>
      </c>
      <c r="X369" s="66">
        <v>6314877.2400000002</v>
      </c>
      <c r="Y369" s="66">
        <f t="shared" si="82"/>
        <v>0</v>
      </c>
      <c r="Z369" s="66">
        <v>178378652.16249999</v>
      </c>
      <c r="AA369" s="71">
        <f t="shared" si="83"/>
        <v>393690629.33200002</v>
      </c>
    </row>
    <row r="370" spans="1:27" ht="24.9" customHeight="1">
      <c r="A370" s="180"/>
      <c r="B370" s="182"/>
      <c r="C370" s="62">
        <v>7</v>
      </c>
      <c r="D370" s="66" t="s">
        <v>859</v>
      </c>
      <c r="E370" s="66">
        <v>79324603.465800002</v>
      </c>
      <c r="F370" s="66">
        <v>0</v>
      </c>
      <c r="G370" s="66">
        <v>142698743.82820001</v>
      </c>
      <c r="H370" s="66">
        <v>6429146.1260000002</v>
      </c>
      <c r="I370" s="66">
        <v>6660700.4100000001</v>
      </c>
      <c r="J370" s="66">
        <v>6660700.4100000001</v>
      </c>
      <c r="K370" s="66">
        <f t="shared" si="86"/>
        <v>0</v>
      </c>
      <c r="L370" s="81">
        <v>210123420.55019999</v>
      </c>
      <c r="M370" s="71">
        <f t="shared" si="78"/>
        <v>438575913.9702</v>
      </c>
      <c r="N370" s="70"/>
      <c r="O370" s="183"/>
      <c r="P370" s="72">
        <v>16</v>
      </c>
      <c r="Q370" s="183"/>
      <c r="R370" s="66" t="s">
        <v>860</v>
      </c>
      <c r="S370" s="66">
        <v>81583525.510000005</v>
      </c>
      <c r="T370" s="66">
        <v>0</v>
      </c>
      <c r="U370" s="66">
        <v>146762367.52649999</v>
      </c>
      <c r="V370" s="66">
        <v>5244438.5866</v>
      </c>
      <c r="W370" s="66">
        <v>6850376.7999999998</v>
      </c>
      <c r="X370" s="66">
        <v>6850376.7999999998</v>
      </c>
      <c r="Y370" s="66">
        <f t="shared" si="82"/>
        <v>0</v>
      </c>
      <c r="Z370" s="66">
        <v>195053585.98559999</v>
      </c>
      <c r="AA370" s="71">
        <f t="shared" si="83"/>
        <v>428643917.60869998</v>
      </c>
    </row>
    <row r="371" spans="1:27" ht="24.9" customHeight="1">
      <c r="A371" s="180"/>
      <c r="B371" s="182"/>
      <c r="C371" s="62">
        <v>8</v>
      </c>
      <c r="D371" s="66" t="s">
        <v>861</v>
      </c>
      <c r="E371" s="66">
        <v>105694833.10420001</v>
      </c>
      <c r="F371" s="66">
        <v>0</v>
      </c>
      <c r="G371" s="66">
        <v>190136719.9384</v>
      </c>
      <c r="H371" s="66">
        <v>7821467.4238999998</v>
      </c>
      <c r="I371" s="66">
        <v>8874946.5899999999</v>
      </c>
      <c r="J371" s="66">
        <v>8874946.5899999999</v>
      </c>
      <c r="K371" s="66">
        <f t="shared" si="86"/>
        <v>0</v>
      </c>
      <c r="L371" s="81">
        <v>264321678.56819999</v>
      </c>
      <c r="M371" s="71">
        <f t="shared" si="78"/>
        <v>567974699.03470004</v>
      </c>
      <c r="N371" s="70"/>
      <c r="O371" s="62"/>
      <c r="P371" s="174" t="s">
        <v>862</v>
      </c>
      <c r="Q371" s="175"/>
      <c r="R371" s="67"/>
      <c r="S371" s="67">
        <f t="shared" ref="S371:X371" si="87">SUM(S355:S370)</f>
        <v>1510459106.74</v>
      </c>
      <c r="T371" s="67">
        <f t="shared" si="87"/>
        <v>0</v>
      </c>
      <c r="U371" s="67">
        <f t="shared" si="87"/>
        <v>2717197536.8085999</v>
      </c>
      <c r="V371" s="67">
        <f t="shared" si="87"/>
        <v>86878642.138500005</v>
      </c>
      <c r="W371" s="67">
        <f t="shared" si="87"/>
        <v>126829699.3</v>
      </c>
      <c r="X371" s="67">
        <f t="shared" si="87"/>
        <v>126829699.3</v>
      </c>
      <c r="Y371" s="67">
        <f t="shared" si="82"/>
        <v>0</v>
      </c>
      <c r="Z371" s="67">
        <f>SUM(Z355:Z370)</f>
        <v>3236376755.0091</v>
      </c>
      <c r="AA371" s="71">
        <f t="shared" si="83"/>
        <v>7550912040.6962004</v>
      </c>
    </row>
    <row r="372" spans="1:27" ht="24.9" customHeight="1">
      <c r="A372" s="180"/>
      <c r="B372" s="182"/>
      <c r="C372" s="62">
        <v>9</v>
      </c>
      <c r="D372" s="66" t="s">
        <v>863</v>
      </c>
      <c r="E372" s="66">
        <v>116592395.5237</v>
      </c>
      <c r="F372" s="66">
        <v>0</v>
      </c>
      <c r="G372" s="66">
        <v>209740580.5467</v>
      </c>
      <c r="H372" s="66">
        <v>7432511.8291999996</v>
      </c>
      <c r="I372" s="66">
        <v>9789989.2899999991</v>
      </c>
      <c r="J372" s="66">
        <v>9789989.2899999991</v>
      </c>
      <c r="K372" s="66">
        <f t="shared" si="86"/>
        <v>0</v>
      </c>
      <c r="L372" s="81">
        <v>249180981.0086</v>
      </c>
      <c r="M372" s="71">
        <f t="shared" si="78"/>
        <v>582946468.90820003</v>
      </c>
      <c r="N372" s="70"/>
      <c r="O372" s="181">
        <v>35</v>
      </c>
      <c r="P372" s="72">
        <v>1</v>
      </c>
      <c r="Q372" s="63"/>
      <c r="R372" s="66" t="s">
        <v>864</v>
      </c>
      <c r="S372" s="66">
        <v>84311722.170000002</v>
      </c>
      <c r="T372" s="66">
        <v>0</v>
      </c>
      <c r="U372" s="66">
        <v>151670179.47040001</v>
      </c>
      <c r="V372" s="66">
        <v>5379545.7320999997</v>
      </c>
      <c r="W372" s="66">
        <v>7079457.0499999998</v>
      </c>
      <c r="X372" s="66">
        <v>0</v>
      </c>
      <c r="Y372" s="66">
        <f t="shared" si="82"/>
        <v>7079457.0499999998</v>
      </c>
      <c r="Z372" s="66">
        <v>200313042.80559999</v>
      </c>
      <c r="AA372" s="71">
        <f t="shared" si="83"/>
        <v>448753947.2281</v>
      </c>
    </row>
    <row r="373" spans="1:27" ht="24.9" customHeight="1">
      <c r="A373" s="180"/>
      <c r="B373" s="182"/>
      <c r="C373" s="62">
        <v>10</v>
      </c>
      <c r="D373" s="66" t="s">
        <v>865</v>
      </c>
      <c r="E373" s="66">
        <v>110144940.1542</v>
      </c>
      <c r="F373" s="66">
        <v>0</v>
      </c>
      <c r="G373" s="66">
        <v>198142113.70039999</v>
      </c>
      <c r="H373" s="66">
        <v>8712664.5683999993</v>
      </c>
      <c r="I373" s="66">
        <v>9248611.6099999994</v>
      </c>
      <c r="J373" s="66">
        <v>9248611.6099999994</v>
      </c>
      <c r="K373" s="66">
        <f t="shared" si="86"/>
        <v>0</v>
      </c>
      <c r="L373" s="81">
        <v>299012904.55150002</v>
      </c>
      <c r="M373" s="71">
        <f t="shared" si="78"/>
        <v>616012622.97449994</v>
      </c>
      <c r="N373" s="70"/>
      <c r="O373" s="182"/>
      <c r="P373" s="72">
        <v>2</v>
      </c>
      <c r="Q373" s="181" t="s">
        <v>120</v>
      </c>
      <c r="R373" s="66" t="s">
        <v>866</v>
      </c>
      <c r="S373" s="66">
        <v>93299267.719999999</v>
      </c>
      <c r="T373" s="66">
        <v>0</v>
      </c>
      <c r="U373" s="66">
        <v>167838069.4355</v>
      </c>
      <c r="V373" s="66">
        <v>5033513.9680000003</v>
      </c>
      <c r="W373" s="66">
        <v>7834120.1100000003</v>
      </c>
      <c r="X373" s="66">
        <v>0</v>
      </c>
      <c r="Y373" s="66">
        <f t="shared" si="82"/>
        <v>7834120.1100000003</v>
      </c>
      <c r="Z373" s="66">
        <v>186843221.68079999</v>
      </c>
      <c r="AA373" s="71">
        <f t="shared" si="83"/>
        <v>460848192.91430002</v>
      </c>
    </row>
    <row r="374" spans="1:27" ht="24.9" customHeight="1">
      <c r="A374" s="180"/>
      <c r="B374" s="182"/>
      <c r="C374" s="62">
        <v>11</v>
      </c>
      <c r="D374" s="66" t="s">
        <v>867</v>
      </c>
      <c r="E374" s="66">
        <v>117596953.35510001</v>
      </c>
      <c r="F374" s="66">
        <v>0</v>
      </c>
      <c r="G374" s="66">
        <v>211547701.33520001</v>
      </c>
      <c r="H374" s="66">
        <v>9217140.9114999995</v>
      </c>
      <c r="I374" s="66">
        <v>9874339.6400000006</v>
      </c>
      <c r="J374" s="66">
        <v>9874339.6400000006</v>
      </c>
      <c r="K374" s="66">
        <f t="shared" si="86"/>
        <v>0</v>
      </c>
      <c r="L374" s="81">
        <v>318650425.75300002</v>
      </c>
      <c r="M374" s="71">
        <f t="shared" si="78"/>
        <v>657012221.35479999</v>
      </c>
      <c r="N374" s="70"/>
      <c r="O374" s="182"/>
      <c r="P374" s="72">
        <v>3</v>
      </c>
      <c r="Q374" s="182"/>
      <c r="R374" s="66" t="s">
        <v>868</v>
      </c>
      <c r="S374" s="66">
        <v>78118534.840000004</v>
      </c>
      <c r="T374" s="66">
        <v>0</v>
      </c>
      <c r="U374" s="66">
        <v>140529120.91319999</v>
      </c>
      <c r="V374" s="66">
        <v>4795248.8973000003</v>
      </c>
      <c r="W374" s="66">
        <v>6559429.6799999997</v>
      </c>
      <c r="X374" s="66">
        <v>0</v>
      </c>
      <c r="Y374" s="66">
        <f t="shared" si="82"/>
        <v>6559429.6799999997</v>
      </c>
      <c r="Z374" s="66">
        <v>177568385.62020001</v>
      </c>
      <c r="AA374" s="71">
        <f t="shared" si="83"/>
        <v>407570719.95069999</v>
      </c>
    </row>
    <row r="375" spans="1:27" ht="24.9" customHeight="1">
      <c r="A375" s="180"/>
      <c r="B375" s="182"/>
      <c r="C375" s="62">
        <v>12</v>
      </c>
      <c r="D375" s="66" t="s">
        <v>869</v>
      </c>
      <c r="E375" s="66">
        <v>101624237.18700001</v>
      </c>
      <c r="F375" s="66">
        <v>0</v>
      </c>
      <c r="G375" s="66">
        <v>182814036.96709999</v>
      </c>
      <c r="H375" s="66">
        <v>7394915.3843999999</v>
      </c>
      <c r="I375" s="66">
        <v>8533148.2300000004</v>
      </c>
      <c r="J375" s="66">
        <v>8533148.2300000004</v>
      </c>
      <c r="K375" s="66">
        <f t="shared" si="86"/>
        <v>0</v>
      </c>
      <c r="L375" s="81">
        <v>247717481.2967</v>
      </c>
      <c r="M375" s="71">
        <f t="shared" si="78"/>
        <v>539550670.83519995</v>
      </c>
      <c r="N375" s="70"/>
      <c r="O375" s="182"/>
      <c r="P375" s="72">
        <v>4</v>
      </c>
      <c r="Q375" s="182"/>
      <c r="R375" s="66" t="s">
        <v>870</v>
      </c>
      <c r="S375" s="66">
        <v>87464278.450000003</v>
      </c>
      <c r="T375" s="66">
        <v>0</v>
      </c>
      <c r="U375" s="66">
        <v>157341381.1027</v>
      </c>
      <c r="V375" s="66">
        <v>5346960.6415999997</v>
      </c>
      <c r="W375" s="66">
        <v>7344169.7800000003</v>
      </c>
      <c r="X375" s="66">
        <v>0</v>
      </c>
      <c r="Y375" s="66">
        <f t="shared" si="82"/>
        <v>7344169.7800000003</v>
      </c>
      <c r="Z375" s="66">
        <v>199044617.80759999</v>
      </c>
      <c r="AA375" s="71">
        <f t="shared" si="83"/>
        <v>456541407.78189999</v>
      </c>
    </row>
    <row r="376" spans="1:27" ht="24.9" customHeight="1">
      <c r="A376" s="180"/>
      <c r="B376" s="182"/>
      <c r="C376" s="62">
        <v>13</v>
      </c>
      <c r="D376" s="66" t="s">
        <v>871</v>
      </c>
      <c r="E376" s="66">
        <v>88043956.432099998</v>
      </c>
      <c r="F376" s="66">
        <v>0</v>
      </c>
      <c r="G376" s="66">
        <v>158384176.3563</v>
      </c>
      <c r="H376" s="66">
        <v>7187643.9604000002</v>
      </c>
      <c r="I376" s="66">
        <v>7392843.9800000004</v>
      </c>
      <c r="J376" s="66">
        <v>7392843.9800000004</v>
      </c>
      <c r="K376" s="66">
        <f t="shared" si="86"/>
        <v>0</v>
      </c>
      <c r="L376" s="81">
        <v>239649120.8317</v>
      </c>
      <c r="M376" s="71">
        <f t="shared" si="78"/>
        <v>493264897.58050001</v>
      </c>
      <c r="N376" s="70"/>
      <c r="O376" s="182"/>
      <c r="P376" s="72">
        <v>5</v>
      </c>
      <c r="Q376" s="182"/>
      <c r="R376" s="66" t="s">
        <v>872</v>
      </c>
      <c r="S376" s="66">
        <v>122675341.58</v>
      </c>
      <c r="T376" s="66">
        <v>0</v>
      </c>
      <c r="U376" s="66">
        <v>220683323.68000001</v>
      </c>
      <c r="V376" s="66">
        <v>7196477.7340000002</v>
      </c>
      <c r="W376" s="66">
        <v>10300759.960000001</v>
      </c>
      <c r="X376" s="66">
        <v>0</v>
      </c>
      <c r="Y376" s="66">
        <f t="shared" si="82"/>
        <v>10300759.960000001</v>
      </c>
      <c r="Z376" s="66">
        <v>271039928.61129999</v>
      </c>
      <c r="AA376" s="71">
        <f t="shared" si="83"/>
        <v>631895831.56529999</v>
      </c>
    </row>
    <row r="377" spans="1:27" ht="24.9" customHeight="1">
      <c r="A377" s="180"/>
      <c r="B377" s="182"/>
      <c r="C377" s="62">
        <v>14</v>
      </c>
      <c r="D377" s="66" t="s">
        <v>873</v>
      </c>
      <c r="E377" s="66">
        <v>90656376.387199998</v>
      </c>
      <c r="F377" s="66">
        <v>0</v>
      </c>
      <c r="G377" s="66">
        <v>163083715.08539999</v>
      </c>
      <c r="H377" s="66">
        <v>6594283.7977</v>
      </c>
      <c r="I377" s="66">
        <v>7612202.7400000002</v>
      </c>
      <c r="J377" s="66">
        <v>7612202.7400000002</v>
      </c>
      <c r="K377" s="66">
        <f t="shared" si="86"/>
        <v>0</v>
      </c>
      <c r="L377" s="81">
        <v>216551659.6029</v>
      </c>
      <c r="M377" s="71">
        <f t="shared" si="78"/>
        <v>476886034.8732</v>
      </c>
      <c r="N377" s="70"/>
      <c r="O377" s="182"/>
      <c r="P377" s="72">
        <v>6</v>
      </c>
      <c r="Q377" s="182"/>
      <c r="R377" s="66" t="s">
        <v>874</v>
      </c>
      <c r="S377" s="66">
        <v>101666173.87</v>
      </c>
      <c r="T377" s="66">
        <v>0</v>
      </c>
      <c r="U377" s="66">
        <v>182889477.7642</v>
      </c>
      <c r="V377" s="66">
        <v>5577212.0601000004</v>
      </c>
      <c r="W377" s="66">
        <v>8536669.5500000007</v>
      </c>
      <c r="X377" s="66">
        <v>0</v>
      </c>
      <c r="Y377" s="66">
        <f t="shared" si="82"/>
        <v>8536669.5500000007</v>
      </c>
      <c r="Z377" s="66">
        <v>208007510.06889999</v>
      </c>
      <c r="AA377" s="71">
        <f t="shared" si="83"/>
        <v>506677043.3132</v>
      </c>
    </row>
    <row r="378" spans="1:27" ht="24.9" customHeight="1">
      <c r="A378" s="180"/>
      <c r="B378" s="182"/>
      <c r="C378" s="62">
        <v>15</v>
      </c>
      <c r="D378" s="66" t="s">
        <v>875</v>
      </c>
      <c r="E378" s="66">
        <v>104943630.37469999</v>
      </c>
      <c r="F378" s="66">
        <v>0</v>
      </c>
      <c r="G378" s="66">
        <v>188785365.11379999</v>
      </c>
      <c r="H378" s="66">
        <v>7858826.8452000003</v>
      </c>
      <c r="I378" s="66">
        <v>8811869.8599999994</v>
      </c>
      <c r="J378" s="66">
        <v>8811869.8599999994</v>
      </c>
      <c r="K378" s="66">
        <f t="shared" si="86"/>
        <v>0</v>
      </c>
      <c r="L378" s="81">
        <v>265775951.77340001</v>
      </c>
      <c r="M378" s="71">
        <f t="shared" si="78"/>
        <v>567363774.10710001</v>
      </c>
      <c r="N378" s="70"/>
      <c r="O378" s="182"/>
      <c r="P378" s="72">
        <v>7</v>
      </c>
      <c r="Q378" s="182"/>
      <c r="R378" s="66" t="s">
        <v>876</v>
      </c>
      <c r="S378" s="66">
        <v>93601014.329999998</v>
      </c>
      <c r="T378" s="66">
        <v>0</v>
      </c>
      <c r="U378" s="66">
        <v>168380887.92899999</v>
      </c>
      <c r="V378" s="66">
        <v>5270131.1610000003</v>
      </c>
      <c r="W378" s="66">
        <v>7859457.0700000003</v>
      </c>
      <c r="X378" s="66">
        <v>0</v>
      </c>
      <c r="Y378" s="66">
        <f t="shared" si="82"/>
        <v>7859457.0700000003</v>
      </c>
      <c r="Z378" s="66">
        <v>196053911.55160001</v>
      </c>
      <c r="AA378" s="71">
        <f t="shared" si="83"/>
        <v>471165402.04159999</v>
      </c>
    </row>
    <row r="379" spans="1:27" ht="24.9" customHeight="1">
      <c r="A379" s="180"/>
      <c r="B379" s="182"/>
      <c r="C379" s="62">
        <v>16</v>
      </c>
      <c r="D379" s="66" t="s">
        <v>877</v>
      </c>
      <c r="E379" s="66">
        <v>81397800.964300007</v>
      </c>
      <c r="F379" s="66">
        <v>0</v>
      </c>
      <c r="G379" s="66">
        <v>146428263.63080001</v>
      </c>
      <c r="H379" s="66">
        <v>6244211.3470000001</v>
      </c>
      <c r="I379" s="66">
        <v>6834781.9400000004</v>
      </c>
      <c r="J379" s="66">
        <v>6834781.9400000004</v>
      </c>
      <c r="K379" s="66">
        <f t="shared" si="86"/>
        <v>0</v>
      </c>
      <c r="L379" s="81">
        <v>202924548.50600001</v>
      </c>
      <c r="M379" s="71">
        <f t="shared" si="78"/>
        <v>436994824.44809997</v>
      </c>
      <c r="N379" s="70"/>
      <c r="O379" s="182"/>
      <c r="P379" s="72">
        <v>8</v>
      </c>
      <c r="Q379" s="182"/>
      <c r="R379" s="66" t="s">
        <v>878</v>
      </c>
      <c r="S379" s="66">
        <v>81320082.629999995</v>
      </c>
      <c r="T379" s="66">
        <v>0</v>
      </c>
      <c r="U379" s="66">
        <v>146288454.4298</v>
      </c>
      <c r="V379" s="66">
        <v>4970149.6805999996</v>
      </c>
      <c r="W379" s="66">
        <v>6828256.1100000003</v>
      </c>
      <c r="X379" s="66">
        <v>0</v>
      </c>
      <c r="Y379" s="66">
        <f t="shared" si="82"/>
        <v>6828256.1100000003</v>
      </c>
      <c r="Z379" s="66">
        <v>184376668.87900001</v>
      </c>
      <c r="AA379" s="71">
        <f t="shared" si="83"/>
        <v>423783611.72939998</v>
      </c>
    </row>
    <row r="380" spans="1:27" ht="24.9" customHeight="1">
      <c r="A380" s="180"/>
      <c r="B380" s="182"/>
      <c r="C380" s="62">
        <v>17</v>
      </c>
      <c r="D380" s="66" t="s">
        <v>879</v>
      </c>
      <c r="E380" s="66">
        <v>113258775.68000001</v>
      </c>
      <c r="F380" s="66">
        <v>0</v>
      </c>
      <c r="G380" s="66">
        <v>203743659.743</v>
      </c>
      <c r="H380" s="66">
        <v>8413190.9956</v>
      </c>
      <c r="I380" s="66">
        <v>9510073.0600000005</v>
      </c>
      <c r="J380" s="66">
        <v>9510073.0600000005</v>
      </c>
      <c r="K380" s="66">
        <f t="shared" si="86"/>
        <v>0</v>
      </c>
      <c r="L380" s="81">
        <v>287355432.9648</v>
      </c>
      <c r="M380" s="71">
        <f t="shared" si="78"/>
        <v>612771059.38339996</v>
      </c>
      <c r="N380" s="70"/>
      <c r="O380" s="182"/>
      <c r="P380" s="72">
        <v>9</v>
      </c>
      <c r="Q380" s="182"/>
      <c r="R380" s="66" t="s">
        <v>880</v>
      </c>
      <c r="S380" s="66">
        <v>107248177.06</v>
      </c>
      <c r="T380" s="66">
        <v>0</v>
      </c>
      <c r="U380" s="66">
        <v>192931063.9709</v>
      </c>
      <c r="V380" s="66">
        <v>6387471.3163000001</v>
      </c>
      <c r="W380" s="66">
        <v>9005377.2300000004</v>
      </c>
      <c r="X380" s="66">
        <v>0</v>
      </c>
      <c r="Y380" s="66">
        <f t="shared" si="82"/>
        <v>9005377.2300000004</v>
      </c>
      <c r="Z380" s="66">
        <v>239548103.67930001</v>
      </c>
      <c r="AA380" s="71">
        <f t="shared" si="83"/>
        <v>555120193.25650001</v>
      </c>
    </row>
    <row r="381" spans="1:27" ht="24.9" customHeight="1">
      <c r="A381" s="180"/>
      <c r="B381" s="182"/>
      <c r="C381" s="62">
        <v>18</v>
      </c>
      <c r="D381" s="66" t="s">
        <v>881</v>
      </c>
      <c r="E381" s="66">
        <v>76179451.590299994</v>
      </c>
      <c r="F381" s="66">
        <v>0</v>
      </c>
      <c r="G381" s="66">
        <v>137040862.1455</v>
      </c>
      <c r="H381" s="66">
        <v>6326232.7714</v>
      </c>
      <c r="I381" s="66">
        <v>6396609.4100000001</v>
      </c>
      <c r="J381" s="66">
        <v>6396609.4100000001</v>
      </c>
      <c r="K381" s="66">
        <f t="shared" si="86"/>
        <v>0</v>
      </c>
      <c r="L381" s="81">
        <v>206117359.1954</v>
      </c>
      <c r="M381" s="71">
        <f t="shared" si="78"/>
        <v>425663905.7026</v>
      </c>
      <c r="N381" s="70"/>
      <c r="O381" s="182"/>
      <c r="P381" s="72">
        <v>10</v>
      </c>
      <c r="Q381" s="182"/>
      <c r="R381" s="66" t="s">
        <v>882</v>
      </c>
      <c r="S381" s="66">
        <v>75637269.290000007</v>
      </c>
      <c r="T381" s="66">
        <v>0</v>
      </c>
      <c r="U381" s="66">
        <v>136065518.6749</v>
      </c>
      <c r="V381" s="66">
        <v>5009450.4374000002</v>
      </c>
      <c r="W381" s="66">
        <v>6351083.6399999997</v>
      </c>
      <c r="X381" s="66">
        <v>0</v>
      </c>
      <c r="Y381" s="66">
        <f t="shared" si="82"/>
        <v>6351083.6399999997</v>
      </c>
      <c r="Z381" s="66">
        <v>185906511.56799999</v>
      </c>
      <c r="AA381" s="71">
        <f t="shared" si="83"/>
        <v>408969833.6103</v>
      </c>
    </row>
    <row r="382" spans="1:27" ht="24.9" customHeight="1">
      <c r="A382" s="180"/>
      <c r="B382" s="182"/>
      <c r="C382" s="62">
        <v>19</v>
      </c>
      <c r="D382" s="66" t="s">
        <v>883</v>
      </c>
      <c r="E382" s="66">
        <v>100518689.208</v>
      </c>
      <c r="F382" s="66">
        <v>0</v>
      </c>
      <c r="G382" s="66">
        <v>180825242.80919999</v>
      </c>
      <c r="H382" s="66">
        <v>7913297.1072000004</v>
      </c>
      <c r="I382" s="66">
        <v>8440317.9600000009</v>
      </c>
      <c r="J382" s="66">
        <v>8440317.9600000009</v>
      </c>
      <c r="K382" s="66">
        <f t="shared" si="86"/>
        <v>0</v>
      </c>
      <c r="L382" s="81">
        <v>267896290.89359999</v>
      </c>
      <c r="M382" s="71">
        <f t="shared" si="78"/>
        <v>557153520.01800001</v>
      </c>
      <c r="N382" s="70"/>
      <c r="O382" s="182"/>
      <c r="P382" s="72">
        <v>11</v>
      </c>
      <c r="Q382" s="182"/>
      <c r="R382" s="66" t="s">
        <v>884</v>
      </c>
      <c r="S382" s="66">
        <v>72448478.170000002</v>
      </c>
      <c r="T382" s="66">
        <v>0</v>
      </c>
      <c r="U382" s="66">
        <v>130329133.4061</v>
      </c>
      <c r="V382" s="66">
        <v>4497186.1787</v>
      </c>
      <c r="W382" s="66">
        <v>6083328.3499999996</v>
      </c>
      <c r="X382" s="66">
        <v>0</v>
      </c>
      <c r="Y382" s="66">
        <f t="shared" si="82"/>
        <v>6083328.3499999996</v>
      </c>
      <c r="Z382" s="66">
        <v>165965833.71650001</v>
      </c>
      <c r="AA382" s="71">
        <f t="shared" si="83"/>
        <v>379323959.82130003</v>
      </c>
    </row>
    <row r="383" spans="1:27" ht="24.9" customHeight="1">
      <c r="A383" s="180"/>
      <c r="B383" s="182"/>
      <c r="C383" s="62">
        <v>20</v>
      </c>
      <c r="D383" s="66" t="s">
        <v>885</v>
      </c>
      <c r="E383" s="66">
        <v>84277589.638699993</v>
      </c>
      <c r="F383" s="66">
        <v>0</v>
      </c>
      <c r="G383" s="66">
        <v>151608777.72549999</v>
      </c>
      <c r="H383" s="66">
        <v>6360928.4999000002</v>
      </c>
      <c r="I383" s="66">
        <v>7076591.0199999996</v>
      </c>
      <c r="J383" s="66">
        <v>7076591.0199999996</v>
      </c>
      <c r="K383" s="66">
        <f t="shared" si="86"/>
        <v>0</v>
      </c>
      <c r="L383" s="81">
        <v>207467944.03909999</v>
      </c>
      <c r="M383" s="71">
        <f t="shared" si="78"/>
        <v>449715239.90319997</v>
      </c>
      <c r="N383" s="70"/>
      <c r="O383" s="182"/>
      <c r="P383" s="72">
        <v>12</v>
      </c>
      <c r="Q383" s="182"/>
      <c r="R383" s="66" t="s">
        <v>886</v>
      </c>
      <c r="S383" s="66">
        <v>77675847.900000006</v>
      </c>
      <c r="T383" s="66">
        <v>-1E-4</v>
      </c>
      <c r="U383" s="66">
        <v>139732761.8057</v>
      </c>
      <c r="V383" s="66">
        <v>4793093.1118999999</v>
      </c>
      <c r="W383" s="66">
        <v>6522258.29</v>
      </c>
      <c r="X383" s="66">
        <v>0</v>
      </c>
      <c r="Y383" s="66">
        <f t="shared" si="82"/>
        <v>6522258.29</v>
      </c>
      <c r="Z383" s="66">
        <v>177484468.34459999</v>
      </c>
      <c r="AA383" s="71">
        <f t="shared" si="83"/>
        <v>406208429.45209998</v>
      </c>
    </row>
    <row r="384" spans="1:27" ht="24.9" customHeight="1">
      <c r="A384" s="180"/>
      <c r="B384" s="182"/>
      <c r="C384" s="62">
        <v>21</v>
      </c>
      <c r="D384" s="66" t="s">
        <v>887</v>
      </c>
      <c r="E384" s="66">
        <v>107423182.5679</v>
      </c>
      <c r="F384" s="66">
        <v>0</v>
      </c>
      <c r="G384" s="66">
        <v>193245885.15880001</v>
      </c>
      <c r="H384" s="66">
        <v>7985521.5595000004</v>
      </c>
      <c r="I384" s="66">
        <v>9020072.0299999993</v>
      </c>
      <c r="J384" s="66">
        <v>9020072.0299999993</v>
      </c>
      <c r="K384" s="66">
        <f t="shared" si="86"/>
        <v>0</v>
      </c>
      <c r="L384" s="81">
        <v>270707739.30440003</v>
      </c>
      <c r="M384" s="71">
        <f t="shared" si="78"/>
        <v>579362328.59060001</v>
      </c>
      <c r="N384" s="70"/>
      <c r="O384" s="182"/>
      <c r="P384" s="72">
        <v>13</v>
      </c>
      <c r="Q384" s="182"/>
      <c r="R384" s="66" t="s">
        <v>888</v>
      </c>
      <c r="S384" s="66">
        <v>84481671.560000002</v>
      </c>
      <c r="T384" s="66">
        <v>0</v>
      </c>
      <c r="U384" s="66">
        <v>151975905.0975</v>
      </c>
      <c r="V384" s="66">
        <v>5502007.8835000005</v>
      </c>
      <c r="W384" s="66">
        <v>7093727.2999999998</v>
      </c>
      <c r="X384" s="66">
        <v>0</v>
      </c>
      <c r="Y384" s="66">
        <f t="shared" si="82"/>
        <v>7093727.2999999998</v>
      </c>
      <c r="Z384" s="66">
        <v>205080071.2877</v>
      </c>
      <c r="AA384" s="71">
        <f t="shared" si="83"/>
        <v>454133383.12870002</v>
      </c>
    </row>
    <row r="385" spans="1:27" ht="24.9" customHeight="1">
      <c r="A385" s="180"/>
      <c r="B385" s="182"/>
      <c r="C385" s="62">
        <v>22</v>
      </c>
      <c r="D385" s="66" t="s">
        <v>889</v>
      </c>
      <c r="E385" s="66">
        <v>120184884.17120001</v>
      </c>
      <c r="F385" s="66">
        <v>0</v>
      </c>
      <c r="G385" s="66">
        <v>216203186.02990001</v>
      </c>
      <c r="H385" s="66">
        <v>8246247.4304</v>
      </c>
      <c r="I385" s="66">
        <v>10091642.109999999</v>
      </c>
      <c r="J385" s="66">
        <v>10091642.109999999</v>
      </c>
      <c r="K385" s="66">
        <f t="shared" si="86"/>
        <v>0</v>
      </c>
      <c r="L385" s="81">
        <v>280856896.71789998</v>
      </c>
      <c r="M385" s="71">
        <f t="shared" si="78"/>
        <v>625491214.34940004</v>
      </c>
      <c r="N385" s="70"/>
      <c r="O385" s="182"/>
      <c r="P385" s="72">
        <v>14</v>
      </c>
      <c r="Q385" s="182"/>
      <c r="R385" s="66" t="s">
        <v>890</v>
      </c>
      <c r="S385" s="66">
        <v>92962469.030000001</v>
      </c>
      <c r="T385" s="66">
        <v>0</v>
      </c>
      <c r="U385" s="66">
        <v>167232194.98699999</v>
      </c>
      <c r="V385" s="66">
        <v>6125537.7542000003</v>
      </c>
      <c r="W385" s="66">
        <v>7805839.9199999999</v>
      </c>
      <c r="X385" s="66">
        <v>0</v>
      </c>
      <c r="Y385" s="66">
        <f t="shared" si="82"/>
        <v>7805839.9199999999</v>
      </c>
      <c r="Z385" s="66">
        <v>229351935.01719999</v>
      </c>
      <c r="AA385" s="71">
        <f t="shared" si="83"/>
        <v>503477976.70840001</v>
      </c>
    </row>
    <row r="386" spans="1:27" ht="24.9" customHeight="1">
      <c r="A386" s="180"/>
      <c r="B386" s="183"/>
      <c r="C386" s="62">
        <v>23</v>
      </c>
      <c r="D386" s="66" t="s">
        <v>891</v>
      </c>
      <c r="E386" s="66">
        <v>122719150.42120001</v>
      </c>
      <c r="F386" s="66">
        <v>0</v>
      </c>
      <c r="G386" s="66">
        <v>220762132.35409999</v>
      </c>
      <c r="H386" s="66">
        <v>9282694.8447999991</v>
      </c>
      <c r="I386" s="66">
        <v>10304438.48</v>
      </c>
      <c r="J386" s="66">
        <v>10304438.48</v>
      </c>
      <c r="K386" s="66">
        <f t="shared" si="86"/>
        <v>0</v>
      </c>
      <c r="L386" s="81">
        <v>321202213.90259999</v>
      </c>
      <c r="M386" s="71">
        <f t="shared" si="78"/>
        <v>673966191.52269995</v>
      </c>
      <c r="N386" s="70"/>
      <c r="O386" s="182"/>
      <c r="P386" s="72">
        <v>15</v>
      </c>
      <c r="Q386" s="182"/>
      <c r="R386" s="66" t="s">
        <v>892</v>
      </c>
      <c r="S386" s="66">
        <v>86221760.25</v>
      </c>
      <c r="T386" s="66">
        <v>0</v>
      </c>
      <c r="U386" s="66">
        <v>155106188.26179999</v>
      </c>
      <c r="V386" s="66">
        <v>4673238.2191000003</v>
      </c>
      <c r="W386" s="66">
        <v>7239838.46</v>
      </c>
      <c r="X386" s="66">
        <v>0</v>
      </c>
      <c r="Y386" s="66">
        <f t="shared" si="82"/>
        <v>7239838.46</v>
      </c>
      <c r="Z386" s="66">
        <v>172818931.4366</v>
      </c>
      <c r="AA386" s="71">
        <f t="shared" si="83"/>
        <v>426059956.6275</v>
      </c>
    </row>
    <row r="387" spans="1:27" ht="24.9" customHeight="1">
      <c r="A387" s="62"/>
      <c r="B387" s="173" t="s">
        <v>893</v>
      </c>
      <c r="C387" s="174"/>
      <c r="D387" s="67"/>
      <c r="E387" s="67">
        <f t="shared" ref="E387:M387" si="88">SUM(E364:E386)</f>
        <v>2394328085.1907001</v>
      </c>
      <c r="F387" s="67">
        <f t="shared" si="88"/>
        <v>0</v>
      </c>
      <c r="G387" s="67">
        <f t="shared" si="88"/>
        <v>4307208547.6275997</v>
      </c>
      <c r="H387" s="67">
        <f t="shared" si="88"/>
        <v>176007208.3872</v>
      </c>
      <c r="I387" s="67">
        <f t="shared" si="88"/>
        <v>201046098.96000001</v>
      </c>
      <c r="J387" s="67">
        <f t="shared" si="88"/>
        <v>201046098.96000001</v>
      </c>
      <c r="K387" s="67">
        <f t="shared" si="88"/>
        <v>0</v>
      </c>
      <c r="L387" s="67">
        <f t="shared" si="88"/>
        <v>5928108939.9157</v>
      </c>
      <c r="M387" s="67">
        <f t="shared" si="88"/>
        <v>12805652781.121201</v>
      </c>
      <c r="N387" s="91"/>
      <c r="O387" s="182"/>
      <c r="P387" s="72">
        <v>16</v>
      </c>
      <c r="Q387" s="182"/>
      <c r="R387" s="66" t="s">
        <v>894</v>
      </c>
      <c r="S387" s="66">
        <v>89857852</v>
      </c>
      <c r="T387" s="66">
        <v>0</v>
      </c>
      <c r="U387" s="66">
        <v>161647232.31169999</v>
      </c>
      <c r="V387" s="66">
        <v>5221970.2392999995</v>
      </c>
      <c r="W387" s="66">
        <v>7545152.5300000003</v>
      </c>
      <c r="X387" s="66">
        <v>0</v>
      </c>
      <c r="Y387" s="66">
        <f t="shared" si="82"/>
        <v>7545152.5300000003</v>
      </c>
      <c r="Z387" s="66">
        <v>194179173.2536</v>
      </c>
      <c r="AA387" s="71">
        <f t="shared" si="83"/>
        <v>458451380.33459997</v>
      </c>
    </row>
    <row r="388" spans="1:27" ht="24.9" customHeight="1">
      <c r="A388" s="180">
        <v>19</v>
      </c>
      <c r="B388" s="181" t="s">
        <v>104</v>
      </c>
      <c r="C388" s="62">
        <v>1</v>
      </c>
      <c r="D388" s="66" t="s">
        <v>895</v>
      </c>
      <c r="E388" s="66">
        <v>78751348.011099994</v>
      </c>
      <c r="F388" s="66">
        <v>0</v>
      </c>
      <c r="G388" s="66">
        <v>141667502.20570001</v>
      </c>
      <c r="H388" s="66">
        <v>6254315.4359999998</v>
      </c>
      <c r="I388" s="66">
        <v>6612565.5099999998</v>
      </c>
      <c r="J388" s="66">
        <v>0</v>
      </c>
      <c r="K388" s="66">
        <f t="shared" ref="K388:K412" si="89">I388-J388</f>
        <v>6612565.5099999998</v>
      </c>
      <c r="L388" s="81">
        <v>228489184.75130001</v>
      </c>
      <c r="M388" s="71">
        <f t="shared" si="78"/>
        <v>461774915.91409999</v>
      </c>
      <c r="N388" s="70"/>
      <c r="O388" s="183"/>
      <c r="P388" s="72">
        <v>17</v>
      </c>
      <c r="Q388" s="183"/>
      <c r="R388" s="66" t="s">
        <v>896</v>
      </c>
      <c r="S388" s="66">
        <v>89644318.310000002</v>
      </c>
      <c r="T388" s="66">
        <v>0</v>
      </c>
      <c r="U388" s="66">
        <v>161263101.93740001</v>
      </c>
      <c r="V388" s="66">
        <v>5055658.7368000001</v>
      </c>
      <c r="W388" s="66">
        <v>7527222.6100000003</v>
      </c>
      <c r="X388" s="66">
        <v>0</v>
      </c>
      <c r="Y388" s="66">
        <f t="shared" si="82"/>
        <v>7527222.6100000003</v>
      </c>
      <c r="Z388" s="66">
        <v>187705241.02469999</v>
      </c>
      <c r="AA388" s="71">
        <f t="shared" si="83"/>
        <v>451195542.6189</v>
      </c>
    </row>
    <row r="389" spans="1:27" ht="24.9" customHeight="1">
      <c r="A389" s="180"/>
      <c r="B389" s="182"/>
      <c r="C389" s="62">
        <v>2</v>
      </c>
      <c r="D389" s="66" t="s">
        <v>897</v>
      </c>
      <c r="E389" s="66">
        <v>80662076.599600002</v>
      </c>
      <c r="F389" s="66">
        <v>0</v>
      </c>
      <c r="G389" s="66">
        <v>145104753.16949999</v>
      </c>
      <c r="H389" s="66">
        <v>6435085.3732000003</v>
      </c>
      <c r="I389" s="66">
        <v>6773004.9000000004</v>
      </c>
      <c r="J389" s="66">
        <v>0</v>
      </c>
      <c r="K389" s="66">
        <f t="shared" si="89"/>
        <v>6773004.9000000004</v>
      </c>
      <c r="L389" s="81">
        <v>235525933.89129999</v>
      </c>
      <c r="M389" s="71">
        <f t="shared" si="78"/>
        <v>474500853.93360001</v>
      </c>
      <c r="N389" s="70"/>
      <c r="O389" s="62"/>
      <c r="P389" s="174" t="s">
        <v>898</v>
      </c>
      <c r="Q389" s="175"/>
      <c r="R389" s="67"/>
      <c r="S389" s="67">
        <f t="shared" ref="S389:X389" si="90">SUM(S372:S388)</f>
        <v>1518634259.1600001</v>
      </c>
      <c r="T389" s="67">
        <f t="shared" si="90"/>
        <v>-1E-4</v>
      </c>
      <c r="U389" s="67">
        <f t="shared" si="90"/>
        <v>2731903995.1778002</v>
      </c>
      <c r="V389" s="67">
        <f t="shared" si="90"/>
        <v>90834853.751900002</v>
      </c>
      <c r="W389" s="67">
        <f t="shared" si="90"/>
        <v>127516147.64</v>
      </c>
      <c r="X389" s="67">
        <f t="shared" si="90"/>
        <v>0</v>
      </c>
      <c r="Y389" s="67">
        <f t="shared" si="82"/>
        <v>127516147.64</v>
      </c>
      <c r="Z389" s="67">
        <f>SUM(Z372:Z388)</f>
        <v>3381287556.3532</v>
      </c>
      <c r="AA389" s="67">
        <f>SUM(AA372:AA388)</f>
        <v>7850176812.0827999</v>
      </c>
    </row>
    <row r="390" spans="1:27" ht="24.9" customHeight="1">
      <c r="A390" s="180"/>
      <c r="B390" s="182"/>
      <c r="C390" s="62">
        <v>3</v>
      </c>
      <c r="D390" s="66" t="s">
        <v>899</v>
      </c>
      <c r="E390" s="66">
        <v>73547922.175600007</v>
      </c>
      <c r="F390" s="66">
        <v>0</v>
      </c>
      <c r="G390" s="66">
        <v>132306947.00319999</v>
      </c>
      <c r="H390" s="66">
        <v>6126887.0774999997</v>
      </c>
      <c r="I390" s="66">
        <v>6175646.0800000001</v>
      </c>
      <c r="J390" s="66">
        <v>0</v>
      </c>
      <c r="K390" s="66">
        <f t="shared" si="89"/>
        <v>6175646.0800000001</v>
      </c>
      <c r="L390" s="81">
        <v>223528838.9851</v>
      </c>
      <c r="M390" s="71">
        <f t="shared" si="78"/>
        <v>441686241.32139999</v>
      </c>
      <c r="N390" s="70"/>
      <c r="O390" s="181">
        <v>36</v>
      </c>
      <c r="P390" s="72">
        <v>1</v>
      </c>
      <c r="Q390" s="181" t="s">
        <v>121</v>
      </c>
      <c r="R390" s="66" t="s">
        <v>900</v>
      </c>
      <c r="S390" s="66">
        <v>84379545.340000004</v>
      </c>
      <c r="T390" s="66">
        <v>0</v>
      </c>
      <c r="U390" s="66">
        <v>151792188.03510001</v>
      </c>
      <c r="V390" s="66">
        <v>5407982.2446999997</v>
      </c>
      <c r="W390" s="66">
        <v>7085152</v>
      </c>
      <c r="X390" s="66">
        <v>0</v>
      </c>
      <c r="Y390" s="66">
        <f t="shared" si="82"/>
        <v>7085152</v>
      </c>
      <c r="Z390" s="66">
        <v>206391263.9684</v>
      </c>
      <c r="AA390" s="71">
        <f t="shared" si="83"/>
        <v>455056131.58819997</v>
      </c>
    </row>
    <row r="391" spans="1:27" ht="24.9" customHeight="1">
      <c r="A391" s="180"/>
      <c r="B391" s="182"/>
      <c r="C391" s="62">
        <v>4</v>
      </c>
      <c r="D391" s="66" t="s">
        <v>901</v>
      </c>
      <c r="E391" s="66">
        <v>79789327.618699998</v>
      </c>
      <c r="F391" s="66">
        <v>0</v>
      </c>
      <c r="G391" s="66">
        <v>143534746.16159999</v>
      </c>
      <c r="H391" s="66">
        <v>6420480.2096999995</v>
      </c>
      <c r="I391" s="66">
        <v>6699722.21</v>
      </c>
      <c r="J391" s="66">
        <v>0</v>
      </c>
      <c r="K391" s="66">
        <f t="shared" si="89"/>
        <v>6699722.21</v>
      </c>
      <c r="L391" s="81">
        <v>234957405.33320001</v>
      </c>
      <c r="M391" s="71">
        <f t="shared" ref="M391:M412" si="91">E391+F391+G391+H391+K391+L391</f>
        <v>471401681.53320003</v>
      </c>
      <c r="N391" s="70"/>
      <c r="O391" s="182"/>
      <c r="P391" s="72">
        <v>2</v>
      </c>
      <c r="Q391" s="182"/>
      <c r="R391" s="66" t="s">
        <v>902</v>
      </c>
      <c r="S391" s="66">
        <v>81700489.170000002</v>
      </c>
      <c r="T391" s="66">
        <v>0</v>
      </c>
      <c r="U391" s="66">
        <v>146972775.97760001</v>
      </c>
      <c r="V391" s="66">
        <v>5911657.2226</v>
      </c>
      <c r="W391" s="66">
        <v>6860197.96</v>
      </c>
      <c r="X391" s="66">
        <v>0</v>
      </c>
      <c r="Y391" s="66">
        <f t="shared" si="82"/>
        <v>6860197.96</v>
      </c>
      <c r="Z391" s="66">
        <v>225997590.7899</v>
      </c>
      <c r="AA391" s="71">
        <f t="shared" si="83"/>
        <v>467442711.12010002</v>
      </c>
    </row>
    <row r="392" spans="1:27" ht="24.9" customHeight="1">
      <c r="A392" s="180"/>
      <c r="B392" s="182"/>
      <c r="C392" s="62">
        <v>5</v>
      </c>
      <c r="D392" s="66" t="s">
        <v>903</v>
      </c>
      <c r="E392" s="66">
        <v>96707291.672499999</v>
      </c>
      <c r="F392" s="66">
        <v>0</v>
      </c>
      <c r="G392" s="66">
        <v>173968837.38960001</v>
      </c>
      <c r="H392" s="66">
        <v>7416430.4627999999</v>
      </c>
      <c r="I392" s="66">
        <v>8120283.8700000001</v>
      </c>
      <c r="J392" s="66">
        <v>0</v>
      </c>
      <c r="K392" s="66">
        <f t="shared" si="89"/>
        <v>8120283.8700000001</v>
      </c>
      <c r="L392" s="81">
        <v>273726307.93779999</v>
      </c>
      <c r="M392" s="71">
        <f t="shared" si="91"/>
        <v>559939151.33270001</v>
      </c>
      <c r="N392" s="70"/>
      <c r="O392" s="182"/>
      <c r="P392" s="72">
        <v>3</v>
      </c>
      <c r="Q392" s="182"/>
      <c r="R392" s="66" t="s">
        <v>904</v>
      </c>
      <c r="S392" s="66">
        <v>96419959.549999997</v>
      </c>
      <c r="T392" s="66">
        <v>0</v>
      </c>
      <c r="U392" s="66">
        <v>173451949.417</v>
      </c>
      <c r="V392" s="66">
        <v>6190758.0596000003</v>
      </c>
      <c r="W392" s="66">
        <v>8096157.2699999996</v>
      </c>
      <c r="X392" s="66">
        <v>0</v>
      </c>
      <c r="Y392" s="66">
        <f t="shared" si="82"/>
        <v>8096157.2699999996</v>
      </c>
      <c r="Z392" s="66">
        <v>236862022.15450001</v>
      </c>
      <c r="AA392" s="71">
        <f t="shared" si="83"/>
        <v>521020846.45109999</v>
      </c>
    </row>
    <row r="393" spans="1:27" ht="24.9" customHeight="1">
      <c r="A393" s="180"/>
      <c r="B393" s="182"/>
      <c r="C393" s="62">
        <v>6</v>
      </c>
      <c r="D393" s="66" t="s">
        <v>905</v>
      </c>
      <c r="E393" s="66">
        <v>77047174.996399999</v>
      </c>
      <c r="F393" s="66">
        <v>0</v>
      </c>
      <c r="G393" s="66">
        <v>138601828.53330001</v>
      </c>
      <c r="H393" s="66">
        <v>6217678.3721000003</v>
      </c>
      <c r="I393" s="66">
        <v>6469470.1100000003</v>
      </c>
      <c r="J393" s="66">
        <v>0</v>
      </c>
      <c r="K393" s="66">
        <f t="shared" si="89"/>
        <v>6469470.1100000003</v>
      </c>
      <c r="L393" s="81">
        <v>227063030.42379999</v>
      </c>
      <c r="M393" s="71">
        <f t="shared" si="91"/>
        <v>455399182.43559998</v>
      </c>
      <c r="N393" s="70"/>
      <c r="O393" s="182"/>
      <c r="P393" s="72">
        <v>4</v>
      </c>
      <c r="Q393" s="182"/>
      <c r="R393" s="66" t="s">
        <v>906</v>
      </c>
      <c r="S393" s="66">
        <v>106419506.26000001</v>
      </c>
      <c r="T393" s="66">
        <v>0</v>
      </c>
      <c r="U393" s="66">
        <v>191440350.15450001</v>
      </c>
      <c r="V393" s="66">
        <v>6713157.8954999996</v>
      </c>
      <c r="W393" s="66">
        <v>8935795.6899999995</v>
      </c>
      <c r="X393" s="66">
        <v>0</v>
      </c>
      <c r="Y393" s="66">
        <f t="shared" si="82"/>
        <v>8935795.6899999995</v>
      </c>
      <c r="Z393" s="66">
        <v>257197243.00850001</v>
      </c>
      <c r="AA393" s="71">
        <f t="shared" si="83"/>
        <v>570706053.00849998</v>
      </c>
    </row>
    <row r="394" spans="1:27" ht="24.9" customHeight="1">
      <c r="A394" s="180"/>
      <c r="B394" s="182"/>
      <c r="C394" s="62">
        <v>7</v>
      </c>
      <c r="D394" s="66" t="s">
        <v>907</v>
      </c>
      <c r="E394" s="66">
        <v>124362520.83230001</v>
      </c>
      <c r="F394" s="66">
        <v>0</v>
      </c>
      <c r="G394" s="66">
        <v>223718426.9052</v>
      </c>
      <c r="H394" s="66">
        <v>9015526.5638999995</v>
      </c>
      <c r="I394" s="66">
        <v>10442428.43</v>
      </c>
      <c r="J394" s="66">
        <v>0</v>
      </c>
      <c r="K394" s="66">
        <f t="shared" si="89"/>
        <v>10442428.43</v>
      </c>
      <c r="L394" s="81">
        <v>335973594.6925</v>
      </c>
      <c r="M394" s="71">
        <f t="shared" si="91"/>
        <v>703512497.42390001</v>
      </c>
      <c r="N394" s="70"/>
      <c r="O394" s="182"/>
      <c r="P394" s="72">
        <v>5</v>
      </c>
      <c r="Q394" s="182"/>
      <c r="R394" s="66" t="s">
        <v>908</v>
      </c>
      <c r="S394" s="66">
        <v>92626838.890000001</v>
      </c>
      <c r="T394" s="66">
        <v>0</v>
      </c>
      <c r="U394" s="66">
        <v>166628422.6794</v>
      </c>
      <c r="V394" s="66">
        <v>6110689.2575000003</v>
      </c>
      <c r="W394" s="66">
        <v>7777657.8499999996</v>
      </c>
      <c r="X394" s="66">
        <v>0</v>
      </c>
      <c r="Y394" s="66">
        <f t="shared" si="82"/>
        <v>7777657.8499999996</v>
      </c>
      <c r="Z394" s="66">
        <v>233745220.3064</v>
      </c>
      <c r="AA394" s="71">
        <f t="shared" si="83"/>
        <v>506888828.98329997</v>
      </c>
    </row>
    <row r="395" spans="1:27" ht="24.9" customHeight="1">
      <c r="A395" s="180"/>
      <c r="B395" s="182"/>
      <c r="C395" s="62">
        <v>8</v>
      </c>
      <c r="D395" s="66" t="s">
        <v>909</v>
      </c>
      <c r="E395" s="66">
        <v>84730148.710099995</v>
      </c>
      <c r="F395" s="66">
        <v>0</v>
      </c>
      <c r="G395" s="66">
        <v>152422896.01769999</v>
      </c>
      <c r="H395" s="66">
        <v>6636160.3251</v>
      </c>
      <c r="I395" s="66">
        <v>7114591.3399999999</v>
      </c>
      <c r="J395" s="66">
        <v>0</v>
      </c>
      <c r="K395" s="66">
        <f t="shared" si="89"/>
        <v>7114591.3399999999</v>
      </c>
      <c r="L395" s="81">
        <v>243353087.10870001</v>
      </c>
      <c r="M395" s="71">
        <f t="shared" si="91"/>
        <v>494256883.50160003</v>
      </c>
      <c r="N395" s="70"/>
      <c r="O395" s="182"/>
      <c r="P395" s="72">
        <v>6</v>
      </c>
      <c r="Q395" s="182"/>
      <c r="R395" s="66" t="s">
        <v>910</v>
      </c>
      <c r="S395" s="66">
        <v>128617702.7</v>
      </c>
      <c r="T395" s="66">
        <v>0</v>
      </c>
      <c r="U395" s="66">
        <v>231373165.56209999</v>
      </c>
      <c r="V395" s="66">
        <v>8126777.4495000001</v>
      </c>
      <c r="W395" s="66">
        <v>10799726.050000001</v>
      </c>
      <c r="X395" s="66">
        <v>0</v>
      </c>
      <c r="Y395" s="66">
        <f t="shared" si="82"/>
        <v>10799726.050000001</v>
      </c>
      <c r="Z395" s="66">
        <v>312224568.56059998</v>
      </c>
      <c r="AA395" s="71">
        <f t="shared" si="83"/>
        <v>691141940.32219994</v>
      </c>
    </row>
    <row r="396" spans="1:27" ht="24.9" customHeight="1">
      <c r="A396" s="180"/>
      <c r="B396" s="182"/>
      <c r="C396" s="62">
        <v>9</v>
      </c>
      <c r="D396" s="66" t="s">
        <v>911</v>
      </c>
      <c r="E396" s="66">
        <v>91081620.864700004</v>
      </c>
      <c r="F396" s="66">
        <v>0</v>
      </c>
      <c r="G396" s="66">
        <v>163848696.57789999</v>
      </c>
      <c r="H396" s="66">
        <v>6832788.2643999998</v>
      </c>
      <c r="I396" s="66">
        <v>7647909.5300000003</v>
      </c>
      <c r="J396" s="66">
        <v>0</v>
      </c>
      <c r="K396" s="66">
        <f t="shared" si="89"/>
        <v>7647909.5300000003</v>
      </c>
      <c r="L396" s="81">
        <v>251007133.4853</v>
      </c>
      <c r="M396" s="71">
        <f t="shared" si="91"/>
        <v>520418148.72229999</v>
      </c>
      <c r="N396" s="70"/>
      <c r="O396" s="182"/>
      <c r="P396" s="72">
        <v>7</v>
      </c>
      <c r="Q396" s="182"/>
      <c r="R396" s="66" t="s">
        <v>912</v>
      </c>
      <c r="S396" s="66">
        <v>97679565.239999995</v>
      </c>
      <c r="T396" s="66">
        <v>0</v>
      </c>
      <c r="U396" s="66">
        <v>175717881.32100001</v>
      </c>
      <c r="V396" s="66">
        <v>6977834.1583000002</v>
      </c>
      <c r="W396" s="66">
        <v>8201923.4000000004</v>
      </c>
      <c r="X396" s="66">
        <v>0</v>
      </c>
      <c r="Y396" s="66">
        <f t="shared" si="82"/>
        <v>8201923.4000000004</v>
      </c>
      <c r="Z396" s="66">
        <v>267500175.5343</v>
      </c>
      <c r="AA396" s="71">
        <f t="shared" si="83"/>
        <v>556077379.65359998</v>
      </c>
    </row>
    <row r="397" spans="1:27" ht="24.9" customHeight="1">
      <c r="A397" s="180"/>
      <c r="B397" s="182"/>
      <c r="C397" s="62">
        <v>10</v>
      </c>
      <c r="D397" s="66" t="s">
        <v>913</v>
      </c>
      <c r="E397" s="66">
        <v>91719530.738299996</v>
      </c>
      <c r="F397" s="66">
        <v>0</v>
      </c>
      <c r="G397" s="66">
        <v>164996246.42750001</v>
      </c>
      <c r="H397" s="66">
        <v>7086584.0190000003</v>
      </c>
      <c r="I397" s="66">
        <v>7701473.3099999996</v>
      </c>
      <c r="J397" s="66">
        <v>0</v>
      </c>
      <c r="K397" s="66">
        <f t="shared" si="89"/>
        <v>7701473.3099999996</v>
      </c>
      <c r="L397" s="81">
        <v>260886525.4161</v>
      </c>
      <c r="M397" s="71">
        <f t="shared" si="91"/>
        <v>532390359.9109</v>
      </c>
      <c r="N397" s="70"/>
      <c r="O397" s="182"/>
      <c r="P397" s="72">
        <v>8</v>
      </c>
      <c r="Q397" s="182"/>
      <c r="R397" s="66" t="s">
        <v>826</v>
      </c>
      <c r="S397" s="66">
        <v>88621961.870000005</v>
      </c>
      <c r="T397" s="66">
        <v>0</v>
      </c>
      <c r="U397" s="66">
        <v>159423962.84540001</v>
      </c>
      <c r="V397" s="66">
        <v>5818134.5141000003</v>
      </c>
      <c r="W397" s="66">
        <v>7441377.75</v>
      </c>
      <c r="X397" s="66">
        <v>0</v>
      </c>
      <c r="Y397" s="66">
        <f t="shared" si="82"/>
        <v>7441377.75</v>
      </c>
      <c r="Z397" s="66">
        <v>222357074.845</v>
      </c>
      <c r="AA397" s="71">
        <f t="shared" si="83"/>
        <v>483662511.82450002</v>
      </c>
    </row>
    <row r="398" spans="1:27" ht="24.9" customHeight="1">
      <c r="A398" s="180"/>
      <c r="B398" s="182"/>
      <c r="C398" s="62">
        <v>11</v>
      </c>
      <c r="D398" s="66" t="s">
        <v>914</v>
      </c>
      <c r="E398" s="66">
        <v>85011328.831599995</v>
      </c>
      <c r="F398" s="66">
        <v>0</v>
      </c>
      <c r="G398" s="66">
        <v>152928717.0273</v>
      </c>
      <c r="H398" s="66">
        <v>5995214.8693000004</v>
      </c>
      <c r="I398" s="66">
        <v>7138201.3799999999</v>
      </c>
      <c r="J398" s="66">
        <v>0</v>
      </c>
      <c r="K398" s="66">
        <f t="shared" si="89"/>
        <v>7138201.3799999999</v>
      </c>
      <c r="L398" s="81">
        <v>218403294.8125</v>
      </c>
      <c r="M398" s="71">
        <f t="shared" si="91"/>
        <v>469476756.92070001</v>
      </c>
      <c r="N398" s="70"/>
      <c r="O398" s="182"/>
      <c r="P398" s="72">
        <v>9</v>
      </c>
      <c r="Q398" s="182"/>
      <c r="R398" s="66" t="s">
        <v>915</v>
      </c>
      <c r="S398" s="66">
        <v>95802846.930000007</v>
      </c>
      <c r="T398" s="66">
        <v>0</v>
      </c>
      <c r="U398" s="66">
        <v>172341812.18489999</v>
      </c>
      <c r="V398" s="66">
        <v>6181943.0421000002</v>
      </c>
      <c r="W398" s="66">
        <v>8044339.7800000003</v>
      </c>
      <c r="X398" s="66">
        <v>0</v>
      </c>
      <c r="Y398" s="66">
        <f t="shared" si="82"/>
        <v>8044339.7800000003</v>
      </c>
      <c r="Z398" s="66">
        <v>236518883.97530001</v>
      </c>
      <c r="AA398" s="71">
        <f t="shared" si="83"/>
        <v>518889825.91229999</v>
      </c>
    </row>
    <row r="399" spans="1:27" ht="24.9" customHeight="1">
      <c r="A399" s="180"/>
      <c r="B399" s="182"/>
      <c r="C399" s="62">
        <v>12</v>
      </c>
      <c r="D399" s="66" t="s">
        <v>916</v>
      </c>
      <c r="E399" s="66">
        <v>83284231.105499998</v>
      </c>
      <c r="F399" s="66">
        <v>0</v>
      </c>
      <c r="G399" s="66">
        <v>149821803.581</v>
      </c>
      <c r="H399" s="66">
        <v>6532998.6601999998</v>
      </c>
      <c r="I399" s="66">
        <v>6993181.04</v>
      </c>
      <c r="J399" s="66">
        <v>0</v>
      </c>
      <c r="K399" s="66">
        <f t="shared" si="89"/>
        <v>6993181.04</v>
      </c>
      <c r="L399" s="81">
        <v>239337359.8897</v>
      </c>
      <c r="M399" s="71">
        <f t="shared" si="91"/>
        <v>485969574.27640003</v>
      </c>
      <c r="N399" s="70"/>
      <c r="O399" s="182"/>
      <c r="P399" s="72">
        <v>10</v>
      </c>
      <c r="Q399" s="182"/>
      <c r="R399" s="66" t="s">
        <v>917</v>
      </c>
      <c r="S399" s="66">
        <v>126451944.91</v>
      </c>
      <c r="T399" s="66">
        <v>0</v>
      </c>
      <c r="U399" s="66">
        <v>227477137.05270001</v>
      </c>
      <c r="V399" s="66">
        <v>7096718.3833999997</v>
      </c>
      <c r="W399" s="66">
        <v>10617872.460000001</v>
      </c>
      <c r="X399" s="66">
        <v>0</v>
      </c>
      <c r="Y399" s="66">
        <f t="shared" si="82"/>
        <v>10617872.460000001</v>
      </c>
      <c r="Z399" s="66">
        <v>272127927.70039999</v>
      </c>
      <c r="AA399" s="71">
        <f t="shared" si="83"/>
        <v>643771600.50650001</v>
      </c>
    </row>
    <row r="400" spans="1:27" ht="24.9" customHeight="1">
      <c r="A400" s="180"/>
      <c r="B400" s="182"/>
      <c r="C400" s="62">
        <v>13</v>
      </c>
      <c r="D400" s="66" t="s">
        <v>918</v>
      </c>
      <c r="E400" s="66">
        <v>87020246.496800005</v>
      </c>
      <c r="F400" s="66">
        <v>0</v>
      </c>
      <c r="G400" s="66">
        <v>156542602.4395</v>
      </c>
      <c r="H400" s="66">
        <v>6671002.7823999999</v>
      </c>
      <c r="I400" s="66">
        <v>7306885.4699999997</v>
      </c>
      <c r="J400" s="66">
        <v>0</v>
      </c>
      <c r="K400" s="66">
        <f t="shared" si="89"/>
        <v>7306885.4699999997</v>
      </c>
      <c r="L400" s="81">
        <v>244709383.59940001</v>
      </c>
      <c r="M400" s="71">
        <f t="shared" si="91"/>
        <v>502250120.7881</v>
      </c>
      <c r="N400" s="70"/>
      <c r="O400" s="182"/>
      <c r="P400" s="72">
        <v>11</v>
      </c>
      <c r="Q400" s="182"/>
      <c r="R400" s="66" t="s">
        <v>919</v>
      </c>
      <c r="S400" s="66">
        <v>78954061.209999993</v>
      </c>
      <c r="T400" s="66">
        <v>0</v>
      </c>
      <c r="U400" s="66">
        <v>142032167.3698</v>
      </c>
      <c r="V400" s="66">
        <v>5333139.2468999997</v>
      </c>
      <c r="W400" s="66">
        <v>6629586.8600000003</v>
      </c>
      <c r="X400" s="66">
        <v>0</v>
      </c>
      <c r="Y400" s="66">
        <f t="shared" ref="Y400:Y412" si="92">W400-X400</f>
        <v>6629586.8600000003</v>
      </c>
      <c r="Z400" s="66">
        <v>203477884.62599999</v>
      </c>
      <c r="AA400" s="71">
        <f t="shared" si="83"/>
        <v>436426839.31269997</v>
      </c>
    </row>
    <row r="401" spans="1:27" ht="24.9" customHeight="1">
      <c r="A401" s="180"/>
      <c r="B401" s="182"/>
      <c r="C401" s="62">
        <v>14</v>
      </c>
      <c r="D401" s="66" t="s">
        <v>920</v>
      </c>
      <c r="E401" s="66">
        <v>77622450.372600004</v>
      </c>
      <c r="F401" s="66">
        <v>0</v>
      </c>
      <c r="G401" s="66">
        <v>139636703.84040001</v>
      </c>
      <c r="H401" s="66">
        <v>6122970.5460000001</v>
      </c>
      <c r="I401" s="66">
        <v>6517774.6299999999</v>
      </c>
      <c r="J401" s="66">
        <v>0</v>
      </c>
      <c r="K401" s="66">
        <f t="shared" si="89"/>
        <v>6517774.6299999999</v>
      </c>
      <c r="L401" s="81">
        <v>223376381.9452</v>
      </c>
      <c r="M401" s="71">
        <f t="shared" si="91"/>
        <v>453276281.33420002</v>
      </c>
      <c r="N401" s="70"/>
      <c r="O401" s="182"/>
      <c r="P401" s="72">
        <v>12</v>
      </c>
      <c r="Q401" s="182"/>
      <c r="R401" s="66" t="s">
        <v>921</v>
      </c>
      <c r="S401" s="66">
        <v>91193245.700000003</v>
      </c>
      <c r="T401" s="66">
        <v>0</v>
      </c>
      <c r="U401" s="66">
        <v>164049500.90689999</v>
      </c>
      <c r="V401" s="66">
        <v>6230769.8870000001</v>
      </c>
      <c r="W401" s="66">
        <v>7657282.4000000004</v>
      </c>
      <c r="X401" s="66">
        <v>0</v>
      </c>
      <c r="Y401" s="66">
        <f t="shared" si="92"/>
        <v>7657282.4000000004</v>
      </c>
      <c r="Z401" s="66">
        <v>238419544.36359999</v>
      </c>
      <c r="AA401" s="71">
        <f t="shared" si="83"/>
        <v>507550343.25749999</v>
      </c>
    </row>
    <row r="402" spans="1:27" ht="24.9" customHeight="1">
      <c r="A402" s="180"/>
      <c r="B402" s="182"/>
      <c r="C402" s="62">
        <v>15</v>
      </c>
      <c r="D402" s="66" t="s">
        <v>922</v>
      </c>
      <c r="E402" s="66">
        <v>77217397.649299994</v>
      </c>
      <c r="F402" s="66">
        <v>0</v>
      </c>
      <c r="G402" s="66">
        <v>138908045.7439</v>
      </c>
      <c r="H402" s="66">
        <v>5603708.4501</v>
      </c>
      <c r="I402" s="66">
        <v>6483763.2999999998</v>
      </c>
      <c r="J402" s="66">
        <v>0</v>
      </c>
      <c r="K402" s="66">
        <f t="shared" si="89"/>
        <v>6483763.2999999998</v>
      </c>
      <c r="L402" s="81">
        <v>203163302.46610001</v>
      </c>
      <c r="M402" s="71">
        <f t="shared" si="91"/>
        <v>431376217.60939997</v>
      </c>
      <c r="N402" s="70"/>
      <c r="O402" s="182"/>
      <c r="P402" s="72">
        <v>13</v>
      </c>
      <c r="Q402" s="182"/>
      <c r="R402" s="66" t="s">
        <v>923</v>
      </c>
      <c r="S402" s="66">
        <v>96616245.930000007</v>
      </c>
      <c r="T402" s="66">
        <v>0</v>
      </c>
      <c r="U402" s="66">
        <v>173805053.236</v>
      </c>
      <c r="V402" s="66">
        <v>6804479.6712999996</v>
      </c>
      <c r="W402" s="66">
        <v>8112638.9800000004</v>
      </c>
      <c r="X402" s="66">
        <v>0</v>
      </c>
      <c r="Y402" s="66">
        <f t="shared" si="92"/>
        <v>8112638.9800000004</v>
      </c>
      <c r="Z402" s="66">
        <v>260752084.248</v>
      </c>
      <c r="AA402" s="71">
        <f t="shared" si="83"/>
        <v>546090502.06529999</v>
      </c>
    </row>
    <row r="403" spans="1:27" ht="24.9" customHeight="1">
      <c r="A403" s="180"/>
      <c r="B403" s="182"/>
      <c r="C403" s="62">
        <v>16</v>
      </c>
      <c r="D403" s="66" t="s">
        <v>924</v>
      </c>
      <c r="E403" s="66">
        <v>83454313.549500003</v>
      </c>
      <c r="F403" s="66">
        <v>0</v>
      </c>
      <c r="G403" s="66">
        <v>150127768.5776</v>
      </c>
      <c r="H403" s="66">
        <v>6557694.2534999996</v>
      </c>
      <c r="I403" s="66">
        <v>7007462.4699999997</v>
      </c>
      <c r="J403" s="66">
        <v>0</v>
      </c>
      <c r="K403" s="66">
        <f t="shared" si="89"/>
        <v>7007462.4699999997</v>
      </c>
      <c r="L403" s="81">
        <v>240298674.02039999</v>
      </c>
      <c r="M403" s="71">
        <f t="shared" si="91"/>
        <v>487445912.87099999</v>
      </c>
      <c r="N403" s="70"/>
      <c r="O403" s="183"/>
      <c r="P403" s="72">
        <v>14</v>
      </c>
      <c r="Q403" s="183"/>
      <c r="R403" s="66" t="s">
        <v>925</v>
      </c>
      <c r="S403" s="66">
        <v>106703657.3</v>
      </c>
      <c r="T403" s="66">
        <v>0</v>
      </c>
      <c r="U403" s="66">
        <v>191951515.5923</v>
      </c>
      <c r="V403" s="66">
        <v>7118580.9813000001</v>
      </c>
      <c r="W403" s="66">
        <v>8959655.1899999995</v>
      </c>
      <c r="X403" s="66">
        <v>0</v>
      </c>
      <c r="Y403" s="66">
        <f t="shared" si="92"/>
        <v>8959655.1899999995</v>
      </c>
      <c r="Z403" s="66">
        <v>272978963.10780001</v>
      </c>
      <c r="AA403" s="71">
        <f t="shared" si="83"/>
        <v>587712372.17139995</v>
      </c>
    </row>
    <row r="404" spans="1:27" ht="24.9" customHeight="1">
      <c r="A404" s="180"/>
      <c r="B404" s="182"/>
      <c r="C404" s="62">
        <v>17</v>
      </c>
      <c r="D404" s="66" t="s">
        <v>926</v>
      </c>
      <c r="E404" s="66">
        <v>95299040.8204</v>
      </c>
      <c r="F404" s="66">
        <v>0</v>
      </c>
      <c r="G404" s="66">
        <v>171435504.48359999</v>
      </c>
      <c r="H404" s="66">
        <v>7472526.0289000003</v>
      </c>
      <c r="I404" s="66">
        <v>8002036.3499999996</v>
      </c>
      <c r="J404" s="66">
        <v>0</v>
      </c>
      <c r="K404" s="66">
        <f t="shared" si="89"/>
        <v>8002036.3499999996</v>
      </c>
      <c r="L404" s="81">
        <v>275909914.53289998</v>
      </c>
      <c r="M404" s="71">
        <f t="shared" si="91"/>
        <v>558119022.21580005</v>
      </c>
      <c r="N404" s="70"/>
      <c r="O404" s="62"/>
      <c r="P404" s="174" t="s">
        <v>927</v>
      </c>
      <c r="Q404" s="175"/>
      <c r="R404" s="67"/>
      <c r="S404" s="67">
        <f t="shared" ref="S404:X404" si="93">SUM(S390:S403)</f>
        <v>1372187571</v>
      </c>
      <c r="T404" s="67">
        <f t="shared" si="93"/>
        <v>0</v>
      </c>
      <c r="U404" s="67">
        <f t="shared" si="93"/>
        <v>2468457882.3347001</v>
      </c>
      <c r="V404" s="67">
        <f t="shared" si="93"/>
        <v>90022622.013799995</v>
      </c>
      <c r="W404" s="67">
        <f t="shared" si="93"/>
        <v>115219363.64</v>
      </c>
      <c r="X404" s="67">
        <f t="shared" si="93"/>
        <v>0</v>
      </c>
      <c r="Y404" s="67">
        <f t="shared" si="92"/>
        <v>115219363.64</v>
      </c>
      <c r="Z404" s="67">
        <f>SUM(Z390:Z403)</f>
        <v>3446550447.1887002</v>
      </c>
      <c r="AA404" s="71">
        <f t="shared" si="83"/>
        <v>7492437886.1772003</v>
      </c>
    </row>
    <row r="405" spans="1:27" ht="24.9" customHeight="1">
      <c r="A405" s="180"/>
      <c r="B405" s="182"/>
      <c r="C405" s="62">
        <v>18</v>
      </c>
      <c r="D405" s="66" t="s">
        <v>928</v>
      </c>
      <c r="E405" s="66">
        <v>114575336.9965</v>
      </c>
      <c r="F405" s="66">
        <v>0</v>
      </c>
      <c r="G405" s="66">
        <v>206112050.35460001</v>
      </c>
      <c r="H405" s="66">
        <v>8375359.8996000001</v>
      </c>
      <c r="I405" s="66">
        <v>9620621.6199999992</v>
      </c>
      <c r="J405" s="66">
        <v>0</v>
      </c>
      <c r="K405" s="66">
        <f t="shared" si="89"/>
        <v>9620621.6199999992</v>
      </c>
      <c r="L405" s="81">
        <v>311054118.06129998</v>
      </c>
      <c r="M405" s="71">
        <f t="shared" si="91"/>
        <v>649737486.93200004</v>
      </c>
      <c r="N405" s="70"/>
      <c r="O405" s="181">
        <v>37</v>
      </c>
      <c r="P405" s="72">
        <v>1</v>
      </c>
      <c r="Q405" s="181" t="s">
        <v>929</v>
      </c>
      <c r="R405" s="66" t="s">
        <v>930</v>
      </c>
      <c r="S405" s="66">
        <v>70485316.180000007</v>
      </c>
      <c r="T405" s="66">
        <v>0</v>
      </c>
      <c r="U405" s="66">
        <v>126797558.874</v>
      </c>
      <c r="V405" s="66">
        <v>14353932.9955</v>
      </c>
      <c r="W405" s="66">
        <v>5918486.2599999998</v>
      </c>
      <c r="X405" s="66">
        <v>0</v>
      </c>
      <c r="Y405" s="66">
        <f t="shared" si="92"/>
        <v>5918486.2599999998</v>
      </c>
      <c r="Z405" s="66">
        <v>798735488.6983</v>
      </c>
      <c r="AA405" s="71">
        <f t="shared" si="83"/>
        <v>1016290783.0078</v>
      </c>
    </row>
    <row r="406" spans="1:27" ht="24.9" customHeight="1">
      <c r="A406" s="180"/>
      <c r="B406" s="182"/>
      <c r="C406" s="62">
        <v>19</v>
      </c>
      <c r="D406" s="66" t="s">
        <v>931</v>
      </c>
      <c r="E406" s="66">
        <v>78773374.543599993</v>
      </c>
      <c r="F406" s="66">
        <v>0</v>
      </c>
      <c r="G406" s="66">
        <v>141707126.21830001</v>
      </c>
      <c r="H406" s="66">
        <v>6365490.7532000002</v>
      </c>
      <c r="I406" s="66">
        <v>6614415.0300000003</v>
      </c>
      <c r="J406" s="66">
        <v>0</v>
      </c>
      <c r="K406" s="66">
        <f t="shared" si="89"/>
        <v>6614415.0300000003</v>
      </c>
      <c r="L406" s="81">
        <v>232816855.7696</v>
      </c>
      <c r="M406" s="71">
        <f t="shared" si="91"/>
        <v>466277262.31470001</v>
      </c>
      <c r="N406" s="70"/>
      <c r="O406" s="182"/>
      <c r="P406" s="72">
        <v>2</v>
      </c>
      <c r="Q406" s="182"/>
      <c r="R406" s="66" t="s">
        <v>932</v>
      </c>
      <c r="S406" s="66">
        <v>179932328.93000001</v>
      </c>
      <c r="T406" s="66">
        <v>0</v>
      </c>
      <c r="U406" s="66">
        <v>323684155.88429999</v>
      </c>
      <c r="V406" s="66">
        <v>22481841.927099999</v>
      </c>
      <c r="W406" s="66">
        <v>15108494.550000001</v>
      </c>
      <c r="X406" s="66">
        <v>0</v>
      </c>
      <c r="Y406" s="66">
        <f t="shared" si="92"/>
        <v>15108494.550000001</v>
      </c>
      <c r="Z406" s="66">
        <v>1115126903.5940001</v>
      </c>
      <c r="AA406" s="71">
        <f t="shared" si="83"/>
        <v>1656333724.8854001</v>
      </c>
    </row>
    <row r="407" spans="1:27" ht="24.9" customHeight="1">
      <c r="A407" s="180"/>
      <c r="B407" s="182"/>
      <c r="C407" s="62">
        <v>20</v>
      </c>
      <c r="D407" s="66" t="s">
        <v>933</v>
      </c>
      <c r="E407" s="66">
        <v>75903392.817300007</v>
      </c>
      <c r="F407" s="66">
        <v>0</v>
      </c>
      <c r="G407" s="66">
        <v>136544254.0397</v>
      </c>
      <c r="H407" s="66">
        <v>6025091.1195</v>
      </c>
      <c r="I407" s="66">
        <v>6373429.4000000004</v>
      </c>
      <c r="J407" s="66">
        <v>0</v>
      </c>
      <c r="K407" s="66">
        <f t="shared" si="89"/>
        <v>6373429.4000000004</v>
      </c>
      <c r="L407" s="81">
        <v>219566274.0192</v>
      </c>
      <c r="M407" s="71">
        <f t="shared" si="91"/>
        <v>444412441.39569998</v>
      </c>
      <c r="N407" s="70"/>
      <c r="O407" s="182"/>
      <c r="P407" s="72">
        <v>3</v>
      </c>
      <c r="Q407" s="182"/>
      <c r="R407" s="66" t="s">
        <v>934</v>
      </c>
      <c r="S407" s="66">
        <v>101350960.37</v>
      </c>
      <c r="T407" s="66">
        <v>0</v>
      </c>
      <c r="U407" s="66">
        <v>182322433.39179999</v>
      </c>
      <c r="V407" s="66">
        <v>16258834.5834</v>
      </c>
      <c r="W407" s="66">
        <v>8510201.8100000005</v>
      </c>
      <c r="X407" s="66">
        <v>0</v>
      </c>
      <c r="Y407" s="66">
        <f t="shared" si="92"/>
        <v>8510201.8100000005</v>
      </c>
      <c r="Z407" s="66">
        <v>872886726.57679999</v>
      </c>
      <c r="AA407" s="71">
        <f t="shared" si="83"/>
        <v>1181329156.7320001</v>
      </c>
    </row>
    <row r="408" spans="1:27" ht="24.9" customHeight="1">
      <c r="A408" s="180"/>
      <c r="B408" s="182"/>
      <c r="C408" s="62">
        <v>21</v>
      </c>
      <c r="D408" s="66" t="s">
        <v>935</v>
      </c>
      <c r="E408" s="66">
        <v>110592027.6314</v>
      </c>
      <c r="F408" s="66">
        <v>0</v>
      </c>
      <c r="G408" s="66">
        <v>198946389.0372</v>
      </c>
      <c r="H408" s="66">
        <v>8414480.0670999996</v>
      </c>
      <c r="I408" s="66">
        <v>9286152.5</v>
      </c>
      <c r="J408" s="66">
        <v>0</v>
      </c>
      <c r="K408" s="66">
        <f t="shared" si="89"/>
        <v>9286152.5</v>
      </c>
      <c r="L408" s="81">
        <v>312576931.03079998</v>
      </c>
      <c r="M408" s="71">
        <f t="shared" si="91"/>
        <v>639815980.2665</v>
      </c>
      <c r="N408" s="70"/>
      <c r="O408" s="182"/>
      <c r="P408" s="72">
        <v>4</v>
      </c>
      <c r="Q408" s="182"/>
      <c r="R408" s="66" t="s">
        <v>936</v>
      </c>
      <c r="S408" s="66">
        <v>86859116.709999993</v>
      </c>
      <c r="T408" s="66">
        <v>0</v>
      </c>
      <c r="U408" s="66">
        <v>156252742.5711</v>
      </c>
      <c r="V408" s="66">
        <v>15475009.093</v>
      </c>
      <c r="W408" s="66">
        <v>7293355.7800000003</v>
      </c>
      <c r="X408" s="66">
        <v>0</v>
      </c>
      <c r="Y408" s="66">
        <f t="shared" si="92"/>
        <v>7293355.7800000003</v>
      </c>
      <c r="Z408" s="66">
        <v>842375108.14660001</v>
      </c>
      <c r="AA408" s="71">
        <f t="shared" si="83"/>
        <v>1108255332.3006999</v>
      </c>
    </row>
    <row r="409" spans="1:27" ht="24.9" customHeight="1">
      <c r="A409" s="180"/>
      <c r="B409" s="182"/>
      <c r="C409" s="62">
        <v>22</v>
      </c>
      <c r="D409" s="66" t="s">
        <v>937</v>
      </c>
      <c r="E409" s="66">
        <v>73603291.117799997</v>
      </c>
      <c r="F409" s="66">
        <v>0</v>
      </c>
      <c r="G409" s="66">
        <v>132406551.3757</v>
      </c>
      <c r="H409" s="66">
        <v>5884897.3514</v>
      </c>
      <c r="I409" s="66">
        <v>6180295.2699999996</v>
      </c>
      <c r="J409" s="66">
        <v>0</v>
      </c>
      <c r="K409" s="66">
        <f t="shared" si="89"/>
        <v>6180295.2699999996</v>
      </c>
      <c r="L409" s="81">
        <v>214109014.96149999</v>
      </c>
      <c r="M409" s="71">
        <f t="shared" si="91"/>
        <v>432184050.07639998</v>
      </c>
      <c r="N409" s="70"/>
      <c r="O409" s="182"/>
      <c r="P409" s="72">
        <v>5</v>
      </c>
      <c r="Q409" s="182"/>
      <c r="R409" s="66" t="s">
        <v>938</v>
      </c>
      <c r="S409" s="66">
        <v>82530930.180000007</v>
      </c>
      <c r="T409" s="66">
        <v>0</v>
      </c>
      <c r="U409" s="66">
        <v>148466674.2696</v>
      </c>
      <c r="V409" s="66">
        <v>14793250.444499999</v>
      </c>
      <c r="W409" s="66">
        <v>6929928.1399999997</v>
      </c>
      <c r="X409" s="66">
        <v>0</v>
      </c>
      <c r="Y409" s="66">
        <f t="shared" si="92"/>
        <v>6929928.1399999997</v>
      </c>
      <c r="Z409" s="66">
        <v>815836599.26139998</v>
      </c>
      <c r="AA409" s="71">
        <f t="shared" si="83"/>
        <v>1068557382.2955</v>
      </c>
    </row>
    <row r="410" spans="1:27" ht="24.9" customHeight="1">
      <c r="A410" s="180"/>
      <c r="B410" s="182"/>
      <c r="C410" s="62">
        <v>23</v>
      </c>
      <c r="D410" s="66" t="s">
        <v>939</v>
      </c>
      <c r="E410" s="66">
        <v>74280798.110400006</v>
      </c>
      <c r="F410" s="66">
        <v>0</v>
      </c>
      <c r="G410" s="66">
        <v>133625333.34980001</v>
      </c>
      <c r="H410" s="66">
        <v>5832176.5487000002</v>
      </c>
      <c r="I410" s="66">
        <v>6237183.9400000004</v>
      </c>
      <c r="J410" s="66">
        <v>0</v>
      </c>
      <c r="K410" s="66">
        <f t="shared" si="89"/>
        <v>6237183.9400000004</v>
      </c>
      <c r="L410" s="81">
        <v>212056776.24810001</v>
      </c>
      <c r="M410" s="71">
        <f t="shared" si="91"/>
        <v>432032268.19700003</v>
      </c>
      <c r="N410" s="70"/>
      <c r="O410" s="183"/>
      <c r="P410" s="72">
        <v>6</v>
      </c>
      <c r="Q410" s="183"/>
      <c r="R410" s="66" t="s">
        <v>940</v>
      </c>
      <c r="S410" s="66">
        <v>84894446.950000003</v>
      </c>
      <c r="T410" s="66">
        <v>0</v>
      </c>
      <c r="U410" s="66">
        <v>152718455.6724</v>
      </c>
      <c r="V410" s="66">
        <v>14663113.2457</v>
      </c>
      <c r="W410" s="66">
        <v>7128387.0800000001</v>
      </c>
      <c r="X410" s="66">
        <v>0</v>
      </c>
      <c r="Y410" s="66">
        <f t="shared" si="92"/>
        <v>7128387.0800000001</v>
      </c>
      <c r="Z410" s="66">
        <v>810770807.70389998</v>
      </c>
      <c r="AA410" s="71">
        <f t="shared" si="83"/>
        <v>1070175210.652</v>
      </c>
    </row>
    <row r="411" spans="1:27" ht="24.9" customHeight="1">
      <c r="A411" s="180"/>
      <c r="B411" s="182"/>
      <c r="C411" s="62">
        <v>24</v>
      </c>
      <c r="D411" s="66" t="s">
        <v>941</v>
      </c>
      <c r="E411" s="66">
        <v>95831167.133300006</v>
      </c>
      <c r="F411" s="66">
        <v>0</v>
      </c>
      <c r="G411" s="66">
        <v>172392758.01140001</v>
      </c>
      <c r="H411" s="66">
        <v>7277399.2385999998</v>
      </c>
      <c r="I411" s="66">
        <v>8046717.75</v>
      </c>
      <c r="J411" s="66">
        <v>0</v>
      </c>
      <c r="K411" s="66">
        <f t="shared" si="89"/>
        <v>8046717.75</v>
      </c>
      <c r="L411" s="81">
        <v>268314302.69890001</v>
      </c>
      <c r="M411" s="71">
        <f t="shared" si="91"/>
        <v>551862344.83220005</v>
      </c>
      <c r="N411" s="70"/>
      <c r="O411" s="62"/>
      <c r="P411" s="174" t="s">
        <v>942</v>
      </c>
      <c r="Q411" s="175"/>
      <c r="R411" s="93"/>
      <c r="S411" s="93">
        <f t="shared" ref="S411:X411" si="94">SUM(S405:S410)</f>
        <v>606053099.32000005</v>
      </c>
      <c r="T411" s="93">
        <f t="shared" si="94"/>
        <v>0</v>
      </c>
      <c r="U411" s="93">
        <f t="shared" si="94"/>
        <v>1090242020.6631999</v>
      </c>
      <c r="V411" s="93">
        <f t="shared" si="94"/>
        <v>98025982.289199993</v>
      </c>
      <c r="W411" s="93">
        <f t="shared" si="94"/>
        <v>50888853.619999997</v>
      </c>
      <c r="X411" s="93">
        <f t="shared" si="94"/>
        <v>0</v>
      </c>
      <c r="Y411" s="67">
        <f t="shared" si="92"/>
        <v>50888853.619999997</v>
      </c>
      <c r="Z411" s="93">
        <f>SUM(Z405:Z410)</f>
        <v>5255731633.9809999</v>
      </c>
      <c r="AA411" s="93">
        <f>SUM(AA405:AA410)</f>
        <v>7100941589.8733997</v>
      </c>
    </row>
    <row r="412" spans="1:27" ht="24.9" customHeight="1">
      <c r="A412" s="181"/>
      <c r="B412" s="182"/>
      <c r="C412" s="62">
        <v>25</v>
      </c>
      <c r="D412" s="66" t="s">
        <v>943</v>
      </c>
      <c r="E412" s="66">
        <v>97918203.525700003</v>
      </c>
      <c r="F412" s="66">
        <v>0</v>
      </c>
      <c r="G412" s="66">
        <v>176147172.90490001</v>
      </c>
      <c r="H412" s="66">
        <v>7629525.8931999998</v>
      </c>
      <c r="I412" s="66">
        <v>8221961.2999999998</v>
      </c>
      <c r="J412" s="66">
        <v>0</v>
      </c>
      <c r="K412" s="66">
        <f t="shared" si="89"/>
        <v>8221961.2999999998</v>
      </c>
      <c r="L412" s="81">
        <v>282021376.85420001</v>
      </c>
      <c r="M412" s="71">
        <f t="shared" si="91"/>
        <v>571938240.47800004</v>
      </c>
      <c r="N412" s="70"/>
      <c r="O412" s="173" t="s">
        <v>944</v>
      </c>
      <c r="P412" s="178"/>
      <c r="Q412" s="177"/>
      <c r="R412" s="94"/>
      <c r="S412" s="95">
        <v>66701111277.949997</v>
      </c>
      <c r="T412" s="95">
        <f>-11565945.65</f>
        <v>-11565945.65</v>
      </c>
      <c r="U412" s="95">
        <v>119990070872.22</v>
      </c>
      <c r="V412" s="95">
        <v>5266193887.29</v>
      </c>
      <c r="W412" s="95">
        <v>5600735464.5</v>
      </c>
      <c r="X412" s="95">
        <v>1609606776.9400001</v>
      </c>
      <c r="Y412" s="98">
        <f t="shared" si="92"/>
        <v>3991128687.5599999</v>
      </c>
      <c r="Z412" s="95">
        <v>204994734702.01001</v>
      </c>
      <c r="AA412" s="95">
        <f>S412+T412+U412+V412+Y412+Z412</f>
        <v>400931673481.38</v>
      </c>
    </row>
    <row r="413" spans="1:27">
      <c r="A413" s="62"/>
      <c r="B413" s="63"/>
      <c r="C413" s="84"/>
      <c r="D413" s="85"/>
      <c r="E413" s="86">
        <f>SUM(E388:E412)</f>
        <v>2188785562.921</v>
      </c>
      <c r="F413" s="86">
        <f t="shared" ref="F413:M413" si="95">SUM(F388:F412)</f>
        <v>0</v>
      </c>
      <c r="G413" s="86">
        <f t="shared" si="95"/>
        <v>3937453661.3761001</v>
      </c>
      <c r="H413" s="86">
        <f t="shared" si="95"/>
        <v>169202472.5654</v>
      </c>
      <c r="I413" s="86">
        <f t="shared" si="95"/>
        <v>183787176.74000001</v>
      </c>
      <c r="J413" s="86">
        <f t="shared" si="95"/>
        <v>0</v>
      </c>
      <c r="K413" s="86">
        <f t="shared" si="95"/>
        <v>183787176.74000001</v>
      </c>
      <c r="L413" s="86">
        <f t="shared" si="95"/>
        <v>6212225002.9349003</v>
      </c>
      <c r="M413" s="86">
        <f t="shared" si="95"/>
        <v>12691453876.537399</v>
      </c>
      <c r="N413" s="80">
        <v>0</v>
      </c>
      <c r="O413" s="92"/>
      <c r="P413" s="179"/>
      <c r="Q413" s="178"/>
      <c r="R413" s="177"/>
      <c r="S413" s="90"/>
      <c r="T413" s="90"/>
      <c r="U413" s="90"/>
      <c r="V413" s="90"/>
      <c r="W413" s="90"/>
      <c r="X413" s="90"/>
      <c r="Y413" s="90"/>
      <c r="Z413" s="90"/>
      <c r="AA413" s="90"/>
    </row>
    <row r="414" spans="1:27" ht="16.8">
      <c r="D414" s="87"/>
      <c r="E414" s="88"/>
      <c r="F414" s="88"/>
      <c r="G414" s="88"/>
      <c r="H414" s="88"/>
      <c r="I414" s="88"/>
      <c r="J414" s="88"/>
      <c r="K414" s="88"/>
      <c r="L414" s="88"/>
      <c r="M414" s="88"/>
      <c r="R414" s="80"/>
      <c r="S414" s="28"/>
      <c r="T414" s="96"/>
      <c r="U414" s="96"/>
      <c r="V414" s="96"/>
      <c r="W414" s="28"/>
      <c r="X414" s="28"/>
      <c r="Y414" s="28"/>
      <c r="Z414" s="97"/>
      <c r="AA414" s="80"/>
    </row>
    <row r="415" spans="1:27">
      <c r="C415" s="89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S415" s="97"/>
      <c r="W415" s="97"/>
      <c r="X415" s="97"/>
      <c r="Y415" s="97"/>
      <c r="Z415" s="97"/>
    </row>
    <row r="419" spans="12:19">
      <c r="L419" s="80"/>
    </row>
    <row r="421" spans="12:19">
      <c r="S421" s="28">
        <v>2574024656.8509998</v>
      </c>
    </row>
    <row r="422" spans="12:19">
      <c r="S422" s="28">
        <v>2575126097.3299999</v>
      </c>
    </row>
    <row r="423" spans="12:19">
      <c r="S423" s="28">
        <f>S421-S422</f>
        <v>-1101440.4789996101</v>
      </c>
    </row>
    <row r="424" spans="12:19">
      <c r="S424" s="28"/>
    </row>
  </sheetData>
  <mergeCells count="118">
    <mergeCell ref="O372:O388"/>
    <mergeCell ref="O390:O403"/>
    <mergeCell ref="O405:O410"/>
    <mergeCell ref="Q7:Q25"/>
    <mergeCell ref="Q27:Q60"/>
    <mergeCell ref="Q62:Q82"/>
    <mergeCell ref="Q84:Q104"/>
    <mergeCell ref="Q106:Q121"/>
    <mergeCell ref="Q123:Q142"/>
    <mergeCell ref="Q144:Q156"/>
    <mergeCell ref="Q158:Q182"/>
    <mergeCell ref="Q184:Q203"/>
    <mergeCell ref="Q205:Q222"/>
    <mergeCell ref="Q224:Q253"/>
    <mergeCell ref="Q255:Q287"/>
    <mergeCell ref="Q289:Q305"/>
    <mergeCell ref="Q307:Q329"/>
    <mergeCell ref="Q331:Q353"/>
    <mergeCell ref="Q355:Q370"/>
    <mergeCell ref="Q373:Q388"/>
    <mergeCell ref="Q390:Q403"/>
    <mergeCell ref="Q405:Q410"/>
    <mergeCell ref="A388:A412"/>
    <mergeCell ref="B7:B23"/>
    <mergeCell ref="B25:B45"/>
    <mergeCell ref="B47:B77"/>
    <mergeCell ref="B79:B99"/>
    <mergeCell ref="B101:B120"/>
    <mergeCell ref="B122:B129"/>
    <mergeCell ref="B131:B153"/>
    <mergeCell ref="B155:B181"/>
    <mergeCell ref="B183:B200"/>
    <mergeCell ref="B202:B226"/>
    <mergeCell ref="B228:B240"/>
    <mergeCell ref="B242:B259"/>
    <mergeCell ref="B261:B276"/>
    <mergeCell ref="B278:B294"/>
    <mergeCell ref="B296:B306"/>
    <mergeCell ref="B308:B334"/>
    <mergeCell ref="B336:B362"/>
    <mergeCell ref="B364:B386"/>
    <mergeCell ref="B388:B412"/>
    <mergeCell ref="B387:C387"/>
    <mergeCell ref="P389:Q389"/>
    <mergeCell ref="P404:Q404"/>
    <mergeCell ref="P411:Q411"/>
    <mergeCell ref="O412:Q412"/>
    <mergeCell ref="P413:R413"/>
    <mergeCell ref="A7:A23"/>
    <mergeCell ref="A25:A45"/>
    <mergeCell ref="A47:A77"/>
    <mergeCell ref="A79:A99"/>
    <mergeCell ref="A101:A120"/>
    <mergeCell ref="A122:A129"/>
    <mergeCell ref="A131:A153"/>
    <mergeCell ref="A155:A181"/>
    <mergeCell ref="A183:A200"/>
    <mergeCell ref="A202:A226"/>
    <mergeCell ref="A228:A240"/>
    <mergeCell ref="A242:A259"/>
    <mergeCell ref="A261:A276"/>
    <mergeCell ref="A278:A294"/>
    <mergeCell ref="A296:A306"/>
    <mergeCell ref="A308:A334"/>
    <mergeCell ref="A336:A362"/>
    <mergeCell ref="A364:A386"/>
    <mergeCell ref="P288:Q288"/>
    <mergeCell ref="B295:C295"/>
    <mergeCell ref="P306:Q306"/>
    <mergeCell ref="B307:C307"/>
    <mergeCell ref="P330:Q330"/>
    <mergeCell ref="B335:C335"/>
    <mergeCell ref="P354:Q354"/>
    <mergeCell ref="B363:C363"/>
    <mergeCell ref="P371:Q371"/>
    <mergeCell ref="O289:O305"/>
    <mergeCell ref="O307:O329"/>
    <mergeCell ref="O331:O353"/>
    <mergeCell ref="O355:O370"/>
    <mergeCell ref="P183:Q183"/>
    <mergeCell ref="B201:C201"/>
    <mergeCell ref="P204:Q204"/>
    <mergeCell ref="P223:Q223"/>
    <mergeCell ref="B227:C227"/>
    <mergeCell ref="B241:C241"/>
    <mergeCell ref="P254:Q254"/>
    <mergeCell ref="B260:C260"/>
    <mergeCell ref="B277:C277"/>
    <mergeCell ref="O184:O203"/>
    <mergeCell ref="O205:O222"/>
    <mergeCell ref="O224:O253"/>
    <mergeCell ref="O255:O287"/>
    <mergeCell ref="B100:C100"/>
    <mergeCell ref="P105:Q105"/>
    <mergeCell ref="B121:C121"/>
    <mergeCell ref="P122:Q122"/>
    <mergeCell ref="B130:C130"/>
    <mergeCell ref="P143:Q143"/>
    <mergeCell ref="B154:C154"/>
    <mergeCell ref="P157:Q157"/>
    <mergeCell ref="B182:C182"/>
    <mergeCell ref="O84:O104"/>
    <mergeCell ref="O106:O121"/>
    <mergeCell ref="O123:O142"/>
    <mergeCell ref="O144:O156"/>
    <mergeCell ref="O158:O182"/>
    <mergeCell ref="A1:Z1"/>
    <mergeCell ref="A2:AA2"/>
    <mergeCell ref="B3:Z3"/>
    <mergeCell ref="B24:C24"/>
    <mergeCell ref="P26:Q26"/>
    <mergeCell ref="B46:C46"/>
    <mergeCell ref="P61:Q61"/>
    <mergeCell ref="B78:C78"/>
    <mergeCell ref="P83:Q83"/>
    <mergeCell ref="O7:O25"/>
    <mergeCell ref="O27:O60"/>
    <mergeCell ref="O62:O82"/>
  </mergeCells>
  <pageMargins left="0.16111111111111101" right="0.16111111111111101" top="0.21249999999999999" bottom="0.21249999999999999" header="0.5" footer="0.5"/>
  <pageSetup paperSize="9" scale="27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O47"/>
  <sheetViews>
    <sheetView topLeftCell="F1" workbookViewId="0">
      <selection activeCell="H11" sqref="H11"/>
    </sheetView>
  </sheetViews>
  <sheetFormatPr defaultColWidth="8.88671875" defaultRowHeight="18"/>
  <cols>
    <col min="1" max="1" width="8.88671875" style="30"/>
    <col min="2" max="2" width="19.6640625" style="30" customWidth="1"/>
    <col min="3" max="3" width="24.88671875" style="30" customWidth="1"/>
    <col min="4" max="4" width="23.33203125" style="30" customWidth="1"/>
    <col min="5" max="5" width="24.88671875" style="30" customWidth="1"/>
    <col min="6" max="6" width="23.88671875" style="30" customWidth="1"/>
    <col min="7" max="8" width="25.44140625" style="30" customWidth="1"/>
    <col min="9" max="9" width="24.6640625" style="30" customWidth="1"/>
    <col min="10" max="10" width="26.33203125" style="30" customWidth="1"/>
    <col min="11" max="11" width="27.33203125" style="30" customWidth="1"/>
    <col min="12" max="12" width="25.5546875" style="30"/>
    <col min="13" max="13" width="23.88671875" style="30" customWidth="1"/>
    <col min="14" max="14" width="8.88671875" style="30" customWidth="1"/>
    <col min="15" max="16384" width="8.88671875" style="30"/>
  </cols>
  <sheetData>
    <row r="1" spans="1:821" ht="30">
      <c r="A1" s="193" t="s">
        <v>61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821" ht="26.25" customHeight="1">
      <c r="A2" s="196" t="s">
        <v>62</v>
      </c>
      <c r="B2" s="197"/>
      <c r="C2" s="197"/>
      <c r="D2" s="197"/>
      <c r="E2" s="197"/>
      <c r="F2" s="197"/>
      <c r="G2" s="197"/>
      <c r="H2" s="197"/>
      <c r="I2" s="197"/>
      <c r="J2" s="197"/>
      <c r="K2" s="198"/>
    </row>
    <row r="3" spans="1:821" ht="39" customHeight="1">
      <c r="A3" s="199" t="s">
        <v>945</v>
      </c>
      <c r="B3" s="200"/>
      <c r="C3" s="200"/>
      <c r="D3" s="200"/>
      <c r="E3" s="200"/>
      <c r="F3" s="200"/>
      <c r="G3" s="200"/>
      <c r="H3" s="200"/>
      <c r="I3" s="200"/>
      <c r="J3" s="200"/>
      <c r="K3" s="201"/>
      <c r="AEO3" s="30" t="s">
        <v>946</v>
      </c>
    </row>
    <row r="4" spans="1:821" ht="61.2" customHeight="1">
      <c r="A4" s="47" t="s">
        <v>21</v>
      </c>
      <c r="B4" s="47" t="s">
        <v>128</v>
      </c>
      <c r="C4" s="48" t="s">
        <v>48</v>
      </c>
      <c r="D4" s="49" t="s">
        <v>126</v>
      </c>
      <c r="E4" s="48" t="s">
        <v>24</v>
      </c>
      <c r="F4" s="48" t="s">
        <v>25</v>
      </c>
      <c r="G4" s="48" t="s">
        <v>947</v>
      </c>
      <c r="H4" s="50" t="s">
        <v>76</v>
      </c>
      <c r="I4" s="56" t="s">
        <v>77</v>
      </c>
      <c r="J4" s="57" t="s">
        <v>948</v>
      </c>
      <c r="K4" s="12" t="s">
        <v>127</v>
      </c>
      <c r="M4" s="43"/>
    </row>
    <row r="5" spans="1:821">
      <c r="A5" s="47"/>
      <c r="B5" s="47"/>
      <c r="C5" s="149" t="s">
        <v>28</v>
      </c>
      <c r="D5" s="149" t="s">
        <v>28</v>
      </c>
      <c r="E5" s="149" t="s">
        <v>28</v>
      </c>
      <c r="F5" s="149" t="s">
        <v>28</v>
      </c>
      <c r="G5" s="149" t="s">
        <v>28</v>
      </c>
      <c r="H5" s="149" t="s">
        <v>28</v>
      </c>
      <c r="I5" s="149" t="s">
        <v>28</v>
      </c>
      <c r="J5" s="149" t="s">
        <v>28</v>
      </c>
      <c r="K5" s="149" t="s">
        <v>28</v>
      </c>
    </row>
    <row r="6" spans="1:821">
      <c r="A6" s="51">
        <v>1</v>
      </c>
      <c r="B6" s="52" t="s">
        <v>86</v>
      </c>
      <c r="C6" s="53">
        <v>1384459546.2718999</v>
      </c>
      <c r="D6" s="53">
        <v>0</v>
      </c>
      <c r="E6" s="53">
        <v>2490534203.9099998</v>
      </c>
      <c r="F6" s="53">
        <v>118868403.40000001</v>
      </c>
      <c r="G6" s="53">
        <v>116249812.5054</v>
      </c>
      <c r="H6" s="54">
        <f>G6/2</f>
        <v>58124906.252700001</v>
      </c>
      <c r="I6" s="54">
        <f t="shared" ref="I6:I42" si="0">G6-H6</f>
        <v>58124906.252700001</v>
      </c>
      <c r="J6" s="53">
        <v>3558432675.52</v>
      </c>
      <c r="K6" s="58">
        <f t="shared" ref="K6:K42" si="1">C6+D6+E6+F6+I6+J6</f>
        <v>7610419735.3546</v>
      </c>
      <c r="M6" s="59"/>
    </row>
    <row r="7" spans="1:821">
      <c r="A7" s="51">
        <v>2</v>
      </c>
      <c r="B7" s="52" t="s">
        <v>87</v>
      </c>
      <c r="C7" s="53">
        <v>1746297015.3009</v>
      </c>
      <c r="D7" s="53">
        <v>0</v>
      </c>
      <c r="E7" s="53">
        <v>3141451448.3299999</v>
      </c>
      <c r="F7" s="53">
        <v>117076176.76000001</v>
      </c>
      <c r="G7" s="53">
        <v>146632453.90920001</v>
      </c>
      <c r="H7" s="53">
        <v>0</v>
      </c>
      <c r="I7" s="54">
        <f t="shared" si="0"/>
        <v>146632453.90920001</v>
      </c>
      <c r="J7" s="53">
        <v>4360796746.9399996</v>
      </c>
      <c r="K7" s="58">
        <f t="shared" si="1"/>
        <v>9512253841.2401009</v>
      </c>
    </row>
    <row r="8" spans="1:821">
      <c r="A8" s="51">
        <v>3</v>
      </c>
      <c r="B8" s="52" t="s">
        <v>88</v>
      </c>
      <c r="C8" s="53">
        <v>2325965007.1553998</v>
      </c>
      <c r="D8" s="53">
        <v>0</v>
      </c>
      <c r="E8" s="53">
        <v>4184228728.8499999</v>
      </c>
      <c r="F8" s="53">
        <v>162866602.25999999</v>
      </c>
      <c r="G8" s="53">
        <v>195305812.0801</v>
      </c>
      <c r="H8" s="54">
        <f>G8/2</f>
        <v>97652906.04005</v>
      </c>
      <c r="I8" s="54">
        <f t="shared" si="0"/>
        <v>97652906.04005</v>
      </c>
      <c r="J8" s="53">
        <v>6059535605.9799995</v>
      </c>
      <c r="K8" s="58">
        <f t="shared" si="1"/>
        <v>12830248850.2854</v>
      </c>
    </row>
    <row r="9" spans="1:821">
      <c r="A9" s="51">
        <v>4</v>
      </c>
      <c r="B9" s="52" t="s">
        <v>89</v>
      </c>
      <c r="C9" s="53">
        <v>1755734189.5146999</v>
      </c>
      <c r="D9" s="53">
        <v>0</v>
      </c>
      <c r="E9" s="53">
        <v>3158428185.02</v>
      </c>
      <c r="F9" s="53">
        <v>167214542.00999999</v>
      </c>
      <c r="G9" s="53">
        <v>147424871.23590001</v>
      </c>
      <c r="H9" s="53">
        <v>0</v>
      </c>
      <c r="I9" s="54">
        <f t="shared" si="0"/>
        <v>147424871.23590001</v>
      </c>
      <c r="J9" s="53">
        <v>5112999349.5500002</v>
      </c>
      <c r="K9" s="58">
        <f t="shared" si="1"/>
        <v>10341801137.330601</v>
      </c>
    </row>
    <row r="10" spans="1:821">
      <c r="A10" s="51">
        <v>5</v>
      </c>
      <c r="B10" s="52" t="s">
        <v>90</v>
      </c>
      <c r="C10" s="53">
        <v>1993105743.0002</v>
      </c>
      <c r="D10" s="53">
        <v>0</v>
      </c>
      <c r="E10" s="53">
        <v>3585441003.5500002</v>
      </c>
      <c r="F10" s="53">
        <v>129329293.18000001</v>
      </c>
      <c r="G10" s="53">
        <v>167356402.3962</v>
      </c>
      <c r="H10" s="53">
        <v>0</v>
      </c>
      <c r="I10" s="54">
        <f t="shared" si="0"/>
        <v>167356402.3962</v>
      </c>
      <c r="J10" s="53">
        <v>4775837246.3900003</v>
      </c>
      <c r="K10" s="58">
        <f t="shared" si="1"/>
        <v>10651069688.516399</v>
      </c>
    </row>
    <row r="11" spans="1:821">
      <c r="A11" s="51">
        <v>6</v>
      </c>
      <c r="B11" s="52" t="s">
        <v>91</v>
      </c>
      <c r="C11" s="53">
        <v>811266991.70850003</v>
      </c>
      <c r="D11" s="53">
        <v>0</v>
      </c>
      <c r="E11" s="53">
        <v>1459405727.53</v>
      </c>
      <c r="F11" s="53">
        <v>53390909.869999997</v>
      </c>
      <c r="G11" s="53">
        <v>68120181.577399999</v>
      </c>
      <c r="H11" s="54">
        <f>G11/2</f>
        <v>34060090.788699999</v>
      </c>
      <c r="I11" s="54">
        <f t="shared" si="0"/>
        <v>34060090.788699999</v>
      </c>
      <c r="J11" s="53">
        <v>2018667386.25</v>
      </c>
      <c r="K11" s="58">
        <f t="shared" si="1"/>
        <v>4376791106.1471996</v>
      </c>
    </row>
    <row r="12" spans="1:821">
      <c r="A12" s="51">
        <v>7</v>
      </c>
      <c r="B12" s="52" t="s">
        <v>92</v>
      </c>
      <c r="C12" s="53">
        <v>2168807518.8400002</v>
      </c>
      <c r="D12" s="53">
        <v>0</v>
      </c>
      <c r="E12" s="53">
        <v>3901514726.0300002</v>
      </c>
      <c r="F12" s="53">
        <v>135882536.19</v>
      </c>
      <c r="G12" s="53">
        <v>182109667.34630001</v>
      </c>
      <c r="H12" s="54">
        <f>G12/2</f>
        <v>91054833.673150003</v>
      </c>
      <c r="I12" s="54">
        <f t="shared" si="0"/>
        <v>91054833.673150003</v>
      </c>
      <c r="J12" s="53">
        <v>4930996716.9799995</v>
      </c>
      <c r="K12" s="58">
        <f t="shared" si="1"/>
        <v>11228256331.7132</v>
      </c>
    </row>
    <row r="13" spans="1:821">
      <c r="A13" s="51">
        <v>8</v>
      </c>
      <c r="B13" s="52" t="s">
        <v>93</v>
      </c>
      <c r="C13" s="53">
        <v>2354675025.6795998</v>
      </c>
      <c r="D13" s="53">
        <v>0</v>
      </c>
      <c r="E13" s="53">
        <v>4235875801.75</v>
      </c>
      <c r="F13" s="53">
        <v>151547304.11000001</v>
      </c>
      <c r="G13" s="53">
        <v>197716524.82269999</v>
      </c>
      <c r="H13" s="53">
        <v>0</v>
      </c>
      <c r="I13" s="54">
        <f t="shared" si="0"/>
        <v>197716524.82269999</v>
      </c>
      <c r="J13" s="53">
        <v>5720700118.3699999</v>
      </c>
      <c r="K13" s="58">
        <f t="shared" si="1"/>
        <v>12660514774.7323</v>
      </c>
    </row>
    <row r="14" spans="1:821">
      <c r="A14" s="51">
        <v>9</v>
      </c>
      <c r="B14" s="52" t="s">
        <v>94</v>
      </c>
      <c r="C14" s="53">
        <v>1517984826.4268999</v>
      </c>
      <c r="D14" s="53">
        <v>0</v>
      </c>
      <c r="E14" s="53">
        <v>2730735716.6399999</v>
      </c>
      <c r="F14" s="53">
        <v>106711354.68000001</v>
      </c>
      <c r="G14" s="53">
        <v>127461616.2924</v>
      </c>
      <c r="H14" s="54">
        <f>G14/2</f>
        <v>63730808.146200001</v>
      </c>
      <c r="I14" s="54">
        <f t="shared" si="0"/>
        <v>63730808.146200001</v>
      </c>
      <c r="J14" s="53">
        <v>3735094101.5900002</v>
      </c>
      <c r="K14" s="58">
        <f t="shared" si="1"/>
        <v>8154256807.4830999</v>
      </c>
    </row>
    <row r="15" spans="1:821">
      <c r="A15" s="51">
        <v>10</v>
      </c>
      <c r="B15" s="52" t="s">
        <v>95</v>
      </c>
      <c r="C15" s="53">
        <v>1945079842.6991</v>
      </c>
      <c r="D15" s="53">
        <v>0</v>
      </c>
      <c r="E15" s="53">
        <v>3499046173.3899999</v>
      </c>
      <c r="F15" s="53">
        <v>175241900.30000001</v>
      </c>
      <c r="G15" s="53">
        <v>163323780.4826</v>
      </c>
      <c r="H15" s="54">
        <f>G15/2</f>
        <v>81661890.241300002</v>
      </c>
      <c r="I15" s="54">
        <f t="shared" si="0"/>
        <v>81661890.241300002</v>
      </c>
      <c r="J15" s="53">
        <v>5334217801.5900002</v>
      </c>
      <c r="K15" s="58">
        <f t="shared" si="1"/>
        <v>11035247608.2204</v>
      </c>
    </row>
    <row r="16" spans="1:821">
      <c r="A16" s="51">
        <v>11</v>
      </c>
      <c r="B16" s="52" t="s">
        <v>96</v>
      </c>
      <c r="C16" s="53">
        <v>1122907344.4760001</v>
      </c>
      <c r="D16" s="53">
        <f>-11565945.65</f>
        <v>-11565945.65</v>
      </c>
      <c r="E16" s="53">
        <v>2020022294.45</v>
      </c>
      <c r="F16" s="53">
        <v>76173628.950000003</v>
      </c>
      <c r="G16" s="53">
        <v>94287889.167500004</v>
      </c>
      <c r="H16" s="53">
        <v>0</v>
      </c>
      <c r="I16" s="54">
        <f t="shared" si="0"/>
        <v>94287889.167500004</v>
      </c>
      <c r="J16" s="53">
        <v>2724455761.5999999</v>
      </c>
      <c r="K16" s="58">
        <f t="shared" si="1"/>
        <v>6026280972.9934998</v>
      </c>
    </row>
    <row r="17" spans="1:11">
      <c r="A17" s="51">
        <v>12</v>
      </c>
      <c r="B17" s="52" t="s">
        <v>97</v>
      </c>
      <c r="C17" s="53">
        <v>1488249347.7864001</v>
      </c>
      <c r="D17" s="53">
        <v>0</v>
      </c>
      <c r="E17" s="53">
        <v>2677243921.3499999</v>
      </c>
      <c r="F17" s="53">
        <v>134651012.09</v>
      </c>
      <c r="G17" s="53">
        <v>124964798.0741</v>
      </c>
      <c r="H17" s="54">
        <f>G17/2</f>
        <v>62482399.037050001</v>
      </c>
      <c r="I17" s="54">
        <f t="shared" si="0"/>
        <v>62482399.037050001</v>
      </c>
      <c r="J17" s="53">
        <v>4026901547.8099999</v>
      </c>
      <c r="K17" s="58">
        <f t="shared" si="1"/>
        <v>8389528228.0734501</v>
      </c>
    </row>
    <row r="18" spans="1:11">
      <c r="A18" s="51">
        <v>13</v>
      </c>
      <c r="B18" s="52" t="s">
        <v>98</v>
      </c>
      <c r="C18" s="53">
        <v>1181723952.5339999</v>
      </c>
      <c r="D18" s="53">
        <v>0</v>
      </c>
      <c r="E18" s="53">
        <v>2125828762.0599999</v>
      </c>
      <c r="F18" s="53">
        <v>90994653.109999999</v>
      </c>
      <c r="G18" s="53">
        <v>99226581.437600002</v>
      </c>
      <c r="H18" s="53">
        <v>0</v>
      </c>
      <c r="I18" s="54">
        <f t="shared" si="0"/>
        <v>99226581.437600002</v>
      </c>
      <c r="J18" s="53">
        <v>3328607414.4499998</v>
      </c>
      <c r="K18" s="58">
        <f t="shared" si="1"/>
        <v>6826381363.5916004</v>
      </c>
    </row>
    <row r="19" spans="1:11">
      <c r="A19" s="51">
        <v>14</v>
      </c>
      <c r="B19" s="52" t="s">
        <v>99</v>
      </c>
      <c r="C19" s="53">
        <v>1512083463.1554</v>
      </c>
      <c r="D19" s="53">
        <v>0</v>
      </c>
      <c r="E19" s="53">
        <v>2720119626.6799998</v>
      </c>
      <c r="F19" s="53">
        <v>123658903.59</v>
      </c>
      <c r="G19" s="53">
        <v>126966092.69499999</v>
      </c>
      <c r="H19" s="53">
        <v>0</v>
      </c>
      <c r="I19" s="54">
        <f t="shared" si="0"/>
        <v>126966092.69499999</v>
      </c>
      <c r="J19" s="53">
        <v>3788876194.73</v>
      </c>
      <c r="K19" s="58">
        <f t="shared" si="1"/>
        <v>8271704280.8504</v>
      </c>
    </row>
    <row r="20" spans="1:11">
      <c r="A20" s="51">
        <v>15</v>
      </c>
      <c r="B20" s="52" t="s">
        <v>100</v>
      </c>
      <c r="C20" s="53">
        <v>1036080645.0292</v>
      </c>
      <c r="D20" s="53">
        <v>0</v>
      </c>
      <c r="E20" s="53">
        <v>1863827868</v>
      </c>
      <c r="F20" s="53">
        <v>70905608.090000004</v>
      </c>
      <c r="G20" s="53">
        <v>86997255.391000003</v>
      </c>
      <c r="H20" s="53">
        <v>86997255.391000003</v>
      </c>
      <c r="I20" s="54">
        <f t="shared" si="0"/>
        <v>0</v>
      </c>
      <c r="J20" s="53">
        <v>2592645687.8800001</v>
      </c>
      <c r="K20" s="58">
        <f t="shared" si="1"/>
        <v>5563459808.9991999</v>
      </c>
    </row>
    <row r="21" spans="1:11">
      <c r="A21" s="51">
        <v>16</v>
      </c>
      <c r="B21" s="52" t="s">
        <v>101</v>
      </c>
      <c r="C21" s="53">
        <v>2026528200.7862999</v>
      </c>
      <c r="D21" s="53">
        <v>0</v>
      </c>
      <c r="E21" s="53">
        <v>3645565385.3099999</v>
      </c>
      <c r="F21" s="53">
        <v>160644301.59999999</v>
      </c>
      <c r="G21" s="53">
        <v>170162807.5826</v>
      </c>
      <c r="H21" s="54">
        <f>G21/2</f>
        <v>85081403.791299999</v>
      </c>
      <c r="I21" s="54">
        <f t="shared" si="0"/>
        <v>85081403.791299999</v>
      </c>
      <c r="J21" s="53">
        <v>5357130462.96</v>
      </c>
      <c r="K21" s="58">
        <f t="shared" si="1"/>
        <v>11274949754.447599</v>
      </c>
    </row>
    <row r="22" spans="1:11">
      <c r="A22" s="51">
        <v>17</v>
      </c>
      <c r="B22" s="52" t="s">
        <v>102</v>
      </c>
      <c r="C22" s="53">
        <v>2129058678.9999001</v>
      </c>
      <c r="D22" s="53">
        <v>0</v>
      </c>
      <c r="E22" s="53">
        <v>3830009678.8499999</v>
      </c>
      <c r="F22" s="53">
        <v>146815429.56999999</v>
      </c>
      <c r="G22" s="53">
        <v>178772050.73559999</v>
      </c>
      <c r="H22" s="53">
        <v>0</v>
      </c>
      <c r="I22" s="54">
        <f t="shared" si="0"/>
        <v>178772050.73559999</v>
      </c>
      <c r="J22" s="53">
        <v>5823084787.1899996</v>
      </c>
      <c r="K22" s="58">
        <f t="shared" si="1"/>
        <v>12107740625.345501</v>
      </c>
    </row>
    <row r="23" spans="1:11">
      <c r="A23" s="51">
        <v>18</v>
      </c>
      <c r="B23" s="52" t="s">
        <v>103</v>
      </c>
      <c r="C23" s="53">
        <v>2394328085.1844001</v>
      </c>
      <c r="D23" s="53">
        <v>0</v>
      </c>
      <c r="E23" s="53">
        <v>4307208547.6300001</v>
      </c>
      <c r="F23" s="53">
        <v>176007208.38999999</v>
      </c>
      <c r="G23" s="53">
        <v>201046098.98460001</v>
      </c>
      <c r="H23" s="53">
        <v>201046098.98460001</v>
      </c>
      <c r="I23" s="54">
        <f t="shared" si="0"/>
        <v>0</v>
      </c>
      <c r="J23" s="53">
        <v>5928108939.9200001</v>
      </c>
      <c r="K23" s="58">
        <f t="shared" si="1"/>
        <v>12805652781.124399</v>
      </c>
    </row>
    <row r="24" spans="1:11">
      <c r="A24" s="51">
        <v>19</v>
      </c>
      <c r="B24" s="52" t="s">
        <v>104</v>
      </c>
      <c r="C24" s="53">
        <v>3811975519.2526002</v>
      </c>
      <c r="D24" s="53">
        <v>0</v>
      </c>
      <c r="E24" s="53">
        <v>6857445160.2700005</v>
      </c>
      <c r="F24" s="53">
        <v>294621902.5</v>
      </c>
      <c r="G24" s="53">
        <v>320082620.3854</v>
      </c>
      <c r="H24" s="53">
        <v>0</v>
      </c>
      <c r="I24" s="54">
        <f t="shared" si="0"/>
        <v>320082620.3854</v>
      </c>
      <c r="J24" s="53">
        <v>10809945664.02</v>
      </c>
      <c r="K24" s="58">
        <f t="shared" si="1"/>
        <v>22094070866.428001</v>
      </c>
    </row>
    <row r="25" spans="1:11">
      <c r="A25" s="51">
        <v>20</v>
      </c>
      <c r="B25" s="52" t="s">
        <v>105</v>
      </c>
      <c r="C25" s="53">
        <v>2902121848.0875001</v>
      </c>
      <c r="D25" s="53">
        <v>0</v>
      </c>
      <c r="E25" s="53">
        <v>5220689724.0500002</v>
      </c>
      <c r="F25" s="53">
        <v>193937355.97999999</v>
      </c>
      <c r="G25" s="53">
        <v>243684347.1636</v>
      </c>
      <c r="H25" s="53">
        <v>0</v>
      </c>
      <c r="I25" s="54">
        <f t="shared" si="0"/>
        <v>243684347.1636</v>
      </c>
      <c r="J25" s="53">
        <v>7320105586.6800003</v>
      </c>
      <c r="K25" s="58">
        <f t="shared" si="1"/>
        <v>15880538861.9611</v>
      </c>
    </row>
    <row r="26" spans="1:11">
      <c r="A26" s="51">
        <v>21</v>
      </c>
      <c r="B26" s="52" t="s">
        <v>106</v>
      </c>
      <c r="C26" s="53">
        <v>1831550397.3880999</v>
      </c>
      <c r="D26" s="53">
        <v>0</v>
      </c>
      <c r="E26" s="53">
        <v>3294815600.1999998</v>
      </c>
      <c r="F26" s="53">
        <v>114789742.56</v>
      </c>
      <c r="G26" s="53">
        <v>153790979.9278</v>
      </c>
      <c r="H26" s="54">
        <f>G26/2</f>
        <v>76895489.9639</v>
      </c>
      <c r="I26" s="54">
        <f t="shared" si="0"/>
        <v>76895489.9639</v>
      </c>
      <c r="J26" s="53">
        <v>4240261497.79</v>
      </c>
      <c r="K26" s="58">
        <f t="shared" si="1"/>
        <v>9558312727.9020004</v>
      </c>
    </row>
    <row r="27" spans="1:11">
      <c r="A27" s="51">
        <v>22</v>
      </c>
      <c r="B27" s="52" t="s">
        <v>107</v>
      </c>
      <c r="C27" s="53">
        <v>1893041494.0483999</v>
      </c>
      <c r="D27" s="53">
        <v>0</v>
      </c>
      <c r="E27" s="53">
        <v>3405433263.1500001</v>
      </c>
      <c r="F27" s="53">
        <v>119291382.67</v>
      </c>
      <c r="G27" s="53">
        <v>158954242.71619999</v>
      </c>
      <c r="H27" s="54">
        <f>G27/2</f>
        <v>79477121.358099997</v>
      </c>
      <c r="I27" s="54">
        <f t="shared" si="0"/>
        <v>79477121.358099997</v>
      </c>
      <c r="J27" s="53">
        <v>4330071361.0699997</v>
      </c>
      <c r="K27" s="58">
        <f t="shared" si="1"/>
        <v>9827314622.2964993</v>
      </c>
    </row>
    <row r="28" spans="1:11">
      <c r="A28" s="51">
        <v>23</v>
      </c>
      <c r="B28" s="52" t="s">
        <v>108</v>
      </c>
      <c r="C28" s="53">
        <v>1339525143.5243001</v>
      </c>
      <c r="D28" s="53">
        <v>0</v>
      </c>
      <c r="E28" s="53">
        <v>2409700735.52</v>
      </c>
      <c r="F28" s="53">
        <v>95039528.560000002</v>
      </c>
      <c r="G28" s="53">
        <v>112476776.3713</v>
      </c>
      <c r="H28" s="54">
        <f>G28/2</f>
        <v>56238388.185649998</v>
      </c>
      <c r="I28" s="54">
        <f t="shared" si="0"/>
        <v>56238388.185649998</v>
      </c>
      <c r="J28" s="53">
        <v>3386480328.25</v>
      </c>
      <c r="K28" s="58">
        <f t="shared" si="1"/>
        <v>7286984124.0399504</v>
      </c>
    </row>
    <row r="29" spans="1:11">
      <c r="A29" s="51">
        <v>24</v>
      </c>
      <c r="B29" s="52" t="s">
        <v>109</v>
      </c>
      <c r="C29" s="53">
        <v>2281875975.8737998</v>
      </c>
      <c r="D29" s="53">
        <v>0</v>
      </c>
      <c r="E29" s="53">
        <v>4104916017.46</v>
      </c>
      <c r="F29" s="53">
        <v>453816358.52999997</v>
      </c>
      <c r="G29" s="53">
        <v>191603759.79969999</v>
      </c>
      <c r="H29" s="53">
        <v>0</v>
      </c>
      <c r="I29" s="54">
        <f t="shared" si="0"/>
        <v>191603759.79969999</v>
      </c>
      <c r="J29" s="53">
        <v>27954847593.66</v>
      </c>
      <c r="K29" s="58">
        <f t="shared" si="1"/>
        <v>34987059705.323502</v>
      </c>
    </row>
    <row r="30" spans="1:11">
      <c r="A30" s="51">
        <v>25</v>
      </c>
      <c r="B30" s="52" t="s">
        <v>110</v>
      </c>
      <c r="C30" s="53">
        <v>1195087301.0388</v>
      </c>
      <c r="D30" s="53">
        <v>0</v>
      </c>
      <c r="E30" s="53">
        <v>2149868378.54</v>
      </c>
      <c r="F30" s="53">
        <v>76978012.650000006</v>
      </c>
      <c r="G30" s="53">
        <v>100348670.3874</v>
      </c>
      <c r="H30" s="53">
        <v>100348670.3874</v>
      </c>
      <c r="I30" s="54">
        <f t="shared" si="0"/>
        <v>0</v>
      </c>
      <c r="J30" s="53">
        <v>2671023695.96</v>
      </c>
      <c r="K30" s="58">
        <f t="shared" si="1"/>
        <v>6092957388.1887999</v>
      </c>
    </row>
    <row r="31" spans="1:11">
      <c r="A31" s="51">
        <v>26</v>
      </c>
      <c r="B31" s="52" t="s">
        <v>111</v>
      </c>
      <c r="C31" s="53">
        <v>2212014408.6114001</v>
      </c>
      <c r="D31" s="53">
        <v>0</v>
      </c>
      <c r="E31" s="53">
        <v>3979240534</v>
      </c>
      <c r="F31" s="53">
        <v>143779950.55000001</v>
      </c>
      <c r="G31" s="53">
        <v>185737648.27869999</v>
      </c>
      <c r="H31" s="54">
        <f>G31/2</f>
        <v>92868824.139349997</v>
      </c>
      <c r="I31" s="54">
        <f t="shared" si="0"/>
        <v>92868824.139349997</v>
      </c>
      <c r="J31" s="53">
        <v>5138329135.3400002</v>
      </c>
      <c r="K31" s="58">
        <f t="shared" si="1"/>
        <v>11566232852.6408</v>
      </c>
    </row>
    <row r="32" spans="1:11">
      <c r="A32" s="51">
        <v>27</v>
      </c>
      <c r="B32" s="52" t="s">
        <v>112</v>
      </c>
      <c r="C32" s="53">
        <v>1578043081.2621</v>
      </c>
      <c r="D32" s="53">
        <v>0</v>
      </c>
      <c r="E32" s="53">
        <v>2838775809.4699998</v>
      </c>
      <c r="F32" s="53">
        <v>147508432.27000001</v>
      </c>
      <c r="G32" s="53">
        <v>132504566.7221</v>
      </c>
      <c r="H32" s="53">
        <v>0</v>
      </c>
      <c r="I32" s="54">
        <f t="shared" si="0"/>
        <v>132504566.7221</v>
      </c>
      <c r="J32" s="53">
        <v>4449789990.6999998</v>
      </c>
      <c r="K32" s="58">
        <f t="shared" si="1"/>
        <v>9146621880.4242001</v>
      </c>
    </row>
    <row r="33" spans="1:12">
      <c r="A33" s="51">
        <v>28</v>
      </c>
      <c r="B33" s="52" t="s">
        <v>113</v>
      </c>
      <c r="C33" s="53">
        <v>1507130960.8350999</v>
      </c>
      <c r="D33" s="53">
        <v>0</v>
      </c>
      <c r="E33" s="53">
        <v>2711210463.21</v>
      </c>
      <c r="F33" s="53">
        <v>120550265.04000001</v>
      </c>
      <c r="G33" s="53">
        <v>126550242.7211</v>
      </c>
      <c r="H33" s="54">
        <f>G33/2</f>
        <v>63275121.360550001</v>
      </c>
      <c r="I33" s="54">
        <f t="shared" si="0"/>
        <v>63275121.360550001</v>
      </c>
      <c r="J33" s="53">
        <v>3977431552.96</v>
      </c>
      <c r="K33" s="58">
        <f t="shared" si="1"/>
        <v>8379598363.4056501</v>
      </c>
    </row>
    <row r="34" spans="1:12">
      <c r="A34" s="51">
        <v>29</v>
      </c>
      <c r="B34" s="52" t="s">
        <v>114</v>
      </c>
      <c r="C34" s="53">
        <v>2041446991.5731001</v>
      </c>
      <c r="D34" s="53">
        <v>0</v>
      </c>
      <c r="E34" s="53">
        <v>3672403120.54</v>
      </c>
      <c r="F34" s="53">
        <v>159170681.05000001</v>
      </c>
      <c r="G34" s="53">
        <v>171415503.36340001</v>
      </c>
      <c r="H34" s="53">
        <v>0</v>
      </c>
      <c r="I34" s="54">
        <f t="shared" si="0"/>
        <v>171415503.36340001</v>
      </c>
      <c r="J34" s="53">
        <v>5521160697.6599998</v>
      </c>
      <c r="K34" s="58">
        <f t="shared" si="1"/>
        <v>11565596994.186501</v>
      </c>
    </row>
    <row r="35" spans="1:12">
      <c r="A35" s="51">
        <v>30</v>
      </c>
      <c r="B35" s="52" t="s">
        <v>115</v>
      </c>
      <c r="C35" s="53">
        <v>2575126097.3301001</v>
      </c>
      <c r="D35" s="53">
        <v>0</v>
      </c>
      <c r="E35" s="53">
        <v>4632449999.7600002</v>
      </c>
      <c r="F35" s="53">
        <v>257086237.87</v>
      </c>
      <c r="G35" s="53">
        <v>216227282.91249999</v>
      </c>
      <c r="H35" s="53">
        <v>0</v>
      </c>
      <c r="I35" s="54">
        <f t="shared" si="0"/>
        <v>216227282.91249999</v>
      </c>
      <c r="J35" s="53">
        <v>9680487487.5</v>
      </c>
      <c r="K35" s="58">
        <f t="shared" si="1"/>
        <v>17361377105.372601</v>
      </c>
    </row>
    <row r="36" spans="1:12">
      <c r="A36" s="51">
        <v>31</v>
      </c>
      <c r="B36" s="52" t="s">
        <v>116</v>
      </c>
      <c r="C36" s="53">
        <v>1614259032.3106</v>
      </c>
      <c r="D36" s="53">
        <v>0</v>
      </c>
      <c r="E36" s="53">
        <v>2903925466.6399999</v>
      </c>
      <c r="F36" s="53">
        <v>110992277.02</v>
      </c>
      <c r="G36" s="53">
        <v>135545534.96869999</v>
      </c>
      <c r="H36" s="54">
        <f>G36/2</f>
        <v>67772767.484349996</v>
      </c>
      <c r="I36" s="54">
        <f t="shared" si="0"/>
        <v>67772767.484349996</v>
      </c>
      <c r="J36" s="53">
        <v>3765106616.8200002</v>
      </c>
      <c r="K36" s="58">
        <f t="shared" si="1"/>
        <v>8462056160.27495</v>
      </c>
    </row>
    <row r="37" spans="1:12">
      <c r="A37" s="51">
        <v>32</v>
      </c>
      <c r="B37" s="52" t="s">
        <v>117</v>
      </c>
      <c r="C37" s="53">
        <v>2000963560.0676999</v>
      </c>
      <c r="D37" s="53">
        <v>0</v>
      </c>
      <c r="E37" s="53">
        <v>3599576600.5300002</v>
      </c>
      <c r="F37" s="53">
        <v>185094410.75</v>
      </c>
      <c r="G37" s="53">
        <v>168016204.81810001</v>
      </c>
      <c r="H37" s="54">
        <f>G37/2</f>
        <v>84008102.409050003</v>
      </c>
      <c r="I37" s="54">
        <f t="shared" si="0"/>
        <v>84008102.409050003</v>
      </c>
      <c r="J37" s="53">
        <v>12240706104.92</v>
      </c>
      <c r="K37" s="58">
        <f t="shared" si="1"/>
        <v>18110348778.6768</v>
      </c>
    </row>
    <row r="38" spans="1:12">
      <c r="A38" s="51">
        <v>33</v>
      </c>
      <c r="B38" s="52" t="s">
        <v>118</v>
      </c>
      <c r="C38" s="53">
        <v>2015280006</v>
      </c>
      <c r="D38" s="53">
        <v>0</v>
      </c>
      <c r="E38" s="53">
        <v>3625330764.5700002</v>
      </c>
      <c r="F38" s="53">
        <v>129795480.95</v>
      </c>
      <c r="G38" s="53">
        <v>169218323.11700001</v>
      </c>
      <c r="H38" s="53">
        <v>0</v>
      </c>
      <c r="I38" s="54">
        <f t="shared" si="0"/>
        <v>169218323.11700001</v>
      </c>
      <c r="J38" s="53">
        <v>5011952450.4499998</v>
      </c>
      <c r="K38" s="58">
        <f t="shared" si="1"/>
        <v>10951577025.087</v>
      </c>
    </row>
    <row r="39" spans="1:12">
      <c r="A39" s="51">
        <v>34</v>
      </c>
      <c r="B39" s="52" t="s">
        <v>119</v>
      </c>
      <c r="C39" s="53">
        <v>1510459106.7379</v>
      </c>
      <c r="D39" s="53">
        <v>0</v>
      </c>
      <c r="E39" s="53">
        <v>2717197536.8099999</v>
      </c>
      <c r="F39" s="53">
        <v>86878642.140000001</v>
      </c>
      <c r="G39" s="53">
        <v>126829699.3062</v>
      </c>
      <c r="H39" s="53">
        <v>126829699.3062</v>
      </c>
      <c r="I39" s="54">
        <f t="shared" si="0"/>
        <v>0</v>
      </c>
      <c r="J39" s="53">
        <v>3236376755.0100002</v>
      </c>
      <c r="K39" s="58">
        <f t="shared" si="1"/>
        <v>7550912040.6978998</v>
      </c>
    </row>
    <row r="40" spans="1:12">
      <c r="A40" s="51">
        <v>35</v>
      </c>
      <c r="B40" s="52" t="s">
        <v>120</v>
      </c>
      <c r="C40" s="53">
        <v>1518634259.1357999</v>
      </c>
      <c r="D40" s="53">
        <v>0</v>
      </c>
      <c r="E40" s="53">
        <v>2731903995.1799998</v>
      </c>
      <c r="F40" s="53">
        <v>90834853.75</v>
      </c>
      <c r="G40" s="53">
        <v>127516147.6295</v>
      </c>
      <c r="H40" s="53">
        <v>0</v>
      </c>
      <c r="I40" s="54">
        <f t="shared" si="0"/>
        <v>127516147.6295</v>
      </c>
      <c r="J40" s="53">
        <v>3381287556.3499999</v>
      </c>
      <c r="K40" s="58">
        <f t="shared" si="1"/>
        <v>7850176812.0452995</v>
      </c>
    </row>
    <row r="41" spans="1:12">
      <c r="A41" s="51">
        <v>36</v>
      </c>
      <c r="B41" s="52" t="s">
        <v>121</v>
      </c>
      <c r="C41" s="53">
        <v>1372187571.0000999</v>
      </c>
      <c r="D41" s="53">
        <v>0</v>
      </c>
      <c r="E41" s="53">
        <v>2468457882.3299999</v>
      </c>
      <c r="F41" s="53">
        <v>90022622.010000005</v>
      </c>
      <c r="G41" s="53">
        <v>115219363.59999999</v>
      </c>
      <c r="H41" s="53">
        <v>0</v>
      </c>
      <c r="I41" s="54">
        <f t="shared" si="0"/>
        <v>115219363.59999999</v>
      </c>
      <c r="J41" s="53">
        <v>3446550447.1900001</v>
      </c>
      <c r="K41" s="58">
        <f t="shared" si="1"/>
        <v>7492437886.1301003</v>
      </c>
    </row>
    <row r="42" spans="1:12">
      <c r="A42" s="51">
        <v>37</v>
      </c>
      <c r="B42" s="52" t="s">
        <v>929</v>
      </c>
      <c r="C42" s="53">
        <v>606053099.32029998</v>
      </c>
      <c r="D42" s="53">
        <v>0</v>
      </c>
      <c r="E42" s="53">
        <v>1090242020.6600001</v>
      </c>
      <c r="F42" s="53">
        <v>98025982.290000007</v>
      </c>
      <c r="G42" s="53">
        <v>50888853.599600002</v>
      </c>
      <c r="H42" s="53">
        <v>0</v>
      </c>
      <c r="I42" s="54">
        <f t="shared" si="0"/>
        <v>50888853.599600002</v>
      </c>
      <c r="J42" s="53">
        <v>5255731633.9799995</v>
      </c>
      <c r="K42" s="58">
        <f t="shared" si="1"/>
        <v>7100941589.8499002</v>
      </c>
    </row>
    <row r="43" spans="1:12">
      <c r="A43" s="29"/>
      <c r="B43" s="29"/>
      <c r="C43" s="45">
        <f>SUM(C6:C42)</f>
        <v>66701111277.946503</v>
      </c>
      <c r="D43" s="45">
        <f t="shared" ref="D43:K43" si="2">SUM(D6:D42)</f>
        <v>-11565945.65</v>
      </c>
      <c r="E43" s="45">
        <f t="shared" si="2"/>
        <v>119990070872.22</v>
      </c>
      <c r="F43" s="45">
        <f t="shared" si="2"/>
        <v>5266193887.29</v>
      </c>
      <c r="G43" s="45">
        <f t="shared" si="2"/>
        <v>5600735464.5045004</v>
      </c>
      <c r="H43" s="45">
        <f t="shared" si="2"/>
        <v>1609606776.9405999</v>
      </c>
      <c r="I43" s="45">
        <f t="shared" si="2"/>
        <v>3991128687.5639</v>
      </c>
      <c r="J43" s="45">
        <f t="shared" si="2"/>
        <v>204994734702.01001</v>
      </c>
      <c r="K43" s="45">
        <f t="shared" si="2"/>
        <v>400931673481.38</v>
      </c>
      <c r="L43" s="44"/>
    </row>
    <row r="45" spans="1:12">
      <c r="I45" s="43"/>
      <c r="K45" s="44"/>
    </row>
    <row r="46" spans="1:12">
      <c r="C46" s="43"/>
      <c r="D46" s="55"/>
      <c r="F46" s="55"/>
      <c r="K46" s="44"/>
    </row>
    <row r="47" spans="1:12">
      <c r="L47" s="44"/>
    </row>
  </sheetData>
  <mergeCells count="3">
    <mergeCell ref="A1:K1"/>
    <mergeCell ref="A2:K2"/>
    <mergeCell ref="A3:K3"/>
  </mergeCells>
  <pageMargins left="0.118055555555556" right="0.118055555555556" top="0.35416666666666702" bottom="0.35416666666666702" header="0.31458333333333299" footer="0.31458333333333299"/>
  <pageSetup paperSize="9" scale="52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zoomScale="96" zoomScaleNormal="96" workbookViewId="0">
      <selection sqref="A1:E1"/>
    </sheetView>
  </sheetViews>
  <sheetFormatPr defaultColWidth="8.88671875" defaultRowHeight="18"/>
  <cols>
    <col min="1" max="1" width="8.88671875" style="30"/>
    <col min="2" max="2" width="20.109375" style="30" customWidth="1"/>
    <col min="3" max="3" width="26.33203125" style="30" customWidth="1"/>
    <col min="4" max="4" width="28.6640625" style="30" customWidth="1"/>
    <col min="5" max="6" width="24.88671875" style="30" customWidth="1"/>
    <col min="7" max="7" width="19.5546875" style="30" customWidth="1"/>
    <col min="8" max="8" width="23" style="30" customWidth="1"/>
    <col min="9" max="9" width="21.6640625" style="30" customWidth="1"/>
    <col min="10" max="10" width="22.6640625" style="30" customWidth="1"/>
    <col min="11" max="16384" width="8.88671875" style="30"/>
  </cols>
  <sheetData>
    <row r="1" spans="1:10" ht="20.399999999999999">
      <c r="A1" s="202" t="s">
        <v>122</v>
      </c>
      <c r="B1" s="152"/>
      <c r="C1" s="152"/>
      <c r="D1" s="152"/>
      <c r="E1" s="152"/>
      <c r="F1" s="31"/>
    </row>
    <row r="2" spans="1:10" ht="20.399999999999999">
      <c r="A2" s="202" t="s">
        <v>62</v>
      </c>
      <c r="B2" s="152"/>
      <c r="C2" s="152"/>
      <c r="D2" s="152"/>
      <c r="E2" s="152"/>
      <c r="F2" s="31"/>
    </row>
    <row r="3" spans="1:10" ht="45.75" customHeight="1">
      <c r="A3" s="203" t="s">
        <v>949</v>
      </c>
      <c r="B3" s="204"/>
      <c r="C3" s="204"/>
      <c r="D3" s="204"/>
      <c r="E3" s="204"/>
      <c r="F3" s="32"/>
    </row>
    <row r="4" spans="1:10" ht="62.25" customHeight="1">
      <c r="A4" s="33" t="s">
        <v>950</v>
      </c>
      <c r="B4" s="33" t="s">
        <v>124</v>
      </c>
      <c r="C4" s="3" t="s">
        <v>951</v>
      </c>
      <c r="D4" s="4" t="s">
        <v>952</v>
      </c>
      <c r="E4" s="12" t="s">
        <v>947</v>
      </c>
      <c r="F4" s="34"/>
      <c r="G4" s="35"/>
      <c r="H4" s="36"/>
      <c r="I4" s="36"/>
    </row>
    <row r="5" spans="1:10">
      <c r="A5" s="37"/>
      <c r="B5" s="37"/>
      <c r="C5" s="149" t="s">
        <v>28</v>
      </c>
      <c r="D5" s="149" t="s">
        <v>28</v>
      </c>
      <c r="E5" s="149" t="s">
        <v>28</v>
      </c>
      <c r="F5" s="38"/>
    </row>
    <row r="6" spans="1:10">
      <c r="A6" s="39">
        <v>1</v>
      </c>
      <c r="B6" s="40" t="s">
        <v>86</v>
      </c>
      <c r="C6" s="41">
        <v>59294624.499799997</v>
      </c>
      <c r="D6" s="41">
        <v>106666381.7103</v>
      </c>
      <c r="E6" s="42">
        <f>C6+D6</f>
        <v>165961006.2101</v>
      </c>
      <c r="F6" s="43"/>
      <c r="G6" s="44"/>
      <c r="H6" s="44"/>
      <c r="I6" s="44"/>
      <c r="J6" s="44"/>
    </row>
    <row r="7" spans="1:10">
      <c r="A7" s="39">
        <v>2</v>
      </c>
      <c r="B7" s="40" t="s">
        <v>87</v>
      </c>
      <c r="C7" s="41">
        <v>63079283.785599999</v>
      </c>
      <c r="D7" s="41">
        <v>113474687.1076</v>
      </c>
      <c r="E7" s="42">
        <f t="shared" ref="E7:E41" si="0">C7+D7</f>
        <v>176553970.89320001</v>
      </c>
      <c r="F7" s="43"/>
      <c r="G7" s="44"/>
      <c r="H7" s="44"/>
      <c r="I7" s="44"/>
      <c r="J7" s="44"/>
    </row>
    <row r="8" spans="1:10">
      <c r="A8" s="39">
        <v>3</v>
      </c>
      <c r="B8" s="40" t="s">
        <v>88</v>
      </c>
      <c r="C8" s="41">
        <v>63665474.612499997</v>
      </c>
      <c r="D8" s="41">
        <v>114529198.45720001</v>
      </c>
      <c r="E8" s="42">
        <f t="shared" si="0"/>
        <v>178194673.0697</v>
      </c>
      <c r="F8" s="43"/>
      <c r="G8" s="44"/>
      <c r="H8" s="44"/>
      <c r="I8" s="44"/>
      <c r="J8" s="44"/>
    </row>
    <row r="9" spans="1:10">
      <c r="A9" s="39">
        <v>4</v>
      </c>
      <c r="B9" s="40" t="s">
        <v>89</v>
      </c>
      <c r="C9" s="41">
        <v>62961112.173699997</v>
      </c>
      <c r="D9" s="41">
        <v>113262105.6407</v>
      </c>
      <c r="E9" s="42">
        <f t="shared" si="0"/>
        <v>176223217.81439999</v>
      </c>
      <c r="F9" s="43"/>
      <c r="G9" s="44"/>
      <c r="H9" s="44"/>
      <c r="I9" s="44"/>
      <c r="J9" s="44"/>
    </row>
    <row r="10" spans="1:10">
      <c r="A10" s="39">
        <v>5</v>
      </c>
      <c r="B10" s="40" t="s">
        <v>90</v>
      </c>
      <c r="C10" s="41">
        <v>75744327.389699996</v>
      </c>
      <c r="D10" s="41">
        <v>136258107.8114</v>
      </c>
      <c r="E10" s="42">
        <f t="shared" si="0"/>
        <v>212002435.20109999</v>
      </c>
      <c r="F10" s="43"/>
      <c r="G10" s="44"/>
      <c r="H10" s="44"/>
      <c r="I10" s="44"/>
      <c r="J10" s="44"/>
    </row>
    <row r="11" spans="1:10">
      <c r="A11" s="39">
        <v>6</v>
      </c>
      <c r="B11" s="40" t="s">
        <v>91</v>
      </c>
      <c r="C11" s="41">
        <v>56029273.288099997</v>
      </c>
      <c r="D11" s="41">
        <v>100792270.83230001</v>
      </c>
      <c r="E11" s="42">
        <f t="shared" si="0"/>
        <v>156821544.12040001</v>
      </c>
      <c r="F11" s="43"/>
      <c r="G11" s="44"/>
      <c r="H11" s="44"/>
      <c r="I11" s="44"/>
      <c r="J11" s="44"/>
    </row>
    <row r="12" spans="1:10" ht="30" customHeight="1">
      <c r="A12" s="39">
        <v>7</v>
      </c>
      <c r="B12" s="40" t="s">
        <v>92</v>
      </c>
      <c r="C12" s="41">
        <v>71015203.346599996</v>
      </c>
      <c r="D12" s="41">
        <v>127750784.3466</v>
      </c>
      <c r="E12" s="42">
        <f t="shared" si="0"/>
        <v>198765987.69319999</v>
      </c>
      <c r="F12" s="43"/>
      <c r="G12" s="44"/>
      <c r="H12" s="44"/>
      <c r="I12" s="44"/>
      <c r="J12" s="44"/>
    </row>
    <row r="13" spans="1:10">
      <c r="A13" s="39">
        <v>8</v>
      </c>
      <c r="B13" s="40" t="s">
        <v>93</v>
      </c>
      <c r="C13" s="41">
        <v>78674667.834000006</v>
      </c>
      <c r="D13" s="41">
        <v>141529560.57839999</v>
      </c>
      <c r="E13" s="42">
        <f t="shared" si="0"/>
        <v>220204228.41240001</v>
      </c>
      <c r="F13" s="43"/>
      <c r="G13" s="44"/>
      <c r="H13" s="44"/>
      <c r="I13" s="44"/>
      <c r="J13" s="44"/>
    </row>
    <row r="14" spans="1:10">
      <c r="A14" s="39">
        <v>9</v>
      </c>
      <c r="B14" s="40" t="s">
        <v>94</v>
      </c>
      <c r="C14" s="41">
        <v>63676332.209600002</v>
      </c>
      <c r="D14" s="41">
        <v>114548730.42309999</v>
      </c>
      <c r="E14" s="42">
        <f t="shared" si="0"/>
        <v>178225062.6327</v>
      </c>
      <c r="F14" s="43"/>
      <c r="G14" s="44"/>
      <c r="H14" s="44"/>
      <c r="I14" s="44"/>
      <c r="J14" s="44"/>
    </row>
    <row r="15" spans="1:10">
      <c r="A15" s="39">
        <v>10</v>
      </c>
      <c r="B15" s="40" t="s">
        <v>95</v>
      </c>
      <c r="C15" s="41">
        <v>64295327.8882</v>
      </c>
      <c r="D15" s="41">
        <v>115662255.1294</v>
      </c>
      <c r="E15" s="42">
        <f t="shared" si="0"/>
        <v>179957583.0176</v>
      </c>
      <c r="F15" s="43"/>
      <c r="G15" s="44"/>
      <c r="H15" s="44"/>
      <c r="I15" s="44"/>
      <c r="J15" s="44"/>
    </row>
    <row r="16" spans="1:10">
      <c r="A16" s="39">
        <v>11</v>
      </c>
      <c r="B16" s="40" t="s">
        <v>96</v>
      </c>
      <c r="C16" s="41">
        <v>56651370.787299998</v>
      </c>
      <c r="D16" s="41">
        <v>101911375.471</v>
      </c>
      <c r="E16" s="42">
        <f t="shared" si="0"/>
        <v>158562746.25830001</v>
      </c>
      <c r="F16" s="43"/>
      <c r="G16" s="44"/>
      <c r="H16" s="44"/>
      <c r="I16" s="44"/>
      <c r="J16" s="44"/>
    </row>
    <row r="17" spans="1:10">
      <c r="A17" s="39">
        <v>12</v>
      </c>
      <c r="B17" s="40" t="s">
        <v>97</v>
      </c>
      <c r="C17" s="41">
        <v>59209761.954499997</v>
      </c>
      <c r="D17" s="41">
        <v>106513720.6433</v>
      </c>
      <c r="E17" s="42">
        <f t="shared" si="0"/>
        <v>165723482.59779999</v>
      </c>
      <c r="F17" s="43"/>
      <c r="G17" s="44"/>
      <c r="H17" s="44"/>
      <c r="I17" s="44"/>
      <c r="J17" s="44"/>
    </row>
    <row r="18" spans="1:10">
      <c r="A18" s="39">
        <v>13</v>
      </c>
      <c r="B18" s="40" t="s">
        <v>98</v>
      </c>
      <c r="C18" s="41">
        <v>56619402.748899996</v>
      </c>
      <c r="D18" s="41">
        <v>101853867.4755</v>
      </c>
      <c r="E18" s="42">
        <f t="shared" si="0"/>
        <v>158473270.22440001</v>
      </c>
      <c r="F18" s="43"/>
      <c r="G18" s="44"/>
      <c r="H18" s="44"/>
      <c r="I18" s="44"/>
      <c r="J18" s="44"/>
    </row>
    <row r="19" spans="1:10">
      <c r="A19" s="39">
        <v>14</v>
      </c>
      <c r="B19" s="40" t="s">
        <v>99</v>
      </c>
      <c r="C19" s="41">
        <v>63681827.906999998</v>
      </c>
      <c r="D19" s="41">
        <v>114558616.752</v>
      </c>
      <c r="E19" s="42">
        <f t="shared" si="0"/>
        <v>178240444.65900001</v>
      </c>
      <c r="F19" s="43"/>
      <c r="G19" s="44"/>
      <c r="H19" s="44"/>
      <c r="I19" s="44"/>
      <c r="J19" s="44"/>
    </row>
    <row r="20" spans="1:10">
      <c r="A20" s="39">
        <v>15</v>
      </c>
      <c r="B20" s="40" t="s">
        <v>100</v>
      </c>
      <c r="C20" s="41">
        <v>59645025.747599997</v>
      </c>
      <c r="D20" s="41">
        <v>107296726.0891</v>
      </c>
      <c r="E20" s="42">
        <f t="shared" si="0"/>
        <v>166941751.83669999</v>
      </c>
      <c r="F20" s="43"/>
      <c r="G20" s="44"/>
      <c r="H20" s="44"/>
      <c r="I20" s="44"/>
      <c r="J20" s="44"/>
    </row>
    <row r="21" spans="1:10">
      <c r="A21" s="39">
        <v>16</v>
      </c>
      <c r="B21" s="40" t="s">
        <v>101</v>
      </c>
      <c r="C21" s="41">
        <v>65837634.243000001</v>
      </c>
      <c r="D21" s="41">
        <v>118436743.36939999</v>
      </c>
      <c r="E21" s="42">
        <f t="shared" si="0"/>
        <v>184274377.6124</v>
      </c>
      <c r="F21" s="43"/>
      <c r="G21" s="44"/>
      <c r="H21" s="44"/>
      <c r="I21" s="44"/>
      <c r="J21" s="44"/>
    </row>
    <row r="22" spans="1:10">
      <c r="A22" s="39">
        <v>17</v>
      </c>
      <c r="B22" s="40" t="s">
        <v>102</v>
      </c>
      <c r="C22" s="41">
        <v>70814483.0044</v>
      </c>
      <c r="D22" s="41">
        <v>127389704.1847</v>
      </c>
      <c r="E22" s="42">
        <f t="shared" si="0"/>
        <v>198204187.1891</v>
      </c>
      <c r="F22" s="43"/>
      <c r="G22" s="44"/>
      <c r="H22" s="44"/>
      <c r="I22" s="44"/>
      <c r="J22" s="44"/>
    </row>
    <row r="23" spans="1:10">
      <c r="A23" s="39">
        <v>18</v>
      </c>
      <c r="B23" s="40" t="s">
        <v>103</v>
      </c>
      <c r="C23" s="41">
        <v>82967403.303499997</v>
      </c>
      <c r="D23" s="41">
        <v>149251855.2049</v>
      </c>
      <c r="E23" s="42">
        <f t="shared" si="0"/>
        <v>232219258.50839999</v>
      </c>
      <c r="F23" s="43"/>
      <c r="G23" s="44"/>
      <c r="H23" s="44"/>
      <c r="I23" s="44"/>
      <c r="J23" s="44"/>
    </row>
    <row r="24" spans="1:10">
      <c r="A24" s="39">
        <v>19</v>
      </c>
      <c r="B24" s="40" t="s">
        <v>104</v>
      </c>
      <c r="C24" s="41">
        <v>100441278.4498</v>
      </c>
      <c r="D24" s="41">
        <v>180685986.9165</v>
      </c>
      <c r="E24" s="42">
        <f t="shared" si="0"/>
        <v>281127265.36629999</v>
      </c>
      <c r="F24" s="43"/>
      <c r="G24" s="44"/>
      <c r="H24" s="44"/>
      <c r="I24" s="44"/>
      <c r="J24" s="44"/>
    </row>
    <row r="25" spans="1:10">
      <c r="A25" s="39">
        <v>20</v>
      </c>
      <c r="B25" s="40" t="s">
        <v>105</v>
      </c>
      <c r="C25" s="41">
        <v>77839132.244499996</v>
      </c>
      <c r="D25" s="41">
        <v>140026497.54550001</v>
      </c>
      <c r="E25" s="42">
        <f t="shared" si="0"/>
        <v>217865629.78999999</v>
      </c>
      <c r="F25" s="43"/>
      <c r="G25" s="44"/>
      <c r="H25" s="44"/>
      <c r="I25" s="44"/>
      <c r="J25" s="44"/>
    </row>
    <row r="26" spans="1:10">
      <c r="A26" s="39">
        <v>21</v>
      </c>
      <c r="B26" s="40" t="s">
        <v>106</v>
      </c>
      <c r="C26" s="41">
        <v>66864202.941399999</v>
      </c>
      <c r="D26" s="41">
        <v>120283459.99089999</v>
      </c>
      <c r="E26" s="42">
        <f t="shared" si="0"/>
        <v>187147662.9323</v>
      </c>
      <c r="F26" s="43"/>
      <c r="G26" s="44"/>
      <c r="H26" s="44"/>
      <c r="I26" s="44"/>
      <c r="J26" s="44"/>
    </row>
    <row r="27" spans="1:10">
      <c r="A27" s="39">
        <v>22</v>
      </c>
      <c r="B27" s="40" t="s">
        <v>107</v>
      </c>
      <c r="C27" s="41">
        <v>69986634.818299994</v>
      </c>
      <c r="D27" s="41">
        <v>125900470.1881</v>
      </c>
      <c r="E27" s="42">
        <f t="shared" si="0"/>
        <v>195887105.00639999</v>
      </c>
      <c r="F27" s="43"/>
      <c r="G27" s="44"/>
      <c r="H27" s="44"/>
      <c r="I27" s="44"/>
      <c r="J27" s="44"/>
    </row>
    <row r="28" spans="1:10">
      <c r="A28" s="39">
        <v>23</v>
      </c>
      <c r="B28" s="40" t="s">
        <v>108</v>
      </c>
      <c r="C28" s="41">
        <v>56366971.569799997</v>
      </c>
      <c r="D28" s="41">
        <v>101399763.57089999</v>
      </c>
      <c r="E28" s="42">
        <f t="shared" si="0"/>
        <v>157766735.14070001</v>
      </c>
      <c r="F28" s="43"/>
      <c r="G28" s="44"/>
      <c r="H28" s="44"/>
      <c r="I28" s="44"/>
      <c r="J28" s="44"/>
    </row>
    <row r="29" spans="1:10">
      <c r="A29" s="39">
        <v>24</v>
      </c>
      <c r="B29" s="40" t="s">
        <v>109</v>
      </c>
      <c r="C29" s="41">
        <v>84829175.569800004</v>
      </c>
      <c r="D29" s="41">
        <v>152601037.57859999</v>
      </c>
      <c r="E29" s="42">
        <f t="shared" si="0"/>
        <v>237430213.14840001</v>
      </c>
      <c r="F29" s="43"/>
      <c r="G29" s="44"/>
      <c r="H29" s="44"/>
      <c r="I29" s="44"/>
      <c r="J29" s="44"/>
    </row>
    <row r="30" spans="1:10">
      <c r="A30" s="39">
        <v>25</v>
      </c>
      <c r="B30" s="40" t="s">
        <v>110</v>
      </c>
      <c r="C30" s="41">
        <v>58396303.665100001</v>
      </c>
      <c r="D30" s="41">
        <v>105050372.9427</v>
      </c>
      <c r="E30" s="42">
        <f t="shared" si="0"/>
        <v>163446676.60780001</v>
      </c>
      <c r="F30" s="43"/>
      <c r="G30" s="44"/>
      <c r="H30" s="44"/>
      <c r="I30" s="44"/>
      <c r="J30" s="44"/>
    </row>
    <row r="31" spans="1:10">
      <c r="A31" s="39">
        <v>26</v>
      </c>
      <c r="B31" s="40" t="s">
        <v>111</v>
      </c>
      <c r="C31" s="41">
        <v>75007452.019800007</v>
      </c>
      <c r="D31" s="41">
        <v>134932526.78040001</v>
      </c>
      <c r="E31" s="42">
        <f t="shared" si="0"/>
        <v>209939978.80019999</v>
      </c>
      <c r="F31" s="43"/>
      <c r="G31" s="44"/>
      <c r="H31" s="44"/>
      <c r="I31" s="44"/>
      <c r="J31" s="44"/>
    </row>
    <row r="32" spans="1:10">
      <c r="A32" s="39">
        <v>27</v>
      </c>
      <c r="B32" s="40" t="s">
        <v>112</v>
      </c>
      <c r="C32" s="41">
        <v>58830013.115400001</v>
      </c>
      <c r="D32" s="41">
        <v>105830582.248</v>
      </c>
      <c r="E32" s="42">
        <f t="shared" si="0"/>
        <v>164660595.36340001</v>
      </c>
      <c r="F32" s="43"/>
      <c r="G32" s="44"/>
      <c r="H32" s="44"/>
      <c r="I32" s="44"/>
      <c r="J32" s="44"/>
    </row>
    <row r="33" spans="1:10">
      <c r="A33" s="39">
        <v>28</v>
      </c>
      <c r="B33" s="40" t="s">
        <v>113</v>
      </c>
      <c r="C33" s="41">
        <v>58946561.960000001</v>
      </c>
      <c r="D33" s="41">
        <v>106040244.48360001</v>
      </c>
      <c r="E33" s="42">
        <f t="shared" si="0"/>
        <v>164986806.4436</v>
      </c>
      <c r="F33" s="43"/>
      <c r="G33" s="44"/>
      <c r="H33" s="44"/>
      <c r="I33" s="44"/>
      <c r="J33" s="44"/>
    </row>
    <row r="34" spans="1:10">
      <c r="A34" s="39">
        <v>29</v>
      </c>
      <c r="B34" s="40" t="s">
        <v>114</v>
      </c>
      <c r="C34" s="41">
        <v>57751542.039700001</v>
      </c>
      <c r="D34" s="41">
        <v>103890497.3178</v>
      </c>
      <c r="E34" s="42">
        <f t="shared" si="0"/>
        <v>161642039.35749999</v>
      </c>
      <c r="F34" s="43"/>
      <c r="G34" s="44"/>
      <c r="H34" s="44"/>
      <c r="I34" s="44"/>
      <c r="J34" s="44"/>
    </row>
    <row r="35" spans="1:10">
      <c r="A35" s="39">
        <v>30</v>
      </c>
      <c r="B35" s="40" t="s">
        <v>115</v>
      </c>
      <c r="C35" s="41">
        <v>71023049.680800006</v>
      </c>
      <c r="D35" s="41">
        <v>127764899.287</v>
      </c>
      <c r="E35" s="42">
        <f t="shared" si="0"/>
        <v>198787948.96779999</v>
      </c>
      <c r="F35" s="43"/>
      <c r="G35" s="44"/>
      <c r="H35" s="44"/>
      <c r="I35" s="44"/>
      <c r="J35" s="44"/>
    </row>
    <row r="36" spans="1:10">
      <c r="A36" s="39">
        <v>31</v>
      </c>
      <c r="B36" s="40" t="s">
        <v>116</v>
      </c>
      <c r="C36" s="41">
        <v>66124799.738499999</v>
      </c>
      <c r="D36" s="41">
        <v>118953331.5864</v>
      </c>
      <c r="E36" s="42">
        <f t="shared" si="0"/>
        <v>185078131.3249</v>
      </c>
      <c r="F36" s="43"/>
      <c r="G36" s="44"/>
      <c r="H36" s="44"/>
      <c r="I36" s="44"/>
      <c r="J36" s="44"/>
    </row>
    <row r="37" spans="1:10">
      <c r="A37" s="39">
        <v>32</v>
      </c>
      <c r="B37" s="40" t="s">
        <v>117</v>
      </c>
      <c r="C37" s="41">
        <v>68291271.456599995</v>
      </c>
      <c r="D37" s="41">
        <v>122850644.39</v>
      </c>
      <c r="E37" s="42">
        <f t="shared" si="0"/>
        <v>191141915.8466</v>
      </c>
      <c r="F37" s="43"/>
      <c r="G37" s="44"/>
      <c r="H37" s="44"/>
      <c r="I37" s="44"/>
      <c r="J37" s="44"/>
    </row>
    <row r="38" spans="1:10">
      <c r="A38" s="39">
        <v>33</v>
      </c>
      <c r="B38" s="40" t="s">
        <v>118</v>
      </c>
      <c r="C38" s="41">
        <v>69787479.761399999</v>
      </c>
      <c r="D38" s="41">
        <v>125542205.8513</v>
      </c>
      <c r="E38" s="42">
        <f t="shared" si="0"/>
        <v>195329685.61269999</v>
      </c>
      <c r="F38" s="43"/>
      <c r="G38" s="44"/>
      <c r="H38" s="44"/>
      <c r="I38" s="44"/>
      <c r="J38" s="44"/>
    </row>
    <row r="39" spans="1:10">
      <c r="A39" s="39">
        <v>34</v>
      </c>
      <c r="B39" s="40" t="s">
        <v>119</v>
      </c>
      <c r="C39" s="41">
        <v>60997173.096299998</v>
      </c>
      <c r="D39" s="41">
        <v>109729133.1822</v>
      </c>
      <c r="E39" s="42">
        <f t="shared" si="0"/>
        <v>170726306.27849999</v>
      </c>
      <c r="F39" s="43"/>
      <c r="G39" s="44"/>
      <c r="H39" s="44"/>
      <c r="I39" s="44"/>
      <c r="J39" s="44"/>
    </row>
    <row r="40" spans="1:10">
      <c r="A40" s="39">
        <v>35</v>
      </c>
      <c r="B40" s="40" t="s">
        <v>120</v>
      </c>
      <c r="C40" s="41">
        <v>62880255.286300004</v>
      </c>
      <c r="D40" s="41">
        <v>113116650.4382</v>
      </c>
      <c r="E40" s="42">
        <f t="shared" si="0"/>
        <v>175996905.7245</v>
      </c>
      <c r="F40" s="43"/>
      <c r="G40" s="44"/>
      <c r="H40" s="44"/>
      <c r="I40" s="44"/>
      <c r="J40" s="44"/>
    </row>
    <row r="41" spans="1:10">
      <c r="A41" s="39">
        <v>36</v>
      </c>
      <c r="B41" s="40" t="s">
        <v>121</v>
      </c>
      <c r="C41" s="41">
        <v>63014171.869400002</v>
      </c>
      <c r="D41" s="41">
        <v>113357555.8742</v>
      </c>
      <c r="E41" s="42">
        <f t="shared" si="0"/>
        <v>176371727.74360001</v>
      </c>
      <c r="F41" s="43"/>
      <c r="G41" s="44"/>
      <c r="H41" s="44"/>
      <c r="I41" s="44"/>
      <c r="J41" s="44"/>
    </row>
    <row r="42" spans="1:10">
      <c r="A42" s="205" t="s">
        <v>27</v>
      </c>
      <c r="B42" s="206"/>
      <c r="C42" s="45">
        <f>SUM(C6:C41)</f>
        <v>2401240006.0068998</v>
      </c>
      <c r="D42" s="45">
        <f t="shared" ref="D42:E42" si="1">SUM(D6:D41)</f>
        <v>4319642551.3992004</v>
      </c>
      <c r="E42" s="45">
        <f t="shared" si="1"/>
        <v>6720882557.4061003</v>
      </c>
      <c r="F42" s="46"/>
    </row>
    <row r="44" spans="1:10">
      <c r="E44" s="44"/>
    </row>
  </sheetData>
  <mergeCells count="4">
    <mergeCell ref="A1:E1"/>
    <mergeCell ref="A2:E2"/>
    <mergeCell ref="A3:E3"/>
    <mergeCell ref="A42:B4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80"/>
  <sheetViews>
    <sheetView zoomScale="106" zoomScaleNormal="106" workbookViewId="0">
      <selection activeCell="F4" sqref="F4"/>
    </sheetView>
  </sheetViews>
  <sheetFormatPr defaultColWidth="9.109375" defaultRowHeight="13.2"/>
  <cols>
    <col min="1" max="1" width="5.88671875" style="14" customWidth="1"/>
    <col min="2" max="2" width="16" style="14" customWidth="1"/>
    <col min="3" max="3" width="22.33203125" style="14" customWidth="1"/>
    <col min="4" max="4" width="22.6640625" style="14" customWidth="1"/>
    <col min="5" max="5" width="23.5546875" style="14" customWidth="1"/>
    <col min="6" max="6" width="24.88671875" style="14" customWidth="1"/>
    <col min="7" max="8" width="17.44140625" style="14" customWidth="1"/>
    <col min="9" max="10" width="14.44140625" style="14" customWidth="1"/>
    <col min="11" max="12" width="13.33203125" style="14" customWidth="1"/>
    <col min="13" max="14" width="15.33203125" style="14" customWidth="1"/>
    <col min="15" max="15" width="14.44140625" style="14" customWidth="1"/>
    <col min="16" max="16" width="14" style="14" customWidth="1"/>
    <col min="17" max="17" width="12.88671875" style="14" customWidth="1"/>
    <col min="18" max="16384" width="9.109375" style="14"/>
  </cols>
  <sheetData>
    <row r="1" spans="1:17" ht="17.399999999999999">
      <c r="A1" s="207" t="s">
        <v>17</v>
      </c>
      <c r="B1" s="207"/>
      <c r="C1" s="207"/>
      <c r="D1" s="207"/>
      <c r="E1" s="207"/>
      <c r="F1" s="207"/>
    </row>
    <row r="2" spans="1:17" ht="17.399999999999999">
      <c r="A2" s="207" t="s">
        <v>62</v>
      </c>
      <c r="B2" s="207"/>
      <c r="C2" s="207"/>
      <c r="D2" s="207"/>
      <c r="E2" s="207"/>
      <c r="F2" s="207"/>
    </row>
    <row r="3" spans="1:17" ht="38.4" customHeight="1">
      <c r="A3" s="208" t="s">
        <v>953</v>
      </c>
      <c r="B3" s="208"/>
      <c r="C3" s="208"/>
      <c r="D3" s="208"/>
      <c r="E3" s="208"/>
      <c r="F3" s="208"/>
    </row>
    <row r="4" spans="1:17" ht="52.2">
      <c r="A4" s="15" t="s">
        <v>954</v>
      </c>
      <c r="B4" s="15" t="s">
        <v>955</v>
      </c>
      <c r="C4" s="16" t="s">
        <v>956</v>
      </c>
      <c r="D4" s="17" t="s">
        <v>951</v>
      </c>
      <c r="E4" s="18" t="s">
        <v>952</v>
      </c>
      <c r="F4" s="19" t="s">
        <v>957</v>
      </c>
    </row>
    <row r="5" spans="1:17" ht="15.6">
      <c r="A5" s="20"/>
      <c r="B5" s="20"/>
      <c r="C5" s="21"/>
      <c r="D5" s="149" t="s">
        <v>28</v>
      </c>
      <c r="E5" s="149" t="s">
        <v>28</v>
      </c>
      <c r="F5" s="149" t="s">
        <v>28</v>
      </c>
      <c r="P5" s="27"/>
      <c r="Q5" s="27"/>
    </row>
    <row r="6" spans="1:17" ht="18">
      <c r="A6" s="22">
        <v>1</v>
      </c>
      <c r="B6" s="23" t="s">
        <v>86</v>
      </c>
      <c r="C6" s="23" t="s">
        <v>129</v>
      </c>
      <c r="D6" s="24">
        <v>2127809.86</v>
      </c>
      <c r="E6" s="24">
        <v>3827763.16</v>
      </c>
      <c r="F6" s="25">
        <f>D6+E6</f>
        <v>5955573.0199999996</v>
      </c>
      <c r="G6" s="26"/>
      <c r="H6" s="26"/>
      <c r="I6" s="28"/>
      <c r="J6" s="28"/>
      <c r="K6" s="28"/>
      <c r="L6" s="28"/>
      <c r="M6" s="26"/>
      <c r="N6" s="26"/>
      <c r="O6" s="28"/>
      <c r="P6" s="28"/>
      <c r="Q6" s="28"/>
    </row>
    <row r="7" spans="1:17" ht="18">
      <c r="A7" s="22">
        <v>2</v>
      </c>
      <c r="B7" s="23" t="s">
        <v>86</v>
      </c>
      <c r="C7" s="23" t="s">
        <v>131</v>
      </c>
      <c r="D7" s="24">
        <v>3549973.57</v>
      </c>
      <c r="E7" s="24">
        <v>6386124.1799999997</v>
      </c>
      <c r="F7" s="25">
        <f t="shared" ref="F7:F70" si="0">D7+E7</f>
        <v>9936097.75</v>
      </c>
      <c r="G7" s="26"/>
      <c r="H7" s="26"/>
      <c r="I7" s="28"/>
      <c r="J7" s="28"/>
      <c r="K7" s="28"/>
      <c r="L7" s="28"/>
      <c r="M7" s="26"/>
      <c r="N7" s="26"/>
      <c r="O7" s="28"/>
      <c r="P7" s="28"/>
      <c r="Q7" s="28"/>
    </row>
    <row r="8" spans="1:17" ht="18">
      <c r="A8" s="22">
        <v>3</v>
      </c>
      <c r="B8" s="23" t="s">
        <v>86</v>
      </c>
      <c r="C8" s="23" t="s">
        <v>133</v>
      </c>
      <c r="D8" s="24">
        <v>2497797.25</v>
      </c>
      <c r="E8" s="24">
        <v>4493341.47</v>
      </c>
      <c r="F8" s="25">
        <f t="shared" si="0"/>
        <v>6991138.7199999997</v>
      </c>
      <c r="G8" s="26"/>
      <c r="H8" s="26"/>
      <c r="I8" s="28"/>
      <c r="J8" s="28"/>
      <c r="K8" s="28"/>
      <c r="L8" s="28"/>
      <c r="M8" s="26"/>
      <c r="N8" s="26"/>
      <c r="O8" s="28"/>
      <c r="P8" s="28"/>
      <c r="Q8" s="28"/>
    </row>
    <row r="9" spans="1:17" ht="18">
      <c r="A9" s="22">
        <v>4</v>
      </c>
      <c r="B9" s="23" t="s">
        <v>86</v>
      </c>
      <c r="C9" s="23" t="s">
        <v>135</v>
      </c>
      <c r="D9" s="24">
        <v>2544984.88</v>
      </c>
      <c r="E9" s="24">
        <v>4578228.3099999996</v>
      </c>
      <c r="F9" s="25">
        <f t="shared" si="0"/>
        <v>7123213.1900000004</v>
      </c>
      <c r="G9" s="26"/>
      <c r="H9" s="26"/>
      <c r="I9" s="28"/>
      <c r="J9" s="28"/>
      <c r="K9" s="28"/>
      <c r="L9" s="28"/>
      <c r="M9" s="26"/>
      <c r="N9" s="26"/>
      <c r="O9" s="28"/>
      <c r="P9" s="28"/>
      <c r="Q9" s="28"/>
    </row>
    <row r="10" spans="1:17" ht="18">
      <c r="A10" s="22">
        <v>5</v>
      </c>
      <c r="B10" s="23" t="s">
        <v>86</v>
      </c>
      <c r="C10" s="23" t="s">
        <v>137</v>
      </c>
      <c r="D10" s="24">
        <v>2316434.6800000002</v>
      </c>
      <c r="E10" s="24">
        <v>4167084.41</v>
      </c>
      <c r="F10" s="25">
        <f t="shared" si="0"/>
        <v>6483519.0899999999</v>
      </c>
      <c r="G10" s="26"/>
      <c r="H10" s="26"/>
      <c r="I10" s="28"/>
      <c r="J10" s="28"/>
      <c r="K10" s="28"/>
      <c r="L10" s="28"/>
      <c r="M10" s="26"/>
      <c r="N10" s="26"/>
      <c r="O10" s="28"/>
      <c r="P10" s="28"/>
      <c r="Q10" s="28"/>
    </row>
    <row r="11" spans="1:17" ht="36">
      <c r="A11" s="22">
        <v>6</v>
      </c>
      <c r="B11" s="23" t="s">
        <v>86</v>
      </c>
      <c r="C11" s="23" t="s">
        <v>139</v>
      </c>
      <c r="D11" s="24">
        <v>2392278.27</v>
      </c>
      <c r="E11" s="24">
        <v>4303521.09</v>
      </c>
      <c r="F11" s="25">
        <f t="shared" si="0"/>
        <v>6695799.3600000003</v>
      </c>
      <c r="G11" s="26"/>
      <c r="H11" s="26"/>
      <c r="I11" s="28"/>
      <c r="J11" s="28"/>
      <c r="K11" s="28"/>
      <c r="L11" s="28"/>
      <c r="M11" s="26"/>
      <c r="N11" s="26"/>
      <c r="O11" s="28"/>
      <c r="P11" s="28"/>
      <c r="Q11" s="28"/>
    </row>
    <row r="12" spans="1:17" ht="36">
      <c r="A12" s="22">
        <v>7</v>
      </c>
      <c r="B12" s="23" t="s">
        <v>86</v>
      </c>
      <c r="C12" s="23" t="s">
        <v>140</v>
      </c>
      <c r="D12" s="24">
        <v>2321150.6800000002</v>
      </c>
      <c r="E12" s="24">
        <v>4175568.13</v>
      </c>
      <c r="F12" s="25">
        <f t="shared" si="0"/>
        <v>6496718.8099999996</v>
      </c>
      <c r="G12" s="26"/>
      <c r="H12" s="26"/>
      <c r="I12" s="28"/>
      <c r="J12" s="28"/>
      <c r="K12" s="28"/>
      <c r="L12" s="28"/>
      <c r="M12" s="26"/>
      <c r="N12" s="26"/>
      <c r="O12" s="28"/>
      <c r="P12" s="28"/>
      <c r="Q12" s="28"/>
    </row>
    <row r="13" spans="1:17" ht="18">
      <c r="A13" s="22">
        <v>8</v>
      </c>
      <c r="B13" s="23" t="s">
        <v>86</v>
      </c>
      <c r="C13" s="23" t="s">
        <v>142</v>
      </c>
      <c r="D13" s="24">
        <v>2263266.65</v>
      </c>
      <c r="E13" s="24">
        <v>4071439.3</v>
      </c>
      <c r="F13" s="25">
        <f t="shared" si="0"/>
        <v>6334705.9500000002</v>
      </c>
      <c r="G13" s="26"/>
      <c r="H13" s="26"/>
      <c r="I13" s="28"/>
      <c r="J13" s="28"/>
      <c r="K13" s="28"/>
      <c r="L13" s="28"/>
      <c r="M13" s="26"/>
      <c r="N13" s="26"/>
      <c r="O13" s="28"/>
      <c r="P13" s="28"/>
      <c r="Q13" s="28"/>
    </row>
    <row r="14" spans="1:17" ht="18">
      <c r="A14" s="22">
        <v>9</v>
      </c>
      <c r="B14" s="23" t="s">
        <v>86</v>
      </c>
      <c r="C14" s="23" t="s">
        <v>144</v>
      </c>
      <c r="D14" s="24">
        <v>2441742.42</v>
      </c>
      <c r="E14" s="24">
        <v>4392503.21</v>
      </c>
      <c r="F14" s="25">
        <f t="shared" si="0"/>
        <v>6834245.6299999999</v>
      </c>
      <c r="G14" s="26"/>
      <c r="H14" s="26"/>
      <c r="I14" s="28"/>
      <c r="J14" s="28"/>
      <c r="K14" s="28"/>
      <c r="L14" s="28"/>
      <c r="M14" s="26"/>
      <c r="N14" s="26"/>
      <c r="O14" s="28"/>
      <c r="P14" s="28"/>
      <c r="Q14" s="28"/>
    </row>
    <row r="15" spans="1:17" ht="18">
      <c r="A15" s="22">
        <v>10</v>
      </c>
      <c r="B15" s="23" t="s">
        <v>86</v>
      </c>
      <c r="C15" s="23" t="s">
        <v>146</v>
      </c>
      <c r="D15" s="24">
        <v>2477874.4900000002</v>
      </c>
      <c r="E15" s="24">
        <v>4457501.97</v>
      </c>
      <c r="F15" s="25">
        <f t="shared" si="0"/>
        <v>6935376.46</v>
      </c>
      <c r="G15" s="26"/>
      <c r="H15" s="26"/>
      <c r="I15" s="28"/>
      <c r="J15" s="28"/>
      <c r="K15" s="28"/>
      <c r="L15" s="28"/>
      <c r="M15" s="26"/>
      <c r="N15" s="26"/>
      <c r="O15" s="28"/>
      <c r="P15" s="28"/>
      <c r="Q15" s="28"/>
    </row>
    <row r="16" spans="1:17" ht="18">
      <c r="A16" s="22">
        <v>11</v>
      </c>
      <c r="B16" s="23" t="s">
        <v>86</v>
      </c>
      <c r="C16" s="23" t="s">
        <v>148</v>
      </c>
      <c r="D16" s="24">
        <v>2709753.95</v>
      </c>
      <c r="E16" s="24">
        <v>4874634.96</v>
      </c>
      <c r="F16" s="25">
        <f t="shared" si="0"/>
        <v>7584388.9100000001</v>
      </c>
      <c r="G16" s="26"/>
      <c r="H16" s="26"/>
      <c r="I16" s="28"/>
      <c r="J16" s="28"/>
      <c r="K16" s="28"/>
      <c r="L16" s="28"/>
      <c r="M16" s="26"/>
      <c r="N16" s="26"/>
      <c r="O16" s="28"/>
      <c r="P16" s="28"/>
      <c r="Q16" s="28"/>
    </row>
    <row r="17" spans="1:17" ht="18">
      <c r="A17" s="22">
        <v>12</v>
      </c>
      <c r="B17" s="23" t="s">
        <v>86</v>
      </c>
      <c r="C17" s="23" t="s">
        <v>150</v>
      </c>
      <c r="D17" s="24">
        <v>2609011.35</v>
      </c>
      <c r="E17" s="24">
        <v>4693406.91</v>
      </c>
      <c r="F17" s="25">
        <f t="shared" si="0"/>
        <v>7302418.2599999998</v>
      </c>
      <c r="G17" s="26"/>
      <c r="H17" s="26"/>
      <c r="I17" s="28"/>
      <c r="J17" s="28"/>
      <c r="K17" s="28"/>
      <c r="L17" s="28"/>
      <c r="M17" s="26"/>
      <c r="N17" s="26"/>
      <c r="O17" s="28"/>
      <c r="P17" s="28"/>
      <c r="Q17" s="28"/>
    </row>
    <row r="18" spans="1:17" ht="18">
      <c r="A18" s="22">
        <v>13</v>
      </c>
      <c r="B18" s="23" t="s">
        <v>86</v>
      </c>
      <c r="C18" s="23" t="s">
        <v>152</v>
      </c>
      <c r="D18" s="24">
        <v>1992298.61</v>
      </c>
      <c r="E18" s="24">
        <v>3583989.04</v>
      </c>
      <c r="F18" s="25">
        <f t="shared" si="0"/>
        <v>5576287.6500000004</v>
      </c>
      <c r="G18" s="26"/>
      <c r="H18" s="26"/>
      <c r="I18" s="28"/>
      <c r="J18" s="28"/>
      <c r="K18" s="28"/>
      <c r="L18" s="28"/>
      <c r="M18" s="26"/>
      <c r="N18" s="26"/>
      <c r="O18" s="28"/>
      <c r="P18" s="28"/>
      <c r="Q18" s="28"/>
    </row>
    <row r="19" spans="1:17" ht="18">
      <c r="A19" s="22">
        <v>14</v>
      </c>
      <c r="B19" s="23" t="s">
        <v>86</v>
      </c>
      <c r="C19" s="23" t="s">
        <v>154</v>
      </c>
      <c r="D19" s="24">
        <v>1882450.06</v>
      </c>
      <c r="E19" s="24">
        <v>3386380.11</v>
      </c>
      <c r="F19" s="25">
        <f t="shared" si="0"/>
        <v>5268830.17</v>
      </c>
      <c r="G19" s="26"/>
      <c r="H19" s="26"/>
      <c r="I19" s="28"/>
      <c r="J19" s="28"/>
      <c r="K19" s="28"/>
      <c r="L19" s="28"/>
      <c r="M19" s="26"/>
      <c r="N19" s="26"/>
      <c r="O19" s="28"/>
      <c r="P19" s="28"/>
      <c r="Q19" s="28"/>
    </row>
    <row r="20" spans="1:17" ht="18">
      <c r="A20" s="22">
        <v>15</v>
      </c>
      <c r="B20" s="23" t="s">
        <v>86</v>
      </c>
      <c r="C20" s="23" t="s">
        <v>156</v>
      </c>
      <c r="D20" s="24">
        <v>1960181.91</v>
      </c>
      <c r="E20" s="24">
        <v>3526213.61</v>
      </c>
      <c r="F20" s="25">
        <f t="shared" si="0"/>
        <v>5486395.5199999996</v>
      </c>
      <c r="G20" s="26"/>
      <c r="H20" s="26"/>
      <c r="I20" s="28"/>
      <c r="J20" s="28"/>
      <c r="K20" s="28"/>
      <c r="L20" s="28"/>
      <c r="M20" s="26"/>
      <c r="N20" s="26"/>
      <c r="O20" s="28"/>
      <c r="P20" s="28"/>
      <c r="Q20" s="28"/>
    </row>
    <row r="21" spans="1:17" ht="18">
      <c r="A21" s="22">
        <v>16</v>
      </c>
      <c r="B21" s="23" t="s">
        <v>86</v>
      </c>
      <c r="C21" s="23" t="s">
        <v>158</v>
      </c>
      <c r="D21" s="24">
        <v>2921999.12</v>
      </c>
      <c r="E21" s="24">
        <v>5256447.37</v>
      </c>
      <c r="F21" s="25">
        <f t="shared" si="0"/>
        <v>8178446.4900000002</v>
      </c>
      <c r="G21" s="26"/>
      <c r="H21" s="26"/>
      <c r="I21" s="28"/>
      <c r="J21" s="28"/>
      <c r="K21" s="28"/>
      <c r="L21" s="28"/>
      <c r="M21" s="26"/>
      <c r="N21" s="26"/>
      <c r="O21" s="28"/>
      <c r="P21" s="28"/>
      <c r="Q21" s="28"/>
    </row>
    <row r="22" spans="1:17" ht="18">
      <c r="A22" s="22">
        <v>17</v>
      </c>
      <c r="B22" s="23" t="s">
        <v>86</v>
      </c>
      <c r="C22" s="23" t="s">
        <v>160</v>
      </c>
      <c r="D22" s="24">
        <v>2524778.65</v>
      </c>
      <c r="E22" s="24">
        <v>4541878.88</v>
      </c>
      <c r="F22" s="25">
        <f t="shared" si="0"/>
        <v>7066657.5300000003</v>
      </c>
      <c r="G22" s="26"/>
      <c r="H22" s="26"/>
      <c r="I22" s="28"/>
      <c r="J22" s="28"/>
      <c r="K22" s="28"/>
      <c r="L22" s="28"/>
      <c r="M22" s="26"/>
      <c r="N22" s="26"/>
      <c r="O22" s="28"/>
      <c r="P22" s="28"/>
      <c r="Q22" s="28"/>
    </row>
    <row r="23" spans="1:17" ht="18">
      <c r="A23" s="22">
        <v>18</v>
      </c>
      <c r="B23" s="23" t="s">
        <v>87</v>
      </c>
      <c r="C23" s="23" t="s">
        <v>165</v>
      </c>
      <c r="D23" s="24">
        <v>2589242.89</v>
      </c>
      <c r="E23" s="24">
        <v>4657845</v>
      </c>
      <c r="F23" s="25">
        <f t="shared" si="0"/>
        <v>7247087.8899999997</v>
      </c>
      <c r="G23" s="26"/>
      <c r="H23" s="26"/>
      <c r="I23" s="28"/>
      <c r="J23" s="28"/>
      <c r="K23" s="28"/>
      <c r="L23" s="28"/>
      <c r="M23" s="26"/>
      <c r="N23" s="26"/>
      <c r="O23" s="28"/>
      <c r="P23" s="28"/>
      <c r="Q23" s="28"/>
    </row>
    <row r="24" spans="1:17" ht="18">
      <c r="A24" s="22">
        <v>19</v>
      </c>
      <c r="B24" s="23" t="s">
        <v>87</v>
      </c>
      <c r="C24" s="23" t="s">
        <v>167</v>
      </c>
      <c r="D24" s="24">
        <v>3163141.81</v>
      </c>
      <c r="E24" s="24">
        <v>5690244.1799999997</v>
      </c>
      <c r="F24" s="25">
        <f t="shared" si="0"/>
        <v>8853385.9900000002</v>
      </c>
      <c r="G24" s="26"/>
      <c r="H24" s="26"/>
      <c r="I24" s="28"/>
      <c r="J24" s="28"/>
      <c r="K24" s="28"/>
      <c r="L24" s="28"/>
      <c r="M24" s="26"/>
      <c r="N24" s="26"/>
      <c r="O24" s="28"/>
      <c r="P24" s="28"/>
      <c r="Q24" s="28"/>
    </row>
    <row r="25" spans="1:17" ht="18">
      <c r="A25" s="22">
        <v>20</v>
      </c>
      <c r="B25" s="23" t="s">
        <v>87</v>
      </c>
      <c r="C25" s="23" t="s">
        <v>169</v>
      </c>
      <c r="D25" s="24">
        <v>2693416.16</v>
      </c>
      <c r="E25" s="24">
        <v>4845244.55</v>
      </c>
      <c r="F25" s="25">
        <f t="shared" si="0"/>
        <v>7538660.71</v>
      </c>
      <c r="G25" s="26"/>
      <c r="H25" s="26"/>
      <c r="I25" s="28"/>
      <c r="J25" s="28"/>
      <c r="K25" s="28"/>
      <c r="L25" s="28"/>
      <c r="M25" s="26"/>
      <c r="N25" s="26"/>
      <c r="O25" s="28"/>
      <c r="P25" s="28"/>
      <c r="Q25" s="28"/>
    </row>
    <row r="26" spans="1:17" ht="18">
      <c r="A26" s="22">
        <v>21</v>
      </c>
      <c r="B26" s="23" t="s">
        <v>87</v>
      </c>
      <c r="C26" s="23" t="s">
        <v>171</v>
      </c>
      <c r="D26" s="24">
        <v>2358124.66</v>
      </c>
      <c r="E26" s="24">
        <v>4242081.42</v>
      </c>
      <c r="F26" s="25">
        <f t="shared" si="0"/>
        <v>6600206.0800000001</v>
      </c>
      <c r="G26" s="26"/>
      <c r="H26" s="26"/>
      <c r="I26" s="28"/>
      <c r="J26" s="28"/>
      <c r="K26" s="28"/>
      <c r="L26" s="28"/>
      <c r="M26" s="26"/>
      <c r="N26" s="26"/>
      <c r="O26" s="28"/>
      <c r="P26" s="28"/>
      <c r="Q26" s="28"/>
    </row>
    <row r="27" spans="1:17" ht="18">
      <c r="A27" s="22">
        <v>22</v>
      </c>
      <c r="B27" s="23" t="s">
        <v>87</v>
      </c>
      <c r="C27" s="23" t="s">
        <v>173</v>
      </c>
      <c r="D27" s="24">
        <v>2333448.85</v>
      </c>
      <c r="E27" s="24">
        <v>4197691.57</v>
      </c>
      <c r="F27" s="25">
        <f t="shared" si="0"/>
        <v>6531140.4199999999</v>
      </c>
      <c r="G27" s="26"/>
      <c r="H27" s="26"/>
      <c r="I27" s="28"/>
      <c r="J27" s="28"/>
      <c r="K27" s="28"/>
      <c r="L27" s="28"/>
      <c r="M27" s="26"/>
      <c r="N27" s="26"/>
      <c r="O27" s="28"/>
      <c r="P27" s="28"/>
      <c r="Q27" s="28"/>
    </row>
    <row r="28" spans="1:17" ht="18">
      <c r="A28" s="22">
        <v>23</v>
      </c>
      <c r="B28" s="23" t="s">
        <v>87</v>
      </c>
      <c r="C28" s="23" t="s">
        <v>175</v>
      </c>
      <c r="D28" s="24">
        <v>2494793.0699999998</v>
      </c>
      <c r="E28" s="24">
        <v>4487937.18</v>
      </c>
      <c r="F28" s="25">
        <f t="shared" si="0"/>
        <v>6982730.25</v>
      </c>
      <c r="G28" s="26"/>
      <c r="H28" s="26"/>
      <c r="I28" s="28"/>
      <c r="J28" s="28"/>
      <c r="K28" s="28"/>
      <c r="L28" s="28"/>
      <c r="M28" s="26"/>
      <c r="N28" s="26"/>
      <c r="O28" s="28"/>
      <c r="P28" s="28"/>
      <c r="Q28" s="28"/>
    </row>
    <row r="29" spans="1:17" ht="18">
      <c r="A29" s="22">
        <v>24</v>
      </c>
      <c r="B29" s="23" t="s">
        <v>87</v>
      </c>
      <c r="C29" s="23" t="s">
        <v>177</v>
      </c>
      <c r="D29" s="24">
        <v>2717427.81</v>
      </c>
      <c r="E29" s="24">
        <v>4888439.62</v>
      </c>
      <c r="F29" s="25">
        <f t="shared" si="0"/>
        <v>7605867.4299999997</v>
      </c>
      <c r="G29" s="26"/>
      <c r="H29" s="26"/>
      <c r="I29" s="28"/>
      <c r="J29" s="28"/>
      <c r="K29" s="28"/>
      <c r="L29" s="28"/>
      <c r="M29" s="26"/>
      <c r="N29" s="26"/>
      <c r="O29" s="28"/>
      <c r="P29" s="28"/>
      <c r="Q29" s="28"/>
    </row>
    <row r="30" spans="1:17" ht="18">
      <c r="A30" s="22">
        <v>25</v>
      </c>
      <c r="B30" s="23" t="s">
        <v>87</v>
      </c>
      <c r="C30" s="23" t="s">
        <v>179</v>
      </c>
      <c r="D30" s="24">
        <v>2842656.17</v>
      </c>
      <c r="E30" s="24">
        <v>5113715.6399999997</v>
      </c>
      <c r="F30" s="25">
        <f t="shared" si="0"/>
        <v>7956371.8099999996</v>
      </c>
      <c r="G30" s="26"/>
      <c r="H30" s="26"/>
      <c r="I30" s="28"/>
      <c r="J30" s="28"/>
      <c r="K30" s="28"/>
      <c r="L30" s="28"/>
      <c r="M30" s="26"/>
      <c r="N30" s="26"/>
      <c r="O30" s="28"/>
      <c r="P30" s="28"/>
      <c r="Q30" s="28"/>
    </row>
    <row r="31" spans="1:17" ht="18">
      <c r="A31" s="22">
        <v>26</v>
      </c>
      <c r="B31" s="23" t="s">
        <v>87</v>
      </c>
      <c r="C31" s="23" t="s">
        <v>181</v>
      </c>
      <c r="D31" s="24">
        <v>2471548.11</v>
      </c>
      <c r="E31" s="24">
        <v>4446121.32</v>
      </c>
      <c r="F31" s="25">
        <f t="shared" si="0"/>
        <v>6917669.4299999997</v>
      </c>
      <c r="G31" s="26"/>
      <c r="H31" s="26"/>
      <c r="I31" s="28"/>
      <c r="J31" s="28"/>
      <c r="K31" s="28"/>
      <c r="L31" s="28"/>
      <c r="M31" s="26"/>
      <c r="N31" s="26"/>
      <c r="O31" s="28"/>
      <c r="P31" s="28"/>
      <c r="Q31" s="28"/>
    </row>
    <row r="32" spans="1:17" ht="18">
      <c r="A32" s="22">
        <v>27</v>
      </c>
      <c r="B32" s="23" t="s">
        <v>87</v>
      </c>
      <c r="C32" s="23" t="s">
        <v>183</v>
      </c>
      <c r="D32" s="24">
        <v>2212946.2999999998</v>
      </c>
      <c r="E32" s="24">
        <v>3980916.93</v>
      </c>
      <c r="F32" s="25">
        <f t="shared" si="0"/>
        <v>6193863.2300000004</v>
      </c>
      <c r="G32" s="26"/>
      <c r="H32" s="26"/>
      <c r="I32" s="28"/>
      <c r="J32" s="28"/>
      <c r="K32" s="28"/>
      <c r="L32" s="28"/>
      <c r="M32" s="26"/>
      <c r="N32" s="26"/>
      <c r="O32" s="28"/>
      <c r="P32" s="28"/>
      <c r="Q32" s="28"/>
    </row>
    <row r="33" spans="1:17" ht="18">
      <c r="A33" s="22">
        <v>28</v>
      </c>
      <c r="B33" s="23" t="s">
        <v>87</v>
      </c>
      <c r="C33" s="23" t="s">
        <v>185</v>
      </c>
      <c r="D33" s="24">
        <v>2248848.25</v>
      </c>
      <c r="E33" s="24">
        <v>4045501.73</v>
      </c>
      <c r="F33" s="25">
        <f t="shared" si="0"/>
        <v>6294349.9800000004</v>
      </c>
      <c r="G33" s="26"/>
      <c r="H33" s="26"/>
      <c r="I33" s="28"/>
      <c r="J33" s="28"/>
      <c r="K33" s="28"/>
      <c r="L33" s="28"/>
      <c r="M33" s="26"/>
      <c r="N33" s="26"/>
      <c r="O33" s="28"/>
      <c r="P33" s="28"/>
      <c r="Q33" s="28"/>
    </row>
    <row r="34" spans="1:17" ht="18">
      <c r="A34" s="22">
        <v>29</v>
      </c>
      <c r="B34" s="23" t="s">
        <v>87</v>
      </c>
      <c r="C34" s="23" t="s">
        <v>187</v>
      </c>
      <c r="D34" s="24">
        <v>2201767.21</v>
      </c>
      <c r="E34" s="24">
        <v>3960806.63</v>
      </c>
      <c r="F34" s="25">
        <f t="shared" si="0"/>
        <v>6162573.8399999999</v>
      </c>
      <c r="G34" s="26"/>
      <c r="H34" s="26"/>
      <c r="I34" s="28"/>
      <c r="J34" s="28"/>
      <c r="K34" s="28"/>
      <c r="L34" s="28"/>
      <c r="M34" s="26"/>
      <c r="N34" s="26"/>
      <c r="O34" s="28"/>
      <c r="P34" s="28"/>
      <c r="Q34" s="28"/>
    </row>
    <row r="35" spans="1:17" ht="18">
      <c r="A35" s="22">
        <v>30</v>
      </c>
      <c r="B35" s="23" t="s">
        <v>87</v>
      </c>
      <c r="C35" s="23" t="s">
        <v>189</v>
      </c>
      <c r="D35" s="24">
        <v>2552996.42</v>
      </c>
      <c r="E35" s="24">
        <v>4592640.4400000004</v>
      </c>
      <c r="F35" s="25">
        <f t="shared" si="0"/>
        <v>7145636.8600000003</v>
      </c>
      <c r="G35" s="26"/>
      <c r="H35" s="26"/>
      <c r="I35" s="28"/>
      <c r="J35" s="28"/>
      <c r="K35" s="28"/>
      <c r="L35" s="28"/>
      <c r="M35" s="26"/>
      <c r="N35" s="26"/>
      <c r="O35" s="28"/>
      <c r="P35" s="28"/>
      <c r="Q35" s="28"/>
    </row>
    <row r="36" spans="1:17" ht="18">
      <c r="A36" s="22">
        <v>31</v>
      </c>
      <c r="B36" s="23" t="s">
        <v>87</v>
      </c>
      <c r="C36" s="23" t="s">
        <v>191</v>
      </c>
      <c r="D36" s="24">
        <v>2474978.83</v>
      </c>
      <c r="E36" s="24">
        <v>4452292.92</v>
      </c>
      <c r="F36" s="25">
        <f t="shared" si="0"/>
        <v>6927271.75</v>
      </c>
      <c r="G36" s="26"/>
      <c r="H36" s="26"/>
      <c r="I36" s="28"/>
      <c r="J36" s="28"/>
      <c r="K36" s="28"/>
      <c r="L36" s="28"/>
      <c r="M36" s="26"/>
      <c r="N36" s="26"/>
      <c r="O36" s="28"/>
      <c r="P36" s="28"/>
      <c r="Q36" s="28"/>
    </row>
    <row r="37" spans="1:17" ht="18">
      <c r="A37" s="22">
        <v>32</v>
      </c>
      <c r="B37" s="23" t="s">
        <v>87</v>
      </c>
      <c r="C37" s="23" t="s">
        <v>193</v>
      </c>
      <c r="D37" s="24">
        <v>2361725.31</v>
      </c>
      <c r="E37" s="24">
        <v>4248558.71</v>
      </c>
      <c r="F37" s="25">
        <f t="shared" si="0"/>
        <v>6610284.0199999996</v>
      </c>
      <c r="G37" s="26"/>
      <c r="H37" s="26"/>
      <c r="I37" s="28"/>
      <c r="J37" s="28"/>
      <c r="K37" s="28"/>
      <c r="L37" s="28"/>
      <c r="M37" s="26"/>
      <c r="N37" s="26"/>
      <c r="O37" s="28"/>
      <c r="P37" s="28"/>
      <c r="Q37" s="28"/>
    </row>
    <row r="38" spans="1:17" ht="18">
      <c r="A38" s="22">
        <v>33</v>
      </c>
      <c r="B38" s="23" t="s">
        <v>87</v>
      </c>
      <c r="C38" s="23" t="s">
        <v>195</v>
      </c>
      <c r="D38" s="24">
        <v>2200242.29</v>
      </c>
      <c r="E38" s="24">
        <v>3958063.41</v>
      </c>
      <c r="F38" s="25">
        <f t="shared" si="0"/>
        <v>6158305.7000000002</v>
      </c>
      <c r="G38" s="26"/>
      <c r="H38" s="26"/>
      <c r="I38" s="28"/>
      <c r="J38" s="28"/>
      <c r="K38" s="28"/>
      <c r="L38" s="28"/>
      <c r="M38" s="26"/>
      <c r="N38" s="26"/>
      <c r="O38" s="28"/>
      <c r="P38" s="28"/>
      <c r="Q38" s="28"/>
    </row>
    <row r="39" spans="1:17" ht="18">
      <c r="A39" s="22">
        <v>34</v>
      </c>
      <c r="B39" s="23" t="s">
        <v>87</v>
      </c>
      <c r="C39" s="23" t="s">
        <v>197</v>
      </c>
      <c r="D39" s="24">
        <v>2091015.69</v>
      </c>
      <c r="E39" s="24">
        <v>3761573.32</v>
      </c>
      <c r="F39" s="25">
        <f t="shared" si="0"/>
        <v>5852589.0099999998</v>
      </c>
      <c r="G39" s="26"/>
      <c r="H39" s="26"/>
      <c r="I39" s="28"/>
      <c r="J39" s="28"/>
      <c r="K39" s="28"/>
      <c r="L39" s="28"/>
      <c r="M39" s="26"/>
      <c r="N39" s="26"/>
      <c r="O39" s="28"/>
      <c r="P39" s="28"/>
      <c r="Q39" s="28"/>
    </row>
    <row r="40" spans="1:17" ht="18">
      <c r="A40" s="22">
        <v>35</v>
      </c>
      <c r="B40" s="23" t="s">
        <v>87</v>
      </c>
      <c r="C40" s="23" t="s">
        <v>199</v>
      </c>
      <c r="D40" s="24">
        <v>2368776.54</v>
      </c>
      <c r="E40" s="24">
        <v>4261243.32</v>
      </c>
      <c r="F40" s="25">
        <f t="shared" si="0"/>
        <v>6630019.8600000003</v>
      </c>
      <c r="G40" s="26"/>
      <c r="H40" s="26"/>
      <c r="I40" s="28"/>
      <c r="J40" s="28"/>
      <c r="K40" s="28"/>
      <c r="L40" s="28"/>
      <c r="M40" s="26"/>
      <c r="N40" s="26"/>
      <c r="O40" s="28"/>
      <c r="P40" s="28"/>
      <c r="Q40" s="28"/>
    </row>
    <row r="41" spans="1:17" ht="18">
      <c r="A41" s="22">
        <v>36</v>
      </c>
      <c r="B41" s="23" t="s">
        <v>87</v>
      </c>
      <c r="C41" s="23" t="s">
        <v>201</v>
      </c>
      <c r="D41" s="24">
        <v>2981621.45</v>
      </c>
      <c r="E41" s="24">
        <v>5363703.2699999996</v>
      </c>
      <c r="F41" s="25">
        <f t="shared" si="0"/>
        <v>8345324.7199999997</v>
      </c>
      <c r="G41" s="26"/>
      <c r="H41" s="26"/>
      <c r="I41" s="28"/>
      <c r="J41" s="28"/>
      <c r="K41" s="28"/>
      <c r="L41" s="28"/>
      <c r="M41" s="26"/>
      <c r="N41" s="26"/>
      <c r="O41" s="28"/>
      <c r="P41" s="28"/>
      <c r="Q41" s="28"/>
    </row>
    <row r="42" spans="1:17" ht="18">
      <c r="A42" s="22">
        <v>37</v>
      </c>
      <c r="B42" s="23" t="s">
        <v>87</v>
      </c>
      <c r="C42" s="23" t="s">
        <v>203</v>
      </c>
      <c r="D42" s="24">
        <v>2554596.2000000002</v>
      </c>
      <c r="E42" s="24">
        <v>4595518.32</v>
      </c>
      <c r="F42" s="25">
        <f t="shared" si="0"/>
        <v>7150114.5199999996</v>
      </c>
      <c r="G42" s="26"/>
      <c r="H42" s="26"/>
      <c r="I42" s="28"/>
      <c r="J42" s="28"/>
      <c r="K42" s="28"/>
      <c r="L42" s="28"/>
      <c r="M42" s="26"/>
      <c r="N42" s="26"/>
      <c r="O42" s="28"/>
      <c r="P42" s="28"/>
      <c r="Q42" s="28"/>
    </row>
    <row r="43" spans="1:17" ht="18">
      <c r="A43" s="22">
        <v>38</v>
      </c>
      <c r="B43" s="23" t="s">
        <v>87</v>
      </c>
      <c r="C43" s="23" t="s">
        <v>205</v>
      </c>
      <c r="D43" s="24">
        <v>2475596.4500000002</v>
      </c>
      <c r="E43" s="24">
        <v>4453403.96</v>
      </c>
      <c r="F43" s="25">
        <f t="shared" si="0"/>
        <v>6929000.4100000001</v>
      </c>
      <c r="G43" s="26"/>
      <c r="H43" s="26"/>
      <c r="I43" s="28"/>
      <c r="J43" s="28"/>
      <c r="K43" s="28"/>
      <c r="L43" s="28"/>
      <c r="M43" s="26"/>
      <c r="N43" s="26"/>
      <c r="O43" s="28"/>
      <c r="P43" s="28"/>
      <c r="Q43" s="28"/>
    </row>
    <row r="44" spans="1:17" ht="18">
      <c r="A44" s="22">
        <v>39</v>
      </c>
      <c r="B44" s="23" t="s">
        <v>88</v>
      </c>
      <c r="C44" s="23" t="s">
        <v>210</v>
      </c>
      <c r="D44" s="24">
        <v>2377157.83</v>
      </c>
      <c r="E44" s="24">
        <v>4276320.5999999996</v>
      </c>
      <c r="F44" s="25">
        <f t="shared" si="0"/>
        <v>6653478.4299999997</v>
      </c>
      <c r="G44" s="26"/>
      <c r="H44" s="26"/>
      <c r="I44" s="28"/>
      <c r="J44" s="28"/>
      <c r="K44" s="28"/>
      <c r="L44" s="28"/>
      <c r="M44" s="26"/>
      <c r="N44" s="26"/>
      <c r="O44" s="28"/>
      <c r="P44" s="28"/>
      <c r="Q44" s="28"/>
    </row>
    <row r="45" spans="1:17" ht="18">
      <c r="A45" s="22">
        <v>40</v>
      </c>
      <c r="B45" s="23" t="s">
        <v>88</v>
      </c>
      <c r="C45" s="23" t="s">
        <v>211</v>
      </c>
      <c r="D45" s="24">
        <v>1856081.22</v>
      </c>
      <c r="E45" s="24">
        <v>3338944.62</v>
      </c>
      <c r="F45" s="25">
        <f t="shared" si="0"/>
        <v>5195025.84</v>
      </c>
      <c r="G45" s="26"/>
      <c r="H45" s="26"/>
      <c r="I45" s="28"/>
      <c r="J45" s="28"/>
      <c r="K45" s="28"/>
      <c r="L45" s="28"/>
      <c r="M45" s="26"/>
      <c r="N45" s="26"/>
      <c r="O45" s="28"/>
      <c r="P45" s="28"/>
      <c r="Q45" s="28"/>
    </row>
    <row r="46" spans="1:17" ht="18">
      <c r="A46" s="22">
        <v>41</v>
      </c>
      <c r="B46" s="23" t="s">
        <v>88</v>
      </c>
      <c r="C46" s="23" t="s">
        <v>213</v>
      </c>
      <c r="D46" s="24">
        <v>2450553.0299999998</v>
      </c>
      <c r="E46" s="24">
        <v>4408352.8099999996</v>
      </c>
      <c r="F46" s="25">
        <f t="shared" si="0"/>
        <v>6858905.8399999999</v>
      </c>
      <c r="G46" s="26"/>
      <c r="H46" s="26"/>
      <c r="I46" s="28"/>
      <c r="J46" s="28"/>
      <c r="K46" s="28"/>
      <c r="L46" s="28"/>
      <c r="M46" s="26"/>
      <c r="N46" s="26"/>
      <c r="O46" s="28"/>
      <c r="P46" s="28"/>
      <c r="Q46" s="28"/>
    </row>
    <row r="47" spans="1:17" ht="18">
      <c r="A47" s="22">
        <v>42</v>
      </c>
      <c r="B47" s="23" t="s">
        <v>88</v>
      </c>
      <c r="C47" s="23" t="s">
        <v>215</v>
      </c>
      <c r="D47" s="24">
        <v>1878627.24</v>
      </c>
      <c r="E47" s="24">
        <v>3379503.15</v>
      </c>
      <c r="F47" s="25">
        <f t="shared" si="0"/>
        <v>5258130.3899999997</v>
      </c>
      <c r="G47" s="26"/>
      <c r="H47" s="26"/>
      <c r="I47" s="28"/>
      <c r="J47" s="28"/>
      <c r="K47" s="28"/>
      <c r="L47" s="28"/>
      <c r="M47" s="26"/>
      <c r="N47" s="26"/>
      <c r="O47" s="28"/>
      <c r="P47" s="28"/>
      <c r="Q47" s="28"/>
    </row>
    <row r="48" spans="1:17" ht="18">
      <c r="A48" s="22">
        <v>43</v>
      </c>
      <c r="B48" s="23" t="s">
        <v>88</v>
      </c>
      <c r="C48" s="23" t="s">
        <v>217</v>
      </c>
      <c r="D48" s="24">
        <v>2524566.5299999998</v>
      </c>
      <c r="E48" s="24">
        <v>4541497.3</v>
      </c>
      <c r="F48" s="25">
        <f t="shared" si="0"/>
        <v>7066063.8300000001</v>
      </c>
      <c r="G48" s="26"/>
      <c r="H48" s="26"/>
      <c r="I48" s="28"/>
      <c r="J48" s="28"/>
      <c r="K48" s="28"/>
      <c r="L48" s="28"/>
      <c r="M48" s="26"/>
      <c r="N48" s="26"/>
      <c r="O48" s="28"/>
      <c r="P48" s="28"/>
      <c r="Q48" s="28"/>
    </row>
    <row r="49" spans="1:17" ht="18">
      <c r="A49" s="22">
        <v>44</v>
      </c>
      <c r="B49" s="23" t="s">
        <v>88</v>
      </c>
      <c r="C49" s="23" t="s">
        <v>219</v>
      </c>
      <c r="D49" s="24">
        <v>2200444.11</v>
      </c>
      <c r="E49" s="24">
        <v>3958426.48</v>
      </c>
      <c r="F49" s="25">
        <f t="shared" si="0"/>
        <v>6158870.5899999999</v>
      </c>
      <c r="G49" s="26"/>
      <c r="H49" s="26"/>
      <c r="I49" s="28"/>
      <c r="J49" s="28"/>
      <c r="K49" s="28"/>
      <c r="L49" s="28"/>
      <c r="M49" s="26"/>
      <c r="N49" s="26"/>
      <c r="O49" s="28"/>
      <c r="P49" s="28"/>
      <c r="Q49" s="28"/>
    </row>
    <row r="50" spans="1:17" ht="18">
      <c r="A50" s="22">
        <v>45</v>
      </c>
      <c r="B50" s="23" t="s">
        <v>88</v>
      </c>
      <c r="C50" s="23" t="s">
        <v>221</v>
      </c>
      <c r="D50" s="24">
        <v>2495686.86</v>
      </c>
      <c r="E50" s="24">
        <v>4489545.05</v>
      </c>
      <c r="F50" s="25">
        <f t="shared" si="0"/>
        <v>6985231.9100000001</v>
      </c>
      <c r="G50" s="26"/>
      <c r="H50" s="26"/>
      <c r="I50" s="28"/>
      <c r="J50" s="28"/>
      <c r="K50" s="28"/>
      <c r="L50" s="28"/>
      <c r="M50" s="26"/>
      <c r="N50" s="26"/>
      <c r="O50" s="28"/>
      <c r="P50" s="28"/>
      <c r="Q50" s="28"/>
    </row>
    <row r="51" spans="1:17" ht="18">
      <c r="A51" s="22">
        <v>46</v>
      </c>
      <c r="B51" s="23" t="s">
        <v>88</v>
      </c>
      <c r="C51" s="23" t="s">
        <v>223</v>
      </c>
      <c r="D51" s="24">
        <v>1999666.75</v>
      </c>
      <c r="E51" s="24">
        <v>3597243.74</v>
      </c>
      <c r="F51" s="25">
        <f t="shared" si="0"/>
        <v>5596910.4900000002</v>
      </c>
      <c r="G51" s="26"/>
      <c r="H51" s="26"/>
      <c r="I51" s="28"/>
      <c r="J51" s="28"/>
      <c r="K51" s="28"/>
      <c r="L51" s="28"/>
      <c r="M51" s="26"/>
      <c r="N51" s="26"/>
      <c r="O51" s="28"/>
      <c r="P51" s="28"/>
      <c r="Q51" s="28"/>
    </row>
    <row r="52" spans="1:17" ht="36">
      <c r="A52" s="22">
        <v>47</v>
      </c>
      <c r="B52" s="23" t="s">
        <v>88</v>
      </c>
      <c r="C52" s="23" t="s">
        <v>225</v>
      </c>
      <c r="D52" s="24">
        <v>2320682.4500000002</v>
      </c>
      <c r="E52" s="24">
        <v>4174725.83</v>
      </c>
      <c r="F52" s="25">
        <f t="shared" si="0"/>
        <v>6495408.2800000003</v>
      </c>
      <c r="G52" s="26"/>
      <c r="H52" s="26"/>
      <c r="I52" s="28"/>
      <c r="J52" s="28"/>
      <c r="K52" s="28"/>
      <c r="L52" s="28"/>
      <c r="M52" s="26"/>
      <c r="N52" s="26"/>
      <c r="O52" s="28"/>
      <c r="P52" s="28"/>
      <c r="Q52" s="28"/>
    </row>
    <row r="53" spans="1:17" ht="18">
      <c r="A53" s="22">
        <v>48</v>
      </c>
      <c r="B53" s="23" t="s">
        <v>88</v>
      </c>
      <c r="C53" s="23" t="s">
        <v>227</v>
      </c>
      <c r="D53" s="24">
        <v>2524795.0699999998</v>
      </c>
      <c r="E53" s="24">
        <v>4541908.43</v>
      </c>
      <c r="F53" s="25">
        <f t="shared" si="0"/>
        <v>7066703.5</v>
      </c>
      <c r="G53" s="26"/>
      <c r="H53" s="26"/>
      <c r="I53" s="28"/>
      <c r="J53" s="28"/>
      <c r="K53" s="28"/>
      <c r="L53" s="28"/>
      <c r="M53" s="26"/>
      <c r="N53" s="26"/>
      <c r="O53" s="28"/>
      <c r="P53" s="28"/>
      <c r="Q53" s="28"/>
    </row>
    <row r="54" spans="1:17" ht="18">
      <c r="A54" s="22">
        <v>49</v>
      </c>
      <c r="B54" s="23" t="s">
        <v>88</v>
      </c>
      <c r="C54" s="23" t="s">
        <v>229</v>
      </c>
      <c r="D54" s="24">
        <v>1943152.2</v>
      </c>
      <c r="E54" s="24">
        <v>3495578.5</v>
      </c>
      <c r="F54" s="25">
        <f t="shared" si="0"/>
        <v>5438730.7000000002</v>
      </c>
      <c r="G54" s="26"/>
      <c r="H54" s="26"/>
      <c r="I54" s="28"/>
      <c r="J54" s="28"/>
      <c r="K54" s="28"/>
      <c r="L54" s="28"/>
      <c r="M54" s="26"/>
      <c r="N54" s="26"/>
      <c r="O54" s="28"/>
      <c r="P54" s="28"/>
      <c r="Q54" s="28"/>
    </row>
    <row r="55" spans="1:17" ht="18">
      <c r="A55" s="22">
        <v>50</v>
      </c>
      <c r="B55" s="23" t="s">
        <v>88</v>
      </c>
      <c r="C55" s="23" t="s">
        <v>231</v>
      </c>
      <c r="D55" s="24">
        <v>2298399.88</v>
      </c>
      <c r="E55" s="24">
        <v>4134641.23</v>
      </c>
      <c r="F55" s="25">
        <f t="shared" si="0"/>
        <v>6433041.1100000003</v>
      </c>
      <c r="G55" s="26"/>
      <c r="H55" s="26"/>
      <c r="I55" s="28"/>
      <c r="J55" s="28"/>
      <c r="K55" s="28"/>
      <c r="L55" s="28"/>
      <c r="M55" s="26"/>
      <c r="N55" s="26"/>
      <c r="O55" s="28"/>
      <c r="P55" s="28"/>
      <c r="Q55" s="28"/>
    </row>
    <row r="56" spans="1:17" ht="18">
      <c r="A56" s="22">
        <v>51</v>
      </c>
      <c r="B56" s="23" t="s">
        <v>88</v>
      </c>
      <c r="C56" s="23" t="s">
        <v>233</v>
      </c>
      <c r="D56" s="24">
        <v>2299047.9</v>
      </c>
      <c r="E56" s="24">
        <v>4135806.96</v>
      </c>
      <c r="F56" s="25">
        <f t="shared" si="0"/>
        <v>6434854.8600000003</v>
      </c>
      <c r="G56" s="26"/>
      <c r="H56" s="26"/>
      <c r="I56" s="28"/>
      <c r="J56" s="28"/>
      <c r="K56" s="28"/>
      <c r="L56" s="28"/>
      <c r="M56" s="26"/>
      <c r="N56" s="26"/>
      <c r="O56" s="28"/>
      <c r="P56" s="28"/>
      <c r="Q56" s="28"/>
    </row>
    <row r="57" spans="1:17" ht="18">
      <c r="A57" s="22">
        <v>52</v>
      </c>
      <c r="B57" s="23" t="s">
        <v>88</v>
      </c>
      <c r="C57" s="23" t="s">
        <v>235</v>
      </c>
      <c r="D57" s="24">
        <v>2371125.9</v>
      </c>
      <c r="E57" s="24">
        <v>4265469.6399999997</v>
      </c>
      <c r="F57" s="25">
        <f t="shared" si="0"/>
        <v>6636595.54</v>
      </c>
      <c r="G57" s="26"/>
      <c r="H57" s="26"/>
      <c r="I57" s="28"/>
      <c r="J57" s="28"/>
      <c r="K57" s="28"/>
      <c r="L57" s="28"/>
      <c r="M57" s="26"/>
      <c r="N57" s="26"/>
      <c r="O57" s="28"/>
      <c r="P57" s="28"/>
      <c r="Q57" s="28"/>
    </row>
    <row r="58" spans="1:17" ht="18">
      <c r="A58" s="22">
        <v>53</v>
      </c>
      <c r="B58" s="23" t="s">
        <v>88</v>
      </c>
      <c r="C58" s="23" t="s">
        <v>237</v>
      </c>
      <c r="D58" s="24">
        <v>2166255.88</v>
      </c>
      <c r="E58" s="24">
        <v>3896924.53</v>
      </c>
      <c r="F58" s="25">
        <f t="shared" si="0"/>
        <v>6063180.4100000001</v>
      </c>
      <c r="G58" s="26"/>
      <c r="H58" s="26"/>
      <c r="I58" s="28"/>
      <c r="J58" s="28"/>
      <c r="K58" s="28"/>
      <c r="L58" s="28"/>
      <c r="M58" s="26"/>
      <c r="N58" s="26"/>
      <c r="O58" s="28"/>
      <c r="P58" s="28"/>
      <c r="Q58" s="28"/>
    </row>
    <row r="59" spans="1:17" ht="18">
      <c r="A59" s="22">
        <v>54</v>
      </c>
      <c r="B59" s="23" t="s">
        <v>88</v>
      </c>
      <c r="C59" s="23" t="s">
        <v>239</v>
      </c>
      <c r="D59" s="24">
        <v>2211856.38</v>
      </c>
      <c r="E59" s="24">
        <v>3978956.25</v>
      </c>
      <c r="F59" s="25">
        <f t="shared" si="0"/>
        <v>6190812.6299999999</v>
      </c>
      <c r="G59" s="26"/>
      <c r="H59" s="26"/>
      <c r="I59" s="28"/>
      <c r="J59" s="28"/>
      <c r="K59" s="28"/>
      <c r="L59" s="28"/>
      <c r="M59" s="26"/>
      <c r="N59" s="26"/>
      <c r="O59" s="28"/>
      <c r="P59" s="28"/>
      <c r="Q59" s="28"/>
    </row>
    <row r="60" spans="1:17" ht="18">
      <c r="A60" s="22">
        <v>55</v>
      </c>
      <c r="B60" s="23" t="s">
        <v>88</v>
      </c>
      <c r="C60" s="23" t="s">
        <v>241</v>
      </c>
      <c r="D60" s="24">
        <v>2064636.45</v>
      </c>
      <c r="E60" s="24">
        <v>3714119.14</v>
      </c>
      <c r="F60" s="25">
        <f t="shared" si="0"/>
        <v>5778755.5899999999</v>
      </c>
      <c r="G60" s="26"/>
      <c r="H60" s="26"/>
      <c r="I60" s="28"/>
      <c r="J60" s="28"/>
      <c r="K60" s="28"/>
      <c r="L60" s="28"/>
      <c r="M60" s="26"/>
      <c r="N60" s="26"/>
      <c r="O60" s="28"/>
      <c r="P60" s="28"/>
      <c r="Q60" s="28"/>
    </row>
    <row r="61" spans="1:17" ht="18">
      <c r="A61" s="22">
        <v>56</v>
      </c>
      <c r="B61" s="23" t="s">
        <v>88</v>
      </c>
      <c r="C61" s="23" t="s">
        <v>243</v>
      </c>
      <c r="D61" s="24">
        <v>2565113.8199999998</v>
      </c>
      <c r="E61" s="24">
        <v>4614438.7</v>
      </c>
      <c r="F61" s="25">
        <f t="shared" si="0"/>
        <v>7179552.5199999996</v>
      </c>
      <c r="G61" s="26"/>
      <c r="H61" s="26"/>
      <c r="I61" s="28"/>
      <c r="J61" s="28"/>
      <c r="K61" s="28"/>
      <c r="L61" s="28"/>
      <c r="M61" s="26"/>
      <c r="N61" s="26"/>
      <c r="O61" s="28"/>
      <c r="P61" s="28"/>
      <c r="Q61" s="28"/>
    </row>
    <row r="62" spans="1:17" ht="18">
      <c r="A62" s="22">
        <v>57</v>
      </c>
      <c r="B62" s="23" t="s">
        <v>88</v>
      </c>
      <c r="C62" s="23" t="s">
        <v>245</v>
      </c>
      <c r="D62" s="24">
        <v>2140397.56</v>
      </c>
      <c r="E62" s="24">
        <v>3850407.44</v>
      </c>
      <c r="F62" s="25">
        <f t="shared" si="0"/>
        <v>5990805</v>
      </c>
      <c r="G62" s="26"/>
      <c r="H62" s="26"/>
      <c r="I62" s="28"/>
      <c r="J62" s="28"/>
      <c r="K62" s="28"/>
      <c r="L62" s="28"/>
      <c r="M62" s="26"/>
      <c r="N62" s="26"/>
      <c r="O62" s="28"/>
      <c r="P62" s="28"/>
      <c r="Q62" s="28"/>
    </row>
    <row r="63" spans="1:17" ht="18">
      <c r="A63" s="22">
        <v>58</v>
      </c>
      <c r="B63" s="23" t="s">
        <v>88</v>
      </c>
      <c r="C63" s="23" t="s">
        <v>247</v>
      </c>
      <c r="D63" s="24">
        <v>2252055.11</v>
      </c>
      <c r="E63" s="24">
        <v>4051270.62</v>
      </c>
      <c r="F63" s="25">
        <f t="shared" si="0"/>
        <v>6303325.7300000004</v>
      </c>
      <c r="G63" s="26"/>
      <c r="H63" s="26"/>
      <c r="I63" s="28"/>
      <c r="J63" s="28"/>
      <c r="K63" s="28"/>
      <c r="L63" s="28"/>
      <c r="M63" s="26"/>
      <c r="N63" s="26"/>
      <c r="O63" s="28"/>
      <c r="P63" s="28"/>
      <c r="Q63" s="28"/>
    </row>
    <row r="64" spans="1:17" ht="18">
      <c r="A64" s="22">
        <v>59</v>
      </c>
      <c r="B64" s="23" t="s">
        <v>88</v>
      </c>
      <c r="C64" s="23" t="s">
        <v>249</v>
      </c>
      <c r="D64" s="24">
        <v>2342464.41</v>
      </c>
      <c r="E64" s="24">
        <v>4213909.87</v>
      </c>
      <c r="F64" s="25">
        <f t="shared" si="0"/>
        <v>6556374.2800000003</v>
      </c>
      <c r="G64" s="26"/>
      <c r="H64" s="26"/>
      <c r="I64" s="28"/>
      <c r="J64" s="28"/>
      <c r="K64" s="28"/>
      <c r="L64" s="28"/>
      <c r="M64" s="26"/>
      <c r="N64" s="26"/>
      <c r="O64" s="28"/>
      <c r="P64" s="28"/>
      <c r="Q64" s="28"/>
    </row>
    <row r="65" spans="1:17" ht="18">
      <c r="A65" s="22">
        <v>60</v>
      </c>
      <c r="B65" s="23" t="s">
        <v>88</v>
      </c>
      <c r="C65" s="23" t="s">
        <v>251</v>
      </c>
      <c r="D65" s="24">
        <v>2013409.47</v>
      </c>
      <c r="E65" s="24">
        <v>3621965.82</v>
      </c>
      <c r="F65" s="25">
        <f t="shared" si="0"/>
        <v>5635375.29</v>
      </c>
      <c r="G65" s="26"/>
      <c r="H65" s="26"/>
      <c r="I65" s="28"/>
      <c r="J65" s="28"/>
      <c r="K65" s="28"/>
      <c r="L65" s="28"/>
      <c r="M65" s="26"/>
      <c r="N65" s="26"/>
      <c r="O65" s="28"/>
      <c r="P65" s="28"/>
      <c r="Q65" s="28"/>
    </row>
    <row r="66" spans="1:17" ht="18">
      <c r="A66" s="22">
        <v>61</v>
      </c>
      <c r="B66" s="23" t="s">
        <v>88</v>
      </c>
      <c r="C66" s="23" t="s">
        <v>253</v>
      </c>
      <c r="D66" s="24">
        <v>2102391.16</v>
      </c>
      <c r="E66" s="24">
        <v>3782036.91</v>
      </c>
      <c r="F66" s="25">
        <f t="shared" si="0"/>
        <v>5884428.0700000003</v>
      </c>
      <c r="G66" s="26"/>
      <c r="H66" s="26"/>
      <c r="I66" s="28"/>
      <c r="J66" s="28"/>
      <c r="K66" s="28"/>
      <c r="L66" s="28"/>
      <c r="M66" s="26"/>
      <c r="N66" s="26"/>
      <c r="O66" s="28"/>
      <c r="P66" s="28"/>
      <c r="Q66" s="28"/>
    </row>
    <row r="67" spans="1:17" ht="18">
      <c r="A67" s="22">
        <v>62</v>
      </c>
      <c r="B67" s="23" t="s">
        <v>88</v>
      </c>
      <c r="C67" s="23" t="s">
        <v>255</v>
      </c>
      <c r="D67" s="24">
        <v>2153439.84</v>
      </c>
      <c r="E67" s="24">
        <v>3873869.47</v>
      </c>
      <c r="F67" s="25">
        <f t="shared" si="0"/>
        <v>6027309.3099999996</v>
      </c>
      <c r="G67" s="26"/>
      <c r="H67" s="26"/>
      <c r="I67" s="28"/>
      <c r="J67" s="28"/>
      <c r="K67" s="28"/>
      <c r="L67" s="28"/>
      <c r="M67" s="26"/>
      <c r="N67" s="26"/>
      <c r="O67" s="28"/>
      <c r="P67" s="28"/>
      <c r="Q67" s="28"/>
    </row>
    <row r="68" spans="1:17" ht="18">
      <c r="A68" s="22">
        <v>63</v>
      </c>
      <c r="B68" s="23" t="s">
        <v>88</v>
      </c>
      <c r="C68" s="23" t="s">
        <v>257</v>
      </c>
      <c r="D68" s="24">
        <v>2537229.17</v>
      </c>
      <c r="E68" s="24">
        <v>4564276.4000000004</v>
      </c>
      <c r="F68" s="25">
        <f t="shared" si="0"/>
        <v>7101505.5700000003</v>
      </c>
      <c r="G68" s="26"/>
      <c r="H68" s="26"/>
      <c r="I68" s="28"/>
      <c r="J68" s="28"/>
      <c r="K68" s="28"/>
      <c r="L68" s="28"/>
      <c r="M68" s="26"/>
      <c r="N68" s="26"/>
      <c r="O68" s="28"/>
      <c r="P68" s="28"/>
      <c r="Q68" s="28"/>
    </row>
    <row r="69" spans="1:17" ht="18">
      <c r="A69" s="22">
        <v>64</v>
      </c>
      <c r="B69" s="23" t="s">
        <v>88</v>
      </c>
      <c r="C69" s="23" t="s">
        <v>259</v>
      </c>
      <c r="D69" s="24">
        <v>1889999.03</v>
      </c>
      <c r="E69" s="24">
        <v>3399960.11</v>
      </c>
      <c r="F69" s="25">
        <f t="shared" si="0"/>
        <v>5289959.1399999997</v>
      </c>
      <c r="G69" s="26"/>
      <c r="H69" s="26"/>
      <c r="I69" s="28"/>
      <c r="J69" s="28"/>
      <c r="K69" s="28"/>
      <c r="L69" s="28"/>
      <c r="M69" s="26"/>
      <c r="N69" s="26"/>
      <c r="O69" s="28"/>
      <c r="P69" s="28"/>
      <c r="Q69" s="28"/>
    </row>
    <row r="70" spans="1:17" ht="18">
      <c r="A70" s="22">
        <v>65</v>
      </c>
      <c r="B70" s="23" t="s">
        <v>88</v>
      </c>
      <c r="C70" s="23" t="s">
        <v>261</v>
      </c>
      <c r="D70" s="24">
        <v>2319044.25</v>
      </c>
      <c r="E70" s="24">
        <v>4171778.82</v>
      </c>
      <c r="F70" s="25">
        <f t="shared" si="0"/>
        <v>6490823.0700000003</v>
      </c>
      <c r="G70" s="26"/>
      <c r="H70" s="26"/>
      <c r="I70" s="28"/>
      <c r="J70" s="28"/>
      <c r="K70" s="28"/>
      <c r="L70" s="28"/>
      <c r="M70" s="26"/>
      <c r="N70" s="26"/>
      <c r="O70" s="28"/>
      <c r="P70" s="28"/>
      <c r="Q70" s="28"/>
    </row>
    <row r="71" spans="1:17" ht="18">
      <c r="A71" s="22">
        <v>66</v>
      </c>
      <c r="B71" s="23" t="s">
        <v>88</v>
      </c>
      <c r="C71" s="23" t="s">
        <v>263</v>
      </c>
      <c r="D71" s="24">
        <v>1890672.08</v>
      </c>
      <c r="E71" s="24">
        <v>3401170.88</v>
      </c>
      <c r="F71" s="25">
        <f t="shared" ref="F71:F134" si="1">D71+E71</f>
        <v>5291842.96</v>
      </c>
      <c r="G71" s="26"/>
      <c r="H71" s="26"/>
      <c r="I71" s="28"/>
      <c r="J71" s="28"/>
      <c r="K71" s="28"/>
      <c r="L71" s="28"/>
      <c r="M71" s="26"/>
      <c r="N71" s="26"/>
      <c r="O71" s="28"/>
      <c r="P71" s="28"/>
      <c r="Q71" s="28"/>
    </row>
    <row r="72" spans="1:17" ht="18">
      <c r="A72" s="22">
        <v>67</v>
      </c>
      <c r="B72" s="23" t="s">
        <v>88</v>
      </c>
      <c r="C72" s="23" t="s">
        <v>265</v>
      </c>
      <c r="D72" s="24">
        <v>2465739.92</v>
      </c>
      <c r="E72" s="24">
        <v>4435672.84</v>
      </c>
      <c r="F72" s="25">
        <f t="shared" si="1"/>
        <v>6901412.7599999998</v>
      </c>
      <c r="G72" s="26"/>
      <c r="H72" s="26"/>
      <c r="I72" s="28"/>
      <c r="J72" s="28"/>
      <c r="K72" s="28"/>
      <c r="L72" s="28"/>
      <c r="M72" s="26"/>
      <c r="N72" s="26"/>
      <c r="O72" s="28"/>
      <c r="P72" s="28"/>
      <c r="Q72" s="28"/>
    </row>
    <row r="73" spans="1:17" ht="36">
      <c r="A73" s="22">
        <v>68</v>
      </c>
      <c r="B73" s="23" t="s">
        <v>88</v>
      </c>
      <c r="C73" s="23" t="s">
        <v>267</v>
      </c>
      <c r="D73" s="24">
        <v>2040278.4</v>
      </c>
      <c r="E73" s="24">
        <v>3670300.91</v>
      </c>
      <c r="F73" s="25">
        <f t="shared" si="1"/>
        <v>5710579.3099999996</v>
      </c>
      <c r="G73" s="26"/>
      <c r="H73" s="26"/>
      <c r="I73" s="28"/>
      <c r="J73" s="28"/>
      <c r="K73" s="28"/>
      <c r="L73" s="28"/>
      <c r="M73" s="26"/>
      <c r="N73" s="26"/>
      <c r="O73" s="28"/>
      <c r="P73" s="28"/>
      <c r="Q73" s="28"/>
    </row>
    <row r="74" spans="1:17" ht="18">
      <c r="A74" s="22">
        <v>69</v>
      </c>
      <c r="B74" s="23" t="s">
        <v>88</v>
      </c>
      <c r="C74" s="23" t="s">
        <v>269</v>
      </c>
      <c r="D74" s="24">
        <v>3083980.29</v>
      </c>
      <c r="E74" s="24">
        <v>5547838.8099999996</v>
      </c>
      <c r="F74" s="25">
        <f t="shared" si="1"/>
        <v>8631819.0999999996</v>
      </c>
      <c r="G74" s="26"/>
      <c r="H74" s="26"/>
      <c r="I74" s="28"/>
      <c r="J74" s="28"/>
      <c r="K74" s="28"/>
      <c r="L74" s="28"/>
      <c r="M74" s="26"/>
      <c r="N74" s="26"/>
      <c r="O74" s="28"/>
      <c r="P74" s="28"/>
      <c r="Q74" s="28"/>
    </row>
    <row r="75" spans="1:17" ht="18">
      <c r="A75" s="22">
        <v>70</v>
      </c>
      <c r="B75" s="23" t="s">
        <v>89</v>
      </c>
      <c r="C75" s="23" t="s">
        <v>274</v>
      </c>
      <c r="D75" s="24">
        <v>3468792.3</v>
      </c>
      <c r="E75" s="24">
        <v>6240085.4500000002</v>
      </c>
      <c r="F75" s="25">
        <f t="shared" si="1"/>
        <v>9708877.75</v>
      </c>
      <c r="G75" s="26"/>
      <c r="H75" s="26"/>
      <c r="I75" s="28"/>
      <c r="J75" s="28"/>
      <c r="K75" s="28"/>
      <c r="L75" s="28"/>
      <c r="M75" s="26"/>
      <c r="N75" s="26"/>
      <c r="O75" s="28"/>
      <c r="P75" s="28"/>
      <c r="Q75" s="28"/>
    </row>
    <row r="76" spans="1:17" ht="18">
      <c r="A76" s="22">
        <v>71</v>
      </c>
      <c r="B76" s="23" t="s">
        <v>89</v>
      </c>
      <c r="C76" s="23" t="s">
        <v>276</v>
      </c>
      <c r="D76" s="24">
        <v>2281275.2400000002</v>
      </c>
      <c r="E76" s="24">
        <v>4103835.34</v>
      </c>
      <c r="F76" s="25">
        <f t="shared" si="1"/>
        <v>6385110.5800000001</v>
      </c>
      <c r="G76" s="26"/>
      <c r="H76" s="26"/>
      <c r="I76" s="28"/>
      <c r="J76" s="28"/>
      <c r="K76" s="28"/>
      <c r="L76" s="28"/>
      <c r="M76" s="26"/>
      <c r="N76" s="26"/>
      <c r="O76" s="28"/>
      <c r="P76" s="28"/>
      <c r="Q76" s="28"/>
    </row>
    <row r="77" spans="1:17" ht="18">
      <c r="A77" s="22">
        <v>72</v>
      </c>
      <c r="B77" s="23" t="s">
        <v>89</v>
      </c>
      <c r="C77" s="23" t="s">
        <v>278</v>
      </c>
      <c r="D77" s="24">
        <v>2346787.1</v>
      </c>
      <c r="E77" s="24">
        <v>4221686.04</v>
      </c>
      <c r="F77" s="25">
        <f t="shared" si="1"/>
        <v>6568473.1399999997</v>
      </c>
      <c r="G77" s="26"/>
      <c r="H77" s="26"/>
      <c r="I77" s="28"/>
      <c r="J77" s="28"/>
      <c r="K77" s="28"/>
      <c r="L77" s="28"/>
      <c r="M77" s="26"/>
      <c r="N77" s="26"/>
      <c r="O77" s="28"/>
      <c r="P77" s="28"/>
      <c r="Q77" s="28"/>
    </row>
    <row r="78" spans="1:17" ht="18">
      <c r="A78" s="22">
        <v>73</v>
      </c>
      <c r="B78" s="23" t="s">
        <v>89</v>
      </c>
      <c r="C78" s="23" t="s">
        <v>280</v>
      </c>
      <c r="D78" s="24">
        <v>2836550.03</v>
      </c>
      <c r="E78" s="24">
        <v>5102731.17</v>
      </c>
      <c r="F78" s="25">
        <f t="shared" si="1"/>
        <v>7939281.2000000002</v>
      </c>
      <c r="G78" s="26"/>
      <c r="H78" s="26"/>
      <c r="I78" s="28"/>
      <c r="J78" s="28"/>
      <c r="K78" s="28"/>
      <c r="L78" s="28"/>
      <c r="M78" s="26"/>
      <c r="N78" s="26"/>
      <c r="O78" s="28"/>
      <c r="P78" s="28"/>
      <c r="Q78" s="28"/>
    </row>
    <row r="79" spans="1:17" ht="18">
      <c r="A79" s="22">
        <v>74</v>
      </c>
      <c r="B79" s="23" t="s">
        <v>89</v>
      </c>
      <c r="C79" s="23" t="s">
        <v>282</v>
      </c>
      <c r="D79" s="24">
        <v>2154267.4700000002</v>
      </c>
      <c r="E79" s="24">
        <v>3875358.31</v>
      </c>
      <c r="F79" s="25">
        <f t="shared" si="1"/>
        <v>6029625.7800000003</v>
      </c>
      <c r="G79" s="26"/>
      <c r="H79" s="26"/>
      <c r="I79" s="28"/>
      <c r="J79" s="28"/>
      <c r="K79" s="28"/>
      <c r="L79" s="28"/>
      <c r="M79" s="26"/>
      <c r="N79" s="26"/>
      <c r="O79" s="28"/>
      <c r="P79" s="28"/>
      <c r="Q79" s="28"/>
    </row>
    <row r="80" spans="1:17" ht="18">
      <c r="A80" s="22">
        <v>75</v>
      </c>
      <c r="B80" s="23" t="s">
        <v>89</v>
      </c>
      <c r="C80" s="23" t="s">
        <v>284</v>
      </c>
      <c r="D80" s="24">
        <v>2480042.23</v>
      </c>
      <c r="E80" s="24">
        <v>4461401.58</v>
      </c>
      <c r="F80" s="25">
        <f t="shared" si="1"/>
        <v>6941443.8099999996</v>
      </c>
      <c r="G80" s="26"/>
      <c r="H80" s="26"/>
      <c r="I80" s="28"/>
      <c r="J80" s="28"/>
      <c r="K80" s="28"/>
      <c r="L80" s="28"/>
      <c r="M80" s="26"/>
      <c r="N80" s="26"/>
      <c r="O80" s="28"/>
      <c r="P80" s="28"/>
      <c r="Q80" s="28"/>
    </row>
    <row r="81" spans="1:17" ht="18">
      <c r="A81" s="22">
        <v>76</v>
      </c>
      <c r="B81" s="23" t="s">
        <v>89</v>
      </c>
      <c r="C81" s="23" t="s">
        <v>286</v>
      </c>
      <c r="D81" s="24">
        <v>2298439.6800000002</v>
      </c>
      <c r="E81" s="24">
        <v>4134712.82</v>
      </c>
      <c r="F81" s="25">
        <f t="shared" si="1"/>
        <v>6433152.5</v>
      </c>
      <c r="G81" s="26"/>
      <c r="H81" s="26"/>
      <c r="I81" s="28"/>
      <c r="J81" s="28"/>
      <c r="K81" s="28"/>
      <c r="L81" s="28"/>
      <c r="M81" s="26"/>
      <c r="N81" s="26"/>
      <c r="O81" s="28"/>
      <c r="P81" s="28"/>
      <c r="Q81" s="28"/>
    </row>
    <row r="82" spans="1:17" ht="18">
      <c r="A82" s="22">
        <v>77</v>
      </c>
      <c r="B82" s="23" t="s">
        <v>89</v>
      </c>
      <c r="C82" s="23" t="s">
        <v>288</v>
      </c>
      <c r="D82" s="24">
        <v>2055090.66</v>
      </c>
      <c r="E82" s="24">
        <v>3696947.02</v>
      </c>
      <c r="F82" s="25">
        <f t="shared" si="1"/>
        <v>5752037.6799999997</v>
      </c>
      <c r="G82" s="26"/>
      <c r="H82" s="26"/>
      <c r="I82" s="28"/>
      <c r="J82" s="28"/>
      <c r="K82" s="28"/>
      <c r="L82" s="28"/>
      <c r="M82" s="26"/>
      <c r="N82" s="26"/>
      <c r="O82" s="28"/>
      <c r="P82" s="28"/>
      <c r="Q82" s="28"/>
    </row>
    <row r="83" spans="1:17" ht="18">
      <c r="A83" s="22">
        <v>78</v>
      </c>
      <c r="B83" s="23" t="s">
        <v>89</v>
      </c>
      <c r="C83" s="23" t="s">
        <v>290</v>
      </c>
      <c r="D83" s="24">
        <v>2282563.42</v>
      </c>
      <c r="E83" s="24">
        <v>4106152.67</v>
      </c>
      <c r="F83" s="25">
        <f t="shared" si="1"/>
        <v>6388716.0899999999</v>
      </c>
      <c r="G83" s="26"/>
      <c r="H83" s="26"/>
      <c r="I83" s="28"/>
      <c r="J83" s="28"/>
      <c r="K83" s="28"/>
      <c r="L83" s="28"/>
      <c r="M83" s="26"/>
      <c r="N83" s="26"/>
      <c r="O83" s="28"/>
      <c r="P83" s="28"/>
      <c r="Q83" s="28"/>
    </row>
    <row r="84" spans="1:17" ht="18">
      <c r="A84" s="22">
        <v>79</v>
      </c>
      <c r="B84" s="23" t="s">
        <v>89</v>
      </c>
      <c r="C84" s="23" t="s">
        <v>292</v>
      </c>
      <c r="D84" s="24">
        <v>3611097.61</v>
      </c>
      <c r="E84" s="24">
        <v>6496081.54</v>
      </c>
      <c r="F84" s="25">
        <f t="shared" si="1"/>
        <v>10107179.15</v>
      </c>
      <c r="G84" s="26"/>
      <c r="H84" s="26"/>
      <c r="I84" s="28"/>
      <c r="J84" s="28"/>
      <c r="K84" s="28"/>
      <c r="L84" s="28"/>
      <c r="M84" s="26"/>
      <c r="N84" s="26"/>
      <c r="O84" s="28"/>
      <c r="P84" s="28"/>
      <c r="Q84" s="28"/>
    </row>
    <row r="85" spans="1:17" ht="18">
      <c r="A85" s="22">
        <v>80</v>
      </c>
      <c r="B85" s="23" t="s">
        <v>89</v>
      </c>
      <c r="C85" s="23" t="s">
        <v>294</v>
      </c>
      <c r="D85" s="24">
        <v>2509717.2000000002</v>
      </c>
      <c r="E85" s="24">
        <v>4514784.5199999996</v>
      </c>
      <c r="F85" s="25">
        <f t="shared" si="1"/>
        <v>7024501.7199999997</v>
      </c>
      <c r="G85" s="26"/>
      <c r="H85" s="26"/>
      <c r="I85" s="28"/>
      <c r="J85" s="28"/>
      <c r="K85" s="28"/>
      <c r="L85" s="28"/>
      <c r="M85" s="26"/>
      <c r="N85" s="26"/>
      <c r="O85" s="28"/>
      <c r="P85" s="28"/>
      <c r="Q85" s="28"/>
    </row>
    <row r="86" spans="1:17" ht="18">
      <c r="A86" s="22">
        <v>81</v>
      </c>
      <c r="B86" s="23" t="s">
        <v>89</v>
      </c>
      <c r="C86" s="23" t="s">
        <v>296</v>
      </c>
      <c r="D86" s="24">
        <v>3068381.25</v>
      </c>
      <c r="E86" s="24">
        <v>5519777.3600000003</v>
      </c>
      <c r="F86" s="25">
        <f t="shared" si="1"/>
        <v>8588158.6099999994</v>
      </c>
      <c r="G86" s="26"/>
      <c r="H86" s="26"/>
      <c r="I86" s="28"/>
      <c r="J86" s="28"/>
      <c r="K86" s="28"/>
      <c r="L86" s="28"/>
      <c r="M86" s="26"/>
      <c r="N86" s="26"/>
      <c r="O86" s="28"/>
      <c r="P86" s="28"/>
      <c r="Q86" s="28"/>
    </row>
    <row r="87" spans="1:17" ht="18">
      <c r="A87" s="22">
        <v>82</v>
      </c>
      <c r="B87" s="23" t="s">
        <v>89</v>
      </c>
      <c r="C87" s="23" t="s">
        <v>298</v>
      </c>
      <c r="D87" s="24">
        <v>2254477.04</v>
      </c>
      <c r="E87" s="24">
        <v>4055627.47</v>
      </c>
      <c r="F87" s="25">
        <f t="shared" si="1"/>
        <v>6310104.5099999998</v>
      </c>
      <c r="G87" s="26"/>
      <c r="H87" s="26"/>
      <c r="I87" s="28"/>
      <c r="J87" s="28"/>
      <c r="K87" s="28"/>
      <c r="L87" s="28"/>
      <c r="M87" s="26"/>
      <c r="N87" s="26"/>
      <c r="O87" s="28"/>
      <c r="P87" s="28"/>
      <c r="Q87" s="28"/>
    </row>
    <row r="88" spans="1:17" ht="18">
      <c r="A88" s="22">
        <v>83</v>
      </c>
      <c r="B88" s="23" t="s">
        <v>89</v>
      </c>
      <c r="C88" s="23" t="s">
        <v>300</v>
      </c>
      <c r="D88" s="24">
        <v>2235327.4</v>
      </c>
      <c r="E88" s="24">
        <v>4021178.77</v>
      </c>
      <c r="F88" s="25">
        <f t="shared" si="1"/>
        <v>6256506.1699999999</v>
      </c>
      <c r="G88" s="26"/>
      <c r="H88" s="26"/>
      <c r="I88" s="28"/>
      <c r="J88" s="28"/>
      <c r="K88" s="28"/>
      <c r="L88" s="28"/>
      <c r="M88" s="26"/>
      <c r="N88" s="26"/>
      <c r="O88" s="28"/>
      <c r="P88" s="28"/>
      <c r="Q88" s="28"/>
    </row>
    <row r="89" spans="1:17" ht="18">
      <c r="A89" s="22">
        <v>84</v>
      </c>
      <c r="B89" s="23" t="s">
        <v>89</v>
      </c>
      <c r="C89" s="23" t="s">
        <v>302</v>
      </c>
      <c r="D89" s="24">
        <v>2682882.35</v>
      </c>
      <c r="E89" s="24">
        <v>4826295.05</v>
      </c>
      <c r="F89" s="25">
        <f t="shared" si="1"/>
        <v>7509177.4000000004</v>
      </c>
      <c r="G89" s="26"/>
      <c r="H89" s="26"/>
      <c r="I89" s="28"/>
      <c r="J89" s="28"/>
      <c r="K89" s="28"/>
      <c r="L89" s="28"/>
      <c r="M89" s="26"/>
      <c r="N89" s="26"/>
      <c r="O89" s="28"/>
      <c r="P89" s="28"/>
      <c r="Q89" s="28"/>
    </row>
    <row r="90" spans="1:17" ht="18">
      <c r="A90" s="22">
        <v>85</v>
      </c>
      <c r="B90" s="23" t="s">
        <v>89</v>
      </c>
      <c r="C90" s="23" t="s">
        <v>304</v>
      </c>
      <c r="D90" s="24">
        <v>2563570</v>
      </c>
      <c r="E90" s="24">
        <v>4611661.49</v>
      </c>
      <c r="F90" s="25">
        <f t="shared" si="1"/>
        <v>7175231.4900000002</v>
      </c>
      <c r="G90" s="26"/>
      <c r="H90" s="26"/>
      <c r="I90" s="28"/>
      <c r="J90" s="28"/>
      <c r="K90" s="28"/>
      <c r="L90" s="28"/>
      <c r="M90" s="26"/>
      <c r="N90" s="26"/>
      <c r="O90" s="28"/>
      <c r="P90" s="28"/>
      <c r="Q90" s="28"/>
    </row>
    <row r="91" spans="1:17" ht="18">
      <c r="A91" s="22">
        <v>86</v>
      </c>
      <c r="B91" s="23" t="s">
        <v>89</v>
      </c>
      <c r="C91" s="23" t="s">
        <v>305</v>
      </c>
      <c r="D91" s="24">
        <v>2147563.56</v>
      </c>
      <c r="E91" s="24">
        <v>3863298.52</v>
      </c>
      <c r="F91" s="25">
        <f t="shared" si="1"/>
        <v>6010862.0800000001</v>
      </c>
      <c r="G91" s="26"/>
      <c r="H91" s="26"/>
      <c r="I91" s="28"/>
      <c r="J91" s="28"/>
      <c r="K91" s="28"/>
      <c r="L91" s="28"/>
      <c r="M91" s="26"/>
      <c r="N91" s="26"/>
      <c r="O91" s="28"/>
      <c r="P91" s="28"/>
      <c r="Q91" s="28"/>
    </row>
    <row r="92" spans="1:17" ht="18">
      <c r="A92" s="22">
        <v>87</v>
      </c>
      <c r="B92" s="23" t="s">
        <v>89</v>
      </c>
      <c r="C92" s="23" t="s">
        <v>307</v>
      </c>
      <c r="D92" s="24">
        <v>2225266.9900000002</v>
      </c>
      <c r="E92" s="24">
        <v>4003080.89</v>
      </c>
      <c r="F92" s="25">
        <f t="shared" si="1"/>
        <v>6228347.8799999999</v>
      </c>
      <c r="G92" s="26"/>
      <c r="H92" s="26"/>
      <c r="I92" s="28"/>
      <c r="J92" s="28"/>
      <c r="K92" s="28"/>
      <c r="L92" s="28"/>
      <c r="M92" s="26"/>
      <c r="N92" s="26"/>
      <c r="O92" s="28"/>
      <c r="P92" s="28"/>
      <c r="Q92" s="28"/>
    </row>
    <row r="93" spans="1:17" ht="18">
      <c r="A93" s="22">
        <v>88</v>
      </c>
      <c r="B93" s="23" t="s">
        <v>89</v>
      </c>
      <c r="C93" s="23" t="s">
        <v>309</v>
      </c>
      <c r="D93" s="24">
        <v>2403099.4</v>
      </c>
      <c r="E93" s="24">
        <v>4322987.46</v>
      </c>
      <c r="F93" s="25">
        <f t="shared" si="1"/>
        <v>6726086.8600000003</v>
      </c>
      <c r="G93" s="26"/>
      <c r="H93" s="26"/>
      <c r="I93" s="28"/>
      <c r="J93" s="28"/>
      <c r="K93" s="28"/>
      <c r="L93" s="28"/>
      <c r="M93" s="26"/>
      <c r="N93" s="26"/>
      <c r="O93" s="28"/>
      <c r="P93" s="28"/>
      <c r="Q93" s="28"/>
    </row>
    <row r="94" spans="1:17" ht="18">
      <c r="A94" s="22">
        <v>89</v>
      </c>
      <c r="B94" s="23" t="s">
        <v>89</v>
      </c>
      <c r="C94" s="23" t="s">
        <v>311</v>
      </c>
      <c r="D94" s="24">
        <v>2431875.83</v>
      </c>
      <c r="E94" s="24">
        <v>4374754</v>
      </c>
      <c r="F94" s="25">
        <f t="shared" si="1"/>
        <v>6806629.8300000001</v>
      </c>
      <c r="G94" s="26"/>
      <c r="H94" s="26"/>
      <c r="I94" s="28"/>
      <c r="J94" s="28"/>
      <c r="K94" s="28"/>
      <c r="L94" s="28"/>
      <c r="M94" s="26"/>
      <c r="N94" s="26"/>
      <c r="O94" s="28"/>
      <c r="P94" s="28"/>
      <c r="Q94" s="28"/>
    </row>
    <row r="95" spans="1:17" ht="18">
      <c r="A95" s="22">
        <v>90</v>
      </c>
      <c r="B95" s="23" t="s">
        <v>89</v>
      </c>
      <c r="C95" s="23" t="s">
        <v>313</v>
      </c>
      <c r="D95" s="24">
        <v>2334958.92</v>
      </c>
      <c r="E95" s="24">
        <v>4200408.07</v>
      </c>
      <c r="F95" s="25">
        <f t="shared" si="1"/>
        <v>6535366.9900000002</v>
      </c>
      <c r="G95" s="26"/>
      <c r="H95" s="26"/>
      <c r="I95" s="28"/>
      <c r="J95" s="28"/>
      <c r="K95" s="28"/>
      <c r="L95" s="28"/>
      <c r="M95" s="26"/>
      <c r="N95" s="26"/>
      <c r="O95" s="28"/>
      <c r="P95" s="28"/>
      <c r="Q95" s="28"/>
    </row>
    <row r="96" spans="1:17" ht="18">
      <c r="A96" s="22">
        <v>91</v>
      </c>
      <c r="B96" s="23" t="s">
        <v>90</v>
      </c>
      <c r="C96" s="23" t="s">
        <v>318</v>
      </c>
      <c r="D96" s="24">
        <v>3936993.17</v>
      </c>
      <c r="E96" s="24">
        <v>7082342.1100000003</v>
      </c>
      <c r="F96" s="25">
        <f t="shared" si="1"/>
        <v>11019335.279999999</v>
      </c>
      <c r="G96" s="26"/>
      <c r="H96" s="26"/>
      <c r="I96" s="28"/>
      <c r="J96" s="28"/>
      <c r="K96" s="28"/>
      <c r="L96" s="28"/>
      <c r="M96" s="26"/>
      <c r="N96" s="26"/>
      <c r="O96" s="28"/>
      <c r="P96" s="28"/>
      <c r="Q96" s="28"/>
    </row>
    <row r="97" spans="1:17" ht="18">
      <c r="A97" s="22">
        <v>92</v>
      </c>
      <c r="B97" s="23" t="s">
        <v>90</v>
      </c>
      <c r="C97" s="23" t="s">
        <v>90</v>
      </c>
      <c r="D97" s="24">
        <v>4754333.9000000004</v>
      </c>
      <c r="E97" s="24">
        <v>8552674.0299999993</v>
      </c>
      <c r="F97" s="25">
        <f t="shared" si="1"/>
        <v>13307007.93</v>
      </c>
      <c r="G97" s="26"/>
      <c r="H97" s="26"/>
      <c r="I97" s="28"/>
      <c r="J97" s="28"/>
      <c r="K97" s="28"/>
      <c r="L97" s="28"/>
      <c r="M97" s="26"/>
      <c r="N97" s="26"/>
      <c r="O97" s="28"/>
      <c r="P97" s="28"/>
      <c r="Q97" s="28"/>
    </row>
    <row r="98" spans="1:17" ht="18">
      <c r="A98" s="22">
        <v>93</v>
      </c>
      <c r="B98" s="23" t="s">
        <v>90</v>
      </c>
      <c r="C98" s="23" t="s">
        <v>321</v>
      </c>
      <c r="D98" s="24">
        <v>2079291.13</v>
      </c>
      <c r="E98" s="24">
        <v>3740481.76</v>
      </c>
      <c r="F98" s="25">
        <f t="shared" si="1"/>
        <v>5819772.8899999997</v>
      </c>
      <c r="G98" s="26"/>
      <c r="H98" s="26"/>
      <c r="I98" s="28"/>
      <c r="J98" s="28"/>
      <c r="K98" s="28"/>
      <c r="L98" s="28"/>
      <c r="M98" s="26"/>
      <c r="N98" s="26"/>
      <c r="O98" s="28"/>
      <c r="P98" s="28"/>
      <c r="Q98" s="28"/>
    </row>
    <row r="99" spans="1:17" ht="18">
      <c r="A99" s="22">
        <v>94</v>
      </c>
      <c r="B99" s="23" t="s">
        <v>90</v>
      </c>
      <c r="C99" s="23" t="s">
        <v>323</v>
      </c>
      <c r="D99" s="24">
        <v>2457382.39</v>
      </c>
      <c r="E99" s="24">
        <v>4420638.3</v>
      </c>
      <c r="F99" s="25">
        <f t="shared" si="1"/>
        <v>6878020.6900000004</v>
      </c>
      <c r="G99" s="26"/>
      <c r="H99" s="26"/>
      <c r="I99" s="28"/>
      <c r="J99" s="28"/>
      <c r="K99" s="28"/>
      <c r="L99" s="28"/>
      <c r="M99" s="26"/>
      <c r="N99" s="26"/>
      <c r="O99" s="28"/>
      <c r="P99" s="28"/>
      <c r="Q99" s="28"/>
    </row>
    <row r="100" spans="1:17" ht="18">
      <c r="A100" s="22">
        <v>95</v>
      </c>
      <c r="B100" s="23" t="s">
        <v>90</v>
      </c>
      <c r="C100" s="23" t="s">
        <v>325</v>
      </c>
      <c r="D100" s="24">
        <v>3117290.77</v>
      </c>
      <c r="E100" s="24">
        <v>5607761.7400000002</v>
      </c>
      <c r="F100" s="25">
        <f t="shared" si="1"/>
        <v>8725052.5099999998</v>
      </c>
      <c r="G100" s="26"/>
      <c r="H100" s="26"/>
      <c r="I100" s="28"/>
      <c r="J100" s="28"/>
      <c r="K100" s="28"/>
      <c r="L100" s="28"/>
      <c r="M100" s="26"/>
      <c r="N100" s="26"/>
      <c r="O100" s="28"/>
      <c r="P100" s="28"/>
      <c r="Q100" s="28"/>
    </row>
    <row r="101" spans="1:17" ht="18">
      <c r="A101" s="22">
        <v>96</v>
      </c>
      <c r="B101" s="23" t="s">
        <v>90</v>
      </c>
      <c r="C101" s="23" t="s">
        <v>327</v>
      </c>
      <c r="D101" s="24">
        <v>2064222.44</v>
      </c>
      <c r="E101" s="24">
        <v>3713374.37</v>
      </c>
      <c r="F101" s="25">
        <f t="shared" si="1"/>
        <v>5777596.8099999996</v>
      </c>
      <c r="G101" s="26"/>
      <c r="H101" s="26"/>
      <c r="I101" s="28"/>
      <c r="J101" s="28"/>
      <c r="K101" s="28"/>
      <c r="L101" s="28"/>
      <c r="M101" s="26"/>
      <c r="N101" s="26"/>
      <c r="O101" s="28"/>
      <c r="P101" s="28"/>
      <c r="Q101" s="28"/>
    </row>
    <row r="102" spans="1:17" ht="18">
      <c r="A102" s="22">
        <v>97</v>
      </c>
      <c r="B102" s="23" t="s">
        <v>90</v>
      </c>
      <c r="C102" s="23" t="s">
        <v>329</v>
      </c>
      <c r="D102" s="24">
        <v>3293202.52</v>
      </c>
      <c r="E102" s="24">
        <v>5924213.2000000002</v>
      </c>
      <c r="F102" s="25">
        <f t="shared" si="1"/>
        <v>9217415.7200000007</v>
      </c>
      <c r="G102" s="26"/>
      <c r="H102" s="26"/>
      <c r="I102" s="28"/>
      <c r="J102" s="28"/>
      <c r="K102" s="28"/>
      <c r="L102" s="28"/>
      <c r="M102" s="26"/>
      <c r="N102" s="26"/>
      <c r="O102" s="28"/>
      <c r="P102" s="28"/>
      <c r="Q102" s="28"/>
    </row>
    <row r="103" spans="1:17" ht="18">
      <c r="A103" s="22">
        <v>98</v>
      </c>
      <c r="B103" s="23" t="s">
        <v>90</v>
      </c>
      <c r="C103" s="23" t="s">
        <v>331</v>
      </c>
      <c r="D103" s="24">
        <v>3324391.97</v>
      </c>
      <c r="E103" s="24">
        <v>5980320.5700000003</v>
      </c>
      <c r="F103" s="25">
        <f t="shared" si="1"/>
        <v>9304712.5399999991</v>
      </c>
      <c r="G103" s="26"/>
      <c r="H103" s="26"/>
      <c r="I103" s="28"/>
      <c r="J103" s="28"/>
      <c r="K103" s="28"/>
      <c r="L103" s="28"/>
      <c r="M103" s="26"/>
      <c r="N103" s="26"/>
      <c r="O103" s="28"/>
      <c r="P103" s="28"/>
      <c r="Q103" s="28"/>
    </row>
    <row r="104" spans="1:17" ht="18">
      <c r="A104" s="22">
        <v>99</v>
      </c>
      <c r="B104" s="23" t="s">
        <v>90</v>
      </c>
      <c r="C104" s="23" t="s">
        <v>333</v>
      </c>
      <c r="D104" s="24">
        <v>2338341.79</v>
      </c>
      <c r="E104" s="24">
        <v>4206493.5999999996</v>
      </c>
      <c r="F104" s="25">
        <f t="shared" si="1"/>
        <v>6544835.3899999997</v>
      </c>
      <c r="G104" s="26"/>
      <c r="H104" s="26"/>
      <c r="I104" s="28"/>
      <c r="J104" s="28"/>
      <c r="K104" s="28"/>
      <c r="L104" s="28"/>
      <c r="M104" s="26"/>
      <c r="N104" s="26"/>
      <c r="O104" s="28"/>
      <c r="P104" s="28"/>
      <c r="Q104" s="28"/>
    </row>
    <row r="105" spans="1:17" ht="18">
      <c r="A105" s="22">
        <v>100</v>
      </c>
      <c r="B105" s="23" t="s">
        <v>90</v>
      </c>
      <c r="C105" s="23" t="s">
        <v>334</v>
      </c>
      <c r="D105" s="24">
        <v>2678083.79</v>
      </c>
      <c r="E105" s="24">
        <v>4817662.82</v>
      </c>
      <c r="F105" s="25">
        <f t="shared" si="1"/>
        <v>7495746.6100000003</v>
      </c>
      <c r="G105" s="26"/>
      <c r="H105" s="26"/>
      <c r="I105" s="28"/>
      <c r="J105" s="28"/>
      <c r="K105" s="28"/>
      <c r="L105" s="28"/>
      <c r="M105" s="26"/>
      <c r="N105" s="26"/>
      <c r="O105" s="28"/>
      <c r="P105" s="28"/>
      <c r="Q105" s="28"/>
    </row>
    <row r="106" spans="1:17" ht="18">
      <c r="A106" s="22">
        <v>101</v>
      </c>
      <c r="B106" s="23" t="s">
        <v>90</v>
      </c>
      <c r="C106" s="23" t="s">
        <v>336</v>
      </c>
      <c r="D106" s="24">
        <v>2072216.56</v>
      </c>
      <c r="E106" s="24">
        <v>3727755.16</v>
      </c>
      <c r="F106" s="25">
        <f t="shared" si="1"/>
        <v>5799971.7199999997</v>
      </c>
      <c r="G106" s="26"/>
      <c r="H106" s="26"/>
      <c r="I106" s="28"/>
      <c r="J106" s="28"/>
      <c r="K106" s="28"/>
      <c r="L106" s="28"/>
      <c r="M106" s="26"/>
      <c r="N106" s="26"/>
      <c r="O106" s="28"/>
      <c r="P106" s="28"/>
      <c r="Q106" s="28"/>
    </row>
    <row r="107" spans="1:17" ht="18">
      <c r="A107" s="22">
        <v>102</v>
      </c>
      <c r="B107" s="23" t="s">
        <v>90</v>
      </c>
      <c r="C107" s="23" t="s">
        <v>338</v>
      </c>
      <c r="D107" s="24">
        <v>3209043.28</v>
      </c>
      <c r="E107" s="24">
        <v>5772817.3200000003</v>
      </c>
      <c r="F107" s="25">
        <f t="shared" si="1"/>
        <v>8981860.5999999996</v>
      </c>
      <c r="G107" s="26"/>
      <c r="H107" s="26"/>
      <c r="I107" s="28"/>
      <c r="J107" s="28"/>
      <c r="K107" s="28"/>
      <c r="L107" s="28"/>
      <c r="M107" s="26"/>
      <c r="N107" s="26"/>
      <c r="O107" s="28"/>
      <c r="P107" s="28"/>
      <c r="Q107" s="28"/>
    </row>
    <row r="108" spans="1:17" ht="18">
      <c r="A108" s="22">
        <v>103</v>
      </c>
      <c r="B108" s="23" t="s">
        <v>90</v>
      </c>
      <c r="C108" s="23" t="s">
        <v>340</v>
      </c>
      <c r="D108" s="24">
        <v>2639284.9500000002</v>
      </c>
      <c r="E108" s="24">
        <v>4747866.74</v>
      </c>
      <c r="F108" s="25">
        <f t="shared" si="1"/>
        <v>7387151.6900000004</v>
      </c>
      <c r="G108" s="26"/>
      <c r="H108" s="26"/>
      <c r="I108" s="28"/>
      <c r="J108" s="28"/>
      <c r="K108" s="28"/>
      <c r="L108" s="28"/>
      <c r="M108" s="26"/>
      <c r="N108" s="26"/>
      <c r="O108" s="28"/>
      <c r="P108" s="28"/>
      <c r="Q108" s="28"/>
    </row>
    <row r="109" spans="1:17" ht="18">
      <c r="A109" s="22">
        <v>104</v>
      </c>
      <c r="B109" s="23" t="s">
        <v>90</v>
      </c>
      <c r="C109" s="23" t="s">
        <v>342</v>
      </c>
      <c r="D109" s="24">
        <v>3081854.93</v>
      </c>
      <c r="E109" s="24">
        <v>5544015.46</v>
      </c>
      <c r="F109" s="25">
        <f t="shared" si="1"/>
        <v>8625870.3900000006</v>
      </c>
      <c r="G109" s="26"/>
      <c r="H109" s="26"/>
      <c r="I109" s="28"/>
      <c r="J109" s="28"/>
      <c r="K109" s="28"/>
      <c r="L109" s="28"/>
      <c r="M109" s="26"/>
      <c r="N109" s="26"/>
      <c r="O109" s="28"/>
      <c r="P109" s="28"/>
      <c r="Q109" s="28"/>
    </row>
    <row r="110" spans="1:17" ht="18">
      <c r="A110" s="22">
        <v>105</v>
      </c>
      <c r="B110" s="23" t="s">
        <v>90</v>
      </c>
      <c r="C110" s="23" t="s">
        <v>344</v>
      </c>
      <c r="D110" s="24">
        <v>3949328.93</v>
      </c>
      <c r="E110" s="24">
        <v>7104533.1900000004</v>
      </c>
      <c r="F110" s="25">
        <f t="shared" si="1"/>
        <v>11053862.119999999</v>
      </c>
      <c r="G110" s="26"/>
      <c r="H110" s="26"/>
      <c r="I110" s="28"/>
      <c r="J110" s="28"/>
      <c r="K110" s="28"/>
      <c r="L110" s="28"/>
      <c r="M110" s="26"/>
      <c r="N110" s="26"/>
      <c r="O110" s="28"/>
      <c r="P110" s="28"/>
      <c r="Q110" s="28"/>
    </row>
    <row r="111" spans="1:17" ht="18">
      <c r="A111" s="22">
        <v>106</v>
      </c>
      <c r="B111" s="23" t="s">
        <v>90</v>
      </c>
      <c r="C111" s="23" t="s">
        <v>346</v>
      </c>
      <c r="D111" s="24">
        <v>2960733.47</v>
      </c>
      <c r="E111" s="24">
        <v>5326127.4400000004</v>
      </c>
      <c r="F111" s="25">
        <f t="shared" si="1"/>
        <v>8286860.9100000001</v>
      </c>
      <c r="G111" s="26"/>
      <c r="H111" s="26"/>
      <c r="I111" s="28"/>
      <c r="J111" s="28"/>
      <c r="K111" s="28"/>
      <c r="L111" s="28"/>
      <c r="M111" s="26"/>
      <c r="N111" s="26"/>
      <c r="O111" s="28"/>
      <c r="P111" s="28"/>
      <c r="Q111" s="28"/>
    </row>
    <row r="112" spans="1:17" ht="36">
      <c r="A112" s="22">
        <v>107</v>
      </c>
      <c r="B112" s="23" t="s">
        <v>90</v>
      </c>
      <c r="C112" s="23" t="s">
        <v>348</v>
      </c>
      <c r="D112" s="24">
        <v>2912108.39</v>
      </c>
      <c r="E112" s="24">
        <v>5238654.7300000004</v>
      </c>
      <c r="F112" s="25">
        <f t="shared" si="1"/>
        <v>8150763.1200000001</v>
      </c>
      <c r="G112" s="26"/>
      <c r="H112" s="26"/>
      <c r="I112" s="28"/>
      <c r="J112" s="28"/>
      <c r="K112" s="28"/>
      <c r="L112" s="28"/>
      <c r="M112" s="26"/>
      <c r="N112" s="26"/>
      <c r="O112" s="28"/>
      <c r="P112" s="28"/>
      <c r="Q112" s="28"/>
    </row>
    <row r="113" spans="1:17" ht="18">
      <c r="A113" s="22">
        <v>108</v>
      </c>
      <c r="B113" s="23" t="s">
        <v>90</v>
      </c>
      <c r="C113" s="23" t="s">
        <v>350</v>
      </c>
      <c r="D113" s="24">
        <v>4095326.33</v>
      </c>
      <c r="E113" s="24">
        <v>7367171.0599999996</v>
      </c>
      <c r="F113" s="25">
        <f t="shared" si="1"/>
        <v>11462497.390000001</v>
      </c>
      <c r="G113" s="26"/>
      <c r="H113" s="26"/>
      <c r="I113" s="28"/>
      <c r="J113" s="28"/>
      <c r="K113" s="28"/>
      <c r="L113" s="28"/>
      <c r="M113" s="26"/>
      <c r="N113" s="26"/>
      <c r="O113" s="28"/>
      <c r="P113" s="28"/>
      <c r="Q113" s="28"/>
    </row>
    <row r="114" spans="1:17" ht="18">
      <c r="A114" s="22">
        <v>109</v>
      </c>
      <c r="B114" s="23" t="s">
        <v>90</v>
      </c>
      <c r="C114" s="23" t="s">
        <v>352</v>
      </c>
      <c r="D114" s="24">
        <v>2279286.59</v>
      </c>
      <c r="E114" s="24">
        <v>4100257.91</v>
      </c>
      <c r="F114" s="25">
        <f t="shared" si="1"/>
        <v>6379544.5</v>
      </c>
      <c r="G114" s="26"/>
      <c r="H114" s="26"/>
      <c r="I114" s="28"/>
      <c r="J114" s="28"/>
      <c r="K114" s="28"/>
      <c r="L114" s="28"/>
      <c r="M114" s="26"/>
      <c r="N114" s="26"/>
      <c r="O114" s="28"/>
      <c r="P114" s="28"/>
      <c r="Q114" s="28"/>
    </row>
    <row r="115" spans="1:17" ht="18">
      <c r="A115" s="22">
        <v>110</v>
      </c>
      <c r="B115" s="23" t="s">
        <v>90</v>
      </c>
      <c r="C115" s="23" t="s">
        <v>354</v>
      </c>
      <c r="D115" s="24">
        <v>2550454.98</v>
      </c>
      <c r="E115" s="24">
        <v>4588068.59</v>
      </c>
      <c r="F115" s="25">
        <f t="shared" si="1"/>
        <v>7138523.5700000003</v>
      </c>
      <c r="G115" s="26"/>
      <c r="H115" s="26"/>
      <c r="I115" s="28"/>
      <c r="J115" s="28"/>
      <c r="K115" s="28"/>
      <c r="L115" s="28"/>
      <c r="M115" s="26"/>
      <c r="N115" s="26"/>
      <c r="O115" s="28"/>
      <c r="P115" s="28"/>
      <c r="Q115" s="28"/>
    </row>
    <row r="116" spans="1:17" ht="18">
      <c r="A116" s="22">
        <v>111</v>
      </c>
      <c r="B116" s="23" t="s">
        <v>91</v>
      </c>
      <c r="C116" s="23" t="s">
        <v>359</v>
      </c>
      <c r="D116" s="24">
        <v>2896231.01</v>
      </c>
      <c r="E116" s="24">
        <v>5210092.57</v>
      </c>
      <c r="F116" s="25">
        <f t="shared" si="1"/>
        <v>8106323.5800000001</v>
      </c>
      <c r="G116" s="26"/>
      <c r="H116" s="26"/>
      <c r="I116" s="28"/>
      <c r="J116" s="28"/>
      <c r="K116" s="28"/>
      <c r="L116" s="28"/>
      <c r="M116" s="26"/>
      <c r="N116" s="26"/>
      <c r="O116" s="28"/>
      <c r="P116" s="28"/>
      <c r="Q116" s="28"/>
    </row>
    <row r="117" spans="1:17" ht="18">
      <c r="A117" s="22">
        <v>112</v>
      </c>
      <c r="B117" s="23" t="s">
        <v>91</v>
      </c>
      <c r="C117" s="23" t="s">
        <v>361</v>
      </c>
      <c r="D117" s="24">
        <v>3324888.22</v>
      </c>
      <c r="E117" s="24">
        <v>5981213.29</v>
      </c>
      <c r="F117" s="25">
        <f t="shared" si="1"/>
        <v>9306101.5099999998</v>
      </c>
      <c r="G117" s="26"/>
      <c r="H117" s="26"/>
      <c r="I117" s="28"/>
      <c r="J117" s="28"/>
      <c r="K117" s="28"/>
      <c r="L117" s="28"/>
      <c r="M117" s="26"/>
      <c r="N117" s="26"/>
      <c r="O117" s="28"/>
      <c r="P117" s="28"/>
      <c r="Q117" s="28"/>
    </row>
    <row r="118" spans="1:17" ht="36">
      <c r="A118" s="22">
        <v>113</v>
      </c>
      <c r="B118" s="23" t="s">
        <v>91</v>
      </c>
      <c r="C118" s="23" t="s">
        <v>363</v>
      </c>
      <c r="D118" s="24">
        <v>2212716.64</v>
      </c>
      <c r="E118" s="24">
        <v>3980503.79</v>
      </c>
      <c r="F118" s="25">
        <f t="shared" si="1"/>
        <v>6193220.4299999997</v>
      </c>
      <c r="G118" s="26"/>
      <c r="H118" s="26"/>
      <c r="I118" s="28"/>
      <c r="J118" s="28"/>
      <c r="K118" s="28"/>
      <c r="L118" s="28"/>
      <c r="M118" s="26"/>
      <c r="N118" s="26"/>
      <c r="O118" s="28"/>
      <c r="P118" s="28"/>
      <c r="Q118" s="28"/>
    </row>
    <row r="119" spans="1:17" ht="18">
      <c r="A119" s="22">
        <v>114</v>
      </c>
      <c r="B119" s="23" t="s">
        <v>91</v>
      </c>
      <c r="C119" s="23" t="s">
        <v>365</v>
      </c>
      <c r="D119" s="24">
        <v>2728379.58</v>
      </c>
      <c r="E119" s="24">
        <v>4908141.01</v>
      </c>
      <c r="F119" s="25">
        <f t="shared" si="1"/>
        <v>7636520.5899999999</v>
      </c>
      <c r="G119" s="26"/>
      <c r="H119" s="26"/>
      <c r="I119" s="28"/>
      <c r="J119" s="28"/>
      <c r="K119" s="28"/>
      <c r="L119" s="28"/>
      <c r="M119" s="26"/>
      <c r="N119" s="26"/>
      <c r="O119" s="28"/>
      <c r="P119" s="28"/>
      <c r="Q119" s="28"/>
    </row>
    <row r="120" spans="1:17" ht="18">
      <c r="A120" s="22">
        <v>115</v>
      </c>
      <c r="B120" s="23" t="s">
        <v>91</v>
      </c>
      <c r="C120" s="23" t="s">
        <v>367</v>
      </c>
      <c r="D120" s="24">
        <v>2867289.07</v>
      </c>
      <c r="E120" s="24">
        <v>5158028.29</v>
      </c>
      <c r="F120" s="25">
        <f t="shared" si="1"/>
        <v>8025317.3600000003</v>
      </c>
      <c r="G120" s="26"/>
      <c r="H120" s="26"/>
      <c r="I120" s="28"/>
      <c r="J120" s="28"/>
      <c r="K120" s="28"/>
      <c r="L120" s="28"/>
      <c r="M120" s="26"/>
      <c r="N120" s="26"/>
      <c r="O120" s="28"/>
      <c r="P120" s="28"/>
      <c r="Q120" s="28"/>
    </row>
    <row r="121" spans="1:17" ht="18">
      <c r="A121" s="22">
        <v>116</v>
      </c>
      <c r="B121" s="23" t="s">
        <v>91</v>
      </c>
      <c r="C121" s="23" t="s">
        <v>369</v>
      </c>
      <c r="D121" s="24">
        <v>2818990.26</v>
      </c>
      <c r="E121" s="24">
        <v>5071142.51</v>
      </c>
      <c r="F121" s="25">
        <f t="shared" si="1"/>
        <v>7890132.7699999996</v>
      </c>
      <c r="G121" s="26"/>
      <c r="H121" s="26"/>
      <c r="I121" s="28"/>
      <c r="J121" s="28"/>
      <c r="K121" s="28"/>
      <c r="L121" s="28"/>
      <c r="M121" s="26"/>
      <c r="N121" s="26"/>
      <c r="O121" s="28"/>
      <c r="P121" s="28"/>
      <c r="Q121" s="28"/>
    </row>
    <row r="122" spans="1:17" ht="18">
      <c r="A122" s="22">
        <v>117</v>
      </c>
      <c r="B122" s="23" t="s">
        <v>91</v>
      </c>
      <c r="C122" s="23" t="s">
        <v>371</v>
      </c>
      <c r="D122" s="24">
        <v>3894627.87</v>
      </c>
      <c r="E122" s="24">
        <v>7006130.25</v>
      </c>
      <c r="F122" s="25">
        <f t="shared" si="1"/>
        <v>10900758.119999999</v>
      </c>
      <c r="G122" s="26"/>
      <c r="H122" s="26"/>
      <c r="I122" s="28"/>
      <c r="J122" s="28"/>
      <c r="K122" s="28"/>
      <c r="L122" s="28"/>
      <c r="M122" s="26"/>
      <c r="N122" s="26"/>
      <c r="O122" s="28"/>
      <c r="P122" s="28"/>
      <c r="Q122" s="28"/>
    </row>
    <row r="123" spans="1:17" ht="18">
      <c r="A123" s="22">
        <v>118</v>
      </c>
      <c r="B123" s="23" t="s">
        <v>91</v>
      </c>
      <c r="C123" s="23" t="s">
        <v>373</v>
      </c>
      <c r="D123" s="24">
        <v>3594887.1</v>
      </c>
      <c r="E123" s="24">
        <v>6466920.1200000001</v>
      </c>
      <c r="F123" s="25">
        <f t="shared" si="1"/>
        <v>10061807.220000001</v>
      </c>
      <c r="G123" s="26"/>
      <c r="H123" s="26"/>
      <c r="I123" s="28"/>
      <c r="J123" s="28"/>
      <c r="K123" s="28"/>
      <c r="L123" s="28"/>
      <c r="M123" s="26"/>
      <c r="N123" s="26"/>
      <c r="O123" s="28"/>
      <c r="P123" s="28"/>
      <c r="Q123" s="28"/>
    </row>
    <row r="124" spans="1:17" ht="18">
      <c r="A124" s="22">
        <v>119</v>
      </c>
      <c r="B124" s="23" t="s">
        <v>92</v>
      </c>
      <c r="C124" s="23" t="s">
        <v>378</v>
      </c>
      <c r="D124" s="24">
        <v>2864472.48</v>
      </c>
      <c r="E124" s="24">
        <v>5152961.47</v>
      </c>
      <c r="F124" s="25">
        <f t="shared" si="1"/>
        <v>8017433.9500000002</v>
      </c>
      <c r="G124" s="26"/>
      <c r="H124" s="26"/>
      <c r="I124" s="28"/>
      <c r="J124" s="28"/>
      <c r="K124" s="28"/>
      <c r="L124" s="28"/>
      <c r="M124" s="26"/>
      <c r="N124" s="26"/>
      <c r="O124" s="28"/>
      <c r="P124" s="28"/>
      <c r="Q124" s="28"/>
    </row>
    <row r="125" spans="1:17" ht="18">
      <c r="A125" s="22">
        <v>120</v>
      </c>
      <c r="B125" s="23" t="s">
        <v>92</v>
      </c>
      <c r="C125" s="23" t="s">
        <v>380</v>
      </c>
      <c r="D125" s="24">
        <v>2527463.5499999998</v>
      </c>
      <c r="E125" s="24">
        <v>4546708.8099999996</v>
      </c>
      <c r="F125" s="25">
        <f t="shared" si="1"/>
        <v>7074172.3600000003</v>
      </c>
      <c r="G125" s="26"/>
      <c r="H125" s="26"/>
      <c r="I125" s="28"/>
      <c r="J125" s="28"/>
      <c r="K125" s="28"/>
      <c r="L125" s="28"/>
      <c r="M125" s="26"/>
      <c r="N125" s="26"/>
      <c r="O125" s="28"/>
      <c r="P125" s="28"/>
      <c r="Q125" s="28"/>
    </row>
    <row r="126" spans="1:17" ht="18">
      <c r="A126" s="22">
        <v>121</v>
      </c>
      <c r="B126" s="23" t="s">
        <v>92</v>
      </c>
      <c r="C126" s="23" t="s">
        <v>382</v>
      </c>
      <c r="D126" s="24">
        <v>2447336.15</v>
      </c>
      <c r="E126" s="24">
        <v>4402565.9000000004</v>
      </c>
      <c r="F126" s="25">
        <f t="shared" si="1"/>
        <v>6849902.0499999998</v>
      </c>
      <c r="G126" s="26"/>
      <c r="H126" s="26"/>
      <c r="I126" s="28"/>
      <c r="J126" s="28"/>
      <c r="K126" s="28"/>
      <c r="L126" s="28"/>
      <c r="M126" s="26"/>
      <c r="N126" s="26"/>
      <c r="O126" s="28"/>
      <c r="P126" s="28"/>
      <c r="Q126" s="28"/>
    </row>
    <row r="127" spans="1:17" ht="18">
      <c r="A127" s="22">
        <v>122</v>
      </c>
      <c r="B127" s="23" t="s">
        <v>92</v>
      </c>
      <c r="C127" s="23" t="s">
        <v>384</v>
      </c>
      <c r="D127" s="24">
        <v>2901285.01</v>
      </c>
      <c r="E127" s="24">
        <v>5219184.32</v>
      </c>
      <c r="F127" s="25">
        <f t="shared" si="1"/>
        <v>8120469.3300000001</v>
      </c>
      <c r="G127" s="26"/>
      <c r="H127" s="26"/>
      <c r="I127" s="28"/>
      <c r="J127" s="28"/>
      <c r="K127" s="28"/>
      <c r="L127" s="28"/>
      <c r="M127" s="26"/>
      <c r="N127" s="26"/>
      <c r="O127" s="28"/>
      <c r="P127" s="28"/>
      <c r="Q127" s="28"/>
    </row>
    <row r="128" spans="1:17" ht="18">
      <c r="A128" s="22">
        <v>123</v>
      </c>
      <c r="B128" s="23" t="s">
        <v>92</v>
      </c>
      <c r="C128" s="23" t="s">
        <v>386</v>
      </c>
      <c r="D128" s="24">
        <v>3765416.23</v>
      </c>
      <c r="E128" s="24">
        <v>6773688.6500000004</v>
      </c>
      <c r="F128" s="25">
        <f t="shared" si="1"/>
        <v>10539104.880000001</v>
      </c>
      <c r="G128" s="26"/>
      <c r="H128" s="26"/>
      <c r="I128" s="28"/>
      <c r="J128" s="28"/>
      <c r="K128" s="28"/>
      <c r="L128" s="28"/>
      <c r="M128" s="26"/>
      <c r="N128" s="26"/>
      <c r="O128" s="28"/>
      <c r="P128" s="28"/>
      <c r="Q128" s="28"/>
    </row>
    <row r="129" spans="1:17" ht="18">
      <c r="A129" s="22">
        <v>124</v>
      </c>
      <c r="B129" s="23" t="s">
        <v>92</v>
      </c>
      <c r="C129" s="23" t="s">
        <v>388</v>
      </c>
      <c r="D129" s="24">
        <v>3076392.25</v>
      </c>
      <c r="E129" s="24">
        <v>5534188.5300000003</v>
      </c>
      <c r="F129" s="25">
        <f t="shared" si="1"/>
        <v>8610580.7799999993</v>
      </c>
      <c r="G129" s="26"/>
      <c r="H129" s="26"/>
      <c r="I129" s="28"/>
      <c r="J129" s="28"/>
      <c r="K129" s="28"/>
      <c r="L129" s="28"/>
      <c r="M129" s="26"/>
      <c r="N129" s="26"/>
      <c r="O129" s="28"/>
      <c r="P129" s="28"/>
      <c r="Q129" s="28"/>
    </row>
    <row r="130" spans="1:17" ht="18">
      <c r="A130" s="22">
        <v>125</v>
      </c>
      <c r="B130" s="23" t="s">
        <v>92</v>
      </c>
      <c r="C130" s="23" t="s">
        <v>390</v>
      </c>
      <c r="D130" s="24">
        <v>2918245.23</v>
      </c>
      <c r="E130" s="24">
        <v>5249694.42</v>
      </c>
      <c r="F130" s="25">
        <f t="shared" si="1"/>
        <v>8167939.6500000004</v>
      </c>
      <c r="G130" s="26"/>
      <c r="H130" s="26"/>
      <c r="I130" s="28"/>
      <c r="J130" s="28"/>
      <c r="K130" s="28"/>
      <c r="L130" s="28"/>
      <c r="M130" s="26"/>
      <c r="N130" s="26"/>
      <c r="O130" s="28"/>
      <c r="P130" s="28"/>
      <c r="Q130" s="28"/>
    </row>
    <row r="131" spans="1:17" ht="18">
      <c r="A131" s="22">
        <v>126</v>
      </c>
      <c r="B131" s="23" t="s">
        <v>92</v>
      </c>
      <c r="C131" s="23" t="s">
        <v>392</v>
      </c>
      <c r="D131" s="24">
        <v>2507801.34</v>
      </c>
      <c r="E131" s="24">
        <v>4511338.04</v>
      </c>
      <c r="F131" s="25">
        <f t="shared" si="1"/>
        <v>7019139.3799999999</v>
      </c>
      <c r="G131" s="26"/>
      <c r="H131" s="26"/>
      <c r="I131" s="28"/>
      <c r="J131" s="28"/>
      <c r="K131" s="28"/>
      <c r="L131" s="28"/>
      <c r="M131" s="26"/>
      <c r="N131" s="26"/>
      <c r="O131" s="28"/>
      <c r="P131" s="28"/>
      <c r="Q131" s="28"/>
    </row>
    <row r="132" spans="1:17" ht="18">
      <c r="A132" s="22">
        <v>127</v>
      </c>
      <c r="B132" s="23" t="s">
        <v>92</v>
      </c>
      <c r="C132" s="23" t="s">
        <v>394</v>
      </c>
      <c r="D132" s="24">
        <v>3167999.9</v>
      </c>
      <c r="E132" s="24">
        <v>5698983.5</v>
      </c>
      <c r="F132" s="25">
        <f t="shared" si="1"/>
        <v>8866983.4000000004</v>
      </c>
      <c r="G132" s="26"/>
      <c r="H132" s="26"/>
      <c r="I132" s="28"/>
      <c r="J132" s="28"/>
      <c r="K132" s="28"/>
      <c r="L132" s="28"/>
      <c r="M132" s="26"/>
      <c r="N132" s="26"/>
      <c r="O132" s="28"/>
      <c r="P132" s="28"/>
      <c r="Q132" s="28"/>
    </row>
    <row r="133" spans="1:17" ht="18">
      <c r="A133" s="22">
        <v>128</v>
      </c>
      <c r="B133" s="23" t="s">
        <v>92</v>
      </c>
      <c r="C133" s="23" t="s">
        <v>396</v>
      </c>
      <c r="D133" s="24">
        <v>2997287.04</v>
      </c>
      <c r="E133" s="24">
        <v>5391884.4500000002</v>
      </c>
      <c r="F133" s="25">
        <f t="shared" si="1"/>
        <v>8389171.4900000002</v>
      </c>
      <c r="G133" s="26"/>
      <c r="H133" s="26"/>
      <c r="I133" s="28"/>
      <c r="J133" s="28"/>
      <c r="K133" s="28"/>
      <c r="L133" s="28"/>
      <c r="M133" s="26"/>
      <c r="N133" s="26"/>
      <c r="O133" s="28"/>
      <c r="P133" s="28"/>
      <c r="Q133" s="28"/>
    </row>
    <row r="134" spans="1:17" ht="18">
      <c r="A134" s="22">
        <v>129</v>
      </c>
      <c r="B134" s="23" t="s">
        <v>92</v>
      </c>
      <c r="C134" s="23" t="s">
        <v>398</v>
      </c>
      <c r="D134" s="24">
        <v>3431693.63</v>
      </c>
      <c r="E134" s="24">
        <v>6173347.8499999996</v>
      </c>
      <c r="F134" s="25">
        <f t="shared" si="1"/>
        <v>9605041.4800000004</v>
      </c>
      <c r="G134" s="26"/>
      <c r="H134" s="26"/>
      <c r="I134" s="28"/>
      <c r="J134" s="28"/>
      <c r="K134" s="28"/>
      <c r="L134" s="28"/>
      <c r="M134" s="26"/>
      <c r="N134" s="26"/>
      <c r="O134" s="28"/>
      <c r="P134" s="28"/>
      <c r="Q134" s="28"/>
    </row>
    <row r="135" spans="1:17" ht="18">
      <c r="A135" s="22">
        <v>130</v>
      </c>
      <c r="B135" s="23" t="s">
        <v>92</v>
      </c>
      <c r="C135" s="23" t="s">
        <v>400</v>
      </c>
      <c r="D135" s="24">
        <v>2635338.58</v>
      </c>
      <c r="E135" s="24">
        <v>4740767.53</v>
      </c>
      <c r="F135" s="25">
        <f t="shared" ref="F135:F198" si="2">D135+E135</f>
        <v>7376106.1100000003</v>
      </c>
      <c r="G135" s="26"/>
      <c r="H135" s="26"/>
      <c r="I135" s="28"/>
      <c r="J135" s="28"/>
      <c r="K135" s="28"/>
      <c r="L135" s="28"/>
      <c r="M135" s="26"/>
      <c r="N135" s="26"/>
      <c r="O135" s="28"/>
      <c r="P135" s="28"/>
      <c r="Q135" s="28"/>
    </row>
    <row r="136" spans="1:17" ht="18">
      <c r="A136" s="22">
        <v>131</v>
      </c>
      <c r="B136" s="23" t="s">
        <v>92</v>
      </c>
      <c r="C136" s="23" t="s">
        <v>402</v>
      </c>
      <c r="D136" s="24">
        <v>3165661.05</v>
      </c>
      <c r="E136" s="24">
        <v>5694776.0899999999</v>
      </c>
      <c r="F136" s="25">
        <f t="shared" si="2"/>
        <v>8860437.1400000006</v>
      </c>
      <c r="G136" s="26"/>
      <c r="H136" s="26"/>
      <c r="I136" s="28"/>
      <c r="J136" s="28"/>
      <c r="K136" s="28"/>
      <c r="L136" s="28"/>
      <c r="M136" s="26"/>
      <c r="N136" s="26"/>
      <c r="O136" s="28"/>
      <c r="P136" s="28"/>
      <c r="Q136" s="28"/>
    </row>
    <row r="137" spans="1:17" ht="18">
      <c r="A137" s="22">
        <v>132</v>
      </c>
      <c r="B137" s="23" t="s">
        <v>92</v>
      </c>
      <c r="C137" s="23" t="s">
        <v>404</v>
      </c>
      <c r="D137" s="24">
        <v>2338486.48</v>
      </c>
      <c r="E137" s="24">
        <v>4206753.88</v>
      </c>
      <c r="F137" s="25">
        <f t="shared" si="2"/>
        <v>6545240.3600000003</v>
      </c>
      <c r="G137" s="26"/>
      <c r="H137" s="26"/>
      <c r="I137" s="28"/>
      <c r="J137" s="28"/>
      <c r="K137" s="28"/>
      <c r="L137" s="28"/>
      <c r="M137" s="26"/>
      <c r="N137" s="26"/>
      <c r="O137" s="28"/>
      <c r="P137" s="28"/>
      <c r="Q137" s="28"/>
    </row>
    <row r="138" spans="1:17" ht="18">
      <c r="A138" s="22">
        <v>133</v>
      </c>
      <c r="B138" s="23" t="s">
        <v>92</v>
      </c>
      <c r="C138" s="23" t="s">
        <v>406</v>
      </c>
      <c r="D138" s="24">
        <v>2456629.5299999998</v>
      </c>
      <c r="E138" s="24">
        <v>4419283.97</v>
      </c>
      <c r="F138" s="25">
        <f t="shared" si="2"/>
        <v>6875913.5</v>
      </c>
      <c r="G138" s="26"/>
      <c r="H138" s="26"/>
      <c r="I138" s="28"/>
      <c r="J138" s="28"/>
      <c r="K138" s="28"/>
      <c r="L138" s="28"/>
      <c r="M138" s="26"/>
      <c r="N138" s="26"/>
      <c r="O138" s="28"/>
      <c r="P138" s="28"/>
      <c r="Q138" s="28"/>
    </row>
    <row r="139" spans="1:17" ht="18">
      <c r="A139" s="22">
        <v>134</v>
      </c>
      <c r="B139" s="23" t="s">
        <v>92</v>
      </c>
      <c r="C139" s="23" t="s">
        <v>408</v>
      </c>
      <c r="D139" s="24">
        <v>2240745.73</v>
      </c>
      <c r="E139" s="24">
        <v>4030925.92</v>
      </c>
      <c r="F139" s="25">
        <f t="shared" si="2"/>
        <v>6271671.6500000004</v>
      </c>
      <c r="G139" s="26"/>
      <c r="H139" s="26"/>
      <c r="I139" s="28"/>
      <c r="J139" s="28"/>
      <c r="K139" s="28"/>
      <c r="L139" s="28"/>
      <c r="M139" s="26"/>
      <c r="N139" s="26"/>
      <c r="O139" s="28"/>
      <c r="P139" s="28"/>
      <c r="Q139" s="28"/>
    </row>
    <row r="140" spans="1:17" ht="18">
      <c r="A140" s="22">
        <v>135</v>
      </c>
      <c r="B140" s="23" t="s">
        <v>92</v>
      </c>
      <c r="C140" s="23" t="s">
        <v>410</v>
      </c>
      <c r="D140" s="24">
        <v>2835227.86</v>
      </c>
      <c r="E140" s="24">
        <v>5100352.6900000004</v>
      </c>
      <c r="F140" s="25">
        <f t="shared" si="2"/>
        <v>7935580.5499999998</v>
      </c>
      <c r="G140" s="26"/>
      <c r="H140" s="26"/>
      <c r="I140" s="28"/>
      <c r="J140" s="28"/>
      <c r="K140" s="28"/>
      <c r="L140" s="28"/>
      <c r="M140" s="26"/>
      <c r="N140" s="26"/>
      <c r="O140" s="28"/>
      <c r="P140" s="28"/>
      <c r="Q140" s="28"/>
    </row>
    <row r="141" spans="1:17" ht="18">
      <c r="A141" s="22">
        <v>136</v>
      </c>
      <c r="B141" s="23" t="s">
        <v>92</v>
      </c>
      <c r="C141" s="23" t="s">
        <v>412</v>
      </c>
      <c r="D141" s="24">
        <v>2656896.61</v>
      </c>
      <c r="E141" s="24">
        <v>4779548.75</v>
      </c>
      <c r="F141" s="25">
        <f t="shared" si="2"/>
        <v>7436445.3600000003</v>
      </c>
      <c r="G141" s="26"/>
      <c r="H141" s="26"/>
      <c r="I141" s="28"/>
      <c r="J141" s="28"/>
      <c r="K141" s="28"/>
      <c r="L141" s="28"/>
      <c r="M141" s="26"/>
      <c r="N141" s="26"/>
      <c r="O141" s="28"/>
      <c r="P141" s="28"/>
      <c r="Q141" s="28"/>
    </row>
    <row r="142" spans="1:17" ht="18">
      <c r="A142" s="22">
        <v>137</v>
      </c>
      <c r="B142" s="23" t="s">
        <v>92</v>
      </c>
      <c r="C142" s="23" t="s">
        <v>414</v>
      </c>
      <c r="D142" s="24">
        <v>3111714.99</v>
      </c>
      <c r="E142" s="24">
        <v>5597731.3700000001</v>
      </c>
      <c r="F142" s="25">
        <f t="shared" si="2"/>
        <v>8709446.3599999994</v>
      </c>
      <c r="G142" s="26"/>
      <c r="H142" s="26"/>
      <c r="I142" s="28"/>
      <c r="J142" s="28"/>
      <c r="K142" s="28"/>
      <c r="L142" s="28"/>
      <c r="M142" s="26"/>
      <c r="N142" s="26"/>
      <c r="O142" s="28"/>
      <c r="P142" s="28"/>
      <c r="Q142" s="28"/>
    </row>
    <row r="143" spans="1:17" ht="18">
      <c r="A143" s="22">
        <v>138</v>
      </c>
      <c r="B143" s="23" t="s">
        <v>92</v>
      </c>
      <c r="C143" s="23" t="s">
        <v>416</v>
      </c>
      <c r="D143" s="24">
        <v>2156660.4300000002</v>
      </c>
      <c r="E143" s="24">
        <v>3879663.06</v>
      </c>
      <c r="F143" s="25">
        <f t="shared" si="2"/>
        <v>6036323.4900000002</v>
      </c>
      <c r="G143" s="26"/>
      <c r="H143" s="26"/>
      <c r="I143" s="28"/>
      <c r="J143" s="28"/>
      <c r="K143" s="28"/>
      <c r="L143" s="28"/>
      <c r="M143" s="26"/>
      <c r="N143" s="26"/>
      <c r="O143" s="28"/>
      <c r="P143" s="28"/>
      <c r="Q143" s="28"/>
    </row>
    <row r="144" spans="1:17" ht="18">
      <c r="A144" s="22">
        <v>139</v>
      </c>
      <c r="B144" s="23" t="s">
        <v>92</v>
      </c>
      <c r="C144" s="23" t="s">
        <v>418</v>
      </c>
      <c r="D144" s="24">
        <v>2948852.13</v>
      </c>
      <c r="E144" s="24">
        <v>5304753.8499999996</v>
      </c>
      <c r="F144" s="25">
        <f t="shared" si="2"/>
        <v>8253605.9800000004</v>
      </c>
      <c r="G144" s="26"/>
      <c r="H144" s="26"/>
      <c r="I144" s="28"/>
      <c r="J144" s="28"/>
      <c r="K144" s="28"/>
      <c r="L144" s="28"/>
      <c r="M144" s="26"/>
      <c r="N144" s="26"/>
      <c r="O144" s="28"/>
      <c r="P144" s="28"/>
      <c r="Q144" s="28"/>
    </row>
    <row r="145" spans="1:17" ht="18">
      <c r="A145" s="22">
        <v>140</v>
      </c>
      <c r="B145" s="23" t="s">
        <v>92</v>
      </c>
      <c r="C145" s="23" t="s">
        <v>420</v>
      </c>
      <c r="D145" s="24">
        <v>2871350.79</v>
      </c>
      <c r="E145" s="24">
        <v>5165335</v>
      </c>
      <c r="F145" s="25">
        <f t="shared" si="2"/>
        <v>8036685.79</v>
      </c>
      <c r="G145" s="26"/>
      <c r="H145" s="26"/>
      <c r="I145" s="28"/>
      <c r="J145" s="28"/>
      <c r="K145" s="28"/>
      <c r="L145" s="28"/>
      <c r="M145" s="26"/>
      <c r="N145" s="26"/>
      <c r="O145" s="28"/>
      <c r="P145" s="28"/>
      <c r="Q145" s="28"/>
    </row>
    <row r="146" spans="1:17" ht="18">
      <c r="A146" s="22">
        <v>141</v>
      </c>
      <c r="B146" s="23" t="s">
        <v>92</v>
      </c>
      <c r="C146" s="23" t="s">
        <v>422</v>
      </c>
      <c r="D146" s="24">
        <v>3041268.55</v>
      </c>
      <c r="E146" s="24">
        <v>5471003.7400000002</v>
      </c>
      <c r="F146" s="25">
        <f t="shared" si="2"/>
        <v>8512272.2899999991</v>
      </c>
      <c r="G146" s="26"/>
      <c r="H146" s="26"/>
      <c r="I146" s="28"/>
      <c r="J146" s="28"/>
      <c r="K146" s="28"/>
      <c r="L146" s="28"/>
      <c r="M146" s="26"/>
      <c r="N146" s="26"/>
      <c r="O146" s="28"/>
      <c r="P146" s="28"/>
      <c r="Q146" s="28"/>
    </row>
    <row r="147" spans="1:17" ht="18">
      <c r="A147" s="22">
        <v>142</v>
      </c>
      <c r="B147" s="23" t="s">
        <v>93</v>
      </c>
      <c r="C147" s="23" t="s">
        <v>426</v>
      </c>
      <c r="D147" s="24">
        <v>2554056.52</v>
      </c>
      <c r="E147" s="24">
        <v>4594547.49</v>
      </c>
      <c r="F147" s="25">
        <f t="shared" si="2"/>
        <v>7148604.0099999998</v>
      </c>
      <c r="G147" s="26"/>
      <c r="H147" s="26"/>
      <c r="I147" s="28"/>
      <c r="J147" s="28"/>
      <c r="K147" s="28"/>
      <c r="L147" s="28"/>
      <c r="M147" s="26"/>
      <c r="N147" s="26"/>
      <c r="O147" s="28"/>
      <c r="P147" s="28"/>
      <c r="Q147" s="28"/>
    </row>
    <row r="148" spans="1:17" ht="18">
      <c r="A148" s="22">
        <v>143</v>
      </c>
      <c r="B148" s="23" t="s">
        <v>93</v>
      </c>
      <c r="C148" s="23" t="s">
        <v>428</v>
      </c>
      <c r="D148" s="24">
        <v>2469679.35</v>
      </c>
      <c r="E148" s="24">
        <v>4442759.57</v>
      </c>
      <c r="F148" s="25">
        <f t="shared" si="2"/>
        <v>6912438.9199999999</v>
      </c>
      <c r="G148" s="26"/>
      <c r="H148" s="26"/>
      <c r="I148" s="28"/>
      <c r="J148" s="28"/>
      <c r="K148" s="28"/>
      <c r="L148" s="28"/>
      <c r="M148" s="26"/>
      <c r="N148" s="26"/>
      <c r="O148" s="28"/>
      <c r="P148" s="28"/>
      <c r="Q148" s="28"/>
    </row>
    <row r="149" spans="1:17" ht="18">
      <c r="A149" s="22">
        <v>144</v>
      </c>
      <c r="B149" s="23" t="s">
        <v>93</v>
      </c>
      <c r="C149" s="23" t="s">
        <v>430</v>
      </c>
      <c r="D149" s="24">
        <v>3464853.14</v>
      </c>
      <c r="E149" s="24">
        <v>6232999.2199999997</v>
      </c>
      <c r="F149" s="25">
        <f t="shared" si="2"/>
        <v>9697852.3599999994</v>
      </c>
      <c r="G149" s="26"/>
      <c r="H149" s="26"/>
      <c r="I149" s="28"/>
      <c r="J149" s="28"/>
      <c r="K149" s="28"/>
      <c r="L149" s="28"/>
      <c r="M149" s="26"/>
      <c r="N149" s="26"/>
      <c r="O149" s="28"/>
      <c r="P149" s="28"/>
      <c r="Q149" s="28"/>
    </row>
    <row r="150" spans="1:17" ht="18">
      <c r="A150" s="22">
        <v>145</v>
      </c>
      <c r="B150" s="23" t="s">
        <v>93</v>
      </c>
      <c r="C150" s="23" t="s">
        <v>432</v>
      </c>
      <c r="D150" s="24">
        <v>1995860.18</v>
      </c>
      <c r="E150" s="24">
        <v>3590396.02</v>
      </c>
      <c r="F150" s="25">
        <f t="shared" si="2"/>
        <v>5586256.2000000002</v>
      </c>
      <c r="G150" s="26"/>
      <c r="H150" s="26"/>
      <c r="I150" s="28"/>
      <c r="J150" s="28"/>
      <c r="K150" s="28"/>
      <c r="L150" s="28"/>
      <c r="M150" s="26"/>
      <c r="N150" s="26"/>
      <c r="O150" s="28"/>
      <c r="P150" s="28"/>
      <c r="Q150" s="28"/>
    </row>
    <row r="151" spans="1:17" ht="18">
      <c r="A151" s="22">
        <v>146</v>
      </c>
      <c r="B151" s="23" t="s">
        <v>93</v>
      </c>
      <c r="C151" s="23" t="s">
        <v>434</v>
      </c>
      <c r="D151" s="24">
        <v>2762432.64</v>
      </c>
      <c r="E151" s="24">
        <v>4969399.78</v>
      </c>
      <c r="F151" s="25">
        <f t="shared" si="2"/>
        <v>7731832.4199999999</v>
      </c>
      <c r="G151" s="26"/>
      <c r="H151" s="26"/>
      <c r="I151" s="28"/>
      <c r="J151" s="28"/>
      <c r="K151" s="28"/>
      <c r="L151" s="28"/>
      <c r="M151" s="26"/>
      <c r="N151" s="26"/>
      <c r="O151" s="28"/>
      <c r="P151" s="28"/>
      <c r="Q151" s="28"/>
    </row>
    <row r="152" spans="1:17" ht="18">
      <c r="A152" s="22">
        <v>147</v>
      </c>
      <c r="B152" s="23" t="s">
        <v>93</v>
      </c>
      <c r="C152" s="23" t="s">
        <v>436</v>
      </c>
      <c r="D152" s="24">
        <v>1990043.83</v>
      </c>
      <c r="E152" s="24">
        <v>3579932.87</v>
      </c>
      <c r="F152" s="25">
        <f t="shared" si="2"/>
        <v>5569976.7000000002</v>
      </c>
      <c r="G152" s="26"/>
      <c r="H152" s="26"/>
      <c r="I152" s="28"/>
      <c r="J152" s="28"/>
      <c r="K152" s="28"/>
      <c r="L152" s="28"/>
      <c r="M152" s="26"/>
      <c r="N152" s="26"/>
      <c r="O152" s="28"/>
      <c r="P152" s="28"/>
      <c r="Q152" s="28"/>
    </row>
    <row r="153" spans="1:17" ht="18">
      <c r="A153" s="22">
        <v>148</v>
      </c>
      <c r="B153" s="23" t="s">
        <v>93</v>
      </c>
      <c r="C153" s="23" t="s">
        <v>438</v>
      </c>
      <c r="D153" s="24">
        <v>3335959.11</v>
      </c>
      <c r="E153" s="24">
        <v>6001128.9500000002</v>
      </c>
      <c r="F153" s="25">
        <f t="shared" si="2"/>
        <v>9337088.0600000005</v>
      </c>
      <c r="G153" s="26"/>
      <c r="H153" s="26"/>
      <c r="I153" s="28"/>
      <c r="J153" s="28"/>
      <c r="K153" s="28"/>
      <c r="L153" s="28"/>
      <c r="M153" s="26"/>
      <c r="N153" s="26"/>
      <c r="O153" s="28"/>
      <c r="P153" s="28"/>
      <c r="Q153" s="28"/>
    </row>
    <row r="154" spans="1:17" ht="18">
      <c r="A154" s="22">
        <v>149</v>
      </c>
      <c r="B154" s="23" t="s">
        <v>93</v>
      </c>
      <c r="C154" s="23" t="s">
        <v>440</v>
      </c>
      <c r="D154" s="24">
        <v>2207622.7599999998</v>
      </c>
      <c r="E154" s="24">
        <v>3971340.3</v>
      </c>
      <c r="F154" s="25">
        <f t="shared" si="2"/>
        <v>6178963.0599999996</v>
      </c>
      <c r="G154" s="26"/>
      <c r="H154" s="26"/>
      <c r="I154" s="28"/>
      <c r="J154" s="28"/>
      <c r="K154" s="28"/>
      <c r="L154" s="28"/>
      <c r="M154" s="26"/>
      <c r="N154" s="26"/>
      <c r="O154" s="28"/>
      <c r="P154" s="28"/>
      <c r="Q154" s="28"/>
    </row>
    <row r="155" spans="1:17" ht="18">
      <c r="A155" s="22">
        <v>150</v>
      </c>
      <c r="B155" s="23" t="s">
        <v>93</v>
      </c>
      <c r="C155" s="23" t="s">
        <v>442</v>
      </c>
      <c r="D155" s="24">
        <v>2621886.7799999998</v>
      </c>
      <c r="E155" s="24">
        <v>4716568.8099999996</v>
      </c>
      <c r="F155" s="25">
        <f t="shared" si="2"/>
        <v>7338455.5899999999</v>
      </c>
      <c r="G155" s="26"/>
      <c r="H155" s="26"/>
      <c r="I155" s="28"/>
      <c r="J155" s="28"/>
      <c r="K155" s="28"/>
      <c r="L155" s="28"/>
      <c r="M155" s="26"/>
      <c r="N155" s="26"/>
      <c r="O155" s="28"/>
      <c r="P155" s="28"/>
      <c r="Q155" s="28"/>
    </row>
    <row r="156" spans="1:17" ht="18">
      <c r="A156" s="22">
        <v>151</v>
      </c>
      <c r="B156" s="23" t="s">
        <v>93</v>
      </c>
      <c r="C156" s="23" t="s">
        <v>444</v>
      </c>
      <c r="D156" s="24">
        <v>2234796.81</v>
      </c>
      <c r="E156" s="24">
        <v>4020224.28</v>
      </c>
      <c r="F156" s="25">
        <f t="shared" si="2"/>
        <v>6255021.0899999999</v>
      </c>
      <c r="G156" s="26"/>
      <c r="H156" s="26"/>
      <c r="I156" s="28"/>
      <c r="J156" s="28"/>
      <c r="K156" s="28"/>
      <c r="L156" s="28"/>
      <c r="M156" s="26"/>
      <c r="N156" s="26"/>
      <c r="O156" s="28"/>
      <c r="P156" s="28"/>
      <c r="Q156" s="28"/>
    </row>
    <row r="157" spans="1:17" ht="18">
      <c r="A157" s="22">
        <v>152</v>
      </c>
      <c r="B157" s="23" t="s">
        <v>93</v>
      </c>
      <c r="C157" s="23" t="s">
        <v>446</v>
      </c>
      <c r="D157" s="24">
        <v>3219889.81</v>
      </c>
      <c r="E157" s="24">
        <v>5792329.3700000001</v>
      </c>
      <c r="F157" s="25">
        <f t="shared" si="2"/>
        <v>9012219.1799999997</v>
      </c>
      <c r="G157" s="26"/>
      <c r="H157" s="26"/>
      <c r="I157" s="28"/>
      <c r="J157" s="28"/>
      <c r="K157" s="28"/>
      <c r="L157" s="28"/>
      <c r="M157" s="26"/>
      <c r="N157" s="26"/>
      <c r="O157" s="28"/>
      <c r="P157" s="28"/>
      <c r="Q157" s="28"/>
    </row>
    <row r="158" spans="1:17" ht="18">
      <c r="A158" s="22">
        <v>153</v>
      </c>
      <c r="B158" s="23" t="s">
        <v>93</v>
      </c>
      <c r="C158" s="23" t="s">
        <v>448</v>
      </c>
      <c r="D158" s="24">
        <v>2280377.38</v>
      </c>
      <c r="E158" s="24">
        <v>4102220.16</v>
      </c>
      <c r="F158" s="25">
        <f t="shared" si="2"/>
        <v>6382597.54</v>
      </c>
      <c r="G158" s="26"/>
      <c r="H158" s="26"/>
      <c r="I158" s="28"/>
      <c r="J158" s="28"/>
      <c r="K158" s="28"/>
      <c r="L158" s="28"/>
      <c r="M158" s="26"/>
      <c r="N158" s="26"/>
      <c r="O158" s="28"/>
      <c r="P158" s="28"/>
      <c r="Q158" s="28"/>
    </row>
    <row r="159" spans="1:17" ht="18">
      <c r="A159" s="22">
        <v>154</v>
      </c>
      <c r="B159" s="23" t="s">
        <v>93</v>
      </c>
      <c r="C159" s="23" t="s">
        <v>450</v>
      </c>
      <c r="D159" s="24">
        <v>2631024.36</v>
      </c>
      <c r="E159" s="24">
        <v>4733006.59</v>
      </c>
      <c r="F159" s="25">
        <f t="shared" si="2"/>
        <v>7364030.9500000002</v>
      </c>
      <c r="G159" s="26"/>
      <c r="H159" s="26"/>
      <c r="I159" s="28"/>
      <c r="J159" s="28"/>
      <c r="K159" s="28"/>
      <c r="L159" s="28"/>
      <c r="M159" s="26"/>
      <c r="N159" s="26"/>
      <c r="O159" s="28"/>
      <c r="P159" s="28"/>
      <c r="Q159" s="28"/>
    </row>
    <row r="160" spans="1:17" ht="18">
      <c r="A160" s="22">
        <v>155</v>
      </c>
      <c r="B160" s="23" t="s">
        <v>93</v>
      </c>
      <c r="C160" s="23" t="s">
        <v>452</v>
      </c>
      <c r="D160" s="24">
        <v>2325688.4500000002</v>
      </c>
      <c r="E160" s="24">
        <v>4183731.22</v>
      </c>
      <c r="F160" s="25">
        <f t="shared" si="2"/>
        <v>6509419.6699999999</v>
      </c>
      <c r="G160" s="26"/>
      <c r="H160" s="26"/>
      <c r="I160" s="28"/>
      <c r="J160" s="28"/>
      <c r="K160" s="28"/>
      <c r="L160" s="28"/>
      <c r="M160" s="26"/>
      <c r="N160" s="26"/>
      <c r="O160" s="28"/>
      <c r="P160" s="28"/>
      <c r="Q160" s="28"/>
    </row>
    <row r="161" spans="1:17" ht="18">
      <c r="A161" s="22">
        <v>156</v>
      </c>
      <c r="B161" s="23" t="s">
        <v>93</v>
      </c>
      <c r="C161" s="23" t="s">
        <v>454</v>
      </c>
      <c r="D161" s="24">
        <v>2140283.52</v>
      </c>
      <c r="E161" s="24">
        <v>3850202.28</v>
      </c>
      <c r="F161" s="25">
        <f t="shared" si="2"/>
        <v>5990485.7999999998</v>
      </c>
      <c r="G161" s="26"/>
      <c r="H161" s="26"/>
      <c r="I161" s="28"/>
      <c r="J161" s="28"/>
      <c r="K161" s="28"/>
      <c r="L161" s="28"/>
      <c r="M161" s="26"/>
      <c r="N161" s="26"/>
      <c r="O161" s="28"/>
      <c r="P161" s="28"/>
      <c r="Q161" s="28"/>
    </row>
    <row r="162" spans="1:17" ht="18">
      <c r="A162" s="22">
        <v>157</v>
      </c>
      <c r="B162" s="23" t="s">
        <v>93</v>
      </c>
      <c r="C162" s="23" t="s">
        <v>456</v>
      </c>
      <c r="D162" s="24">
        <v>3136114.41</v>
      </c>
      <c r="E162" s="24">
        <v>5641624.0099999998</v>
      </c>
      <c r="F162" s="25">
        <f t="shared" si="2"/>
        <v>8777738.4199999999</v>
      </c>
      <c r="G162" s="26"/>
      <c r="H162" s="26"/>
      <c r="I162" s="28"/>
      <c r="J162" s="28"/>
      <c r="K162" s="28"/>
      <c r="L162" s="28"/>
      <c r="M162" s="26"/>
      <c r="N162" s="26"/>
      <c r="O162" s="28"/>
      <c r="P162" s="28"/>
      <c r="Q162" s="28"/>
    </row>
    <row r="163" spans="1:17" ht="18">
      <c r="A163" s="22">
        <v>158</v>
      </c>
      <c r="B163" s="23" t="s">
        <v>93</v>
      </c>
      <c r="C163" s="23" t="s">
        <v>458</v>
      </c>
      <c r="D163" s="24">
        <v>3232084.7</v>
      </c>
      <c r="E163" s="24">
        <v>5814267.04</v>
      </c>
      <c r="F163" s="25">
        <f t="shared" si="2"/>
        <v>9046351.7400000002</v>
      </c>
      <c r="G163" s="26"/>
      <c r="H163" s="26"/>
      <c r="I163" s="28"/>
      <c r="J163" s="28"/>
      <c r="K163" s="28"/>
      <c r="L163" s="28"/>
      <c r="M163" s="26"/>
      <c r="N163" s="26"/>
      <c r="O163" s="28"/>
      <c r="P163" s="28"/>
      <c r="Q163" s="28"/>
    </row>
    <row r="164" spans="1:17" ht="18">
      <c r="A164" s="22">
        <v>159</v>
      </c>
      <c r="B164" s="23" t="s">
        <v>93</v>
      </c>
      <c r="C164" s="23" t="s">
        <v>460</v>
      </c>
      <c r="D164" s="24">
        <v>1799626.35</v>
      </c>
      <c r="E164" s="24">
        <v>3237386.73</v>
      </c>
      <c r="F164" s="25">
        <f t="shared" si="2"/>
        <v>5037013.08</v>
      </c>
      <c r="G164" s="26"/>
      <c r="H164" s="26"/>
      <c r="I164" s="28"/>
      <c r="J164" s="28"/>
      <c r="K164" s="28"/>
      <c r="L164" s="28"/>
      <c r="M164" s="26"/>
      <c r="N164" s="26"/>
      <c r="O164" s="28"/>
      <c r="P164" s="28"/>
      <c r="Q164" s="28"/>
    </row>
    <row r="165" spans="1:17" ht="18">
      <c r="A165" s="22">
        <v>160</v>
      </c>
      <c r="B165" s="23" t="s">
        <v>93</v>
      </c>
      <c r="C165" s="23" t="s">
        <v>462</v>
      </c>
      <c r="D165" s="24">
        <v>2424446.73</v>
      </c>
      <c r="E165" s="24">
        <v>4361389.63</v>
      </c>
      <c r="F165" s="25">
        <f t="shared" si="2"/>
        <v>6785836.3600000003</v>
      </c>
      <c r="G165" s="26"/>
      <c r="H165" s="26"/>
      <c r="I165" s="28"/>
      <c r="J165" s="28"/>
      <c r="K165" s="28"/>
      <c r="L165" s="28"/>
      <c r="M165" s="26"/>
      <c r="N165" s="26"/>
      <c r="O165" s="28"/>
      <c r="P165" s="28"/>
      <c r="Q165" s="28"/>
    </row>
    <row r="166" spans="1:17" ht="18">
      <c r="A166" s="22">
        <v>161</v>
      </c>
      <c r="B166" s="23" t="s">
        <v>93</v>
      </c>
      <c r="C166" s="23" t="s">
        <v>464</v>
      </c>
      <c r="D166" s="24">
        <v>2869069.98</v>
      </c>
      <c r="E166" s="24">
        <v>5161232</v>
      </c>
      <c r="F166" s="25">
        <f t="shared" si="2"/>
        <v>8030301.9800000004</v>
      </c>
      <c r="G166" s="26"/>
      <c r="H166" s="26"/>
      <c r="I166" s="28"/>
      <c r="J166" s="28"/>
      <c r="K166" s="28"/>
      <c r="L166" s="28"/>
      <c r="M166" s="26"/>
      <c r="N166" s="26"/>
      <c r="O166" s="28"/>
      <c r="P166" s="28"/>
      <c r="Q166" s="28"/>
    </row>
    <row r="167" spans="1:17" ht="36">
      <c r="A167" s="22">
        <v>162</v>
      </c>
      <c r="B167" s="23" t="s">
        <v>93</v>
      </c>
      <c r="C167" s="23" t="s">
        <v>466</v>
      </c>
      <c r="D167" s="24">
        <v>4178051.47</v>
      </c>
      <c r="E167" s="24">
        <v>7515987.1100000003</v>
      </c>
      <c r="F167" s="25">
        <f t="shared" si="2"/>
        <v>11694038.58</v>
      </c>
      <c r="G167" s="26"/>
      <c r="H167" s="26"/>
      <c r="I167" s="28"/>
      <c r="J167" s="28"/>
      <c r="K167" s="28"/>
      <c r="L167" s="28"/>
      <c r="M167" s="26"/>
      <c r="N167" s="26"/>
      <c r="O167" s="28"/>
      <c r="P167" s="28"/>
      <c r="Q167" s="28"/>
    </row>
    <row r="168" spans="1:17" ht="18">
      <c r="A168" s="22">
        <v>163</v>
      </c>
      <c r="B168" s="23" t="s">
        <v>93</v>
      </c>
      <c r="C168" s="23" t="s">
        <v>468</v>
      </c>
      <c r="D168" s="24">
        <v>2609022.25</v>
      </c>
      <c r="E168" s="24">
        <v>4693426.5199999996</v>
      </c>
      <c r="F168" s="25">
        <f t="shared" si="2"/>
        <v>7302448.7699999996</v>
      </c>
      <c r="G168" s="26"/>
      <c r="H168" s="26"/>
      <c r="I168" s="28"/>
      <c r="J168" s="28"/>
      <c r="K168" s="28"/>
      <c r="L168" s="28"/>
      <c r="M168" s="26"/>
      <c r="N168" s="26"/>
      <c r="O168" s="28"/>
      <c r="P168" s="28"/>
      <c r="Q168" s="28"/>
    </row>
    <row r="169" spans="1:17" ht="18">
      <c r="A169" s="22">
        <v>164</v>
      </c>
      <c r="B169" s="23" t="s">
        <v>93</v>
      </c>
      <c r="C169" s="23" t="s">
        <v>470</v>
      </c>
      <c r="D169" s="24">
        <v>2429571.81</v>
      </c>
      <c r="E169" s="24">
        <v>4370609.25</v>
      </c>
      <c r="F169" s="25">
        <f t="shared" si="2"/>
        <v>6800181.0599999996</v>
      </c>
      <c r="G169" s="26"/>
      <c r="H169" s="26"/>
      <c r="I169" s="28"/>
      <c r="J169" s="28"/>
      <c r="K169" s="28"/>
      <c r="L169" s="28"/>
      <c r="M169" s="26"/>
      <c r="N169" s="26"/>
      <c r="O169" s="28"/>
      <c r="P169" s="28"/>
      <c r="Q169" s="28"/>
    </row>
    <row r="170" spans="1:17" ht="18">
      <c r="A170" s="22">
        <v>165</v>
      </c>
      <c r="B170" s="23" t="s">
        <v>93</v>
      </c>
      <c r="C170" s="23" t="s">
        <v>472</v>
      </c>
      <c r="D170" s="24">
        <v>2371492.4500000002</v>
      </c>
      <c r="E170" s="24">
        <v>4266129.0199999996</v>
      </c>
      <c r="F170" s="25">
        <f t="shared" si="2"/>
        <v>6637621.4699999997</v>
      </c>
      <c r="G170" s="26"/>
      <c r="H170" s="26"/>
      <c r="I170" s="28"/>
      <c r="J170" s="28"/>
      <c r="K170" s="28"/>
      <c r="L170" s="28"/>
      <c r="M170" s="26"/>
      <c r="N170" s="26"/>
      <c r="O170" s="28"/>
      <c r="P170" s="28"/>
      <c r="Q170" s="28"/>
    </row>
    <row r="171" spans="1:17" ht="18">
      <c r="A171" s="22">
        <v>166</v>
      </c>
      <c r="B171" s="23" t="s">
        <v>93</v>
      </c>
      <c r="C171" s="23" t="s">
        <v>474</v>
      </c>
      <c r="D171" s="24">
        <v>2712201.91</v>
      </c>
      <c r="E171" s="24">
        <v>4879038.6500000004</v>
      </c>
      <c r="F171" s="25">
        <f t="shared" si="2"/>
        <v>7591240.5599999996</v>
      </c>
      <c r="G171" s="26"/>
      <c r="H171" s="26"/>
      <c r="I171" s="28"/>
      <c r="J171" s="28"/>
      <c r="K171" s="28"/>
      <c r="L171" s="28"/>
      <c r="M171" s="26"/>
      <c r="N171" s="26"/>
      <c r="O171" s="28"/>
      <c r="P171" s="28"/>
      <c r="Q171" s="28"/>
    </row>
    <row r="172" spans="1:17" ht="18">
      <c r="A172" s="22">
        <v>167</v>
      </c>
      <c r="B172" s="23" t="s">
        <v>93</v>
      </c>
      <c r="C172" s="23" t="s">
        <v>476</v>
      </c>
      <c r="D172" s="24">
        <v>2357578.89</v>
      </c>
      <c r="E172" s="24">
        <v>4241099.63</v>
      </c>
      <c r="F172" s="25">
        <f t="shared" si="2"/>
        <v>6598678.5199999996</v>
      </c>
      <c r="G172" s="26"/>
      <c r="H172" s="26"/>
      <c r="I172" s="28"/>
      <c r="J172" s="28"/>
      <c r="K172" s="28"/>
      <c r="L172" s="28"/>
      <c r="M172" s="26"/>
      <c r="N172" s="26"/>
      <c r="O172" s="28"/>
      <c r="P172" s="28"/>
      <c r="Q172" s="28"/>
    </row>
    <row r="173" spans="1:17" ht="18">
      <c r="A173" s="22">
        <v>168</v>
      </c>
      <c r="B173" s="23" t="s">
        <v>93</v>
      </c>
      <c r="C173" s="23" t="s">
        <v>478</v>
      </c>
      <c r="D173" s="24">
        <v>2286535.16</v>
      </c>
      <c r="E173" s="24">
        <v>4113297.53</v>
      </c>
      <c r="F173" s="25">
        <f t="shared" si="2"/>
        <v>6399832.6900000004</v>
      </c>
      <c r="G173" s="26"/>
      <c r="H173" s="26"/>
      <c r="I173" s="28"/>
      <c r="J173" s="28"/>
      <c r="K173" s="28"/>
      <c r="L173" s="28"/>
      <c r="M173" s="26"/>
      <c r="N173" s="26"/>
      <c r="O173" s="28"/>
      <c r="P173" s="28"/>
      <c r="Q173" s="28"/>
    </row>
    <row r="174" spans="1:17" ht="36">
      <c r="A174" s="22">
        <v>169</v>
      </c>
      <c r="B174" s="23" t="s">
        <v>94</v>
      </c>
      <c r="C174" s="23" t="s">
        <v>483</v>
      </c>
      <c r="D174" s="24">
        <v>2424030.96</v>
      </c>
      <c r="E174" s="24">
        <v>4360641.6900000004</v>
      </c>
      <c r="F174" s="25">
        <f t="shared" si="2"/>
        <v>6784672.6500000004</v>
      </c>
      <c r="G174" s="26"/>
      <c r="H174" s="26"/>
      <c r="I174" s="28"/>
      <c r="J174" s="28"/>
      <c r="K174" s="28"/>
      <c r="L174" s="28"/>
      <c r="M174" s="26"/>
      <c r="N174" s="26"/>
      <c r="O174" s="28"/>
      <c r="P174" s="28"/>
      <c r="Q174" s="28"/>
    </row>
    <row r="175" spans="1:17" ht="36">
      <c r="A175" s="22">
        <v>170</v>
      </c>
      <c r="B175" s="23" t="s">
        <v>94</v>
      </c>
      <c r="C175" s="23" t="s">
        <v>485</v>
      </c>
      <c r="D175" s="24">
        <v>3046977.51</v>
      </c>
      <c r="E175" s="24">
        <v>5481273.7000000002</v>
      </c>
      <c r="F175" s="25">
        <f t="shared" si="2"/>
        <v>8528251.2100000009</v>
      </c>
      <c r="G175" s="26"/>
      <c r="H175" s="26"/>
      <c r="I175" s="28"/>
      <c r="J175" s="28"/>
      <c r="K175" s="28"/>
      <c r="L175" s="28"/>
      <c r="M175" s="26"/>
      <c r="N175" s="26"/>
      <c r="O175" s="28"/>
      <c r="P175" s="28"/>
      <c r="Q175" s="28"/>
    </row>
    <row r="176" spans="1:17" ht="36">
      <c r="A176" s="22">
        <v>171</v>
      </c>
      <c r="B176" s="23" t="s">
        <v>94</v>
      </c>
      <c r="C176" s="23" t="s">
        <v>487</v>
      </c>
      <c r="D176" s="24">
        <v>2916854.72</v>
      </c>
      <c r="E176" s="24">
        <v>5247193</v>
      </c>
      <c r="F176" s="25">
        <f t="shared" si="2"/>
        <v>8164047.7199999997</v>
      </c>
      <c r="G176" s="26"/>
      <c r="H176" s="26"/>
      <c r="I176" s="28"/>
      <c r="J176" s="28"/>
      <c r="K176" s="28"/>
      <c r="L176" s="28"/>
      <c r="M176" s="26"/>
      <c r="N176" s="26"/>
      <c r="O176" s="28"/>
      <c r="P176" s="28"/>
      <c r="Q176" s="28"/>
    </row>
    <row r="177" spans="1:17" ht="36">
      <c r="A177" s="22">
        <v>172</v>
      </c>
      <c r="B177" s="23" t="s">
        <v>94</v>
      </c>
      <c r="C177" s="23" t="s">
        <v>489</v>
      </c>
      <c r="D177" s="24">
        <v>1882005.74</v>
      </c>
      <c r="E177" s="24">
        <v>3385580.81</v>
      </c>
      <c r="F177" s="25">
        <f t="shared" si="2"/>
        <v>5267586.55</v>
      </c>
      <c r="G177" s="26"/>
      <c r="H177" s="26"/>
      <c r="I177" s="28"/>
      <c r="J177" s="28"/>
      <c r="K177" s="28"/>
      <c r="L177" s="28"/>
      <c r="M177" s="26"/>
      <c r="N177" s="26"/>
      <c r="O177" s="28"/>
      <c r="P177" s="28"/>
      <c r="Q177" s="28"/>
    </row>
    <row r="178" spans="1:17" ht="36">
      <c r="A178" s="22">
        <v>173</v>
      </c>
      <c r="B178" s="23" t="s">
        <v>94</v>
      </c>
      <c r="C178" s="23" t="s">
        <v>491</v>
      </c>
      <c r="D178" s="24">
        <v>2248190.6</v>
      </c>
      <c r="E178" s="24">
        <v>4044318.66</v>
      </c>
      <c r="F178" s="25">
        <f t="shared" si="2"/>
        <v>6292509.2599999998</v>
      </c>
      <c r="G178" s="26"/>
      <c r="H178" s="26"/>
      <c r="I178" s="28"/>
      <c r="J178" s="28"/>
      <c r="K178" s="28"/>
      <c r="L178" s="28"/>
      <c r="M178" s="26"/>
      <c r="N178" s="26"/>
      <c r="O178" s="28"/>
      <c r="P178" s="28"/>
      <c r="Q178" s="28"/>
    </row>
    <row r="179" spans="1:17" ht="36">
      <c r="A179" s="22">
        <v>174</v>
      </c>
      <c r="B179" s="23" t="s">
        <v>94</v>
      </c>
      <c r="C179" s="23" t="s">
        <v>493</v>
      </c>
      <c r="D179" s="24">
        <v>2586376.52</v>
      </c>
      <c r="E179" s="24">
        <v>4652688.63</v>
      </c>
      <c r="F179" s="25">
        <f t="shared" si="2"/>
        <v>7239065.1500000004</v>
      </c>
      <c r="G179" s="26"/>
      <c r="H179" s="26"/>
      <c r="I179" s="28"/>
      <c r="J179" s="28"/>
      <c r="K179" s="28"/>
      <c r="L179" s="28"/>
      <c r="M179" s="26"/>
      <c r="N179" s="26"/>
      <c r="O179" s="28"/>
      <c r="P179" s="28"/>
      <c r="Q179" s="28"/>
    </row>
    <row r="180" spans="1:17" ht="36">
      <c r="A180" s="22">
        <v>175</v>
      </c>
      <c r="B180" s="23" t="s">
        <v>94</v>
      </c>
      <c r="C180" s="23" t="s">
        <v>495</v>
      </c>
      <c r="D180" s="24">
        <v>2965144.3</v>
      </c>
      <c r="E180" s="24">
        <v>5334062.18</v>
      </c>
      <c r="F180" s="25">
        <f t="shared" si="2"/>
        <v>8299206.4800000004</v>
      </c>
      <c r="G180" s="26"/>
      <c r="H180" s="26"/>
      <c r="I180" s="28"/>
      <c r="J180" s="28"/>
      <c r="K180" s="28"/>
      <c r="L180" s="28"/>
      <c r="M180" s="26"/>
      <c r="N180" s="26"/>
      <c r="O180" s="28"/>
      <c r="P180" s="28"/>
      <c r="Q180" s="28"/>
    </row>
    <row r="181" spans="1:17" ht="36">
      <c r="A181" s="22">
        <v>176</v>
      </c>
      <c r="B181" s="23" t="s">
        <v>94</v>
      </c>
      <c r="C181" s="23" t="s">
        <v>497</v>
      </c>
      <c r="D181" s="24">
        <v>2348850.7400000002</v>
      </c>
      <c r="E181" s="24">
        <v>4225398.37</v>
      </c>
      <c r="F181" s="25">
        <f t="shared" si="2"/>
        <v>6574249.1100000003</v>
      </c>
      <c r="G181" s="26"/>
      <c r="H181" s="26"/>
      <c r="I181" s="28"/>
      <c r="J181" s="28"/>
      <c r="K181" s="28"/>
      <c r="L181" s="28"/>
      <c r="M181" s="26"/>
      <c r="N181" s="26"/>
      <c r="O181" s="28"/>
      <c r="P181" s="28"/>
      <c r="Q181" s="28"/>
    </row>
    <row r="182" spans="1:17" ht="36">
      <c r="A182" s="22">
        <v>177</v>
      </c>
      <c r="B182" s="23" t="s">
        <v>94</v>
      </c>
      <c r="C182" s="23" t="s">
        <v>499</v>
      </c>
      <c r="D182" s="24">
        <v>2503585.37</v>
      </c>
      <c r="E182" s="24">
        <v>4503753.84</v>
      </c>
      <c r="F182" s="25">
        <f t="shared" si="2"/>
        <v>7007339.21</v>
      </c>
      <c r="G182" s="26"/>
      <c r="H182" s="26"/>
      <c r="I182" s="28"/>
      <c r="J182" s="28"/>
      <c r="K182" s="28"/>
      <c r="L182" s="28"/>
      <c r="M182" s="26"/>
      <c r="N182" s="26"/>
      <c r="O182" s="28"/>
      <c r="P182" s="28"/>
      <c r="Q182" s="28"/>
    </row>
    <row r="183" spans="1:17" ht="36">
      <c r="A183" s="22">
        <v>178</v>
      </c>
      <c r="B183" s="23" t="s">
        <v>94</v>
      </c>
      <c r="C183" s="23" t="s">
        <v>501</v>
      </c>
      <c r="D183" s="24">
        <v>1960404.91</v>
      </c>
      <c r="E183" s="24">
        <v>3526614.77</v>
      </c>
      <c r="F183" s="25">
        <f t="shared" si="2"/>
        <v>5487019.6799999997</v>
      </c>
      <c r="G183" s="26"/>
      <c r="H183" s="26"/>
      <c r="I183" s="28"/>
      <c r="J183" s="28"/>
      <c r="K183" s="28"/>
      <c r="L183" s="28"/>
      <c r="M183" s="26"/>
      <c r="N183" s="26"/>
      <c r="O183" s="28"/>
      <c r="P183" s="28"/>
      <c r="Q183" s="28"/>
    </row>
    <row r="184" spans="1:17" ht="36">
      <c r="A184" s="22">
        <v>179</v>
      </c>
      <c r="B184" s="23" t="s">
        <v>94</v>
      </c>
      <c r="C184" s="23" t="s">
        <v>503</v>
      </c>
      <c r="D184" s="24">
        <v>2674944.86</v>
      </c>
      <c r="E184" s="24">
        <v>4812016.13</v>
      </c>
      <c r="F184" s="25">
        <f t="shared" si="2"/>
        <v>7486960.9900000002</v>
      </c>
      <c r="G184" s="26"/>
      <c r="H184" s="26"/>
      <c r="I184" s="28"/>
      <c r="J184" s="28"/>
      <c r="K184" s="28"/>
      <c r="L184" s="28"/>
      <c r="M184" s="26"/>
      <c r="N184" s="26"/>
      <c r="O184" s="28"/>
      <c r="P184" s="28"/>
      <c r="Q184" s="28"/>
    </row>
    <row r="185" spans="1:17" ht="36">
      <c r="A185" s="22">
        <v>180</v>
      </c>
      <c r="B185" s="23" t="s">
        <v>94</v>
      </c>
      <c r="C185" s="23" t="s">
        <v>505</v>
      </c>
      <c r="D185" s="24">
        <v>2308423.4300000002</v>
      </c>
      <c r="E185" s="24">
        <v>4152672.81</v>
      </c>
      <c r="F185" s="25">
        <f t="shared" si="2"/>
        <v>6461096.2400000002</v>
      </c>
      <c r="G185" s="26"/>
      <c r="H185" s="26"/>
      <c r="I185" s="28"/>
      <c r="J185" s="28"/>
      <c r="K185" s="28"/>
      <c r="L185" s="28"/>
      <c r="M185" s="26"/>
      <c r="N185" s="26"/>
      <c r="O185" s="28"/>
      <c r="P185" s="28"/>
      <c r="Q185" s="28"/>
    </row>
    <row r="186" spans="1:17" ht="36">
      <c r="A186" s="22">
        <v>181</v>
      </c>
      <c r="B186" s="23" t="s">
        <v>94</v>
      </c>
      <c r="C186" s="23" t="s">
        <v>507</v>
      </c>
      <c r="D186" s="24">
        <v>2544231.42</v>
      </c>
      <c r="E186" s="24">
        <v>4576872.9000000004</v>
      </c>
      <c r="F186" s="25">
        <f t="shared" si="2"/>
        <v>7121104.3200000003</v>
      </c>
      <c r="G186" s="26"/>
      <c r="H186" s="26"/>
      <c r="I186" s="28"/>
      <c r="J186" s="28"/>
      <c r="K186" s="28"/>
      <c r="L186" s="28"/>
      <c r="M186" s="26"/>
      <c r="N186" s="26"/>
      <c r="O186" s="28"/>
      <c r="P186" s="28"/>
      <c r="Q186" s="28"/>
    </row>
    <row r="187" spans="1:17" ht="36">
      <c r="A187" s="22">
        <v>182</v>
      </c>
      <c r="B187" s="23" t="s">
        <v>94</v>
      </c>
      <c r="C187" s="23" t="s">
        <v>509</v>
      </c>
      <c r="D187" s="24">
        <v>2408716.5499999998</v>
      </c>
      <c r="E187" s="24">
        <v>4333092.26</v>
      </c>
      <c r="F187" s="25">
        <f t="shared" si="2"/>
        <v>6741808.8099999996</v>
      </c>
      <c r="G187" s="26"/>
      <c r="H187" s="26"/>
      <c r="I187" s="28"/>
      <c r="J187" s="28"/>
      <c r="K187" s="28"/>
      <c r="L187" s="28"/>
      <c r="M187" s="26"/>
      <c r="N187" s="26"/>
      <c r="O187" s="28"/>
      <c r="P187" s="28"/>
      <c r="Q187" s="28"/>
    </row>
    <row r="188" spans="1:17" ht="36">
      <c r="A188" s="22">
        <v>183</v>
      </c>
      <c r="B188" s="23" t="s">
        <v>94</v>
      </c>
      <c r="C188" s="23" t="s">
        <v>511</v>
      </c>
      <c r="D188" s="24">
        <v>2732195.6</v>
      </c>
      <c r="E188" s="24">
        <v>4915005.7300000004</v>
      </c>
      <c r="F188" s="25">
        <f t="shared" si="2"/>
        <v>7647201.3300000001</v>
      </c>
      <c r="G188" s="26"/>
      <c r="H188" s="26"/>
      <c r="I188" s="28"/>
      <c r="J188" s="28"/>
      <c r="K188" s="28"/>
      <c r="L188" s="28"/>
      <c r="M188" s="26"/>
      <c r="N188" s="26"/>
      <c r="O188" s="28"/>
      <c r="P188" s="28"/>
      <c r="Q188" s="28"/>
    </row>
    <row r="189" spans="1:17" ht="36">
      <c r="A189" s="22">
        <v>184</v>
      </c>
      <c r="B189" s="23" t="s">
        <v>94</v>
      </c>
      <c r="C189" s="23" t="s">
        <v>513</v>
      </c>
      <c r="D189" s="24">
        <v>2567795.16</v>
      </c>
      <c r="E189" s="24">
        <v>4619262.22</v>
      </c>
      <c r="F189" s="25">
        <f t="shared" si="2"/>
        <v>7187057.3799999999</v>
      </c>
      <c r="G189" s="26"/>
      <c r="H189" s="26"/>
      <c r="I189" s="28"/>
      <c r="J189" s="28"/>
      <c r="K189" s="28"/>
      <c r="L189" s="28"/>
      <c r="M189" s="26"/>
      <c r="N189" s="26"/>
      <c r="O189" s="28"/>
      <c r="P189" s="28"/>
      <c r="Q189" s="28"/>
    </row>
    <row r="190" spans="1:17" ht="36">
      <c r="A190" s="22">
        <v>185</v>
      </c>
      <c r="B190" s="23" t="s">
        <v>94</v>
      </c>
      <c r="C190" s="23" t="s">
        <v>515</v>
      </c>
      <c r="D190" s="24">
        <v>2577917.9900000002</v>
      </c>
      <c r="E190" s="24">
        <v>4637472.4000000004</v>
      </c>
      <c r="F190" s="25">
        <f t="shared" si="2"/>
        <v>7215390.3899999997</v>
      </c>
      <c r="G190" s="26"/>
      <c r="H190" s="26"/>
      <c r="I190" s="28"/>
      <c r="J190" s="28"/>
      <c r="K190" s="28"/>
      <c r="L190" s="28"/>
      <c r="M190" s="26"/>
      <c r="N190" s="26"/>
      <c r="O190" s="28"/>
      <c r="P190" s="28"/>
      <c r="Q190" s="28"/>
    </row>
    <row r="191" spans="1:17" ht="36">
      <c r="A191" s="22">
        <v>186</v>
      </c>
      <c r="B191" s="23" t="s">
        <v>94</v>
      </c>
      <c r="C191" s="23" t="s">
        <v>517</v>
      </c>
      <c r="D191" s="24">
        <v>2842898.4</v>
      </c>
      <c r="E191" s="24">
        <v>5114151.3899999997</v>
      </c>
      <c r="F191" s="25">
        <f t="shared" si="2"/>
        <v>7957049.79</v>
      </c>
      <c r="G191" s="26"/>
      <c r="H191" s="26"/>
      <c r="I191" s="28"/>
      <c r="J191" s="28"/>
      <c r="K191" s="28"/>
      <c r="L191" s="28"/>
      <c r="M191" s="26"/>
      <c r="N191" s="26"/>
      <c r="O191" s="28"/>
      <c r="P191" s="28"/>
      <c r="Q191" s="28"/>
    </row>
    <row r="192" spans="1:17" ht="18">
      <c r="A192" s="22">
        <v>187</v>
      </c>
      <c r="B192" s="23" t="s">
        <v>95</v>
      </c>
      <c r="C192" s="23" t="s">
        <v>522</v>
      </c>
      <c r="D192" s="24">
        <v>1990771.41</v>
      </c>
      <c r="E192" s="24">
        <v>3581241.72</v>
      </c>
      <c r="F192" s="25">
        <f t="shared" si="2"/>
        <v>5572013.1299999999</v>
      </c>
      <c r="G192" s="26"/>
      <c r="H192" s="26"/>
      <c r="I192" s="28"/>
      <c r="J192" s="28"/>
      <c r="K192" s="28"/>
      <c r="L192" s="28"/>
      <c r="M192" s="26"/>
      <c r="N192" s="26"/>
      <c r="O192" s="28"/>
      <c r="P192" s="28"/>
      <c r="Q192" s="28"/>
    </row>
    <row r="193" spans="1:17" ht="18">
      <c r="A193" s="22">
        <v>188</v>
      </c>
      <c r="B193" s="23" t="s">
        <v>95</v>
      </c>
      <c r="C193" s="23" t="s">
        <v>524</v>
      </c>
      <c r="D193" s="24">
        <v>2169861.85</v>
      </c>
      <c r="E193" s="24">
        <v>3903411.38</v>
      </c>
      <c r="F193" s="25">
        <f t="shared" si="2"/>
        <v>6073273.2300000004</v>
      </c>
      <c r="G193" s="26"/>
      <c r="H193" s="26"/>
      <c r="I193" s="28"/>
      <c r="J193" s="28"/>
      <c r="K193" s="28"/>
      <c r="L193" s="28"/>
      <c r="M193" s="26"/>
      <c r="N193" s="26"/>
      <c r="O193" s="28"/>
      <c r="P193" s="28"/>
      <c r="Q193" s="28"/>
    </row>
    <row r="194" spans="1:17" ht="18">
      <c r="A194" s="22">
        <v>189</v>
      </c>
      <c r="B194" s="23" t="s">
        <v>95</v>
      </c>
      <c r="C194" s="23" t="s">
        <v>526</v>
      </c>
      <c r="D194" s="24">
        <v>1854874.3</v>
      </c>
      <c r="E194" s="24">
        <v>3336773.48</v>
      </c>
      <c r="F194" s="25">
        <f t="shared" si="2"/>
        <v>5191647.78</v>
      </c>
      <c r="G194" s="26"/>
      <c r="H194" s="26"/>
      <c r="I194" s="28"/>
      <c r="J194" s="28"/>
      <c r="K194" s="28"/>
      <c r="L194" s="28"/>
      <c r="M194" s="26"/>
      <c r="N194" s="26"/>
      <c r="O194" s="28"/>
      <c r="P194" s="28"/>
      <c r="Q194" s="28"/>
    </row>
    <row r="195" spans="1:17" ht="18">
      <c r="A195" s="22">
        <v>190</v>
      </c>
      <c r="B195" s="23" t="s">
        <v>95</v>
      </c>
      <c r="C195" s="23" t="s">
        <v>528</v>
      </c>
      <c r="D195" s="24">
        <v>2665789.77</v>
      </c>
      <c r="E195" s="24">
        <v>4795546.84</v>
      </c>
      <c r="F195" s="25">
        <f t="shared" si="2"/>
        <v>7461336.6100000003</v>
      </c>
      <c r="G195" s="26"/>
      <c r="H195" s="26"/>
      <c r="I195" s="28"/>
      <c r="J195" s="28"/>
      <c r="K195" s="28"/>
      <c r="L195" s="28"/>
      <c r="M195" s="26"/>
      <c r="N195" s="26"/>
      <c r="O195" s="28"/>
      <c r="P195" s="28"/>
      <c r="Q195" s="28"/>
    </row>
    <row r="196" spans="1:17" ht="18">
      <c r="A196" s="22">
        <v>191</v>
      </c>
      <c r="B196" s="23" t="s">
        <v>95</v>
      </c>
      <c r="C196" s="23" t="s">
        <v>530</v>
      </c>
      <c r="D196" s="24">
        <v>2425454.46</v>
      </c>
      <c r="E196" s="24">
        <v>4363202.45</v>
      </c>
      <c r="F196" s="25">
        <f t="shared" si="2"/>
        <v>6788656.9100000001</v>
      </c>
      <c r="G196" s="26"/>
      <c r="H196" s="26"/>
      <c r="I196" s="28"/>
      <c r="J196" s="28"/>
      <c r="K196" s="28"/>
      <c r="L196" s="28"/>
      <c r="M196" s="26"/>
      <c r="N196" s="26"/>
      <c r="O196" s="28"/>
      <c r="P196" s="28"/>
      <c r="Q196" s="28"/>
    </row>
    <row r="197" spans="1:17" ht="18">
      <c r="A197" s="22">
        <v>192</v>
      </c>
      <c r="B197" s="23" t="s">
        <v>95</v>
      </c>
      <c r="C197" s="23" t="s">
        <v>532</v>
      </c>
      <c r="D197" s="24">
        <v>2484491.7799999998</v>
      </c>
      <c r="E197" s="24">
        <v>4469405.97</v>
      </c>
      <c r="F197" s="25">
        <f t="shared" si="2"/>
        <v>6953897.75</v>
      </c>
      <c r="G197" s="26"/>
      <c r="H197" s="26"/>
      <c r="I197" s="28"/>
      <c r="J197" s="28"/>
      <c r="K197" s="28"/>
      <c r="L197" s="28"/>
      <c r="M197" s="26"/>
      <c r="N197" s="26"/>
      <c r="O197" s="28"/>
      <c r="P197" s="28"/>
      <c r="Q197" s="28"/>
    </row>
    <row r="198" spans="1:17" ht="18">
      <c r="A198" s="22">
        <v>193</v>
      </c>
      <c r="B198" s="23" t="s">
        <v>95</v>
      </c>
      <c r="C198" s="23" t="s">
        <v>534</v>
      </c>
      <c r="D198" s="24">
        <v>2634019.7400000002</v>
      </c>
      <c r="E198" s="24">
        <v>4738395.04</v>
      </c>
      <c r="F198" s="25">
        <f t="shared" si="2"/>
        <v>7372414.7800000003</v>
      </c>
      <c r="G198" s="26"/>
      <c r="H198" s="26"/>
      <c r="I198" s="28"/>
      <c r="J198" s="28"/>
      <c r="K198" s="28"/>
      <c r="L198" s="28"/>
      <c r="M198" s="26"/>
      <c r="N198" s="26"/>
      <c r="O198" s="28"/>
      <c r="P198" s="28"/>
      <c r="Q198" s="28"/>
    </row>
    <row r="199" spans="1:17" ht="18">
      <c r="A199" s="22">
        <v>194</v>
      </c>
      <c r="B199" s="23" t="s">
        <v>95</v>
      </c>
      <c r="C199" s="23" t="s">
        <v>536</v>
      </c>
      <c r="D199" s="24">
        <v>2477334.1</v>
      </c>
      <c r="E199" s="24">
        <v>4456529.8600000003</v>
      </c>
      <c r="F199" s="25">
        <f t="shared" ref="F199:F262" si="3">D199+E199</f>
        <v>6933863.96</v>
      </c>
      <c r="G199" s="26"/>
      <c r="H199" s="26"/>
      <c r="I199" s="28"/>
      <c r="J199" s="28"/>
      <c r="K199" s="28"/>
      <c r="L199" s="28"/>
      <c r="M199" s="26"/>
      <c r="N199" s="26"/>
      <c r="O199" s="28"/>
      <c r="P199" s="28"/>
      <c r="Q199" s="28"/>
    </row>
    <row r="200" spans="1:17" ht="18">
      <c r="A200" s="22">
        <v>195</v>
      </c>
      <c r="B200" s="23" t="s">
        <v>95</v>
      </c>
      <c r="C200" s="23" t="s">
        <v>538</v>
      </c>
      <c r="D200" s="24">
        <v>2330988.8199999998</v>
      </c>
      <c r="E200" s="24">
        <v>4193266.18</v>
      </c>
      <c r="F200" s="25">
        <f t="shared" si="3"/>
        <v>6524255</v>
      </c>
      <c r="G200" s="26"/>
      <c r="H200" s="26"/>
      <c r="I200" s="28"/>
      <c r="J200" s="28"/>
      <c r="K200" s="28"/>
      <c r="L200" s="28"/>
      <c r="M200" s="26"/>
      <c r="N200" s="26"/>
      <c r="O200" s="28"/>
      <c r="P200" s="28"/>
      <c r="Q200" s="28"/>
    </row>
    <row r="201" spans="1:17" ht="18">
      <c r="A201" s="22">
        <v>196</v>
      </c>
      <c r="B201" s="23" t="s">
        <v>95</v>
      </c>
      <c r="C201" s="23" t="s">
        <v>540</v>
      </c>
      <c r="D201" s="24">
        <v>2606565.77</v>
      </c>
      <c r="E201" s="24">
        <v>4689007.5</v>
      </c>
      <c r="F201" s="25">
        <f t="shared" si="3"/>
        <v>7295573.2699999996</v>
      </c>
      <c r="G201" s="26"/>
      <c r="H201" s="26"/>
      <c r="I201" s="28"/>
      <c r="J201" s="28"/>
      <c r="K201" s="28"/>
      <c r="L201" s="28"/>
      <c r="M201" s="26"/>
      <c r="N201" s="26"/>
      <c r="O201" s="28"/>
      <c r="P201" s="28"/>
      <c r="Q201" s="28"/>
    </row>
    <row r="202" spans="1:17" ht="18">
      <c r="A202" s="22">
        <v>197</v>
      </c>
      <c r="B202" s="23" t="s">
        <v>95</v>
      </c>
      <c r="C202" s="23" t="s">
        <v>542</v>
      </c>
      <c r="D202" s="24">
        <v>2190318.62</v>
      </c>
      <c r="E202" s="24">
        <v>3940211.51</v>
      </c>
      <c r="F202" s="25">
        <f t="shared" si="3"/>
        <v>6130530.1299999999</v>
      </c>
      <c r="G202" s="26"/>
      <c r="H202" s="26"/>
      <c r="I202" s="28"/>
      <c r="J202" s="28"/>
      <c r="K202" s="28"/>
      <c r="L202" s="28"/>
      <c r="M202" s="26"/>
      <c r="N202" s="26"/>
      <c r="O202" s="28"/>
      <c r="P202" s="28"/>
      <c r="Q202" s="28"/>
    </row>
    <row r="203" spans="1:17" ht="18">
      <c r="A203" s="22">
        <v>198</v>
      </c>
      <c r="B203" s="23" t="s">
        <v>95</v>
      </c>
      <c r="C203" s="23" t="s">
        <v>544</v>
      </c>
      <c r="D203" s="24">
        <v>2258982.4</v>
      </c>
      <c r="E203" s="24">
        <v>4063732.27</v>
      </c>
      <c r="F203" s="25">
        <f t="shared" si="3"/>
        <v>6322714.6699999999</v>
      </c>
      <c r="G203" s="26"/>
      <c r="H203" s="26"/>
      <c r="I203" s="28"/>
      <c r="J203" s="28"/>
      <c r="K203" s="28"/>
      <c r="L203" s="28"/>
      <c r="M203" s="26"/>
      <c r="N203" s="26"/>
      <c r="O203" s="28"/>
      <c r="P203" s="28"/>
      <c r="Q203" s="28"/>
    </row>
    <row r="204" spans="1:17" ht="18">
      <c r="A204" s="22">
        <v>199</v>
      </c>
      <c r="B204" s="23" t="s">
        <v>95</v>
      </c>
      <c r="C204" s="23" t="s">
        <v>546</v>
      </c>
      <c r="D204" s="24">
        <v>2069179.13</v>
      </c>
      <c r="E204" s="24">
        <v>3722291.06</v>
      </c>
      <c r="F204" s="25">
        <f t="shared" si="3"/>
        <v>5791470.1900000004</v>
      </c>
      <c r="G204" s="26"/>
      <c r="H204" s="26"/>
      <c r="I204" s="28"/>
      <c r="J204" s="28"/>
      <c r="K204" s="28"/>
      <c r="L204" s="28"/>
      <c r="M204" s="26"/>
      <c r="N204" s="26"/>
      <c r="O204" s="28"/>
      <c r="P204" s="28"/>
      <c r="Q204" s="28"/>
    </row>
    <row r="205" spans="1:17" ht="18">
      <c r="A205" s="22">
        <v>200</v>
      </c>
      <c r="B205" s="23" t="s">
        <v>95</v>
      </c>
      <c r="C205" s="23" t="s">
        <v>548</v>
      </c>
      <c r="D205" s="24">
        <v>2026481.72</v>
      </c>
      <c r="E205" s="24">
        <v>3645481.77</v>
      </c>
      <c r="F205" s="25">
        <f t="shared" si="3"/>
        <v>5671963.4900000002</v>
      </c>
      <c r="G205" s="26"/>
      <c r="H205" s="26"/>
      <c r="I205" s="28"/>
      <c r="J205" s="28"/>
      <c r="K205" s="28"/>
      <c r="L205" s="28"/>
      <c r="M205" s="26"/>
      <c r="N205" s="26"/>
      <c r="O205" s="28"/>
      <c r="P205" s="28"/>
      <c r="Q205" s="28"/>
    </row>
    <row r="206" spans="1:17" ht="18">
      <c r="A206" s="22">
        <v>201</v>
      </c>
      <c r="B206" s="23" t="s">
        <v>95</v>
      </c>
      <c r="C206" s="23" t="s">
        <v>550</v>
      </c>
      <c r="D206" s="24">
        <v>2198966.4</v>
      </c>
      <c r="E206" s="24">
        <v>3955768.2</v>
      </c>
      <c r="F206" s="25">
        <f t="shared" si="3"/>
        <v>6154734.5999999996</v>
      </c>
      <c r="G206" s="26"/>
      <c r="H206" s="26"/>
      <c r="I206" s="28"/>
      <c r="J206" s="28"/>
      <c r="K206" s="28"/>
      <c r="L206" s="28"/>
      <c r="M206" s="26"/>
      <c r="N206" s="26"/>
      <c r="O206" s="28"/>
      <c r="P206" s="28"/>
      <c r="Q206" s="28"/>
    </row>
    <row r="207" spans="1:17" ht="18">
      <c r="A207" s="22">
        <v>202</v>
      </c>
      <c r="B207" s="23" t="s">
        <v>95</v>
      </c>
      <c r="C207" s="23" t="s">
        <v>552</v>
      </c>
      <c r="D207" s="24">
        <v>1816000.12</v>
      </c>
      <c r="E207" s="24">
        <v>3266841.86</v>
      </c>
      <c r="F207" s="25">
        <f t="shared" si="3"/>
        <v>5082841.9800000004</v>
      </c>
      <c r="G207" s="26"/>
      <c r="H207" s="26"/>
      <c r="I207" s="28"/>
      <c r="J207" s="28"/>
      <c r="K207" s="28"/>
      <c r="L207" s="28"/>
      <c r="M207" s="26"/>
      <c r="N207" s="26"/>
      <c r="O207" s="28"/>
      <c r="P207" s="28"/>
      <c r="Q207" s="28"/>
    </row>
    <row r="208" spans="1:17" ht="18">
      <c r="A208" s="22">
        <v>203</v>
      </c>
      <c r="B208" s="23" t="s">
        <v>95</v>
      </c>
      <c r="C208" s="23" t="s">
        <v>554</v>
      </c>
      <c r="D208" s="24">
        <v>2287392.54</v>
      </c>
      <c r="E208" s="24">
        <v>4114839.88</v>
      </c>
      <c r="F208" s="25">
        <f t="shared" si="3"/>
        <v>6402232.4199999999</v>
      </c>
      <c r="G208" s="26"/>
      <c r="H208" s="26"/>
      <c r="I208" s="28"/>
      <c r="J208" s="28"/>
      <c r="K208" s="28"/>
      <c r="L208" s="28"/>
      <c r="M208" s="26"/>
      <c r="N208" s="26"/>
      <c r="O208" s="28"/>
      <c r="P208" s="28"/>
      <c r="Q208" s="28"/>
    </row>
    <row r="209" spans="1:17" ht="18">
      <c r="A209" s="22">
        <v>204</v>
      </c>
      <c r="B209" s="23" t="s">
        <v>95</v>
      </c>
      <c r="C209" s="23" t="s">
        <v>556</v>
      </c>
      <c r="D209" s="24">
        <v>2404956.35</v>
      </c>
      <c r="E209" s="24">
        <v>4326327.97</v>
      </c>
      <c r="F209" s="25">
        <f t="shared" si="3"/>
        <v>6731284.3200000003</v>
      </c>
      <c r="G209" s="26"/>
      <c r="H209" s="26"/>
      <c r="I209" s="28"/>
      <c r="J209" s="28"/>
      <c r="K209" s="28"/>
      <c r="L209" s="28"/>
      <c r="M209" s="26"/>
      <c r="N209" s="26"/>
      <c r="O209" s="28"/>
      <c r="P209" s="28"/>
      <c r="Q209" s="28"/>
    </row>
    <row r="210" spans="1:17" ht="18">
      <c r="A210" s="22">
        <v>205</v>
      </c>
      <c r="B210" s="23" t="s">
        <v>95</v>
      </c>
      <c r="C210" s="23" t="s">
        <v>558</v>
      </c>
      <c r="D210" s="24">
        <v>3140803</v>
      </c>
      <c r="E210" s="24">
        <v>5650058.4100000001</v>
      </c>
      <c r="F210" s="25">
        <f t="shared" si="3"/>
        <v>8790861.4100000001</v>
      </c>
      <c r="G210" s="26"/>
      <c r="H210" s="26"/>
      <c r="I210" s="28"/>
      <c r="J210" s="28"/>
      <c r="K210" s="28"/>
      <c r="L210" s="28"/>
      <c r="M210" s="26"/>
      <c r="N210" s="26"/>
      <c r="O210" s="28"/>
      <c r="P210" s="28"/>
      <c r="Q210" s="28"/>
    </row>
    <row r="211" spans="1:17" ht="18">
      <c r="A211" s="22">
        <v>206</v>
      </c>
      <c r="B211" s="23" t="s">
        <v>95</v>
      </c>
      <c r="C211" s="23" t="s">
        <v>560</v>
      </c>
      <c r="D211" s="24">
        <v>2489763.0699999998</v>
      </c>
      <c r="E211" s="24">
        <v>4478888.6100000003</v>
      </c>
      <c r="F211" s="25">
        <f t="shared" si="3"/>
        <v>6968651.6799999997</v>
      </c>
      <c r="G211" s="26"/>
      <c r="H211" s="26"/>
      <c r="I211" s="28"/>
      <c r="J211" s="28"/>
      <c r="K211" s="28"/>
      <c r="L211" s="28"/>
      <c r="M211" s="26"/>
      <c r="N211" s="26"/>
      <c r="O211" s="28"/>
      <c r="P211" s="28"/>
      <c r="Q211" s="28"/>
    </row>
    <row r="212" spans="1:17" ht="18">
      <c r="A212" s="22">
        <v>207</v>
      </c>
      <c r="B212" s="23" t="s">
        <v>95</v>
      </c>
      <c r="C212" s="23" t="s">
        <v>562</v>
      </c>
      <c r="D212" s="24">
        <v>1974603.22</v>
      </c>
      <c r="E212" s="24">
        <v>3552156.41</v>
      </c>
      <c r="F212" s="25">
        <f t="shared" si="3"/>
        <v>5526759.6299999999</v>
      </c>
      <c r="G212" s="26"/>
      <c r="H212" s="26"/>
      <c r="I212" s="28"/>
      <c r="J212" s="28"/>
      <c r="K212" s="28"/>
      <c r="L212" s="28"/>
      <c r="M212" s="26"/>
      <c r="N212" s="26"/>
      <c r="O212" s="28"/>
      <c r="P212" s="28"/>
      <c r="Q212" s="28"/>
    </row>
    <row r="213" spans="1:17" ht="18">
      <c r="A213" s="22">
        <v>208</v>
      </c>
      <c r="B213" s="23" t="s">
        <v>95</v>
      </c>
      <c r="C213" s="23" t="s">
        <v>564</v>
      </c>
      <c r="D213" s="24">
        <v>2320132.4900000002</v>
      </c>
      <c r="E213" s="24">
        <v>4173736.48</v>
      </c>
      <c r="F213" s="25">
        <f t="shared" si="3"/>
        <v>6493868.9699999997</v>
      </c>
      <c r="G213" s="26"/>
      <c r="H213" s="26"/>
      <c r="I213" s="28"/>
      <c r="J213" s="28"/>
      <c r="K213" s="28"/>
      <c r="L213" s="28"/>
      <c r="M213" s="26"/>
      <c r="N213" s="26"/>
      <c r="O213" s="28"/>
      <c r="P213" s="28"/>
      <c r="Q213" s="28"/>
    </row>
    <row r="214" spans="1:17" ht="18">
      <c r="A214" s="22">
        <v>209</v>
      </c>
      <c r="B214" s="23" t="s">
        <v>95</v>
      </c>
      <c r="C214" s="23" t="s">
        <v>566</v>
      </c>
      <c r="D214" s="24">
        <v>2883257.56</v>
      </c>
      <c r="E214" s="24">
        <v>5186754.34</v>
      </c>
      <c r="F214" s="25">
        <f t="shared" si="3"/>
        <v>8070011.9000000004</v>
      </c>
      <c r="G214" s="26"/>
      <c r="H214" s="26"/>
      <c r="I214" s="28"/>
      <c r="J214" s="28"/>
      <c r="K214" s="28"/>
      <c r="L214" s="28"/>
      <c r="M214" s="26"/>
      <c r="N214" s="26"/>
      <c r="O214" s="28"/>
      <c r="P214" s="28"/>
      <c r="Q214" s="28"/>
    </row>
    <row r="215" spans="1:17" ht="18">
      <c r="A215" s="22">
        <v>210</v>
      </c>
      <c r="B215" s="23" t="s">
        <v>95</v>
      </c>
      <c r="C215" s="23" t="s">
        <v>568</v>
      </c>
      <c r="D215" s="24">
        <v>2372752.0099999998</v>
      </c>
      <c r="E215" s="24">
        <v>4268394.87</v>
      </c>
      <c r="F215" s="25">
        <f t="shared" si="3"/>
        <v>6641146.8799999999</v>
      </c>
      <c r="G215" s="26"/>
      <c r="H215" s="26"/>
      <c r="I215" s="28"/>
      <c r="J215" s="28"/>
      <c r="K215" s="28"/>
      <c r="L215" s="28"/>
      <c r="M215" s="26"/>
      <c r="N215" s="26"/>
      <c r="O215" s="28"/>
      <c r="P215" s="28"/>
      <c r="Q215" s="28"/>
    </row>
    <row r="216" spans="1:17" ht="36">
      <c r="A216" s="22">
        <v>211</v>
      </c>
      <c r="B216" s="23" t="s">
        <v>95</v>
      </c>
      <c r="C216" s="23" t="s">
        <v>570</v>
      </c>
      <c r="D216" s="24">
        <v>2278654.67</v>
      </c>
      <c r="E216" s="24">
        <v>4099121.15</v>
      </c>
      <c r="F216" s="25">
        <f t="shared" si="3"/>
        <v>6377775.8200000003</v>
      </c>
      <c r="G216" s="26"/>
      <c r="H216" s="26"/>
      <c r="I216" s="28"/>
      <c r="J216" s="28"/>
      <c r="K216" s="28"/>
      <c r="L216" s="28"/>
      <c r="M216" s="26"/>
      <c r="N216" s="26"/>
      <c r="O216" s="28"/>
      <c r="P216" s="28"/>
      <c r="Q216" s="28"/>
    </row>
    <row r="217" spans="1:17" ht="18">
      <c r="A217" s="22">
        <v>212</v>
      </c>
      <c r="B217" s="23" t="s">
        <v>96</v>
      </c>
      <c r="C217" s="23" t="s">
        <v>575</v>
      </c>
      <c r="D217" s="24">
        <v>2587564.9900000002</v>
      </c>
      <c r="E217" s="24">
        <v>4654826.59</v>
      </c>
      <c r="F217" s="25">
        <f t="shared" si="3"/>
        <v>7242391.5800000001</v>
      </c>
      <c r="G217" s="26"/>
      <c r="H217" s="26"/>
      <c r="I217" s="28"/>
      <c r="J217" s="28"/>
      <c r="K217" s="28"/>
      <c r="L217" s="28"/>
      <c r="M217" s="26"/>
      <c r="N217" s="26"/>
      <c r="O217" s="28"/>
      <c r="P217" s="28"/>
      <c r="Q217" s="28"/>
    </row>
    <row r="218" spans="1:17" ht="18">
      <c r="A218" s="22">
        <v>213</v>
      </c>
      <c r="B218" s="23" t="s">
        <v>96</v>
      </c>
      <c r="C218" s="23" t="s">
        <v>577</v>
      </c>
      <c r="D218" s="24">
        <v>2429719.46</v>
      </c>
      <c r="E218" s="24">
        <v>4370874.8499999996</v>
      </c>
      <c r="F218" s="25">
        <f t="shared" si="3"/>
        <v>6800594.3099999996</v>
      </c>
      <c r="G218" s="26"/>
      <c r="H218" s="26"/>
      <c r="I218" s="28"/>
      <c r="J218" s="28"/>
      <c r="K218" s="28"/>
      <c r="L218" s="28"/>
      <c r="M218" s="26"/>
      <c r="N218" s="26"/>
      <c r="O218" s="28"/>
      <c r="P218" s="28"/>
      <c r="Q218" s="28"/>
    </row>
    <row r="219" spans="1:17" ht="18">
      <c r="A219" s="22">
        <v>214</v>
      </c>
      <c r="B219" s="23" t="s">
        <v>96</v>
      </c>
      <c r="C219" s="23" t="s">
        <v>579</v>
      </c>
      <c r="D219" s="24">
        <v>2450635.9700000002</v>
      </c>
      <c r="E219" s="24">
        <v>4408502.0199999996</v>
      </c>
      <c r="F219" s="25">
        <f t="shared" si="3"/>
        <v>6859137.9900000002</v>
      </c>
      <c r="G219" s="26"/>
      <c r="H219" s="26"/>
      <c r="I219" s="28"/>
      <c r="J219" s="28"/>
      <c r="K219" s="28"/>
      <c r="L219" s="28"/>
      <c r="M219" s="26"/>
      <c r="N219" s="26"/>
      <c r="O219" s="28"/>
      <c r="P219" s="28"/>
      <c r="Q219" s="28"/>
    </row>
    <row r="220" spans="1:17" ht="18">
      <c r="A220" s="22">
        <v>215</v>
      </c>
      <c r="B220" s="23" t="s">
        <v>96</v>
      </c>
      <c r="C220" s="23" t="s">
        <v>96</v>
      </c>
      <c r="D220" s="24">
        <v>2363097.85</v>
      </c>
      <c r="E220" s="24">
        <v>4251027.8099999996</v>
      </c>
      <c r="F220" s="25">
        <f t="shared" si="3"/>
        <v>6614125.6600000001</v>
      </c>
      <c r="G220" s="26"/>
      <c r="H220" s="26"/>
      <c r="I220" s="28"/>
      <c r="J220" s="28"/>
      <c r="K220" s="28"/>
      <c r="L220" s="28"/>
      <c r="M220" s="26"/>
      <c r="N220" s="26"/>
      <c r="O220" s="28"/>
      <c r="P220" s="28"/>
      <c r="Q220" s="28"/>
    </row>
    <row r="221" spans="1:17" ht="18">
      <c r="A221" s="22">
        <v>216</v>
      </c>
      <c r="B221" s="23" t="s">
        <v>96</v>
      </c>
      <c r="C221" s="23" t="s">
        <v>582</v>
      </c>
      <c r="D221" s="24">
        <v>2355429.4700000002</v>
      </c>
      <c r="E221" s="24">
        <v>4237232.99</v>
      </c>
      <c r="F221" s="25">
        <f t="shared" si="3"/>
        <v>6592662.46</v>
      </c>
      <c r="G221" s="26"/>
      <c r="H221" s="26"/>
      <c r="I221" s="28"/>
      <c r="J221" s="28"/>
      <c r="K221" s="28"/>
      <c r="L221" s="28"/>
      <c r="M221" s="26"/>
      <c r="N221" s="26"/>
      <c r="O221" s="28"/>
      <c r="P221" s="28"/>
      <c r="Q221" s="28"/>
    </row>
    <row r="222" spans="1:17" ht="18">
      <c r="A222" s="22">
        <v>217</v>
      </c>
      <c r="B222" s="23" t="s">
        <v>96</v>
      </c>
      <c r="C222" s="23" t="s">
        <v>584</v>
      </c>
      <c r="D222" s="24">
        <v>2448214.4900000002</v>
      </c>
      <c r="E222" s="24">
        <v>4404145.97</v>
      </c>
      <c r="F222" s="25">
        <f t="shared" si="3"/>
        <v>6852360.46</v>
      </c>
      <c r="G222" s="26"/>
      <c r="H222" s="26"/>
      <c r="I222" s="28"/>
      <c r="J222" s="28"/>
      <c r="K222" s="28"/>
      <c r="L222" s="28"/>
      <c r="M222" s="26"/>
      <c r="N222" s="26"/>
      <c r="O222" s="28"/>
      <c r="P222" s="28"/>
      <c r="Q222" s="28"/>
    </row>
    <row r="223" spans="1:17" ht="18">
      <c r="A223" s="22">
        <v>218</v>
      </c>
      <c r="B223" s="23" t="s">
        <v>96</v>
      </c>
      <c r="C223" s="23" t="s">
        <v>586</v>
      </c>
      <c r="D223" s="24">
        <v>2860552.13</v>
      </c>
      <c r="E223" s="24">
        <v>5145909.05</v>
      </c>
      <c r="F223" s="25">
        <f t="shared" si="3"/>
        <v>8006461.1799999997</v>
      </c>
      <c r="G223" s="26"/>
      <c r="H223" s="26"/>
      <c r="I223" s="28"/>
      <c r="J223" s="28"/>
      <c r="K223" s="28"/>
      <c r="L223" s="28"/>
      <c r="M223" s="26"/>
      <c r="N223" s="26"/>
      <c r="O223" s="28"/>
      <c r="P223" s="28"/>
      <c r="Q223" s="28"/>
    </row>
    <row r="224" spans="1:17" ht="18">
      <c r="A224" s="22">
        <v>219</v>
      </c>
      <c r="B224" s="23" t="s">
        <v>96</v>
      </c>
      <c r="C224" s="23" t="s">
        <v>588</v>
      </c>
      <c r="D224" s="24">
        <v>2533800.86</v>
      </c>
      <c r="E224" s="24">
        <v>4558109.1399999997</v>
      </c>
      <c r="F224" s="25">
        <f t="shared" si="3"/>
        <v>7091910</v>
      </c>
      <c r="G224" s="26"/>
      <c r="H224" s="26"/>
      <c r="I224" s="28"/>
      <c r="J224" s="28"/>
      <c r="K224" s="28"/>
      <c r="L224" s="28"/>
      <c r="M224" s="26"/>
      <c r="N224" s="26"/>
      <c r="O224" s="28"/>
      <c r="P224" s="28"/>
      <c r="Q224" s="28"/>
    </row>
    <row r="225" spans="1:17" ht="18">
      <c r="A225" s="22">
        <v>220</v>
      </c>
      <c r="B225" s="23" t="s">
        <v>96</v>
      </c>
      <c r="C225" s="23" t="s">
        <v>590</v>
      </c>
      <c r="D225" s="24">
        <v>2292482.73</v>
      </c>
      <c r="E225" s="24">
        <v>4123996.73</v>
      </c>
      <c r="F225" s="25">
        <f t="shared" si="3"/>
        <v>6416479.46</v>
      </c>
      <c r="G225" s="26"/>
      <c r="H225" s="26"/>
      <c r="I225" s="28"/>
      <c r="J225" s="28"/>
      <c r="K225" s="28"/>
      <c r="L225" s="28"/>
      <c r="M225" s="26"/>
      <c r="N225" s="26"/>
      <c r="O225" s="28"/>
      <c r="P225" s="28"/>
      <c r="Q225" s="28"/>
    </row>
    <row r="226" spans="1:17" ht="18">
      <c r="A226" s="22">
        <v>221</v>
      </c>
      <c r="B226" s="23" t="s">
        <v>96</v>
      </c>
      <c r="C226" s="23" t="s">
        <v>592</v>
      </c>
      <c r="D226" s="24">
        <v>3184248.59</v>
      </c>
      <c r="E226" s="24">
        <v>5728213.6200000001</v>
      </c>
      <c r="F226" s="25">
        <f t="shared" si="3"/>
        <v>8912462.2100000009</v>
      </c>
      <c r="G226" s="26"/>
      <c r="H226" s="26"/>
      <c r="I226" s="28"/>
      <c r="J226" s="28"/>
      <c r="K226" s="28"/>
      <c r="L226" s="28"/>
      <c r="M226" s="26"/>
      <c r="N226" s="26"/>
      <c r="O226" s="28"/>
      <c r="P226" s="28"/>
      <c r="Q226" s="28"/>
    </row>
    <row r="227" spans="1:17" ht="18">
      <c r="A227" s="22">
        <v>222</v>
      </c>
      <c r="B227" s="23" t="s">
        <v>96</v>
      </c>
      <c r="C227" s="23" t="s">
        <v>594</v>
      </c>
      <c r="D227" s="24">
        <v>2470292.5099999998</v>
      </c>
      <c r="E227" s="24">
        <v>4443862.59</v>
      </c>
      <c r="F227" s="25">
        <f t="shared" si="3"/>
        <v>6914155.0999999996</v>
      </c>
      <c r="G227" s="26"/>
      <c r="H227" s="26"/>
      <c r="I227" s="28"/>
      <c r="J227" s="28"/>
      <c r="K227" s="28"/>
      <c r="L227" s="28"/>
      <c r="M227" s="26"/>
      <c r="N227" s="26"/>
      <c r="O227" s="28"/>
      <c r="P227" s="28"/>
      <c r="Q227" s="28"/>
    </row>
    <row r="228" spans="1:17" ht="18">
      <c r="A228" s="22">
        <v>223</v>
      </c>
      <c r="B228" s="23" t="s">
        <v>96</v>
      </c>
      <c r="C228" s="23" t="s">
        <v>596</v>
      </c>
      <c r="D228" s="24">
        <v>2725778.02</v>
      </c>
      <c r="E228" s="24">
        <v>4903461.01</v>
      </c>
      <c r="F228" s="25">
        <f t="shared" si="3"/>
        <v>7629239.0300000003</v>
      </c>
      <c r="G228" s="26"/>
      <c r="H228" s="26"/>
      <c r="I228" s="28"/>
      <c r="J228" s="28"/>
      <c r="K228" s="28"/>
      <c r="L228" s="28"/>
      <c r="M228" s="26"/>
      <c r="N228" s="26"/>
      <c r="O228" s="28"/>
      <c r="P228" s="28"/>
      <c r="Q228" s="28"/>
    </row>
    <row r="229" spans="1:17" ht="18">
      <c r="A229" s="22">
        <v>224</v>
      </c>
      <c r="B229" s="23" t="s">
        <v>96</v>
      </c>
      <c r="C229" s="23" t="s">
        <v>597</v>
      </c>
      <c r="D229" s="24">
        <v>2985403.27</v>
      </c>
      <c r="E229" s="24">
        <v>5370506.4699999997</v>
      </c>
      <c r="F229" s="25">
        <f t="shared" si="3"/>
        <v>8355909.7400000002</v>
      </c>
      <c r="G229" s="26"/>
      <c r="H229" s="26"/>
      <c r="I229" s="28"/>
      <c r="J229" s="28"/>
      <c r="K229" s="28"/>
      <c r="L229" s="28"/>
      <c r="M229" s="26"/>
      <c r="N229" s="26"/>
      <c r="O229" s="28"/>
      <c r="P229" s="28"/>
      <c r="Q229" s="28"/>
    </row>
    <row r="230" spans="1:17" ht="18">
      <c r="A230" s="22">
        <v>225</v>
      </c>
      <c r="B230" s="23" t="s">
        <v>97</v>
      </c>
      <c r="C230" s="23" t="s">
        <v>602</v>
      </c>
      <c r="D230" s="24">
        <v>3099483.07</v>
      </c>
      <c r="E230" s="24">
        <v>5575727.0899999999</v>
      </c>
      <c r="F230" s="25">
        <f t="shared" si="3"/>
        <v>8675210.1600000001</v>
      </c>
      <c r="G230" s="26"/>
      <c r="H230" s="26"/>
      <c r="I230" s="28"/>
      <c r="J230" s="28"/>
      <c r="K230" s="28"/>
      <c r="L230" s="28"/>
      <c r="M230" s="26"/>
      <c r="N230" s="26"/>
      <c r="O230" s="28"/>
      <c r="P230" s="28"/>
      <c r="Q230" s="28"/>
    </row>
    <row r="231" spans="1:17" ht="18">
      <c r="A231" s="22">
        <v>226</v>
      </c>
      <c r="B231" s="23" t="s">
        <v>97</v>
      </c>
      <c r="C231" s="23" t="s">
        <v>604</v>
      </c>
      <c r="D231" s="24">
        <v>2943834.47</v>
      </c>
      <c r="E231" s="24">
        <v>5295727.47</v>
      </c>
      <c r="F231" s="25">
        <f t="shared" si="3"/>
        <v>8239561.9400000004</v>
      </c>
      <c r="G231" s="26"/>
      <c r="H231" s="26"/>
      <c r="I231" s="28"/>
      <c r="J231" s="28"/>
      <c r="K231" s="28"/>
      <c r="L231" s="28"/>
      <c r="M231" s="26"/>
      <c r="N231" s="26"/>
      <c r="O231" s="28"/>
      <c r="P231" s="28"/>
      <c r="Q231" s="28"/>
    </row>
    <row r="232" spans="1:17" ht="18">
      <c r="A232" s="22">
        <v>227</v>
      </c>
      <c r="B232" s="23" t="s">
        <v>97</v>
      </c>
      <c r="C232" s="23" t="s">
        <v>605</v>
      </c>
      <c r="D232" s="24">
        <v>1947989.19</v>
      </c>
      <c r="E232" s="24">
        <v>3504279.86</v>
      </c>
      <c r="F232" s="25">
        <f t="shared" si="3"/>
        <v>5452269.0499999998</v>
      </c>
      <c r="G232" s="26"/>
      <c r="H232" s="26"/>
      <c r="I232" s="28"/>
      <c r="J232" s="28"/>
      <c r="K232" s="28"/>
      <c r="L232" s="28"/>
      <c r="M232" s="26"/>
      <c r="N232" s="26"/>
      <c r="O232" s="28"/>
      <c r="P232" s="28"/>
      <c r="Q232" s="28"/>
    </row>
    <row r="233" spans="1:17" ht="36">
      <c r="A233" s="22">
        <v>228</v>
      </c>
      <c r="B233" s="23" t="s">
        <v>97</v>
      </c>
      <c r="C233" s="23" t="s">
        <v>607</v>
      </c>
      <c r="D233" s="24">
        <v>2005512.27</v>
      </c>
      <c r="E233" s="24">
        <v>3607759.37</v>
      </c>
      <c r="F233" s="25">
        <f t="shared" si="3"/>
        <v>5613271.6399999997</v>
      </c>
      <c r="G233" s="26"/>
      <c r="H233" s="26"/>
      <c r="I233" s="28"/>
      <c r="J233" s="28"/>
      <c r="K233" s="28"/>
      <c r="L233" s="28"/>
      <c r="M233" s="26"/>
      <c r="N233" s="26"/>
      <c r="O233" s="28"/>
      <c r="P233" s="28"/>
      <c r="Q233" s="28"/>
    </row>
    <row r="234" spans="1:17" ht="36">
      <c r="A234" s="22">
        <v>229</v>
      </c>
      <c r="B234" s="23" t="s">
        <v>97</v>
      </c>
      <c r="C234" s="23" t="s">
        <v>609</v>
      </c>
      <c r="D234" s="24">
        <v>2401289.89</v>
      </c>
      <c r="E234" s="24">
        <v>4319732.29</v>
      </c>
      <c r="F234" s="25">
        <f t="shared" si="3"/>
        <v>6721022.1799999997</v>
      </c>
      <c r="G234" s="26"/>
      <c r="H234" s="26"/>
      <c r="I234" s="28"/>
      <c r="J234" s="28"/>
      <c r="K234" s="28"/>
      <c r="L234" s="28"/>
      <c r="M234" s="26"/>
      <c r="N234" s="26"/>
      <c r="O234" s="28"/>
      <c r="P234" s="28"/>
      <c r="Q234" s="28"/>
    </row>
    <row r="235" spans="1:17" ht="18">
      <c r="A235" s="22">
        <v>230</v>
      </c>
      <c r="B235" s="23" t="s">
        <v>97</v>
      </c>
      <c r="C235" s="23" t="s">
        <v>611</v>
      </c>
      <c r="D235" s="24">
        <v>2041009.6</v>
      </c>
      <c r="E235" s="24">
        <v>3671616.28</v>
      </c>
      <c r="F235" s="25">
        <f t="shared" si="3"/>
        <v>5712625.8799999999</v>
      </c>
      <c r="G235" s="26"/>
      <c r="H235" s="26"/>
      <c r="I235" s="28"/>
      <c r="J235" s="28"/>
      <c r="K235" s="28"/>
      <c r="L235" s="28"/>
      <c r="M235" s="26"/>
      <c r="N235" s="26"/>
      <c r="O235" s="28"/>
      <c r="P235" s="28"/>
      <c r="Q235" s="28"/>
    </row>
    <row r="236" spans="1:17" ht="36">
      <c r="A236" s="22">
        <v>231</v>
      </c>
      <c r="B236" s="23" t="s">
        <v>97</v>
      </c>
      <c r="C236" s="23" t="s">
        <v>613</v>
      </c>
      <c r="D236" s="24">
        <v>2042886.88</v>
      </c>
      <c r="E236" s="24">
        <v>3674993.37</v>
      </c>
      <c r="F236" s="25">
        <f t="shared" si="3"/>
        <v>5717880.25</v>
      </c>
      <c r="G236" s="26"/>
      <c r="H236" s="26"/>
      <c r="I236" s="28"/>
      <c r="J236" s="28"/>
      <c r="K236" s="28"/>
      <c r="L236" s="28"/>
      <c r="M236" s="26"/>
      <c r="N236" s="26"/>
      <c r="O236" s="28"/>
      <c r="P236" s="28"/>
      <c r="Q236" s="28"/>
    </row>
    <row r="237" spans="1:17" ht="18">
      <c r="A237" s="22">
        <v>232</v>
      </c>
      <c r="B237" s="23" t="s">
        <v>97</v>
      </c>
      <c r="C237" s="23" t="s">
        <v>615</v>
      </c>
      <c r="D237" s="24">
        <v>2369919.09</v>
      </c>
      <c r="E237" s="24">
        <v>4263298.6900000004</v>
      </c>
      <c r="F237" s="25">
        <f t="shared" si="3"/>
        <v>6633217.7800000003</v>
      </c>
      <c r="G237" s="26"/>
      <c r="H237" s="26"/>
      <c r="I237" s="28"/>
      <c r="J237" s="28"/>
      <c r="K237" s="28"/>
      <c r="L237" s="28"/>
      <c r="M237" s="26"/>
      <c r="N237" s="26"/>
      <c r="O237" s="28"/>
      <c r="P237" s="28"/>
      <c r="Q237" s="28"/>
    </row>
    <row r="238" spans="1:17" ht="18">
      <c r="A238" s="22">
        <v>233</v>
      </c>
      <c r="B238" s="23" t="s">
        <v>97</v>
      </c>
      <c r="C238" s="23" t="s">
        <v>617</v>
      </c>
      <c r="D238" s="24">
        <v>2608386.85</v>
      </c>
      <c r="E238" s="24">
        <v>4692283.49</v>
      </c>
      <c r="F238" s="25">
        <f t="shared" si="3"/>
        <v>7300670.3399999999</v>
      </c>
      <c r="G238" s="26"/>
      <c r="H238" s="26"/>
      <c r="I238" s="28"/>
      <c r="J238" s="28"/>
      <c r="K238" s="28"/>
      <c r="L238" s="28"/>
      <c r="M238" s="26"/>
      <c r="N238" s="26"/>
      <c r="O238" s="28"/>
      <c r="P238" s="28"/>
      <c r="Q238" s="28"/>
    </row>
    <row r="239" spans="1:17" ht="18">
      <c r="A239" s="22">
        <v>234</v>
      </c>
      <c r="B239" s="23" t="s">
        <v>97</v>
      </c>
      <c r="C239" s="23" t="s">
        <v>619</v>
      </c>
      <c r="D239" s="24">
        <v>1897984.2</v>
      </c>
      <c r="E239" s="24">
        <v>3414324.8</v>
      </c>
      <c r="F239" s="25">
        <f t="shared" si="3"/>
        <v>5312309</v>
      </c>
      <c r="G239" s="26"/>
      <c r="H239" s="26"/>
      <c r="I239" s="28"/>
      <c r="J239" s="28"/>
      <c r="K239" s="28"/>
      <c r="L239" s="28"/>
      <c r="M239" s="26"/>
      <c r="N239" s="26"/>
      <c r="O239" s="28"/>
      <c r="P239" s="28"/>
      <c r="Q239" s="28"/>
    </row>
    <row r="240" spans="1:17" ht="18">
      <c r="A240" s="22">
        <v>235</v>
      </c>
      <c r="B240" s="23" t="s">
        <v>97</v>
      </c>
      <c r="C240" s="23" t="s">
        <v>621</v>
      </c>
      <c r="D240" s="24">
        <v>3256729.22</v>
      </c>
      <c r="E240" s="24">
        <v>5858600.5800000001</v>
      </c>
      <c r="F240" s="25">
        <f t="shared" si="3"/>
        <v>9115329.8000000007</v>
      </c>
      <c r="G240" s="26"/>
      <c r="H240" s="26"/>
      <c r="I240" s="28"/>
      <c r="J240" s="28"/>
      <c r="K240" s="28"/>
      <c r="L240" s="28"/>
      <c r="M240" s="26"/>
      <c r="N240" s="26"/>
      <c r="O240" s="28"/>
      <c r="P240" s="28"/>
      <c r="Q240" s="28"/>
    </row>
    <row r="241" spans="1:17" ht="18">
      <c r="A241" s="22">
        <v>236</v>
      </c>
      <c r="B241" s="23" t="s">
        <v>97</v>
      </c>
      <c r="C241" s="23" t="s">
        <v>623</v>
      </c>
      <c r="D241" s="24">
        <v>3351692.49</v>
      </c>
      <c r="E241" s="24">
        <v>6029432.0700000003</v>
      </c>
      <c r="F241" s="25">
        <f t="shared" si="3"/>
        <v>9381124.5600000005</v>
      </c>
      <c r="G241" s="26"/>
      <c r="H241" s="26"/>
      <c r="I241" s="28"/>
      <c r="J241" s="28"/>
      <c r="K241" s="28"/>
      <c r="L241" s="28"/>
      <c r="M241" s="26"/>
      <c r="N241" s="26"/>
      <c r="O241" s="28"/>
      <c r="P241" s="28"/>
      <c r="Q241" s="28"/>
    </row>
    <row r="242" spans="1:17" ht="18">
      <c r="A242" s="22">
        <v>237</v>
      </c>
      <c r="B242" s="23" t="s">
        <v>97</v>
      </c>
      <c r="C242" s="23" t="s">
        <v>625</v>
      </c>
      <c r="D242" s="24">
        <v>2627080.94</v>
      </c>
      <c r="E242" s="24">
        <v>4725912.68</v>
      </c>
      <c r="F242" s="25">
        <f t="shared" si="3"/>
        <v>7352993.6200000001</v>
      </c>
      <c r="G242" s="26"/>
      <c r="H242" s="26"/>
      <c r="I242" s="28"/>
      <c r="J242" s="28"/>
      <c r="K242" s="28"/>
      <c r="L242" s="28"/>
      <c r="M242" s="26"/>
      <c r="N242" s="26"/>
      <c r="O242" s="28"/>
      <c r="P242" s="28"/>
      <c r="Q242" s="28"/>
    </row>
    <row r="243" spans="1:17" ht="36">
      <c r="A243" s="22">
        <v>238</v>
      </c>
      <c r="B243" s="23" t="s">
        <v>97</v>
      </c>
      <c r="C243" s="23" t="s">
        <v>627</v>
      </c>
      <c r="D243" s="24">
        <v>2505381.9700000002</v>
      </c>
      <c r="E243" s="24">
        <v>4506985.78</v>
      </c>
      <c r="F243" s="25">
        <f t="shared" si="3"/>
        <v>7012367.75</v>
      </c>
      <c r="G243" s="26"/>
      <c r="H243" s="26"/>
      <c r="I243" s="28"/>
      <c r="J243" s="28"/>
      <c r="K243" s="28"/>
      <c r="L243" s="28"/>
      <c r="M243" s="26"/>
      <c r="N243" s="26"/>
      <c r="O243" s="28"/>
      <c r="P243" s="28"/>
      <c r="Q243" s="28"/>
    </row>
    <row r="244" spans="1:17" ht="36">
      <c r="A244" s="22">
        <v>239</v>
      </c>
      <c r="B244" s="23" t="s">
        <v>97</v>
      </c>
      <c r="C244" s="23" t="s">
        <v>629</v>
      </c>
      <c r="D244" s="24">
        <v>2734418.28</v>
      </c>
      <c r="E244" s="24">
        <v>4919004.1399999997</v>
      </c>
      <c r="F244" s="25">
        <f t="shared" si="3"/>
        <v>7653422.4199999999</v>
      </c>
      <c r="G244" s="26"/>
      <c r="H244" s="26"/>
      <c r="I244" s="28"/>
      <c r="J244" s="28"/>
      <c r="K244" s="28"/>
      <c r="L244" s="28"/>
      <c r="M244" s="26"/>
      <c r="N244" s="26"/>
      <c r="O244" s="28"/>
      <c r="P244" s="28"/>
      <c r="Q244" s="28"/>
    </row>
    <row r="245" spans="1:17" ht="18">
      <c r="A245" s="22">
        <v>240</v>
      </c>
      <c r="B245" s="23" t="s">
        <v>97</v>
      </c>
      <c r="C245" s="23" t="s">
        <v>631</v>
      </c>
      <c r="D245" s="24">
        <v>2398652.86</v>
      </c>
      <c r="E245" s="24">
        <v>4314988.4800000004</v>
      </c>
      <c r="F245" s="25">
        <f t="shared" si="3"/>
        <v>6713641.3399999999</v>
      </c>
      <c r="G245" s="26"/>
      <c r="H245" s="26"/>
      <c r="I245" s="28"/>
      <c r="J245" s="28"/>
      <c r="K245" s="28"/>
      <c r="L245" s="28"/>
      <c r="M245" s="26"/>
      <c r="N245" s="26"/>
      <c r="O245" s="28"/>
      <c r="P245" s="28"/>
      <c r="Q245" s="28"/>
    </row>
    <row r="246" spans="1:17" ht="18">
      <c r="A246" s="22">
        <v>241</v>
      </c>
      <c r="B246" s="23" t="s">
        <v>97</v>
      </c>
      <c r="C246" s="23" t="s">
        <v>633</v>
      </c>
      <c r="D246" s="24">
        <v>1967221.05</v>
      </c>
      <c r="E246" s="24">
        <v>3538876.47</v>
      </c>
      <c r="F246" s="25">
        <f t="shared" si="3"/>
        <v>5506097.5199999996</v>
      </c>
      <c r="G246" s="26"/>
      <c r="H246" s="26"/>
      <c r="I246" s="28"/>
      <c r="J246" s="28"/>
      <c r="K246" s="28"/>
      <c r="L246" s="28"/>
      <c r="M246" s="26"/>
      <c r="N246" s="26"/>
      <c r="O246" s="28"/>
      <c r="P246" s="28"/>
      <c r="Q246" s="28"/>
    </row>
    <row r="247" spans="1:17" ht="18">
      <c r="A247" s="22">
        <v>242</v>
      </c>
      <c r="B247" s="23" t="s">
        <v>97</v>
      </c>
      <c r="C247" s="23" t="s">
        <v>635</v>
      </c>
      <c r="D247" s="24">
        <v>2448008.13</v>
      </c>
      <c r="E247" s="24">
        <v>4403774.74</v>
      </c>
      <c r="F247" s="25">
        <f t="shared" si="3"/>
        <v>6851782.8700000001</v>
      </c>
      <c r="G247" s="26"/>
      <c r="H247" s="26"/>
      <c r="I247" s="28"/>
      <c r="J247" s="28"/>
      <c r="K247" s="28"/>
      <c r="L247" s="28"/>
      <c r="M247" s="26"/>
      <c r="N247" s="26"/>
      <c r="O247" s="28"/>
      <c r="P247" s="28"/>
      <c r="Q247" s="28"/>
    </row>
    <row r="248" spans="1:17" ht="18">
      <c r="A248" s="22">
        <v>243</v>
      </c>
      <c r="B248" s="23" t="s">
        <v>98</v>
      </c>
      <c r="C248" s="23" t="s">
        <v>639</v>
      </c>
      <c r="D248" s="24">
        <v>2876461.64</v>
      </c>
      <c r="E248" s="24">
        <v>5174529.03</v>
      </c>
      <c r="F248" s="25">
        <f t="shared" si="3"/>
        <v>8050990.6699999999</v>
      </c>
      <c r="G248" s="26"/>
      <c r="H248" s="26"/>
      <c r="I248" s="28"/>
      <c r="J248" s="28"/>
      <c r="K248" s="28"/>
      <c r="L248" s="28"/>
      <c r="M248" s="26"/>
      <c r="N248" s="26"/>
      <c r="O248" s="28"/>
      <c r="P248" s="28"/>
      <c r="Q248" s="28"/>
    </row>
    <row r="249" spans="1:17" ht="18">
      <c r="A249" s="22">
        <v>244</v>
      </c>
      <c r="B249" s="23" t="s">
        <v>98</v>
      </c>
      <c r="C249" s="23" t="s">
        <v>641</v>
      </c>
      <c r="D249" s="24">
        <v>2188792.94</v>
      </c>
      <c r="E249" s="24">
        <v>3937466.93</v>
      </c>
      <c r="F249" s="25">
        <f t="shared" si="3"/>
        <v>6126259.8700000001</v>
      </c>
      <c r="G249" s="26"/>
      <c r="H249" s="26"/>
      <c r="I249" s="28"/>
      <c r="J249" s="28"/>
      <c r="K249" s="28"/>
      <c r="L249" s="28"/>
      <c r="M249" s="26"/>
      <c r="N249" s="26"/>
      <c r="O249" s="28"/>
      <c r="P249" s="28"/>
      <c r="Q249" s="28"/>
    </row>
    <row r="250" spans="1:17" ht="18">
      <c r="A250" s="22">
        <v>245</v>
      </c>
      <c r="B250" s="23" t="s">
        <v>98</v>
      </c>
      <c r="C250" s="23" t="s">
        <v>643</v>
      </c>
      <c r="D250" s="24">
        <v>2086983.29</v>
      </c>
      <c r="E250" s="24">
        <v>3754319.35</v>
      </c>
      <c r="F250" s="25">
        <f t="shared" si="3"/>
        <v>5841302.6399999997</v>
      </c>
      <c r="G250" s="26"/>
      <c r="H250" s="26"/>
      <c r="I250" s="28"/>
      <c r="J250" s="28"/>
      <c r="K250" s="28"/>
      <c r="L250" s="28"/>
      <c r="M250" s="26"/>
      <c r="N250" s="26"/>
      <c r="O250" s="28"/>
      <c r="P250" s="28"/>
      <c r="Q250" s="28"/>
    </row>
    <row r="251" spans="1:17" ht="18">
      <c r="A251" s="22">
        <v>246</v>
      </c>
      <c r="B251" s="23" t="s">
        <v>98</v>
      </c>
      <c r="C251" s="23" t="s">
        <v>645</v>
      </c>
      <c r="D251" s="24">
        <v>2154923.5499999998</v>
      </c>
      <c r="E251" s="24">
        <v>3876538.55</v>
      </c>
      <c r="F251" s="25">
        <f t="shared" si="3"/>
        <v>6031462.0999999996</v>
      </c>
      <c r="G251" s="26"/>
      <c r="H251" s="26"/>
      <c r="I251" s="28"/>
      <c r="J251" s="28"/>
      <c r="K251" s="28"/>
      <c r="L251" s="28"/>
      <c r="M251" s="26"/>
      <c r="N251" s="26"/>
      <c r="O251" s="28"/>
      <c r="P251" s="28"/>
      <c r="Q251" s="28"/>
    </row>
    <row r="252" spans="1:17" ht="36">
      <c r="A252" s="22">
        <v>247</v>
      </c>
      <c r="B252" s="23" t="s">
        <v>98</v>
      </c>
      <c r="C252" s="23" t="s">
        <v>647</v>
      </c>
      <c r="D252" s="24">
        <v>2282483.9700000002</v>
      </c>
      <c r="E252" s="24">
        <v>4106009.75</v>
      </c>
      <c r="F252" s="25">
        <f t="shared" si="3"/>
        <v>6388493.7199999997</v>
      </c>
      <c r="G252" s="26"/>
      <c r="H252" s="26"/>
      <c r="I252" s="28"/>
      <c r="J252" s="28"/>
      <c r="K252" s="28"/>
      <c r="L252" s="28"/>
      <c r="M252" s="26"/>
      <c r="N252" s="26"/>
      <c r="O252" s="28"/>
      <c r="P252" s="28"/>
      <c r="Q252" s="28"/>
    </row>
    <row r="253" spans="1:17" ht="18">
      <c r="A253" s="22">
        <v>248</v>
      </c>
      <c r="B253" s="23" t="s">
        <v>98</v>
      </c>
      <c r="C253" s="23" t="s">
        <v>649</v>
      </c>
      <c r="D253" s="24">
        <v>2326783.02</v>
      </c>
      <c r="E253" s="24">
        <v>4185700.27</v>
      </c>
      <c r="F253" s="25">
        <f t="shared" si="3"/>
        <v>6512483.29</v>
      </c>
      <c r="G253" s="26"/>
      <c r="H253" s="26"/>
      <c r="I253" s="28"/>
      <c r="J253" s="28"/>
      <c r="K253" s="28"/>
      <c r="L253" s="28"/>
      <c r="M253" s="26"/>
      <c r="N253" s="26"/>
      <c r="O253" s="28"/>
      <c r="P253" s="28"/>
      <c r="Q253" s="28"/>
    </row>
    <row r="254" spans="1:17" ht="18">
      <c r="A254" s="22">
        <v>249</v>
      </c>
      <c r="B254" s="23" t="s">
        <v>98</v>
      </c>
      <c r="C254" s="23" t="s">
        <v>651</v>
      </c>
      <c r="D254" s="24">
        <v>1917283.66</v>
      </c>
      <c r="E254" s="24">
        <v>3449043.01</v>
      </c>
      <c r="F254" s="25">
        <f t="shared" si="3"/>
        <v>5366326.67</v>
      </c>
      <c r="G254" s="26"/>
      <c r="H254" s="26"/>
      <c r="I254" s="28"/>
      <c r="J254" s="28"/>
      <c r="K254" s="28"/>
      <c r="L254" s="28"/>
      <c r="M254" s="26"/>
      <c r="N254" s="26"/>
      <c r="O254" s="28"/>
      <c r="P254" s="28"/>
      <c r="Q254" s="28"/>
    </row>
    <row r="255" spans="1:17" ht="18">
      <c r="A255" s="22">
        <v>250</v>
      </c>
      <c r="B255" s="23" t="s">
        <v>98</v>
      </c>
      <c r="C255" s="23" t="s">
        <v>653</v>
      </c>
      <c r="D255" s="24">
        <v>2361940.09</v>
      </c>
      <c r="E255" s="24">
        <v>4248945.08</v>
      </c>
      <c r="F255" s="25">
        <f t="shared" si="3"/>
        <v>6610885.1699999999</v>
      </c>
      <c r="G255" s="26"/>
      <c r="H255" s="26"/>
      <c r="I255" s="28"/>
      <c r="J255" s="28"/>
      <c r="K255" s="28"/>
      <c r="L255" s="28"/>
      <c r="M255" s="26"/>
      <c r="N255" s="26"/>
      <c r="O255" s="28"/>
      <c r="P255" s="28"/>
      <c r="Q255" s="28"/>
    </row>
    <row r="256" spans="1:17" ht="18">
      <c r="A256" s="22">
        <v>251</v>
      </c>
      <c r="B256" s="23" t="s">
        <v>98</v>
      </c>
      <c r="C256" s="23" t="s">
        <v>655</v>
      </c>
      <c r="D256" s="24">
        <v>2527182.0099999998</v>
      </c>
      <c r="E256" s="24">
        <v>4546202.3499999996</v>
      </c>
      <c r="F256" s="25">
        <f t="shared" si="3"/>
        <v>7073384.3600000003</v>
      </c>
      <c r="G256" s="26"/>
      <c r="H256" s="26"/>
      <c r="I256" s="28"/>
      <c r="J256" s="28"/>
      <c r="K256" s="28"/>
      <c r="L256" s="28"/>
      <c r="M256" s="26"/>
      <c r="N256" s="26"/>
      <c r="O256" s="28"/>
      <c r="P256" s="28"/>
      <c r="Q256" s="28"/>
    </row>
    <row r="257" spans="1:17" ht="18">
      <c r="A257" s="22">
        <v>252</v>
      </c>
      <c r="B257" s="23" t="s">
        <v>98</v>
      </c>
      <c r="C257" s="23" t="s">
        <v>657</v>
      </c>
      <c r="D257" s="24">
        <v>2206784.87</v>
      </c>
      <c r="E257" s="24">
        <v>3969833.01</v>
      </c>
      <c r="F257" s="25">
        <f t="shared" si="3"/>
        <v>6176617.8799999999</v>
      </c>
      <c r="G257" s="26"/>
      <c r="H257" s="26"/>
      <c r="I257" s="28"/>
      <c r="J257" s="28"/>
      <c r="K257" s="28"/>
      <c r="L257" s="28"/>
      <c r="M257" s="26"/>
      <c r="N257" s="26"/>
      <c r="O257" s="28"/>
      <c r="P257" s="28"/>
      <c r="Q257" s="28"/>
    </row>
    <row r="258" spans="1:17" ht="18">
      <c r="A258" s="22">
        <v>253</v>
      </c>
      <c r="B258" s="23" t="s">
        <v>98</v>
      </c>
      <c r="C258" s="23" t="s">
        <v>659</v>
      </c>
      <c r="D258" s="24">
        <v>2364933.85</v>
      </c>
      <c r="E258" s="24">
        <v>4254330.62</v>
      </c>
      <c r="F258" s="25">
        <f t="shared" si="3"/>
        <v>6619264.4699999997</v>
      </c>
      <c r="G258" s="26"/>
      <c r="H258" s="26"/>
      <c r="I258" s="28"/>
      <c r="J258" s="28"/>
      <c r="K258" s="28"/>
      <c r="L258" s="28"/>
      <c r="M258" s="26"/>
      <c r="N258" s="26"/>
      <c r="O258" s="28"/>
      <c r="P258" s="28"/>
      <c r="Q258" s="28"/>
    </row>
    <row r="259" spans="1:17" ht="18">
      <c r="A259" s="22">
        <v>254</v>
      </c>
      <c r="B259" s="23" t="s">
        <v>98</v>
      </c>
      <c r="C259" s="23" t="s">
        <v>661</v>
      </c>
      <c r="D259" s="24">
        <v>1659616.66</v>
      </c>
      <c r="E259" s="24">
        <v>2985520.28</v>
      </c>
      <c r="F259" s="25">
        <f t="shared" si="3"/>
        <v>4645136.9400000004</v>
      </c>
      <c r="G259" s="26"/>
      <c r="H259" s="26"/>
      <c r="I259" s="28"/>
      <c r="J259" s="28"/>
      <c r="K259" s="28"/>
      <c r="L259" s="28"/>
      <c r="M259" s="26"/>
      <c r="N259" s="26"/>
      <c r="O259" s="28"/>
      <c r="P259" s="28"/>
      <c r="Q259" s="28"/>
    </row>
    <row r="260" spans="1:17" ht="36">
      <c r="A260" s="22">
        <v>255</v>
      </c>
      <c r="B260" s="23" t="s">
        <v>98</v>
      </c>
      <c r="C260" s="23" t="s">
        <v>663</v>
      </c>
      <c r="D260" s="24">
        <v>2103452.12</v>
      </c>
      <c r="E260" s="24">
        <v>3783945.49</v>
      </c>
      <c r="F260" s="25">
        <f t="shared" si="3"/>
        <v>5887397.6100000003</v>
      </c>
      <c r="G260" s="26"/>
      <c r="H260" s="26"/>
      <c r="I260" s="28"/>
      <c r="J260" s="28"/>
      <c r="K260" s="28"/>
      <c r="L260" s="28"/>
      <c r="M260" s="26"/>
      <c r="N260" s="26"/>
      <c r="O260" s="28"/>
      <c r="P260" s="28"/>
      <c r="Q260" s="28"/>
    </row>
    <row r="261" spans="1:17" ht="18">
      <c r="A261" s="22">
        <v>256</v>
      </c>
      <c r="B261" s="23" t="s">
        <v>98</v>
      </c>
      <c r="C261" s="23" t="s">
        <v>665</v>
      </c>
      <c r="D261" s="24">
        <v>2052626.7</v>
      </c>
      <c r="E261" s="24">
        <v>3692514.54</v>
      </c>
      <c r="F261" s="25">
        <f t="shared" si="3"/>
        <v>5745141.2400000002</v>
      </c>
      <c r="G261" s="26"/>
      <c r="H261" s="26"/>
      <c r="I261" s="28"/>
      <c r="J261" s="28"/>
      <c r="K261" s="28"/>
      <c r="L261" s="28"/>
      <c r="M261" s="26"/>
      <c r="N261" s="26"/>
      <c r="O261" s="28"/>
      <c r="P261" s="28"/>
      <c r="Q261" s="28"/>
    </row>
    <row r="262" spans="1:17" ht="18">
      <c r="A262" s="22">
        <v>257</v>
      </c>
      <c r="B262" s="23" t="s">
        <v>98</v>
      </c>
      <c r="C262" s="23" t="s">
        <v>667</v>
      </c>
      <c r="D262" s="24">
        <v>2201469.83</v>
      </c>
      <c r="E262" s="24">
        <v>3960271.66</v>
      </c>
      <c r="F262" s="25">
        <f t="shared" si="3"/>
        <v>6161741.4900000002</v>
      </c>
      <c r="G262" s="26"/>
      <c r="H262" s="26"/>
      <c r="I262" s="28"/>
      <c r="J262" s="28"/>
      <c r="K262" s="28"/>
      <c r="L262" s="28"/>
      <c r="M262" s="26"/>
      <c r="N262" s="26"/>
      <c r="O262" s="28"/>
      <c r="P262" s="28"/>
      <c r="Q262" s="28"/>
    </row>
    <row r="263" spans="1:17" ht="18">
      <c r="A263" s="22">
        <v>258</v>
      </c>
      <c r="B263" s="23" t="s">
        <v>98</v>
      </c>
      <c r="C263" s="23" t="s">
        <v>669</v>
      </c>
      <c r="D263" s="24">
        <v>2140000.38</v>
      </c>
      <c r="E263" s="24">
        <v>3849692.94</v>
      </c>
      <c r="F263" s="25">
        <f t="shared" ref="F263:F326" si="4">D263+E263</f>
        <v>5989693.3200000003</v>
      </c>
      <c r="G263" s="26"/>
      <c r="H263" s="26"/>
      <c r="I263" s="28"/>
      <c r="J263" s="28"/>
      <c r="K263" s="28"/>
      <c r="L263" s="28"/>
      <c r="M263" s="26"/>
      <c r="N263" s="26"/>
      <c r="O263" s="28"/>
      <c r="P263" s="28"/>
      <c r="Q263" s="28"/>
    </row>
    <row r="264" spans="1:17" ht="18">
      <c r="A264" s="22">
        <v>259</v>
      </c>
      <c r="B264" s="23" t="s">
        <v>99</v>
      </c>
      <c r="C264" s="23" t="s">
        <v>673</v>
      </c>
      <c r="D264" s="24">
        <v>2680719</v>
      </c>
      <c r="E264" s="24">
        <v>4822403.3499999996</v>
      </c>
      <c r="F264" s="25">
        <f t="shared" si="4"/>
        <v>7503122.3499999996</v>
      </c>
      <c r="G264" s="26"/>
      <c r="H264" s="26"/>
      <c r="I264" s="28"/>
      <c r="J264" s="28"/>
      <c r="K264" s="28"/>
      <c r="L264" s="28"/>
      <c r="M264" s="26"/>
      <c r="N264" s="26"/>
      <c r="O264" s="28"/>
      <c r="P264" s="28"/>
      <c r="Q264" s="28"/>
    </row>
    <row r="265" spans="1:17" ht="18">
      <c r="A265" s="22">
        <v>260</v>
      </c>
      <c r="B265" s="23" t="s">
        <v>99</v>
      </c>
      <c r="C265" s="23" t="s">
        <v>675</v>
      </c>
      <c r="D265" s="24">
        <v>2258698.41</v>
      </c>
      <c r="E265" s="24">
        <v>4063221.4</v>
      </c>
      <c r="F265" s="25">
        <f t="shared" si="4"/>
        <v>6321919.8099999996</v>
      </c>
      <c r="G265" s="26"/>
      <c r="H265" s="26"/>
      <c r="I265" s="28"/>
      <c r="J265" s="28"/>
      <c r="K265" s="28"/>
      <c r="L265" s="28"/>
      <c r="M265" s="26"/>
      <c r="N265" s="26"/>
      <c r="O265" s="28"/>
      <c r="P265" s="28"/>
      <c r="Q265" s="28"/>
    </row>
    <row r="266" spans="1:17" ht="18">
      <c r="A266" s="22">
        <v>261</v>
      </c>
      <c r="B266" s="23" t="s">
        <v>99</v>
      </c>
      <c r="C266" s="23" t="s">
        <v>677</v>
      </c>
      <c r="D266" s="24">
        <v>3057387.7</v>
      </c>
      <c r="E266" s="24">
        <v>5500000.8200000003</v>
      </c>
      <c r="F266" s="25">
        <f t="shared" si="4"/>
        <v>8557388.5199999996</v>
      </c>
      <c r="G266" s="26"/>
      <c r="H266" s="26"/>
      <c r="I266" s="28"/>
      <c r="J266" s="28"/>
      <c r="K266" s="28"/>
      <c r="L266" s="28"/>
      <c r="M266" s="26"/>
      <c r="N266" s="26"/>
      <c r="O266" s="28"/>
      <c r="P266" s="28"/>
      <c r="Q266" s="28"/>
    </row>
    <row r="267" spans="1:17" ht="18">
      <c r="A267" s="22">
        <v>262</v>
      </c>
      <c r="B267" s="23" t="s">
        <v>99</v>
      </c>
      <c r="C267" s="23" t="s">
        <v>679</v>
      </c>
      <c r="D267" s="24">
        <v>2874056.75</v>
      </c>
      <c r="E267" s="24">
        <v>5170202.8099999996</v>
      </c>
      <c r="F267" s="25">
        <f t="shared" si="4"/>
        <v>8044259.5599999996</v>
      </c>
      <c r="G267" s="26"/>
      <c r="H267" s="26"/>
      <c r="I267" s="28"/>
      <c r="J267" s="28"/>
      <c r="K267" s="28"/>
      <c r="L267" s="28"/>
      <c r="M267" s="26"/>
      <c r="N267" s="26"/>
      <c r="O267" s="28"/>
      <c r="P267" s="28"/>
      <c r="Q267" s="28"/>
    </row>
    <row r="268" spans="1:17" ht="18">
      <c r="A268" s="22">
        <v>263</v>
      </c>
      <c r="B268" s="23" t="s">
        <v>99</v>
      </c>
      <c r="C268" s="23" t="s">
        <v>681</v>
      </c>
      <c r="D268" s="24">
        <v>2778881.89</v>
      </c>
      <c r="E268" s="24">
        <v>4998990.7</v>
      </c>
      <c r="F268" s="25">
        <f t="shared" si="4"/>
        <v>7777872.5899999999</v>
      </c>
      <c r="G268" s="26"/>
      <c r="H268" s="26"/>
      <c r="I268" s="28"/>
      <c r="J268" s="28"/>
      <c r="K268" s="28"/>
      <c r="L268" s="28"/>
      <c r="M268" s="26"/>
      <c r="N268" s="26"/>
      <c r="O268" s="28"/>
      <c r="P268" s="28"/>
      <c r="Q268" s="28"/>
    </row>
    <row r="269" spans="1:17" ht="18">
      <c r="A269" s="22">
        <v>264</v>
      </c>
      <c r="B269" s="23" t="s">
        <v>99</v>
      </c>
      <c r="C269" s="23" t="s">
        <v>683</v>
      </c>
      <c r="D269" s="24">
        <v>2671806.79</v>
      </c>
      <c r="E269" s="24">
        <v>4806370.99</v>
      </c>
      <c r="F269" s="25">
        <f t="shared" si="4"/>
        <v>7478177.7800000003</v>
      </c>
      <c r="G269" s="26"/>
      <c r="H269" s="26"/>
      <c r="I269" s="28"/>
      <c r="J269" s="28"/>
      <c r="K269" s="28"/>
      <c r="L269" s="28"/>
      <c r="M269" s="26"/>
      <c r="N269" s="26"/>
      <c r="O269" s="28"/>
      <c r="P269" s="28"/>
      <c r="Q269" s="28"/>
    </row>
    <row r="270" spans="1:17" ht="18">
      <c r="A270" s="22">
        <v>265</v>
      </c>
      <c r="B270" s="23" t="s">
        <v>99</v>
      </c>
      <c r="C270" s="23" t="s">
        <v>685</v>
      </c>
      <c r="D270" s="24">
        <v>2697685.69</v>
      </c>
      <c r="E270" s="24">
        <v>4852925.09</v>
      </c>
      <c r="F270" s="25">
        <f t="shared" si="4"/>
        <v>7550610.7800000003</v>
      </c>
      <c r="G270" s="26"/>
      <c r="H270" s="26"/>
      <c r="I270" s="28"/>
      <c r="J270" s="28"/>
      <c r="K270" s="28"/>
      <c r="L270" s="28"/>
      <c r="M270" s="26"/>
      <c r="N270" s="26"/>
      <c r="O270" s="28"/>
      <c r="P270" s="28"/>
      <c r="Q270" s="28"/>
    </row>
    <row r="271" spans="1:17" ht="18">
      <c r="A271" s="22">
        <v>266</v>
      </c>
      <c r="B271" s="23" t="s">
        <v>99</v>
      </c>
      <c r="C271" s="23" t="s">
        <v>687</v>
      </c>
      <c r="D271" s="24">
        <v>2919751.83</v>
      </c>
      <c r="E271" s="24">
        <v>5252404.68</v>
      </c>
      <c r="F271" s="25">
        <f t="shared" si="4"/>
        <v>8172156.5099999998</v>
      </c>
      <c r="G271" s="26"/>
      <c r="H271" s="26"/>
      <c r="I271" s="28"/>
      <c r="J271" s="28"/>
      <c r="K271" s="28"/>
      <c r="L271" s="28"/>
      <c r="M271" s="26"/>
      <c r="N271" s="26"/>
      <c r="O271" s="28"/>
      <c r="P271" s="28"/>
      <c r="Q271" s="28"/>
    </row>
    <row r="272" spans="1:17" ht="18">
      <c r="A272" s="22">
        <v>267</v>
      </c>
      <c r="B272" s="23" t="s">
        <v>99</v>
      </c>
      <c r="C272" s="23" t="s">
        <v>689</v>
      </c>
      <c r="D272" s="24">
        <v>2656759.11</v>
      </c>
      <c r="E272" s="24">
        <v>4779301.3899999997</v>
      </c>
      <c r="F272" s="25">
        <f t="shared" si="4"/>
        <v>7436060.5</v>
      </c>
      <c r="G272" s="26"/>
      <c r="H272" s="26"/>
      <c r="I272" s="28"/>
      <c r="J272" s="28"/>
      <c r="K272" s="28"/>
      <c r="L272" s="28"/>
      <c r="M272" s="26"/>
      <c r="N272" s="26"/>
      <c r="O272" s="28"/>
      <c r="P272" s="28"/>
      <c r="Q272" s="28"/>
    </row>
    <row r="273" spans="1:17" ht="18">
      <c r="A273" s="22">
        <v>268</v>
      </c>
      <c r="B273" s="23" t="s">
        <v>99</v>
      </c>
      <c r="C273" s="23" t="s">
        <v>691</v>
      </c>
      <c r="D273" s="24">
        <v>2484514.7999999998</v>
      </c>
      <c r="E273" s="24">
        <v>4469447.38</v>
      </c>
      <c r="F273" s="25">
        <f t="shared" si="4"/>
        <v>6953962.1799999997</v>
      </c>
      <c r="G273" s="26"/>
      <c r="H273" s="26"/>
      <c r="I273" s="28"/>
      <c r="J273" s="28"/>
      <c r="K273" s="28"/>
      <c r="L273" s="28"/>
      <c r="M273" s="26"/>
      <c r="N273" s="26"/>
      <c r="O273" s="28"/>
      <c r="P273" s="28"/>
      <c r="Q273" s="28"/>
    </row>
    <row r="274" spans="1:17" ht="18">
      <c r="A274" s="22">
        <v>269</v>
      </c>
      <c r="B274" s="23" t="s">
        <v>99</v>
      </c>
      <c r="C274" s="23" t="s">
        <v>693</v>
      </c>
      <c r="D274" s="24">
        <v>2601119.9900000002</v>
      </c>
      <c r="E274" s="24">
        <v>4679210.97</v>
      </c>
      <c r="F274" s="25">
        <f t="shared" si="4"/>
        <v>7280330.96</v>
      </c>
      <c r="G274" s="26"/>
      <c r="H274" s="26"/>
      <c r="I274" s="28"/>
      <c r="J274" s="28"/>
      <c r="K274" s="28"/>
      <c r="L274" s="28"/>
      <c r="M274" s="26"/>
      <c r="N274" s="26"/>
      <c r="O274" s="28"/>
      <c r="P274" s="28"/>
      <c r="Q274" s="28"/>
    </row>
    <row r="275" spans="1:17" ht="18">
      <c r="A275" s="22">
        <v>270</v>
      </c>
      <c r="B275" s="23" t="s">
        <v>99</v>
      </c>
      <c r="C275" s="23" t="s">
        <v>695</v>
      </c>
      <c r="D275" s="24">
        <v>2525505.16</v>
      </c>
      <c r="E275" s="24">
        <v>4543185.83</v>
      </c>
      <c r="F275" s="25">
        <f t="shared" si="4"/>
        <v>7068690.9900000002</v>
      </c>
      <c r="G275" s="26"/>
      <c r="H275" s="26"/>
      <c r="I275" s="28"/>
      <c r="J275" s="28"/>
      <c r="K275" s="28"/>
      <c r="L275" s="28"/>
      <c r="M275" s="26"/>
      <c r="N275" s="26"/>
      <c r="O275" s="28"/>
      <c r="P275" s="28"/>
      <c r="Q275" s="28"/>
    </row>
    <row r="276" spans="1:17" ht="18">
      <c r="A276" s="22">
        <v>271</v>
      </c>
      <c r="B276" s="23" t="s">
        <v>99</v>
      </c>
      <c r="C276" s="23" t="s">
        <v>697</v>
      </c>
      <c r="D276" s="24">
        <v>3270859.57</v>
      </c>
      <c r="E276" s="24">
        <v>5884019.9699999997</v>
      </c>
      <c r="F276" s="25">
        <f t="shared" si="4"/>
        <v>9154879.5399999991</v>
      </c>
      <c r="G276" s="26"/>
      <c r="H276" s="26"/>
      <c r="I276" s="28"/>
      <c r="J276" s="28"/>
      <c r="K276" s="28"/>
      <c r="L276" s="28"/>
      <c r="M276" s="26"/>
      <c r="N276" s="26"/>
      <c r="O276" s="28"/>
      <c r="P276" s="28"/>
      <c r="Q276" s="28"/>
    </row>
    <row r="277" spans="1:17" ht="18">
      <c r="A277" s="22">
        <v>272</v>
      </c>
      <c r="B277" s="23" t="s">
        <v>99</v>
      </c>
      <c r="C277" s="23" t="s">
        <v>698</v>
      </c>
      <c r="D277" s="24">
        <v>2244269.7400000002</v>
      </c>
      <c r="E277" s="24">
        <v>4037265.35</v>
      </c>
      <c r="F277" s="25">
        <f t="shared" si="4"/>
        <v>6281535.0899999999</v>
      </c>
      <c r="G277" s="26"/>
      <c r="H277" s="26"/>
      <c r="I277" s="28"/>
      <c r="J277" s="28"/>
      <c r="K277" s="28"/>
      <c r="L277" s="28"/>
      <c r="M277" s="26"/>
      <c r="N277" s="26"/>
      <c r="O277" s="28"/>
      <c r="P277" s="28"/>
      <c r="Q277" s="28"/>
    </row>
    <row r="278" spans="1:17" ht="18">
      <c r="A278" s="22">
        <v>273</v>
      </c>
      <c r="B278" s="23" t="s">
        <v>99</v>
      </c>
      <c r="C278" s="23" t="s">
        <v>700</v>
      </c>
      <c r="D278" s="24">
        <v>2484043.66</v>
      </c>
      <c r="E278" s="24">
        <v>4468599.84</v>
      </c>
      <c r="F278" s="25">
        <f t="shared" si="4"/>
        <v>6952643.5</v>
      </c>
      <c r="G278" s="26"/>
      <c r="H278" s="26"/>
      <c r="I278" s="28"/>
      <c r="J278" s="28"/>
      <c r="K278" s="28"/>
      <c r="L278" s="28"/>
      <c r="M278" s="26"/>
      <c r="N278" s="26"/>
      <c r="O278" s="28"/>
      <c r="P278" s="28"/>
      <c r="Q278" s="28"/>
    </row>
    <row r="279" spans="1:17" ht="18">
      <c r="A279" s="22">
        <v>274</v>
      </c>
      <c r="B279" s="23" t="s">
        <v>99</v>
      </c>
      <c r="C279" s="23" t="s">
        <v>702</v>
      </c>
      <c r="D279" s="24">
        <v>2820598.46</v>
      </c>
      <c r="E279" s="24">
        <v>5074035.54</v>
      </c>
      <c r="F279" s="25">
        <f t="shared" si="4"/>
        <v>7894634</v>
      </c>
      <c r="G279" s="26"/>
      <c r="H279" s="26"/>
      <c r="I279" s="28"/>
      <c r="J279" s="28"/>
      <c r="K279" s="28"/>
      <c r="L279" s="28"/>
      <c r="M279" s="26"/>
      <c r="N279" s="26"/>
      <c r="O279" s="28"/>
      <c r="P279" s="28"/>
      <c r="Q279" s="28"/>
    </row>
    <row r="280" spans="1:17" ht="18">
      <c r="A280" s="22">
        <v>275</v>
      </c>
      <c r="B280" s="23" t="s">
        <v>99</v>
      </c>
      <c r="C280" s="23" t="s">
        <v>704</v>
      </c>
      <c r="D280" s="24">
        <v>2335845.35</v>
      </c>
      <c r="E280" s="24">
        <v>4202002.6900000004</v>
      </c>
      <c r="F280" s="25">
        <f t="shared" si="4"/>
        <v>6537848.04</v>
      </c>
      <c r="G280" s="26"/>
      <c r="H280" s="26"/>
      <c r="I280" s="28"/>
      <c r="J280" s="28"/>
      <c r="K280" s="28"/>
      <c r="L280" s="28"/>
      <c r="M280" s="26"/>
      <c r="N280" s="26"/>
      <c r="O280" s="28"/>
      <c r="P280" s="28"/>
      <c r="Q280" s="28"/>
    </row>
    <row r="281" spans="1:17" ht="18">
      <c r="A281" s="22">
        <v>276</v>
      </c>
      <c r="B281" s="23" t="s">
        <v>100</v>
      </c>
      <c r="C281" s="23" t="s">
        <v>709</v>
      </c>
      <c r="D281" s="24">
        <v>3726882.39</v>
      </c>
      <c r="E281" s="24">
        <v>6704369.29</v>
      </c>
      <c r="F281" s="25">
        <f t="shared" si="4"/>
        <v>10431251.68</v>
      </c>
      <c r="G281" s="26"/>
      <c r="H281" s="26"/>
      <c r="I281" s="28"/>
      <c r="J281" s="28"/>
      <c r="K281" s="28"/>
      <c r="L281" s="28"/>
      <c r="M281" s="26"/>
      <c r="N281" s="26"/>
      <c r="O281" s="28"/>
      <c r="P281" s="28"/>
      <c r="Q281" s="28"/>
    </row>
    <row r="282" spans="1:17" ht="18">
      <c r="A282" s="22">
        <v>277</v>
      </c>
      <c r="B282" s="23" t="s">
        <v>100</v>
      </c>
      <c r="C282" s="23" t="s">
        <v>711</v>
      </c>
      <c r="D282" s="24">
        <v>2706583.09</v>
      </c>
      <c r="E282" s="24">
        <v>4868930.83</v>
      </c>
      <c r="F282" s="25">
        <f t="shared" si="4"/>
        <v>7575513.9199999999</v>
      </c>
      <c r="G282" s="26"/>
      <c r="H282" s="26"/>
      <c r="I282" s="28"/>
      <c r="J282" s="28"/>
      <c r="K282" s="28"/>
      <c r="L282" s="28"/>
      <c r="M282" s="26"/>
      <c r="N282" s="26"/>
      <c r="O282" s="28"/>
      <c r="P282" s="28"/>
      <c r="Q282" s="28"/>
    </row>
    <row r="283" spans="1:17" ht="18">
      <c r="A283" s="22">
        <v>278</v>
      </c>
      <c r="B283" s="23" t="s">
        <v>100</v>
      </c>
      <c r="C283" s="23" t="s">
        <v>713</v>
      </c>
      <c r="D283" s="24">
        <v>2724116.42</v>
      </c>
      <c r="E283" s="24">
        <v>4900471.91</v>
      </c>
      <c r="F283" s="25">
        <f t="shared" si="4"/>
        <v>7624588.3300000001</v>
      </c>
      <c r="G283" s="26"/>
      <c r="H283" s="26"/>
      <c r="I283" s="28"/>
      <c r="J283" s="28"/>
      <c r="K283" s="28"/>
      <c r="L283" s="28"/>
      <c r="M283" s="26"/>
      <c r="N283" s="26"/>
      <c r="O283" s="28"/>
      <c r="P283" s="28"/>
      <c r="Q283" s="28"/>
    </row>
    <row r="284" spans="1:17" ht="18">
      <c r="A284" s="22">
        <v>279</v>
      </c>
      <c r="B284" s="23" t="s">
        <v>100</v>
      </c>
      <c r="C284" s="23" t="s">
        <v>715</v>
      </c>
      <c r="D284" s="24">
        <v>2968292.43</v>
      </c>
      <c r="E284" s="24">
        <v>5339725.41</v>
      </c>
      <c r="F284" s="25">
        <f t="shared" si="4"/>
        <v>8308017.8399999999</v>
      </c>
      <c r="G284" s="26"/>
      <c r="H284" s="26"/>
      <c r="I284" s="28"/>
      <c r="J284" s="28"/>
      <c r="K284" s="28"/>
      <c r="L284" s="28"/>
      <c r="M284" s="26"/>
      <c r="N284" s="26"/>
      <c r="O284" s="28"/>
      <c r="P284" s="28"/>
      <c r="Q284" s="28"/>
    </row>
    <row r="285" spans="1:17" ht="18">
      <c r="A285" s="22">
        <v>280</v>
      </c>
      <c r="B285" s="23" t="s">
        <v>100</v>
      </c>
      <c r="C285" s="23" t="s">
        <v>717</v>
      </c>
      <c r="D285" s="24">
        <v>2887070.62</v>
      </c>
      <c r="E285" s="24">
        <v>5193613.74</v>
      </c>
      <c r="F285" s="25">
        <f t="shared" si="4"/>
        <v>8080684.3600000003</v>
      </c>
      <c r="G285" s="26"/>
      <c r="H285" s="26"/>
      <c r="I285" s="28"/>
      <c r="J285" s="28"/>
      <c r="K285" s="28"/>
      <c r="L285" s="28"/>
      <c r="M285" s="26"/>
      <c r="N285" s="26"/>
      <c r="O285" s="28"/>
      <c r="P285" s="28"/>
      <c r="Q285" s="28"/>
    </row>
    <row r="286" spans="1:17" ht="18">
      <c r="A286" s="22">
        <v>281</v>
      </c>
      <c r="B286" s="23" t="s">
        <v>100</v>
      </c>
      <c r="C286" s="23" t="s">
        <v>100</v>
      </c>
      <c r="D286" s="24">
        <v>3143653.16</v>
      </c>
      <c r="E286" s="24">
        <v>5655185.6299999999</v>
      </c>
      <c r="F286" s="25">
        <f t="shared" si="4"/>
        <v>8798838.7899999991</v>
      </c>
      <c r="G286" s="26"/>
      <c r="H286" s="26"/>
      <c r="I286" s="28"/>
      <c r="J286" s="28"/>
      <c r="K286" s="28"/>
      <c r="L286" s="28"/>
      <c r="M286" s="26"/>
      <c r="N286" s="26"/>
      <c r="O286" s="28"/>
      <c r="P286" s="28"/>
      <c r="Q286" s="28"/>
    </row>
    <row r="287" spans="1:17" ht="18">
      <c r="A287" s="22">
        <v>282</v>
      </c>
      <c r="B287" s="23" t="s">
        <v>100</v>
      </c>
      <c r="C287" s="23" t="s">
        <v>720</v>
      </c>
      <c r="D287" s="24">
        <v>2464914.58</v>
      </c>
      <c r="E287" s="24">
        <v>4434188.1100000003</v>
      </c>
      <c r="F287" s="25">
        <f t="shared" si="4"/>
        <v>6899102.6900000004</v>
      </c>
      <c r="G287" s="26"/>
      <c r="H287" s="26"/>
      <c r="I287" s="28"/>
      <c r="J287" s="28"/>
      <c r="K287" s="28"/>
      <c r="L287" s="28"/>
      <c r="M287" s="26"/>
      <c r="N287" s="26"/>
      <c r="O287" s="28"/>
      <c r="P287" s="28"/>
      <c r="Q287" s="28"/>
    </row>
    <row r="288" spans="1:17" ht="18">
      <c r="A288" s="22">
        <v>283</v>
      </c>
      <c r="B288" s="23" t="s">
        <v>100</v>
      </c>
      <c r="C288" s="23" t="s">
        <v>722</v>
      </c>
      <c r="D288" s="24">
        <v>2644074.92</v>
      </c>
      <c r="E288" s="24">
        <v>4756483.53</v>
      </c>
      <c r="F288" s="25">
        <f t="shared" si="4"/>
        <v>7400558.4500000002</v>
      </c>
      <c r="G288" s="26"/>
      <c r="H288" s="26"/>
      <c r="I288" s="28"/>
      <c r="J288" s="28"/>
      <c r="K288" s="28"/>
      <c r="L288" s="28"/>
      <c r="M288" s="26"/>
      <c r="N288" s="26"/>
      <c r="O288" s="28"/>
      <c r="P288" s="28"/>
      <c r="Q288" s="28"/>
    </row>
    <row r="289" spans="1:17" ht="18">
      <c r="A289" s="22">
        <v>284</v>
      </c>
      <c r="B289" s="23" t="s">
        <v>100</v>
      </c>
      <c r="C289" s="23" t="s">
        <v>724</v>
      </c>
      <c r="D289" s="24">
        <v>2410556.91</v>
      </c>
      <c r="E289" s="24">
        <v>4336402.9400000004</v>
      </c>
      <c r="F289" s="25">
        <f t="shared" si="4"/>
        <v>6746959.8499999996</v>
      </c>
      <c r="G289" s="26"/>
      <c r="H289" s="26"/>
      <c r="I289" s="28"/>
      <c r="J289" s="28"/>
      <c r="K289" s="28"/>
      <c r="L289" s="28"/>
      <c r="M289" s="26"/>
      <c r="N289" s="26"/>
      <c r="O289" s="28"/>
      <c r="P289" s="28"/>
      <c r="Q289" s="28"/>
    </row>
    <row r="290" spans="1:17" ht="18">
      <c r="A290" s="22">
        <v>285</v>
      </c>
      <c r="B290" s="23" t="s">
        <v>100</v>
      </c>
      <c r="C290" s="23" t="s">
        <v>726</v>
      </c>
      <c r="D290" s="24">
        <v>2286108.0699999998</v>
      </c>
      <c r="E290" s="24">
        <v>4112529.22</v>
      </c>
      <c r="F290" s="25">
        <f t="shared" si="4"/>
        <v>6398637.29</v>
      </c>
      <c r="G290" s="26"/>
      <c r="H290" s="26"/>
      <c r="I290" s="28"/>
      <c r="J290" s="28"/>
      <c r="K290" s="28"/>
      <c r="L290" s="28"/>
      <c r="M290" s="26"/>
      <c r="N290" s="26"/>
      <c r="O290" s="28"/>
      <c r="P290" s="28"/>
      <c r="Q290" s="28"/>
    </row>
    <row r="291" spans="1:17" ht="18">
      <c r="A291" s="22">
        <v>286</v>
      </c>
      <c r="B291" s="23" t="s">
        <v>100</v>
      </c>
      <c r="C291" s="23" t="s">
        <v>728</v>
      </c>
      <c r="D291" s="24">
        <v>3120166.76</v>
      </c>
      <c r="E291" s="24">
        <v>5612935.4299999997</v>
      </c>
      <c r="F291" s="25">
        <f t="shared" si="4"/>
        <v>8733102.1899999995</v>
      </c>
      <c r="G291" s="26"/>
      <c r="H291" s="26"/>
      <c r="I291" s="28"/>
      <c r="J291" s="28"/>
      <c r="K291" s="28"/>
      <c r="L291" s="28"/>
      <c r="M291" s="26"/>
      <c r="N291" s="26"/>
      <c r="O291" s="28"/>
      <c r="P291" s="28"/>
      <c r="Q291" s="28"/>
    </row>
    <row r="292" spans="1:17" ht="18">
      <c r="A292" s="22">
        <v>287</v>
      </c>
      <c r="B292" s="23" t="s">
        <v>101</v>
      </c>
      <c r="C292" s="23" t="s">
        <v>733</v>
      </c>
      <c r="D292" s="24">
        <v>2439022.42</v>
      </c>
      <c r="E292" s="24">
        <v>4387610.16</v>
      </c>
      <c r="F292" s="25">
        <f t="shared" si="4"/>
        <v>6826632.5800000001</v>
      </c>
      <c r="G292" s="26"/>
      <c r="H292" s="26"/>
      <c r="I292" s="28"/>
      <c r="J292" s="28"/>
      <c r="K292" s="28"/>
      <c r="L292" s="28"/>
      <c r="M292" s="26"/>
      <c r="N292" s="26"/>
      <c r="O292" s="28"/>
      <c r="P292" s="28"/>
      <c r="Q292" s="28"/>
    </row>
    <row r="293" spans="1:17" ht="18">
      <c r="A293" s="22">
        <v>288</v>
      </c>
      <c r="B293" s="23" t="s">
        <v>101</v>
      </c>
      <c r="C293" s="23" t="s">
        <v>735</v>
      </c>
      <c r="D293" s="24">
        <v>2295243.04</v>
      </c>
      <c r="E293" s="24">
        <v>4128962.32</v>
      </c>
      <c r="F293" s="25">
        <f t="shared" si="4"/>
        <v>6424205.3600000003</v>
      </c>
      <c r="G293" s="26"/>
      <c r="H293" s="26"/>
      <c r="I293" s="28"/>
      <c r="J293" s="28"/>
      <c r="K293" s="28"/>
      <c r="L293" s="28"/>
      <c r="M293" s="26"/>
      <c r="N293" s="26"/>
      <c r="O293" s="28"/>
      <c r="P293" s="28"/>
      <c r="Q293" s="28"/>
    </row>
    <row r="294" spans="1:17" ht="18">
      <c r="A294" s="22">
        <v>289</v>
      </c>
      <c r="B294" s="23" t="s">
        <v>101</v>
      </c>
      <c r="C294" s="23" t="s">
        <v>737</v>
      </c>
      <c r="D294" s="24">
        <v>2108615.86</v>
      </c>
      <c r="E294" s="24">
        <v>3793234.65</v>
      </c>
      <c r="F294" s="25">
        <f t="shared" si="4"/>
        <v>5901850.5099999998</v>
      </c>
      <c r="G294" s="26"/>
      <c r="H294" s="26"/>
      <c r="I294" s="28"/>
      <c r="J294" s="28"/>
      <c r="K294" s="28"/>
      <c r="L294" s="28"/>
      <c r="M294" s="26"/>
      <c r="N294" s="26"/>
      <c r="O294" s="28"/>
      <c r="P294" s="28"/>
      <c r="Q294" s="28"/>
    </row>
    <row r="295" spans="1:17" ht="36">
      <c r="A295" s="22">
        <v>290</v>
      </c>
      <c r="B295" s="23" t="s">
        <v>101</v>
      </c>
      <c r="C295" s="23" t="s">
        <v>739</v>
      </c>
      <c r="D295" s="24">
        <v>2242675.63</v>
      </c>
      <c r="E295" s="24">
        <v>4034397.67</v>
      </c>
      <c r="F295" s="25">
        <f t="shared" si="4"/>
        <v>6277073.2999999998</v>
      </c>
      <c r="G295" s="26"/>
      <c r="H295" s="26"/>
      <c r="I295" s="28"/>
      <c r="J295" s="28"/>
      <c r="K295" s="28"/>
      <c r="L295" s="28"/>
      <c r="M295" s="26"/>
      <c r="N295" s="26"/>
      <c r="O295" s="28"/>
      <c r="P295" s="28"/>
      <c r="Q295" s="28"/>
    </row>
    <row r="296" spans="1:17" ht="18">
      <c r="A296" s="22">
        <v>291</v>
      </c>
      <c r="B296" s="23" t="s">
        <v>101</v>
      </c>
      <c r="C296" s="23" t="s">
        <v>741</v>
      </c>
      <c r="D296" s="24">
        <v>2404835.23</v>
      </c>
      <c r="E296" s="24">
        <v>4326110.07</v>
      </c>
      <c r="F296" s="25">
        <f t="shared" si="4"/>
        <v>6730945.2999999998</v>
      </c>
      <c r="G296" s="26"/>
      <c r="H296" s="26"/>
      <c r="I296" s="28"/>
      <c r="J296" s="28"/>
      <c r="K296" s="28"/>
      <c r="L296" s="28"/>
      <c r="M296" s="26"/>
      <c r="N296" s="26"/>
      <c r="O296" s="28"/>
      <c r="P296" s="28"/>
      <c r="Q296" s="28"/>
    </row>
    <row r="297" spans="1:17" ht="18">
      <c r="A297" s="22">
        <v>292</v>
      </c>
      <c r="B297" s="23" t="s">
        <v>101</v>
      </c>
      <c r="C297" s="23" t="s">
        <v>743</v>
      </c>
      <c r="D297" s="24">
        <v>2412887.75</v>
      </c>
      <c r="E297" s="24">
        <v>4340595.9400000004</v>
      </c>
      <c r="F297" s="25">
        <f t="shared" si="4"/>
        <v>6753483.6900000004</v>
      </c>
      <c r="G297" s="26"/>
      <c r="H297" s="26"/>
      <c r="I297" s="28"/>
      <c r="J297" s="28"/>
      <c r="K297" s="28"/>
      <c r="L297" s="28"/>
      <c r="M297" s="26"/>
      <c r="N297" s="26"/>
      <c r="O297" s="28"/>
      <c r="P297" s="28"/>
      <c r="Q297" s="28"/>
    </row>
    <row r="298" spans="1:17" ht="18">
      <c r="A298" s="22">
        <v>293</v>
      </c>
      <c r="B298" s="23" t="s">
        <v>101</v>
      </c>
      <c r="C298" s="23" t="s">
        <v>745</v>
      </c>
      <c r="D298" s="24">
        <v>2159661.7999999998</v>
      </c>
      <c r="E298" s="24">
        <v>3885062.3</v>
      </c>
      <c r="F298" s="25">
        <f t="shared" si="4"/>
        <v>6044724.0999999996</v>
      </c>
      <c r="G298" s="26"/>
      <c r="H298" s="26"/>
      <c r="I298" s="28"/>
      <c r="J298" s="28"/>
      <c r="K298" s="28"/>
      <c r="L298" s="28"/>
      <c r="M298" s="26"/>
      <c r="N298" s="26"/>
      <c r="O298" s="28"/>
      <c r="P298" s="28"/>
      <c r="Q298" s="28"/>
    </row>
    <row r="299" spans="1:17" ht="18">
      <c r="A299" s="22">
        <v>294</v>
      </c>
      <c r="B299" s="23" t="s">
        <v>101</v>
      </c>
      <c r="C299" s="23" t="s">
        <v>747</v>
      </c>
      <c r="D299" s="24">
        <v>2287529.13</v>
      </c>
      <c r="E299" s="24">
        <v>4115085.61</v>
      </c>
      <c r="F299" s="25">
        <f t="shared" si="4"/>
        <v>6402614.7400000002</v>
      </c>
      <c r="G299" s="26"/>
      <c r="H299" s="26"/>
      <c r="I299" s="28"/>
      <c r="J299" s="28"/>
      <c r="K299" s="28"/>
      <c r="L299" s="28"/>
      <c r="M299" s="26"/>
      <c r="N299" s="26"/>
      <c r="O299" s="28"/>
      <c r="P299" s="28"/>
      <c r="Q299" s="28"/>
    </row>
    <row r="300" spans="1:17" ht="18">
      <c r="A300" s="22">
        <v>295</v>
      </c>
      <c r="B300" s="23" t="s">
        <v>101</v>
      </c>
      <c r="C300" s="23" t="s">
        <v>749</v>
      </c>
      <c r="D300" s="24">
        <v>2573655.2799999998</v>
      </c>
      <c r="E300" s="24">
        <v>4629804.12</v>
      </c>
      <c r="F300" s="25">
        <f t="shared" si="4"/>
        <v>7203459.4000000004</v>
      </c>
      <c r="G300" s="26"/>
      <c r="H300" s="26"/>
      <c r="I300" s="28"/>
      <c r="J300" s="28"/>
      <c r="K300" s="28"/>
      <c r="L300" s="28"/>
      <c r="M300" s="26"/>
      <c r="N300" s="26"/>
      <c r="O300" s="28"/>
      <c r="P300" s="28"/>
      <c r="Q300" s="28"/>
    </row>
    <row r="301" spans="1:17" ht="18">
      <c r="A301" s="22">
        <v>296</v>
      </c>
      <c r="B301" s="23" t="s">
        <v>101</v>
      </c>
      <c r="C301" s="23" t="s">
        <v>751</v>
      </c>
      <c r="D301" s="24">
        <v>2274751.0699999998</v>
      </c>
      <c r="E301" s="24">
        <v>4092098.88</v>
      </c>
      <c r="F301" s="25">
        <f t="shared" si="4"/>
        <v>6366849.9500000002</v>
      </c>
      <c r="G301" s="26"/>
      <c r="H301" s="26"/>
      <c r="I301" s="28"/>
      <c r="J301" s="28"/>
      <c r="K301" s="28"/>
      <c r="L301" s="28"/>
      <c r="M301" s="26"/>
      <c r="N301" s="26"/>
      <c r="O301" s="28"/>
      <c r="P301" s="28"/>
      <c r="Q301" s="28"/>
    </row>
    <row r="302" spans="1:17" ht="18">
      <c r="A302" s="22">
        <v>297</v>
      </c>
      <c r="B302" s="23" t="s">
        <v>101</v>
      </c>
      <c r="C302" s="23" t="s">
        <v>753</v>
      </c>
      <c r="D302" s="24">
        <v>2805809.98</v>
      </c>
      <c r="E302" s="24">
        <v>5047432.22</v>
      </c>
      <c r="F302" s="25">
        <f t="shared" si="4"/>
        <v>7853242.2000000002</v>
      </c>
      <c r="G302" s="26"/>
      <c r="H302" s="26"/>
      <c r="I302" s="28"/>
      <c r="J302" s="28"/>
      <c r="K302" s="28"/>
      <c r="L302" s="28"/>
      <c r="M302" s="26"/>
      <c r="N302" s="26"/>
      <c r="O302" s="28"/>
      <c r="P302" s="28"/>
      <c r="Q302" s="28"/>
    </row>
    <row r="303" spans="1:17" ht="18">
      <c r="A303" s="22">
        <v>298</v>
      </c>
      <c r="B303" s="23" t="s">
        <v>101</v>
      </c>
      <c r="C303" s="23" t="s">
        <v>755</v>
      </c>
      <c r="D303" s="24">
        <v>2382961.46</v>
      </c>
      <c r="E303" s="24">
        <v>4286760.88</v>
      </c>
      <c r="F303" s="25">
        <f t="shared" si="4"/>
        <v>6669722.3399999999</v>
      </c>
      <c r="G303" s="26"/>
      <c r="H303" s="26"/>
      <c r="I303" s="28"/>
      <c r="J303" s="28"/>
      <c r="K303" s="28"/>
      <c r="L303" s="28"/>
      <c r="M303" s="26"/>
      <c r="N303" s="26"/>
      <c r="O303" s="28"/>
      <c r="P303" s="28"/>
      <c r="Q303" s="28"/>
    </row>
    <row r="304" spans="1:17" ht="18">
      <c r="A304" s="22">
        <v>299</v>
      </c>
      <c r="B304" s="23" t="s">
        <v>101</v>
      </c>
      <c r="C304" s="23" t="s">
        <v>757</v>
      </c>
      <c r="D304" s="24">
        <v>2152705.6800000002</v>
      </c>
      <c r="E304" s="24">
        <v>3872548.79</v>
      </c>
      <c r="F304" s="25">
        <f t="shared" si="4"/>
        <v>6025254.4699999997</v>
      </c>
      <c r="G304" s="26"/>
      <c r="H304" s="26"/>
      <c r="I304" s="28"/>
      <c r="J304" s="28"/>
      <c r="K304" s="28"/>
      <c r="L304" s="28"/>
      <c r="M304" s="26"/>
      <c r="N304" s="26"/>
      <c r="O304" s="28"/>
      <c r="P304" s="28"/>
      <c r="Q304" s="28"/>
    </row>
    <row r="305" spans="1:17" ht="18">
      <c r="A305" s="22">
        <v>300</v>
      </c>
      <c r="B305" s="23" t="s">
        <v>101</v>
      </c>
      <c r="C305" s="23" t="s">
        <v>759</v>
      </c>
      <c r="D305" s="24">
        <v>2094933.27</v>
      </c>
      <c r="E305" s="24">
        <v>3768620.74</v>
      </c>
      <c r="F305" s="25">
        <f t="shared" si="4"/>
        <v>5863554.0099999998</v>
      </c>
      <c r="G305" s="26"/>
      <c r="H305" s="26"/>
      <c r="I305" s="28"/>
      <c r="J305" s="28"/>
      <c r="K305" s="28"/>
      <c r="L305" s="28"/>
      <c r="M305" s="26"/>
      <c r="N305" s="26"/>
      <c r="O305" s="28"/>
      <c r="P305" s="28"/>
      <c r="Q305" s="28"/>
    </row>
    <row r="306" spans="1:17" ht="18">
      <c r="A306" s="22">
        <v>301</v>
      </c>
      <c r="B306" s="23" t="s">
        <v>101</v>
      </c>
      <c r="C306" s="23" t="s">
        <v>761</v>
      </c>
      <c r="D306" s="24">
        <v>1866253.46</v>
      </c>
      <c r="E306" s="24">
        <v>3357243.69</v>
      </c>
      <c r="F306" s="25">
        <f t="shared" si="4"/>
        <v>5223497.1500000004</v>
      </c>
      <c r="G306" s="26"/>
      <c r="H306" s="26"/>
      <c r="I306" s="28"/>
      <c r="J306" s="28"/>
      <c r="K306" s="28"/>
      <c r="L306" s="28"/>
      <c r="M306" s="26"/>
      <c r="N306" s="26"/>
      <c r="O306" s="28"/>
      <c r="P306" s="28"/>
      <c r="Q306" s="28"/>
    </row>
    <row r="307" spans="1:17" ht="18">
      <c r="A307" s="22">
        <v>302</v>
      </c>
      <c r="B307" s="23" t="s">
        <v>101</v>
      </c>
      <c r="C307" s="23" t="s">
        <v>763</v>
      </c>
      <c r="D307" s="24">
        <v>2022994.38</v>
      </c>
      <c r="E307" s="24">
        <v>3639208.32</v>
      </c>
      <c r="F307" s="25">
        <f t="shared" si="4"/>
        <v>5662202.7000000002</v>
      </c>
      <c r="G307" s="26"/>
      <c r="H307" s="26"/>
      <c r="I307" s="28"/>
      <c r="J307" s="28"/>
      <c r="K307" s="28"/>
      <c r="L307" s="28"/>
      <c r="M307" s="26"/>
      <c r="N307" s="26"/>
      <c r="O307" s="28"/>
      <c r="P307" s="28"/>
      <c r="Q307" s="28"/>
    </row>
    <row r="308" spans="1:17" ht="18">
      <c r="A308" s="22">
        <v>303</v>
      </c>
      <c r="B308" s="23" t="s">
        <v>101</v>
      </c>
      <c r="C308" s="23" t="s">
        <v>765</v>
      </c>
      <c r="D308" s="24">
        <v>2374922.84</v>
      </c>
      <c r="E308" s="24">
        <v>4272300.0199999996</v>
      </c>
      <c r="F308" s="25">
        <f t="shared" si="4"/>
        <v>6647222.8600000003</v>
      </c>
      <c r="G308" s="26"/>
      <c r="H308" s="26"/>
      <c r="I308" s="28"/>
      <c r="J308" s="28"/>
      <c r="K308" s="28"/>
      <c r="L308" s="28"/>
      <c r="M308" s="26"/>
      <c r="N308" s="26"/>
      <c r="O308" s="28"/>
      <c r="P308" s="28"/>
      <c r="Q308" s="28"/>
    </row>
    <row r="309" spans="1:17" ht="18">
      <c r="A309" s="22">
        <v>304</v>
      </c>
      <c r="B309" s="23" t="s">
        <v>101</v>
      </c>
      <c r="C309" s="23" t="s">
        <v>767</v>
      </c>
      <c r="D309" s="24">
        <v>2570574.5099999998</v>
      </c>
      <c r="E309" s="24">
        <v>4624262.05</v>
      </c>
      <c r="F309" s="25">
        <f t="shared" si="4"/>
        <v>7194836.5599999996</v>
      </c>
      <c r="G309" s="26"/>
      <c r="H309" s="26"/>
      <c r="I309" s="28"/>
      <c r="J309" s="28"/>
      <c r="K309" s="28"/>
      <c r="L309" s="28"/>
      <c r="M309" s="26"/>
      <c r="N309" s="26"/>
      <c r="O309" s="28"/>
      <c r="P309" s="28"/>
      <c r="Q309" s="28"/>
    </row>
    <row r="310" spans="1:17" ht="18">
      <c r="A310" s="22">
        <v>305</v>
      </c>
      <c r="B310" s="23" t="s">
        <v>101</v>
      </c>
      <c r="C310" s="23" t="s">
        <v>769</v>
      </c>
      <c r="D310" s="24">
        <v>2252199.42</v>
      </c>
      <c r="E310" s="24">
        <v>4051530.21</v>
      </c>
      <c r="F310" s="25">
        <f t="shared" si="4"/>
        <v>6303729.6299999999</v>
      </c>
      <c r="G310" s="26"/>
      <c r="H310" s="26"/>
      <c r="I310" s="28"/>
      <c r="J310" s="28"/>
      <c r="K310" s="28"/>
      <c r="L310" s="28"/>
      <c r="M310" s="26"/>
      <c r="N310" s="26"/>
      <c r="O310" s="28"/>
      <c r="P310" s="28"/>
      <c r="Q310" s="28"/>
    </row>
    <row r="311" spans="1:17" ht="18">
      <c r="A311" s="22">
        <v>306</v>
      </c>
      <c r="B311" s="23" t="s">
        <v>101</v>
      </c>
      <c r="C311" s="23" t="s">
        <v>771</v>
      </c>
      <c r="D311" s="24">
        <v>2000843.28</v>
      </c>
      <c r="E311" s="24">
        <v>3599360.22</v>
      </c>
      <c r="F311" s="25">
        <f t="shared" si="4"/>
        <v>5600203.5</v>
      </c>
      <c r="G311" s="26"/>
      <c r="H311" s="26"/>
      <c r="I311" s="28"/>
      <c r="J311" s="28"/>
      <c r="K311" s="28"/>
      <c r="L311" s="28"/>
      <c r="M311" s="26"/>
      <c r="N311" s="26"/>
      <c r="O311" s="28"/>
      <c r="P311" s="28"/>
      <c r="Q311" s="28"/>
    </row>
    <row r="312" spans="1:17" ht="18">
      <c r="A312" s="22">
        <v>307</v>
      </c>
      <c r="B312" s="23" t="s">
        <v>101</v>
      </c>
      <c r="C312" s="23" t="s">
        <v>773</v>
      </c>
      <c r="D312" s="24">
        <v>2200652.66</v>
      </c>
      <c r="E312" s="24">
        <v>3958801.65</v>
      </c>
      <c r="F312" s="25">
        <f t="shared" si="4"/>
        <v>6159454.3099999996</v>
      </c>
      <c r="G312" s="26"/>
      <c r="H312" s="26"/>
      <c r="I312" s="28"/>
      <c r="J312" s="28"/>
      <c r="K312" s="28"/>
      <c r="L312" s="28"/>
      <c r="M312" s="26"/>
      <c r="N312" s="26"/>
      <c r="O312" s="28"/>
      <c r="P312" s="28"/>
      <c r="Q312" s="28"/>
    </row>
    <row r="313" spans="1:17" ht="18">
      <c r="A313" s="22">
        <v>308</v>
      </c>
      <c r="B313" s="23" t="s">
        <v>101</v>
      </c>
      <c r="C313" s="23" t="s">
        <v>775</v>
      </c>
      <c r="D313" s="24">
        <v>2140757.75</v>
      </c>
      <c r="E313" s="24">
        <v>3851055.39</v>
      </c>
      <c r="F313" s="25">
        <f t="shared" si="4"/>
        <v>5991813.1399999997</v>
      </c>
      <c r="G313" s="26"/>
      <c r="H313" s="26"/>
      <c r="I313" s="28"/>
      <c r="J313" s="28"/>
      <c r="K313" s="28"/>
      <c r="L313" s="28"/>
      <c r="M313" s="26"/>
      <c r="N313" s="26"/>
      <c r="O313" s="28"/>
      <c r="P313" s="28"/>
      <c r="Q313" s="28"/>
    </row>
    <row r="314" spans="1:17" ht="18">
      <c r="A314" s="22">
        <v>309</v>
      </c>
      <c r="B314" s="23" t="s">
        <v>101</v>
      </c>
      <c r="C314" s="23" t="s">
        <v>777</v>
      </c>
      <c r="D314" s="24">
        <v>2070665.18</v>
      </c>
      <c r="E314" s="24">
        <v>3724964.35</v>
      </c>
      <c r="F314" s="25">
        <f t="shared" si="4"/>
        <v>5795629.5300000003</v>
      </c>
      <c r="G314" s="26"/>
      <c r="H314" s="26"/>
      <c r="I314" s="28"/>
      <c r="J314" s="28"/>
      <c r="K314" s="28"/>
      <c r="L314" s="28"/>
      <c r="M314" s="26"/>
      <c r="N314" s="26"/>
      <c r="O314" s="28"/>
      <c r="P314" s="28"/>
      <c r="Q314" s="28"/>
    </row>
    <row r="315" spans="1:17" ht="18">
      <c r="A315" s="22">
        <v>310</v>
      </c>
      <c r="B315" s="23" t="s">
        <v>101</v>
      </c>
      <c r="C315" s="23" t="s">
        <v>779</v>
      </c>
      <c r="D315" s="24">
        <v>2142075.86</v>
      </c>
      <c r="E315" s="24">
        <v>3853426.58</v>
      </c>
      <c r="F315" s="25">
        <f t="shared" si="4"/>
        <v>5995502.4400000004</v>
      </c>
      <c r="G315" s="26"/>
      <c r="H315" s="26"/>
      <c r="I315" s="28"/>
      <c r="J315" s="28"/>
      <c r="K315" s="28"/>
      <c r="L315" s="28"/>
      <c r="M315" s="26"/>
      <c r="N315" s="26"/>
      <c r="O315" s="28"/>
      <c r="P315" s="28"/>
      <c r="Q315" s="28"/>
    </row>
    <row r="316" spans="1:17" ht="36">
      <c r="A316" s="22">
        <v>311</v>
      </c>
      <c r="B316" s="23" t="s">
        <v>101</v>
      </c>
      <c r="C316" s="23" t="s">
        <v>781</v>
      </c>
      <c r="D316" s="24">
        <v>2161692.73</v>
      </c>
      <c r="E316" s="24">
        <v>3888715.78</v>
      </c>
      <c r="F316" s="25">
        <f t="shared" si="4"/>
        <v>6050408.5099999998</v>
      </c>
      <c r="G316" s="26"/>
      <c r="H316" s="26"/>
      <c r="I316" s="28"/>
      <c r="J316" s="28"/>
      <c r="K316" s="28"/>
      <c r="L316" s="28"/>
      <c r="M316" s="26"/>
      <c r="N316" s="26"/>
      <c r="O316" s="28"/>
      <c r="P316" s="28"/>
      <c r="Q316" s="28"/>
    </row>
    <row r="317" spans="1:17" ht="18">
      <c r="A317" s="22">
        <v>312</v>
      </c>
      <c r="B317" s="23" t="s">
        <v>101</v>
      </c>
      <c r="C317" s="23" t="s">
        <v>783</v>
      </c>
      <c r="D317" s="24">
        <v>2299673.62</v>
      </c>
      <c r="E317" s="24">
        <v>4136932.58</v>
      </c>
      <c r="F317" s="25">
        <f t="shared" si="4"/>
        <v>6436606.2000000002</v>
      </c>
      <c r="G317" s="26"/>
      <c r="H317" s="26"/>
      <c r="I317" s="28"/>
      <c r="J317" s="28"/>
      <c r="K317" s="28"/>
      <c r="L317" s="28"/>
      <c r="M317" s="26"/>
      <c r="N317" s="26"/>
      <c r="O317" s="28"/>
      <c r="P317" s="28"/>
      <c r="Q317" s="28"/>
    </row>
    <row r="318" spans="1:17" ht="18">
      <c r="A318" s="22">
        <v>313</v>
      </c>
      <c r="B318" s="23" t="s">
        <v>101</v>
      </c>
      <c r="C318" s="23" t="s">
        <v>785</v>
      </c>
      <c r="D318" s="24">
        <v>2057252.71</v>
      </c>
      <c r="E318" s="24">
        <v>3700836.38</v>
      </c>
      <c r="F318" s="25">
        <f t="shared" si="4"/>
        <v>5758089.0899999999</v>
      </c>
      <c r="G318" s="26"/>
      <c r="H318" s="26"/>
      <c r="I318" s="28"/>
      <c r="J318" s="28"/>
      <c r="K318" s="28"/>
      <c r="L318" s="28"/>
      <c r="M318" s="26"/>
      <c r="N318" s="26"/>
      <c r="O318" s="28"/>
      <c r="P318" s="28"/>
      <c r="Q318" s="28"/>
    </row>
    <row r="319" spans="1:17" ht="18">
      <c r="A319" s="22">
        <v>314</v>
      </c>
      <c r="B319" s="23" t="s">
        <v>102</v>
      </c>
      <c r="C319" s="23" t="s">
        <v>790</v>
      </c>
      <c r="D319" s="24">
        <v>2148344.11</v>
      </c>
      <c r="E319" s="24">
        <v>3864702.66</v>
      </c>
      <c r="F319" s="25">
        <f t="shared" si="4"/>
        <v>6013046.7699999996</v>
      </c>
      <c r="G319" s="26"/>
      <c r="H319" s="26"/>
      <c r="I319" s="28"/>
      <c r="J319" s="28"/>
      <c r="K319" s="28"/>
      <c r="L319" s="28"/>
      <c r="M319" s="26"/>
      <c r="N319" s="26"/>
      <c r="O319" s="28"/>
      <c r="P319" s="28"/>
      <c r="Q319" s="28"/>
    </row>
    <row r="320" spans="1:17" ht="18">
      <c r="A320" s="22">
        <v>315</v>
      </c>
      <c r="B320" s="23" t="s">
        <v>102</v>
      </c>
      <c r="C320" s="23" t="s">
        <v>792</v>
      </c>
      <c r="D320" s="24">
        <v>2540870.7200000002</v>
      </c>
      <c r="E320" s="24">
        <v>4570827.26</v>
      </c>
      <c r="F320" s="25">
        <f t="shared" si="4"/>
        <v>7111697.9800000004</v>
      </c>
      <c r="G320" s="26"/>
      <c r="H320" s="26"/>
      <c r="I320" s="28"/>
      <c r="J320" s="28"/>
      <c r="K320" s="28"/>
      <c r="L320" s="28"/>
      <c r="M320" s="26"/>
      <c r="N320" s="26"/>
      <c r="O320" s="28"/>
      <c r="P320" s="28"/>
      <c r="Q320" s="28"/>
    </row>
    <row r="321" spans="1:17" ht="18">
      <c r="A321" s="22">
        <v>316</v>
      </c>
      <c r="B321" s="23" t="s">
        <v>102</v>
      </c>
      <c r="C321" s="23" t="s">
        <v>794</v>
      </c>
      <c r="D321" s="24">
        <v>3153289.85</v>
      </c>
      <c r="E321" s="24">
        <v>5672521.2800000003</v>
      </c>
      <c r="F321" s="25">
        <f t="shared" si="4"/>
        <v>8825811.1300000008</v>
      </c>
      <c r="G321" s="26"/>
      <c r="H321" s="26"/>
      <c r="I321" s="28"/>
      <c r="J321" s="28"/>
      <c r="K321" s="28"/>
      <c r="L321" s="28"/>
      <c r="M321" s="26"/>
      <c r="N321" s="26"/>
      <c r="O321" s="28"/>
      <c r="P321" s="28"/>
      <c r="Q321" s="28"/>
    </row>
    <row r="322" spans="1:17" ht="18">
      <c r="A322" s="22">
        <v>317</v>
      </c>
      <c r="B322" s="23" t="s">
        <v>102</v>
      </c>
      <c r="C322" s="23" t="s">
        <v>796</v>
      </c>
      <c r="D322" s="24">
        <v>2385095.16</v>
      </c>
      <c r="E322" s="24">
        <v>4290599.24</v>
      </c>
      <c r="F322" s="25">
        <f t="shared" si="4"/>
        <v>6675694.4000000004</v>
      </c>
      <c r="G322" s="26"/>
      <c r="H322" s="26"/>
      <c r="I322" s="28"/>
      <c r="J322" s="28"/>
      <c r="K322" s="28"/>
      <c r="L322" s="28"/>
      <c r="M322" s="26"/>
      <c r="N322" s="26"/>
      <c r="O322" s="28"/>
      <c r="P322" s="28"/>
      <c r="Q322" s="28"/>
    </row>
    <row r="323" spans="1:17" ht="18">
      <c r="A323" s="22">
        <v>318</v>
      </c>
      <c r="B323" s="23" t="s">
        <v>102</v>
      </c>
      <c r="C323" s="23" t="s">
        <v>798</v>
      </c>
      <c r="D323" s="24">
        <v>2046619.71</v>
      </c>
      <c r="E323" s="24">
        <v>3681708.43</v>
      </c>
      <c r="F323" s="25">
        <f t="shared" si="4"/>
        <v>5728328.1399999997</v>
      </c>
      <c r="G323" s="26"/>
      <c r="H323" s="26"/>
      <c r="I323" s="28"/>
      <c r="J323" s="28"/>
      <c r="K323" s="28"/>
      <c r="L323" s="28"/>
      <c r="M323" s="26"/>
      <c r="N323" s="26"/>
      <c r="O323" s="28"/>
      <c r="P323" s="28"/>
      <c r="Q323" s="28"/>
    </row>
    <row r="324" spans="1:17" ht="18">
      <c r="A324" s="22">
        <v>319</v>
      </c>
      <c r="B324" s="23" t="s">
        <v>102</v>
      </c>
      <c r="C324" s="23" t="s">
        <v>800</v>
      </c>
      <c r="D324" s="24">
        <v>2007679.58</v>
      </c>
      <c r="E324" s="24">
        <v>3611658.2</v>
      </c>
      <c r="F324" s="25">
        <f t="shared" si="4"/>
        <v>5619337.7800000003</v>
      </c>
      <c r="G324" s="26"/>
      <c r="H324" s="26"/>
      <c r="I324" s="28"/>
      <c r="J324" s="28"/>
      <c r="K324" s="28"/>
      <c r="L324" s="28"/>
      <c r="M324" s="26"/>
      <c r="N324" s="26"/>
      <c r="O324" s="28"/>
      <c r="P324" s="28"/>
      <c r="Q324" s="28"/>
    </row>
    <row r="325" spans="1:17" ht="18">
      <c r="A325" s="22">
        <v>320</v>
      </c>
      <c r="B325" s="23" t="s">
        <v>102</v>
      </c>
      <c r="C325" s="23" t="s">
        <v>802</v>
      </c>
      <c r="D325" s="24">
        <v>2818230.95</v>
      </c>
      <c r="E325" s="24">
        <v>5069776.58</v>
      </c>
      <c r="F325" s="25">
        <f t="shared" si="4"/>
        <v>7888007.5300000003</v>
      </c>
      <c r="G325" s="26"/>
      <c r="H325" s="26"/>
      <c r="I325" s="28"/>
      <c r="J325" s="28"/>
      <c r="K325" s="28"/>
      <c r="L325" s="28"/>
      <c r="M325" s="26"/>
      <c r="N325" s="26"/>
      <c r="O325" s="28"/>
      <c r="P325" s="28"/>
      <c r="Q325" s="28"/>
    </row>
    <row r="326" spans="1:17" ht="18">
      <c r="A326" s="22">
        <v>321</v>
      </c>
      <c r="B326" s="23" t="s">
        <v>102</v>
      </c>
      <c r="C326" s="23" t="s">
        <v>804</v>
      </c>
      <c r="D326" s="24">
        <v>2365253.88</v>
      </c>
      <c r="E326" s="24">
        <v>4254906.34</v>
      </c>
      <c r="F326" s="25">
        <f t="shared" si="4"/>
        <v>6620160.2199999997</v>
      </c>
      <c r="G326" s="26"/>
      <c r="H326" s="26"/>
      <c r="I326" s="28"/>
      <c r="J326" s="28"/>
      <c r="K326" s="28"/>
      <c r="L326" s="28"/>
      <c r="M326" s="26"/>
      <c r="N326" s="26"/>
      <c r="O326" s="28"/>
      <c r="P326" s="28"/>
      <c r="Q326" s="28"/>
    </row>
    <row r="327" spans="1:17" ht="18">
      <c r="A327" s="22">
        <v>322</v>
      </c>
      <c r="B327" s="23" t="s">
        <v>102</v>
      </c>
      <c r="C327" s="23" t="s">
        <v>806</v>
      </c>
      <c r="D327" s="24">
        <v>2071805.43</v>
      </c>
      <c r="E327" s="24">
        <v>3727015.58</v>
      </c>
      <c r="F327" s="25">
        <f t="shared" ref="F327:F390" si="5">D327+E327</f>
        <v>5798821.0099999998</v>
      </c>
      <c r="G327" s="26"/>
      <c r="H327" s="26"/>
      <c r="I327" s="28"/>
      <c r="J327" s="28"/>
      <c r="K327" s="28"/>
      <c r="L327" s="28"/>
      <c r="M327" s="26"/>
      <c r="N327" s="26"/>
      <c r="O327" s="28"/>
      <c r="P327" s="28"/>
      <c r="Q327" s="28"/>
    </row>
    <row r="328" spans="1:17" ht="18">
      <c r="A328" s="22">
        <v>323</v>
      </c>
      <c r="B328" s="23" t="s">
        <v>102</v>
      </c>
      <c r="C328" s="23" t="s">
        <v>808</v>
      </c>
      <c r="D328" s="24">
        <v>2188749.67</v>
      </c>
      <c r="E328" s="24">
        <v>3937389.09</v>
      </c>
      <c r="F328" s="25">
        <f t="shared" si="5"/>
        <v>6126138.7599999998</v>
      </c>
      <c r="G328" s="26"/>
      <c r="H328" s="26"/>
      <c r="I328" s="28"/>
      <c r="J328" s="28"/>
      <c r="K328" s="28"/>
      <c r="L328" s="28"/>
      <c r="M328" s="26"/>
      <c r="N328" s="26"/>
      <c r="O328" s="28"/>
      <c r="P328" s="28"/>
      <c r="Q328" s="28"/>
    </row>
    <row r="329" spans="1:17" ht="18">
      <c r="A329" s="22">
        <v>324</v>
      </c>
      <c r="B329" s="23" t="s">
        <v>102</v>
      </c>
      <c r="C329" s="23" t="s">
        <v>810</v>
      </c>
      <c r="D329" s="24">
        <v>3044677.78</v>
      </c>
      <c r="E329" s="24">
        <v>5477136.6799999997</v>
      </c>
      <c r="F329" s="25">
        <f t="shared" si="5"/>
        <v>8521814.4600000009</v>
      </c>
      <c r="G329" s="26"/>
      <c r="H329" s="26"/>
      <c r="I329" s="28"/>
      <c r="J329" s="28"/>
      <c r="K329" s="28"/>
      <c r="L329" s="28"/>
      <c r="M329" s="26"/>
      <c r="N329" s="26"/>
      <c r="O329" s="28"/>
      <c r="P329" s="28"/>
      <c r="Q329" s="28"/>
    </row>
    <row r="330" spans="1:17" ht="18">
      <c r="A330" s="22">
        <v>325</v>
      </c>
      <c r="B330" s="23" t="s">
        <v>102</v>
      </c>
      <c r="C330" s="23" t="s">
        <v>812</v>
      </c>
      <c r="D330" s="24">
        <v>2251123.7599999998</v>
      </c>
      <c r="E330" s="24">
        <v>4049595.2</v>
      </c>
      <c r="F330" s="25">
        <f t="shared" si="5"/>
        <v>6300718.96</v>
      </c>
      <c r="G330" s="26"/>
      <c r="H330" s="26"/>
      <c r="I330" s="28"/>
      <c r="J330" s="28"/>
      <c r="K330" s="28"/>
      <c r="L330" s="28"/>
      <c r="M330" s="26"/>
      <c r="N330" s="26"/>
      <c r="O330" s="28"/>
      <c r="P330" s="28"/>
      <c r="Q330" s="28"/>
    </row>
    <row r="331" spans="1:17" ht="18">
      <c r="A331" s="22">
        <v>326</v>
      </c>
      <c r="B331" s="23" t="s">
        <v>102</v>
      </c>
      <c r="C331" s="23" t="s">
        <v>814</v>
      </c>
      <c r="D331" s="24">
        <v>1900315.4</v>
      </c>
      <c r="E331" s="24">
        <v>3418518.44</v>
      </c>
      <c r="F331" s="25">
        <f t="shared" si="5"/>
        <v>5318833.84</v>
      </c>
      <c r="G331" s="26"/>
      <c r="H331" s="26"/>
      <c r="I331" s="28"/>
      <c r="J331" s="28"/>
      <c r="K331" s="28"/>
      <c r="L331" s="28"/>
      <c r="M331" s="26"/>
      <c r="N331" s="26"/>
      <c r="O331" s="28"/>
      <c r="P331" s="28"/>
      <c r="Q331" s="28"/>
    </row>
    <row r="332" spans="1:17" ht="18">
      <c r="A332" s="22">
        <v>327</v>
      </c>
      <c r="B332" s="23" t="s">
        <v>102</v>
      </c>
      <c r="C332" s="23" t="s">
        <v>816</v>
      </c>
      <c r="D332" s="24">
        <v>2611922.87</v>
      </c>
      <c r="E332" s="24">
        <v>4698644.51</v>
      </c>
      <c r="F332" s="25">
        <f t="shared" si="5"/>
        <v>7310567.3799999999</v>
      </c>
      <c r="G332" s="26"/>
      <c r="H332" s="26"/>
      <c r="I332" s="28"/>
      <c r="J332" s="28"/>
      <c r="K332" s="28"/>
      <c r="L332" s="28"/>
      <c r="M332" s="26"/>
      <c r="N332" s="26"/>
      <c r="O332" s="28"/>
      <c r="P332" s="28"/>
      <c r="Q332" s="28"/>
    </row>
    <row r="333" spans="1:17" ht="18">
      <c r="A333" s="22">
        <v>328</v>
      </c>
      <c r="B333" s="23" t="s">
        <v>102</v>
      </c>
      <c r="C333" s="23" t="s">
        <v>818</v>
      </c>
      <c r="D333" s="24">
        <v>2937744.57</v>
      </c>
      <c r="E333" s="24">
        <v>5284772.21</v>
      </c>
      <c r="F333" s="25">
        <f t="shared" si="5"/>
        <v>8222516.7800000003</v>
      </c>
      <c r="G333" s="26"/>
      <c r="H333" s="26"/>
      <c r="I333" s="28"/>
      <c r="J333" s="28"/>
      <c r="K333" s="28"/>
      <c r="L333" s="28"/>
      <c r="M333" s="26"/>
      <c r="N333" s="26"/>
      <c r="O333" s="28"/>
      <c r="P333" s="28"/>
      <c r="Q333" s="28"/>
    </row>
    <row r="334" spans="1:17" ht="18">
      <c r="A334" s="22">
        <v>329</v>
      </c>
      <c r="B334" s="23" t="s">
        <v>102</v>
      </c>
      <c r="C334" s="23" t="s">
        <v>820</v>
      </c>
      <c r="D334" s="24">
        <v>2153083.88</v>
      </c>
      <c r="E334" s="24">
        <v>3873229.14</v>
      </c>
      <c r="F334" s="25">
        <f t="shared" si="5"/>
        <v>6026313.0199999996</v>
      </c>
      <c r="G334" s="26"/>
      <c r="H334" s="26"/>
      <c r="I334" s="28"/>
      <c r="J334" s="28"/>
      <c r="K334" s="28"/>
      <c r="L334" s="28"/>
      <c r="M334" s="26"/>
      <c r="N334" s="26"/>
      <c r="O334" s="28"/>
      <c r="P334" s="28"/>
      <c r="Q334" s="28"/>
    </row>
    <row r="335" spans="1:17" ht="18">
      <c r="A335" s="22">
        <v>330</v>
      </c>
      <c r="B335" s="23" t="s">
        <v>102</v>
      </c>
      <c r="C335" s="23" t="s">
        <v>822</v>
      </c>
      <c r="D335" s="24">
        <v>2278370.89</v>
      </c>
      <c r="E335" s="24">
        <v>4098610.64</v>
      </c>
      <c r="F335" s="25">
        <f t="shared" si="5"/>
        <v>6376981.5300000003</v>
      </c>
      <c r="G335" s="26"/>
      <c r="H335" s="26"/>
      <c r="I335" s="28"/>
      <c r="J335" s="28"/>
      <c r="K335" s="28"/>
      <c r="L335" s="28"/>
      <c r="M335" s="26"/>
      <c r="N335" s="26"/>
      <c r="O335" s="28"/>
      <c r="P335" s="28"/>
      <c r="Q335" s="28"/>
    </row>
    <row r="336" spans="1:17" ht="18">
      <c r="A336" s="22">
        <v>331</v>
      </c>
      <c r="B336" s="23" t="s">
        <v>102</v>
      </c>
      <c r="C336" s="23" t="s">
        <v>824</v>
      </c>
      <c r="D336" s="24">
        <v>2376301.0099999998</v>
      </c>
      <c r="E336" s="24">
        <v>4274779.25</v>
      </c>
      <c r="F336" s="25">
        <f t="shared" si="5"/>
        <v>6651080.2599999998</v>
      </c>
      <c r="G336" s="26"/>
      <c r="H336" s="26"/>
      <c r="I336" s="28"/>
      <c r="J336" s="28"/>
      <c r="K336" s="28"/>
      <c r="L336" s="28"/>
      <c r="M336" s="26"/>
      <c r="N336" s="26"/>
      <c r="O336" s="28"/>
      <c r="P336" s="28"/>
      <c r="Q336" s="28"/>
    </row>
    <row r="337" spans="1:17" ht="18">
      <c r="A337" s="22">
        <v>332</v>
      </c>
      <c r="B337" s="23" t="s">
        <v>102</v>
      </c>
      <c r="C337" s="23" t="s">
        <v>826</v>
      </c>
      <c r="D337" s="24">
        <v>2455067.29</v>
      </c>
      <c r="E337" s="24">
        <v>4416473.6100000003</v>
      </c>
      <c r="F337" s="25">
        <f t="shared" si="5"/>
        <v>6871540.9000000004</v>
      </c>
      <c r="G337" s="26"/>
      <c r="H337" s="26"/>
      <c r="I337" s="28"/>
      <c r="J337" s="28"/>
      <c r="K337" s="28"/>
      <c r="L337" s="28"/>
      <c r="M337" s="26"/>
      <c r="N337" s="26"/>
      <c r="O337" s="28"/>
      <c r="P337" s="28"/>
      <c r="Q337" s="28"/>
    </row>
    <row r="338" spans="1:17" ht="18">
      <c r="A338" s="22">
        <v>333</v>
      </c>
      <c r="B338" s="23" t="s">
        <v>102</v>
      </c>
      <c r="C338" s="23" t="s">
        <v>828</v>
      </c>
      <c r="D338" s="24">
        <v>2476295.48</v>
      </c>
      <c r="E338" s="24">
        <v>4454661.47</v>
      </c>
      <c r="F338" s="25">
        <f t="shared" si="5"/>
        <v>6930956.9500000002</v>
      </c>
      <c r="G338" s="26"/>
      <c r="H338" s="26"/>
      <c r="I338" s="28"/>
      <c r="J338" s="28"/>
      <c r="K338" s="28"/>
      <c r="L338" s="28"/>
      <c r="M338" s="26"/>
      <c r="N338" s="26"/>
      <c r="O338" s="28"/>
      <c r="P338" s="28"/>
      <c r="Q338" s="28"/>
    </row>
    <row r="339" spans="1:17" ht="18">
      <c r="A339" s="22">
        <v>334</v>
      </c>
      <c r="B339" s="23" t="s">
        <v>102</v>
      </c>
      <c r="C339" s="23" t="s">
        <v>830</v>
      </c>
      <c r="D339" s="24">
        <v>2319792.34</v>
      </c>
      <c r="E339" s="24">
        <v>4173124.59</v>
      </c>
      <c r="F339" s="25">
        <f t="shared" si="5"/>
        <v>6492916.9299999997</v>
      </c>
      <c r="G339" s="26"/>
      <c r="H339" s="26"/>
      <c r="I339" s="28"/>
      <c r="J339" s="28"/>
      <c r="K339" s="28"/>
      <c r="L339" s="28"/>
      <c r="M339" s="26"/>
      <c r="N339" s="26"/>
      <c r="O339" s="28"/>
      <c r="P339" s="28"/>
      <c r="Q339" s="28"/>
    </row>
    <row r="340" spans="1:17" ht="18">
      <c r="A340" s="22">
        <v>335</v>
      </c>
      <c r="B340" s="23" t="s">
        <v>102</v>
      </c>
      <c r="C340" s="23" t="s">
        <v>832</v>
      </c>
      <c r="D340" s="24">
        <v>2127850.6800000002</v>
      </c>
      <c r="E340" s="24">
        <v>3827836.58</v>
      </c>
      <c r="F340" s="25">
        <f t="shared" si="5"/>
        <v>5955687.2599999998</v>
      </c>
      <c r="G340" s="26"/>
      <c r="H340" s="26"/>
      <c r="I340" s="28"/>
      <c r="J340" s="28"/>
      <c r="K340" s="28"/>
      <c r="L340" s="28"/>
      <c r="M340" s="26"/>
      <c r="N340" s="26"/>
      <c r="O340" s="28"/>
      <c r="P340" s="28"/>
      <c r="Q340" s="28"/>
    </row>
    <row r="341" spans="1:17" ht="18">
      <c r="A341" s="22">
        <v>336</v>
      </c>
      <c r="B341" s="23" t="s">
        <v>102</v>
      </c>
      <c r="C341" s="23" t="s">
        <v>834</v>
      </c>
      <c r="D341" s="24">
        <v>2611337.71</v>
      </c>
      <c r="E341" s="24">
        <v>4697591.8600000003</v>
      </c>
      <c r="F341" s="25">
        <f t="shared" si="5"/>
        <v>7308929.5700000003</v>
      </c>
      <c r="G341" s="26"/>
      <c r="H341" s="26"/>
      <c r="I341" s="28"/>
      <c r="J341" s="28"/>
      <c r="K341" s="28"/>
      <c r="L341" s="28"/>
      <c r="M341" s="26"/>
      <c r="N341" s="26"/>
      <c r="O341" s="28"/>
      <c r="P341" s="28"/>
      <c r="Q341" s="28"/>
    </row>
    <row r="342" spans="1:17" ht="18">
      <c r="A342" s="22">
        <v>337</v>
      </c>
      <c r="B342" s="23" t="s">
        <v>102</v>
      </c>
      <c r="C342" s="23" t="s">
        <v>836</v>
      </c>
      <c r="D342" s="24">
        <v>1931106.32</v>
      </c>
      <c r="E342" s="24">
        <v>3473908.91</v>
      </c>
      <c r="F342" s="25">
        <f t="shared" si="5"/>
        <v>5405015.2300000004</v>
      </c>
      <c r="G342" s="26"/>
      <c r="H342" s="26"/>
      <c r="I342" s="28"/>
      <c r="J342" s="28"/>
      <c r="K342" s="28"/>
      <c r="L342" s="28"/>
      <c r="M342" s="26"/>
      <c r="N342" s="26"/>
      <c r="O342" s="28"/>
      <c r="P342" s="28"/>
      <c r="Q342" s="28"/>
    </row>
    <row r="343" spans="1:17" ht="18">
      <c r="A343" s="22">
        <v>338</v>
      </c>
      <c r="B343" s="23" t="s">
        <v>102</v>
      </c>
      <c r="C343" s="23" t="s">
        <v>838</v>
      </c>
      <c r="D343" s="24">
        <v>2423769.04</v>
      </c>
      <c r="E343" s="24">
        <v>4360170.51</v>
      </c>
      <c r="F343" s="25">
        <f t="shared" si="5"/>
        <v>6783939.5499999998</v>
      </c>
      <c r="G343" s="26"/>
      <c r="H343" s="26"/>
      <c r="I343" s="28"/>
      <c r="J343" s="28"/>
      <c r="K343" s="28"/>
      <c r="L343" s="28"/>
      <c r="M343" s="26"/>
      <c r="N343" s="26"/>
      <c r="O343" s="28"/>
      <c r="P343" s="28"/>
      <c r="Q343" s="28"/>
    </row>
    <row r="344" spans="1:17" ht="18">
      <c r="A344" s="22">
        <v>339</v>
      </c>
      <c r="B344" s="23" t="s">
        <v>102</v>
      </c>
      <c r="C344" s="23" t="s">
        <v>840</v>
      </c>
      <c r="D344" s="24">
        <v>2204405.65</v>
      </c>
      <c r="E344" s="24">
        <v>3965552.98</v>
      </c>
      <c r="F344" s="25">
        <f t="shared" si="5"/>
        <v>6169958.6299999999</v>
      </c>
      <c r="G344" s="26"/>
      <c r="H344" s="26"/>
      <c r="I344" s="28"/>
      <c r="J344" s="28"/>
      <c r="K344" s="28"/>
      <c r="L344" s="28"/>
      <c r="M344" s="26"/>
      <c r="N344" s="26"/>
      <c r="O344" s="28"/>
      <c r="P344" s="28"/>
      <c r="Q344" s="28"/>
    </row>
    <row r="345" spans="1:17" ht="18">
      <c r="A345" s="22">
        <v>340</v>
      </c>
      <c r="B345" s="23" t="s">
        <v>102</v>
      </c>
      <c r="C345" s="23" t="s">
        <v>842</v>
      </c>
      <c r="D345" s="24">
        <v>2042656.61</v>
      </c>
      <c r="E345" s="24">
        <v>3674579.13</v>
      </c>
      <c r="F345" s="25">
        <f t="shared" si="5"/>
        <v>5717235.7400000002</v>
      </c>
      <c r="G345" s="26"/>
      <c r="H345" s="26"/>
      <c r="I345" s="28"/>
      <c r="J345" s="28"/>
      <c r="K345" s="28"/>
      <c r="L345" s="28"/>
      <c r="M345" s="26"/>
      <c r="N345" s="26"/>
      <c r="O345" s="28"/>
      <c r="P345" s="28"/>
      <c r="Q345" s="28"/>
    </row>
    <row r="346" spans="1:17" ht="18">
      <c r="A346" s="22">
        <v>341</v>
      </c>
      <c r="B346" s="23" t="s">
        <v>103</v>
      </c>
      <c r="C346" s="23" t="s">
        <v>847</v>
      </c>
      <c r="D346" s="24">
        <v>3824442.08</v>
      </c>
      <c r="E346" s="24">
        <v>6879871.5300000003</v>
      </c>
      <c r="F346" s="25">
        <f t="shared" si="5"/>
        <v>10704313.609999999</v>
      </c>
      <c r="G346" s="26"/>
      <c r="H346" s="26"/>
      <c r="I346" s="28"/>
      <c r="J346" s="28"/>
      <c r="K346" s="28"/>
      <c r="L346" s="28"/>
      <c r="M346" s="26"/>
      <c r="N346" s="26"/>
      <c r="O346" s="28"/>
      <c r="P346" s="28"/>
      <c r="Q346" s="28"/>
    </row>
    <row r="347" spans="1:17" ht="18">
      <c r="A347" s="22">
        <v>342</v>
      </c>
      <c r="B347" s="23" t="s">
        <v>103</v>
      </c>
      <c r="C347" s="23" t="s">
        <v>849</v>
      </c>
      <c r="D347" s="24">
        <v>3888793.44</v>
      </c>
      <c r="E347" s="24">
        <v>6995634.5800000001</v>
      </c>
      <c r="F347" s="25">
        <f t="shared" si="5"/>
        <v>10884428.02</v>
      </c>
      <c r="G347" s="26"/>
      <c r="H347" s="26"/>
      <c r="I347" s="28"/>
      <c r="J347" s="28"/>
      <c r="K347" s="28"/>
      <c r="L347" s="28"/>
      <c r="M347" s="26"/>
      <c r="N347" s="26"/>
      <c r="O347" s="28"/>
      <c r="P347" s="28"/>
      <c r="Q347" s="28"/>
    </row>
    <row r="348" spans="1:17" ht="18">
      <c r="A348" s="22">
        <v>343</v>
      </c>
      <c r="B348" s="23" t="s">
        <v>103</v>
      </c>
      <c r="C348" s="23" t="s">
        <v>851</v>
      </c>
      <c r="D348" s="24">
        <v>3218287.12</v>
      </c>
      <c r="E348" s="24">
        <v>5789446.2699999996</v>
      </c>
      <c r="F348" s="25">
        <f t="shared" si="5"/>
        <v>9007733.3900000006</v>
      </c>
      <c r="G348" s="26"/>
      <c r="H348" s="26"/>
      <c r="I348" s="28"/>
      <c r="J348" s="28"/>
      <c r="K348" s="28"/>
      <c r="L348" s="28"/>
      <c r="M348" s="26"/>
      <c r="N348" s="26"/>
      <c r="O348" s="28"/>
      <c r="P348" s="28"/>
      <c r="Q348" s="28"/>
    </row>
    <row r="349" spans="1:17" ht="18">
      <c r="A349" s="22">
        <v>344</v>
      </c>
      <c r="B349" s="23" t="s">
        <v>103</v>
      </c>
      <c r="C349" s="23" t="s">
        <v>853</v>
      </c>
      <c r="D349" s="24">
        <v>2478035.04</v>
      </c>
      <c r="E349" s="24">
        <v>4457790.8099999996</v>
      </c>
      <c r="F349" s="25">
        <f t="shared" si="5"/>
        <v>6935825.8499999996</v>
      </c>
      <c r="G349" s="26"/>
      <c r="H349" s="26"/>
      <c r="I349" s="28"/>
      <c r="J349" s="28"/>
      <c r="K349" s="28"/>
      <c r="L349" s="28"/>
      <c r="M349" s="26"/>
      <c r="N349" s="26"/>
      <c r="O349" s="28"/>
      <c r="P349" s="28"/>
      <c r="Q349" s="28"/>
    </row>
    <row r="350" spans="1:17" ht="18">
      <c r="A350" s="22">
        <v>345</v>
      </c>
      <c r="B350" s="23" t="s">
        <v>103</v>
      </c>
      <c r="C350" s="23" t="s">
        <v>855</v>
      </c>
      <c r="D350" s="24">
        <v>4073777.75</v>
      </c>
      <c r="E350" s="24">
        <v>7328406.8399999999</v>
      </c>
      <c r="F350" s="25">
        <f t="shared" si="5"/>
        <v>11402184.59</v>
      </c>
      <c r="G350" s="26"/>
      <c r="H350" s="26"/>
      <c r="I350" s="28"/>
      <c r="J350" s="28"/>
      <c r="K350" s="28"/>
      <c r="L350" s="28"/>
      <c r="M350" s="26"/>
      <c r="N350" s="26"/>
      <c r="O350" s="28"/>
      <c r="P350" s="28"/>
      <c r="Q350" s="28"/>
    </row>
    <row r="351" spans="1:17" ht="18">
      <c r="A351" s="22">
        <v>346</v>
      </c>
      <c r="B351" s="23" t="s">
        <v>103</v>
      </c>
      <c r="C351" s="23" t="s">
        <v>857</v>
      </c>
      <c r="D351" s="24">
        <v>2729063.61</v>
      </c>
      <c r="E351" s="24">
        <v>4909371.53</v>
      </c>
      <c r="F351" s="25">
        <f t="shared" si="5"/>
        <v>7638435.1399999997</v>
      </c>
      <c r="G351" s="26"/>
      <c r="H351" s="26"/>
      <c r="I351" s="28"/>
      <c r="J351" s="28"/>
      <c r="K351" s="28"/>
      <c r="L351" s="28"/>
      <c r="M351" s="26"/>
      <c r="N351" s="26"/>
      <c r="O351" s="28"/>
      <c r="P351" s="28"/>
      <c r="Q351" s="28"/>
    </row>
    <row r="352" spans="1:17" ht="18">
      <c r="A352" s="22">
        <v>347</v>
      </c>
      <c r="B352" s="23" t="s">
        <v>103</v>
      </c>
      <c r="C352" s="23" t="s">
        <v>859</v>
      </c>
      <c r="D352" s="24">
        <v>2379738.1</v>
      </c>
      <c r="E352" s="24">
        <v>4280962.3099999996</v>
      </c>
      <c r="F352" s="25">
        <f t="shared" si="5"/>
        <v>6660700.4100000001</v>
      </c>
      <c r="G352" s="26"/>
      <c r="H352" s="26"/>
      <c r="I352" s="28"/>
      <c r="J352" s="28"/>
      <c r="K352" s="28"/>
      <c r="L352" s="28"/>
      <c r="M352" s="26"/>
      <c r="N352" s="26"/>
      <c r="O352" s="28"/>
      <c r="P352" s="28"/>
      <c r="Q352" s="28"/>
    </row>
    <row r="353" spans="1:17" ht="18">
      <c r="A353" s="22">
        <v>348</v>
      </c>
      <c r="B353" s="23" t="s">
        <v>103</v>
      </c>
      <c r="C353" s="23" t="s">
        <v>861</v>
      </c>
      <c r="D353" s="24">
        <v>3170844.99</v>
      </c>
      <c r="E353" s="24">
        <v>5704101.5999999996</v>
      </c>
      <c r="F353" s="25">
        <f t="shared" si="5"/>
        <v>8874946.5899999999</v>
      </c>
      <c r="G353" s="26"/>
      <c r="H353" s="26"/>
      <c r="I353" s="28"/>
      <c r="J353" s="28"/>
      <c r="K353" s="28"/>
      <c r="L353" s="28"/>
      <c r="M353" s="26"/>
      <c r="N353" s="26"/>
      <c r="O353" s="28"/>
      <c r="P353" s="28"/>
      <c r="Q353" s="28"/>
    </row>
    <row r="354" spans="1:17" ht="18">
      <c r="A354" s="22">
        <v>349</v>
      </c>
      <c r="B354" s="23" t="s">
        <v>103</v>
      </c>
      <c r="C354" s="23" t="s">
        <v>863</v>
      </c>
      <c r="D354" s="24">
        <v>3497771.87</v>
      </c>
      <c r="E354" s="24">
        <v>6292217.4199999999</v>
      </c>
      <c r="F354" s="25">
        <f t="shared" si="5"/>
        <v>9789989.2899999991</v>
      </c>
      <c r="G354" s="26"/>
      <c r="H354" s="26"/>
      <c r="I354" s="28"/>
      <c r="J354" s="28"/>
      <c r="K354" s="28"/>
      <c r="L354" s="28"/>
      <c r="M354" s="26"/>
      <c r="N354" s="26"/>
      <c r="O354" s="28"/>
      <c r="P354" s="28"/>
      <c r="Q354" s="28"/>
    </row>
    <row r="355" spans="1:17" ht="18">
      <c r="A355" s="22">
        <v>350</v>
      </c>
      <c r="B355" s="23" t="s">
        <v>103</v>
      </c>
      <c r="C355" s="23" t="s">
        <v>865</v>
      </c>
      <c r="D355" s="24">
        <v>3304348.2</v>
      </c>
      <c r="E355" s="24">
        <v>5944263.4100000001</v>
      </c>
      <c r="F355" s="25">
        <f t="shared" si="5"/>
        <v>9248611.6099999994</v>
      </c>
      <c r="G355" s="26"/>
      <c r="H355" s="26"/>
      <c r="I355" s="28"/>
      <c r="J355" s="28"/>
      <c r="K355" s="28"/>
      <c r="L355" s="28"/>
      <c r="M355" s="26"/>
      <c r="N355" s="26"/>
      <c r="O355" s="28"/>
      <c r="P355" s="28"/>
      <c r="Q355" s="28"/>
    </row>
    <row r="356" spans="1:17" ht="18">
      <c r="A356" s="22">
        <v>351</v>
      </c>
      <c r="B356" s="23" t="s">
        <v>103</v>
      </c>
      <c r="C356" s="23" t="s">
        <v>867</v>
      </c>
      <c r="D356" s="24">
        <v>3527908.6</v>
      </c>
      <c r="E356" s="24">
        <v>6346431.04</v>
      </c>
      <c r="F356" s="25">
        <f t="shared" si="5"/>
        <v>9874339.6400000006</v>
      </c>
      <c r="G356" s="26"/>
      <c r="H356" s="26"/>
      <c r="I356" s="28"/>
      <c r="J356" s="28"/>
      <c r="K356" s="28"/>
      <c r="L356" s="28"/>
      <c r="M356" s="26"/>
      <c r="N356" s="26"/>
      <c r="O356" s="28"/>
      <c r="P356" s="28"/>
      <c r="Q356" s="28"/>
    </row>
    <row r="357" spans="1:17" ht="18">
      <c r="A357" s="22">
        <v>352</v>
      </c>
      <c r="B357" s="23" t="s">
        <v>103</v>
      </c>
      <c r="C357" s="23" t="s">
        <v>869</v>
      </c>
      <c r="D357" s="24">
        <v>3048727.12</v>
      </c>
      <c r="E357" s="24">
        <v>5484421.1100000003</v>
      </c>
      <c r="F357" s="25">
        <f t="shared" si="5"/>
        <v>8533148.2300000004</v>
      </c>
      <c r="G357" s="26"/>
      <c r="H357" s="26"/>
      <c r="I357" s="28"/>
      <c r="J357" s="28"/>
      <c r="K357" s="28"/>
      <c r="L357" s="28"/>
      <c r="M357" s="26"/>
      <c r="N357" s="26"/>
      <c r="O357" s="28"/>
      <c r="P357" s="28"/>
      <c r="Q357" s="28"/>
    </row>
    <row r="358" spans="1:17" ht="18">
      <c r="A358" s="22">
        <v>353</v>
      </c>
      <c r="B358" s="23" t="s">
        <v>103</v>
      </c>
      <c r="C358" s="23" t="s">
        <v>871</v>
      </c>
      <c r="D358" s="24">
        <v>2641318.69</v>
      </c>
      <c r="E358" s="24">
        <v>4751525.29</v>
      </c>
      <c r="F358" s="25">
        <f t="shared" si="5"/>
        <v>7392843.9800000004</v>
      </c>
      <c r="G358" s="26"/>
      <c r="H358" s="26"/>
      <c r="I358" s="28"/>
      <c r="J358" s="28"/>
      <c r="K358" s="28"/>
      <c r="L358" s="28"/>
      <c r="M358" s="26"/>
      <c r="N358" s="26"/>
      <c r="O358" s="28"/>
      <c r="P358" s="28"/>
      <c r="Q358" s="28"/>
    </row>
    <row r="359" spans="1:17" ht="18">
      <c r="A359" s="22">
        <v>354</v>
      </c>
      <c r="B359" s="23" t="s">
        <v>103</v>
      </c>
      <c r="C359" s="23" t="s">
        <v>873</v>
      </c>
      <c r="D359" s="24">
        <v>2719691.29</v>
      </c>
      <c r="E359" s="24">
        <v>4892511.45</v>
      </c>
      <c r="F359" s="25">
        <f t="shared" si="5"/>
        <v>7612202.7400000002</v>
      </c>
      <c r="G359" s="26"/>
      <c r="H359" s="26"/>
      <c r="I359" s="28"/>
      <c r="J359" s="28"/>
      <c r="K359" s="28"/>
      <c r="L359" s="28"/>
      <c r="M359" s="26"/>
      <c r="N359" s="26"/>
      <c r="O359" s="28"/>
      <c r="P359" s="28"/>
      <c r="Q359" s="28"/>
    </row>
    <row r="360" spans="1:17" ht="18">
      <c r="A360" s="22">
        <v>355</v>
      </c>
      <c r="B360" s="23" t="s">
        <v>103</v>
      </c>
      <c r="C360" s="23" t="s">
        <v>875</v>
      </c>
      <c r="D360" s="24">
        <v>3148308.91</v>
      </c>
      <c r="E360" s="24">
        <v>5663560.9500000002</v>
      </c>
      <c r="F360" s="25">
        <f t="shared" si="5"/>
        <v>8811869.8599999994</v>
      </c>
      <c r="G360" s="26"/>
      <c r="H360" s="26"/>
      <c r="I360" s="28"/>
      <c r="J360" s="28"/>
      <c r="K360" s="28"/>
      <c r="L360" s="28"/>
      <c r="M360" s="26"/>
      <c r="N360" s="26"/>
      <c r="O360" s="28"/>
      <c r="P360" s="28"/>
      <c r="Q360" s="28"/>
    </row>
    <row r="361" spans="1:17" ht="18">
      <c r="A361" s="22">
        <v>356</v>
      </c>
      <c r="B361" s="23" t="s">
        <v>103</v>
      </c>
      <c r="C361" s="23" t="s">
        <v>877</v>
      </c>
      <c r="D361" s="24">
        <v>2441934.0299999998</v>
      </c>
      <c r="E361" s="24">
        <v>4392847.91</v>
      </c>
      <c r="F361" s="25">
        <f t="shared" si="5"/>
        <v>6834781.9400000004</v>
      </c>
      <c r="G361" s="26"/>
      <c r="H361" s="26"/>
      <c r="I361" s="28"/>
      <c r="J361" s="28"/>
      <c r="K361" s="28"/>
      <c r="L361" s="28"/>
      <c r="M361" s="26"/>
      <c r="N361" s="26"/>
      <c r="O361" s="28"/>
      <c r="P361" s="28"/>
      <c r="Q361" s="28"/>
    </row>
    <row r="362" spans="1:17" ht="18">
      <c r="A362" s="22">
        <v>357</v>
      </c>
      <c r="B362" s="23" t="s">
        <v>103</v>
      </c>
      <c r="C362" s="23" t="s">
        <v>879</v>
      </c>
      <c r="D362" s="24">
        <v>3397763.27</v>
      </c>
      <c r="E362" s="24">
        <v>6112309.79</v>
      </c>
      <c r="F362" s="25">
        <f t="shared" si="5"/>
        <v>9510073.0600000005</v>
      </c>
      <c r="G362" s="26"/>
      <c r="H362" s="26"/>
      <c r="I362" s="28"/>
      <c r="J362" s="28"/>
      <c r="K362" s="28"/>
      <c r="L362" s="28"/>
      <c r="M362" s="26"/>
      <c r="N362" s="26"/>
      <c r="O362" s="28"/>
      <c r="P362" s="28"/>
      <c r="Q362" s="28"/>
    </row>
    <row r="363" spans="1:17" ht="18">
      <c r="A363" s="22">
        <v>358</v>
      </c>
      <c r="B363" s="23" t="s">
        <v>103</v>
      </c>
      <c r="C363" s="23" t="s">
        <v>881</v>
      </c>
      <c r="D363" s="24">
        <v>2285383.5499999998</v>
      </c>
      <c r="E363" s="24">
        <v>4111225.86</v>
      </c>
      <c r="F363" s="25">
        <f t="shared" si="5"/>
        <v>6396609.4100000001</v>
      </c>
      <c r="G363" s="26"/>
      <c r="H363" s="26"/>
      <c r="I363" s="28"/>
      <c r="J363" s="28"/>
      <c r="K363" s="28"/>
      <c r="L363" s="28"/>
      <c r="M363" s="26"/>
      <c r="N363" s="26"/>
      <c r="O363" s="28"/>
      <c r="P363" s="28"/>
      <c r="Q363" s="28"/>
    </row>
    <row r="364" spans="1:17" ht="18">
      <c r="A364" s="22">
        <v>359</v>
      </c>
      <c r="B364" s="23" t="s">
        <v>103</v>
      </c>
      <c r="C364" s="23" t="s">
        <v>883</v>
      </c>
      <c r="D364" s="24">
        <v>3015560.68</v>
      </c>
      <c r="E364" s="24">
        <v>5424757.2800000003</v>
      </c>
      <c r="F364" s="25">
        <f t="shared" si="5"/>
        <v>8440317.9600000009</v>
      </c>
      <c r="G364" s="26"/>
      <c r="H364" s="26"/>
      <c r="I364" s="28"/>
      <c r="J364" s="28"/>
      <c r="K364" s="28"/>
      <c r="L364" s="28"/>
      <c r="M364" s="26"/>
      <c r="N364" s="26"/>
      <c r="O364" s="28"/>
      <c r="P364" s="28"/>
      <c r="Q364" s="28"/>
    </row>
    <row r="365" spans="1:17" ht="18">
      <c r="A365" s="22">
        <v>360</v>
      </c>
      <c r="B365" s="23" t="s">
        <v>103</v>
      </c>
      <c r="C365" s="23" t="s">
        <v>885</v>
      </c>
      <c r="D365" s="24">
        <v>2528327.69</v>
      </c>
      <c r="E365" s="24">
        <v>4548263.33</v>
      </c>
      <c r="F365" s="25">
        <f t="shared" si="5"/>
        <v>7076591.0199999996</v>
      </c>
      <c r="G365" s="26"/>
      <c r="H365" s="26"/>
      <c r="I365" s="28"/>
      <c r="J365" s="28"/>
      <c r="K365" s="28"/>
      <c r="L365" s="28"/>
      <c r="M365" s="26"/>
      <c r="N365" s="26"/>
      <c r="O365" s="28"/>
      <c r="P365" s="28"/>
      <c r="Q365" s="28"/>
    </row>
    <row r="366" spans="1:17" ht="18">
      <c r="A366" s="22">
        <v>361</v>
      </c>
      <c r="B366" s="23" t="s">
        <v>103</v>
      </c>
      <c r="C366" s="23" t="s">
        <v>887</v>
      </c>
      <c r="D366" s="24">
        <v>3222695.48</v>
      </c>
      <c r="E366" s="24">
        <v>5797376.5499999998</v>
      </c>
      <c r="F366" s="25">
        <f t="shared" si="5"/>
        <v>9020072.0299999993</v>
      </c>
      <c r="G366" s="26"/>
      <c r="H366" s="26"/>
      <c r="I366" s="28"/>
      <c r="J366" s="28"/>
      <c r="K366" s="28"/>
      <c r="L366" s="28"/>
      <c r="M366" s="26"/>
      <c r="N366" s="26"/>
      <c r="O366" s="28"/>
      <c r="P366" s="28"/>
      <c r="Q366" s="28"/>
    </row>
    <row r="367" spans="1:17" ht="18">
      <c r="A367" s="22">
        <v>362</v>
      </c>
      <c r="B367" s="23" t="s">
        <v>103</v>
      </c>
      <c r="C367" s="23" t="s">
        <v>889</v>
      </c>
      <c r="D367" s="24">
        <v>3605546.53</v>
      </c>
      <c r="E367" s="24">
        <v>6486095.5800000001</v>
      </c>
      <c r="F367" s="25">
        <f t="shared" si="5"/>
        <v>10091642.109999999</v>
      </c>
      <c r="G367" s="26"/>
      <c r="H367" s="26"/>
      <c r="I367" s="28"/>
      <c r="J367" s="28"/>
      <c r="K367" s="28"/>
      <c r="L367" s="28"/>
      <c r="M367" s="26"/>
      <c r="N367" s="26"/>
      <c r="O367" s="28"/>
      <c r="P367" s="28"/>
      <c r="Q367" s="28"/>
    </row>
    <row r="368" spans="1:17" ht="18">
      <c r="A368" s="22">
        <v>363</v>
      </c>
      <c r="B368" s="23" t="s">
        <v>103</v>
      </c>
      <c r="C368" s="23" t="s">
        <v>891</v>
      </c>
      <c r="D368" s="24">
        <v>3681574.51</v>
      </c>
      <c r="E368" s="24">
        <v>6622863.9699999997</v>
      </c>
      <c r="F368" s="25">
        <f t="shared" si="5"/>
        <v>10304438.48</v>
      </c>
      <c r="G368" s="26"/>
      <c r="H368" s="26"/>
      <c r="I368" s="28"/>
      <c r="J368" s="28"/>
      <c r="K368" s="28"/>
      <c r="L368" s="28"/>
      <c r="M368" s="26"/>
      <c r="N368" s="26"/>
      <c r="O368" s="28"/>
      <c r="P368" s="28"/>
      <c r="Q368" s="28"/>
    </row>
    <row r="369" spans="1:17" ht="18">
      <c r="A369" s="22">
        <v>364</v>
      </c>
      <c r="B369" s="23" t="s">
        <v>104</v>
      </c>
      <c r="C369" s="23" t="s">
        <v>895</v>
      </c>
      <c r="D369" s="24">
        <v>2362540.44</v>
      </c>
      <c r="E369" s="24">
        <v>4250025.07</v>
      </c>
      <c r="F369" s="25">
        <f t="shared" si="5"/>
        <v>6612565.5099999998</v>
      </c>
      <c r="G369" s="26"/>
      <c r="H369" s="26"/>
      <c r="I369" s="28"/>
      <c r="J369" s="28"/>
      <c r="K369" s="28"/>
      <c r="L369" s="28"/>
      <c r="M369" s="26"/>
      <c r="N369" s="26"/>
      <c r="O369" s="28"/>
      <c r="P369" s="28"/>
      <c r="Q369" s="28"/>
    </row>
    <row r="370" spans="1:17" ht="18">
      <c r="A370" s="22">
        <v>365</v>
      </c>
      <c r="B370" s="23" t="s">
        <v>104</v>
      </c>
      <c r="C370" s="23" t="s">
        <v>897</v>
      </c>
      <c r="D370" s="24">
        <v>2419862.2999999998</v>
      </c>
      <c r="E370" s="24">
        <v>4353142.5999999996</v>
      </c>
      <c r="F370" s="25">
        <f t="shared" si="5"/>
        <v>6773004.9000000004</v>
      </c>
      <c r="G370" s="26"/>
      <c r="H370" s="26"/>
      <c r="I370" s="28"/>
      <c r="J370" s="28"/>
      <c r="K370" s="28"/>
      <c r="L370" s="28"/>
      <c r="M370" s="26"/>
      <c r="N370" s="26"/>
      <c r="O370" s="28"/>
      <c r="P370" s="28"/>
      <c r="Q370" s="28"/>
    </row>
    <row r="371" spans="1:17" ht="18">
      <c r="A371" s="22">
        <v>366</v>
      </c>
      <c r="B371" s="23" t="s">
        <v>104</v>
      </c>
      <c r="C371" s="23" t="s">
        <v>899</v>
      </c>
      <c r="D371" s="24">
        <v>2206437.67</v>
      </c>
      <c r="E371" s="24">
        <v>3969208.41</v>
      </c>
      <c r="F371" s="25">
        <f t="shared" si="5"/>
        <v>6175646.0800000001</v>
      </c>
      <c r="G371" s="26"/>
      <c r="H371" s="26"/>
      <c r="I371" s="28"/>
      <c r="J371" s="28"/>
      <c r="K371" s="28"/>
      <c r="L371" s="28"/>
      <c r="M371" s="26"/>
      <c r="N371" s="26"/>
      <c r="O371" s="28"/>
      <c r="P371" s="28"/>
      <c r="Q371" s="28"/>
    </row>
    <row r="372" spans="1:17" ht="18">
      <c r="A372" s="22">
        <v>367</v>
      </c>
      <c r="B372" s="23" t="s">
        <v>104</v>
      </c>
      <c r="C372" s="23" t="s">
        <v>901</v>
      </c>
      <c r="D372" s="24">
        <v>2393679.83</v>
      </c>
      <c r="E372" s="24">
        <v>4306042.38</v>
      </c>
      <c r="F372" s="25">
        <f t="shared" si="5"/>
        <v>6699722.21</v>
      </c>
      <c r="G372" s="26"/>
      <c r="H372" s="26"/>
      <c r="I372" s="28"/>
      <c r="J372" s="28"/>
      <c r="K372" s="28"/>
      <c r="L372" s="28"/>
      <c r="M372" s="26"/>
      <c r="N372" s="26"/>
      <c r="O372" s="28"/>
      <c r="P372" s="28"/>
      <c r="Q372" s="28"/>
    </row>
    <row r="373" spans="1:17" ht="18">
      <c r="A373" s="22">
        <v>368</v>
      </c>
      <c r="B373" s="23" t="s">
        <v>104</v>
      </c>
      <c r="C373" s="23" t="s">
        <v>903</v>
      </c>
      <c r="D373" s="24">
        <v>2901218.75</v>
      </c>
      <c r="E373" s="24">
        <v>5219065.12</v>
      </c>
      <c r="F373" s="25">
        <f t="shared" si="5"/>
        <v>8120283.8700000001</v>
      </c>
      <c r="G373" s="26"/>
      <c r="H373" s="26"/>
      <c r="I373" s="28"/>
      <c r="J373" s="28"/>
      <c r="K373" s="28"/>
      <c r="L373" s="28"/>
      <c r="M373" s="26"/>
      <c r="N373" s="26"/>
      <c r="O373" s="28"/>
      <c r="P373" s="28"/>
      <c r="Q373" s="28"/>
    </row>
    <row r="374" spans="1:17" ht="18">
      <c r="A374" s="22">
        <v>369</v>
      </c>
      <c r="B374" s="23" t="s">
        <v>104</v>
      </c>
      <c r="C374" s="23" t="s">
        <v>905</v>
      </c>
      <c r="D374" s="24">
        <v>2311415.25</v>
      </c>
      <c r="E374" s="24">
        <v>4158054.86</v>
      </c>
      <c r="F374" s="25">
        <f t="shared" si="5"/>
        <v>6469470.1100000003</v>
      </c>
      <c r="G374" s="26"/>
      <c r="H374" s="26"/>
      <c r="I374" s="28"/>
      <c r="J374" s="28"/>
      <c r="K374" s="28"/>
      <c r="L374" s="28"/>
      <c r="M374" s="26"/>
      <c r="N374" s="26"/>
      <c r="O374" s="28"/>
      <c r="P374" s="28"/>
      <c r="Q374" s="28"/>
    </row>
    <row r="375" spans="1:17" ht="18">
      <c r="A375" s="22">
        <v>370</v>
      </c>
      <c r="B375" s="23" t="s">
        <v>104</v>
      </c>
      <c r="C375" s="23" t="s">
        <v>907</v>
      </c>
      <c r="D375" s="24">
        <v>3730875.62</v>
      </c>
      <c r="E375" s="24">
        <v>6711552.8099999996</v>
      </c>
      <c r="F375" s="25">
        <f t="shared" si="5"/>
        <v>10442428.43</v>
      </c>
      <c r="G375" s="26"/>
      <c r="H375" s="26"/>
      <c r="I375" s="28"/>
      <c r="J375" s="28"/>
      <c r="K375" s="28"/>
      <c r="L375" s="28"/>
      <c r="M375" s="26"/>
      <c r="N375" s="26"/>
      <c r="O375" s="28"/>
      <c r="P375" s="28"/>
      <c r="Q375" s="28"/>
    </row>
    <row r="376" spans="1:17" ht="18">
      <c r="A376" s="22">
        <v>371</v>
      </c>
      <c r="B376" s="23" t="s">
        <v>104</v>
      </c>
      <c r="C376" s="23" t="s">
        <v>909</v>
      </c>
      <c r="D376" s="24">
        <v>2541904.46</v>
      </c>
      <c r="E376" s="24">
        <v>4572686.88</v>
      </c>
      <c r="F376" s="25">
        <f t="shared" si="5"/>
        <v>7114591.3399999999</v>
      </c>
      <c r="G376" s="26"/>
      <c r="H376" s="26"/>
      <c r="I376" s="28"/>
      <c r="J376" s="28"/>
      <c r="K376" s="28"/>
      <c r="L376" s="28"/>
      <c r="M376" s="26"/>
      <c r="N376" s="26"/>
      <c r="O376" s="28"/>
      <c r="P376" s="28"/>
      <c r="Q376" s="28"/>
    </row>
    <row r="377" spans="1:17" ht="18">
      <c r="A377" s="22">
        <v>372</v>
      </c>
      <c r="B377" s="23" t="s">
        <v>104</v>
      </c>
      <c r="C377" s="23" t="s">
        <v>911</v>
      </c>
      <c r="D377" s="24">
        <v>2732448.63</v>
      </c>
      <c r="E377" s="24">
        <v>4915460.9000000004</v>
      </c>
      <c r="F377" s="25">
        <f t="shared" si="5"/>
        <v>7647909.5300000003</v>
      </c>
      <c r="G377" s="26"/>
      <c r="H377" s="26"/>
      <c r="I377" s="28"/>
      <c r="J377" s="28"/>
      <c r="K377" s="28"/>
      <c r="L377" s="28"/>
      <c r="M377" s="26"/>
      <c r="N377" s="26"/>
      <c r="O377" s="28"/>
      <c r="P377" s="28"/>
      <c r="Q377" s="28"/>
    </row>
    <row r="378" spans="1:17" ht="18">
      <c r="A378" s="22">
        <v>373</v>
      </c>
      <c r="B378" s="23" t="s">
        <v>104</v>
      </c>
      <c r="C378" s="23" t="s">
        <v>913</v>
      </c>
      <c r="D378" s="24">
        <v>2751585.92</v>
      </c>
      <c r="E378" s="24">
        <v>4949887.3899999997</v>
      </c>
      <c r="F378" s="25">
        <f t="shared" si="5"/>
        <v>7701473.3099999996</v>
      </c>
      <c r="G378" s="26"/>
      <c r="H378" s="26"/>
      <c r="I378" s="28"/>
      <c r="J378" s="28"/>
      <c r="K378" s="28"/>
      <c r="L378" s="28"/>
      <c r="M378" s="26"/>
      <c r="N378" s="26"/>
      <c r="O378" s="28"/>
      <c r="P378" s="28"/>
      <c r="Q378" s="28"/>
    </row>
    <row r="379" spans="1:17" ht="18">
      <c r="A379" s="22">
        <v>374</v>
      </c>
      <c r="B379" s="23" t="s">
        <v>104</v>
      </c>
      <c r="C379" s="23" t="s">
        <v>914</v>
      </c>
      <c r="D379" s="24">
        <v>2550339.87</v>
      </c>
      <c r="E379" s="24">
        <v>4587861.51</v>
      </c>
      <c r="F379" s="25">
        <f t="shared" si="5"/>
        <v>7138201.3799999999</v>
      </c>
      <c r="G379" s="26"/>
      <c r="H379" s="26"/>
      <c r="I379" s="28"/>
      <c r="J379" s="28"/>
      <c r="K379" s="28"/>
      <c r="L379" s="28"/>
      <c r="M379" s="26"/>
      <c r="N379" s="26"/>
      <c r="O379" s="28"/>
      <c r="P379" s="28"/>
      <c r="Q379" s="28"/>
    </row>
    <row r="380" spans="1:17" ht="18">
      <c r="A380" s="22">
        <v>375</v>
      </c>
      <c r="B380" s="23" t="s">
        <v>104</v>
      </c>
      <c r="C380" s="23" t="s">
        <v>916</v>
      </c>
      <c r="D380" s="24">
        <v>2498526.9300000002</v>
      </c>
      <c r="E380" s="24">
        <v>4494654.1100000003</v>
      </c>
      <c r="F380" s="25">
        <f t="shared" si="5"/>
        <v>6993181.04</v>
      </c>
      <c r="G380" s="26"/>
      <c r="H380" s="26"/>
      <c r="I380" s="28"/>
      <c r="J380" s="28"/>
      <c r="K380" s="28"/>
      <c r="L380" s="28"/>
      <c r="M380" s="26"/>
      <c r="N380" s="26"/>
      <c r="O380" s="28"/>
      <c r="P380" s="28"/>
      <c r="Q380" s="28"/>
    </row>
    <row r="381" spans="1:17" ht="18">
      <c r="A381" s="22">
        <v>376</v>
      </c>
      <c r="B381" s="23" t="s">
        <v>104</v>
      </c>
      <c r="C381" s="23" t="s">
        <v>918</v>
      </c>
      <c r="D381" s="24">
        <v>2610607.4</v>
      </c>
      <c r="E381" s="24">
        <v>4696278.07</v>
      </c>
      <c r="F381" s="25">
        <f t="shared" si="5"/>
        <v>7306885.4699999997</v>
      </c>
      <c r="G381" s="26"/>
      <c r="H381" s="26"/>
      <c r="I381" s="28"/>
      <c r="J381" s="28"/>
      <c r="K381" s="28"/>
      <c r="L381" s="28"/>
      <c r="M381" s="26"/>
      <c r="N381" s="26"/>
      <c r="O381" s="28"/>
      <c r="P381" s="28"/>
      <c r="Q381" s="28"/>
    </row>
    <row r="382" spans="1:17" ht="18">
      <c r="A382" s="22">
        <v>377</v>
      </c>
      <c r="B382" s="23" t="s">
        <v>104</v>
      </c>
      <c r="C382" s="23" t="s">
        <v>920</v>
      </c>
      <c r="D382" s="24">
        <v>2328673.5099999998</v>
      </c>
      <c r="E382" s="24">
        <v>4189101.12</v>
      </c>
      <c r="F382" s="25">
        <f t="shared" si="5"/>
        <v>6517774.6299999999</v>
      </c>
      <c r="G382" s="26"/>
      <c r="H382" s="26"/>
      <c r="I382" s="28"/>
      <c r="J382" s="28"/>
      <c r="K382" s="28"/>
      <c r="L382" s="28"/>
      <c r="M382" s="26"/>
      <c r="N382" s="26"/>
      <c r="O382" s="28"/>
      <c r="P382" s="28"/>
      <c r="Q382" s="28"/>
    </row>
    <row r="383" spans="1:17" ht="18">
      <c r="A383" s="22">
        <v>378</v>
      </c>
      <c r="B383" s="23" t="s">
        <v>104</v>
      </c>
      <c r="C383" s="23" t="s">
        <v>922</v>
      </c>
      <c r="D383" s="24">
        <v>2316521.9300000002</v>
      </c>
      <c r="E383" s="24">
        <v>4167241.37</v>
      </c>
      <c r="F383" s="25">
        <f t="shared" si="5"/>
        <v>6483763.2999999998</v>
      </c>
      <c r="G383" s="26"/>
      <c r="H383" s="26"/>
      <c r="I383" s="28"/>
      <c r="J383" s="28"/>
      <c r="K383" s="28"/>
      <c r="L383" s="28"/>
      <c r="M383" s="26"/>
      <c r="N383" s="26"/>
      <c r="O383" s="28"/>
      <c r="P383" s="28"/>
      <c r="Q383" s="28"/>
    </row>
    <row r="384" spans="1:17" ht="18">
      <c r="A384" s="22">
        <v>379</v>
      </c>
      <c r="B384" s="23" t="s">
        <v>104</v>
      </c>
      <c r="C384" s="23" t="s">
        <v>924</v>
      </c>
      <c r="D384" s="24">
        <v>2503629.41</v>
      </c>
      <c r="E384" s="24">
        <v>4503833.0599999996</v>
      </c>
      <c r="F384" s="25">
        <f t="shared" si="5"/>
        <v>7007462.4699999997</v>
      </c>
      <c r="G384" s="26"/>
      <c r="H384" s="26"/>
      <c r="I384" s="28"/>
      <c r="J384" s="28"/>
      <c r="K384" s="28"/>
      <c r="L384" s="28"/>
      <c r="M384" s="26"/>
      <c r="N384" s="26"/>
      <c r="O384" s="28"/>
      <c r="P384" s="28"/>
      <c r="Q384" s="28"/>
    </row>
    <row r="385" spans="1:17" ht="18">
      <c r="A385" s="22">
        <v>380</v>
      </c>
      <c r="B385" s="23" t="s">
        <v>104</v>
      </c>
      <c r="C385" s="23" t="s">
        <v>926</v>
      </c>
      <c r="D385" s="24">
        <v>2858971.22</v>
      </c>
      <c r="E385" s="24">
        <v>5143065.13</v>
      </c>
      <c r="F385" s="25">
        <f t="shared" si="5"/>
        <v>8002036.3499999996</v>
      </c>
      <c r="G385" s="26"/>
      <c r="H385" s="26"/>
      <c r="I385" s="28"/>
      <c r="J385" s="28"/>
      <c r="K385" s="28"/>
      <c r="L385" s="28"/>
      <c r="M385" s="26"/>
      <c r="N385" s="26"/>
      <c r="O385" s="28"/>
      <c r="P385" s="28"/>
      <c r="Q385" s="28"/>
    </row>
    <row r="386" spans="1:17" ht="18">
      <c r="A386" s="22">
        <v>381</v>
      </c>
      <c r="B386" s="23" t="s">
        <v>104</v>
      </c>
      <c r="C386" s="23" t="s">
        <v>928</v>
      </c>
      <c r="D386" s="24">
        <v>3437260.11</v>
      </c>
      <c r="E386" s="24">
        <v>6183361.5099999998</v>
      </c>
      <c r="F386" s="25">
        <f t="shared" si="5"/>
        <v>9620621.6199999992</v>
      </c>
      <c r="G386" s="26"/>
      <c r="H386" s="26"/>
      <c r="I386" s="28"/>
      <c r="J386" s="28"/>
      <c r="K386" s="28"/>
      <c r="L386" s="28"/>
      <c r="M386" s="26"/>
      <c r="N386" s="26"/>
      <c r="O386" s="28"/>
      <c r="P386" s="28"/>
      <c r="Q386" s="28"/>
    </row>
    <row r="387" spans="1:17" ht="18">
      <c r="A387" s="22">
        <v>382</v>
      </c>
      <c r="B387" s="23" t="s">
        <v>104</v>
      </c>
      <c r="C387" s="23" t="s">
        <v>931</v>
      </c>
      <c r="D387" s="24">
        <v>2363201.2400000002</v>
      </c>
      <c r="E387" s="24">
        <v>4251213.79</v>
      </c>
      <c r="F387" s="25">
        <f t="shared" si="5"/>
        <v>6614415.0300000003</v>
      </c>
      <c r="G387" s="26"/>
      <c r="H387" s="26"/>
      <c r="I387" s="28"/>
      <c r="J387" s="28"/>
      <c r="K387" s="28"/>
      <c r="L387" s="28"/>
      <c r="M387" s="26"/>
      <c r="N387" s="26"/>
      <c r="O387" s="28"/>
      <c r="P387" s="28"/>
      <c r="Q387" s="28"/>
    </row>
    <row r="388" spans="1:17" ht="18">
      <c r="A388" s="22">
        <v>383</v>
      </c>
      <c r="B388" s="23" t="s">
        <v>104</v>
      </c>
      <c r="C388" s="23" t="s">
        <v>933</v>
      </c>
      <c r="D388" s="24">
        <v>2277101.7799999998</v>
      </c>
      <c r="E388" s="24">
        <v>4096327.62</v>
      </c>
      <c r="F388" s="25">
        <f t="shared" si="5"/>
        <v>6373429.4000000004</v>
      </c>
      <c r="G388" s="26"/>
      <c r="H388" s="26"/>
      <c r="I388" s="28"/>
      <c r="J388" s="28"/>
      <c r="K388" s="28"/>
      <c r="L388" s="28"/>
      <c r="M388" s="26"/>
      <c r="N388" s="26"/>
      <c r="O388" s="28"/>
      <c r="P388" s="28"/>
      <c r="Q388" s="28"/>
    </row>
    <row r="389" spans="1:17" ht="36">
      <c r="A389" s="22">
        <v>384</v>
      </c>
      <c r="B389" s="23" t="s">
        <v>104</v>
      </c>
      <c r="C389" s="23" t="s">
        <v>935</v>
      </c>
      <c r="D389" s="24">
        <v>3317760.83</v>
      </c>
      <c r="E389" s="24">
        <v>5968391.6699999999</v>
      </c>
      <c r="F389" s="25">
        <f t="shared" si="5"/>
        <v>9286152.5</v>
      </c>
      <c r="G389" s="26"/>
      <c r="H389" s="26"/>
      <c r="I389" s="28"/>
      <c r="J389" s="28"/>
      <c r="K389" s="28"/>
      <c r="L389" s="28"/>
      <c r="M389" s="26"/>
      <c r="N389" s="26"/>
      <c r="O389" s="28"/>
      <c r="P389" s="28"/>
      <c r="Q389" s="28"/>
    </row>
    <row r="390" spans="1:17" ht="18">
      <c r="A390" s="22">
        <v>385</v>
      </c>
      <c r="B390" s="23" t="s">
        <v>104</v>
      </c>
      <c r="C390" s="23" t="s">
        <v>937</v>
      </c>
      <c r="D390" s="24">
        <v>2208098.73</v>
      </c>
      <c r="E390" s="24">
        <v>3972196.54</v>
      </c>
      <c r="F390" s="25">
        <f t="shared" si="5"/>
        <v>6180295.2699999996</v>
      </c>
      <c r="G390" s="26"/>
      <c r="H390" s="26"/>
      <c r="I390" s="28"/>
      <c r="J390" s="28"/>
      <c r="K390" s="28"/>
      <c r="L390" s="28"/>
      <c r="M390" s="26"/>
      <c r="N390" s="26"/>
      <c r="O390" s="28"/>
      <c r="P390" s="28"/>
      <c r="Q390" s="28"/>
    </row>
    <row r="391" spans="1:17" ht="18">
      <c r="A391" s="22">
        <v>386</v>
      </c>
      <c r="B391" s="23" t="s">
        <v>104</v>
      </c>
      <c r="C391" s="23" t="s">
        <v>939</v>
      </c>
      <c r="D391" s="24">
        <v>2228423.94</v>
      </c>
      <c r="E391" s="24">
        <v>4008760</v>
      </c>
      <c r="F391" s="25">
        <f t="shared" ref="F391:F454" si="6">D391+E391</f>
        <v>6237183.9400000004</v>
      </c>
      <c r="G391" s="26"/>
      <c r="H391" s="26"/>
      <c r="I391" s="28"/>
      <c r="J391" s="28"/>
      <c r="K391" s="28"/>
      <c r="L391" s="28"/>
      <c r="M391" s="26"/>
      <c r="N391" s="26"/>
      <c r="O391" s="28"/>
      <c r="P391" s="28"/>
      <c r="Q391" s="28"/>
    </row>
    <row r="392" spans="1:17" ht="18">
      <c r="A392" s="22">
        <v>387</v>
      </c>
      <c r="B392" s="23" t="s">
        <v>104</v>
      </c>
      <c r="C392" s="23" t="s">
        <v>941</v>
      </c>
      <c r="D392" s="24">
        <v>2874935.01</v>
      </c>
      <c r="E392" s="24">
        <v>5171782.74</v>
      </c>
      <c r="F392" s="25">
        <f t="shared" si="6"/>
        <v>8046717.75</v>
      </c>
      <c r="G392" s="26"/>
      <c r="H392" s="26"/>
      <c r="I392" s="28"/>
      <c r="J392" s="28"/>
      <c r="K392" s="28"/>
      <c r="L392" s="28"/>
      <c r="M392" s="26"/>
      <c r="N392" s="26"/>
      <c r="O392" s="28"/>
      <c r="P392" s="28"/>
      <c r="Q392" s="28"/>
    </row>
    <row r="393" spans="1:17" ht="18">
      <c r="A393" s="22">
        <v>388</v>
      </c>
      <c r="B393" s="23" t="s">
        <v>104</v>
      </c>
      <c r="C393" s="23" t="s">
        <v>943</v>
      </c>
      <c r="D393" s="24">
        <v>2937546.11</v>
      </c>
      <c r="E393" s="24">
        <v>5284415.1900000004</v>
      </c>
      <c r="F393" s="25">
        <f t="shared" si="6"/>
        <v>8221961.2999999998</v>
      </c>
      <c r="G393" s="26"/>
      <c r="H393" s="26"/>
      <c r="I393" s="28"/>
      <c r="J393" s="28"/>
      <c r="K393" s="28"/>
      <c r="L393" s="28"/>
      <c r="M393" s="26"/>
      <c r="N393" s="26"/>
      <c r="O393" s="28"/>
      <c r="P393" s="28"/>
      <c r="Q393" s="28"/>
    </row>
    <row r="394" spans="1:17" ht="18">
      <c r="A394" s="22">
        <v>389</v>
      </c>
      <c r="B394" s="23" t="s">
        <v>104</v>
      </c>
      <c r="C394" s="23" t="s">
        <v>130</v>
      </c>
      <c r="D394" s="24">
        <v>2252568.59</v>
      </c>
      <c r="E394" s="24">
        <v>4052194.33</v>
      </c>
      <c r="F394" s="25">
        <f t="shared" si="6"/>
        <v>6304762.9199999999</v>
      </c>
      <c r="G394" s="26"/>
      <c r="H394" s="26"/>
      <c r="I394" s="28"/>
      <c r="J394" s="28"/>
      <c r="K394" s="28"/>
      <c r="L394" s="28"/>
      <c r="M394" s="26"/>
      <c r="N394" s="26"/>
      <c r="O394" s="28"/>
      <c r="P394" s="28"/>
      <c r="Q394" s="28"/>
    </row>
    <row r="395" spans="1:17" ht="18">
      <c r="A395" s="22">
        <v>390</v>
      </c>
      <c r="B395" s="23" t="s">
        <v>104</v>
      </c>
      <c r="C395" s="23" t="s">
        <v>132</v>
      </c>
      <c r="D395" s="24">
        <v>2206016.33</v>
      </c>
      <c r="E395" s="24">
        <v>3968450.46</v>
      </c>
      <c r="F395" s="25">
        <f t="shared" si="6"/>
        <v>6174466.79</v>
      </c>
      <c r="G395" s="26"/>
      <c r="H395" s="26"/>
      <c r="I395" s="28"/>
      <c r="J395" s="28"/>
      <c r="K395" s="28"/>
      <c r="L395" s="28"/>
      <c r="M395" s="26"/>
      <c r="N395" s="26"/>
      <c r="O395" s="28"/>
      <c r="P395" s="28"/>
      <c r="Q395" s="28"/>
    </row>
    <row r="396" spans="1:17" ht="18">
      <c r="A396" s="22">
        <v>391</v>
      </c>
      <c r="B396" s="23" t="s">
        <v>104</v>
      </c>
      <c r="C396" s="23" t="s">
        <v>134</v>
      </c>
      <c r="D396" s="24">
        <v>2208013.2599999998</v>
      </c>
      <c r="E396" s="24">
        <v>3972042.79</v>
      </c>
      <c r="F396" s="25">
        <f t="shared" si="6"/>
        <v>6180056.0499999998</v>
      </c>
      <c r="G396" s="26"/>
      <c r="H396" s="26"/>
      <c r="I396" s="28"/>
      <c r="J396" s="28"/>
      <c r="K396" s="28"/>
      <c r="L396" s="28"/>
      <c r="M396" s="26"/>
      <c r="N396" s="26"/>
      <c r="O396" s="28"/>
      <c r="P396" s="28"/>
      <c r="Q396" s="28"/>
    </row>
    <row r="397" spans="1:17" ht="18">
      <c r="A397" s="22">
        <v>392</v>
      </c>
      <c r="B397" s="23" t="s">
        <v>104</v>
      </c>
      <c r="C397" s="23" t="s">
        <v>136</v>
      </c>
      <c r="D397" s="24">
        <v>2616862.14</v>
      </c>
      <c r="E397" s="24">
        <v>4707529.87</v>
      </c>
      <c r="F397" s="25">
        <f t="shared" si="6"/>
        <v>7324392.0099999998</v>
      </c>
      <c r="G397" s="26"/>
      <c r="H397" s="26"/>
      <c r="I397" s="28"/>
      <c r="J397" s="28"/>
      <c r="K397" s="28"/>
      <c r="L397" s="28"/>
      <c r="M397" s="26"/>
      <c r="N397" s="26"/>
      <c r="O397" s="28"/>
      <c r="P397" s="28"/>
      <c r="Q397" s="28"/>
    </row>
    <row r="398" spans="1:17" ht="18">
      <c r="A398" s="22">
        <v>393</v>
      </c>
      <c r="B398" s="23" t="s">
        <v>104</v>
      </c>
      <c r="C398" s="23" t="s">
        <v>138</v>
      </c>
      <c r="D398" s="24">
        <v>2637333.7999999998</v>
      </c>
      <c r="E398" s="24">
        <v>4744356.7699999996</v>
      </c>
      <c r="F398" s="25">
        <f t="shared" si="6"/>
        <v>7381690.5700000003</v>
      </c>
      <c r="G398" s="26"/>
      <c r="H398" s="26"/>
      <c r="I398" s="28"/>
      <c r="J398" s="28"/>
      <c r="K398" s="28"/>
      <c r="L398" s="28"/>
      <c r="M398" s="26"/>
      <c r="N398" s="26"/>
      <c r="O398" s="28"/>
      <c r="P398" s="28"/>
      <c r="Q398" s="28"/>
    </row>
    <row r="399" spans="1:17" ht="18">
      <c r="A399" s="22">
        <v>394</v>
      </c>
      <c r="B399" s="23" t="s">
        <v>104</v>
      </c>
      <c r="C399" s="23" t="s">
        <v>110</v>
      </c>
      <c r="D399" s="24">
        <v>4559880.24</v>
      </c>
      <c r="E399" s="24">
        <v>8202867.1299999999</v>
      </c>
      <c r="F399" s="25">
        <f t="shared" si="6"/>
        <v>12762747.369999999</v>
      </c>
      <c r="G399" s="26"/>
      <c r="H399" s="26"/>
      <c r="I399" s="28"/>
      <c r="J399" s="28"/>
      <c r="K399" s="28"/>
      <c r="L399" s="28"/>
      <c r="M399" s="26"/>
      <c r="N399" s="26"/>
      <c r="O399" s="28"/>
      <c r="P399" s="28"/>
      <c r="Q399" s="28"/>
    </row>
    <row r="400" spans="1:17" ht="18">
      <c r="A400" s="22">
        <v>395</v>
      </c>
      <c r="B400" s="23" t="s">
        <v>104</v>
      </c>
      <c r="C400" s="23" t="s">
        <v>141</v>
      </c>
      <c r="D400" s="24">
        <v>2283943.33</v>
      </c>
      <c r="E400" s="24">
        <v>4108635.02</v>
      </c>
      <c r="F400" s="25">
        <f t="shared" si="6"/>
        <v>6392578.3499999996</v>
      </c>
      <c r="G400" s="26"/>
      <c r="H400" s="26"/>
      <c r="I400" s="28"/>
      <c r="J400" s="28"/>
      <c r="K400" s="28"/>
      <c r="L400" s="28"/>
      <c r="M400" s="26"/>
      <c r="N400" s="26"/>
      <c r="O400" s="28"/>
      <c r="P400" s="28"/>
      <c r="Q400" s="28"/>
    </row>
    <row r="401" spans="1:17" ht="18">
      <c r="A401" s="22">
        <v>396</v>
      </c>
      <c r="B401" s="23" t="s">
        <v>104</v>
      </c>
      <c r="C401" s="23" t="s">
        <v>143</v>
      </c>
      <c r="D401" s="24">
        <v>2260352.59</v>
      </c>
      <c r="E401" s="24">
        <v>4066197.13</v>
      </c>
      <c r="F401" s="25">
        <f t="shared" si="6"/>
        <v>6326549.7199999997</v>
      </c>
      <c r="G401" s="26"/>
      <c r="H401" s="26"/>
      <c r="I401" s="28"/>
      <c r="J401" s="28"/>
      <c r="K401" s="28"/>
      <c r="L401" s="28"/>
      <c r="M401" s="26"/>
      <c r="N401" s="26"/>
      <c r="O401" s="28"/>
      <c r="P401" s="28"/>
      <c r="Q401" s="28"/>
    </row>
    <row r="402" spans="1:17" ht="18">
      <c r="A402" s="22">
        <v>397</v>
      </c>
      <c r="B402" s="23" t="s">
        <v>104</v>
      </c>
      <c r="C402" s="23" t="s">
        <v>145</v>
      </c>
      <c r="D402" s="24">
        <v>2705699.3</v>
      </c>
      <c r="E402" s="24">
        <v>4867340.95</v>
      </c>
      <c r="F402" s="25">
        <f t="shared" si="6"/>
        <v>7573040.25</v>
      </c>
      <c r="G402" s="26"/>
      <c r="H402" s="26"/>
      <c r="I402" s="28"/>
      <c r="J402" s="28"/>
      <c r="K402" s="28"/>
      <c r="L402" s="28"/>
      <c r="M402" s="26"/>
      <c r="N402" s="26"/>
      <c r="O402" s="28"/>
      <c r="P402" s="28"/>
      <c r="Q402" s="28"/>
    </row>
    <row r="403" spans="1:17" ht="18">
      <c r="A403" s="22">
        <v>398</v>
      </c>
      <c r="B403" s="23" t="s">
        <v>104</v>
      </c>
      <c r="C403" s="23" t="s">
        <v>147</v>
      </c>
      <c r="D403" s="24">
        <v>2232462.71</v>
      </c>
      <c r="E403" s="24">
        <v>4016025.43</v>
      </c>
      <c r="F403" s="25">
        <f t="shared" si="6"/>
        <v>6248488.1399999997</v>
      </c>
      <c r="G403" s="26"/>
      <c r="H403" s="26"/>
      <c r="I403" s="28"/>
      <c r="J403" s="28"/>
      <c r="K403" s="28"/>
      <c r="L403" s="28"/>
      <c r="M403" s="26"/>
      <c r="N403" s="26"/>
      <c r="O403" s="28"/>
      <c r="P403" s="28"/>
      <c r="Q403" s="28"/>
    </row>
    <row r="404" spans="1:17" ht="18">
      <c r="A404" s="22">
        <v>399</v>
      </c>
      <c r="B404" s="23" t="s">
        <v>104</v>
      </c>
      <c r="C404" s="23" t="s">
        <v>149</v>
      </c>
      <c r="D404" s="24">
        <v>2825589.66</v>
      </c>
      <c r="E404" s="24">
        <v>5083014.33</v>
      </c>
      <c r="F404" s="25">
        <f t="shared" si="6"/>
        <v>7908603.9900000002</v>
      </c>
      <c r="G404" s="26"/>
      <c r="H404" s="26"/>
      <c r="I404" s="28"/>
      <c r="J404" s="28"/>
      <c r="K404" s="28"/>
      <c r="L404" s="28"/>
      <c r="M404" s="26"/>
      <c r="N404" s="26"/>
      <c r="O404" s="28"/>
      <c r="P404" s="28"/>
      <c r="Q404" s="28"/>
    </row>
    <row r="405" spans="1:17" ht="18">
      <c r="A405" s="22">
        <v>400</v>
      </c>
      <c r="B405" s="23" t="s">
        <v>104</v>
      </c>
      <c r="C405" s="23" t="s">
        <v>151</v>
      </c>
      <c r="D405" s="24">
        <v>2481320.7000000002</v>
      </c>
      <c r="E405" s="24">
        <v>4463701.45</v>
      </c>
      <c r="F405" s="25">
        <f t="shared" si="6"/>
        <v>6945022.1500000004</v>
      </c>
      <c r="G405" s="26"/>
      <c r="H405" s="26"/>
      <c r="I405" s="28"/>
      <c r="J405" s="28"/>
      <c r="K405" s="28"/>
      <c r="L405" s="28"/>
      <c r="M405" s="26"/>
      <c r="N405" s="26"/>
      <c r="O405" s="28"/>
      <c r="P405" s="28"/>
      <c r="Q405" s="28"/>
    </row>
    <row r="406" spans="1:17" ht="18">
      <c r="A406" s="22">
        <v>401</v>
      </c>
      <c r="B406" s="23" t="s">
        <v>104</v>
      </c>
      <c r="C406" s="23" t="s">
        <v>153</v>
      </c>
      <c r="D406" s="24">
        <v>2580210.34</v>
      </c>
      <c r="E406" s="24">
        <v>4641596.16</v>
      </c>
      <c r="F406" s="25">
        <f t="shared" si="6"/>
        <v>7221806.5</v>
      </c>
      <c r="G406" s="26"/>
      <c r="H406" s="26"/>
      <c r="I406" s="28"/>
      <c r="J406" s="28"/>
      <c r="K406" s="28"/>
      <c r="L406" s="28"/>
      <c r="M406" s="26"/>
      <c r="N406" s="26"/>
      <c r="O406" s="28"/>
      <c r="P406" s="28"/>
      <c r="Q406" s="28"/>
    </row>
    <row r="407" spans="1:17" ht="18">
      <c r="A407" s="22">
        <v>402</v>
      </c>
      <c r="B407" s="23" t="s">
        <v>104</v>
      </c>
      <c r="C407" s="23" t="s">
        <v>155</v>
      </c>
      <c r="D407" s="24">
        <v>2031279.68</v>
      </c>
      <c r="E407" s="24">
        <v>3654112.92</v>
      </c>
      <c r="F407" s="25">
        <f t="shared" si="6"/>
        <v>5685392.5999999996</v>
      </c>
      <c r="G407" s="26"/>
      <c r="H407" s="26"/>
      <c r="I407" s="28"/>
      <c r="J407" s="28"/>
      <c r="K407" s="28"/>
      <c r="L407" s="28"/>
      <c r="M407" s="26"/>
      <c r="N407" s="26"/>
      <c r="O407" s="28"/>
      <c r="P407" s="28"/>
      <c r="Q407" s="28"/>
    </row>
    <row r="408" spans="1:17" ht="18">
      <c r="A408" s="22">
        <v>403</v>
      </c>
      <c r="B408" s="23" t="s">
        <v>104</v>
      </c>
      <c r="C408" s="23" t="s">
        <v>157</v>
      </c>
      <c r="D408" s="24">
        <v>2239557.98</v>
      </c>
      <c r="E408" s="24">
        <v>4028789.27</v>
      </c>
      <c r="F408" s="25">
        <f t="shared" si="6"/>
        <v>6268347.25</v>
      </c>
      <c r="G408" s="26"/>
      <c r="H408" s="26"/>
      <c r="I408" s="28"/>
      <c r="J408" s="28"/>
      <c r="K408" s="28"/>
      <c r="L408" s="28"/>
      <c r="M408" s="26"/>
      <c r="N408" s="26"/>
      <c r="O408" s="28"/>
      <c r="P408" s="28"/>
      <c r="Q408" s="28"/>
    </row>
    <row r="409" spans="1:17" ht="18">
      <c r="A409" s="22">
        <v>404</v>
      </c>
      <c r="B409" s="23" t="s">
        <v>104</v>
      </c>
      <c r="C409" s="23" t="s">
        <v>159</v>
      </c>
      <c r="D409" s="24">
        <v>2761454.53</v>
      </c>
      <c r="E409" s="24">
        <v>4967640.25</v>
      </c>
      <c r="F409" s="25">
        <f t="shared" si="6"/>
        <v>7729094.7800000003</v>
      </c>
      <c r="G409" s="26"/>
      <c r="H409" s="26"/>
      <c r="I409" s="28"/>
      <c r="J409" s="28"/>
      <c r="K409" s="28"/>
      <c r="L409" s="28"/>
      <c r="M409" s="26"/>
      <c r="N409" s="26"/>
      <c r="O409" s="28"/>
      <c r="P409" s="28"/>
      <c r="Q409" s="28"/>
    </row>
    <row r="410" spans="1:17" ht="18">
      <c r="A410" s="22">
        <v>405</v>
      </c>
      <c r="B410" s="23" t="s">
        <v>104</v>
      </c>
      <c r="C410" s="23" t="s">
        <v>161</v>
      </c>
      <c r="D410" s="24">
        <v>3228614.45</v>
      </c>
      <c r="E410" s="24">
        <v>5808024.3300000001</v>
      </c>
      <c r="F410" s="25">
        <f t="shared" si="6"/>
        <v>9036638.7799999993</v>
      </c>
      <c r="G410" s="26"/>
      <c r="H410" s="26"/>
      <c r="I410" s="28"/>
      <c r="J410" s="28"/>
      <c r="K410" s="28"/>
      <c r="L410" s="28"/>
      <c r="M410" s="26"/>
      <c r="N410" s="26"/>
      <c r="O410" s="28"/>
      <c r="P410" s="28"/>
      <c r="Q410" s="28"/>
    </row>
    <row r="411" spans="1:17" ht="18">
      <c r="A411" s="22">
        <v>406</v>
      </c>
      <c r="B411" s="23" t="s">
        <v>104</v>
      </c>
      <c r="C411" s="23" t="s">
        <v>163</v>
      </c>
      <c r="D411" s="24">
        <v>2107000.16</v>
      </c>
      <c r="E411" s="24">
        <v>3790328.13</v>
      </c>
      <c r="F411" s="25">
        <f t="shared" si="6"/>
        <v>5897328.29</v>
      </c>
      <c r="G411" s="26"/>
      <c r="H411" s="26"/>
      <c r="I411" s="28"/>
      <c r="J411" s="28"/>
      <c r="K411" s="28"/>
      <c r="L411" s="28"/>
      <c r="M411" s="26"/>
      <c r="N411" s="26"/>
      <c r="O411" s="28"/>
      <c r="P411" s="28"/>
      <c r="Q411" s="28"/>
    </row>
    <row r="412" spans="1:17" ht="18">
      <c r="A412" s="22">
        <v>407</v>
      </c>
      <c r="B412" s="23" t="s">
        <v>104</v>
      </c>
      <c r="C412" s="23" t="s">
        <v>166</v>
      </c>
      <c r="D412" s="24">
        <v>2477538.88</v>
      </c>
      <c r="E412" s="24">
        <v>4456898.25</v>
      </c>
      <c r="F412" s="25">
        <f t="shared" si="6"/>
        <v>6934437.1299999999</v>
      </c>
      <c r="G412" s="26"/>
      <c r="H412" s="26"/>
      <c r="I412" s="28"/>
      <c r="J412" s="28"/>
      <c r="K412" s="28"/>
      <c r="L412" s="28"/>
      <c r="M412" s="26"/>
      <c r="N412" s="26"/>
      <c r="O412" s="28"/>
      <c r="P412" s="28"/>
      <c r="Q412" s="28"/>
    </row>
    <row r="413" spans="1:17" ht="18">
      <c r="A413" s="22">
        <v>408</v>
      </c>
      <c r="B413" s="23" t="s">
        <v>105</v>
      </c>
      <c r="C413" s="23" t="s">
        <v>170</v>
      </c>
      <c r="D413" s="24">
        <v>2517542.06</v>
      </c>
      <c r="E413" s="24">
        <v>4528860.82</v>
      </c>
      <c r="F413" s="25">
        <f t="shared" si="6"/>
        <v>7046402.8799999999</v>
      </c>
      <c r="G413" s="26"/>
      <c r="H413" s="26"/>
      <c r="I413" s="28"/>
      <c r="J413" s="28"/>
      <c r="K413" s="28"/>
      <c r="L413" s="28"/>
      <c r="M413" s="26"/>
      <c r="N413" s="26"/>
      <c r="O413" s="28"/>
      <c r="P413" s="28"/>
      <c r="Q413" s="28"/>
    </row>
    <row r="414" spans="1:17" ht="18">
      <c r="A414" s="22">
        <v>409</v>
      </c>
      <c r="B414" s="23" t="s">
        <v>105</v>
      </c>
      <c r="C414" s="23" t="s">
        <v>172</v>
      </c>
      <c r="D414" s="24">
        <v>2594179.4900000002</v>
      </c>
      <c r="E414" s="24">
        <v>4666725.57</v>
      </c>
      <c r="F414" s="25">
        <f t="shared" si="6"/>
        <v>7260905.0599999996</v>
      </c>
      <c r="G414" s="26"/>
      <c r="H414" s="26"/>
      <c r="I414" s="28"/>
      <c r="J414" s="28"/>
      <c r="K414" s="28"/>
      <c r="L414" s="28"/>
      <c r="M414" s="26"/>
      <c r="N414" s="26"/>
      <c r="O414" s="28"/>
      <c r="P414" s="28"/>
      <c r="Q414" s="28"/>
    </row>
    <row r="415" spans="1:17" ht="18">
      <c r="A415" s="22">
        <v>410</v>
      </c>
      <c r="B415" s="23" t="s">
        <v>105</v>
      </c>
      <c r="C415" s="23" t="s">
        <v>174</v>
      </c>
      <c r="D415" s="24">
        <v>2822222.21</v>
      </c>
      <c r="E415" s="24">
        <v>5076956.54</v>
      </c>
      <c r="F415" s="25">
        <f t="shared" si="6"/>
        <v>7899178.75</v>
      </c>
      <c r="G415" s="26"/>
      <c r="H415" s="26"/>
      <c r="I415" s="28"/>
      <c r="J415" s="28"/>
      <c r="K415" s="28"/>
      <c r="L415" s="28"/>
      <c r="M415" s="26"/>
      <c r="N415" s="26"/>
      <c r="O415" s="28"/>
      <c r="P415" s="28"/>
      <c r="Q415" s="28"/>
    </row>
    <row r="416" spans="1:17" ht="18">
      <c r="A416" s="22">
        <v>411</v>
      </c>
      <c r="B416" s="23" t="s">
        <v>105</v>
      </c>
      <c r="C416" s="23" t="s">
        <v>176</v>
      </c>
      <c r="D416" s="24">
        <v>2646114</v>
      </c>
      <c r="E416" s="24">
        <v>4760151.67</v>
      </c>
      <c r="F416" s="25">
        <f t="shared" si="6"/>
        <v>7406265.6699999999</v>
      </c>
      <c r="G416" s="26"/>
      <c r="H416" s="26"/>
      <c r="I416" s="28"/>
      <c r="J416" s="28"/>
      <c r="K416" s="28"/>
      <c r="L416" s="28"/>
      <c r="M416" s="26"/>
      <c r="N416" s="26"/>
      <c r="O416" s="28"/>
      <c r="P416" s="28"/>
      <c r="Q416" s="28"/>
    </row>
    <row r="417" spans="1:17" ht="18">
      <c r="A417" s="22">
        <v>412</v>
      </c>
      <c r="B417" s="23" t="s">
        <v>105</v>
      </c>
      <c r="C417" s="23" t="s">
        <v>178</v>
      </c>
      <c r="D417" s="24">
        <v>2474693.96</v>
      </c>
      <c r="E417" s="24">
        <v>4451780.46</v>
      </c>
      <c r="F417" s="25">
        <f t="shared" si="6"/>
        <v>6926474.4199999999</v>
      </c>
      <c r="G417" s="26"/>
      <c r="H417" s="26"/>
      <c r="I417" s="28"/>
      <c r="J417" s="28"/>
      <c r="K417" s="28"/>
      <c r="L417" s="28"/>
      <c r="M417" s="26"/>
      <c r="N417" s="26"/>
      <c r="O417" s="28"/>
      <c r="P417" s="28"/>
      <c r="Q417" s="28"/>
    </row>
    <row r="418" spans="1:17" ht="18">
      <c r="A418" s="22">
        <v>413</v>
      </c>
      <c r="B418" s="23" t="s">
        <v>105</v>
      </c>
      <c r="C418" s="23" t="s">
        <v>180</v>
      </c>
      <c r="D418" s="24">
        <v>2314790.9300000002</v>
      </c>
      <c r="E418" s="24">
        <v>4164127.44</v>
      </c>
      <c r="F418" s="25">
        <f t="shared" si="6"/>
        <v>6478918.3700000001</v>
      </c>
      <c r="G418" s="26"/>
      <c r="H418" s="26"/>
      <c r="I418" s="28"/>
      <c r="J418" s="28"/>
      <c r="K418" s="28"/>
      <c r="L418" s="28"/>
      <c r="M418" s="26"/>
      <c r="N418" s="26"/>
      <c r="O418" s="28"/>
      <c r="P418" s="28"/>
      <c r="Q418" s="28"/>
    </row>
    <row r="419" spans="1:17" ht="18">
      <c r="A419" s="22">
        <v>414</v>
      </c>
      <c r="B419" s="23" t="s">
        <v>105</v>
      </c>
      <c r="C419" s="23" t="s">
        <v>182</v>
      </c>
      <c r="D419" s="24">
        <v>2322366.16</v>
      </c>
      <c r="E419" s="24">
        <v>4177754.68</v>
      </c>
      <c r="F419" s="25">
        <f t="shared" si="6"/>
        <v>6500120.8399999999</v>
      </c>
      <c r="G419" s="26"/>
      <c r="H419" s="26"/>
      <c r="I419" s="28"/>
      <c r="J419" s="28"/>
      <c r="K419" s="28"/>
      <c r="L419" s="28"/>
      <c r="M419" s="26"/>
      <c r="N419" s="26"/>
      <c r="O419" s="28"/>
      <c r="P419" s="28"/>
      <c r="Q419" s="28"/>
    </row>
    <row r="420" spans="1:17" ht="18">
      <c r="A420" s="22">
        <v>415</v>
      </c>
      <c r="B420" s="23" t="s">
        <v>105</v>
      </c>
      <c r="C420" s="23" t="s">
        <v>184</v>
      </c>
      <c r="D420" s="24">
        <v>2486557.11</v>
      </c>
      <c r="E420" s="24">
        <v>4473121.34</v>
      </c>
      <c r="F420" s="25">
        <f t="shared" si="6"/>
        <v>6959678.4500000002</v>
      </c>
      <c r="G420" s="26"/>
      <c r="H420" s="26"/>
      <c r="I420" s="28"/>
      <c r="J420" s="28"/>
      <c r="K420" s="28"/>
      <c r="L420" s="28"/>
      <c r="M420" s="26"/>
      <c r="N420" s="26"/>
      <c r="O420" s="28"/>
      <c r="P420" s="28"/>
      <c r="Q420" s="28"/>
    </row>
    <row r="421" spans="1:17" ht="18">
      <c r="A421" s="22">
        <v>416</v>
      </c>
      <c r="B421" s="23" t="s">
        <v>105</v>
      </c>
      <c r="C421" s="23" t="s">
        <v>186</v>
      </c>
      <c r="D421" s="24">
        <v>2332272.35</v>
      </c>
      <c r="E421" s="24">
        <v>4195575.1399999997</v>
      </c>
      <c r="F421" s="25">
        <f t="shared" si="6"/>
        <v>6527847.4900000002</v>
      </c>
      <c r="G421" s="26"/>
      <c r="H421" s="26"/>
      <c r="I421" s="28"/>
      <c r="J421" s="28"/>
      <c r="K421" s="28"/>
      <c r="L421" s="28"/>
      <c r="M421" s="26"/>
      <c r="N421" s="26"/>
      <c r="O421" s="28"/>
      <c r="P421" s="28"/>
      <c r="Q421" s="28"/>
    </row>
    <row r="422" spans="1:17" ht="18">
      <c r="A422" s="22">
        <v>417</v>
      </c>
      <c r="B422" s="23" t="s">
        <v>105</v>
      </c>
      <c r="C422" s="23" t="s">
        <v>188</v>
      </c>
      <c r="D422" s="24">
        <v>2812005.73</v>
      </c>
      <c r="E422" s="24">
        <v>5058577.8899999997</v>
      </c>
      <c r="F422" s="25">
        <f t="shared" si="6"/>
        <v>7870583.6200000001</v>
      </c>
      <c r="G422" s="26"/>
      <c r="H422" s="26"/>
      <c r="I422" s="28"/>
      <c r="J422" s="28"/>
      <c r="K422" s="28"/>
      <c r="L422" s="28"/>
      <c r="M422" s="26"/>
      <c r="N422" s="26"/>
      <c r="O422" s="28"/>
      <c r="P422" s="28"/>
      <c r="Q422" s="28"/>
    </row>
    <row r="423" spans="1:17" ht="18">
      <c r="A423" s="22">
        <v>418</v>
      </c>
      <c r="B423" s="23" t="s">
        <v>105</v>
      </c>
      <c r="C423" s="23" t="s">
        <v>190</v>
      </c>
      <c r="D423" s="24">
        <v>2320796.4300000002</v>
      </c>
      <c r="E423" s="24">
        <v>4174930.87</v>
      </c>
      <c r="F423" s="25">
        <f t="shared" si="6"/>
        <v>6495727.2999999998</v>
      </c>
      <c r="G423" s="26"/>
      <c r="H423" s="26"/>
      <c r="I423" s="28"/>
      <c r="J423" s="28"/>
      <c r="K423" s="28"/>
      <c r="L423" s="28"/>
      <c r="M423" s="26"/>
      <c r="N423" s="26"/>
      <c r="O423" s="28"/>
      <c r="P423" s="28"/>
      <c r="Q423" s="28"/>
    </row>
    <row r="424" spans="1:17" ht="18">
      <c r="A424" s="22">
        <v>419</v>
      </c>
      <c r="B424" s="23" t="s">
        <v>105</v>
      </c>
      <c r="C424" s="23" t="s">
        <v>192</v>
      </c>
      <c r="D424" s="24">
        <v>2577643.46</v>
      </c>
      <c r="E424" s="24">
        <v>4636978.54</v>
      </c>
      <c r="F424" s="25">
        <f t="shared" si="6"/>
        <v>7214622</v>
      </c>
      <c r="G424" s="26"/>
      <c r="H424" s="26"/>
      <c r="I424" s="28"/>
      <c r="J424" s="28"/>
      <c r="K424" s="28"/>
      <c r="L424" s="28"/>
      <c r="M424" s="26"/>
      <c r="N424" s="26"/>
      <c r="O424" s="28"/>
      <c r="P424" s="28"/>
      <c r="Q424" s="28"/>
    </row>
    <row r="425" spans="1:17" ht="18">
      <c r="A425" s="22">
        <v>420</v>
      </c>
      <c r="B425" s="23" t="s">
        <v>105</v>
      </c>
      <c r="C425" s="23" t="s">
        <v>194</v>
      </c>
      <c r="D425" s="24">
        <v>2809047.01</v>
      </c>
      <c r="E425" s="24">
        <v>5053255.3899999997</v>
      </c>
      <c r="F425" s="25">
        <f t="shared" si="6"/>
        <v>7862302.4000000004</v>
      </c>
      <c r="G425" s="26"/>
      <c r="H425" s="26"/>
      <c r="I425" s="28"/>
      <c r="J425" s="28"/>
      <c r="K425" s="28"/>
      <c r="L425" s="28"/>
      <c r="M425" s="26"/>
      <c r="N425" s="26"/>
      <c r="O425" s="28"/>
      <c r="P425" s="28"/>
      <c r="Q425" s="28"/>
    </row>
    <row r="426" spans="1:17" ht="18">
      <c r="A426" s="22">
        <v>421</v>
      </c>
      <c r="B426" s="23" t="s">
        <v>105</v>
      </c>
      <c r="C426" s="23" t="s">
        <v>196</v>
      </c>
      <c r="D426" s="24">
        <v>2802478.88</v>
      </c>
      <c r="E426" s="24">
        <v>5041439.84</v>
      </c>
      <c r="F426" s="25">
        <f t="shared" si="6"/>
        <v>7843918.7199999997</v>
      </c>
      <c r="G426" s="26"/>
      <c r="H426" s="26"/>
      <c r="I426" s="28"/>
      <c r="J426" s="28"/>
      <c r="K426" s="28"/>
      <c r="L426" s="28"/>
      <c r="M426" s="26"/>
      <c r="N426" s="26"/>
      <c r="O426" s="28"/>
      <c r="P426" s="28"/>
      <c r="Q426" s="28"/>
    </row>
    <row r="427" spans="1:17" ht="18">
      <c r="A427" s="22">
        <v>422</v>
      </c>
      <c r="B427" s="23" t="s">
        <v>105</v>
      </c>
      <c r="C427" s="23" t="s">
        <v>198</v>
      </c>
      <c r="D427" s="24">
        <v>2447279.7999999998</v>
      </c>
      <c r="E427" s="24">
        <v>4402464.53</v>
      </c>
      <c r="F427" s="25">
        <f t="shared" si="6"/>
        <v>6849744.3300000001</v>
      </c>
      <c r="G427" s="26"/>
      <c r="H427" s="26"/>
      <c r="I427" s="28"/>
      <c r="J427" s="28"/>
      <c r="K427" s="28"/>
      <c r="L427" s="28"/>
      <c r="M427" s="26"/>
      <c r="N427" s="26"/>
      <c r="O427" s="28"/>
      <c r="P427" s="28"/>
      <c r="Q427" s="28"/>
    </row>
    <row r="428" spans="1:17" ht="18">
      <c r="A428" s="22">
        <v>423</v>
      </c>
      <c r="B428" s="23" t="s">
        <v>105</v>
      </c>
      <c r="C428" s="23" t="s">
        <v>200</v>
      </c>
      <c r="D428" s="24">
        <v>2757044.98</v>
      </c>
      <c r="E428" s="24">
        <v>4959707.8</v>
      </c>
      <c r="F428" s="25">
        <f t="shared" si="6"/>
        <v>7716752.7800000003</v>
      </c>
      <c r="G428" s="26"/>
      <c r="H428" s="26"/>
      <c r="I428" s="28"/>
      <c r="J428" s="28"/>
      <c r="K428" s="28"/>
      <c r="L428" s="28"/>
      <c r="M428" s="26"/>
      <c r="N428" s="26"/>
      <c r="O428" s="28"/>
      <c r="P428" s="28"/>
      <c r="Q428" s="28"/>
    </row>
    <row r="429" spans="1:17" ht="18">
      <c r="A429" s="22">
        <v>424</v>
      </c>
      <c r="B429" s="23" t="s">
        <v>105</v>
      </c>
      <c r="C429" s="23" t="s">
        <v>202</v>
      </c>
      <c r="D429" s="24">
        <v>2846059.42</v>
      </c>
      <c r="E429" s="24">
        <v>5119837.8</v>
      </c>
      <c r="F429" s="25">
        <f t="shared" si="6"/>
        <v>7965897.2199999997</v>
      </c>
      <c r="G429" s="26"/>
      <c r="H429" s="26"/>
      <c r="I429" s="28"/>
      <c r="J429" s="28"/>
      <c r="K429" s="28"/>
      <c r="L429" s="28"/>
      <c r="M429" s="26"/>
      <c r="N429" s="26"/>
      <c r="O429" s="28"/>
      <c r="P429" s="28"/>
      <c r="Q429" s="28"/>
    </row>
    <row r="430" spans="1:17" ht="18">
      <c r="A430" s="22">
        <v>425</v>
      </c>
      <c r="B430" s="23" t="s">
        <v>105</v>
      </c>
      <c r="C430" s="23" t="s">
        <v>204</v>
      </c>
      <c r="D430" s="24">
        <v>2724461.34</v>
      </c>
      <c r="E430" s="24">
        <v>4901092.4000000004</v>
      </c>
      <c r="F430" s="25">
        <f t="shared" si="6"/>
        <v>7625553.7400000002</v>
      </c>
      <c r="G430" s="26"/>
      <c r="H430" s="26"/>
      <c r="I430" s="28"/>
      <c r="J430" s="28"/>
      <c r="K430" s="28"/>
      <c r="L430" s="28"/>
      <c r="M430" s="26"/>
      <c r="N430" s="26"/>
      <c r="O430" s="28"/>
      <c r="P430" s="28"/>
      <c r="Q430" s="28"/>
    </row>
    <row r="431" spans="1:17" ht="18">
      <c r="A431" s="22">
        <v>426</v>
      </c>
      <c r="B431" s="23" t="s">
        <v>105</v>
      </c>
      <c r="C431" s="23" t="s">
        <v>206</v>
      </c>
      <c r="D431" s="24">
        <v>2987682.61</v>
      </c>
      <c r="E431" s="24">
        <v>5374606.8300000001</v>
      </c>
      <c r="F431" s="25">
        <f t="shared" si="6"/>
        <v>8362289.4400000004</v>
      </c>
      <c r="G431" s="26"/>
      <c r="H431" s="26"/>
      <c r="I431" s="28"/>
      <c r="J431" s="28"/>
      <c r="K431" s="28"/>
      <c r="L431" s="28"/>
      <c r="M431" s="26"/>
      <c r="N431" s="26"/>
      <c r="O431" s="28"/>
      <c r="P431" s="28"/>
      <c r="Q431" s="28"/>
    </row>
    <row r="432" spans="1:17" ht="18">
      <c r="A432" s="22">
        <v>427</v>
      </c>
      <c r="B432" s="23" t="s">
        <v>105</v>
      </c>
      <c r="C432" s="23" t="s">
        <v>208</v>
      </c>
      <c r="D432" s="24">
        <v>2379158.86</v>
      </c>
      <c r="E432" s="24">
        <v>4279920.3099999996</v>
      </c>
      <c r="F432" s="25">
        <f t="shared" si="6"/>
        <v>6659079.1699999999</v>
      </c>
      <c r="G432" s="26"/>
      <c r="H432" s="26"/>
      <c r="I432" s="28"/>
      <c r="J432" s="28"/>
      <c r="K432" s="28"/>
      <c r="L432" s="28"/>
      <c r="M432" s="26"/>
      <c r="N432" s="26"/>
      <c r="O432" s="28"/>
      <c r="P432" s="28"/>
      <c r="Q432" s="28"/>
    </row>
    <row r="433" spans="1:17" ht="18">
      <c r="A433" s="22">
        <v>428</v>
      </c>
      <c r="B433" s="23" t="s">
        <v>105</v>
      </c>
      <c r="C433" s="23" t="s">
        <v>105</v>
      </c>
      <c r="D433" s="24">
        <v>3276730.54</v>
      </c>
      <c r="E433" s="24">
        <v>5894581.3899999997</v>
      </c>
      <c r="F433" s="25">
        <f t="shared" si="6"/>
        <v>9171311.9299999997</v>
      </c>
      <c r="G433" s="26"/>
      <c r="H433" s="26"/>
      <c r="I433" s="28"/>
      <c r="J433" s="28"/>
      <c r="K433" s="28"/>
      <c r="L433" s="28"/>
      <c r="M433" s="26"/>
      <c r="N433" s="26"/>
      <c r="O433" s="28"/>
      <c r="P433" s="28"/>
      <c r="Q433" s="28"/>
    </row>
    <row r="434" spans="1:17" ht="18">
      <c r="A434" s="22">
        <v>429</v>
      </c>
      <c r="B434" s="23" t="s">
        <v>105</v>
      </c>
      <c r="C434" s="23" t="s">
        <v>212</v>
      </c>
      <c r="D434" s="24">
        <v>2305648.4500000002</v>
      </c>
      <c r="E434" s="24">
        <v>4147680.83</v>
      </c>
      <c r="F434" s="25">
        <f t="shared" si="6"/>
        <v>6453329.2800000003</v>
      </c>
      <c r="G434" s="26"/>
      <c r="H434" s="26"/>
      <c r="I434" s="28"/>
      <c r="J434" s="28"/>
      <c r="K434" s="28"/>
      <c r="L434" s="28"/>
      <c r="M434" s="26"/>
      <c r="N434" s="26"/>
      <c r="O434" s="28"/>
      <c r="P434" s="28"/>
      <c r="Q434" s="28"/>
    </row>
    <row r="435" spans="1:17" ht="18">
      <c r="A435" s="22">
        <v>430</v>
      </c>
      <c r="B435" s="23" t="s">
        <v>105</v>
      </c>
      <c r="C435" s="23" t="s">
        <v>214</v>
      </c>
      <c r="D435" s="24">
        <v>2178226.58</v>
      </c>
      <c r="E435" s="24">
        <v>3918458.8799999999</v>
      </c>
      <c r="F435" s="25">
        <f t="shared" si="6"/>
        <v>6096685.46</v>
      </c>
      <c r="G435" s="26"/>
      <c r="H435" s="26"/>
      <c r="I435" s="28"/>
      <c r="J435" s="28"/>
      <c r="K435" s="28"/>
      <c r="L435" s="28"/>
      <c r="M435" s="26"/>
      <c r="N435" s="26"/>
      <c r="O435" s="28"/>
      <c r="P435" s="28"/>
      <c r="Q435" s="28"/>
    </row>
    <row r="436" spans="1:17" ht="18">
      <c r="A436" s="22">
        <v>431</v>
      </c>
      <c r="B436" s="23" t="s">
        <v>105</v>
      </c>
      <c r="C436" s="23" t="s">
        <v>216</v>
      </c>
      <c r="D436" s="24">
        <v>2649779.9900000002</v>
      </c>
      <c r="E436" s="24">
        <v>4766746.5</v>
      </c>
      <c r="F436" s="25">
        <f t="shared" si="6"/>
        <v>7416526.4900000002</v>
      </c>
      <c r="G436" s="26"/>
      <c r="H436" s="26"/>
      <c r="I436" s="28"/>
      <c r="J436" s="28"/>
      <c r="K436" s="28"/>
      <c r="L436" s="28"/>
      <c r="M436" s="26"/>
      <c r="N436" s="26"/>
      <c r="O436" s="28"/>
      <c r="P436" s="28"/>
      <c r="Q436" s="28"/>
    </row>
    <row r="437" spans="1:17" ht="18">
      <c r="A437" s="22">
        <v>432</v>
      </c>
      <c r="B437" s="23" t="s">
        <v>105</v>
      </c>
      <c r="C437" s="23" t="s">
        <v>218</v>
      </c>
      <c r="D437" s="24">
        <v>2636849.2799999998</v>
      </c>
      <c r="E437" s="24">
        <v>4743485.17</v>
      </c>
      <c r="F437" s="25">
        <f t="shared" si="6"/>
        <v>7380334.4500000002</v>
      </c>
      <c r="G437" s="26"/>
      <c r="H437" s="26"/>
      <c r="I437" s="28"/>
      <c r="J437" s="28"/>
      <c r="K437" s="28"/>
      <c r="L437" s="28"/>
      <c r="M437" s="26"/>
      <c r="N437" s="26"/>
      <c r="O437" s="28"/>
      <c r="P437" s="28"/>
      <c r="Q437" s="28"/>
    </row>
    <row r="438" spans="1:17" ht="18">
      <c r="A438" s="22">
        <v>433</v>
      </c>
      <c r="B438" s="23" t="s">
        <v>105</v>
      </c>
      <c r="C438" s="23" t="s">
        <v>220</v>
      </c>
      <c r="D438" s="24">
        <v>2501241.04</v>
      </c>
      <c r="E438" s="24">
        <v>4499536.57</v>
      </c>
      <c r="F438" s="25">
        <f t="shared" si="6"/>
        <v>7000777.6100000003</v>
      </c>
      <c r="G438" s="26"/>
      <c r="H438" s="26"/>
      <c r="I438" s="28"/>
      <c r="J438" s="28"/>
      <c r="K438" s="28"/>
      <c r="L438" s="28"/>
      <c r="M438" s="26"/>
      <c r="N438" s="26"/>
      <c r="O438" s="28"/>
      <c r="P438" s="28"/>
      <c r="Q438" s="28"/>
    </row>
    <row r="439" spans="1:17" ht="18">
      <c r="A439" s="22">
        <v>434</v>
      </c>
      <c r="B439" s="23" t="s">
        <v>105</v>
      </c>
      <c r="C439" s="23" t="s">
        <v>222</v>
      </c>
      <c r="D439" s="24">
        <v>2553772.79</v>
      </c>
      <c r="E439" s="24">
        <v>4594037.07</v>
      </c>
      <c r="F439" s="25">
        <f t="shared" si="6"/>
        <v>7147809.8600000003</v>
      </c>
      <c r="G439" s="26"/>
      <c r="H439" s="26"/>
      <c r="I439" s="28"/>
      <c r="J439" s="28"/>
      <c r="K439" s="28"/>
      <c r="L439" s="28"/>
      <c r="M439" s="26"/>
      <c r="N439" s="26"/>
      <c r="O439" s="28"/>
      <c r="P439" s="28"/>
      <c r="Q439" s="28"/>
    </row>
    <row r="440" spans="1:17" ht="18">
      <c r="A440" s="22">
        <v>435</v>
      </c>
      <c r="B440" s="23" t="s">
        <v>105</v>
      </c>
      <c r="C440" s="23" t="s">
        <v>224</v>
      </c>
      <c r="D440" s="24">
        <v>2151080.06</v>
      </c>
      <c r="E440" s="24">
        <v>3869624.41</v>
      </c>
      <c r="F440" s="25">
        <f t="shared" si="6"/>
        <v>6020704.4699999997</v>
      </c>
      <c r="G440" s="26"/>
      <c r="H440" s="26"/>
      <c r="I440" s="28"/>
      <c r="J440" s="28"/>
      <c r="K440" s="28"/>
      <c r="L440" s="28"/>
      <c r="M440" s="26"/>
      <c r="N440" s="26"/>
      <c r="O440" s="28"/>
      <c r="P440" s="28"/>
      <c r="Q440" s="28"/>
    </row>
    <row r="441" spans="1:17" ht="18">
      <c r="A441" s="22">
        <v>436</v>
      </c>
      <c r="B441" s="23" t="s">
        <v>105</v>
      </c>
      <c r="C441" s="23" t="s">
        <v>226</v>
      </c>
      <c r="D441" s="24">
        <v>2573903.38</v>
      </c>
      <c r="E441" s="24">
        <v>4630250.43</v>
      </c>
      <c r="F441" s="25">
        <f t="shared" si="6"/>
        <v>7204153.8099999996</v>
      </c>
      <c r="G441" s="26"/>
      <c r="H441" s="26"/>
      <c r="I441" s="28"/>
      <c r="J441" s="28"/>
      <c r="K441" s="28"/>
      <c r="L441" s="28"/>
      <c r="M441" s="26"/>
      <c r="N441" s="26"/>
      <c r="O441" s="28"/>
      <c r="P441" s="28"/>
      <c r="Q441" s="28"/>
    </row>
    <row r="442" spans="1:17" ht="18">
      <c r="A442" s="22">
        <v>437</v>
      </c>
      <c r="B442" s="23" t="s">
        <v>105</v>
      </c>
      <c r="C442" s="23" t="s">
        <v>228</v>
      </c>
      <c r="D442" s="24">
        <v>2321815.77</v>
      </c>
      <c r="E442" s="24">
        <v>4176764.58</v>
      </c>
      <c r="F442" s="25">
        <f t="shared" si="6"/>
        <v>6498580.3499999996</v>
      </c>
      <c r="G442" s="26"/>
      <c r="H442" s="26"/>
      <c r="I442" s="28"/>
      <c r="J442" s="28"/>
      <c r="K442" s="28"/>
      <c r="L442" s="28"/>
      <c r="M442" s="26"/>
      <c r="N442" s="26"/>
      <c r="O442" s="28"/>
      <c r="P442" s="28"/>
      <c r="Q442" s="28"/>
    </row>
    <row r="443" spans="1:17" ht="18">
      <c r="A443" s="22">
        <v>438</v>
      </c>
      <c r="B443" s="23" t="s">
        <v>105</v>
      </c>
      <c r="C443" s="23" t="s">
        <v>230</v>
      </c>
      <c r="D443" s="24">
        <v>2405604.67</v>
      </c>
      <c r="E443" s="24">
        <v>4327494.24</v>
      </c>
      <c r="F443" s="25">
        <f t="shared" si="6"/>
        <v>6733098.9100000001</v>
      </c>
      <c r="G443" s="26"/>
      <c r="H443" s="26"/>
      <c r="I443" s="28"/>
      <c r="J443" s="28"/>
      <c r="K443" s="28"/>
      <c r="L443" s="28"/>
      <c r="M443" s="26"/>
      <c r="N443" s="26"/>
      <c r="O443" s="28"/>
      <c r="P443" s="28"/>
      <c r="Q443" s="28"/>
    </row>
    <row r="444" spans="1:17" ht="18">
      <c r="A444" s="22">
        <v>439</v>
      </c>
      <c r="B444" s="23" t="s">
        <v>105</v>
      </c>
      <c r="C444" s="23" t="s">
        <v>232</v>
      </c>
      <c r="D444" s="24">
        <v>2581164.4300000002</v>
      </c>
      <c r="E444" s="24">
        <v>4643312.4800000004</v>
      </c>
      <c r="F444" s="25">
        <f t="shared" si="6"/>
        <v>7224476.9100000001</v>
      </c>
      <c r="G444" s="26"/>
      <c r="H444" s="26"/>
      <c r="I444" s="28"/>
      <c r="J444" s="28"/>
      <c r="K444" s="28"/>
      <c r="L444" s="28"/>
      <c r="M444" s="26"/>
      <c r="N444" s="26"/>
      <c r="O444" s="28"/>
      <c r="P444" s="28"/>
      <c r="Q444" s="28"/>
    </row>
    <row r="445" spans="1:17" ht="18">
      <c r="A445" s="22">
        <v>440</v>
      </c>
      <c r="B445" s="23" t="s">
        <v>105</v>
      </c>
      <c r="C445" s="23" t="s">
        <v>234</v>
      </c>
      <c r="D445" s="24">
        <v>2501634.56</v>
      </c>
      <c r="E445" s="24">
        <v>4500244.4800000004</v>
      </c>
      <c r="F445" s="25">
        <f t="shared" si="6"/>
        <v>7001879.04</v>
      </c>
      <c r="G445" s="26"/>
      <c r="H445" s="26"/>
      <c r="I445" s="28"/>
      <c r="J445" s="28"/>
      <c r="K445" s="28"/>
      <c r="L445" s="28"/>
      <c r="M445" s="26"/>
      <c r="N445" s="26"/>
      <c r="O445" s="28"/>
      <c r="P445" s="28"/>
      <c r="Q445" s="28"/>
    </row>
    <row r="446" spans="1:17" ht="18">
      <c r="A446" s="22">
        <v>441</v>
      </c>
      <c r="B446" s="23" t="s">
        <v>105</v>
      </c>
      <c r="C446" s="23" t="s">
        <v>236</v>
      </c>
      <c r="D446" s="24">
        <v>2451807.12</v>
      </c>
      <c r="E446" s="24">
        <v>4410608.83</v>
      </c>
      <c r="F446" s="25">
        <f t="shared" si="6"/>
        <v>6862415.9500000002</v>
      </c>
      <c r="G446" s="26"/>
      <c r="H446" s="26"/>
      <c r="I446" s="28"/>
      <c r="J446" s="28"/>
      <c r="K446" s="28"/>
      <c r="L446" s="28"/>
      <c r="M446" s="26"/>
      <c r="N446" s="26"/>
      <c r="O446" s="28"/>
      <c r="P446" s="28"/>
      <c r="Q446" s="28"/>
    </row>
    <row r="447" spans="1:17" ht="18">
      <c r="A447" s="22">
        <v>442</v>
      </c>
      <c r="B447" s="23" t="s">
        <v>106</v>
      </c>
      <c r="C447" s="23" t="s">
        <v>240</v>
      </c>
      <c r="D447" s="24">
        <v>1963073.31</v>
      </c>
      <c r="E447" s="24">
        <v>3531415.01</v>
      </c>
      <c r="F447" s="25">
        <f t="shared" si="6"/>
        <v>5494488.3200000003</v>
      </c>
      <c r="G447" s="26"/>
      <c r="H447" s="26"/>
      <c r="I447" s="28"/>
      <c r="J447" s="28"/>
      <c r="K447" s="28"/>
      <c r="L447" s="28"/>
      <c r="M447" s="26"/>
      <c r="N447" s="26"/>
      <c r="O447" s="28"/>
      <c r="P447" s="28"/>
      <c r="Q447" s="28"/>
    </row>
    <row r="448" spans="1:17" ht="18">
      <c r="A448" s="22">
        <v>443</v>
      </c>
      <c r="B448" s="23" t="s">
        <v>106</v>
      </c>
      <c r="C448" s="23" t="s">
        <v>242</v>
      </c>
      <c r="D448" s="24">
        <v>3207584.05</v>
      </c>
      <c r="E448" s="24">
        <v>5770192.29</v>
      </c>
      <c r="F448" s="25">
        <f t="shared" si="6"/>
        <v>8977776.3399999999</v>
      </c>
      <c r="G448" s="26"/>
      <c r="H448" s="26"/>
      <c r="I448" s="28"/>
      <c r="J448" s="28"/>
      <c r="K448" s="28"/>
      <c r="L448" s="28"/>
      <c r="M448" s="26"/>
      <c r="N448" s="26"/>
      <c r="O448" s="28"/>
      <c r="P448" s="28"/>
      <c r="Q448" s="28"/>
    </row>
    <row r="449" spans="1:17" ht="18">
      <c r="A449" s="22">
        <v>444</v>
      </c>
      <c r="B449" s="23" t="s">
        <v>106</v>
      </c>
      <c r="C449" s="23" t="s">
        <v>244</v>
      </c>
      <c r="D449" s="24">
        <v>2701721.6000000001</v>
      </c>
      <c r="E449" s="24">
        <v>4860185.3899999997</v>
      </c>
      <c r="F449" s="25">
        <f t="shared" si="6"/>
        <v>7561906.9900000002</v>
      </c>
      <c r="G449" s="26"/>
      <c r="H449" s="26"/>
      <c r="I449" s="28"/>
      <c r="J449" s="28"/>
      <c r="K449" s="28"/>
      <c r="L449" s="28"/>
      <c r="M449" s="26"/>
      <c r="N449" s="26"/>
      <c r="O449" s="28"/>
      <c r="P449" s="28"/>
      <c r="Q449" s="28"/>
    </row>
    <row r="450" spans="1:17" ht="18">
      <c r="A450" s="22">
        <v>445</v>
      </c>
      <c r="B450" s="23" t="s">
        <v>106</v>
      </c>
      <c r="C450" s="23" t="s">
        <v>246</v>
      </c>
      <c r="D450" s="24">
        <v>2230726.17</v>
      </c>
      <c r="E450" s="24">
        <v>4012901.52</v>
      </c>
      <c r="F450" s="25">
        <f t="shared" si="6"/>
        <v>6243627.6900000004</v>
      </c>
      <c r="G450" s="26"/>
      <c r="H450" s="26"/>
      <c r="I450" s="28"/>
      <c r="J450" s="28"/>
      <c r="K450" s="28"/>
      <c r="L450" s="28"/>
      <c r="M450" s="26"/>
      <c r="N450" s="26"/>
      <c r="O450" s="28"/>
      <c r="P450" s="28"/>
      <c r="Q450" s="28"/>
    </row>
    <row r="451" spans="1:17" ht="18">
      <c r="A451" s="22">
        <v>446</v>
      </c>
      <c r="B451" s="23" t="s">
        <v>106</v>
      </c>
      <c r="C451" s="23" t="s">
        <v>248</v>
      </c>
      <c r="D451" s="24">
        <v>2970892.41</v>
      </c>
      <c r="E451" s="24">
        <v>5344402.58</v>
      </c>
      <c r="F451" s="25">
        <f t="shared" si="6"/>
        <v>8315294.9900000002</v>
      </c>
      <c r="G451" s="26"/>
      <c r="H451" s="26"/>
      <c r="I451" s="28"/>
      <c r="J451" s="28"/>
      <c r="K451" s="28"/>
      <c r="L451" s="28"/>
      <c r="M451" s="26"/>
      <c r="N451" s="26"/>
      <c r="O451" s="28"/>
      <c r="P451" s="28"/>
      <c r="Q451" s="28"/>
    </row>
    <row r="452" spans="1:17" ht="18">
      <c r="A452" s="22">
        <v>447</v>
      </c>
      <c r="B452" s="23" t="s">
        <v>106</v>
      </c>
      <c r="C452" s="23" t="s">
        <v>250</v>
      </c>
      <c r="D452" s="24">
        <v>3634707.15</v>
      </c>
      <c r="E452" s="24">
        <v>6538553.25</v>
      </c>
      <c r="F452" s="25">
        <f t="shared" si="6"/>
        <v>10173260.4</v>
      </c>
      <c r="G452" s="26"/>
      <c r="H452" s="26"/>
      <c r="I452" s="28"/>
      <c r="J452" s="28"/>
      <c r="K452" s="28"/>
      <c r="L452" s="28"/>
      <c r="M452" s="26"/>
      <c r="N452" s="26"/>
      <c r="O452" s="28"/>
      <c r="P452" s="28"/>
      <c r="Q452" s="28"/>
    </row>
    <row r="453" spans="1:17" ht="18">
      <c r="A453" s="22">
        <v>448</v>
      </c>
      <c r="B453" s="23" t="s">
        <v>106</v>
      </c>
      <c r="C453" s="23" t="s">
        <v>252</v>
      </c>
      <c r="D453" s="24">
        <v>2476225.4</v>
      </c>
      <c r="E453" s="24">
        <v>4454535.3899999997</v>
      </c>
      <c r="F453" s="25">
        <f t="shared" si="6"/>
        <v>6930760.79</v>
      </c>
      <c r="G453" s="26"/>
      <c r="H453" s="26"/>
      <c r="I453" s="28"/>
      <c r="J453" s="28"/>
      <c r="K453" s="28"/>
      <c r="L453" s="28"/>
      <c r="M453" s="26"/>
      <c r="N453" s="26"/>
      <c r="O453" s="28"/>
      <c r="P453" s="28"/>
      <c r="Q453" s="28"/>
    </row>
    <row r="454" spans="1:17" ht="18">
      <c r="A454" s="22">
        <v>449</v>
      </c>
      <c r="B454" s="23" t="s">
        <v>106</v>
      </c>
      <c r="C454" s="23" t="s">
        <v>254</v>
      </c>
      <c r="D454" s="24">
        <v>2630629.85</v>
      </c>
      <c r="E454" s="24">
        <v>4732296.9000000004</v>
      </c>
      <c r="F454" s="25">
        <f t="shared" si="6"/>
        <v>7362926.75</v>
      </c>
      <c r="G454" s="26"/>
      <c r="H454" s="26"/>
      <c r="I454" s="28"/>
      <c r="J454" s="28"/>
      <c r="K454" s="28"/>
      <c r="L454" s="28"/>
      <c r="M454" s="26"/>
      <c r="N454" s="26"/>
      <c r="O454" s="28"/>
      <c r="P454" s="28"/>
      <c r="Q454" s="28"/>
    </row>
    <row r="455" spans="1:17" ht="36">
      <c r="A455" s="22">
        <v>450</v>
      </c>
      <c r="B455" s="23" t="s">
        <v>106</v>
      </c>
      <c r="C455" s="23" t="s">
        <v>256</v>
      </c>
      <c r="D455" s="24">
        <v>3268068.04</v>
      </c>
      <c r="E455" s="24">
        <v>5878998.25</v>
      </c>
      <c r="F455" s="25">
        <f t="shared" ref="F455:F518" si="7">D455+E455</f>
        <v>9147066.2899999991</v>
      </c>
      <c r="G455" s="26"/>
      <c r="H455" s="26"/>
      <c r="I455" s="28"/>
      <c r="J455" s="28"/>
      <c r="K455" s="28"/>
      <c r="L455" s="28"/>
      <c r="M455" s="26"/>
      <c r="N455" s="26"/>
      <c r="O455" s="28"/>
      <c r="P455" s="28"/>
      <c r="Q455" s="28"/>
    </row>
    <row r="456" spans="1:17" ht="18">
      <c r="A456" s="22">
        <v>451</v>
      </c>
      <c r="B456" s="23" t="s">
        <v>106</v>
      </c>
      <c r="C456" s="23" t="s">
        <v>258</v>
      </c>
      <c r="D456" s="24">
        <v>2275579.84</v>
      </c>
      <c r="E456" s="24">
        <v>4093589.76</v>
      </c>
      <c r="F456" s="25">
        <f t="shared" si="7"/>
        <v>6369169.5999999996</v>
      </c>
      <c r="G456" s="26"/>
      <c r="H456" s="26"/>
      <c r="I456" s="28"/>
      <c r="J456" s="28"/>
      <c r="K456" s="28"/>
      <c r="L456" s="28"/>
      <c r="M456" s="26"/>
      <c r="N456" s="26"/>
      <c r="O456" s="28"/>
      <c r="P456" s="28"/>
      <c r="Q456" s="28"/>
    </row>
    <row r="457" spans="1:17" ht="18">
      <c r="A457" s="22">
        <v>452</v>
      </c>
      <c r="B457" s="23" t="s">
        <v>106</v>
      </c>
      <c r="C457" s="23" t="s">
        <v>260</v>
      </c>
      <c r="D457" s="24">
        <v>2403606.2000000002</v>
      </c>
      <c r="E457" s="24">
        <v>4323899.1500000004</v>
      </c>
      <c r="F457" s="25">
        <f t="shared" si="7"/>
        <v>6727505.3499999996</v>
      </c>
      <c r="G457" s="26"/>
      <c r="H457" s="26"/>
      <c r="I457" s="28"/>
      <c r="J457" s="28"/>
      <c r="K457" s="28"/>
      <c r="L457" s="28"/>
      <c r="M457" s="26"/>
      <c r="N457" s="26"/>
      <c r="O457" s="28"/>
      <c r="P457" s="28"/>
      <c r="Q457" s="28"/>
    </row>
    <row r="458" spans="1:17" ht="18">
      <c r="A458" s="22">
        <v>453</v>
      </c>
      <c r="B458" s="23" t="s">
        <v>106</v>
      </c>
      <c r="C458" s="23" t="s">
        <v>262</v>
      </c>
      <c r="D458" s="24">
        <v>2651700.1</v>
      </c>
      <c r="E458" s="24">
        <v>4770200.62</v>
      </c>
      <c r="F458" s="25">
        <f t="shared" si="7"/>
        <v>7421900.7199999997</v>
      </c>
      <c r="G458" s="26"/>
      <c r="H458" s="26"/>
      <c r="I458" s="28"/>
      <c r="J458" s="28"/>
      <c r="K458" s="28"/>
      <c r="L458" s="28"/>
      <c r="M458" s="26"/>
      <c r="N458" s="26"/>
      <c r="O458" s="28"/>
      <c r="P458" s="28"/>
      <c r="Q458" s="28"/>
    </row>
    <row r="459" spans="1:17" ht="18">
      <c r="A459" s="22">
        <v>454</v>
      </c>
      <c r="B459" s="23" t="s">
        <v>106</v>
      </c>
      <c r="C459" s="23" t="s">
        <v>264</v>
      </c>
      <c r="D459" s="24">
        <v>2206793.7000000002</v>
      </c>
      <c r="E459" s="24">
        <v>3969848.88</v>
      </c>
      <c r="F459" s="25">
        <f t="shared" si="7"/>
        <v>6176642.5800000001</v>
      </c>
      <c r="G459" s="26"/>
      <c r="H459" s="26"/>
      <c r="I459" s="28"/>
      <c r="J459" s="28"/>
      <c r="K459" s="28"/>
      <c r="L459" s="28"/>
      <c r="M459" s="26"/>
      <c r="N459" s="26"/>
      <c r="O459" s="28"/>
      <c r="P459" s="28"/>
      <c r="Q459" s="28"/>
    </row>
    <row r="460" spans="1:17" ht="18">
      <c r="A460" s="22">
        <v>455</v>
      </c>
      <c r="B460" s="23" t="s">
        <v>106</v>
      </c>
      <c r="C460" s="23" t="s">
        <v>266</v>
      </c>
      <c r="D460" s="24">
        <v>2532439.9900000002</v>
      </c>
      <c r="E460" s="24">
        <v>4555661.03</v>
      </c>
      <c r="F460" s="25">
        <f t="shared" si="7"/>
        <v>7088101.0199999996</v>
      </c>
      <c r="G460" s="26"/>
      <c r="H460" s="26"/>
      <c r="I460" s="28"/>
      <c r="J460" s="28"/>
      <c r="K460" s="28"/>
      <c r="L460" s="28"/>
      <c r="M460" s="26"/>
      <c r="N460" s="26"/>
      <c r="O460" s="28"/>
      <c r="P460" s="28"/>
      <c r="Q460" s="28"/>
    </row>
    <row r="461" spans="1:17" ht="18">
      <c r="A461" s="22">
        <v>456</v>
      </c>
      <c r="B461" s="23" t="s">
        <v>106</v>
      </c>
      <c r="C461" s="23" t="s">
        <v>268</v>
      </c>
      <c r="D461" s="24">
        <v>2929793.27</v>
      </c>
      <c r="E461" s="24">
        <v>5270468.45</v>
      </c>
      <c r="F461" s="25">
        <f t="shared" si="7"/>
        <v>8200261.7199999997</v>
      </c>
      <c r="G461" s="26"/>
      <c r="H461" s="26"/>
      <c r="I461" s="28"/>
      <c r="J461" s="28"/>
      <c r="K461" s="28"/>
      <c r="L461" s="28"/>
      <c r="M461" s="26"/>
      <c r="N461" s="26"/>
      <c r="O461" s="28"/>
      <c r="P461" s="28"/>
      <c r="Q461" s="28"/>
    </row>
    <row r="462" spans="1:17" ht="18">
      <c r="A462" s="22">
        <v>457</v>
      </c>
      <c r="B462" s="23" t="s">
        <v>106</v>
      </c>
      <c r="C462" s="23" t="s">
        <v>270</v>
      </c>
      <c r="D462" s="24">
        <v>2347332.1800000002</v>
      </c>
      <c r="E462" s="24">
        <v>4222666.59</v>
      </c>
      <c r="F462" s="25">
        <f t="shared" si="7"/>
        <v>6569998.7699999996</v>
      </c>
      <c r="G462" s="26"/>
      <c r="H462" s="26"/>
      <c r="I462" s="28"/>
      <c r="J462" s="28"/>
      <c r="K462" s="28"/>
      <c r="L462" s="28"/>
      <c r="M462" s="26"/>
      <c r="N462" s="26"/>
      <c r="O462" s="28"/>
      <c r="P462" s="28"/>
      <c r="Q462" s="28"/>
    </row>
    <row r="463" spans="1:17" ht="18">
      <c r="A463" s="22">
        <v>458</v>
      </c>
      <c r="B463" s="23" t="s">
        <v>106</v>
      </c>
      <c r="C463" s="23" t="s">
        <v>272</v>
      </c>
      <c r="D463" s="24">
        <v>2313222.66</v>
      </c>
      <c r="E463" s="24">
        <v>4161306.25</v>
      </c>
      <c r="F463" s="25">
        <f t="shared" si="7"/>
        <v>6474528.9100000001</v>
      </c>
      <c r="G463" s="26"/>
      <c r="H463" s="26"/>
      <c r="I463" s="28"/>
      <c r="J463" s="28"/>
      <c r="K463" s="28"/>
      <c r="L463" s="28"/>
      <c r="M463" s="26"/>
      <c r="N463" s="26"/>
      <c r="O463" s="28"/>
      <c r="P463" s="28"/>
      <c r="Q463" s="28"/>
    </row>
    <row r="464" spans="1:17" ht="18">
      <c r="A464" s="22">
        <v>459</v>
      </c>
      <c r="B464" s="23" t="s">
        <v>106</v>
      </c>
      <c r="C464" s="23" t="s">
        <v>275</v>
      </c>
      <c r="D464" s="24">
        <v>2400545.19</v>
      </c>
      <c r="E464" s="24">
        <v>4318392.63</v>
      </c>
      <c r="F464" s="25">
        <f t="shared" si="7"/>
        <v>6718937.8200000003</v>
      </c>
      <c r="G464" s="26"/>
      <c r="H464" s="26"/>
      <c r="I464" s="28"/>
      <c r="J464" s="28"/>
      <c r="K464" s="28"/>
      <c r="L464" s="28"/>
      <c r="M464" s="26"/>
      <c r="N464" s="26"/>
      <c r="O464" s="28"/>
      <c r="P464" s="28"/>
      <c r="Q464" s="28"/>
    </row>
    <row r="465" spans="1:17" ht="18">
      <c r="A465" s="22">
        <v>460</v>
      </c>
      <c r="B465" s="23" t="s">
        <v>106</v>
      </c>
      <c r="C465" s="23" t="s">
        <v>277</v>
      </c>
      <c r="D465" s="24">
        <v>2904338.54</v>
      </c>
      <c r="E465" s="24">
        <v>5224677.38</v>
      </c>
      <c r="F465" s="25">
        <f t="shared" si="7"/>
        <v>8129015.9199999999</v>
      </c>
      <c r="G465" s="26"/>
      <c r="H465" s="26"/>
      <c r="I465" s="28"/>
      <c r="J465" s="28"/>
      <c r="K465" s="28"/>
      <c r="L465" s="28"/>
      <c r="M465" s="26"/>
      <c r="N465" s="26"/>
      <c r="O465" s="28"/>
      <c r="P465" s="28"/>
      <c r="Q465" s="28"/>
    </row>
    <row r="466" spans="1:17" ht="18">
      <c r="A466" s="22">
        <v>461</v>
      </c>
      <c r="B466" s="23" t="s">
        <v>106</v>
      </c>
      <c r="C466" s="23" t="s">
        <v>279</v>
      </c>
      <c r="D466" s="24">
        <v>2231783.38</v>
      </c>
      <c r="E466" s="24">
        <v>4014803.36</v>
      </c>
      <c r="F466" s="25">
        <f t="shared" si="7"/>
        <v>6246586.7400000002</v>
      </c>
      <c r="G466" s="26"/>
      <c r="H466" s="26"/>
      <c r="I466" s="28"/>
      <c r="J466" s="28"/>
      <c r="K466" s="28"/>
      <c r="L466" s="28"/>
      <c r="M466" s="26"/>
      <c r="N466" s="26"/>
      <c r="O466" s="28"/>
      <c r="P466" s="28"/>
      <c r="Q466" s="28"/>
    </row>
    <row r="467" spans="1:17" ht="18">
      <c r="A467" s="22">
        <v>462</v>
      </c>
      <c r="B467" s="23" t="s">
        <v>106</v>
      </c>
      <c r="C467" s="23" t="s">
        <v>281</v>
      </c>
      <c r="D467" s="24">
        <v>2665748.9</v>
      </c>
      <c r="E467" s="24">
        <v>4795473.3099999996</v>
      </c>
      <c r="F467" s="25">
        <f t="shared" si="7"/>
        <v>7461222.21</v>
      </c>
      <c r="G467" s="26"/>
      <c r="H467" s="26"/>
      <c r="I467" s="28"/>
      <c r="J467" s="28"/>
      <c r="K467" s="28"/>
      <c r="L467" s="28"/>
      <c r="M467" s="26"/>
      <c r="N467" s="26"/>
      <c r="O467" s="28"/>
      <c r="P467" s="28"/>
      <c r="Q467" s="28"/>
    </row>
    <row r="468" spans="1:17" ht="18">
      <c r="A468" s="22">
        <v>463</v>
      </c>
      <c r="B468" s="23" t="s">
        <v>107</v>
      </c>
      <c r="C468" s="23" t="s">
        <v>285</v>
      </c>
      <c r="D468" s="24">
        <v>2847402.5</v>
      </c>
      <c r="E468" s="24">
        <v>5122253.91</v>
      </c>
      <c r="F468" s="25">
        <f t="shared" si="7"/>
        <v>7969656.4100000001</v>
      </c>
      <c r="G468" s="26"/>
      <c r="H468" s="26"/>
      <c r="I468" s="28"/>
      <c r="J468" s="28"/>
      <c r="K468" s="28"/>
      <c r="L468" s="28"/>
      <c r="M468" s="26"/>
      <c r="N468" s="26"/>
      <c r="O468" s="28"/>
      <c r="P468" s="28"/>
      <c r="Q468" s="28"/>
    </row>
    <row r="469" spans="1:17" ht="18">
      <c r="A469" s="22">
        <v>464</v>
      </c>
      <c r="B469" s="23" t="s">
        <v>107</v>
      </c>
      <c r="C469" s="23" t="s">
        <v>287</v>
      </c>
      <c r="D469" s="24">
        <v>2517746.37</v>
      </c>
      <c r="E469" s="24">
        <v>4529228.37</v>
      </c>
      <c r="F469" s="25">
        <f t="shared" si="7"/>
        <v>7046974.7400000002</v>
      </c>
      <c r="G469" s="26"/>
      <c r="H469" s="26"/>
      <c r="I469" s="28"/>
      <c r="J469" s="28"/>
      <c r="K469" s="28"/>
      <c r="L469" s="28"/>
      <c r="M469" s="26"/>
      <c r="N469" s="26"/>
      <c r="O469" s="28"/>
      <c r="P469" s="28"/>
      <c r="Q469" s="28"/>
    </row>
    <row r="470" spans="1:17" ht="18">
      <c r="A470" s="22">
        <v>465</v>
      </c>
      <c r="B470" s="23" t="s">
        <v>107</v>
      </c>
      <c r="C470" s="23" t="s">
        <v>289</v>
      </c>
      <c r="D470" s="24">
        <v>3177517.94</v>
      </c>
      <c r="E470" s="24">
        <v>5716105.7000000002</v>
      </c>
      <c r="F470" s="25">
        <f t="shared" si="7"/>
        <v>8893623.6400000006</v>
      </c>
      <c r="G470" s="26"/>
      <c r="H470" s="26"/>
      <c r="I470" s="28"/>
      <c r="J470" s="28"/>
      <c r="K470" s="28"/>
      <c r="L470" s="28"/>
      <c r="M470" s="26"/>
      <c r="N470" s="26"/>
      <c r="O470" s="28"/>
      <c r="P470" s="28"/>
      <c r="Q470" s="28"/>
    </row>
    <row r="471" spans="1:17" ht="18">
      <c r="A471" s="22">
        <v>466</v>
      </c>
      <c r="B471" s="23" t="s">
        <v>107</v>
      </c>
      <c r="C471" s="23" t="s">
        <v>291</v>
      </c>
      <c r="D471" s="24">
        <v>2515926.16</v>
      </c>
      <c r="E471" s="24">
        <v>4525953.95</v>
      </c>
      <c r="F471" s="25">
        <f t="shared" si="7"/>
        <v>7041880.1100000003</v>
      </c>
      <c r="G471" s="26"/>
      <c r="H471" s="26"/>
      <c r="I471" s="28"/>
      <c r="J471" s="28"/>
      <c r="K471" s="28"/>
      <c r="L471" s="28"/>
      <c r="M471" s="26"/>
      <c r="N471" s="26"/>
      <c r="O471" s="28"/>
      <c r="P471" s="28"/>
      <c r="Q471" s="28"/>
    </row>
    <row r="472" spans="1:17" ht="18">
      <c r="A472" s="22">
        <v>467</v>
      </c>
      <c r="B472" s="23" t="s">
        <v>107</v>
      </c>
      <c r="C472" s="23" t="s">
        <v>293</v>
      </c>
      <c r="D472" s="24">
        <v>3440052.53</v>
      </c>
      <c r="E472" s="24">
        <v>6188384.8499999996</v>
      </c>
      <c r="F472" s="25">
        <f t="shared" si="7"/>
        <v>9628437.3800000008</v>
      </c>
      <c r="G472" s="26"/>
      <c r="H472" s="26"/>
      <c r="I472" s="28"/>
      <c r="J472" s="28"/>
      <c r="K472" s="28"/>
      <c r="L472" s="28"/>
      <c r="M472" s="26"/>
      <c r="N472" s="26"/>
      <c r="O472" s="28"/>
      <c r="P472" s="28"/>
      <c r="Q472" s="28"/>
    </row>
    <row r="473" spans="1:17" ht="18">
      <c r="A473" s="22">
        <v>468</v>
      </c>
      <c r="B473" s="23" t="s">
        <v>107</v>
      </c>
      <c r="C473" s="23" t="s">
        <v>295</v>
      </c>
      <c r="D473" s="24">
        <v>2674666.02</v>
      </c>
      <c r="E473" s="24">
        <v>4811514.51</v>
      </c>
      <c r="F473" s="25">
        <f t="shared" si="7"/>
        <v>7486180.5300000003</v>
      </c>
      <c r="G473" s="26"/>
      <c r="H473" s="26"/>
      <c r="I473" s="28"/>
      <c r="J473" s="28"/>
      <c r="K473" s="28"/>
      <c r="L473" s="28"/>
      <c r="M473" s="26"/>
      <c r="N473" s="26"/>
      <c r="O473" s="28"/>
      <c r="P473" s="28"/>
      <c r="Q473" s="28"/>
    </row>
    <row r="474" spans="1:17" ht="18">
      <c r="A474" s="22">
        <v>469</v>
      </c>
      <c r="B474" s="23" t="s">
        <v>107</v>
      </c>
      <c r="C474" s="23" t="s">
        <v>297</v>
      </c>
      <c r="D474" s="24">
        <v>2244287.69</v>
      </c>
      <c r="E474" s="24">
        <v>4037297.64</v>
      </c>
      <c r="F474" s="25">
        <f t="shared" si="7"/>
        <v>6281585.3300000001</v>
      </c>
      <c r="G474" s="26"/>
      <c r="H474" s="26"/>
      <c r="I474" s="28"/>
      <c r="J474" s="28"/>
      <c r="K474" s="28"/>
      <c r="L474" s="28"/>
      <c r="M474" s="26"/>
      <c r="N474" s="26"/>
      <c r="O474" s="28"/>
      <c r="P474" s="28"/>
      <c r="Q474" s="28"/>
    </row>
    <row r="475" spans="1:17" ht="18">
      <c r="A475" s="22">
        <v>470</v>
      </c>
      <c r="B475" s="23" t="s">
        <v>107</v>
      </c>
      <c r="C475" s="23" t="s">
        <v>299</v>
      </c>
      <c r="D475" s="24">
        <v>2629860.0099999998</v>
      </c>
      <c r="E475" s="24">
        <v>4730912.0199999996</v>
      </c>
      <c r="F475" s="25">
        <f t="shared" si="7"/>
        <v>7360772.0300000003</v>
      </c>
      <c r="G475" s="26"/>
      <c r="H475" s="26"/>
      <c r="I475" s="28"/>
      <c r="J475" s="28"/>
      <c r="K475" s="28"/>
      <c r="L475" s="28"/>
      <c r="M475" s="26"/>
      <c r="N475" s="26"/>
      <c r="O475" s="28"/>
      <c r="P475" s="28"/>
      <c r="Q475" s="28"/>
    </row>
    <row r="476" spans="1:17" ht="18">
      <c r="A476" s="22">
        <v>471</v>
      </c>
      <c r="B476" s="23" t="s">
        <v>107</v>
      </c>
      <c r="C476" s="23" t="s">
        <v>301</v>
      </c>
      <c r="D476" s="24">
        <v>2579113.9300000002</v>
      </c>
      <c r="E476" s="24">
        <v>4639623.79</v>
      </c>
      <c r="F476" s="25">
        <f t="shared" si="7"/>
        <v>7218737.7199999997</v>
      </c>
      <c r="G476" s="26"/>
      <c r="H476" s="26"/>
      <c r="I476" s="28"/>
      <c r="J476" s="28"/>
      <c r="K476" s="28"/>
      <c r="L476" s="28"/>
      <c r="M476" s="26"/>
      <c r="N476" s="26"/>
      <c r="O476" s="28"/>
      <c r="P476" s="28"/>
      <c r="Q476" s="28"/>
    </row>
    <row r="477" spans="1:17" ht="18">
      <c r="A477" s="22">
        <v>472</v>
      </c>
      <c r="B477" s="23" t="s">
        <v>107</v>
      </c>
      <c r="C477" s="23" t="s">
        <v>303</v>
      </c>
      <c r="D477" s="24">
        <v>2726708.56</v>
      </c>
      <c r="E477" s="24">
        <v>4905134.97</v>
      </c>
      <c r="F477" s="25">
        <f t="shared" si="7"/>
        <v>7631843.5300000003</v>
      </c>
      <c r="G477" s="26"/>
      <c r="H477" s="26"/>
      <c r="I477" s="28"/>
      <c r="J477" s="28"/>
      <c r="K477" s="28"/>
      <c r="L477" s="28"/>
      <c r="M477" s="26"/>
      <c r="N477" s="26"/>
      <c r="O477" s="28"/>
      <c r="P477" s="28"/>
      <c r="Q477" s="28"/>
    </row>
    <row r="478" spans="1:17" ht="18">
      <c r="A478" s="22">
        <v>473</v>
      </c>
      <c r="B478" s="23" t="s">
        <v>107</v>
      </c>
      <c r="C478" s="23" t="s">
        <v>107</v>
      </c>
      <c r="D478" s="24">
        <v>2400290.5299999998</v>
      </c>
      <c r="E478" s="24">
        <v>4317934.51</v>
      </c>
      <c r="F478" s="25">
        <f t="shared" si="7"/>
        <v>6718225.04</v>
      </c>
      <c r="G478" s="26"/>
      <c r="H478" s="26"/>
      <c r="I478" s="28"/>
      <c r="J478" s="28"/>
      <c r="K478" s="28"/>
      <c r="L478" s="28"/>
      <c r="M478" s="26"/>
      <c r="N478" s="26"/>
      <c r="O478" s="28"/>
      <c r="P478" s="28"/>
      <c r="Q478" s="28"/>
    </row>
    <row r="479" spans="1:17" ht="18">
      <c r="A479" s="22">
        <v>474</v>
      </c>
      <c r="B479" s="23" t="s">
        <v>107</v>
      </c>
      <c r="C479" s="23" t="s">
        <v>306</v>
      </c>
      <c r="D479" s="24">
        <v>3064468.39</v>
      </c>
      <c r="E479" s="24">
        <v>5512738.4199999999</v>
      </c>
      <c r="F479" s="25">
        <f t="shared" si="7"/>
        <v>8577206.8100000005</v>
      </c>
      <c r="G479" s="26"/>
      <c r="H479" s="26"/>
      <c r="I479" s="28"/>
      <c r="J479" s="28"/>
      <c r="K479" s="28"/>
      <c r="L479" s="28"/>
      <c r="M479" s="26"/>
      <c r="N479" s="26"/>
      <c r="O479" s="28"/>
      <c r="P479" s="28"/>
      <c r="Q479" s="28"/>
    </row>
    <row r="480" spans="1:17" ht="18">
      <c r="A480" s="22">
        <v>475</v>
      </c>
      <c r="B480" s="23" t="s">
        <v>107</v>
      </c>
      <c r="C480" s="23" t="s">
        <v>308</v>
      </c>
      <c r="D480" s="24">
        <v>2022732.03</v>
      </c>
      <c r="E480" s="24">
        <v>3638736.37</v>
      </c>
      <c r="F480" s="25">
        <f t="shared" si="7"/>
        <v>5661468.4000000004</v>
      </c>
      <c r="G480" s="26"/>
      <c r="H480" s="26"/>
      <c r="I480" s="28"/>
      <c r="J480" s="28"/>
      <c r="K480" s="28"/>
      <c r="L480" s="28"/>
      <c r="M480" s="26"/>
      <c r="N480" s="26"/>
      <c r="O480" s="28"/>
      <c r="P480" s="28"/>
      <c r="Q480" s="28"/>
    </row>
    <row r="481" spans="1:17" ht="18">
      <c r="A481" s="22">
        <v>476</v>
      </c>
      <c r="B481" s="23" t="s">
        <v>107</v>
      </c>
      <c r="C481" s="23" t="s">
        <v>310</v>
      </c>
      <c r="D481" s="24">
        <v>2940748.65</v>
      </c>
      <c r="E481" s="24">
        <v>5290176.32</v>
      </c>
      <c r="F481" s="25">
        <f t="shared" si="7"/>
        <v>8230924.9699999997</v>
      </c>
      <c r="G481" s="26"/>
      <c r="H481" s="26"/>
      <c r="I481" s="28"/>
      <c r="J481" s="28"/>
      <c r="K481" s="28"/>
      <c r="L481" s="28"/>
      <c r="M481" s="26"/>
      <c r="N481" s="26"/>
      <c r="O481" s="28"/>
      <c r="P481" s="28"/>
      <c r="Q481" s="28"/>
    </row>
    <row r="482" spans="1:17" ht="36">
      <c r="A482" s="22">
        <v>477</v>
      </c>
      <c r="B482" s="23" t="s">
        <v>107</v>
      </c>
      <c r="C482" s="23" t="s">
        <v>312</v>
      </c>
      <c r="D482" s="24">
        <v>1963715.41</v>
      </c>
      <c r="E482" s="24">
        <v>3532570.1</v>
      </c>
      <c r="F482" s="25">
        <f t="shared" si="7"/>
        <v>5496285.5099999998</v>
      </c>
      <c r="G482" s="26"/>
      <c r="H482" s="26"/>
      <c r="I482" s="28"/>
      <c r="J482" s="28"/>
      <c r="K482" s="28"/>
      <c r="L482" s="28"/>
      <c r="M482" s="26"/>
      <c r="N482" s="26"/>
      <c r="O482" s="28"/>
      <c r="P482" s="28"/>
      <c r="Q482" s="28"/>
    </row>
    <row r="483" spans="1:17" ht="18">
      <c r="A483" s="22">
        <v>478</v>
      </c>
      <c r="B483" s="23" t="s">
        <v>107</v>
      </c>
      <c r="C483" s="23" t="s">
        <v>314</v>
      </c>
      <c r="D483" s="24">
        <v>2846939.81</v>
      </c>
      <c r="E483" s="24">
        <v>5121421.5599999996</v>
      </c>
      <c r="F483" s="25">
        <f t="shared" si="7"/>
        <v>7968361.3700000001</v>
      </c>
      <c r="G483" s="26"/>
      <c r="H483" s="26"/>
      <c r="I483" s="28"/>
      <c r="J483" s="28"/>
      <c r="K483" s="28"/>
      <c r="L483" s="28"/>
      <c r="M483" s="26"/>
      <c r="N483" s="26"/>
      <c r="O483" s="28"/>
      <c r="P483" s="28"/>
      <c r="Q483" s="28"/>
    </row>
    <row r="484" spans="1:17" ht="18">
      <c r="A484" s="22">
        <v>479</v>
      </c>
      <c r="B484" s="23" t="s">
        <v>107</v>
      </c>
      <c r="C484" s="23" t="s">
        <v>316</v>
      </c>
      <c r="D484" s="24">
        <v>3560559.48</v>
      </c>
      <c r="E484" s="24">
        <v>6405167.4100000001</v>
      </c>
      <c r="F484" s="25">
        <f t="shared" si="7"/>
        <v>9965726.8900000006</v>
      </c>
      <c r="G484" s="26"/>
      <c r="H484" s="26"/>
      <c r="I484" s="28"/>
      <c r="J484" s="28"/>
      <c r="K484" s="28"/>
      <c r="L484" s="28"/>
      <c r="M484" s="26"/>
      <c r="N484" s="26"/>
      <c r="O484" s="28"/>
      <c r="P484" s="28"/>
      <c r="Q484" s="28"/>
    </row>
    <row r="485" spans="1:17" ht="18">
      <c r="A485" s="22">
        <v>480</v>
      </c>
      <c r="B485" s="23" t="s">
        <v>107</v>
      </c>
      <c r="C485" s="23" t="s">
        <v>319</v>
      </c>
      <c r="D485" s="24">
        <v>2689562.99</v>
      </c>
      <c r="E485" s="24">
        <v>4838312.99</v>
      </c>
      <c r="F485" s="25">
        <f t="shared" si="7"/>
        <v>7527875.9800000004</v>
      </c>
      <c r="G485" s="26"/>
      <c r="H485" s="26"/>
      <c r="I485" s="28"/>
      <c r="J485" s="28"/>
      <c r="K485" s="28"/>
      <c r="L485" s="28"/>
      <c r="M485" s="26"/>
      <c r="N485" s="26"/>
      <c r="O485" s="28"/>
      <c r="P485" s="28"/>
      <c r="Q485" s="28"/>
    </row>
    <row r="486" spans="1:17" ht="18">
      <c r="A486" s="22">
        <v>481</v>
      </c>
      <c r="B486" s="23" t="s">
        <v>107</v>
      </c>
      <c r="C486" s="23" t="s">
        <v>320</v>
      </c>
      <c r="D486" s="24">
        <v>2546601.7999999998</v>
      </c>
      <c r="E486" s="24">
        <v>4581137.03</v>
      </c>
      <c r="F486" s="25">
        <f t="shared" si="7"/>
        <v>7127738.8300000001</v>
      </c>
      <c r="G486" s="26"/>
      <c r="H486" s="26"/>
      <c r="I486" s="28"/>
      <c r="J486" s="28"/>
      <c r="K486" s="28"/>
      <c r="L486" s="28"/>
      <c r="M486" s="26"/>
      <c r="N486" s="26"/>
      <c r="O486" s="28"/>
      <c r="P486" s="28"/>
      <c r="Q486" s="28"/>
    </row>
    <row r="487" spans="1:17" ht="18">
      <c r="A487" s="22">
        <v>482</v>
      </c>
      <c r="B487" s="23" t="s">
        <v>107</v>
      </c>
      <c r="C487" s="23" t="s">
        <v>322</v>
      </c>
      <c r="D487" s="24">
        <v>2730572.82</v>
      </c>
      <c r="E487" s="24">
        <v>4912086.47</v>
      </c>
      <c r="F487" s="25">
        <f t="shared" si="7"/>
        <v>7642659.29</v>
      </c>
      <c r="G487" s="26"/>
      <c r="H487" s="26"/>
      <c r="I487" s="28"/>
      <c r="J487" s="28"/>
      <c r="K487" s="28"/>
      <c r="L487" s="28"/>
      <c r="M487" s="26"/>
      <c r="N487" s="26"/>
      <c r="O487" s="28"/>
      <c r="P487" s="28"/>
      <c r="Q487" s="28"/>
    </row>
    <row r="488" spans="1:17" ht="18">
      <c r="A488" s="22">
        <v>483</v>
      </c>
      <c r="B488" s="23" t="s">
        <v>107</v>
      </c>
      <c r="C488" s="23" t="s">
        <v>324</v>
      </c>
      <c r="D488" s="24">
        <v>2671771.2000000002</v>
      </c>
      <c r="E488" s="24">
        <v>4806306.96</v>
      </c>
      <c r="F488" s="25">
        <f t="shared" si="7"/>
        <v>7478078.1600000001</v>
      </c>
      <c r="G488" s="26"/>
      <c r="H488" s="26"/>
      <c r="I488" s="28"/>
      <c r="J488" s="28"/>
      <c r="K488" s="28"/>
      <c r="L488" s="28"/>
      <c r="M488" s="26"/>
      <c r="N488" s="26"/>
      <c r="O488" s="28"/>
      <c r="P488" s="28"/>
      <c r="Q488" s="28"/>
    </row>
    <row r="489" spans="1:17" ht="18">
      <c r="A489" s="22">
        <v>484</v>
      </c>
      <c r="B489" s="23" t="s">
        <v>108</v>
      </c>
      <c r="C489" s="23" t="s">
        <v>328</v>
      </c>
      <c r="D489" s="24">
        <v>2307481.89</v>
      </c>
      <c r="E489" s="24">
        <v>4150979.05</v>
      </c>
      <c r="F489" s="25">
        <f t="shared" si="7"/>
        <v>6458460.9400000004</v>
      </c>
      <c r="G489" s="26"/>
      <c r="H489" s="26"/>
      <c r="I489" s="28"/>
      <c r="J489" s="28"/>
      <c r="K489" s="28"/>
      <c r="L489" s="28"/>
      <c r="M489" s="26"/>
      <c r="N489" s="26"/>
      <c r="O489" s="28"/>
      <c r="P489" s="28"/>
      <c r="Q489" s="28"/>
    </row>
    <row r="490" spans="1:17" ht="18">
      <c r="A490" s="22">
        <v>485</v>
      </c>
      <c r="B490" s="23" t="s">
        <v>108</v>
      </c>
      <c r="C490" s="23" t="s">
        <v>330</v>
      </c>
      <c r="D490" s="24">
        <v>3794520.2</v>
      </c>
      <c r="E490" s="24">
        <v>6826044.4100000001</v>
      </c>
      <c r="F490" s="25">
        <f t="shared" si="7"/>
        <v>10620564.609999999</v>
      </c>
      <c r="G490" s="26"/>
      <c r="H490" s="26"/>
      <c r="I490" s="28"/>
      <c r="J490" s="28"/>
      <c r="K490" s="28"/>
      <c r="L490" s="28"/>
      <c r="M490" s="26"/>
      <c r="N490" s="26"/>
      <c r="O490" s="28"/>
      <c r="P490" s="28"/>
      <c r="Q490" s="28"/>
    </row>
    <row r="491" spans="1:17" ht="18">
      <c r="A491" s="22">
        <v>486</v>
      </c>
      <c r="B491" s="23" t="s">
        <v>108</v>
      </c>
      <c r="C491" s="23" t="s">
        <v>332</v>
      </c>
      <c r="D491" s="24">
        <v>2908261.55</v>
      </c>
      <c r="E491" s="24">
        <v>5231734.5599999996</v>
      </c>
      <c r="F491" s="25">
        <f t="shared" si="7"/>
        <v>8139996.1100000003</v>
      </c>
      <c r="G491" s="26"/>
      <c r="H491" s="26"/>
      <c r="I491" s="28"/>
      <c r="J491" s="28"/>
      <c r="K491" s="28"/>
      <c r="L491" s="28"/>
      <c r="M491" s="26"/>
      <c r="N491" s="26"/>
      <c r="O491" s="28"/>
      <c r="P491" s="28"/>
      <c r="Q491" s="28"/>
    </row>
    <row r="492" spans="1:17" ht="18">
      <c r="A492" s="22">
        <v>487</v>
      </c>
      <c r="B492" s="23" t="s">
        <v>108</v>
      </c>
      <c r="C492" s="23" t="s">
        <v>98</v>
      </c>
      <c r="D492" s="24">
        <v>1771066.58</v>
      </c>
      <c r="E492" s="24">
        <v>3186009.96</v>
      </c>
      <c r="F492" s="25">
        <f t="shared" si="7"/>
        <v>4957076.54</v>
      </c>
      <c r="G492" s="26"/>
      <c r="H492" s="26"/>
      <c r="I492" s="28"/>
      <c r="J492" s="28"/>
      <c r="K492" s="28"/>
      <c r="L492" s="28"/>
      <c r="M492" s="26"/>
      <c r="N492" s="26"/>
      <c r="O492" s="28"/>
      <c r="P492" s="28"/>
      <c r="Q492" s="28"/>
    </row>
    <row r="493" spans="1:17" ht="18">
      <c r="A493" s="22">
        <v>488</v>
      </c>
      <c r="B493" s="23" t="s">
        <v>108</v>
      </c>
      <c r="C493" s="23" t="s">
        <v>335</v>
      </c>
      <c r="D493" s="24">
        <v>3072985.35</v>
      </c>
      <c r="E493" s="24">
        <v>5528059.7699999996</v>
      </c>
      <c r="F493" s="25">
        <f t="shared" si="7"/>
        <v>8601045.1199999992</v>
      </c>
      <c r="G493" s="26"/>
      <c r="H493" s="26"/>
      <c r="I493" s="28"/>
      <c r="J493" s="28"/>
      <c r="K493" s="28"/>
      <c r="L493" s="28"/>
      <c r="M493" s="26"/>
      <c r="N493" s="26"/>
      <c r="O493" s="28"/>
      <c r="P493" s="28"/>
      <c r="Q493" s="28"/>
    </row>
    <row r="494" spans="1:17" ht="18">
      <c r="A494" s="22">
        <v>489</v>
      </c>
      <c r="B494" s="23" t="s">
        <v>108</v>
      </c>
      <c r="C494" s="23" t="s">
        <v>337</v>
      </c>
      <c r="D494" s="24">
        <v>2641191.83</v>
      </c>
      <c r="E494" s="24">
        <v>4751297.07</v>
      </c>
      <c r="F494" s="25">
        <f t="shared" si="7"/>
        <v>7392488.9000000004</v>
      </c>
      <c r="G494" s="26"/>
      <c r="H494" s="26"/>
      <c r="I494" s="28"/>
      <c r="J494" s="28"/>
      <c r="K494" s="28"/>
      <c r="L494" s="28"/>
      <c r="M494" s="26"/>
      <c r="N494" s="26"/>
      <c r="O494" s="28"/>
      <c r="P494" s="28"/>
      <c r="Q494" s="28"/>
    </row>
    <row r="495" spans="1:17" ht="18">
      <c r="A495" s="22">
        <v>490</v>
      </c>
      <c r="B495" s="23" t="s">
        <v>108</v>
      </c>
      <c r="C495" s="23" t="s">
        <v>339</v>
      </c>
      <c r="D495" s="24">
        <v>2669656.5299999998</v>
      </c>
      <c r="E495" s="24">
        <v>4802502.83</v>
      </c>
      <c r="F495" s="25">
        <f t="shared" si="7"/>
        <v>7472159.3600000003</v>
      </c>
      <c r="G495" s="26"/>
      <c r="H495" s="26"/>
      <c r="I495" s="28"/>
      <c r="J495" s="28"/>
      <c r="K495" s="28"/>
      <c r="L495" s="28"/>
      <c r="M495" s="26"/>
      <c r="N495" s="26"/>
      <c r="O495" s="28"/>
      <c r="P495" s="28"/>
      <c r="Q495" s="28"/>
    </row>
    <row r="496" spans="1:17" ht="18">
      <c r="A496" s="22">
        <v>491</v>
      </c>
      <c r="B496" s="23" t="s">
        <v>108</v>
      </c>
      <c r="C496" s="23" t="s">
        <v>341</v>
      </c>
      <c r="D496" s="24">
        <v>3148110.76</v>
      </c>
      <c r="E496" s="24">
        <v>5663204.4900000002</v>
      </c>
      <c r="F496" s="25">
        <f t="shared" si="7"/>
        <v>8811315.25</v>
      </c>
      <c r="G496" s="26"/>
      <c r="H496" s="26"/>
      <c r="I496" s="28"/>
      <c r="J496" s="28"/>
      <c r="K496" s="28"/>
      <c r="L496" s="28"/>
      <c r="M496" s="26"/>
      <c r="N496" s="26"/>
      <c r="O496" s="28"/>
      <c r="P496" s="28"/>
      <c r="Q496" s="28"/>
    </row>
    <row r="497" spans="1:17" ht="18">
      <c r="A497" s="22">
        <v>492</v>
      </c>
      <c r="B497" s="23" t="s">
        <v>108</v>
      </c>
      <c r="C497" s="23" t="s">
        <v>343</v>
      </c>
      <c r="D497" s="24">
        <v>2275877.69</v>
      </c>
      <c r="E497" s="24">
        <v>4094125.56</v>
      </c>
      <c r="F497" s="25">
        <f t="shared" si="7"/>
        <v>6370003.25</v>
      </c>
      <c r="G497" s="26"/>
      <c r="H497" s="26"/>
      <c r="I497" s="28"/>
      <c r="J497" s="28"/>
      <c r="K497" s="28"/>
      <c r="L497" s="28"/>
      <c r="M497" s="26"/>
      <c r="N497" s="26"/>
      <c r="O497" s="28"/>
      <c r="P497" s="28"/>
      <c r="Q497" s="28"/>
    </row>
    <row r="498" spans="1:17" ht="18">
      <c r="A498" s="22">
        <v>493</v>
      </c>
      <c r="B498" s="23" t="s">
        <v>108</v>
      </c>
      <c r="C498" s="23" t="s">
        <v>345</v>
      </c>
      <c r="D498" s="24">
        <v>3026523.79</v>
      </c>
      <c r="E498" s="24">
        <v>5444479.0599999996</v>
      </c>
      <c r="F498" s="25">
        <f t="shared" si="7"/>
        <v>8471002.8499999996</v>
      </c>
      <c r="G498" s="26"/>
      <c r="H498" s="26"/>
      <c r="I498" s="28"/>
      <c r="J498" s="28"/>
      <c r="K498" s="28"/>
      <c r="L498" s="28"/>
      <c r="M498" s="26"/>
      <c r="N498" s="26"/>
      <c r="O498" s="28"/>
      <c r="P498" s="28"/>
      <c r="Q498" s="28"/>
    </row>
    <row r="499" spans="1:17" ht="18">
      <c r="A499" s="22">
        <v>494</v>
      </c>
      <c r="B499" s="23" t="s">
        <v>108</v>
      </c>
      <c r="C499" s="23" t="s">
        <v>347</v>
      </c>
      <c r="D499" s="24">
        <v>2399214.2400000002</v>
      </c>
      <c r="E499" s="24">
        <v>4315998.37</v>
      </c>
      <c r="F499" s="25">
        <f t="shared" si="7"/>
        <v>6715212.6100000003</v>
      </c>
      <c r="G499" s="26"/>
      <c r="H499" s="26"/>
      <c r="I499" s="28"/>
      <c r="J499" s="28"/>
      <c r="K499" s="28"/>
      <c r="L499" s="28"/>
      <c r="M499" s="26"/>
      <c r="N499" s="26"/>
      <c r="O499" s="28"/>
      <c r="P499" s="28"/>
      <c r="Q499" s="28"/>
    </row>
    <row r="500" spans="1:17" ht="18">
      <c r="A500" s="22">
        <v>495</v>
      </c>
      <c r="B500" s="23" t="s">
        <v>108</v>
      </c>
      <c r="C500" s="23" t="s">
        <v>349</v>
      </c>
      <c r="D500" s="24">
        <v>2131060.85</v>
      </c>
      <c r="E500" s="24">
        <v>3833611.43</v>
      </c>
      <c r="F500" s="25">
        <f t="shared" si="7"/>
        <v>5964672.2800000003</v>
      </c>
      <c r="G500" s="26"/>
      <c r="H500" s="26"/>
      <c r="I500" s="28"/>
      <c r="J500" s="28"/>
      <c r="K500" s="28"/>
      <c r="L500" s="28"/>
      <c r="M500" s="26"/>
      <c r="N500" s="26"/>
      <c r="O500" s="28"/>
      <c r="P500" s="28"/>
      <c r="Q500" s="28"/>
    </row>
    <row r="501" spans="1:17" ht="18">
      <c r="A501" s="22">
        <v>496</v>
      </c>
      <c r="B501" s="23" t="s">
        <v>108</v>
      </c>
      <c r="C501" s="23" t="s">
        <v>351</v>
      </c>
      <c r="D501" s="24">
        <v>1783094.49</v>
      </c>
      <c r="E501" s="24">
        <v>3207647.22</v>
      </c>
      <c r="F501" s="25">
        <f t="shared" si="7"/>
        <v>4990741.71</v>
      </c>
      <c r="G501" s="26"/>
      <c r="H501" s="26"/>
      <c r="I501" s="28"/>
      <c r="J501" s="28"/>
      <c r="K501" s="28"/>
      <c r="L501" s="28"/>
      <c r="M501" s="26"/>
      <c r="N501" s="26"/>
      <c r="O501" s="28"/>
      <c r="P501" s="28"/>
      <c r="Q501" s="28"/>
    </row>
    <row r="502" spans="1:17" ht="18">
      <c r="A502" s="22">
        <v>497</v>
      </c>
      <c r="B502" s="23" t="s">
        <v>108</v>
      </c>
      <c r="C502" s="23" t="s">
        <v>353</v>
      </c>
      <c r="D502" s="24">
        <v>1775533.31</v>
      </c>
      <c r="E502" s="24">
        <v>3194045.25</v>
      </c>
      <c r="F502" s="25">
        <f t="shared" si="7"/>
        <v>4969578.5599999996</v>
      </c>
      <c r="G502" s="26"/>
      <c r="H502" s="26"/>
      <c r="I502" s="28"/>
      <c r="J502" s="28"/>
      <c r="K502" s="28"/>
      <c r="L502" s="28"/>
      <c r="M502" s="26"/>
      <c r="N502" s="26"/>
      <c r="O502" s="28"/>
      <c r="P502" s="28"/>
      <c r="Q502" s="28"/>
    </row>
    <row r="503" spans="1:17" ht="18">
      <c r="A503" s="22">
        <v>498</v>
      </c>
      <c r="B503" s="23" t="s">
        <v>108</v>
      </c>
      <c r="C503" s="23" t="s">
        <v>355</v>
      </c>
      <c r="D503" s="24">
        <v>2027363.67</v>
      </c>
      <c r="E503" s="24">
        <v>3647068.32</v>
      </c>
      <c r="F503" s="25">
        <f t="shared" si="7"/>
        <v>5674431.9900000002</v>
      </c>
      <c r="G503" s="26"/>
      <c r="H503" s="26"/>
      <c r="I503" s="28"/>
      <c r="J503" s="28"/>
      <c r="K503" s="28"/>
      <c r="L503" s="28"/>
      <c r="M503" s="26"/>
      <c r="N503" s="26"/>
      <c r="O503" s="28"/>
      <c r="P503" s="28"/>
      <c r="Q503" s="28"/>
    </row>
    <row r="504" spans="1:17" ht="18">
      <c r="A504" s="22">
        <v>499</v>
      </c>
      <c r="B504" s="23" t="s">
        <v>108</v>
      </c>
      <c r="C504" s="23" t="s">
        <v>357</v>
      </c>
      <c r="D504" s="24">
        <v>2453811.59</v>
      </c>
      <c r="E504" s="24">
        <v>4414214.7</v>
      </c>
      <c r="F504" s="25">
        <f t="shared" si="7"/>
        <v>6868026.29</v>
      </c>
      <c r="G504" s="26"/>
      <c r="H504" s="26"/>
      <c r="I504" s="28"/>
      <c r="J504" s="28"/>
      <c r="K504" s="28"/>
      <c r="L504" s="28"/>
      <c r="M504" s="26"/>
      <c r="N504" s="26"/>
      <c r="O504" s="28"/>
      <c r="P504" s="28"/>
      <c r="Q504" s="28"/>
    </row>
    <row r="505" spans="1:17" ht="18">
      <c r="A505" s="22">
        <v>500</v>
      </c>
      <c r="B505" s="23" t="s">
        <v>109</v>
      </c>
      <c r="C505" s="23" t="s">
        <v>362</v>
      </c>
      <c r="D505" s="24">
        <v>3443464.16</v>
      </c>
      <c r="E505" s="24">
        <v>6194522.1100000003</v>
      </c>
      <c r="F505" s="25">
        <f t="shared" si="7"/>
        <v>9637986.2699999996</v>
      </c>
      <c r="G505" s="26"/>
      <c r="H505" s="26"/>
      <c r="I505" s="28"/>
      <c r="J505" s="28"/>
      <c r="K505" s="28"/>
      <c r="L505" s="28"/>
      <c r="M505" s="26"/>
      <c r="N505" s="26"/>
      <c r="O505" s="28"/>
      <c r="P505" s="28"/>
      <c r="Q505" s="28"/>
    </row>
    <row r="506" spans="1:17" ht="36">
      <c r="A506" s="22">
        <v>501</v>
      </c>
      <c r="B506" s="23" t="s">
        <v>109</v>
      </c>
      <c r="C506" s="23" t="s">
        <v>364</v>
      </c>
      <c r="D506" s="24">
        <v>4426118.0599999996</v>
      </c>
      <c r="E506" s="24">
        <v>7962239.4500000002</v>
      </c>
      <c r="F506" s="25">
        <f t="shared" si="7"/>
        <v>12388357.51</v>
      </c>
      <c r="G506" s="26"/>
      <c r="H506" s="26"/>
      <c r="I506" s="28"/>
      <c r="J506" s="28"/>
      <c r="K506" s="28"/>
      <c r="L506" s="28"/>
      <c r="M506" s="26"/>
      <c r="N506" s="26"/>
      <c r="O506" s="28"/>
      <c r="P506" s="28"/>
      <c r="Q506" s="28"/>
    </row>
    <row r="507" spans="1:17" ht="18">
      <c r="A507" s="22">
        <v>502</v>
      </c>
      <c r="B507" s="23" t="s">
        <v>109</v>
      </c>
      <c r="C507" s="23" t="s">
        <v>366</v>
      </c>
      <c r="D507" s="24">
        <v>7137959.4100000001</v>
      </c>
      <c r="E507" s="24">
        <v>12840629.48</v>
      </c>
      <c r="F507" s="25">
        <f t="shared" si="7"/>
        <v>19978588.890000001</v>
      </c>
      <c r="G507" s="26"/>
      <c r="H507" s="26"/>
      <c r="I507" s="28"/>
      <c r="J507" s="28"/>
      <c r="K507" s="28"/>
      <c r="L507" s="28"/>
      <c r="M507" s="26"/>
      <c r="N507" s="26"/>
      <c r="O507" s="28"/>
      <c r="P507" s="28"/>
      <c r="Q507" s="28"/>
    </row>
    <row r="508" spans="1:17" ht="18">
      <c r="A508" s="22">
        <v>503</v>
      </c>
      <c r="B508" s="23" t="s">
        <v>109</v>
      </c>
      <c r="C508" s="23" t="s">
        <v>368</v>
      </c>
      <c r="D508" s="24">
        <v>2789825.08</v>
      </c>
      <c r="E508" s="24">
        <v>5018676.6399999997</v>
      </c>
      <c r="F508" s="25">
        <f t="shared" si="7"/>
        <v>7808501.7199999997</v>
      </c>
      <c r="G508" s="26"/>
      <c r="H508" s="26"/>
      <c r="I508" s="28"/>
      <c r="J508" s="28"/>
      <c r="K508" s="28"/>
      <c r="L508" s="28"/>
      <c r="M508" s="26"/>
      <c r="N508" s="26"/>
      <c r="O508" s="28"/>
      <c r="P508" s="28"/>
      <c r="Q508" s="28"/>
    </row>
    <row r="509" spans="1:17" ht="18">
      <c r="A509" s="22">
        <v>504</v>
      </c>
      <c r="B509" s="23" t="s">
        <v>109</v>
      </c>
      <c r="C509" s="23" t="s">
        <v>370</v>
      </c>
      <c r="D509" s="24">
        <v>2345534.46</v>
      </c>
      <c r="E509" s="24">
        <v>4219432.6399999997</v>
      </c>
      <c r="F509" s="25">
        <f t="shared" si="7"/>
        <v>6564967.0999999996</v>
      </c>
      <c r="G509" s="26"/>
      <c r="H509" s="26"/>
      <c r="I509" s="28"/>
      <c r="J509" s="28"/>
      <c r="K509" s="28"/>
      <c r="L509" s="28"/>
      <c r="M509" s="26"/>
      <c r="N509" s="26"/>
      <c r="O509" s="28"/>
      <c r="P509" s="28"/>
      <c r="Q509" s="28"/>
    </row>
    <row r="510" spans="1:17" ht="18">
      <c r="A510" s="22">
        <v>505</v>
      </c>
      <c r="B510" s="23" t="s">
        <v>109</v>
      </c>
      <c r="C510" s="23" t="s">
        <v>372</v>
      </c>
      <c r="D510" s="24">
        <v>2622220.9900000002</v>
      </c>
      <c r="E510" s="24">
        <v>4717170.03</v>
      </c>
      <c r="F510" s="25">
        <f t="shared" si="7"/>
        <v>7339391.0199999996</v>
      </c>
      <c r="G510" s="26"/>
      <c r="H510" s="26"/>
      <c r="I510" s="28"/>
      <c r="J510" s="28"/>
      <c r="K510" s="28"/>
      <c r="L510" s="28"/>
      <c r="M510" s="26"/>
      <c r="N510" s="26"/>
      <c r="O510" s="28"/>
      <c r="P510" s="28"/>
      <c r="Q510" s="28"/>
    </row>
    <row r="511" spans="1:17" ht="18">
      <c r="A511" s="22">
        <v>506</v>
      </c>
      <c r="B511" s="23" t="s">
        <v>109</v>
      </c>
      <c r="C511" s="23" t="s">
        <v>374</v>
      </c>
      <c r="D511" s="24">
        <v>2407599.4900000002</v>
      </c>
      <c r="E511" s="24">
        <v>4331082.76</v>
      </c>
      <c r="F511" s="25">
        <f t="shared" si="7"/>
        <v>6738682.25</v>
      </c>
      <c r="G511" s="26"/>
      <c r="H511" s="26"/>
      <c r="I511" s="28"/>
      <c r="J511" s="28"/>
      <c r="K511" s="28"/>
      <c r="L511" s="28"/>
      <c r="M511" s="26"/>
      <c r="N511" s="26"/>
      <c r="O511" s="28"/>
      <c r="P511" s="28"/>
      <c r="Q511" s="28"/>
    </row>
    <row r="512" spans="1:17" ht="18">
      <c r="A512" s="22">
        <v>507</v>
      </c>
      <c r="B512" s="23" t="s">
        <v>109</v>
      </c>
      <c r="C512" s="23" t="s">
        <v>376</v>
      </c>
      <c r="D512" s="24">
        <v>2904512.65</v>
      </c>
      <c r="E512" s="24">
        <v>5224990.59</v>
      </c>
      <c r="F512" s="25">
        <f t="shared" si="7"/>
        <v>8129503.2400000002</v>
      </c>
      <c r="G512" s="26"/>
      <c r="H512" s="26"/>
      <c r="I512" s="28"/>
      <c r="J512" s="28"/>
      <c r="K512" s="28"/>
      <c r="L512" s="28"/>
      <c r="M512" s="26"/>
      <c r="N512" s="26"/>
      <c r="O512" s="28"/>
      <c r="P512" s="28"/>
      <c r="Q512" s="28"/>
    </row>
    <row r="513" spans="1:17" ht="18">
      <c r="A513" s="22">
        <v>508</v>
      </c>
      <c r="B513" s="23" t="s">
        <v>109</v>
      </c>
      <c r="C513" s="23" t="s">
        <v>379</v>
      </c>
      <c r="D513" s="24">
        <v>1939449.32</v>
      </c>
      <c r="E513" s="24">
        <v>3488917.31</v>
      </c>
      <c r="F513" s="25">
        <f t="shared" si="7"/>
        <v>5428366.6299999999</v>
      </c>
      <c r="G513" s="26"/>
      <c r="H513" s="26"/>
      <c r="I513" s="28"/>
      <c r="J513" s="28"/>
      <c r="K513" s="28"/>
      <c r="L513" s="28"/>
      <c r="M513" s="26"/>
      <c r="N513" s="26"/>
      <c r="O513" s="28"/>
      <c r="P513" s="28"/>
      <c r="Q513" s="28"/>
    </row>
    <row r="514" spans="1:17" ht="18">
      <c r="A514" s="22">
        <v>509</v>
      </c>
      <c r="B514" s="23" t="s">
        <v>109</v>
      </c>
      <c r="C514" s="23" t="s">
        <v>381</v>
      </c>
      <c r="D514" s="24">
        <v>3306956.37</v>
      </c>
      <c r="E514" s="24">
        <v>5948955.29</v>
      </c>
      <c r="F514" s="25">
        <f t="shared" si="7"/>
        <v>9255911.6600000001</v>
      </c>
      <c r="G514" s="26"/>
      <c r="H514" s="26"/>
      <c r="I514" s="28"/>
      <c r="J514" s="28"/>
      <c r="K514" s="28"/>
      <c r="L514" s="28"/>
      <c r="M514" s="26"/>
      <c r="N514" s="26"/>
      <c r="O514" s="28"/>
      <c r="P514" s="28"/>
      <c r="Q514" s="28"/>
    </row>
    <row r="515" spans="1:17" ht="18">
      <c r="A515" s="22">
        <v>510</v>
      </c>
      <c r="B515" s="23" t="s">
        <v>109</v>
      </c>
      <c r="C515" s="23" t="s">
        <v>383</v>
      </c>
      <c r="D515" s="24">
        <v>2858700.18</v>
      </c>
      <c r="E515" s="24">
        <v>5142577.55</v>
      </c>
      <c r="F515" s="25">
        <f t="shared" si="7"/>
        <v>8001277.7300000004</v>
      </c>
      <c r="G515" s="26"/>
      <c r="H515" s="26"/>
      <c r="I515" s="28"/>
      <c r="J515" s="28"/>
      <c r="K515" s="28"/>
      <c r="L515" s="28"/>
      <c r="M515" s="26"/>
      <c r="N515" s="26"/>
      <c r="O515" s="28"/>
      <c r="P515" s="28"/>
      <c r="Q515" s="28"/>
    </row>
    <row r="516" spans="1:17" ht="18">
      <c r="A516" s="22">
        <v>511</v>
      </c>
      <c r="B516" s="23" t="s">
        <v>109</v>
      </c>
      <c r="C516" s="23" t="s">
        <v>385</v>
      </c>
      <c r="D516" s="24">
        <v>3930570.96</v>
      </c>
      <c r="E516" s="24">
        <v>7070789.0700000003</v>
      </c>
      <c r="F516" s="25">
        <f t="shared" si="7"/>
        <v>11001360.029999999</v>
      </c>
      <c r="G516" s="26"/>
      <c r="H516" s="26"/>
      <c r="I516" s="28"/>
      <c r="J516" s="28"/>
      <c r="K516" s="28"/>
      <c r="L516" s="28"/>
      <c r="M516" s="26"/>
      <c r="N516" s="26"/>
      <c r="O516" s="28"/>
      <c r="P516" s="28"/>
      <c r="Q516" s="28"/>
    </row>
    <row r="517" spans="1:17" ht="18">
      <c r="A517" s="22">
        <v>512</v>
      </c>
      <c r="B517" s="23" t="s">
        <v>109</v>
      </c>
      <c r="C517" s="23" t="s">
        <v>387</v>
      </c>
      <c r="D517" s="24">
        <v>4252623.8099999996</v>
      </c>
      <c r="E517" s="24">
        <v>7650136.8899999997</v>
      </c>
      <c r="F517" s="25">
        <f t="shared" si="7"/>
        <v>11902760.699999999</v>
      </c>
      <c r="G517" s="26"/>
      <c r="H517" s="26"/>
      <c r="I517" s="28"/>
      <c r="J517" s="28"/>
      <c r="K517" s="28"/>
      <c r="L517" s="28"/>
      <c r="M517" s="26"/>
      <c r="N517" s="26"/>
      <c r="O517" s="28"/>
      <c r="P517" s="28"/>
      <c r="Q517" s="28"/>
    </row>
    <row r="518" spans="1:17" ht="18">
      <c r="A518" s="22">
        <v>513</v>
      </c>
      <c r="B518" s="23" t="s">
        <v>109</v>
      </c>
      <c r="C518" s="23" t="s">
        <v>389</v>
      </c>
      <c r="D518" s="24">
        <v>2289253.15</v>
      </c>
      <c r="E518" s="24">
        <v>4118186.98</v>
      </c>
      <c r="F518" s="25">
        <f t="shared" si="7"/>
        <v>6407440.1299999999</v>
      </c>
      <c r="G518" s="26"/>
      <c r="H518" s="26"/>
      <c r="I518" s="28"/>
      <c r="J518" s="28"/>
      <c r="K518" s="28"/>
      <c r="L518" s="28"/>
      <c r="M518" s="26"/>
      <c r="N518" s="26"/>
      <c r="O518" s="28"/>
      <c r="P518" s="28"/>
      <c r="Q518" s="28"/>
    </row>
    <row r="519" spans="1:17" ht="36">
      <c r="A519" s="22">
        <v>514</v>
      </c>
      <c r="B519" s="23" t="s">
        <v>109</v>
      </c>
      <c r="C519" s="23" t="s">
        <v>391</v>
      </c>
      <c r="D519" s="24">
        <v>2762351.58</v>
      </c>
      <c r="E519" s="24">
        <v>4969253.9800000004</v>
      </c>
      <c r="F519" s="25">
        <f t="shared" ref="F519:F582" si="8">D519+E519</f>
        <v>7731605.5599999996</v>
      </c>
      <c r="G519" s="26"/>
      <c r="H519" s="26"/>
      <c r="I519" s="28"/>
      <c r="J519" s="28"/>
      <c r="K519" s="28"/>
      <c r="L519" s="28"/>
      <c r="M519" s="26"/>
      <c r="N519" s="26"/>
      <c r="O519" s="28"/>
      <c r="P519" s="28"/>
      <c r="Q519" s="28"/>
    </row>
    <row r="520" spans="1:17" ht="18">
      <c r="A520" s="22">
        <v>515</v>
      </c>
      <c r="B520" s="23" t="s">
        <v>109</v>
      </c>
      <c r="C520" s="23" t="s">
        <v>393</v>
      </c>
      <c r="D520" s="24">
        <v>4135447.86</v>
      </c>
      <c r="E520" s="24">
        <v>7439346.54</v>
      </c>
      <c r="F520" s="25">
        <f t="shared" si="8"/>
        <v>11574794.4</v>
      </c>
      <c r="G520" s="26"/>
      <c r="H520" s="26"/>
      <c r="I520" s="28"/>
      <c r="J520" s="28"/>
      <c r="K520" s="28"/>
      <c r="L520" s="28"/>
      <c r="M520" s="26"/>
      <c r="N520" s="26"/>
      <c r="O520" s="28"/>
      <c r="P520" s="28"/>
      <c r="Q520" s="28"/>
    </row>
    <row r="521" spans="1:17" ht="18">
      <c r="A521" s="22">
        <v>516</v>
      </c>
      <c r="B521" s="23" t="s">
        <v>109</v>
      </c>
      <c r="C521" s="23" t="s">
        <v>395</v>
      </c>
      <c r="D521" s="24">
        <v>4012703.65</v>
      </c>
      <c r="E521" s="24">
        <v>7218539.3300000001</v>
      </c>
      <c r="F521" s="25">
        <f t="shared" si="8"/>
        <v>11231242.98</v>
      </c>
      <c r="G521" s="26"/>
      <c r="H521" s="26"/>
      <c r="I521" s="28"/>
      <c r="J521" s="28"/>
      <c r="K521" s="28"/>
      <c r="L521" s="28"/>
      <c r="M521" s="26"/>
      <c r="N521" s="26"/>
      <c r="O521" s="28"/>
      <c r="P521" s="28"/>
      <c r="Q521" s="28"/>
    </row>
    <row r="522" spans="1:17" ht="18">
      <c r="A522" s="22">
        <v>517</v>
      </c>
      <c r="B522" s="23" t="s">
        <v>109</v>
      </c>
      <c r="C522" s="23" t="s">
        <v>397</v>
      </c>
      <c r="D522" s="24">
        <v>4097306</v>
      </c>
      <c r="E522" s="24">
        <v>7370732.3300000001</v>
      </c>
      <c r="F522" s="25">
        <f t="shared" si="8"/>
        <v>11468038.33</v>
      </c>
      <c r="G522" s="26"/>
      <c r="H522" s="26"/>
      <c r="I522" s="28"/>
      <c r="J522" s="28"/>
      <c r="K522" s="28"/>
      <c r="L522" s="28"/>
      <c r="M522" s="26"/>
      <c r="N522" s="26"/>
      <c r="O522" s="28"/>
      <c r="P522" s="28"/>
      <c r="Q522" s="28"/>
    </row>
    <row r="523" spans="1:17" ht="18">
      <c r="A523" s="22">
        <v>518</v>
      </c>
      <c r="B523" s="23" t="s">
        <v>109</v>
      </c>
      <c r="C523" s="23" t="s">
        <v>399</v>
      </c>
      <c r="D523" s="24">
        <v>3168883.07</v>
      </c>
      <c r="E523" s="24">
        <v>5700572.2599999998</v>
      </c>
      <c r="F523" s="25">
        <f t="shared" si="8"/>
        <v>8869455.3300000001</v>
      </c>
      <c r="G523" s="26"/>
      <c r="H523" s="26"/>
      <c r="I523" s="28"/>
      <c r="J523" s="28"/>
      <c r="K523" s="28"/>
      <c r="L523" s="28"/>
      <c r="M523" s="26"/>
      <c r="N523" s="26"/>
      <c r="O523" s="28"/>
      <c r="P523" s="28"/>
      <c r="Q523" s="28"/>
    </row>
    <row r="524" spans="1:17" ht="18">
      <c r="A524" s="22">
        <v>519</v>
      </c>
      <c r="B524" s="23" t="s">
        <v>109</v>
      </c>
      <c r="C524" s="23" t="s">
        <v>401</v>
      </c>
      <c r="D524" s="24">
        <v>3624799.02</v>
      </c>
      <c r="E524" s="24">
        <v>6520729.2999999998</v>
      </c>
      <c r="F524" s="25">
        <f t="shared" si="8"/>
        <v>10145528.32</v>
      </c>
      <c r="G524" s="26"/>
      <c r="H524" s="26"/>
      <c r="I524" s="28"/>
      <c r="J524" s="28"/>
      <c r="K524" s="28"/>
      <c r="L524" s="28"/>
      <c r="M524" s="26"/>
      <c r="N524" s="26"/>
      <c r="O524" s="28"/>
      <c r="P524" s="28"/>
      <c r="Q524" s="28"/>
    </row>
    <row r="525" spans="1:17" ht="36">
      <c r="A525" s="22">
        <v>520</v>
      </c>
      <c r="B525" s="23" t="s">
        <v>110</v>
      </c>
      <c r="C525" s="23" t="s">
        <v>405</v>
      </c>
      <c r="D525" s="24">
        <v>2371710.6800000002</v>
      </c>
      <c r="E525" s="24">
        <v>4266521.5999999996</v>
      </c>
      <c r="F525" s="25">
        <f t="shared" si="8"/>
        <v>6638232.2800000003</v>
      </c>
      <c r="G525" s="26"/>
      <c r="H525" s="26"/>
      <c r="I525" s="28"/>
      <c r="J525" s="28"/>
      <c r="K525" s="28"/>
      <c r="L525" s="28"/>
      <c r="M525" s="26"/>
      <c r="N525" s="26"/>
      <c r="O525" s="28"/>
      <c r="P525" s="28"/>
      <c r="Q525" s="28"/>
    </row>
    <row r="526" spans="1:17" ht="36">
      <c r="A526" s="22">
        <v>521</v>
      </c>
      <c r="B526" s="23" t="s">
        <v>110</v>
      </c>
      <c r="C526" s="23" t="s">
        <v>407</v>
      </c>
      <c r="D526" s="24">
        <v>2673346.17</v>
      </c>
      <c r="E526" s="24">
        <v>4809140.21</v>
      </c>
      <c r="F526" s="25">
        <f t="shared" si="8"/>
        <v>7482486.3799999999</v>
      </c>
      <c r="G526" s="26"/>
      <c r="H526" s="26"/>
      <c r="I526" s="28"/>
      <c r="J526" s="28"/>
      <c r="K526" s="28"/>
      <c r="L526" s="28"/>
      <c r="M526" s="26"/>
      <c r="N526" s="26"/>
      <c r="O526" s="28"/>
      <c r="P526" s="28"/>
      <c r="Q526" s="28"/>
    </row>
    <row r="527" spans="1:17" ht="36">
      <c r="A527" s="22">
        <v>522</v>
      </c>
      <c r="B527" s="23" t="s">
        <v>110</v>
      </c>
      <c r="C527" s="23" t="s">
        <v>409</v>
      </c>
      <c r="D527" s="24">
        <v>2737269.17</v>
      </c>
      <c r="E527" s="24">
        <v>4924132.67</v>
      </c>
      <c r="F527" s="25">
        <f t="shared" si="8"/>
        <v>7661401.8399999999</v>
      </c>
      <c r="G527" s="26"/>
      <c r="H527" s="26"/>
      <c r="I527" s="28"/>
      <c r="J527" s="28"/>
      <c r="K527" s="28"/>
      <c r="L527" s="28"/>
      <c r="M527" s="26"/>
      <c r="N527" s="26"/>
      <c r="O527" s="28"/>
      <c r="P527" s="28"/>
      <c r="Q527" s="28"/>
    </row>
    <row r="528" spans="1:17" ht="36">
      <c r="A528" s="22">
        <v>523</v>
      </c>
      <c r="B528" s="23" t="s">
        <v>110</v>
      </c>
      <c r="C528" s="23" t="s">
        <v>411</v>
      </c>
      <c r="D528" s="24">
        <v>3229604.59</v>
      </c>
      <c r="E528" s="24">
        <v>5809805.5099999998</v>
      </c>
      <c r="F528" s="25">
        <f t="shared" si="8"/>
        <v>9039410.0999999996</v>
      </c>
      <c r="G528" s="26"/>
      <c r="H528" s="26"/>
      <c r="I528" s="28"/>
      <c r="J528" s="28"/>
      <c r="K528" s="28"/>
      <c r="L528" s="28"/>
      <c r="M528" s="26"/>
      <c r="N528" s="26"/>
      <c r="O528" s="28"/>
      <c r="P528" s="28"/>
      <c r="Q528" s="28"/>
    </row>
    <row r="529" spans="1:17" ht="36">
      <c r="A529" s="22">
        <v>524</v>
      </c>
      <c r="B529" s="23" t="s">
        <v>110</v>
      </c>
      <c r="C529" s="23" t="s">
        <v>413</v>
      </c>
      <c r="D529" s="24">
        <v>2306076.66</v>
      </c>
      <c r="E529" s="24">
        <v>4148451.16</v>
      </c>
      <c r="F529" s="25">
        <f t="shared" si="8"/>
        <v>6454527.8200000003</v>
      </c>
      <c r="G529" s="26"/>
      <c r="H529" s="26"/>
      <c r="I529" s="28"/>
      <c r="J529" s="28"/>
      <c r="K529" s="28"/>
      <c r="L529" s="28"/>
      <c r="M529" s="26"/>
      <c r="N529" s="26"/>
      <c r="O529" s="28"/>
      <c r="P529" s="28"/>
      <c r="Q529" s="28"/>
    </row>
    <row r="530" spans="1:17" ht="36">
      <c r="A530" s="22">
        <v>525</v>
      </c>
      <c r="B530" s="23" t="s">
        <v>110</v>
      </c>
      <c r="C530" s="23" t="s">
        <v>415</v>
      </c>
      <c r="D530" s="24">
        <v>2168483.0099999998</v>
      </c>
      <c r="E530" s="24">
        <v>3900930.96</v>
      </c>
      <c r="F530" s="25">
        <f t="shared" si="8"/>
        <v>6069413.9699999997</v>
      </c>
      <c r="G530" s="26"/>
      <c r="H530" s="26"/>
      <c r="I530" s="28"/>
      <c r="J530" s="28"/>
      <c r="K530" s="28"/>
      <c r="L530" s="28"/>
      <c r="M530" s="26"/>
      <c r="N530" s="26"/>
      <c r="O530" s="28"/>
      <c r="P530" s="28"/>
      <c r="Q530" s="28"/>
    </row>
    <row r="531" spans="1:17" ht="36">
      <c r="A531" s="22">
        <v>526</v>
      </c>
      <c r="B531" s="23" t="s">
        <v>110</v>
      </c>
      <c r="C531" s="23" t="s">
        <v>417</v>
      </c>
      <c r="D531" s="24">
        <v>2477686.61</v>
      </c>
      <c r="E531" s="24">
        <v>4457163.99</v>
      </c>
      <c r="F531" s="25">
        <f t="shared" si="8"/>
        <v>6934850.5999999996</v>
      </c>
      <c r="G531" s="26"/>
      <c r="H531" s="26"/>
      <c r="I531" s="28"/>
      <c r="J531" s="28"/>
      <c r="K531" s="28"/>
      <c r="L531" s="28"/>
      <c r="M531" s="26"/>
      <c r="N531" s="26"/>
      <c r="O531" s="28"/>
      <c r="P531" s="28"/>
      <c r="Q531" s="28"/>
    </row>
    <row r="532" spans="1:17" ht="36">
      <c r="A532" s="22">
        <v>527</v>
      </c>
      <c r="B532" s="23" t="s">
        <v>110</v>
      </c>
      <c r="C532" s="23" t="s">
        <v>419</v>
      </c>
      <c r="D532" s="24">
        <v>3876982.06</v>
      </c>
      <c r="E532" s="24">
        <v>6974386.8300000001</v>
      </c>
      <c r="F532" s="25">
        <f t="shared" si="8"/>
        <v>10851368.890000001</v>
      </c>
      <c r="G532" s="26"/>
      <c r="H532" s="26"/>
      <c r="I532" s="28"/>
      <c r="J532" s="28"/>
      <c r="K532" s="28"/>
      <c r="L532" s="28"/>
      <c r="M532" s="26"/>
      <c r="N532" s="26"/>
      <c r="O532" s="28"/>
      <c r="P532" s="28"/>
      <c r="Q532" s="28"/>
    </row>
    <row r="533" spans="1:17" ht="36">
      <c r="A533" s="22">
        <v>528</v>
      </c>
      <c r="B533" s="23" t="s">
        <v>110</v>
      </c>
      <c r="C533" s="23" t="s">
        <v>421</v>
      </c>
      <c r="D533" s="24">
        <v>3592971.99</v>
      </c>
      <c r="E533" s="24">
        <v>6463474.9800000004</v>
      </c>
      <c r="F533" s="25">
        <f t="shared" si="8"/>
        <v>10056446.970000001</v>
      </c>
      <c r="G533" s="26"/>
      <c r="H533" s="26"/>
      <c r="I533" s="28"/>
      <c r="J533" s="28"/>
      <c r="K533" s="28"/>
      <c r="L533" s="28"/>
      <c r="M533" s="26"/>
      <c r="N533" s="26"/>
      <c r="O533" s="28"/>
      <c r="P533" s="28"/>
      <c r="Q533" s="28"/>
    </row>
    <row r="534" spans="1:17" ht="36">
      <c r="A534" s="22">
        <v>529</v>
      </c>
      <c r="B534" s="23" t="s">
        <v>110</v>
      </c>
      <c r="C534" s="23" t="s">
        <v>423</v>
      </c>
      <c r="D534" s="24">
        <v>2748568.87</v>
      </c>
      <c r="E534" s="24">
        <v>4944459.95</v>
      </c>
      <c r="F534" s="25">
        <f t="shared" si="8"/>
        <v>7693028.8200000003</v>
      </c>
      <c r="G534" s="26"/>
      <c r="H534" s="26"/>
      <c r="I534" s="28"/>
      <c r="J534" s="28"/>
      <c r="K534" s="28"/>
      <c r="L534" s="28"/>
      <c r="M534" s="26"/>
      <c r="N534" s="26"/>
      <c r="O534" s="28"/>
      <c r="P534" s="28"/>
      <c r="Q534" s="28"/>
    </row>
    <row r="535" spans="1:17" ht="36">
      <c r="A535" s="22">
        <v>530</v>
      </c>
      <c r="B535" s="23" t="s">
        <v>110</v>
      </c>
      <c r="C535" s="23" t="s">
        <v>404</v>
      </c>
      <c r="D535" s="24">
        <v>2630911.56</v>
      </c>
      <c r="E535" s="24">
        <v>4732803.67</v>
      </c>
      <c r="F535" s="25">
        <f t="shared" si="8"/>
        <v>7363715.2300000004</v>
      </c>
      <c r="G535" s="26"/>
      <c r="H535" s="26"/>
      <c r="I535" s="28"/>
      <c r="J535" s="28"/>
      <c r="K535" s="28"/>
      <c r="L535" s="28"/>
      <c r="M535" s="26"/>
      <c r="N535" s="26"/>
      <c r="O535" s="28"/>
      <c r="P535" s="28"/>
      <c r="Q535" s="28"/>
    </row>
    <row r="536" spans="1:17" ht="36">
      <c r="A536" s="22">
        <v>531</v>
      </c>
      <c r="B536" s="23" t="s">
        <v>110</v>
      </c>
      <c r="C536" s="23" t="s">
        <v>427</v>
      </c>
      <c r="D536" s="24">
        <v>2795154.7</v>
      </c>
      <c r="E536" s="24">
        <v>5028264.2</v>
      </c>
      <c r="F536" s="25">
        <f t="shared" si="8"/>
        <v>7823418.9000000004</v>
      </c>
      <c r="G536" s="26"/>
      <c r="H536" s="26"/>
      <c r="I536" s="28"/>
      <c r="J536" s="28"/>
      <c r="K536" s="28"/>
      <c r="L536" s="28"/>
      <c r="M536" s="26"/>
      <c r="N536" s="26"/>
      <c r="O536" s="28"/>
      <c r="P536" s="28"/>
      <c r="Q536" s="28"/>
    </row>
    <row r="537" spans="1:17" ht="36">
      <c r="A537" s="22">
        <v>532</v>
      </c>
      <c r="B537" s="23" t="s">
        <v>110</v>
      </c>
      <c r="C537" s="23" t="s">
        <v>429</v>
      </c>
      <c r="D537" s="24">
        <v>2243852.9700000002</v>
      </c>
      <c r="E537" s="24">
        <v>4036515.61</v>
      </c>
      <c r="F537" s="25">
        <f t="shared" si="8"/>
        <v>6280368.5800000001</v>
      </c>
      <c r="G537" s="26"/>
      <c r="H537" s="26"/>
      <c r="I537" s="28"/>
      <c r="J537" s="28"/>
      <c r="K537" s="28"/>
      <c r="L537" s="28"/>
      <c r="M537" s="26"/>
      <c r="N537" s="26"/>
      <c r="O537" s="28"/>
      <c r="P537" s="28"/>
      <c r="Q537" s="28"/>
    </row>
    <row r="538" spans="1:17" ht="18">
      <c r="A538" s="22">
        <v>533</v>
      </c>
      <c r="B538" s="23" t="s">
        <v>111</v>
      </c>
      <c r="C538" s="23" t="s">
        <v>433</v>
      </c>
      <c r="D538" s="24">
        <v>2467283.1</v>
      </c>
      <c r="E538" s="24">
        <v>4438448.8899999997</v>
      </c>
      <c r="F538" s="25">
        <f t="shared" si="8"/>
        <v>6905731.9900000002</v>
      </c>
      <c r="G538" s="26"/>
      <c r="H538" s="26"/>
      <c r="I538" s="28"/>
      <c r="J538" s="28"/>
      <c r="K538" s="28"/>
      <c r="L538" s="28"/>
      <c r="M538" s="26"/>
      <c r="N538" s="26"/>
      <c r="O538" s="28"/>
      <c r="P538" s="28"/>
      <c r="Q538" s="28"/>
    </row>
    <row r="539" spans="1:17" ht="18">
      <c r="A539" s="22">
        <v>534</v>
      </c>
      <c r="B539" s="23" t="s">
        <v>111</v>
      </c>
      <c r="C539" s="23" t="s">
        <v>435</v>
      </c>
      <c r="D539" s="24">
        <v>2118330.77</v>
      </c>
      <c r="E539" s="24">
        <v>3810711</v>
      </c>
      <c r="F539" s="25">
        <f t="shared" si="8"/>
        <v>5929041.7699999996</v>
      </c>
      <c r="G539" s="26"/>
      <c r="H539" s="26"/>
      <c r="I539" s="28"/>
      <c r="J539" s="28"/>
      <c r="K539" s="28"/>
      <c r="L539" s="28"/>
      <c r="M539" s="26"/>
      <c r="N539" s="26"/>
      <c r="O539" s="28"/>
      <c r="P539" s="28"/>
      <c r="Q539" s="28"/>
    </row>
    <row r="540" spans="1:17" ht="18">
      <c r="A540" s="22">
        <v>535</v>
      </c>
      <c r="B540" s="23" t="s">
        <v>111</v>
      </c>
      <c r="C540" s="23" t="s">
        <v>437</v>
      </c>
      <c r="D540" s="24">
        <v>2425928.5</v>
      </c>
      <c r="E540" s="24">
        <v>4364055.22</v>
      </c>
      <c r="F540" s="25">
        <f t="shared" si="8"/>
        <v>6789983.7199999997</v>
      </c>
      <c r="G540" s="26"/>
      <c r="H540" s="26"/>
      <c r="I540" s="28"/>
      <c r="J540" s="28"/>
      <c r="K540" s="28"/>
      <c r="L540" s="28"/>
      <c r="M540" s="26"/>
      <c r="N540" s="26"/>
      <c r="O540" s="28"/>
      <c r="P540" s="28"/>
      <c r="Q540" s="28"/>
    </row>
    <row r="541" spans="1:17" ht="18">
      <c r="A541" s="22">
        <v>536</v>
      </c>
      <c r="B541" s="23" t="s">
        <v>111</v>
      </c>
      <c r="C541" s="23" t="s">
        <v>439</v>
      </c>
      <c r="D541" s="24">
        <v>3949055.24</v>
      </c>
      <c r="E541" s="24">
        <v>7104040.8300000001</v>
      </c>
      <c r="F541" s="25">
        <f t="shared" si="8"/>
        <v>11053096.07</v>
      </c>
      <c r="G541" s="26"/>
      <c r="H541" s="26"/>
      <c r="I541" s="28"/>
      <c r="J541" s="28"/>
      <c r="K541" s="28"/>
      <c r="L541" s="28"/>
      <c r="M541" s="26"/>
      <c r="N541" s="26"/>
      <c r="O541" s="28"/>
      <c r="P541" s="28"/>
      <c r="Q541" s="28"/>
    </row>
    <row r="542" spans="1:17" ht="18">
      <c r="A542" s="22">
        <v>537</v>
      </c>
      <c r="B542" s="23" t="s">
        <v>111</v>
      </c>
      <c r="C542" s="23" t="s">
        <v>441</v>
      </c>
      <c r="D542" s="24">
        <v>2370442.9300000002</v>
      </c>
      <c r="E542" s="24">
        <v>4264241.0199999996</v>
      </c>
      <c r="F542" s="25">
        <f t="shared" si="8"/>
        <v>6634683.9500000002</v>
      </c>
      <c r="G542" s="26"/>
      <c r="H542" s="26"/>
      <c r="I542" s="28"/>
      <c r="J542" s="28"/>
      <c r="K542" s="28"/>
      <c r="L542" s="28"/>
      <c r="M542" s="26"/>
      <c r="N542" s="26"/>
      <c r="O542" s="28"/>
      <c r="P542" s="28"/>
      <c r="Q542" s="28"/>
    </row>
    <row r="543" spans="1:17" ht="18">
      <c r="A543" s="22">
        <v>538</v>
      </c>
      <c r="B543" s="23" t="s">
        <v>111</v>
      </c>
      <c r="C543" s="23" t="s">
        <v>443</v>
      </c>
      <c r="D543" s="24">
        <v>2496578.7999999998</v>
      </c>
      <c r="E543" s="24">
        <v>4491149.5599999996</v>
      </c>
      <c r="F543" s="25">
        <f t="shared" si="8"/>
        <v>6987728.3600000003</v>
      </c>
      <c r="G543" s="26"/>
      <c r="H543" s="26"/>
      <c r="I543" s="28"/>
      <c r="J543" s="28"/>
      <c r="K543" s="28"/>
      <c r="L543" s="28"/>
      <c r="M543" s="26"/>
      <c r="N543" s="26"/>
      <c r="O543" s="28"/>
      <c r="P543" s="28"/>
      <c r="Q543" s="28"/>
    </row>
    <row r="544" spans="1:17" ht="18">
      <c r="A544" s="22">
        <v>539</v>
      </c>
      <c r="B544" s="23" t="s">
        <v>111</v>
      </c>
      <c r="C544" s="23" t="s">
        <v>445</v>
      </c>
      <c r="D544" s="24">
        <v>2364728.6800000002</v>
      </c>
      <c r="E544" s="24">
        <v>4253961.53</v>
      </c>
      <c r="F544" s="25">
        <f t="shared" si="8"/>
        <v>6618690.21</v>
      </c>
      <c r="G544" s="26"/>
      <c r="H544" s="26"/>
      <c r="I544" s="28"/>
      <c r="J544" s="28"/>
      <c r="K544" s="28"/>
      <c r="L544" s="28"/>
      <c r="M544" s="26"/>
      <c r="N544" s="26"/>
      <c r="O544" s="28"/>
      <c r="P544" s="28"/>
      <c r="Q544" s="28"/>
    </row>
    <row r="545" spans="1:17" ht="18">
      <c r="A545" s="22">
        <v>540</v>
      </c>
      <c r="B545" s="23" t="s">
        <v>111</v>
      </c>
      <c r="C545" s="23" t="s">
        <v>447</v>
      </c>
      <c r="D545" s="24">
        <v>2113034.9</v>
      </c>
      <c r="E545" s="24">
        <v>3801184.15</v>
      </c>
      <c r="F545" s="25">
        <f t="shared" si="8"/>
        <v>5914219.0499999998</v>
      </c>
      <c r="G545" s="26"/>
      <c r="H545" s="26"/>
      <c r="I545" s="28"/>
      <c r="J545" s="28"/>
      <c r="K545" s="28"/>
      <c r="L545" s="28"/>
      <c r="M545" s="26"/>
      <c r="N545" s="26"/>
      <c r="O545" s="28"/>
      <c r="P545" s="28"/>
      <c r="Q545" s="28"/>
    </row>
    <row r="546" spans="1:17" ht="18">
      <c r="A546" s="22">
        <v>541</v>
      </c>
      <c r="B546" s="23" t="s">
        <v>111</v>
      </c>
      <c r="C546" s="23" t="s">
        <v>449</v>
      </c>
      <c r="D546" s="24">
        <v>2280086.29</v>
      </c>
      <c r="E546" s="24">
        <v>4101696.52</v>
      </c>
      <c r="F546" s="25">
        <f t="shared" si="8"/>
        <v>6381782.8099999996</v>
      </c>
      <c r="G546" s="26"/>
      <c r="H546" s="26"/>
      <c r="I546" s="28"/>
      <c r="J546" s="28"/>
      <c r="K546" s="28"/>
      <c r="L546" s="28"/>
      <c r="M546" s="26"/>
      <c r="N546" s="26"/>
      <c r="O546" s="28"/>
      <c r="P546" s="28"/>
      <c r="Q546" s="28"/>
    </row>
    <row r="547" spans="1:17" ht="18">
      <c r="A547" s="22">
        <v>542</v>
      </c>
      <c r="B547" s="23" t="s">
        <v>111</v>
      </c>
      <c r="C547" s="23" t="s">
        <v>451</v>
      </c>
      <c r="D547" s="24">
        <v>2511015.5</v>
      </c>
      <c r="E547" s="24">
        <v>4517120.07</v>
      </c>
      <c r="F547" s="25">
        <f t="shared" si="8"/>
        <v>7028135.5700000003</v>
      </c>
      <c r="G547" s="26"/>
      <c r="H547" s="26"/>
      <c r="I547" s="28"/>
      <c r="J547" s="28"/>
      <c r="K547" s="28"/>
      <c r="L547" s="28"/>
      <c r="M547" s="26"/>
      <c r="N547" s="26"/>
      <c r="O547" s="28"/>
      <c r="P547" s="28"/>
      <c r="Q547" s="28"/>
    </row>
    <row r="548" spans="1:17" ht="18">
      <c r="A548" s="22">
        <v>543</v>
      </c>
      <c r="B548" s="23" t="s">
        <v>111</v>
      </c>
      <c r="C548" s="23" t="s">
        <v>453</v>
      </c>
      <c r="D548" s="24">
        <v>2452746.65</v>
      </c>
      <c r="E548" s="24">
        <v>4412298.97</v>
      </c>
      <c r="F548" s="25">
        <f t="shared" si="8"/>
        <v>6865045.6200000001</v>
      </c>
      <c r="G548" s="26"/>
      <c r="H548" s="26"/>
      <c r="I548" s="28"/>
      <c r="J548" s="28"/>
      <c r="K548" s="28"/>
      <c r="L548" s="28"/>
      <c r="M548" s="26"/>
      <c r="N548" s="26"/>
      <c r="O548" s="28"/>
      <c r="P548" s="28"/>
      <c r="Q548" s="28"/>
    </row>
    <row r="549" spans="1:17" ht="18">
      <c r="A549" s="22">
        <v>544</v>
      </c>
      <c r="B549" s="23" t="s">
        <v>111</v>
      </c>
      <c r="C549" s="23" t="s">
        <v>455</v>
      </c>
      <c r="D549" s="24">
        <v>2854067.09</v>
      </c>
      <c r="E549" s="24">
        <v>5134242.97</v>
      </c>
      <c r="F549" s="25">
        <f t="shared" si="8"/>
        <v>7988310.0599999996</v>
      </c>
      <c r="G549" s="26"/>
      <c r="H549" s="26"/>
      <c r="I549" s="28"/>
      <c r="J549" s="28"/>
      <c r="K549" s="28"/>
      <c r="L549" s="28"/>
      <c r="M549" s="26"/>
      <c r="N549" s="26"/>
      <c r="O549" s="28"/>
      <c r="P549" s="28"/>
      <c r="Q549" s="28"/>
    </row>
    <row r="550" spans="1:17" ht="18">
      <c r="A550" s="22">
        <v>545</v>
      </c>
      <c r="B550" s="23" t="s">
        <v>111</v>
      </c>
      <c r="C550" s="23" t="s">
        <v>457</v>
      </c>
      <c r="D550" s="24">
        <v>2923623.74</v>
      </c>
      <c r="E550" s="24">
        <v>5259369.93</v>
      </c>
      <c r="F550" s="25">
        <f t="shared" si="8"/>
        <v>8182993.6699999999</v>
      </c>
      <c r="G550" s="26"/>
      <c r="H550" s="26"/>
      <c r="I550" s="28"/>
      <c r="J550" s="28"/>
      <c r="K550" s="28"/>
      <c r="L550" s="28"/>
      <c r="M550" s="26"/>
      <c r="N550" s="26"/>
      <c r="O550" s="28"/>
      <c r="P550" s="28"/>
      <c r="Q550" s="28"/>
    </row>
    <row r="551" spans="1:17" ht="18">
      <c r="A551" s="22">
        <v>546</v>
      </c>
      <c r="B551" s="23" t="s">
        <v>111</v>
      </c>
      <c r="C551" s="23" t="s">
        <v>459</v>
      </c>
      <c r="D551" s="24">
        <v>3237227.4</v>
      </c>
      <c r="E551" s="24">
        <v>5823518.3499999996</v>
      </c>
      <c r="F551" s="25">
        <f t="shared" si="8"/>
        <v>9060745.75</v>
      </c>
      <c r="G551" s="26"/>
      <c r="H551" s="26"/>
      <c r="I551" s="28"/>
      <c r="J551" s="28"/>
      <c r="K551" s="28"/>
      <c r="L551" s="28"/>
      <c r="M551" s="26"/>
      <c r="N551" s="26"/>
      <c r="O551" s="28"/>
      <c r="P551" s="28"/>
      <c r="Q551" s="28"/>
    </row>
    <row r="552" spans="1:17" ht="18">
      <c r="A552" s="22">
        <v>547</v>
      </c>
      <c r="B552" s="23" t="s">
        <v>111</v>
      </c>
      <c r="C552" s="23" t="s">
        <v>461</v>
      </c>
      <c r="D552" s="24">
        <v>3819727.06</v>
      </c>
      <c r="E552" s="24">
        <v>6871389.5700000003</v>
      </c>
      <c r="F552" s="25">
        <f t="shared" si="8"/>
        <v>10691116.630000001</v>
      </c>
      <c r="G552" s="26"/>
      <c r="H552" s="26"/>
      <c r="I552" s="28"/>
      <c r="J552" s="28"/>
      <c r="K552" s="28"/>
      <c r="L552" s="28"/>
      <c r="M552" s="26"/>
      <c r="N552" s="26"/>
      <c r="O552" s="28"/>
      <c r="P552" s="28"/>
      <c r="Q552" s="28"/>
    </row>
    <row r="553" spans="1:17" ht="18">
      <c r="A553" s="22">
        <v>548</v>
      </c>
      <c r="B553" s="23" t="s">
        <v>111</v>
      </c>
      <c r="C553" s="23" t="s">
        <v>463</v>
      </c>
      <c r="D553" s="24">
        <v>2419156.16</v>
      </c>
      <c r="E553" s="24">
        <v>4351872.3099999996</v>
      </c>
      <c r="F553" s="25">
        <f t="shared" si="8"/>
        <v>6771028.4699999997</v>
      </c>
      <c r="G553" s="26"/>
      <c r="H553" s="26"/>
      <c r="I553" s="28"/>
      <c r="J553" s="28"/>
      <c r="K553" s="28"/>
      <c r="L553" s="28"/>
      <c r="M553" s="26"/>
      <c r="N553" s="26"/>
      <c r="O553" s="28"/>
      <c r="P553" s="28"/>
      <c r="Q553" s="28"/>
    </row>
    <row r="554" spans="1:17" ht="18">
      <c r="A554" s="22">
        <v>549</v>
      </c>
      <c r="B554" s="23" t="s">
        <v>111</v>
      </c>
      <c r="C554" s="23" t="s">
        <v>465</v>
      </c>
      <c r="D554" s="24">
        <v>3283522.81</v>
      </c>
      <c r="E554" s="24">
        <v>5906800.1500000004</v>
      </c>
      <c r="F554" s="25">
        <f t="shared" si="8"/>
        <v>9190322.9600000009</v>
      </c>
      <c r="G554" s="26"/>
      <c r="H554" s="26"/>
      <c r="I554" s="28"/>
      <c r="J554" s="28"/>
      <c r="K554" s="28"/>
      <c r="L554" s="28"/>
      <c r="M554" s="26"/>
      <c r="N554" s="26"/>
      <c r="O554" s="28"/>
      <c r="P554" s="28"/>
      <c r="Q554" s="28"/>
    </row>
    <row r="555" spans="1:17" ht="18">
      <c r="A555" s="22">
        <v>550</v>
      </c>
      <c r="B555" s="23" t="s">
        <v>111</v>
      </c>
      <c r="C555" s="23" t="s">
        <v>467</v>
      </c>
      <c r="D555" s="24">
        <v>2217949.11</v>
      </c>
      <c r="E555" s="24">
        <v>3989916.59</v>
      </c>
      <c r="F555" s="25">
        <f t="shared" si="8"/>
        <v>6207865.7000000002</v>
      </c>
      <c r="G555" s="26"/>
      <c r="H555" s="26"/>
      <c r="I555" s="28"/>
      <c r="J555" s="28"/>
      <c r="K555" s="28"/>
      <c r="L555" s="28"/>
      <c r="M555" s="26"/>
      <c r="N555" s="26"/>
      <c r="O555" s="28"/>
      <c r="P555" s="28"/>
      <c r="Q555" s="28"/>
    </row>
    <row r="556" spans="1:17" ht="18">
      <c r="A556" s="22">
        <v>551</v>
      </c>
      <c r="B556" s="23" t="s">
        <v>111</v>
      </c>
      <c r="C556" s="23" t="s">
        <v>469</v>
      </c>
      <c r="D556" s="24">
        <v>2552603.9700000002</v>
      </c>
      <c r="E556" s="24">
        <v>4591934.45</v>
      </c>
      <c r="F556" s="25">
        <f t="shared" si="8"/>
        <v>7144538.4199999999</v>
      </c>
      <c r="G556" s="26"/>
      <c r="H556" s="26"/>
      <c r="I556" s="28"/>
      <c r="J556" s="28"/>
      <c r="K556" s="28"/>
      <c r="L556" s="28"/>
      <c r="M556" s="26"/>
      <c r="N556" s="26"/>
      <c r="O556" s="28"/>
      <c r="P556" s="28"/>
      <c r="Q556" s="28"/>
    </row>
    <row r="557" spans="1:17" ht="18">
      <c r="A557" s="22">
        <v>552</v>
      </c>
      <c r="B557" s="23" t="s">
        <v>111</v>
      </c>
      <c r="C557" s="23" t="s">
        <v>471</v>
      </c>
      <c r="D557" s="24">
        <v>2944142.8</v>
      </c>
      <c r="E557" s="24">
        <v>5296282.13</v>
      </c>
      <c r="F557" s="25">
        <f t="shared" si="8"/>
        <v>8240424.9299999997</v>
      </c>
      <c r="G557" s="26"/>
      <c r="H557" s="26"/>
      <c r="I557" s="28"/>
      <c r="J557" s="28"/>
      <c r="K557" s="28"/>
      <c r="L557" s="28"/>
      <c r="M557" s="26"/>
      <c r="N557" s="26"/>
      <c r="O557" s="28"/>
      <c r="P557" s="28"/>
      <c r="Q557" s="28"/>
    </row>
    <row r="558" spans="1:17" ht="18">
      <c r="A558" s="22">
        <v>553</v>
      </c>
      <c r="B558" s="23" t="s">
        <v>111</v>
      </c>
      <c r="C558" s="23" t="s">
        <v>473</v>
      </c>
      <c r="D558" s="24">
        <v>2769644.94</v>
      </c>
      <c r="E558" s="24">
        <v>4982374.1399999997</v>
      </c>
      <c r="F558" s="25">
        <f t="shared" si="8"/>
        <v>7752019.0800000001</v>
      </c>
      <c r="G558" s="26"/>
      <c r="H558" s="26"/>
      <c r="I558" s="28"/>
      <c r="J558" s="28"/>
      <c r="K558" s="28"/>
      <c r="L558" s="28"/>
      <c r="M558" s="26"/>
      <c r="N558" s="26"/>
      <c r="O558" s="28"/>
      <c r="P558" s="28"/>
      <c r="Q558" s="28"/>
    </row>
    <row r="559" spans="1:17" ht="18">
      <c r="A559" s="22">
        <v>554</v>
      </c>
      <c r="B559" s="23" t="s">
        <v>111</v>
      </c>
      <c r="C559" s="23" t="s">
        <v>475</v>
      </c>
      <c r="D559" s="24">
        <v>3274144.67</v>
      </c>
      <c r="E559" s="24">
        <v>5889929.6299999999</v>
      </c>
      <c r="F559" s="25">
        <f t="shared" si="8"/>
        <v>9164074.3000000007</v>
      </c>
      <c r="G559" s="26"/>
      <c r="H559" s="26"/>
      <c r="I559" s="28"/>
      <c r="J559" s="28"/>
      <c r="K559" s="28"/>
      <c r="L559" s="28"/>
      <c r="M559" s="26"/>
      <c r="N559" s="26"/>
      <c r="O559" s="28"/>
      <c r="P559" s="28"/>
      <c r="Q559" s="28"/>
    </row>
    <row r="560" spans="1:17" ht="18">
      <c r="A560" s="22">
        <v>555</v>
      </c>
      <c r="B560" s="23" t="s">
        <v>111</v>
      </c>
      <c r="C560" s="23" t="s">
        <v>477</v>
      </c>
      <c r="D560" s="24">
        <v>2394464.2200000002</v>
      </c>
      <c r="E560" s="24">
        <v>4307453.4400000004</v>
      </c>
      <c r="F560" s="25">
        <f t="shared" si="8"/>
        <v>6701917.6600000001</v>
      </c>
      <c r="G560" s="26"/>
      <c r="H560" s="26"/>
      <c r="I560" s="28"/>
      <c r="J560" s="28"/>
      <c r="K560" s="28"/>
      <c r="L560" s="28"/>
      <c r="M560" s="26"/>
      <c r="N560" s="26"/>
      <c r="O560" s="28"/>
      <c r="P560" s="28"/>
      <c r="Q560" s="28"/>
    </row>
    <row r="561" spans="1:17" ht="18">
      <c r="A561" s="22">
        <v>556</v>
      </c>
      <c r="B561" s="23" t="s">
        <v>111</v>
      </c>
      <c r="C561" s="23" t="s">
        <v>479</v>
      </c>
      <c r="D561" s="24">
        <v>1948713.81</v>
      </c>
      <c r="E561" s="24">
        <v>3505583.39</v>
      </c>
      <c r="F561" s="25">
        <f t="shared" si="8"/>
        <v>5454297.2000000002</v>
      </c>
      <c r="G561" s="26"/>
      <c r="H561" s="26"/>
      <c r="I561" s="28"/>
      <c r="J561" s="28"/>
      <c r="K561" s="28"/>
      <c r="L561" s="28"/>
      <c r="M561" s="26"/>
      <c r="N561" s="26"/>
      <c r="O561" s="28"/>
      <c r="P561" s="28"/>
      <c r="Q561" s="28"/>
    </row>
    <row r="562" spans="1:17" ht="18">
      <c r="A562" s="22">
        <v>557</v>
      </c>
      <c r="B562" s="23" t="s">
        <v>111</v>
      </c>
      <c r="C562" s="23" t="s">
        <v>481</v>
      </c>
      <c r="D562" s="24">
        <v>2172213.15</v>
      </c>
      <c r="E562" s="24">
        <v>3907641.19</v>
      </c>
      <c r="F562" s="25">
        <f t="shared" si="8"/>
        <v>6079854.3399999999</v>
      </c>
      <c r="G562" s="26"/>
      <c r="H562" s="26"/>
      <c r="I562" s="28"/>
      <c r="J562" s="28"/>
      <c r="K562" s="28"/>
      <c r="L562" s="28"/>
      <c r="M562" s="26"/>
      <c r="N562" s="26"/>
      <c r="O562" s="28"/>
      <c r="P562" s="28"/>
      <c r="Q562" s="28"/>
    </row>
    <row r="563" spans="1:17" ht="36">
      <c r="A563" s="22">
        <v>558</v>
      </c>
      <c r="B563" s="23" t="s">
        <v>112</v>
      </c>
      <c r="C563" s="23" t="s">
        <v>486</v>
      </c>
      <c r="D563" s="24">
        <v>2438775.7400000002</v>
      </c>
      <c r="E563" s="24">
        <v>4387166.4000000004</v>
      </c>
      <c r="F563" s="25">
        <f t="shared" si="8"/>
        <v>6825942.1399999997</v>
      </c>
      <c r="G563" s="26"/>
      <c r="H563" s="26"/>
      <c r="I563" s="28"/>
      <c r="J563" s="28"/>
      <c r="K563" s="28"/>
      <c r="L563" s="28"/>
      <c r="M563" s="26"/>
      <c r="N563" s="26"/>
      <c r="O563" s="28"/>
      <c r="P563" s="28"/>
      <c r="Q563" s="28"/>
    </row>
    <row r="564" spans="1:17" ht="36">
      <c r="A564" s="22">
        <v>559</v>
      </c>
      <c r="B564" s="23" t="s">
        <v>112</v>
      </c>
      <c r="C564" s="23" t="s">
        <v>488</v>
      </c>
      <c r="D564" s="24">
        <v>2517662.79</v>
      </c>
      <c r="E564" s="24">
        <v>4529078.0199999996</v>
      </c>
      <c r="F564" s="25">
        <f t="shared" si="8"/>
        <v>7046740.8099999996</v>
      </c>
      <c r="G564" s="26"/>
      <c r="H564" s="26"/>
      <c r="I564" s="28"/>
      <c r="J564" s="28"/>
      <c r="K564" s="28"/>
      <c r="L564" s="28"/>
      <c r="M564" s="26"/>
      <c r="N564" s="26"/>
      <c r="O564" s="28"/>
      <c r="P564" s="28"/>
      <c r="Q564" s="28"/>
    </row>
    <row r="565" spans="1:17" ht="18">
      <c r="A565" s="22">
        <v>560</v>
      </c>
      <c r="B565" s="23" t="s">
        <v>112</v>
      </c>
      <c r="C565" s="23" t="s">
        <v>490</v>
      </c>
      <c r="D565" s="24">
        <v>3869731.06</v>
      </c>
      <c r="E565" s="24">
        <v>6961342.8499999996</v>
      </c>
      <c r="F565" s="25">
        <f t="shared" si="8"/>
        <v>10831073.91</v>
      </c>
      <c r="G565" s="26"/>
      <c r="H565" s="26"/>
      <c r="I565" s="28"/>
      <c r="J565" s="28"/>
      <c r="K565" s="28"/>
      <c r="L565" s="28"/>
      <c r="M565" s="26"/>
      <c r="N565" s="26"/>
      <c r="O565" s="28"/>
      <c r="P565" s="28"/>
      <c r="Q565" s="28"/>
    </row>
    <row r="566" spans="1:17" ht="18">
      <c r="A566" s="22">
        <v>561</v>
      </c>
      <c r="B566" s="23" t="s">
        <v>112</v>
      </c>
      <c r="C566" s="23" t="s">
        <v>492</v>
      </c>
      <c r="D566" s="24">
        <v>2544380.66</v>
      </c>
      <c r="E566" s="24">
        <v>4577141.3600000003</v>
      </c>
      <c r="F566" s="25">
        <f t="shared" si="8"/>
        <v>7121522.0199999996</v>
      </c>
      <c r="G566" s="26"/>
      <c r="H566" s="26"/>
      <c r="I566" s="28"/>
      <c r="J566" s="28"/>
      <c r="K566" s="28"/>
      <c r="L566" s="28"/>
      <c r="M566" s="26"/>
      <c r="N566" s="26"/>
      <c r="O566" s="28"/>
      <c r="P566" s="28"/>
      <c r="Q566" s="28"/>
    </row>
    <row r="567" spans="1:17" ht="18">
      <c r="A567" s="22">
        <v>562</v>
      </c>
      <c r="B567" s="23" t="s">
        <v>112</v>
      </c>
      <c r="C567" s="23" t="s">
        <v>494</v>
      </c>
      <c r="D567" s="24">
        <v>2280219.66</v>
      </c>
      <c r="E567" s="24">
        <v>4101936.43</v>
      </c>
      <c r="F567" s="25">
        <f t="shared" si="8"/>
        <v>6382156.0899999999</v>
      </c>
      <c r="G567" s="26"/>
      <c r="H567" s="26"/>
      <c r="I567" s="28"/>
      <c r="J567" s="28"/>
      <c r="K567" s="28"/>
      <c r="L567" s="28"/>
      <c r="M567" s="26"/>
      <c r="N567" s="26"/>
      <c r="O567" s="28"/>
      <c r="P567" s="28"/>
      <c r="Q567" s="28"/>
    </row>
    <row r="568" spans="1:17" ht="18">
      <c r="A568" s="22">
        <v>563</v>
      </c>
      <c r="B568" s="23" t="s">
        <v>112</v>
      </c>
      <c r="C568" s="23" t="s">
        <v>496</v>
      </c>
      <c r="D568" s="24">
        <v>1734505.61</v>
      </c>
      <c r="E568" s="24">
        <v>3120239.64</v>
      </c>
      <c r="F568" s="25">
        <f t="shared" si="8"/>
        <v>4854745.25</v>
      </c>
      <c r="G568" s="26"/>
      <c r="H568" s="26"/>
      <c r="I568" s="28"/>
      <c r="J568" s="28"/>
      <c r="K568" s="28"/>
      <c r="L568" s="28"/>
      <c r="M568" s="26"/>
      <c r="N568" s="26"/>
      <c r="O568" s="28"/>
      <c r="P568" s="28"/>
      <c r="Q568" s="28"/>
    </row>
    <row r="569" spans="1:17" ht="18">
      <c r="A569" s="22">
        <v>564</v>
      </c>
      <c r="B569" s="23" t="s">
        <v>112</v>
      </c>
      <c r="C569" s="23" t="s">
        <v>498</v>
      </c>
      <c r="D569" s="24">
        <v>1689714.97</v>
      </c>
      <c r="E569" s="24">
        <v>3039664.79</v>
      </c>
      <c r="F569" s="25">
        <f t="shared" si="8"/>
        <v>4729379.76</v>
      </c>
      <c r="G569" s="26"/>
      <c r="H569" s="26"/>
      <c r="I569" s="28"/>
      <c r="J569" s="28"/>
      <c r="K569" s="28"/>
      <c r="L569" s="28"/>
      <c r="M569" s="26"/>
      <c r="N569" s="26"/>
      <c r="O569" s="28"/>
      <c r="P569" s="28"/>
      <c r="Q569" s="28"/>
    </row>
    <row r="570" spans="1:17" ht="18">
      <c r="A570" s="22">
        <v>565</v>
      </c>
      <c r="B570" s="23" t="s">
        <v>112</v>
      </c>
      <c r="C570" s="23" t="s">
        <v>500</v>
      </c>
      <c r="D570" s="24">
        <v>3794183.37</v>
      </c>
      <c r="E570" s="24">
        <v>6825438.4699999997</v>
      </c>
      <c r="F570" s="25">
        <f t="shared" si="8"/>
        <v>10619621.84</v>
      </c>
      <c r="G570" s="26"/>
      <c r="H570" s="26"/>
      <c r="I570" s="28"/>
      <c r="J570" s="28"/>
      <c r="K570" s="28"/>
      <c r="L570" s="28"/>
      <c r="M570" s="26"/>
      <c r="N570" s="26"/>
      <c r="O570" s="28"/>
      <c r="P570" s="28"/>
      <c r="Q570" s="28"/>
    </row>
    <row r="571" spans="1:17" ht="18">
      <c r="A571" s="22">
        <v>566</v>
      </c>
      <c r="B571" s="23" t="s">
        <v>112</v>
      </c>
      <c r="C571" s="23" t="s">
        <v>502</v>
      </c>
      <c r="D571" s="24">
        <v>2258010.9</v>
      </c>
      <c r="E571" s="24">
        <v>4061984.62</v>
      </c>
      <c r="F571" s="25">
        <f t="shared" si="8"/>
        <v>6319995.5199999996</v>
      </c>
      <c r="G571" s="26"/>
      <c r="H571" s="26"/>
      <c r="I571" s="28"/>
      <c r="J571" s="28"/>
      <c r="K571" s="28"/>
      <c r="L571" s="28"/>
      <c r="M571" s="26"/>
      <c r="N571" s="26"/>
      <c r="O571" s="28"/>
      <c r="P571" s="28"/>
      <c r="Q571" s="28"/>
    </row>
    <row r="572" spans="1:17" ht="18">
      <c r="A572" s="22">
        <v>567</v>
      </c>
      <c r="B572" s="23" t="s">
        <v>112</v>
      </c>
      <c r="C572" s="23" t="s">
        <v>504</v>
      </c>
      <c r="D572" s="24">
        <v>2821163.83</v>
      </c>
      <c r="E572" s="24">
        <v>5075052.5999999996</v>
      </c>
      <c r="F572" s="25">
        <f t="shared" si="8"/>
        <v>7896216.4299999997</v>
      </c>
      <c r="G572" s="26"/>
      <c r="H572" s="26"/>
      <c r="I572" s="28"/>
      <c r="J572" s="28"/>
      <c r="K572" s="28"/>
      <c r="L572" s="28"/>
      <c r="M572" s="26"/>
      <c r="N572" s="26"/>
      <c r="O572" s="28"/>
      <c r="P572" s="28"/>
      <c r="Q572" s="28"/>
    </row>
    <row r="573" spans="1:17" ht="18">
      <c r="A573" s="22">
        <v>568</v>
      </c>
      <c r="B573" s="23" t="s">
        <v>112</v>
      </c>
      <c r="C573" s="23" t="s">
        <v>506</v>
      </c>
      <c r="D573" s="24">
        <v>2176529.13</v>
      </c>
      <c r="E573" s="24">
        <v>3915405.3</v>
      </c>
      <c r="F573" s="25">
        <f t="shared" si="8"/>
        <v>6091934.4299999997</v>
      </c>
      <c r="G573" s="26"/>
      <c r="H573" s="26"/>
      <c r="I573" s="28"/>
      <c r="J573" s="28"/>
      <c r="K573" s="28"/>
      <c r="L573" s="28"/>
      <c r="M573" s="26"/>
      <c r="N573" s="26"/>
      <c r="O573" s="28"/>
      <c r="P573" s="28"/>
      <c r="Q573" s="28"/>
    </row>
    <row r="574" spans="1:17" ht="18">
      <c r="A574" s="22">
        <v>569</v>
      </c>
      <c r="B574" s="23" t="s">
        <v>112</v>
      </c>
      <c r="C574" s="23" t="s">
        <v>508</v>
      </c>
      <c r="D574" s="24">
        <v>1966398.86</v>
      </c>
      <c r="E574" s="24">
        <v>3537397.42</v>
      </c>
      <c r="F574" s="25">
        <f t="shared" si="8"/>
        <v>5503796.2800000003</v>
      </c>
      <c r="G574" s="26"/>
      <c r="H574" s="26"/>
      <c r="I574" s="28"/>
      <c r="J574" s="28"/>
      <c r="K574" s="28"/>
      <c r="L574" s="28"/>
      <c r="M574" s="26"/>
      <c r="N574" s="26"/>
      <c r="O574" s="28"/>
      <c r="P574" s="28"/>
      <c r="Q574" s="28"/>
    </row>
    <row r="575" spans="1:17" ht="36">
      <c r="A575" s="22">
        <v>570</v>
      </c>
      <c r="B575" s="23" t="s">
        <v>112</v>
      </c>
      <c r="C575" s="23" t="s">
        <v>510</v>
      </c>
      <c r="D575" s="24">
        <v>1773215.86</v>
      </c>
      <c r="E575" s="24">
        <v>3189876.35</v>
      </c>
      <c r="F575" s="25">
        <f t="shared" si="8"/>
        <v>4963092.21</v>
      </c>
      <c r="G575" s="26"/>
      <c r="H575" s="26"/>
      <c r="I575" s="28"/>
      <c r="J575" s="28"/>
      <c r="K575" s="28"/>
      <c r="L575" s="28"/>
      <c r="M575" s="26"/>
      <c r="N575" s="26"/>
      <c r="O575" s="28"/>
      <c r="P575" s="28"/>
      <c r="Q575" s="28"/>
    </row>
    <row r="576" spans="1:17" ht="18">
      <c r="A576" s="22">
        <v>571</v>
      </c>
      <c r="B576" s="23" t="s">
        <v>112</v>
      </c>
      <c r="C576" s="23" t="s">
        <v>512</v>
      </c>
      <c r="D576" s="24">
        <v>2038536.82</v>
      </c>
      <c r="E576" s="24">
        <v>3667167.96</v>
      </c>
      <c r="F576" s="25">
        <f t="shared" si="8"/>
        <v>5705704.7800000003</v>
      </c>
      <c r="G576" s="26"/>
      <c r="H576" s="26"/>
      <c r="I576" s="28"/>
      <c r="J576" s="28"/>
      <c r="K576" s="28"/>
      <c r="L576" s="28"/>
      <c r="M576" s="26"/>
      <c r="N576" s="26"/>
      <c r="O576" s="28"/>
      <c r="P576" s="28"/>
      <c r="Q576" s="28"/>
    </row>
    <row r="577" spans="1:17" ht="18">
      <c r="A577" s="22">
        <v>572</v>
      </c>
      <c r="B577" s="23" t="s">
        <v>112</v>
      </c>
      <c r="C577" s="23" t="s">
        <v>514</v>
      </c>
      <c r="D577" s="24">
        <v>2135200.4500000002</v>
      </c>
      <c r="E577" s="24">
        <v>3841058.24</v>
      </c>
      <c r="F577" s="25">
        <f t="shared" si="8"/>
        <v>5976258.6900000004</v>
      </c>
      <c r="G577" s="26"/>
      <c r="H577" s="26"/>
      <c r="I577" s="28"/>
      <c r="J577" s="28"/>
      <c r="K577" s="28"/>
      <c r="L577" s="28"/>
      <c r="M577" s="26"/>
      <c r="N577" s="26"/>
      <c r="O577" s="28"/>
      <c r="P577" s="28"/>
      <c r="Q577" s="28"/>
    </row>
    <row r="578" spans="1:17" ht="36">
      <c r="A578" s="22">
        <v>573</v>
      </c>
      <c r="B578" s="23" t="s">
        <v>112</v>
      </c>
      <c r="C578" s="23" t="s">
        <v>516</v>
      </c>
      <c r="D578" s="24">
        <v>2588936.96</v>
      </c>
      <c r="E578" s="24">
        <v>4657294.66</v>
      </c>
      <c r="F578" s="25">
        <f t="shared" si="8"/>
        <v>7246231.6200000001</v>
      </c>
      <c r="G578" s="26"/>
      <c r="H578" s="26"/>
      <c r="I578" s="28"/>
      <c r="J578" s="28"/>
      <c r="K578" s="28"/>
      <c r="L578" s="28"/>
      <c r="M578" s="26"/>
      <c r="N578" s="26"/>
      <c r="O578" s="28"/>
      <c r="P578" s="28"/>
      <c r="Q578" s="28"/>
    </row>
    <row r="579" spans="1:17" ht="18">
      <c r="A579" s="22">
        <v>574</v>
      </c>
      <c r="B579" s="23" t="s">
        <v>112</v>
      </c>
      <c r="C579" s="23" t="s">
        <v>518</v>
      </c>
      <c r="D579" s="24">
        <v>2173360.88</v>
      </c>
      <c r="E579" s="24">
        <v>3909705.86</v>
      </c>
      <c r="F579" s="25">
        <f t="shared" si="8"/>
        <v>6083066.7400000002</v>
      </c>
      <c r="G579" s="26"/>
      <c r="H579" s="26"/>
      <c r="I579" s="28"/>
      <c r="J579" s="28"/>
      <c r="K579" s="28"/>
      <c r="L579" s="28"/>
      <c r="M579" s="26"/>
      <c r="N579" s="26"/>
      <c r="O579" s="28"/>
      <c r="P579" s="28"/>
      <c r="Q579" s="28"/>
    </row>
    <row r="580" spans="1:17" ht="18">
      <c r="A580" s="22">
        <v>575</v>
      </c>
      <c r="B580" s="23" t="s">
        <v>112</v>
      </c>
      <c r="C580" s="23" t="s">
        <v>520</v>
      </c>
      <c r="D580" s="24">
        <v>2019912.85</v>
      </c>
      <c r="E580" s="24">
        <v>3633664.88</v>
      </c>
      <c r="F580" s="25">
        <f t="shared" si="8"/>
        <v>5653577.7300000004</v>
      </c>
      <c r="G580" s="26"/>
      <c r="H580" s="26"/>
      <c r="I580" s="28"/>
      <c r="J580" s="28"/>
      <c r="K580" s="28"/>
      <c r="L580" s="28"/>
      <c r="M580" s="26"/>
      <c r="N580" s="26"/>
      <c r="O580" s="28"/>
      <c r="P580" s="28"/>
      <c r="Q580" s="28"/>
    </row>
    <row r="581" spans="1:17" ht="36">
      <c r="A581" s="22">
        <v>576</v>
      </c>
      <c r="B581" s="23" t="s">
        <v>112</v>
      </c>
      <c r="C581" s="23" t="s">
        <v>523</v>
      </c>
      <c r="D581" s="24">
        <v>1918598.46</v>
      </c>
      <c r="E581" s="24">
        <v>3451408.24</v>
      </c>
      <c r="F581" s="25">
        <f t="shared" si="8"/>
        <v>5370006.7000000002</v>
      </c>
      <c r="G581" s="26"/>
      <c r="H581" s="26"/>
      <c r="I581" s="28"/>
      <c r="J581" s="28"/>
      <c r="K581" s="28"/>
      <c r="L581" s="28"/>
      <c r="M581" s="26"/>
      <c r="N581" s="26"/>
      <c r="O581" s="28"/>
      <c r="P581" s="28"/>
      <c r="Q581" s="28"/>
    </row>
    <row r="582" spans="1:17" ht="18">
      <c r="A582" s="22">
        <v>577</v>
      </c>
      <c r="B582" s="23" t="s">
        <v>112</v>
      </c>
      <c r="C582" s="23" t="s">
        <v>525</v>
      </c>
      <c r="D582" s="24">
        <v>2602253.5699999998</v>
      </c>
      <c r="E582" s="24">
        <v>4681250.2</v>
      </c>
      <c r="F582" s="25">
        <f t="shared" si="8"/>
        <v>7283503.7699999996</v>
      </c>
      <c r="G582" s="26"/>
      <c r="H582" s="26"/>
      <c r="I582" s="28"/>
      <c r="J582" s="28"/>
      <c r="K582" s="28"/>
      <c r="L582" s="28"/>
      <c r="M582" s="26"/>
      <c r="N582" s="26"/>
      <c r="O582" s="28"/>
      <c r="P582" s="28"/>
      <c r="Q582" s="28"/>
    </row>
    <row r="583" spans="1:17" ht="36">
      <c r="A583" s="22">
        <v>578</v>
      </c>
      <c r="B583" s="23" t="s">
        <v>113</v>
      </c>
      <c r="C583" s="23" t="s">
        <v>529</v>
      </c>
      <c r="D583" s="24">
        <v>2508363.2400000002</v>
      </c>
      <c r="E583" s="24">
        <v>4512348.8499999996</v>
      </c>
      <c r="F583" s="25">
        <f t="shared" ref="F583:F646" si="9">D583+E583</f>
        <v>7020712.0899999999</v>
      </c>
      <c r="G583" s="26"/>
      <c r="H583" s="26"/>
      <c r="I583" s="28"/>
      <c r="J583" s="28"/>
      <c r="K583" s="28"/>
      <c r="L583" s="28"/>
      <c r="M583" s="26"/>
      <c r="N583" s="26"/>
      <c r="O583" s="28"/>
      <c r="P583" s="28"/>
      <c r="Q583" s="28"/>
    </row>
    <row r="584" spans="1:17" ht="36">
      <c r="A584" s="22">
        <v>579</v>
      </c>
      <c r="B584" s="23" t="s">
        <v>113</v>
      </c>
      <c r="C584" s="23" t="s">
        <v>531</v>
      </c>
      <c r="D584" s="24">
        <v>2653446.02</v>
      </c>
      <c r="E584" s="24">
        <v>4773341.41</v>
      </c>
      <c r="F584" s="25">
        <f t="shared" si="9"/>
        <v>7426787.4299999997</v>
      </c>
      <c r="G584" s="26"/>
      <c r="H584" s="26"/>
      <c r="I584" s="28"/>
      <c r="J584" s="28"/>
      <c r="K584" s="28"/>
      <c r="L584" s="28"/>
      <c r="M584" s="26"/>
      <c r="N584" s="26"/>
      <c r="O584" s="28"/>
      <c r="P584" s="28"/>
      <c r="Q584" s="28"/>
    </row>
    <row r="585" spans="1:17" ht="36">
      <c r="A585" s="22">
        <v>580</v>
      </c>
      <c r="B585" s="23" t="s">
        <v>113</v>
      </c>
      <c r="C585" s="23" t="s">
        <v>533</v>
      </c>
      <c r="D585" s="24">
        <v>2701426.46</v>
      </c>
      <c r="E585" s="24">
        <v>4859654.45</v>
      </c>
      <c r="F585" s="25">
        <f t="shared" si="9"/>
        <v>7561080.9100000001</v>
      </c>
      <c r="G585" s="26"/>
      <c r="H585" s="26"/>
      <c r="I585" s="28"/>
      <c r="J585" s="28"/>
      <c r="K585" s="28"/>
      <c r="L585" s="28"/>
      <c r="M585" s="26"/>
      <c r="N585" s="26"/>
      <c r="O585" s="28"/>
      <c r="P585" s="28"/>
      <c r="Q585" s="28"/>
    </row>
    <row r="586" spans="1:17" ht="36">
      <c r="A586" s="22">
        <v>581</v>
      </c>
      <c r="B586" s="23" t="s">
        <v>113</v>
      </c>
      <c r="C586" s="23" t="s">
        <v>535</v>
      </c>
      <c r="D586" s="24">
        <v>2003694.36</v>
      </c>
      <c r="E586" s="24">
        <v>3604489.09</v>
      </c>
      <c r="F586" s="25">
        <f t="shared" si="9"/>
        <v>5608183.4500000002</v>
      </c>
      <c r="G586" s="26"/>
      <c r="H586" s="26"/>
      <c r="I586" s="28"/>
      <c r="J586" s="28"/>
      <c r="K586" s="28"/>
      <c r="L586" s="28"/>
      <c r="M586" s="26"/>
      <c r="N586" s="26"/>
      <c r="O586" s="28"/>
      <c r="P586" s="28"/>
      <c r="Q586" s="28"/>
    </row>
    <row r="587" spans="1:17" ht="18">
      <c r="A587" s="22">
        <v>582</v>
      </c>
      <c r="B587" s="23" t="s">
        <v>113</v>
      </c>
      <c r="C587" s="23" t="s">
        <v>537</v>
      </c>
      <c r="D587" s="24">
        <v>2099629.19</v>
      </c>
      <c r="E587" s="24">
        <v>3777068.34</v>
      </c>
      <c r="F587" s="25">
        <f t="shared" si="9"/>
        <v>5876697.5300000003</v>
      </c>
      <c r="G587" s="26"/>
      <c r="H587" s="26"/>
      <c r="I587" s="28"/>
      <c r="J587" s="28"/>
      <c r="K587" s="28"/>
      <c r="L587" s="28"/>
      <c r="M587" s="26"/>
      <c r="N587" s="26"/>
      <c r="O587" s="28"/>
      <c r="P587" s="28"/>
      <c r="Q587" s="28"/>
    </row>
    <row r="588" spans="1:17" ht="18">
      <c r="A588" s="22">
        <v>583</v>
      </c>
      <c r="B588" s="23" t="s">
        <v>113</v>
      </c>
      <c r="C588" s="23" t="s">
        <v>539</v>
      </c>
      <c r="D588" s="24">
        <v>3226636.32</v>
      </c>
      <c r="E588" s="24">
        <v>5804465.8200000003</v>
      </c>
      <c r="F588" s="25">
        <f t="shared" si="9"/>
        <v>9031102.1400000006</v>
      </c>
      <c r="G588" s="26"/>
      <c r="H588" s="26"/>
      <c r="I588" s="28"/>
      <c r="J588" s="28"/>
      <c r="K588" s="28"/>
      <c r="L588" s="28"/>
      <c r="M588" s="26"/>
      <c r="N588" s="26"/>
      <c r="O588" s="28"/>
      <c r="P588" s="28"/>
      <c r="Q588" s="28"/>
    </row>
    <row r="589" spans="1:17" ht="18">
      <c r="A589" s="22">
        <v>584</v>
      </c>
      <c r="B589" s="23" t="s">
        <v>113</v>
      </c>
      <c r="C589" s="23" t="s">
        <v>541</v>
      </c>
      <c r="D589" s="24">
        <v>2272460.4900000002</v>
      </c>
      <c r="E589" s="24">
        <v>4087978.3</v>
      </c>
      <c r="F589" s="25">
        <f t="shared" si="9"/>
        <v>6360438.79</v>
      </c>
      <c r="G589" s="26"/>
      <c r="H589" s="26"/>
      <c r="I589" s="28"/>
      <c r="J589" s="28"/>
      <c r="K589" s="28"/>
      <c r="L589" s="28"/>
      <c r="M589" s="26"/>
      <c r="N589" s="26"/>
      <c r="O589" s="28"/>
      <c r="P589" s="28"/>
      <c r="Q589" s="28"/>
    </row>
    <row r="590" spans="1:17" ht="18">
      <c r="A590" s="22">
        <v>585</v>
      </c>
      <c r="B590" s="23" t="s">
        <v>113</v>
      </c>
      <c r="C590" s="23" t="s">
        <v>543</v>
      </c>
      <c r="D590" s="24">
        <v>2289514.35</v>
      </c>
      <c r="E590" s="24">
        <v>4118656.86</v>
      </c>
      <c r="F590" s="25">
        <f t="shared" si="9"/>
        <v>6408171.21</v>
      </c>
      <c r="G590" s="26"/>
      <c r="H590" s="26"/>
      <c r="I590" s="28"/>
      <c r="J590" s="28"/>
      <c r="K590" s="28"/>
      <c r="L590" s="28"/>
      <c r="M590" s="26"/>
      <c r="N590" s="26"/>
      <c r="O590" s="28"/>
      <c r="P590" s="28"/>
      <c r="Q590" s="28"/>
    </row>
    <row r="591" spans="1:17" ht="18">
      <c r="A591" s="22">
        <v>586</v>
      </c>
      <c r="B591" s="23" t="s">
        <v>113</v>
      </c>
      <c r="C591" s="23" t="s">
        <v>545</v>
      </c>
      <c r="D591" s="24">
        <v>2752555.31</v>
      </c>
      <c r="E591" s="24">
        <v>4951631.25</v>
      </c>
      <c r="F591" s="25">
        <f t="shared" si="9"/>
        <v>7704186.5599999996</v>
      </c>
      <c r="G591" s="26"/>
      <c r="H591" s="26"/>
      <c r="I591" s="28"/>
      <c r="J591" s="28"/>
      <c r="K591" s="28"/>
      <c r="L591" s="28"/>
      <c r="M591" s="26"/>
      <c r="N591" s="26"/>
      <c r="O591" s="28"/>
      <c r="P591" s="28"/>
      <c r="Q591" s="28"/>
    </row>
    <row r="592" spans="1:17" ht="18">
      <c r="A592" s="22">
        <v>587</v>
      </c>
      <c r="B592" s="23" t="s">
        <v>113</v>
      </c>
      <c r="C592" s="23" t="s">
        <v>547</v>
      </c>
      <c r="D592" s="24">
        <v>2986860.29</v>
      </c>
      <c r="E592" s="24">
        <v>5373127.5499999998</v>
      </c>
      <c r="F592" s="25">
        <f t="shared" si="9"/>
        <v>8359987.8399999999</v>
      </c>
      <c r="G592" s="26"/>
      <c r="H592" s="26"/>
      <c r="I592" s="28"/>
      <c r="J592" s="28"/>
      <c r="K592" s="28"/>
      <c r="L592" s="28"/>
      <c r="M592" s="26"/>
      <c r="N592" s="26"/>
      <c r="O592" s="28"/>
      <c r="P592" s="28"/>
      <c r="Q592" s="28"/>
    </row>
    <row r="593" spans="1:17" ht="18">
      <c r="A593" s="22">
        <v>588</v>
      </c>
      <c r="B593" s="23" t="s">
        <v>113</v>
      </c>
      <c r="C593" s="23" t="s">
        <v>549</v>
      </c>
      <c r="D593" s="24">
        <v>2285393.9900000002</v>
      </c>
      <c r="E593" s="24">
        <v>4111244.66</v>
      </c>
      <c r="F593" s="25">
        <f t="shared" si="9"/>
        <v>6396638.6500000004</v>
      </c>
      <c r="G593" s="26"/>
      <c r="H593" s="26"/>
      <c r="I593" s="28"/>
      <c r="J593" s="28"/>
      <c r="K593" s="28"/>
      <c r="L593" s="28"/>
      <c r="M593" s="26"/>
      <c r="N593" s="26"/>
      <c r="O593" s="28"/>
      <c r="P593" s="28"/>
      <c r="Q593" s="28"/>
    </row>
    <row r="594" spans="1:17" ht="36">
      <c r="A594" s="22">
        <v>589</v>
      </c>
      <c r="B594" s="23" t="s">
        <v>113</v>
      </c>
      <c r="C594" s="23" t="s">
        <v>551</v>
      </c>
      <c r="D594" s="24">
        <v>2365532.59</v>
      </c>
      <c r="E594" s="24">
        <v>4255407.71</v>
      </c>
      <c r="F594" s="25">
        <f t="shared" si="9"/>
        <v>6620940.2999999998</v>
      </c>
      <c r="G594" s="26"/>
      <c r="H594" s="26"/>
      <c r="I594" s="28"/>
      <c r="J594" s="28"/>
      <c r="K594" s="28"/>
      <c r="L594" s="28"/>
      <c r="M594" s="26"/>
      <c r="N594" s="26"/>
      <c r="O594" s="28"/>
      <c r="P594" s="28"/>
      <c r="Q594" s="28"/>
    </row>
    <row r="595" spans="1:17" ht="18">
      <c r="A595" s="22">
        <v>590</v>
      </c>
      <c r="B595" s="23" t="s">
        <v>113</v>
      </c>
      <c r="C595" s="23" t="s">
        <v>553</v>
      </c>
      <c r="D595" s="24">
        <v>2198328.21</v>
      </c>
      <c r="E595" s="24">
        <v>3954620.13</v>
      </c>
      <c r="F595" s="25">
        <f t="shared" si="9"/>
        <v>6152948.3399999999</v>
      </c>
      <c r="G595" s="26"/>
      <c r="H595" s="26"/>
      <c r="I595" s="28"/>
      <c r="J595" s="28"/>
      <c r="K595" s="28"/>
      <c r="L595" s="28"/>
      <c r="M595" s="26"/>
      <c r="N595" s="26"/>
      <c r="O595" s="28"/>
      <c r="P595" s="28"/>
      <c r="Q595" s="28"/>
    </row>
    <row r="596" spans="1:17" ht="18">
      <c r="A596" s="22">
        <v>591</v>
      </c>
      <c r="B596" s="23" t="s">
        <v>113</v>
      </c>
      <c r="C596" s="23" t="s">
        <v>555</v>
      </c>
      <c r="D596" s="24">
        <v>2749309.41</v>
      </c>
      <c r="E596" s="24">
        <v>4945792.12</v>
      </c>
      <c r="F596" s="25">
        <f t="shared" si="9"/>
        <v>7695101.5300000003</v>
      </c>
      <c r="G596" s="26"/>
      <c r="H596" s="26"/>
      <c r="I596" s="28"/>
      <c r="J596" s="28"/>
      <c r="K596" s="28"/>
      <c r="L596" s="28"/>
      <c r="M596" s="26"/>
      <c r="N596" s="26"/>
      <c r="O596" s="28"/>
      <c r="P596" s="28"/>
      <c r="Q596" s="28"/>
    </row>
    <row r="597" spans="1:17" ht="18">
      <c r="A597" s="22">
        <v>592</v>
      </c>
      <c r="B597" s="23" t="s">
        <v>113</v>
      </c>
      <c r="C597" s="23" t="s">
        <v>557</v>
      </c>
      <c r="D597" s="24">
        <v>1824630.01</v>
      </c>
      <c r="E597" s="24">
        <v>3282366.37</v>
      </c>
      <c r="F597" s="25">
        <f t="shared" si="9"/>
        <v>5106996.38</v>
      </c>
      <c r="G597" s="26"/>
      <c r="H597" s="26"/>
      <c r="I597" s="28"/>
      <c r="J597" s="28"/>
      <c r="K597" s="28"/>
      <c r="L597" s="28"/>
      <c r="M597" s="26"/>
      <c r="N597" s="26"/>
      <c r="O597" s="28"/>
      <c r="P597" s="28"/>
      <c r="Q597" s="28"/>
    </row>
    <row r="598" spans="1:17" ht="18">
      <c r="A598" s="22">
        <v>593</v>
      </c>
      <c r="B598" s="23" t="s">
        <v>113</v>
      </c>
      <c r="C598" s="23" t="s">
        <v>559</v>
      </c>
      <c r="D598" s="24">
        <v>3015616.77</v>
      </c>
      <c r="E598" s="24">
        <v>5424858.2000000002</v>
      </c>
      <c r="F598" s="25">
        <f t="shared" si="9"/>
        <v>8440474.9700000007</v>
      </c>
      <c r="G598" s="26"/>
      <c r="H598" s="26"/>
      <c r="I598" s="28"/>
      <c r="J598" s="28"/>
      <c r="K598" s="28"/>
      <c r="L598" s="28"/>
      <c r="M598" s="26"/>
      <c r="N598" s="26"/>
      <c r="O598" s="28"/>
      <c r="P598" s="28"/>
      <c r="Q598" s="28"/>
    </row>
    <row r="599" spans="1:17" ht="18">
      <c r="A599" s="22">
        <v>594</v>
      </c>
      <c r="B599" s="23" t="s">
        <v>113</v>
      </c>
      <c r="C599" s="23" t="s">
        <v>561</v>
      </c>
      <c r="D599" s="24">
        <v>2429769</v>
      </c>
      <c r="E599" s="24">
        <v>4370963.9800000004</v>
      </c>
      <c r="F599" s="25">
        <f t="shared" si="9"/>
        <v>6800732.9800000004</v>
      </c>
      <c r="G599" s="26"/>
      <c r="H599" s="26"/>
      <c r="I599" s="28"/>
      <c r="J599" s="28"/>
      <c r="K599" s="28"/>
      <c r="L599" s="28"/>
      <c r="M599" s="26"/>
      <c r="N599" s="26"/>
      <c r="O599" s="28"/>
      <c r="P599" s="28"/>
      <c r="Q599" s="28"/>
    </row>
    <row r="600" spans="1:17" ht="18">
      <c r="A600" s="22">
        <v>595</v>
      </c>
      <c r="B600" s="23" t="s">
        <v>113</v>
      </c>
      <c r="C600" s="23" t="s">
        <v>563</v>
      </c>
      <c r="D600" s="24">
        <v>2850762.79</v>
      </c>
      <c r="E600" s="24">
        <v>5128298.8099999996</v>
      </c>
      <c r="F600" s="25">
        <f t="shared" si="9"/>
        <v>7979061.5999999996</v>
      </c>
      <c r="G600" s="26"/>
      <c r="H600" s="26"/>
      <c r="I600" s="28"/>
      <c r="J600" s="28"/>
      <c r="K600" s="28"/>
      <c r="L600" s="28"/>
      <c r="M600" s="26"/>
      <c r="N600" s="26"/>
      <c r="O600" s="28"/>
      <c r="P600" s="28"/>
      <c r="Q600" s="28"/>
    </row>
    <row r="601" spans="1:17" ht="36">
      <c r="A601" s="22">
        <v>596</v>
      </c>
      <c r="B601" s="23" t="s">
        <v>114</v>
      </c>
      <c r="C601" s="23" t="s">
        <v>567</v>
      </c>
      <c r="D601" s="24">
        <v>1781593.4</v>
      </c>
      <c r="E601" s="24">
        <v>3204946.87</v>
      </c>
      <c r="F601" s="25">
        <f t="shared" si="9"/>
        <v>4986540.2699999996</v>
      </c>
      <c r="G601" s="26"/>
      <c r="H601" s="26"/>
      <c r="I601" s="28"/>
      <c r="J601" s="28"/>
      <c r="K601" s="28"/>
      <c r="L601" s="28"/>
      <c r="M601" s="26"/>
      <c r="N601" s="26"/>
      <c r="O601" s="28"/>
      <c r="P601" s="28"/>
      <c r="Q601" s="28"/>
    </row>
    <row r="602" spans="1:17" ht="36">
      <c r="A602" s="22">
        <v>597</v>
      </c>
      <c r="B602" s="23" t="s">
        <v>114</v>
      </c>
      <c r="C602" s="23" t="s">
        <v>569</v>
      </c>
      <c r="D602" s="24">
        <v>1786591.01</v>
      </c>
      <c r="E602" s="24">
        <v>3213937.19</v>
      </c>
      <c r="F602" s="25">
        <f t="shared" si="9"/>
        <v>5000528.2</v>
      </c>
      <c r="G602" s="26"/>
      <c r="H602" s="26"/>
      <c r="I602" s="28"/>
      <c r="J602" s="28"/>
      <c r="K602" s="28"/>
      <c r="L602" s="28"/>
      <c r="M602" s="26"/>
      <c r="N602" s="26"/>
      <c r="O602" s="28"/>
      <c r="P602" s="28"/>
      <c r="Q602" s="28"/>
    </row>
    <row r="603" spans="1:17" ht="18">
      <c r="A603" s="22">
        <v>598</v>
      </c>
      <c r="B603" s="23" t="s">
        <v>114</v>
      </c>
      <c r="C603" s="23" t="s">
        <v>571</v>
      </c>
      <c r="D603" s="24">
        <v>2225792.2999999998</v>
      </c>
      <c r="E603" s="24">
        <v>4004025.88</v>
      </c>
      <c r="F603" s="25">
        <f t="shared" si="9"/>
        <v>6229818.1799999997</v>
      </c>
      <c r="G603" s="26"/>
      <c r="H603" s="26"/>
      <c r="I603" s="28"/>
      <c r="J603" s="28"/>
      <c r="K603" s="28"/>
      <c r="L603" s="28"/>
      <c r="M603" s="26"/>
      <c r="N603" s="26"/>
      <c r="O603" s="28"/>
      <c r="P603" s="28"/>
      <c r="Q603" s="28"/>
    </row>
    <row r="604" spans="1:17" ht="18">
      <c r="A604" s="22">
        <v>599</v>
      </c>
      <c r="B604" s="23" t="s">
        <v>114</v>
      </c>
      <c r="C604" s="23" t="s">
        <v>573</v>
      </c>
      <c r="D604" s="24">
        <v>1967551.2</v>
      </c>
      <c r="E604" s="24">
        <v>3539470.38</v>
      </c>
      <c r="F604" s="25">
        <f t="shared" si="9"/>
        <v>5507021.5800000001</v>
      </c>
      <c r="G604" s="26"/>
      <c r="H604" s="26"/>
      <c r="I604" s="28"/>
      <c r="J604" s="28"/>
      <c r="K604" s="28"/>
      <c r="L604" s="28"/>
      <c r="M604" s="26"/>
      <c r="N604" s="26"/>
      <c r="O604" s="28"/>
      <c r="P604" s="28"/>
      <c r="Q604" s="28"/>
    </row>
    <row r="605" spans="1:17" ht="18">
      <c r="A605" s="22">
        <v>600</v>
      </c>
      <c r="B605" s="23" t="s">
        <v>114</v>
      </c>
      <c r="C605" s="23" t="s">
        <v>576</v>
      </c>
      <c r="D605" s="24">
        <v>1861920.78</v>
      </c>
      <c r="E605" s="24">
        <v>3349449.54</v>
      </c>
      <c r="F605" s="25">
        <f t="shared" si="9"/>
        <v>5211370.32</v>
      </c>
      <c r="G605" s="26"/>
      <c r="H605" s="26"/>
      <c r="I605" s="28"/>
      <c r="J605" s="28"/>
      <c r="K605" s="28"/>
      <c r="L605" s="28"/>
      <c r="M605" s="26"/>
      <c r="N605" s="26"/>
      <c r="O605" s="28"/>
      <c r="P605" s="28"/>
      <c r="Q605" s="28"/>
    </row>
    <row r="606" spans="1:17" ht="18">
      <c r="A606" s="22">
        <v>601</v>
      </c>
      <c r="B606" s="23" t="s">
        <v>114</v>
      </c>
      <c r="C606" s="23" t="s">
        <v>578</v>
      </c>
      <c r="D606" s="24">
        <v>2120636.3199999998</v>
      </c>
      <c r="E606" s="24">
        <v>3814858.51</v>
      </c>
      <c r="F606" s="25">
        <f t="shared" si="9"/>
        <v>5935494.8300000001</v>
      </c>
      <c r="G606" s="26"/>
      <c r="H606" s="26"/>
      <c r="I606" s="28"/>
      <c r="J606" s="28"/>
      <c r="K606" s="28"/>
      <c r="L606" s="28"/>
      <c r="M606" s="26"/>
      <c r="N606" s="26"/>
      <c r="O606" s="28"/>
      <c r="P606" s="28"/>
      <c r="Q606" s="28"/>
    </row>
    <row r="607" spans="1:17" ht="18">
      <c r="A607" s="22">
        <v>602</v>
      </c>
      <c r="B607" s="23" t="s">
        <v>114</v>
      </c>
      <c r="C607" s="23" t="s">
        <v>580</v>
      </c>
      <c r="D607" s="24">
        <v>1777408.31</v>
      </c>
      <c r="E607" s="24">
        <v>3197418.23</v>
      </c>
      <c r="F607" s="25">
        <f t="shared" si="9"/>
        <v>4974826.54</v>
      </c>
      <c r="G607" s="26"/>
      <c r="H607" s="26"/>
      <c r="I607" s="28"/>
      <c r="J607" s="28"/>
      <c r="K607" s="28"/>
      <c r="L607" s="28"/>
      <c r="M607" s="26"/>
      <c r="N607" s="26"/>
      <c r="O607" s="28"/>
      <c r="P607" s="28"/>
      <c r="Q607" s="28"/>
    </row>
    <row r="608" spans="1:17" ht="18">
      <c r="A608" s="22">
        <v>603</v>
      </c>
      <c r="B608" s="23" t="s">
        <v>114</v>
      </c>
      <c r="C608" s="23" t="s">
        <v>581</v>
      </c>
      <c r="D608" s="24">
        <v>1845929.78</v>
      </c>
      <c r="E608" s="24">
        <v>3320682.98</v>
      </c>
      <c r="F608" s="25">
        <f t="shared" si="9"/>
        <v>5166612.76</v>
      </c>
      <c r="G608" s="26"/>
      <c r="H608" s="26"/>
      <c r="I608" s="28"/>
      <c r="J608" s="28"/>
      <c r="K608" s="28"/>
      <c r="L608" s="28"/>
      <c r="M608" s="26"/>
      <c r="N608" s="26"/>
      <c r="O608" s="28"/>
      <c r="P608" s="28"/>
      <c r="Q608" s="28"/>
    </row>
    <row r="609" spans="1:17" ht="18">
      <c r="A609" s="22">
        <v>604</v>
      </c>
      <c r="B609" s="23" t="s">
        <v>114</v>
      </c>
      <c r="C609" s="23" t="s">
        <v>583</v>
      </c>
      <c r="D609" s="24">
        <v>1815563.53</v>
      </c>
      <c r="E609" s="24">
        <v>3266056.48</v>
      </c>
      <c r="F609" s="25">
        <f t="shared" si="9"/>
        <v>5081620.01</v>
      </c>
      <c r="G609" s="26"/>
      <c r="H609" s="26"/>
      <c r="I609" s="28"/>
      <c r="J609" s="28"/>
      <c r="K609" s="28"/>
      <c r="L609" s="28"/>
      <c r="M609" s="26"/>
      <c r="N609" s="26"/>
      <c r="O609" s="28"/>
      <c r="P609" s="28"/>
      <c r="Q609" s="28"/>
    </row>
    <row r="610" spans="1:17" ht="18">
      <c r="A610" s="22">
        <v>605</v>
      </c>
      <c r="B610" s="23" t="s">
        <v>114</v>
      </c>
      <c r="C610" s="23" t="s">
        <v>585</v>
      </c>
      <c r="D610" s="24">
        <v>2061023.38</v>
      </c>
      <c r="E610" s="24">
        <v>3707619.5</v>
      </c>
      <c r="F610" s="25">
        <f t="shared" si="9"/>
        <v>5768642.8799999999</v>
      </c>
      <c r="G610" s="26"/>
      <c r="H610" s="26"/>
      <c r="I610" s="28"/>
      <c r="J610" s="28"/>
      <c r="K610" s="28"/>
      <c r="L610" s="28"/>
      <c r="M610" s="26"/>
      <c r="N610" s="26"/>
      <c r="O610" s="28"/>
      <c r="P610" s="28"/>
      <c r="Q610" s="28"/>
    </row>
    <row r="611" spans="1:17" ht="18">
      <c r="A611" s="22">
        <v>606</v>
      </c>
      <c r="B611" s="23" t="s">
        <v>114</v>
      </c>
      <c r="C611" s="23" t="s">
        <v>587</v>
      </c>
      <c r="D611" s="24">
        <v>2182274.65</v>
      </c>
      <c r="E611" s="24">
        <v>3925741.04</v>
      </c>
      <c r="F611" s="25">
        <f t="shared" si="9"/>
        <v>6108015.6900000004</v>
      </c>
      <c r="G611" s="26"/>
      <c r="H611" s="26"/>
      <c r="I611" s="28"/>
      <c r="J611" s="28"/>
      <c r="K611" s="28"/>
      <c r="L611" s="28"/>
      <c r="M611" s="26"/>
      <c r="N611" s="26"/>
      <c r="O611" s="28"/>
      <c r="P611" s="28"/>
      <c r="Q611" s="28"/>
    </row>
    <row r="612" spans="1:17" ht="18">
      <c r="A612" s="22">
        <v>607</v>
      </c>
      <c r="B612" s="23" t="s">
        <v>114</v>
      </c>
      <c r="C612" s="23" t="s">
        <v>589</v>
      </c>
      <c r="D612" s="24">
        <v>2522206.6</v>
      </c>
      <c r="E612" s="24">
        <v>4537251.97</v>
      </c>
      <c r="F612" s="25">
        <f t="shared" si="9"/>
        <v>7059458.5700000003</v>
      </c>
      <c r="G612" s="26"/>
      <c r="H612" s="26"/>
      <c r="I612" s="28"/>
      <c r="J612" s="28"/>
      <c r="K612" s="28"/>
      <c r="L612" s="28"/>
      <c r="M612" s="26"/>
      <c r="N612" s="26"/>
      <c r="O612" s="28"/>
      <c r="P612" s="28"/>
      <c r="Q612" s="28"/>
    </row>
    <row r="613" spans="1:17" ht="18">
      <c r="A613" s="22">
        <v>608</v>
      </c>
      <c r="B613" s="23" t="s">
        <v>114</v>
      </c>
      <c r="C613" s="23" t="s">
        <v>591</v>
      </c>
      <c r="D613" s="24">
        <v>2351060.36</v>
      </c>
      <c r="E613" s="24">
        <v>4229373.29</v>
      </c>
      <c r="F613" s="25">
        <f t="shared" si="9"/>
        <v>6580433.6500000004</v>
      </c>
      <c r="G613" s="26"/>
      <c r="H613" s="26"/>
      <c r="I613" s="28"/>
      <c r="J613" s="28"/>
      <c r="K613" s="28"/>
      <c r="L613" s="28"/>
      <c r="M613" s="26"/>
      <c r="N613" s="26"/>
      <c r="O613" s="28"/>
      <c r="P613" s="28"/>
      <c r="Q613" s="28"/>
    </row>
    <row r="614" spans="1:17" ht="18">
      <c r="A614" s="22">
        <v>609</v>
      </c>
      <c r="B614" s="23" t="s">
        <v>114</v>
      </c>
      <c r="C614" s="23" t="s">
        <v>593</v>
      </c>
      <c r="D614" s="24">
        <v>2049396.47</v>
      </c>
      <c r="E614" s="24">
        <v>3686703.62</v>
      </c>
      <c r="F614" s="25">
        <f t="shared" si="9"/>
        <v>5736100.0899999999</v>
      </c>
      <c r="G614" s="26"/>
      <c r="H614" s="26"/>
      <c r="I614" s="28"/>
      <c r="J614" s="28"/>
      <c r="K614" s="28"/>
      <c r="L614" s="28"/>
      <c r="M614" s="26"/>
      <c r="N614" s="26"/>
      <c r="O614" s="28"/>
      <c r="P614" s="28"/>
      <c r="Q614" s="28"/>
    </row>
    <row r="615" spans="1:17" ht="18">
      <c r="A615" s="22">
        <v>610</v>
      </c>
      <c r="B615" s="23" t="s">
        <v>114</v>
      </c>
      <c r="C615" s="23" t="s">
        <v>595</v>
      </c>
      <c r="D615" s="24">
        <v>1610459.31</v>
      </c>
      <c r="E615" s="24">
        <v>2897090.07</v>
      </c>
      <c r="F615" s="25">
        <f t="shared" si="9"/>
        <v>4507549.38</v>
      </c>
      <c r="G615" s="26"/>
      <c r="H615" s="26"/>
      <c r="I615" s="28"/>
      <c r="J615" s="28"/>
      <c r="K615" s="28"/>
      <c r="L615" s="28"/>
      <c r="M615" s="26"/>
      <c r="N615" s="26"/>
      <c r="O615" s="28"/>
      <c r="P615" s="28"/>
      <c r="Q615" s="28"/>
    </row>
    <row r="616" spans="1:17" ht="18">
      <c r="A616" s="22">
        <v>611</v>
      </c>
      <c r="B616" s="23" t="s">
        <v>114</v>
      </c>
      <c r="C616" s="23" t="s">
        <v>335</v>
      </c>
      <c r="D616" s="24">
        <v>2075229.24</v>
      </c>
      <c r="E616" s="24">
        <v>3733174.74</v>
      </c>
      <c r="F616" s="25">
        <f t="shared" si="9"/>
        <v>5808403.9800000004</v>
      </c>
      <c r="G616" s="26"/>
      <c r="H616" s="26"/>
      <c r="I616" s="28"/>
      <c r="J616" s="28"/>
      <c r="K616" s="28"/>
      <c r="L616" s="28"/>
      <c r="M616" s="26"/>
      <c r="N616" s="26"/>
      <c r="O616" s="28"/>
      <c r="P616" s="28"/>
      <c r="Q616" s="28"/>
    </row>
    <row r="617" spans="1:17" ht="18">
      <c r="A617" s="22">
        <v>612</v>
      </c>
      <c r="B617" s="23" t="s">
        <v>114</v>
      </c>
      <c r="C617" s="23" t="s">
        <v>598</v>
      </c>
      <c r="D617" s="24">
        <v>1829598.31</v>
      </c>
      <c r="E617" s="24">
        <v>3291303.95</v>
      </c>
      <c r="F617" s="25">
        <f t="shared" si="9"/>
        <v>5120902.26</v>
      </c>
      <c r="G617" s="26"/>
      <c r="H617" s="26"/>
      <c r="I617" s="28"/>
      <c r="J617" s="28"/>
      <c r="K617" s="28"/>
      <c r="L617" s="28"/>
      <c r="M617" s="26"/>
      <c r="N617" s="26"/>
      <c r="O617" s="28"/>
      <c r="P617" s="28"/>
      <c r="Q617" s="28"/>
    </row>
    <row r="618" spans="1:17" ht="18">
      <c r="A618" s="22">
        <v>613</v>
      </c>
      <c r="B618" s="23" t="s">
        <v>114</v>
      </c>
      <c r="C618" s="23" t="s">
        <v>600</v>
      </c>
      <c r="D618" s="24">
        <v>1907376.05</v>
      </c>
      <c r="E618" s="24">
        <v>3431220</v>
      </c>
      <c r="F618" s="25">
        <f t="shared" si="9"/>
        <v>5338596.05</v>
      </c>
      <c r="G618" s="26"/>
      <c r="H618" s="26"/>
      <c r="I618" s="28"/>
      <c r="J618" s="28"/>
      <c r="K618" s="28"/>
      <c r="L618" s="28"/>
      <c r="M618" s="26"/>
      <c r="N618" s="26"/>
      <c r="O618" s="28"/>
      <c r="P618" s="28"/>
      <c r="Q618" s="28"/>
    </row>
    <row r="619" spans="1:17" ht="18">
      <c r="A619" s="22">
        <v>614</v>
      </c>
      <c r="B619" s="23" t="s">
        <v>114</v>
      </c>
      <c r="C619" s="23" t="s">
        <v>603</v>
      </c>
      <c r="D619" s="24">
        <v>2021235.7</v>
      </c>
      <c r="E619" s="24">
        <v>3636044.58</v>
      </c>
      <c r="F619" s="25">
        <f t="shared" si="9"/>
        <v>5657280.2800000003</v>
      </c>
      <c r="G619" s="26"/>
      <c r="H619" s="26"/>
      <c r="I619" s="28"/>
      <c r="J619" s="28"/>
      <c r="K619" s="28"/>
      <c r="L619" s="28"/>
      <c r="M619" s="26"/>
      <c r="N619" s="26"/>
      <c r="O619" s="28"/>
      <c r="P619" s="28"/>
      <c r="Q619" s="28"/>
    </row>
    <row r="620" spans="1:17" ht="18">
      <c r="A620" s="22">
        <v>615</v>
      </c>
      <c r="B620" s="23" t="s">
        <v>114</v>
      </c>
      <c r="C620" s="23" t="s">
        <v>343</v>
      </c>
      <c r="D620" s="24">
        <v>2000311.41</v>
      </c>
      <c r="E620" s="24">
        <v>3598403.44</v>
      </c>
      <c r="F620" s="25">
        <f t="shared" si="9"/>
        <v>5598714.8499999996</v>
      </c>
      <c r="G620" s="26"/>
      <c r="H620" s="26"/>
      <c r="I620" s="28"/>
      <c r="J620" s="28"/>
      <c r="K620" s="28"/>
      <c r="L620" s="28"/>
      <c r="M620" s="26"/>
      <c r="N620" s="26"/>
      <c r="O620" s="28"/>
      <c r="P620" s="28"/>
      <c r="Q620" s="28"/>
    </row>
    <row r="621" spans="1:17" ht="18">
      <c r="A621" s="22">
        <v>616</v>
      </c>
      <c r="B621" s="23" t="s">
        <v>114</v>
      </c>
      <c r="C621" s="23" t="s">
        <v>606</v>
      </c>
      <c r="D621" s="24">
        <v>2164261.56</v>
      </c>
      <c r="E621" s="24">
        <v>3893336.9</v>
      </c>
      <c r="F621" s="25">
        <f t="shared" si="9"/>
        <v>6057598.46</v>
      </c>
      <c r="G621" s="26"/>
      <c r="H621" s="26"/>
      <c r="I621" s="28"/>
      <c r="J621" s="28"/>
      <c r="K621" s="28"/>
      <c r="L621" s="28"/>
      <c r="M621" s="26"/>
      <c r="N621" s="26"/>
      <c r="O621" s="28"/>
      <c r="P621" s="28"/>
      <c r="Q621" s="28"/>
    </row>
    <row r="622" spans="1:17" ht="18">
      <c r="A622" s="22">
        <v>617</v>
      </c>
      <c r="B622" s="23" t="s">
        <v>114</v>
      </c>
      <c r="C622" s="23" t="s">
        <v>608</v>
      </c>
      <c r="D622" s="24">
        <v>1964426.32</v>
      </c>
      <c r="E622" s="24">
        <v>3533848.97</v>
      </c>
      <c r="F622" s="25">
        <f t="shared" si="9"/>
        <v>5498275.29</v>
      </c>
      <c r="G622" s="26"/>
      <c r="H622" s="26"/>
      <c r="I622" s="28"/>
      <c r="J622" s="28"/>
      <c r="K622" s="28"/>
      <c r="L622" s="28"/>
      <c r="M622" s="26"/>
      <c r="N622" s="26"/>
      <c r="O622" s="28"/>
      <c r="P622" s="28"/>
      <c r="Q622" s="28"/>
    </row>
    <row r="623" spans="1:17" ht="18">
      <c r="A623" s="22">
        <v>618</v>
      </c>
      <c r="B623" s="23" t="s">
        <v>114</v>
      </c>
      <c r="C623" s="23" t="s">
        <v>610</v>
      </c>
      <c r="D623" s="24">
        <v>2415537.83</v>
      </c>
      <c r="E623" s="24">
        <v>4345363.21</v>
      </c>
      <c r="F623" s="25">
        <f t="shared" si="9"/>
        <v>6760901.04</v>
      </c>
      <c r="G623" s="26"/>
      <c r="H623" s="26"/>
      <c r="I623" s="28"/>
      <c r="J623" s="28"/>
      <c r="K623" s="28"/>
      <c r="L623" s="28"/>
      <c r="M623" s="26"/>
      <c r="N623" s="26"/>
      <c r="O623" s="28"/>
      <c r="P623" s="28"/>
      <c r="Q623" s="28"/>
    </row>
    <row r="624" spans="1:17" ht="18">
      <c r="A624" s="22">
        <v>619</v>
      </c>
      <c r="B624" s="23" t="s">
        <v>114</v>
      </c>
      <c r="C624" s="23" t="s">
        <v>612</v>
      </c>
      <c r="D624" s="24">
        <v>2003117.37</v>
      </c>
      <c r="E624" s="24">
        <v>3603451.13</v>
      </c>
      <c r="F624" s="25">
        <f t="shared" si="9"/>
        <v>5606568.5</v>
      </c>
      <c r="G624" s="26"/>
      <c r="H624" s="26"/>
      <c r="I624" s="28"/>
      <c r="J624" s="28"/>
      <c r="K624" s="28"/>
      <c r="L624" s="28"/>
      <c r="M624" s="26"/>
      <c r="N624" s="26"/>
      <c r="O624" s="28"/>
      <c r="P624" s="28"/>
      <c r="Q624" s="28"/>
    </row>
    <row r="625" spans="1:17" ht="18">
      <c r="A625" s="22">
        <v>620</v>
      </c>
      <c r="B625" s="23" t="s">
        <v>114</v>
      </c>
      <c r="C625" s="23" t="s">
        <v>614</v>
      </c>
      <c r="D625" s="24">
        <v>2639082.2000000002</v>
      </c>
      <c r="E625" s="24">
        <v>4747502.0199999996</v>
      </c>
      <c r="F625" s="25">
        <f t="shared" si="9"/>
        <v>7386584.2199999997</v>
      </c>
      <c r="G625" s="26"/>
      <c r="H625" s="26"/>
      <c r="I625" s="28"/>
      <c r="J625" s="28"/>
      <c r="K625" s="28"/>
      <c r="L625" s="28"/>
      <c r="M625" s="26"/>
      <c r="N625" s="26"/>
      <c r="O625" s="28"/>
      <c r="P625" s="28"/>
      <c r="Q625" s="28"/>
    </row>
    <row r="626" spans="1:17" ht="18">
      <c r="A626" s="22">
        <v>621</v>
      </c>
      <c r="B626" s="23" t="s">
        <v>114</v>
      </c>
      <c r="C626" s="23" t="s">
        <v>616</v>
      </c>
      <c r="D626" s="24">
        <v>1806390.23</v>
      </c>
      <c r="E626" s="24">
        <v>3249554.44</v>
      </c>
      <c r="F626" s="25">
        <f t="shared" si="9"/>
        <v>5055944.67</v>
      </c>
      <c r="G626" s="26"/>
      <c r="H626" s="26"/>
      <c r="I626" s="28"/>
      <c r="J626" s="28"/>
      <c r="K626" s="28"/>
      <c r="L626" s="28"/>
      <c r="M626" s="26"/>
      <c r="N626" s="26"/>
      <c r="O626" s="28"/>
      <c r="P626" s="28"/>
      <c r="Q626" s="28"/>
    </row>
    <row r="627" spans="1:17" ht="18">
      <c r="A627" s="22">
        <v>622</v>
      </c>
      <c r="B627" s="23" t="s">
        <v>114</v>
      </c>
      <c r="C627" s="23" t="s">
        <v>618</v>
      </c>
      <c r="D627" s="24">
        <v>2184915.12</v>
      </c>
      <c r="E627" s="24">
        <v>3930491.04</v>
      </c>
      <c r="F627" s="25">
        <f t="shared" si="9"/>
        <v>6115406.1600000001</v>
      </c>
      <c r="G627" s="26"/>
      <c r="H627" s="26"/>
      <c r="I627" s="28"/>
      <c r="J627" s="28"/>
      <c r="K627" s="28"/>
      <c r="L627" s="28"/>
      <c r="M627" s="26"/>
      <c r="N627" s="26"/>
      <c r="O627" s="28"/>
      <c r="P627" s="28"/>
      <c r="Q627" s="28"/>
    </row>
    <row r="628" spans="1:17" ht="18">
      <c r="A628" s="22">
        <v>623</v>
      </c>
      <c r="B628" s="23" t="s">
        <v>114</v>
      </c>
      <c r="C628" s="23" t="s">
        <v>620</v>
      </c>
      <c r="D628" s="24">
        <v>2191920.73</v>
      </c>
      <c r="E628" s="24">
        <v>3943093.59</v>
      </c>
      <c r="F628" s="25">
        <f t="shared" si="9"/>
        <v>6135014.3200000003</v>
      </c>
      <c r="G628" s="26"/>
      <c r="H628" s="26"/>
      <c r="I628" s="28"/>
      <c r="J628" s="28"/>
      <c r="K628" s="28"/>
      <c r="L628" s="28"/>
      <c r="M628" s="26"/>
      <c r="N628" s="26"/>
      <c r="O628" s="28"/>
      <c r="P628" s="28"/>
      <c r="Q628" s="28"/>
    </row>
    <row r="629" spans="1:17" ht="18">
      <c r="A629" s="22">
        <v>624</v>
      </c>
      <c r="B629" s="23" t="s">
        <v>114</v>
      </c>
      <c r="C629" s="23" t="s">
        <v>622</v>
      </c>
      <c r="D629" s="24">
        <v>1931576.65</v>
      </c>
      <c r="E629" s="24">
        <v>3474754.98</v>
      </c>
      <c r="F629" s="25">
        <f t="shared" si="9"/>
        <v>5406331.6299999999</v>
      </c>
      <c r="G629" s="26"/>
      <c r="H629" s="26"/>
      <c r="I629" s="28"/>
      <c r="J629" s="28"/>
      <c r="K629" s="28"/>
      <c r="L629" s="28"/>
      <c r="M629" s="26"/>
      <c r="N629" s="26"/>
      <c r="O629" s="28"/>
      <c r="P629" s="28"/>
      <c r="Q629" s="28"/>
    </row>
    <row r="630" spans="1:17" ht="18">
      <c r="A630" s="22">
        <v>625</v>
      </c>
      <c r="B630" s="23" t="s">
        <v>114</v>
      </c>
      <c r="C630" s="23" t="s">
        <v>624</v>
      </c>
      <c r="D630" s="24">
        <v>2149023.64</v>
      </c>
      <c r="E630" s="24">
        <v>3865925.08</v>
      </c>
      <c r="F630" s="25">
        <f t="shared" si="9"/>
        <v>6014948.7199999997</v>
      </c>
      <c r="G630" s="26"/>
      <c r="H630" s="26"/>
      <c r="I630" s="28"/>
      <c r="J630" s="28"/>
      <c r="K630" s="28"/>
      <c r="L630" s="28"/>
      <c r="M630" s="26"/>
      <c r="N630" s="26"/>
      <c r="O630" s="28"/>
      <c r="P630" s="28"/>
      <c r="Q630" s="28"/>
    </row>
    <row r="631" spans="1:17" ht="18">
      <c r="A631" s="22">
        <v>626</v>
      </c>
      <c r="B631" s="23" t="s">
        <v>115</v>
      </c>
      <c r="C631" s="23" t="s">
        <v>628</v>
      </c>
      <c r="D631" s="24">
        <v>2115047.7999999998</v>
      </c>
      <c r="E631" s="24">
        <v>3804805.21</v>
      </c>
      <c r="F631" s="25">
        <f t="shared" si="9"/>
        <v>5919853.0099999998</v>
      </c>
      <c r="G631" s="26"/>
      <c r="H631" s="26"/>
      <c r="I631" s="28"/>
      <c r="J631" s="28"/>
      <c r="K631" s="28"/>
      <c r="L631" s="28"/>
      <c r="M631" s="26"/>
      <c r="N631" s="26"/>
      <c r="O631" s="28"/>
      <c r="P631" s="28"/>
      <c r="Q631" s="28"/>
    </row>
    <row r="632" spans="1:17" ht="18">
      <c r="A632" s="22">
        <v>627</v>
      </c>
      <c r="B632" s="23" t="s">
        <v>115</v>
      </c>
      <c r="C632" s="23" t="s">
        <v>630</v>
      </c>
      <c r="D632" s="24">
        <v>2456201.46</v>
      </c>
      <c r="E632" s="24">
        <v>4418513.8899999997</v>
      </c>
      <c r="F632" s="25">
        <f t="shared" si="9"/>
        <v>6874715.3499999996</v>
      </c>
      <c r="G632" s="26"/>
      <c r="H632" s="26"/>
      <c r="I632" s="28"/>
      <c r="J632" s="28"/>
      <c r="K632" s="28"/>
      <c r="L632" s="28"/>
      <c r="M632" s="26"/>
      <c r="N632" s="26"/>
      <c r="O632" s="28"/>
      <c r="P632" s="28"/>
      <c r="Q632" s="28"/>
    </row>
    <row r="633" spans="1:17" ht="18">
      <c r="A633" s="22">
        <v>628</v>
      </c>
      <c r="B633" s="23" t="s">
        <v>115</v>
      </c>
      <c r="C633" s="23" t="s">
        <v>632</v>
      </c>
      <c r="D633" s="24">
        <v>2446645.04</v>
      </c>
      <c r="E633" s="24">
        <v>4401322.6500000004</v>
      </c>
      <c r="F633" s="25">
        <f t="shared" si="9"/>
        <v>6847967.6900000004</v>
      </c>
      <c r="G633" s="26"/>
      <c r="H633" s="26"/>
      <c r="I633" s="28"/>
      <c r="J633" s="28"/>
      <c r="K633" s="28"/>
      <c r="L633" s="28"/>
      <c r="M633" s="26"/>
      <c r="N633" s="26"/>
      <c r="O633" s="28"/>
      <c r="P633" s="28"/>
      <c r="Q633" s="28"/>
    </row>
    <row r="634" spans="1:17" ht="18">
      <c r="A634" s="22">
        <v>629</v>
      </c>
      <c r="B634" s="23" t="s">
        <v>115</v>
      </c>
      <c r="C634" s="23" t="s">
        <v>634</v>
      </c>
      <c r="D634" s="24">
        <v>2621292.2999999998</v>
      </c>
      <c r="E634" s="24">
        <v>4715499.38</v>
      </c>
      <c r="F634" s="25">
        <f t="shared" si="9"/>
        <v>7336791.6799999997</v>
      </c>
      <c r="G634" s="26"/>
      <c r="H634" s="26"/>
      <c r="I634" s="28"/>
      <c r="J634" s="28"/>
      <c r="K634" s="28"/>
      <c r="L634" s="28"/>
      <c r="M634" s="26"/>
      <c r="N634" s="26"/>
      <c r="O634" s="28"/>
      <c r="P634" s="28"/>
      <c r="Q634" s="28"/>
    </row>
    <row r="635" spans="1:17" ht="18">
      <c r="A635" s="22">
        <v>630</v>
      </c>
      <c r="B635" s="23" t="s">
        <v>115</v>
      </c>
      <c r="C635" s="23" t="s">
        <v>636</v>
      </c>
      <c r="D635" s="24">
        <v>2659563.9900000002</v>
      </c>
      <c r="E635" s="24">
        <v>4784347.16</v>
      </c>
      <c r="F635" s="25">
        <f t="shared" si="9"/>
        <v>7443911.1500000004</v>
      </c>
      <c r="G635" s="26"/>
      <c r="H635" s="26"/>
      <c r="I635" s="28"/>
      <c r="J635" s="28"/>
      <c r="K635" s="28"/>
      <c r="L635" s="28"/>
      <c r="M635" s="26"/>
      <c r="N635" s="26"/>
      <c r="O635" s="28"/>
      <c r="P635" s="28"/>
      <c r="Q635" s="28"/>
    </row>
    <row r="636" spans="1:17" ht="18">
      <c r="A636" s="22">
        <v>631</v>
      </c>
      <c r="B636" s="23" t="s">
        <v>115</v>
      </c>
      <c r="C636" s="23" t="s">
        <v>637</v>
      </c>
      <c r="D636" s="24">
        <v>2733490.43</v>
      </c>
      <c r="E636" s="24">
        <v>4917335.0199999996</v>
      </c>
      <c r="F636" s="25">
        <f t="shared" si="9"/>
        <v>7650825.4500000002</v>
      </c>
      <c r="G636" s="26"/>
      <c r="H636" s="26"/>
      <c r="I636" s="28"/>
      <c r="J636" s="28"/>
      <c r="K636" s="28"/>
      <c r="L636" s="28"/>
      <c r="M636" s="26"/>
      <c r="N636" s="26"/>
      <c r="O636" s="28"/>
      <c r="P636" s="28"/>
      <c r="Q636" s="28"/>
    </row>
    <row r="637" spans="1:17" ht="36">
      <c r="A637" s="22">
        <v>632</v>
      </c>
      <c r="B637" s="23" t="s">
        <v>115</v>
      </c>
      <c r="C637" s="23" t="s">
        <v>640</v>
      </c>
      <c r="D637" s="24">
        <v>2963487.25</v>
      </c>
      <c r="E637" s="24">
        <v>5331081.26</v>
      </c>
      <c r="F637" s="25">
        <f t="shared" si="9"/>
        <v>8294568.5099999998</v>
      </c>
      <c r="G637" s="26"/>
      <c r="H637" s="26"/>
      <c r="I637" s="28"/>
      <c r="J637" s="28"/>
      <c r="K637" s="28"/>
      <c r="L637" s="28"/>
      <c r="M637" s="26"/>
      <c r="N637" s="26"/>
      <c r="O637" s="28"/>
      <c r="P637" s="28"/>
      <c r="Q637" s="28"/>
    </row>
    <row r="638" spans="1:17" ht="36">
      <c r="A638" s="22">
        <v>633</v>
      </c>
      <c r="B638" s="23" t="s">
        <v>115</v>
      </c>
      <c r="C638" s="23" t="s">
        <v>642</v>
      </c>
      <c r="D638" s="24">
        <v>2181017.86</v>
      </c>
      <c r="E638" s="24">
        <v>3923480.17</v>
      </c>
      <c r="F638" s="25">
        <f t="shared" si="9"/>
        <v>6104498.0300000003</v>
      </c>
      <c r="G638" s="26"/>
      <c r="H638" s="26"/>
      <c r="I638" s="28"/>
      <c r="J638" s="28"/>
      <c r="K638" s="28"/>
      <c r="L638" s="28"/>
      <c r="M638" s="26"/>
      <c r="N638" s="26"/>
      <c r="O638" s="28"/>
      <c r="P638" s="28"/>
      <c r="Q638" s="28"/>
    </row>
    <row r="639" spans="1:17" ht="36">
      <c r="A639" s="22">
        <v>634</v>
      </c>
      <c r="B639" s="23" t="s">
        <v>115</v>
      </c>
      <c r="C639" s="23" t="s">
        <v>644</v>
      </c>
      <c r="D639" s="24">
        <v>2588407.91</v>
      </c>
      <c r="E639" s="24">
        <v>4656342.9400000004</v>
      </c>
      <c r="F639" s="25">
        <f t="shared" si="9"/>
        <v>7244750.8499999996</v>
      </c>
      <c r="G639" s="26"/>
      <c r="H639" s="26"/>
      <c r="I639" s="28"/>
      <c r="J639" s="28"/>
      <c r="K639" s="28"/>
      <c r="L639" s="28"/>
      <c r="M639" s="26"/>
      <c r="N639" s="26"/>
      <c r="O639" s="28"/>
      <c r="P639" s="28"/>
      <c r="Q639" s="28"/>
    </row>
    <row r="640" spans="1:17" ht="36">
      <c r="A640" s="22">
        <v>635</v>
      </c>
      <c r="B640" s="23" t="s">
        <v>115</v>
      </c>
      <c r="C640" s="23" t="s">
        <v>646</v>
      </c>
      <c r="D640" s="24">
        <v>2709944.14</v>
      </c>
      <c r="E640" s="24">
        <v>4874977.09</v>
      </c>
      <c r="F640" s="25">
        <f t="shared" si="9"/>
        <v>7584921.2300000004</v>
      </c>
      <c r="G640" s="26"/>
      <c r="H640" s="26"/>
      <c r="I640" s="28"/>
      <c r="J640" s="28"/>
      <c r="K640" s="28"/>
      <c r="L640" s="28"/>
      <c r="M640" s="26"/>
      <c r="N640" s="26"/>
      <c r="O640" s="28"/>
      <c r="P640" s="28"/>
      <c r="Q640" s="28"/>
    </row>
    <row r="641" spans="1:17" ht="36">
      <c r="A641" s="22">
        <v>636</v>
      </c>
      <c r="B641" s="23" t="s">
        <v>115</v>
      </c>
      <c r="C641" s="23" t="s">
        <v>648</v>
      </c>
      <c r="D641" s="24">
        <v>1959928.59</v>
      </c>
      <c r="E641" s="24">
        <v>3525757.9</v>
      </c>
      <c r="F641" s="25">
        <f t="shared" si="9"/>
        <v>5485686.4900000002</v>
      </c>
      <c r="G641" s="26"/>
      <c r="H641" s="26"/>
      <c r="I641" s="28"/>
      <c r="J641" s="28"/>
      <c r="K641" s="28"/>
      <c r="L641" s="28"/>
      <c r="M641" s="26"/>
      <c r="N641" s="26"/>
      <c r="O641" s="28"/>
      <c r="P641" s="28"/>
      <c r="Q641" s="28"/>
    </row>
    <row r="642" spans="1:17" ht="18">
      <c r="A642" s="22">
        <v>637</v>
      </c>
      <c r="B642" s="23" t="s">
        <v>115</v>
      </c>
      <c r="C642" s="23" t="s">
        <v>650</v>
      </c>
      <c r="D642" s="24">
        <v>2043971.1</v>
      </c>
      <c r="E642" s="24">
        <v>3676943.79</v>
      </c>
      <c r="F642" s="25">
        <f t="shared" si="9"/>
        <v>5720914.8899999997</v>
      </c>
      <c r="G642" s="26"/>
      <c r="H642" s="26"/>
      <c r="I642" s="28"/>
      <c r="J642" s="28"/>
      <c r="K642" s="28"/>
      <c r="L642" s="28"/>
      <c r="M642" s="26"/>
      <c r="N642" s="26"/>
      <c r="O642" s="28"/>
      <c r="P642" s="28"/>
      <c r="Q642" s="28"/>
    </row>
    <row r="643" spans="1:17" ht="18">
      <c r="A643" s="22">
        <v>638</v>
      </c>
      <c r="B643" s="23" t="s">
        <v>115</v>
      </c>
      <c r="C643" s="23" t="s">
        <v>652</v>
      </c>
      <c r="D643" s="24">
        <v>2003711.37</v>
      </c>
      <c r="E643" s="24">
        <v>3604519.7</v>
      </c>
      <c r="F643" s="25">
        <f t="shared" si="9"/>
        <v>5608231.0700000003</v>
      </c>
      <c r="G643" s="26"/>
      <c r="H643" s="26"/>
      <c r="I643" s="28"/>
      <c r="J643" s="28"/>
      <c r="K643" s="28"/>
      <c r="L643" s="28"/>
      <c r="M643" s="26"/>
      <c r="N643" s="26"/>
      <c r="O643" s="28"/>
      <c r="P643" s="28"/>
      <c r="Q643" s="28"/>
    </row>
    <row r="644" spans="1:17" ht="18">
      <c r="A644" s="22">
        <v>639</v>
      </c>
      <c r="B644" s="23" t="s">
        <v>115</v>
      </c>
      <c r="C644" s="23" t="s">
        <v>654</v>
      </c>
      <c r="D644" s="24">
        <v>2976040.29</v>
      </c>
      <c r="E644" s="24">
        <v>5353663.21</v>
      </c>
      <c r="F644" s="25">
        <f t="shared" si="9"/>
        <v>8329703.5</v>
      </c>
      <c r="G644" s="26"/>
      <c r="H644" s="26"/>
      <c r="I644" s="28"/>
      <c r="J644" s="28"/>
      <c r="K644" s="28"/>
      <c r="L644" s="28"/>
      <c r="M644" s="26"/>
      <c r="N644" s="26"/>
      <c r="O644" s="28"/>
      <c r="P644" s="28"/>
      <c r="Q644" s="28"/>
    </row>
    <row r="645" spans="1:17" ht="18">
      <c r="A645" s="22">
        <v>640</v>
      </c>
      <c r="B645" s="23" t="s">
        <v>115</v>
      </c>
      <c r="C645" s="23" t="s">
        <v>656</v>
      </c>
      <c r="D645" s="24">
        <v>2029381.45</v>
      </c>
      <c r="E645" s="24">
        <v>3650698.15</v>
      </c>
      <c r="F645" s="25">
        <f t="shared" si="9"/>
        <v>5680079.5999999996</v>
      </c>
      <c r="G645" s="26"/>
      <c r="H645" s="26"/>
      <c r="I645" s="28"/>
      <c r="J645" s="28"/>
      <c r="K645" s="28"/>
      <c r="L645" s="28"/>
      <c r="M645" s="26"/>
      <c r="N645" s="26"/>
      <c r="O645" s="28"/>
      <c r="P645" s="28"/>
      <c r="Q645" s="28"/>
    </row>
    <row r="646" spans="1:17" ht="18">
      <c r="A646" s="22">
        <v>641</v>
      </c>
      <c r="B646" s="23" t="s">
        <v>115</v>
      </c>
      <c r="C646" s="23" t="s">
        <v>658</v>
      </c>
      <c r="D646" s="24">
        <v>2129547.7799999998</v>
      </c>
      <c r="E646" s="24">
        <v>3830889.52</v>
      </c>
      <c r="F646" s="25">
        <f t="shared" si="9"/>
        <v>5960437.2999999998</v>
      </c>
      <c r="G646" s="26"/>
      <c r="H646" s="26"/>
      <c r="I646" s="28"/>
      <c r="J646" s="28"/>
      <c r="K646" s="28"/>
      <c r="L646" s="28"/>
      <c r="M646" s="26"/>
      <c r="N646" s="26"/>
      <c r="O646" s="28"/>
      <c r="P646" s="28"/>
      <c r="Q646" s="28"/>
    </row>
    <row r="647" spans="1:17" ht="18">
      <c r="A647" s="22">
        <v>642</v>
      </c>
      <c r="B647" s="23" t="s">
        <v>115</v>
      </c>
      <c r="C647" s="23" t="s">
        <v>660</v>
      </c>
      <c r="D647" s="24">
        <v>2782290.09</v>
      </c>
      <c r="E647" s="24">
        <v>5005121.78</v>
      </c>
      <c r="F647" s="25">
        <f t="shared" ref="F647:F710" si="10">D647+E647</f>
        <v>7787411.8700000001</v>
      </c>
      <c r="G647" s="26"/>
      <c r="H647" s="26"/>
      <c r="I647" s="28"/>
      <c r="J647" s="28"/>
      <c r="K647" s="28"/>
      <c r="L647" s="28"/>
      <c r="M647" s="26"/>
      <c r="N647" s="26"/>
      <c r="O647" s="28"/>
      <c r="P647" s="28"/>
      <c r="Q647" s="28"/>
    </row>
    <row r="648" spans="1:17" ht="18">
      <c r="A648" s="22">
        <v>643</v>
      </c>
      <c r="B648" s="23" t="s">
        <v>115</v>
      </c>
      <c r="C648" s="23" t="s">
        <v>662</v>
      </c>
      <c r="D648" s="24">
        <v>2405777.2000000002</v>
      </c>
      <c r="E648" s="24">
        <v>4327804.5999999996</v>
      </c>
      <c r="F648" s="25">
        <f t="shared" si="10"/>
        <v>6733581.7999999998</v>
      </c>
      <c r="G648" s="26"/>
      <c r="H648" s="26"/>
      <c r="I648" s="28"/>
      <c r="J648" s="28"/>
      <c r="K648" s="28"/>
      <c r="L648" s="28"/>
      <c r="M648" s="26"/>
      <c r="N648" s="26"/>
      <c r="O648" s="28"/>
      <c r="P648" s="28"/>
      <c r="Q648" s="28"/>
    </row>
    <row r="649" spans="1:17" ht="18">
      <c r="A649" s="22">
        <v>644</v>
      </c>
      <c r="B649" s="23" t="s">
        <v>115</v>
      </c>
      <c r="C649" s="23" t="s">
        <v>664</v>
      </c>
      <c r="D649" s="24">
        <v>2208538.64</v>
      </c>
      <c r="E649" s="24">
        <v>3972987.9</v>
      </c>
      <c r="F649" s="25">
        <f t="shared" si="10"/>
        <v>6181526.54</v>
      </c>
      <c r="G649" s="26"/>
      <c r="H649" s="26"/>
      <c r="I649" s="28"/>
      <c r="J649" s="28"/>
      <c r="K649" s="28"/>
      <c r="L649" s="28"/>
      <c r="M649" s="26"/>
      <c r="N649" s="26"/>
      <c r="O649" s="28"/>
      <c r="P649" s="28"/>
      <c r="Q649" s="28"/>
    </row>
    <row r="650" spans="1:17" ht="18">
      <c r="A650" s="22">
        <v>645</v>
      </c>
      <c r="B650" s="23" t="s">
        <v>115</v>
      </c>
      <c r="C650" s="23" t="s">
        <v>666</v>
      </c>
      <c r="D650" s="24">
        <v>1994184.46</v>
      </c>
      <c r="E650" s="24">
        <v>3587381.53</v>
      </c>
      <c r="F650" s="25">
        <f t="shared" si="10"/>
        <v>5581565.9900000002</v>
      </c>
      <c r="G650" s="26"/>
      <c r="H650" s="26"/>
      <c r="I650" s="28"/>
      <c r="J650" s="28"/>
      <c r="K650" s="28"/>
      <c r="L650" s="28"/>
      <c r="M650" s="26"/>
      <c r="N650" s="26"/>
      <c r="O650" s="28"/>
      <c r="P650" s="28"/>
      <c r="Q650" s="28"/>
    </row>
    <row r="651" spans="1:17" ht="18">
      <c r="A651" s="22">
        <v>646</v>
      </c>
      <c r="B651" s="23" t="s">
        <v>115</v>
      </c>
      <c r="C651" s="23" t="s">
        <v>668</v>
      </c>
      <c r="D651" s="24">
        <v>2462806.06</v>
      </c>
      <c r="E651" s="24">
        <v>4430395.0599999996</v>
      </c>
      <c r="F651" s="25">
        <f t="shared" si="10"/>
        <v>6893201.1200000001</v>
      </c>
      <c r="G651" s="26"/>
      <c r="H651" s="26"/>
      <c r="I651" s="28"/>
      <c r="J651" s="28"/>
      <c r="K651" s="28"/>
      <c r="L651" s="28"/>
      <c r="M651" s="26"/>
      <c r="N651" s="26"/>
      <c r="O651" s="28"/>
      <c r="P651" s="28"/>
      <c r="Q651" s="28"/>
    </row>
    <row r="652" spans="1:17" ht="18">
      <c r="A652" s="22">
        <v>647</v>
      </c>
      <c r="B652" s="23" t="s">
        <v>115</v>
      </c>
      <c r="C652" s="23" t="s">
        <v>670</v>
      </c>
      <c r="D652" s="24">
        <v>2281210.14</v>
      </c>
      <c r="E652" s="24">
        <v>4103718.24</v>
      </c>
      <c r="F652" s="25">
        <f t="shared" si="10"/>
        <v>6384928.3799999999</v>
      </c>
      <c r="G652" s="26"/>
      <c r="H652" s="26"/>
      <c r="I652" s="28"/>
      <c r="J652" s="28"/>
      <c r="K652" s="28"/>
      <c r="L652" s="28"/>
      <c r="M652" s="26"/>
      <c r="N652" s="26"/>
      <c r="O652" s="28"/>
      <c r="P652" s="28"/>
      <c r="Q652" s="28"/>
    </row>
    <row r="653" spans="1:17" ht="36">
      <c r="A653" s="22">
        <v>648</v>
      </c>
      <c r="B653" s="23" t="s">
        <v>115</v>
      </c>
      <c r="C653" s="23" t="s">
        <v>672</v>
      </c>
      <c r="D653" s="24">
        <v>2361625.5699999998</v>
      </c>
      <c r="E653" s="24">
        <v>4248379.28</v>
      </c>
      <c r="F653" s="25">
        <f t="shared" si="10"/>
        <v>6610004.8499999996</v>
      </c>
      <c r="G653" s="26"/>
      <c r="H653" s="26"/>
      <c r="I653" s="28"/>
      <c r="J653" s="28"/>
      <c r="K653" s="28"/>
      <c r="L653" s="28"/>
      <c r="M653" s="26"/>
      <c r="N653" s="26"/>
      <c r="O653" s="28"/>
      <c r="P653" s="28"/>
      <c r="Q653" s="28"/>
    </row>
    <row r="654" spans="1:17" ht="36">
      <c r="A654" s="22">
        <v>649</v>
      </c>
      <c r="B654" s="23" t="s">
        <v>115</v>
      </c>
      <c r="C654" s="23" t="s">
        <v>674</v>
      </c>
      <c r="D654" s="24">
        <v>2021723.72</v>
      </c>
      <c r="E654" s="24">
        <v>3636922.49</v>
      </c>
      <c r="F654" s="25">
        <f t="shared" si="10"/>
        <v>5658646.21</v>
      </c>
      <c r="G654" s="26"/>
      <c r="H654" s="26"/>
      <c r="I654" s="28"/>
      <c r="J654" s="28"/>
      <c r="K654" s="28"/>
      <c r="L654" s="28"/>
      <c r="M654" s="26"/>
      <c r="N654" s="26"/>
      <c r="O654" s="28"/>
      <c r="P654" s="28"/>
      <c r="Q654" s="28"/>
    </row>
    <row r="655" spans="1:17" ht="18">
      <c r="A655" s="22">
        <v>650</v>
      </c>
      <c r="B655" s="23" t="s">
        <v>115</v>
      </c>
      <c r="C655" s="23" t="s">
        <v>676</v>
      </c>
      <c r="D655" s="24">
        <v>1850076.31</v>
      </c>
      <c r="E655" s="24">
        <v>3328142.27</v>
      </c>
      <c r="F655" s="25">
        <f t="shared" si="10"/>
        <v>5178218.58</v>
      </c>
      <c r="G655" s="26"/>
      <c r="H655" s="26"/>
      <c r="I655" s="28"/>
      <c r="J655" s="28"/>
      <c r="K655" s="28"/>
      <c r="L655" s="28"/>
      <c r="M655" s="26"/>
      <c r="N655" s="26"/>
      <c r="O655" s="28"/>
      <c r="P655" s="28"/>
      <c r="Q655" s="28"/>
    </row>
    <row r="656" spans="1:17" ht="18">
      <c r="A656" s="22">
        <v>651</v>
      </c>
      <c r="B656" s="23" t="s">
        <v>115</v>
      </c>
      <c r="C656" s="23" t="s">
        <v>678</v>
      </c>
      <c r="D656" s="24">
        <v>2452381.5299999998</v>
      </c>
      <c r="E656" s="24">
        <v>4411642.1500000004</v>
      </c>
      <c r="F656" s="25">
        <f t="shared" si="10"/>
        <v>6864023.6799999997</v>
      </c>
      <c r="G656" s="26"/>
      <c r="H656" s="26"/>
      <c r="I656" s="28"/>
      <c r="J656" s="28"/>
      <c r="K656" s="28"/>
      <c r="L656" s="28"/>
      <c r="M656" s="26"/>
      <c r="N656" s="26"/>
      <c r="O656" s="28"/>
      <c r="P656" s="28"/>
      <c r="Q656" s="28"/>
    </row>
    <row r="657" spans="1:17" ht="18">
      <c r="A657" s="22">
        <v>652</v>
      </c>
      <c r="B657" s="23" t="s">
        <v>115</v>
      </c>
      <c r="C657" s="23" t="s">
        <v>680</v>
      </c>
      <c r="D657" s="24">
        <v>2671938.2200000002</v>
      </c>
      <c r="E657" s="24">
        <v>4806607.42</v>
      </c>
      <c r="F657" s="25">
        <f t="shared" si="10"/>
        <v>7478545.6399999997</v>
      </c>
      <c r="G657" s="26"/>
      <c r="H657" s="26"/>
      <c r="I657" s="28"/>
      <c r="J657" s="28"/>
      <c r="K657" s="28"/>
      <c r="L657" s="28"/>
      <c r="M657" s="26"/>
      <c r="N657" s="26"/>
      <c r="O657" s="28"/>
      <c r="P657" s="28"/>
      <c r="Q657" s="28"/>
    </row>
    <row r="658" spans="1:17" ht="18">
      <c r="A658" s="22">
        <v>653</v>
      </c>
      <c r="B658" s="23" t="s">
        <v>115</v>
      </c>
      <c r="C658" s="23" t="s">
        <v>682</v>
      </c>
      <c r="D658" s="24">
        <v>2046450.65</v>
      </c>
      <c r="E658" s="24">
        <v>3681404.31</v>
      </c>
      <c r="F658" s="25">
        <f t="shared" si="10"/>
        <v>5727854.96</v>
      </c>
      <c r="G658" s="26"/>
      <c r="H658" s="26"/>
      <c r="I658" s="28"/>
      <c r="J658" s="28"/>
      <c r="K658" s="28"/>
      <c r="L658" s="28"/>
      <c r="M658" s="26"/>
      <c r="N658" s="26"/>
      <c r="O658" s="28"/>
      <c r="P658" s="28"/>
      <c r="Q658" s="28"/>
    </row>
    <row r="659" spans="1:17" ht="18">
      <c r="A659" s="22">
        <v>654</v>
      </c>
      <c r="B659" s="23" t="s">
        <v>115</v>
      </c>
      <c r="C659" s="23" t="s">
        <v>684</v>
      </c>
      <c r="D659" s="24">
        <v>2461094.0699999998</v>
      </c>
      <c r="E659" s="24">
        <v>4427315.33</v>
      </c>
      <c r="F659" s="25">
        <f t="shared" si="10"/>
        <v>6888409.4000000004</v>
      </c>
      <c r="G659" s="26"/>
      <c r="H659" s="26"/>
      <c r="I659" s="28"/>
      <c r="J659" s="28"/>
      <c r="K659" s="28"/>
      <c r="L659" s="28"/>
      <c r="M659" s="26"/>
      <c r="N659" s="26"/>
      <c r="O659" s="28"/>
      <c r="P659" s="28"/>
      <c r="Q659" s="28"/>
    </row>
    <row r="660" spans="1:17" ht="18">
      <c r="A660" s="22">
        <v>655</v>
      </c>
      <c r="B660" s="23" t="s">
        <v>115</v>
      </c>
      <c r="C660" s="23" t="s">
        <v>686</v>
      </c>
      <c r="D660" s="24">
        <v>2077984.58</v>
      </c>
      <c r="E660" s="24">
        <v>3738131.37</v>
      </c>
      <c r="F660" s="25">
        <f t="shared" si="10"/>
        <v>5816115.9500000002</v>
      </c>
      <c r="G660" s="26"/>
      <c r="H660" s="26"/>
      <c r="I660" s="28"/>
      <c r="J660" s="28"/>
      <c r="K660" s="28"/>
      <c r="L660" s="28"/>
      <c r="M660" s="26"/>
      <c r="N660" s="26"/>
      <c r="O660" s="28"/>
      <c r="P660" s="28"/>
      <c r="Q660" s="28"/>
    </row>
    <row r="661" spans="1:17" ht="18">
      <c r="A661" s="22">
        <v>656</v>
      </c>
      <c r="B661" s="23" t="s">
        <v>115</v>
      </c>
      <c r="C661" s="23" t="s">
        <v>688</v>
      </c>
      <c r="D661" s="24">
        <v>2087055.91</v>
      </c>
      <c r="E661" s="24">
        <v>3754449.99</v>
      </c>
      <c r="F661" s="25">
        <f t="shared" si="10"/>
        <v>5841505.9000000004</v>
      </c>
      <c r="G661" s="26"/>
      <c r="H661" s="26"/>
      <c r="I661" s="28"/>
      <c r="J661" s="28"/>
      <c r="K661" s="28"/>
      <c r="L661" s="28"/>
      <c r="M661" s="26"/>
      <c r="N661" s="26"/>
      <c r="O661" s="28"/>
      <c r="P661" s="28"/>
      <c r="Q661" s="28"/>
    </row>
    <row r="662" spans="1:17" ht="18">
      <c r="A662" s="22">
        <v>657</v>
      </c>
      <c r="B662" s="23" t="s">
        <v>115</v>
      </c>
      <c r="C662" s="23" t="s">
        <v>690</v>
      </c>
      <c r="D662" s="24">
        <v>2076921.3</v>
      </c>
      <c r="E662" s="24">
        <v>3736218.63</v>
      </c>
      <c r="F662" s="25">
        <f t="shared" si="10"/>
        <v>5813139.9299999997</v>
      </c>
      <c r="G662" s="26"/>
      <c r="H662" s="26"/>
      <c r="I662" s="28"/>
      <c r="J662" s="28"/>
      <c r="K662" s="28"/>
      <c r="L662" s="28"/>
      <c r="M662" s="26"/>
      <c r="N662" s="26"/>
      <c r="O662" s="28"/>
      <c r="P662" s="28"/>
      <c r="Q662" s="28"/>
    </row>
    <row r="663" spans="1:17" ht="18">
      <c r="A663" s="22">
        <v>658</v>
      </c>
      <c r="B663" s="23" t="s">
        <v>115</v>
      </c>
      <c r="C663" s="23" t="s">
        <v>692</v>
      </c>
      <c r="D663" s="24">
        <v>2394045.7200000002</v>
      </c>
      <c r="E663" s="24">
        <v>4306700.5999999996</v>
      </c>
      <c r="F663" s="25">
        <f t="shared" si="10"/>
        <v>6700746.3200000003</v>
      </c>
      <c r="G663" s="26"/>
      <c r="H663" s="26"/>
      <c r="I663" s="28"/>
      <c r="J663" s="28"/>
      <c r="K663" s="28"/>
      <c r="L663" s="28"/>
      <c r="M663" s="26"/>
      <c r="N663" s="26"/>
      <c r="O663" s="28"/>
      <c r="P663" s="28"/>
      <c r="Q663" s="28"/>
    </row>
    <row r="664" spans="1:17" ht="18">
      <c r="A664" s="22">
        <v>659</v>
      </c>
      <c r="B664" s="23" t="s">
        <v>116</v>
      </c>
      <c r="C664" s="23" t="s">
        <v>696</v>
      </c>
      <c r="D664" s="24">
        <v>2823984.58</v>
      </c>
      <c r="E664" s="24">
        <v>5080126.91</v>
      </c>
      <c r="F664" s="25">
        <f t="shared" si="10"/>
        <v>7904111.4900000002</v>
      </c>
      <c r="G664" s="26"/>
      <c r="H664" s="26"/>
      <c r="I664" s="28"/>
      <c r="J664" s="28"/>
      <c r="K664" s="28"/>
      <c r="L664" s="28"/>
      <c r="M664" s="26"/>
      <c r="N664" s="26"/>
      <c r="O664" s="28"/>
      <c r="P664" s="28"/>
      <c r="Q664" s="28"/>
    </row>
    <row r="665" spans="1:17" ht="18">
      <c r="A665" s="22">
        <v>660</v>
      </c>
      <c r="B665" s="23" t="s">
        <v>116</v>
      </c>
      <c r="C665" s="23" t="s">
        <v>291</v>
      </c>
      <c r="D665" s="24">
        <v>2848705.15</v>
      </c>
      <c r="E665" s="24">
        <v>5124597.28</v>
      </c>
      <c r="F665" s="25">
        <f t="shared" si="10"/>
        <v>7973302.4299999997</v>
      </c>
      <c r="G665" s="26"/>
      <c r="H665" s="26"/>
      <c r="I665" s="28"/>
      <c r="J665" s="28"/>
      <c r="K665" s="28"/>
      <c r="L665" s="28"/>
      <c r="M665" s="26"/>
      <c r="N665" s="26"/>
      <c r="O665" s="28"/>
      <c r="P665" s="28"/>
      <c r="Q665" s="28"/>
    </row>
    <row r="666" spans="1:17" ht="18">
      <c r="A666" s="22">
        <v>661</v>
      </c>
      <c r="B666" s="23" t="s">
        <v>116</v>
      </c>
      <c r="C666" s="23" t="s">
        <v>699</v>
      </c>
      <c r="D666" s="24">
        <v>2836291.61</v>
      </c>
      <c r="E666" s="24">
        <v>5102266.29</v>
      </c>
      <c r="F666" s="25">
        <f t="shared" si="10"/>
        <v>7938557.9000000004</v>
      </c>
      <c r="G666" s="26"/>
      <c r="H666" s="26"/>
      <c r="I666" s="28"/>
      <c r="J666" s="28"/>
      <c r="K666" s="28"/>
      <c r="L666" s="28"/>
      <c r="M666" s="26"/>
      <c r="N666" s="26"/>
      <c r="O666" s="28"/>
      <c r="P666" s="28"/>
      <c r="Q666" s="28"/>
    </row>
    <row r="667" spans="1:17" ht="18">
      <c r="A667" s="22">
        <v>662</v>
      </c>
      <c r="B667" s="23" t="s">
        <v>116</v>
      </c>
      <c r="C667" s="23" t="s">
        <v>701</v>
      </c>
      <c r="D667" s="24">
        <v>2153291.37</v>
      </c>
      <c r="E667" s="24">
        <v>3873602.38</v>
      </c>
      <c r="F667" s="25">
        <f t="shared" si="10"/>
        <v>6026893.75</v>
      </c>
      <c r="G667" s="26"/>
      <c r="H667" s="26"/>
      <c r="I667" s="28"/>
      <c r="J667" s="28"/>
      <c r="K667" s="28"/>
      <c r="L667" s="28"/>
      <c r="M667" s="26"/>
      <c r="N667" s="26"/>
      <c r="O667" s="28"/>
      <c r="P667" s="28"/>
      <c r="Q667" s="28"/>
    </row>
    <row r="668" spans="1:17" ht="18">
      <c r="A668" s="22">
        <v>663</v>
      </c>
      <c r="B668" s="23" t="s">
        <v>116</v>
      </c>
      <c r="C668" s="23" t="s">
        <v>703</v>
      </c>
      <c r="D668" s="24">
        <v>3746433.1</v>
      </c>
      <c r="E668" s="24">
        <v>6739539.4900000002</v>
      </c>
      <c r="F668" s="25">
        <f t="shared" si="10"/>
        <v>10485972.59</v>
      </c>
      <c r="G668" s="26"/>
      <c r="H668" s="26"/>
      <c r="I668" s="28"/>
      <c r="J668" s="28"/>
      <c r="K668" s="28"/>
      <c r="L668" s="28"/>
      <c r="M668" s="26"/>
      <c r="N668" s="26"/>
      <c r="O668" s="28"/>
      <c r="P668" s="28"/>
      <c r="Q668" s="28"/>
    </row>
    <row r="669" spans="1:17" ht="18">
      <c r="A669" s="22">
        <v>664</v>
      </c>
      <c r="B669" s="23" t="s">
        <v>116</v>
      </c>
      <c r="C669" s="23" t="s">
        <v>705</v>
      </c>
      <c r="D669" s="24">
        <v>3239711.45</v>
      </c>
      <c r="E669" s="24">
        <v>5827986.9500000002</v>
      </c>
      <c r="F669" s="25">
        <f t="shared" si="10"/>
        <v>9067698.4000000004</v>
      </c>
      <c r="G669" s="26"/>
      <c r="H669" s="26"/>
      <c r="I669" s="28"/>
      <c r="J669" s="28"/>
      <c r="K669" s="28"/>
      <c r="L669" s="28"/>
      <c r="M669" s="26"/>
      <c r="N669" s="26"/>
      <c r="O669" s="28"/>
      <c r="P669" s="28"/>
      <c r="Q669" s="28"/>
    </row>
    <row r="670" spans="1:17" ht="18">
      <c r="A670" s="22">
        <v>665</v>
      </c>
      <c r="B670" s="23" t="s">
        <v>116</v>
      </c>
      <c r="C670" s="23" t="s">
        <v>707</v>
      </c>
      <c r="D670" s="24">
        <v>2843959.64</v>
      </c>
      <c r="E670" s="24">
        <v>5116060.47</v>
      </c>
      <c r="F670" s="25">
        <f t="shared" si="10"/>
        <v>7960020.1100000003</v>
      </c>
      <c r="G670" s="26"/>
      <c r="H670" s="26"/>
      <c r="I670" s="28"/>
      <c r="J670" s="28"/>
      <c r="K670" s="28"/>
      <c r="L670" s="28"/>
      <c r="M670" s="26"/>
      <c r="N670" s="26"/>
      <c r="O670" s="28"/>
      <c r="P670" s="28"/>
      <c r="Q670" s="28"/>
    </row>
    <row r="671" spans="1:17" ht="18">
      <c r="A671" s="22">
        <v>666</v>
      </c>
      <c r="B671" s="23" t="s">
        <v>116</v>
      </c>
      <c r="C671" s="23" t="s">
        <v>710</v>
      </c>
      <c r="D671" s="24">
        <v>2511675.13</v>
      </c>
      <c r="E671" s="24">
        <v>4518306.68</v>
      </c>
      <c r="F671" s="25">
        <f t="shared" si="10"/>
        <v>7029981.8099999996</v>
      </c>
      <c r="G671" s="26"/>
      <c r="H671" s="26"/>
      <c r="I671" s="28"/>
      <c r="J671" s="28"/>
      <c r="K671" s="28"/>
      <c r="L671" s="28"/>
      <c r="M671" s="26"/>
      <c r="N671" s="26"/>
      <c r="O671" s="28"/>
      <c r="P671" s="28"/>
      <c r="Q671" s="28"/>
    </row>
    <row r="672" spans="1:17" ht="36">
      <c r="A672" s="22">
        <v>667</v>
      </c>
      <c r="B672" s="23" t="s">
        <v>116</v>
      </c>
      <c r="C672" s="23" t="s">
        <v>712</v>
      </c>
      <c r="D672" s="24">
        <v>2576164.2000000002</v>
      </c>
      <c r="E672" s="24">
        <v>4634317.47</v>
      </c>
      <c r="F672" s="25">
        <f t="shared" si="10"/>
        <v>7210481.6699999999</v>
      </c>
      <c r="G672" s="26"/>
      <c r="H672" s="26"/>
      <c r="I672" s="28"/>
      <c r="J672" s="28"/>
      <c r="K672" s="28"/>
      <c r="L672" s="28"/>
      <c r="M672" s="26"/>
      <c r="N672" s="26"/>
      <c r="O672" s="28"/>
      <c r="P672" s="28"/>
      <c r="Q672" s="28"/>
    </row>
    <row r="673" spans="1:17" ht="36">
      <c r="A673" s="22">
        <v>668</v>
      </c>
      <c r="B673" s="23" t="s">
        <v>116</v>
      </c>
      <c r="C673" s="23" t="s">
        <v>714</v>
      </c>
      <c r="D673" s="24">
        <v>2443865.09</v>
      </c>
      <c r="E673" s="24">
        <v>4396321.74</v>
      </c>
      <c r="F673" s="25">
        <f t="shared" si="10"/>
        <v>6840186.8300000001</v>
      </c>
      <c r="G673" s="26"/>
      <c r="H673" s="26"/>
      <c r="I673" s="28"/>
      <c r="J673" s="28"/>
      <c r="K673" s="28"/>
      <c r="L673" s="28"/>
      <c r="M673" s="26"/>
      <c r="N673" s="26"/>
      <c r="O673" s="28"/>
      <c r="P673" s="28"/>
      <c r="Q673" s="28"/>
    </row>
    <row r="674" spans="1:17" ht="18">
      <c r="A674" s="22">
        <v>669</v>
      </c>
      <c r="B674" s="23" t="s">
        <v>116</v>
      </c>
      <c r="C674" s="23" t="s">
        <v>716</v>
      </c>
      <c r="D674" s="24">
        <v>3376516.58</v>
      </c>
      <c r="E674" s="24">
        <v>6074088.6600000001</v>
      </c>
      <c r="F674" s="25">
        <f t="shared" si="10"/>
        <v>9450605.2400000002</v>
      </c>
      <c r="G674" s="26"/>
      <c r="H674" s="26"/>
      <c r="I674" s="28"/>
      <c r="J674" s="28"/>
      <c r="K674" s="28"/>
      <c r="L674" s="28"/>
      <c r="M674" s="26"/>
      <c r="N674" s="26"/>
      <c r="O674" s="28"/>
      <c r="P674" s="28"/>
      <c r="Q674" s="28"/>
    </row>
    <row r="675" spans="1:17" ht="18">
      <c r="A675" s="22">
        <v>670</v>
      </c>
      <c r="B675" s="23" t="s">
        <v>116</v>
      </c>
      <c r="C675" s="23" t="s">
        <v>718</v>
      </c>
      <c r="D675" s="24">
        <v>2273247.67</v>
      </c>
      <c r="E675" s="24">
        <v>4089394.37</v>
      </c>
      <c r="F675" s="25">
        <f t="shared" si="10"/>
        <v>6362642.04</v>
      </c>
      <c r="G675" s="26"/>
      <c r="H675" s="26"/>
      <c r="I675" s="28"/>
      <c r="J675" s="28"/>
      <c r="K675" s="28"/>
      <c r="L675" s="28"/>
      <c r="M675" s="26"/>
      <c r="N675" s="26"/>
      <c r="O675" s="28"/>
      <c r="P675" s="28"/>
      <c r="Q675" s="28"/>
    </row>
    <row r="676" spans="1:17" ht="18">
      <c r="A676" s="22">
        <v>671</v>
      </c>
      <c r="B676" s="23" t="s">
        <v>116</v>
      </c>
      <c r="C676" s="23" t="s">
        <v>719</v>
      </c>
      <c r="D676" s="24">
        <v>3034829.63</v>
      </c>
      <c r="E676" s="24">
        <v>5459420.6200000001</v>
      </c>
      <c r="F676" s="25">
        <f t="shared" si="10"/>
        <v>8494250.25</v>
      </c>
      <c r="G676" s="26"/>
      <c r="H676" s="26"/>
      <c r="I676" s="28"/>
      <c r="J676" s="28"/>
      <c r="K676" s="28"/>
      <c r="L676" s="28"/>
      <c r="M676" s="26"/>
      <c r="N676" s="26"/>
      <c r="O676" s="28"/>
      <c r="P676" s="28"/>
      <c r="Q676" s="28"/>
    </row>
    <row r="677" spans="1:17" ht="18">
      <c r="A677" s="22">
        <v>672</v>
      </c>
      <c r="B677" s="23" t="s">
        <v>116</v>
      </c>
      <c r="C677" s="23" t="s">
        <v>721</v>
      </c>
      <c r="D677" s="24">
        <v>3030440.26</v>
      </c>
      <c r="E677" s="24">
        <v>5451524.4900000002</v>
      </c>
      <c r="F677" s="25">
        <f t="shared" si="10"/>
        <v>8481964.75</v>
      </c>
      <c r="G677" s="26"/>
      <c r="H677" s="26"/>
      <c r="I677" s="28"/>
      <c r="J677" s="28"/>
      <c r="K677" s="28"/>
      <c r="L677" s="28"/>
      <c r="M677" s="26"/>
      <c r="N677" s="26"/>
      <c r="O677" s="28"/>
      <c r="P677" s="28"/>
      <c r="Q677" s="28"/>
    </row>
    <row r="678" spans="1:17" ht="18">
      <c r="A678" s="22">
        <v>673</v>
      </c>
      <c r="B678" s="23" t="s">
        <v>116</v>
      </c>
      <c r="C678" s="23" t="s">
        <v>723</v>
      </c>
      <c r="D678" s="24">
        <v>2394885.02</v>
      </c>
      <c r="E678" s="24">
        <v>4308210.4400000004</v>
      </c>
      <c r="F678" s="25">
        <f t="shared" si="10"/>
        <v>6703095.46</v>
      </c>
      <c r="G678" s="26"/>
      <c r="H678" s="26"/>
      <c r="I678" s="28"/>
      <c r="J678" s="28"/>
      <c r="K678" s="28"/>
      <c r="L678" s="28"/>
      <c r="M678" s="26"/>
      <c r="N678" s="26"/>
      <c r="O678" s="28"/>
      <c r="P678" s="28"/>
      <c r="Q678" s="28"/>
    </row>
    <row r="679" spans="1:17" ht="18">
      <c r="A679" s="22">
        <v>674</v>
      </c>
      <c r="B679" s="23" t="s">
        <v>116</v>
      </c>
      <c r="C679" s="23" t="s">
        <v>725</v>
      </c>
      <c r="D679" s="24">
        <v>3051518.5</v>
      </c>
      <c r="E679" s="24">
        <v>5489442.5800000001</v>
      </c>
      <c r="F679" s="25">
        <f t="shared" si="10"/>
        <v>8540961.0800000001</v>
      </c>
      <c r="G679" s="26"/>
      <c r="H679" s="26"/>
      <c r="I679" s="28"/>
      <c r="J679" s="28"/>
      <c r="K679" s="28"/>
      <c r="L679" s="28"/>
      <c r="M679" s="26"/>
      <c r="N679" s="26"/>
      <c r="O679" s="28"/>
      <c r="P679" s="28"/>
      <c r="Q679" s="28"/>
    </row>
    <row r="680" spans="1:17" ht="18">
      <c r="A680" s="22">
        <v>675</v>
      </c>
      <c r="B680" s="23" t="s">
        <v>116</v>
      </c>
      <c r="C680" s="23" t="s">
        <v>727</v>
      </c>
      <c r="D680" s="24">
        <v>3242251.99</v>
      </c>
      <c r="E680" s="24">
        <v>5832557.1799999997</v>
      </c>
      <c r="F680" s="25">
        <f t="shared" si="10"/>
        <v>9074809.1699999999</v>
      </c>
      <c r="G680" s="26"/>
      <c r="H680" s="26"/>
      <c r="I680" s="28"/>
      <c r="J680" s="28"/>
      <c r="K680" s="28"/>
      <c r="L680" s="28"/>
      <c r="M680" s="26"/>
      <c r="N680" s="26"/>
      <c r="O680" s="28"/>
      <c r="P680" s="28"/>
      <c r="Q680" s="28"/>
    </row>
    <row r="681" spans="1:17" ht="18">
      <c r="A681" s="22">
        <v>676</v>
      </c>
      <c r="B681" s="23" t="s">
        <v>117</v>
      </c>
      <c r="C681" s="23" t="s">
        <v>731</v>
      </c>
      <c r="D681" s="24">
        <v>2157253.67</v>
      </c>
      <c r="E681" s="24">
        <v>3880730.26</v>
      </c>
      <c r="F681" s="25">
        <f t="shared" si="10"/>
        <v>6037983.9299999997</v>
      </c>
      <c r="G681" s="26"/>
      <c r="H681" s="26"/>
      <c r="I681" s="28"/>
      <c r="J681" s="28"/>
      <c r="K681" s="28"/>
      <c r="L681" s="28"/>
      <c r="M681" s="26"/>
      <c r="N681" s="26"/>
      <c r="O681" s="28"/>
      <c r="P681" s="28"/>
      <c r="Q681" s="28"/>
    </row>
    <row r="682" spans="1:17" ht="18">
      <c r="A682" s="22">
        <v>677</v>
      </c>
      <c r="B682" s="23" t="s">
        <v>117</v>
      </c>
      <c r="C682" s="23" t="s">
        <v>734</v>
      </c>
      <c r="D682" s="24">
        <v>2695320.92</v>
      </c>
      <c r="E682" s="24">
        <v>4848671.07</v>
      </c>
      <c r="F682" s="25">
        <f t="shared" si="10"/>
        <v>7543991.9900000002</v>
      </c>
      <c r="G682" s="26"/>
      <c r="H682" s="26"/>
      <c r="I682" s="28"/>
      <c r="J682" s="28"/>
      <c r="K682" s="28"/>
      <c r="L682" s="28"/>
      <c r="M682" s="26"/>
      <c r="N682" s="26"/>
      <c r="O682" s="28"/>
      <c r="P682" s="28"/>
      <c r="Q682" s="28"/>
    </row>
    <row r="683" spans="1:17" ht="18">
      <c r="A683" s="22">
        <v>678</v>
      </c>
      <c r="B683" s="23" t="s">
        <v>117</v>
      </c>
      <c r="C683" s="23" t="s">
        <v>736</v>
      </c>
      <c r="D683" s="24">
        <v>2482955.9300000002</v>
      </c>
      <c r="E683" s="24">
        <v>4466643.0999999996</v>
      </c>
      <c r="F683" s="25">
        <f t="shared" si="10"/>
        <v>6949599.0300000003</v>
      </c>
      <c r="G683" s="26"/>
      <c r="H683" s="26"/>
      <c r="I683" s="28"/>
      <c r="J683" s="28"/>
      <c r="K683" s="28"/>
      <c r="L683" s="28"/>
      <c r="M683" s="26"/>
      <c r="N683" s="26"/>
      <c r="O683" s="28"/>
      <c r="P683" s="28"/>
      <c r="Q683" s="28"/>
    </row>
    <row r="684" spans="1:17" ht="18">
      <c r="A684" s="22">
        <v>679</v>
      </c>
      <c r="B684" s="23" t="s">
        <v>117</v>
      </c>
      <c r="C684" s="23" t="s">
        <v>738</v>
      </c>
      <c r="D684" s="24">
        <v>2650505.71</v>
      </c>
      <c r="E684" s="24">
        <v>4768052.0199999996</v>
      </c>
      <c r="F684" s="25">
        <f t="shared" si="10"/>
        <v>7418557.7300000004</v>
      </c>
      <c r="G684" s="26"/>
      <c r="H684" s="26"/>
      <c r="I684" s="28"/>
      <c r="J684" s="28"/>
      <c r="K684" s="28"/>
      <c r="L684" s="28"/>
      <c r="M684" s="26"/>
      <c r="N684" s="26"/>
      <c r="O684" s="28"/>
      <c r="P684" s="28"/>
      <c r="Q684" s="28"/>
    </row>
    <row r="685" spans="1:17" ht="18">
      <c r="A685" s="22">
        <v>680</v>
      </c>
      <c r="B685" s="23" t="s">
        <v>117</v>
      </c>
      <c r="C685" s="23" t="s">
        <v>740</v>
      </c>
      <c r="D685" s="24">
        <v>2460332.41</v>
      </c>
      <c r="E685" s="24">
        <v>4425945.1500000004</v>
      </c>
      <c r="F685" s="25">
        <f t="shared" si="10"/>
        <v>6886277.5599999996</v>
      </c>
      <c r="G685" s="26"/>
      <c r="H685" s="26"/>
      <c r="I685" s="28"/>
      <c r="J685" s="28"/>
      <c r="K685" s="28"/>
      <c r="L685" s="28"/>
      <c r="M685" s="26"/>
      <c r="N685" s="26"/>
      <c r="O685" s="28"/>
      <c r="P685" s="28"/>
      <c r="Q685" s="28"/>
    </row>
    <row r="686" spans="1:17" ht="18">
      <c r="A686" s="22">
        <v>681</v>
      </c>
      <c r="B686" s="23" t="s">
        <v>117</v>
      </c>
      <c r="C686" s="23" t="s">
        <v>742</v>
      </c>
      <c r="D686" s="24">
        <v>2459921.29</v>
      </c>
      <c r="E686" s="24">
        <v>4425205.58</v>
      </c>
      <c r="F686" s="25">
        <f t="shared" si="10"/>
        <v>6885126.8700000001</v>
      </c>
      <c r="G686" s="26"/>
      <c r="H686" s="26"/>
      <c r="I686" s="28"/>
      <c r="J686" s="28"/>
      <c r="K686" s="28"/>
      <c r="L686" s="28"/>
      <c r="M686" s="26"/>
      <c r="N686" s="26"/>
      <c r="O686" s="28"/>
      <c r="P686" s="28"/>
      <c r="Q686" s="28"/>
    </row>
    <row r="687" spans="1:17" ht="18">
      <c r="A687" s="22">
        <v>682</v>
      </c>
      <c r="B687" s="23" t="s">
        <v>117</v>
      </c>
      <c r="C687" s="23" t="s">
        <v>744</v>
      </c>
      <c r="D687" s="24">
        <v>2665991.7999999998</v>
      </c>
      <c r="E687" s="24">
        <v>4795910.2699999996</v>
      </c>
      <c r="F687" s="25">
        <f t="shared" si="10"/>
        <v>7461902.0700000003</v>
      </c>
      <c r="G687" s="26"/>
      <c r="H687" s="26"/>
      <c r="I687" s="28"/>
      <c r="J687" s="28"/>
      <c r="K687" s="28"/>
      <c r="L687" s="28"/>
      <c r="M687" s="26"/>
      <c r="N687" s="26"/>
      <c r="O687" s="28"/>
      <c r="P687" s="28"/>
      <c r="Q687" s="28"/>
    </row>
    <row r="688" spans="1:17" ht="18">
      <c r="A688" s="22">
        <v>683</v>
      </c>
      <c r="B688" s="23" t="s">
        <v>117</v>
      </c>
      <c r="C688" s="23" t="s">
        <v>746</v>
      </c>
      <c r="D688" s="24">
        <v>2582841.75</v>
      </c>
      <c r="E688" s="24">
        <v>4646329.8499999996</v>
      </c>
      <c r="F688" s="25">
        <f t="shared" si="10"/>
        <v>7229171.5999999996</v>
      </c>
      <c r="G688" s="26"/>
      <c r="H688" s="26"/>
      <c r="I688" s="28"/>
      <c r="J688" s="28"/>
      <c r="K688" s="28"/>
      <c r="L688" s="28"/>
      <c r="M688" s="26"/>
      <c r="N688" s="26"/>
      <c r="O688" s="28"/>
      <c r="P688" s="28"/>
      <c r="Q688" s="28"/>
    </row>
    <row r="689" spans="1:17" ht="18">
      <c r="A689" s="22">
        <v>684</v>
      </c>
      <c r="B689" s="23" t="s">
        <v>117</v>
      </c>
      <c r="C689" s="23" t="s">
        <v>748</v>
      </c>
      <c r="D689" s="24">
        <v>2463583.48</v>
      </c>
      <c r="E689" s="24">
        <v>4431793.57</v>
      </c>
      <c r="F689" s="25">
        <f t="shared" si="10"/>
        <v>6895377.0499999998</v>
      </c>
      <c r="G689" s="26"/>
      <c r="H689" s="26"/>
      <c r="I689" s="28"/>
      <c r="J689" s="28"/>
      <c r="K689" s="28"/>
      <c r="L689" s="28"/>
      <c r="M689" s="26"/>
      <c r="N689" s="26"/>
      <c r="O689" s="28"/>
      <c r="P689" s="28"/>
      <c r="Q689" s="28"/>
    </row>
    <row r="690" spans="1:17" ht="18">
      <c r="A690" s="22">
        <v>685</v>
      </c>
      <c r="B690" s="23" t="s">
        <v>117</v>
      </c>
      <c r="C690" s="23" t="s">
        <v>750</v>
      </c>
      <c r="D690" s="24">
        <v>2888948.13</v>
      </c>
      <c r="E690" s="24">
        <v>5196991.24</v>
      </c>
      <c r="F690" s="25">
        <f t="shared" si="10"/>
        <v>8085939.3700000001</v>
      </c>
      <c r="G690" s="26"/>
      <c r="H690" s="26"/>
      <c r="I690" s="28"/>
      <c r="J690" s="28"/>
      <c r="K690" s="28"/>
      <c r="L690" s="28"/>
      <c r="M690" s="26"/>
      <c r="N690" s="26"/>
      <c r="O690" s="28"/>
      <c r="P690" s="28"/>
      <c r="Q690" s="28"/>
    </row>
    <row r="691" spans="1:17" ht="18">
      <c r="A691" s="22">
        <v>686</v>
      </c>
      <c r="B691" s="23" t="s">
        <v>117</v>
      </c>
      <c r="C691" s="23" t="s">
        <v>752</v>
      </c>
      <c r="D691" s="24">
        <v>2572898.0499999998</v>
      </c>
      <c r="E691" s="24">
        <v>4628441.91</v>
      </c>
      <c r="F691" s="25">
        <f t="shared" si="10"/>
        <v>7201339.96</v>
      </c>
      <c r="G691" s="26"/>
      <c r="H691" s="26"/>
      <c r="I691" s="28"/>
      <c r="J691" s="28"/>
      <c r="K691" s="28"/>
      <c r="L691" s="28"/>
      <c r="M691" s="26"/>
      <c r="N691" s="26"/>
      <c r="O691" s="28"/>
      <c r="P691" s="28"/>
      <c r="Q691" s="28"/>
    </row>
    <row r="692" spans="1:17" ht="18">
      <c r="A692" s="22">
        <v>687</v>
      </c>
      <c r="B692" s="23" t="s">
        <v>117</v>
      </c>
      <c r="C692" s="23" t="s">
        <v>754</v>
      </c>
      <c r="D692" s="24">
        <v>2462484.15</v>
      </c>
      <c r="E692" s="24">
        <v>4429815.96</v>
      </c>
      <c r="F692" s="25">
        <f t="shared" si="10"/>
        <v>6892300.1100000003</v>
      </c>
      <c r="G692" s="26"/>
      <c r="H692" s="26"/>
      <c r="I692" s="28"/>
      <c r="J692" s="28"/>
      <c r="K692" s="28"/>
      <c r="L692" s="28"/>
      <c r="M692" s="26"/>
      <c r="N692" s="26"/>
      <c r="O692" s="28"/>
      <c r="P692" s="28"/>
      <c r="Q692" s="28"/>
    </row>
    <row r="693" spans="1:17" ht="18">
      <c r="A693" s="22">
        <v>688</v>
      </c>
      <c r="B693" s="23" t="s">
        <v>117</v>
      </c>
      <c r="C693" s="23" t="s">
        <v>756</v>
      </c>
      <c r="D693" s="24">
        <v>2923396.69</v>
      </c>
      <c r="E693" s="24">
        <v>5258961.51</v>
      </c>
      <c r="F693" s="25">
        <f t="shared" si="10"/>
        <v>8182358.2000000002</v>
      </c>
      <c r="G693" s="26"/>
      <c r="H693" s="26"/>
      <c r="I693" s="28"/>
      <c r="J693" s="28"/>
      <c r="K693" s="28"/>
      <c r="L693" s="28"/>
      <c r="M693" s="26"/>
      <c r="N693" s="26"/>
      <c r="O693" s="28"/>
      <c r="P693" s="28"/>
      <c r="Q693" s="28"/>
    </row>
    <row r="694" spans="1:17" ht="18">
      <c r="A694" s="22">
        <v>689</v>
      </c>
      <c r="B694" s="23" t="s">
        <v>117</v>
      </c>
      <c r="C694" s="23" t="s">
        <v>758</v>
      </c>
      <c r="D694" s="24">
        <v>3580016.32</v>
      </c>
      <c r="E694" s="24">
        <v>6440168.7400000002</v>
      </c>
      <c r="F694" s="25">
        <f t="shared" si="10"/>
        <v>10020185.060000001</v>
      </c>
      <c r="G694" s="26"/>
      <c r="H694" s="26"/>
      <c r="I694" s="28"/>
      <c r="J694" s="28"/>
      <c r="K694" s="28"/>
      <c r="L694" s="28"/>
      <c r="M694" s="26"/>
      <c r="N694" s="26"/>
      <c r="O694" s="28"/>
      <c r="P694" s="28"/>
      <c r="Q694" s="28"/>
    </row>
    <row r="695" spans="1:17" ht="18">
      <c r="A695" s="22">
        <v>690</v>
      </c>
      <c r="B695" s="23" t="s">
        <v>117</v>
      </c>
      <c r="C695" s="23" t="s">
        <v>760</v>
      </c>
      <c r="D695" s="24">
        <v>2890302.13</v>
      </c>
      <c r="E695" s="24">
        <v>5199426.9800000004</v>
      </c>
      <c r="F695" s="25">
        <f t="shared" si="10"/>
        <v>8089729.1100000003</v>
      </c>
      <c r="G695" s="26"/>
      <c r="H695" s="26"/>
      <c r="I695" s="28"/>
      <c r="J695" s="28"/>
      <c r="K695" s="28"/>
      <c r="L695" s="28"/>
      <c r="M695" s="26"/>
      <c r="N695" s="26"/>
      <c r="O695" s="28"/>
      <c r="P695" s="28"/>
      <c r="Q695" s="28"/>
    </row>
    <row r="696" spans="1:17" ht="36">
      <c r="A696" s="22">
        <v>691</v>
      </c>
      <c r="B696" s="23" t="s">
        <v>117</v>
      </c>
      <c r="C696" s="23" t="s">
        <v>762</v>
      </c>
      <c r="D696" s="24">
        <v>2916568.27</v>
      </c>
      <c r="E696" s="24">
        <v>5246677.71</v>
      </c>
      <c r="F696" s="25">
        <f t="shared" si="10"/>
        <v>8163245.9800000004</v>
      </c>
      <c r="G696" s="26"/>
      <c r="H696" s="26"/>
      <c r="I696" s="28"/>
      <c r="J696" s="28"/>
      <c r="K696" s="28"/>
      <c r="L696" s="28"/>
      <c r="M696" s="26"/>
      <c r="N696" s="26"/>
      <c r="O696" s="28"/>
      <c r="P696" s="28"/>
      <c r="Q696" s="28"/>
    </row>
    <row r="697" spans="1:17" ht="18">
      <c r="A697" s="22">
        <v>692</v>
      </c>
      <c r="B697" s="23" t="s">
        <v>117</v>
      </c>
      <c r="C697" s="23" t="s">
        <v>764</v>
      </c>
      <c r="D697" s="24">
        <v>2003812.68</v>
      </c>
      <c r="E697" s="24">
        <v>3604701.95</v>
      </c>
      <c r="F697" s="25">
        <f t="shared" si="10"/>
        <v>5608514.6299999999</v>
      </c>
      <c r="G697" s="26"/>
      <c r="H697" s="26"/>
      <c r="I697" s="28"/>
      <c r="J697" s="28"/>
      <c r="K697" s="28"/>
      <c r="L697" s="28"/>
      <c r="M697" s="26"/>
      <c r="N697" s="26"/>
      <c r="O697" s="28"/>
      <c r="P697" s="28"/>
      <c r="Q697" s="28"/>
    </row>
    <row r="698" spans="1:17" ht="18">
      <c r="A698" s="22">
        <v>693</v>
      </c>
      <c r="B698" s="23" t="s">
        <v>117</v>
      </c>
      <c r="C698" s="23" t="s">
        <v>766</v>
      </c>
      <c r="D698" s="24">
        <v>2465700.06</v>
      </c>
      <c r="E698" s="24">
        <v>4435601.1399999997</v>
      </c>
      <c r="F698" s="25">
        <f t="shared" si="10"/>
        <v>6901301.2000000002</v>
      </c>
      <c r="G698" s="26"/>
      <c r="H698" s="26"/>
      <c r="I698" s="28"/>
      <c r="J698" s="28"/>
      <c r="K698" s="28"/>
      <c r="L698" s="28"/>
      <c r="M698" s="26"/>
      <c r="N698" s="26"/>
      <c r="O698" s="28"/>
      <c r="P698" s="28"/>
      <c r="Q698" s="28"/>
    </row>
    <row r="699" spans="1:17" ht="18">
      <c r="A699" s="22">
        <v>694</v>
      </c>
      <c r="B699" s="23" t="s">
        <v>117</v>
      </c>
      <c r="C699" s="23" t="s">
        <v>768</v>
      </c>
      <c r="D699" s="24">
        <v>1954310.41</v>
      </c>
      <c r="E699" s="24">
        <v>3515651.24</v>
      </c>
      <c r="F699" s="25">
        <f t="shared" si="10"/>
        <v>5469961.6500000004</v>
      </c>
      <c r="G699" s="26"/>
      <c r="H699" s="26"/>
      <c r="I699" s="28"/>
      <c r="J699" s="28"/>
      <c r="K699" s="28"/>
      <c r="L699" s="28"/>
      <c r="M699" s="26"/>
      <c r="N699" s="26"/>
      <c r="O699" s="28"/>
      <c r="P699" s="28"/>
      <c r="Q699" s="28"/>
    </row>
    <row r="700" spans="1:17" ht="18">
      <c r="A700" s="22">
        <v>695</v>
      </c>
      <c r="B700" s="23" t="s">
        <v>117</v>
      </c>
      <c r="C700" s="23" t="s">
        <v>770</v>
      </c>
      <c r="D700" s="24">
        <v>2113917.77</v>
      </c>
      <c r="E700" s="24">
        <v>3802772.37</v>
      </c>
      <c r="F700" s="25">
        <f t="shared" si="10"/>
        <v>5916690.1399999997</v>
      </c>
      <c r="G700" s="26"/>
      <c r="H700" s="26"/>
      <c r="I700" s="28"/>
      <c r="J700" s="28"/>
      <c r="K700" s="28"/>
      <c r="L700" s="28"/>
      <c r="M700" s="26"/>
      <c r="N700" s="26"/>
      <c r="O700" s="28"/>
      <c r="P700" s="28"/>
      <c r="Q700" s="28"/>
    </row>
    <row r="701" spans="1:17" ht="18">
      <c r="A701" s="22">
        <v>696</v>
      </c>
      <c r="B701" s="23" t="s">
        <v>117</v>
      </c>
      <c r="C701" s="23" t="s">
        <v>772</v>
      </c>
      <c r="D701" s="24">
        <v>2183292.2999999998</v>
      </c>
      <c r="E701" s="24">
        <v>3927571.71</v>
      </c>
      <c r="F701" s="25">
        <f t="shared" si="10"/>
        <v>6110864.0099999998</v>
      </c>
      <c r="G701" s="26"/>
      <c r="H701" s="26"/>
      <c r="I701" s="28"/>
      <c r="J701" s="28"/>
      <c r="K701" s="28"/>
      <c r="L701" s="28"/>
      <c r="M701" s="26"/>
      <c r="N701" s="26"/>
      <c r="O701" s="28"/>
      <c r="P701" s="28"/>
      <c r="Q701" s="28"/>
    </row>
    <row r="702" spans="1:17" ht="18">
      <c r="A702" s="22">
        <v>697</v>
      </c>
      <c r="B702" s="23" t="s">
        <v>117</v>
      </c>
      <c r="C702" s="23" t="s">
        <v>774</v>
      </c>
      <c r="D702" s="24">
        <v>4054657.28</v>
      </c>
      <c r="E702" s="24">
        <v>7294010.6200000001</v>
      </c>
      <c r="F702" s="25">
        <f t="shared" si="10"/>
        <v>11348667.9</v>
      </c>
      <c r="G702" s="26"/>
      <c r="H702" s="26"/>
      <c r="I702" s="28"/>
      <c r="J702" s="28"/>
      <c r="K702" s="28"/>
      <c r="L702" s="28"/>
      <c r="M702" s="26"/>
      <c r="N702" s="26"/>
      <c r="O702" s="28"/>
      <c r="P702" s="28"/>
      <c r="Q702" s="28"/>
    </row>
    <row r="703" spans="1:17" ht="18">
      <c r="A703" s="22">
        <v>698</v>
      </c>
      <c r="B703" s="23" t="s">
        <v>117</v>
      </c>
      <c r="C703" s="23" t="s">
        <v>776</v>
      </c>
      <c r="D703" s="24">
        <v>2399895.6</v>
      </c>
      <c r="E703" s="24">
        <v>4317224.08</v>
      </c>
      <c r="F703" s="25">
        <f t="shared" si="10"/>
        <v>6717119.6799999997</v>
      </c>
      <c r="G703" s="26"/>
      <c r="H703" s="26"/>
      <c r="I703" s="28"/>
      <c r="J703" s="28"/>
      <c r="K703" s="28"/>
      <c r="L703" s="28"/>
      <c r="M703" s="26"/>
      <c r="N703" s="26"/>
      <c r="O703" s="28"/>
      <c r="P703" s="28"/>
      <c r="Q703" s="28"/>
    </row>
    <row r="704" spans="1:17" ht="18">
      <c r="A704" s="22">
        <v>699</v>
      </c>
      <c r="B704" s="23" t="s">
        <v>118</v>
      </c>
      <c r="C704" s="23" t="s">
        <v>780</v>
      </c>
      <c r="D704" s="24">
        <v>2248493.4700000002</v>
      </c>
      <c r="E704" s="24">
        <v>4044863.51</v>
      </c>
      <c r="F704" s="25">
        <f t="shared" si="10"/>
        <v>6293356.9800000004</v>
      </c>
      <c r="G704" s="26"/>
      <c r="H704" s="26"/>
      <c r="I704" s="28"/>
      <c r="J704" s="28"/>
      <c r="K704" s="28"/>
      <c r="L704" s="28"/>
      <c r="M704" s="26"/>
      <c r="N704" s="26"/>
      <c r="O704" s="28"/>
      <c r="P704" s="28"/>
      <c r="Q704" s="28"/>
    </row>
    <row r="705" spans="1:17" ht="18">
      <c r="A705" s="22">
        <v>700</v>
      </c>
      <c r="B705" s="23" t="s">
        <v>118</v>
      </c>
      <c r="C705" s="23" t="s">
        <v>782</v>
      </c>
      <c r="D705" s="24">
        <v>2559538.9900000002</v>
      </c>
      <c r="E705" s="24">
        <v>4604410.0199999996</v>
      </c>
      <c r="F705" s="25">
        <f t="shared" si="10"/>
        <v>7163949.0099999998</v>
      </c>
      <c r="G705" s="26"/>
      <c r="H705" s="26"/>
      <c r="I705" s="28"/>
      <c r="J705" s="28"/>
      <c r="K705" s="28"/>
      <c r="L705" s="28"/>
      <c r="M705" s="26"/>
      <c r="N705" s="26"/>
      <c r="O705" s="28"/>
      <c r="P705" s="28"/>
      <c r="Q705" s="28"/>
    </row>
    <row r="706" spans="1:17" ht="18">
      <c r="A706" s="22">
        <v>701</v>
      </c>
      <c r="B706" s="23" t="s">
        <v>118</v>
      </c>
      <c r="C706" s="23" t="s">
        <v>784</v>
      </c>
      <c r="D706" s="24">
        <v>2758328.74</v>
      </c>
      <c r="E706" s="24">
        <v>4962017.1900000004</v>
      </c>
      <c r="F706" s="25">
        <f t="shared" si="10"/>
        <v>7720345.9299999997</v>
      </c>
      <c r="G706" s="26"/>
      <c r="H706" s="26"/>
      <c r="I706" s="28"/>
      <c r="J706" s="28"/>
      <c r="K706" s="28"/>
      <c r="L706" s="28"/>
      <c r="M706" s="26"/>
      <c r="N706" s="26"/>
      <c r="O706" s="28"/>
      <c r="P706" s="28"/>
      <c r="Q706" s="28"/>
    </row>
    <row r="707" spans="1:17" ht="18">
      <c r="A707" s="22">
        <v>702</v>
      </c>
      <c r="B707" s="23" t="s">
        <v>118</v>
      </c>
      <c r="C707" s="23" t="s">
        <v>786</v>
      </c>
      <c r="D707" s="24">
        <v>2994889.39</v>
      </c>
      <c r="E707" s="24">
        <v>5387571.2599999998</v>
      </c>
      <c r="F707" s="25">
        <f t="shared" si="10"/>
        <v>8382460.6500000004</v>
      </c>
      <c r="G707" s="26"/>
      <c r="H707" s="26"/>
      <c r="I707" s="28"/>
      <c r="J707" s="28"/>
      <c r="K707" s="28"/>
      <c r="L707" s="28"/>
      <c r="M707" s="26"/>
      <c r="N707" s="26"/>
      <c r="O707" s="28"/>
      <c r="P707" s="28"/>
      <c r="Q707" s="28"/>
    </row>
    <row r="708" spans="1:17" ht="18">
      <c r="A708" s="22">
        <v>703</v>
      </c>
      <c r="B708" s="23" t="s">
        <v>118</v>
      </c>
      <c r="C708" s="23" t="s">
        <v>788</v>
      </c>
      <c r="D708" s="24">
        <v>2817307.17</v>
      </c>
      <c r="E708" s="24">
        <v>5068114.7699999996</v>
      </c>
      <c r="F708" s="25">
        <f t="shared" si="10"/>
        <v>7885421.9400000004</v>
      </c>
      <c r="G708" s="26"/>
      <c r="H708" s="26"/>
      <c r="I708" s="28"/>
      <c r="J708" s="28"/>
      <c r="K708" s="28"/>
      <c r="L708" s="28"/>
      <c r="M708" s="26"/>
      <c r="N708" s="26"/>
      <c r="O708" s="28"/>
      <c r="P708" s="28"/>
      <c r="Q708" s="28"/>
    </row>
    <row r="709" spans="1:17" ht="18">
      <c r="A709" s="22">
        <v>704</v>
      </c>
      <c r="B709" s="23" t="s">
        <v>118</v>
      </c>
      <c r="C709" s="23" t="s">
        <v>791</v>
      </c>
      <c r="D709" s="24">
        <v>2552799.19</v>
      </c>
      <c r="E709" s="24">
        <v>4592285.6500000004</v>
      </c>
      <c r="F709" s="25">
        <f t="shared" si="10"/>
        <v>7145084.8399999999</v>
      </c>
      <c r="G709" s="26"/>
      <c r="H709" s="26"/>
      <c r="I709" s="28"/>
      <c r="J709" s="28"/>
      <c r="K709" s="28"/>
      <c r="L709" s="28"/>
      <c r="M709" s="26"/>
      <c r="N709" s="26"/>
      <c r="O709" s="28"/>
      <c r="P709" s="28"/>
      <c r="Q709" s="28"/>
    </row>
    <row r="710" spans="1:17" ht="18">
      <c r="A710" s="22">
        <v>705</v>
      </c>
      <c r="B710" s="23" t="s">
        <v>118</v>
      </c>
      <c r="C710" s="23" t="s">
        <v>793</v>
      </c>
      <c r="D710" s="24">
        <v>2915660.94</v>
      </c>
      <c r="E710" s="24">
        <v>5245045.5</v>
      </c>
      <c r="F710" s="25">
        <f t="shared" si="10"/>
        <v>8160706.4400000004</v>
      </c>
      <c r="G710" s="26"/>
      <c r="H710" s="26"/>
      <c r="I710" s="28"/>
      <c r="J710" s="28"/>
      <c r="K710" s="28"/>
      <c r="L710" s="28"/>
      <c r="M710" s="26"/>
      <c r="N710" s="26"/>
      <c r="O710" s="28"/>
      <c r="P710" s="28"/>
      <c r="Q710" s="28"/>
    </row>
    <row r="711" spans="1:17" ht="18">
      <c r="A711" s="22">
        <v>706</v>
      </c>
      <c r="B711" s="23" t="s">
        <v>118</v>
      </c>
      <c r="C711" s="23" t="s">
        <v>795</v>
      </c>
      <c r="D711" s="24">
        <v>2487964.7400000002</v>
      </c>
      <c r="E711" s="24">
        <v>4475653.5599999996</v>
      </c>
      <c r="F711" s="25">
        <f t="shared" ref="F711:F774" si="11">D711+E711</f>
        <v>6963618.2999999998</v>
      </c>
      <c r="G711" s="26"/>
      <c r="H711" s="26"/>
      <c r="I711" s="28"/>
      <c r="J711" s="28"/>
      <c r="K711" s="28"/>
      <c r="L711" s="28"/>
      <c r="M711" s="26"/>
      <c r="N711" s="26"/>
      <c r="O711" s="28"/>
      <c r="P711" s="28"/>
      <c r="Q711" s="28"/>
    </row>
    <row r="712" spans="1:17" ht="18">
      <c r="A712" s="22">
        <v>707</v>
      </c>
      <c r="B712" s="23" t="s">
        <v>118</v>
      </c>
      <c r="C712" s="23" t="s">
        <v>797</v>
      </c>
      <c r="D712" s="24">
        <v>2816190.77</v>
      </c>
      <c r="E712" s="24">
        <v>5066106.45</v>
      </c>
      <c r="F712" s="25">
        <f t="shared" si="11"/>
        <v>7882297.2199999997</v>
      </c>
      <c r="G712" s="26"/>
      <c r="H712" s="26"/>
      <c r="I712" s="28"/>
      <c r="J712" s="28"/>
      <c r="K712" s="28"/>
      <c r="L712" s="28"/>
      <c r="M712" s="26"/>
      <c r="N712" s="26"/>
      <c r="O712" s="28"/>
      <c r="P712" s="28"/>
      <c r="Q712" s="28"/>
    </row>
    <row r="713" spans="1:17" ht="18">
      <c r="A713" s="22">
        <v>708</v>
      </c>
      <c r="B713" s="23" t="s">
        <v>118</v>
      </c>
      <c r="C713" s="23" t="s">
        <v>799</v>
      </c>
      <c r="D713" s="24">
        <v>2542628.19</v>
      </c>
      <c r="E713" s="24">
        <v>4573988.82</v>
      </c>
      <c r="F713" s="25">
        <f t="shared" si="11"/>
        <v>7116617.0099999998</v>
      </c>
      <c r="G713" s="26"/>
      <c r="H713" s="26"/>
      <c r="I713" s="28"/>
      <c r="J713" s="28"/>
      <c r="K713" s="28"/>
      <c r="L713" s="28"/>
      <c r="M713" s="26"/>
      <c r="N713" s="26"/>
      <c r="O713" s="28"/>
      <c r="P713" s="28"/>
      <c r="Q713" s="28"/>
    </row>
    <row r="714" spans="1:17" ht="18">
      <c r="A714" s="22">
        <v>709</v>
      </c>
      <c r="B714" s="23" t="s">
        <v>118</v>
      </c>
      <c r="C714" s="23" t="s">
        <v>801</v>
      </c>
      <c r="D714" s="24">
        <v>2357797.2200000002</v>
      </c>
      <c r="E714" s="24">
        <v>4241492.3899999997</v>
      </c>
      <c r="F714" s="25">
        <f t="shared" si="11"/>
        <v>6599289.6100000003</v>
      </c>
      <c r="G714" s="26"/>
      <c r="H714" s="26"/>
      <c r="I714" s="28"/>
      <c r="J714" s="28"/>
      <c r="K714" s="28"/>
      <c r="L714" s="28"/>
      <c r="M714" s="26"/>
      <c r="N714" s="26"/>
      <c r="O714" s="28"/>
      <c r="P714" s="28"/>
      <c r="Q714" s="28"/>
    </row>
    <row r="715" spans="1:17" ht="18">
      <c r="A715" s="22">
        <v>710</v>
      </c>
      <c r="B715" s="23" t="s">
        <v>118</v>
      </c>
      <c r="C715" s="23" t="s">
        <v>803</v>
      </c>
      <c r="D715" s="24">
        <v>2807244.46</v>
      </c>
      <c r="E715" s="24">
        <v>5050012.75</v>
      </c>
      <c r="F715" s="25">
        <f t="shared" si="11"/>
        <v>7857257.21</v>
      </c>
      <c r="G715" s="26"/>
      <c r="H715" s="26"/>
      <c r="I715" s="28"/>
      <c r="J715" s="28"/>
      <c r="K715" s="28"/>
      <c r="L715" s="28"/>
      <c r="M715" s="26"/>
      <c r="N715" s="26"/>
      <c r="O715" s="28"/>
      <c r="P715" s="28"/>
      <c r="Q715" s="28"/>
    </row>
    <row r="716" spans="1:17" ht="18">
      <c r="A716" s="22">
        <v>711</v>
      </c>
      <c r="B716" s="23" t="s">
        <v>118</v>
      </c>
      <c r="C716" s="23" t="s">
        <v>805</v>
      </c>
      <c r="D716" s="24">
        <v>2945365.93</v>
      </c>
      <c r="E716" s="24">
        <v>5298482.43</v>
      </c>
      <c r="F716" s="25">
        <f t="shared" si="11"/>
        <v>8243848.3600000003</v>
      </c>
      <c r="G716" s="26"/>
      <c r="H716" s="26"/>
      <c r="I716" s="28"/>
      <c r="J716" s="28"/>
      <c r="K716" s="28"/>
      <c r="L716" s="28"/>
      <c r="M716" s="26"/>
      <c r="N716" s="26"/>
      <c r="O716" s="28"/>
      <c r="P716" s="28"/>
      <c r="Q716" s="28"/>
    </row>
    <row r="717" spans="1:17" ht="18">
      <c r="A717" s="22">
        <v>712</v>
      </c>
      <c r="B717" s="23" t="s">
        <v>118</v>
      </c>
      <c r="C717" s="23" t="s">
        <v>807</v>
      </c>
      <c r="D717" s="24">
        <v>2653930.7400000002</v>
      </c>
      <c r="E717" s="24">
        <v>4774213.37</v>
      </c>
      <c r="F717" s="25">
        <f t="shared" si="11"/>
        <v>7428144.1100000003</v>
      </c>
      <c r="G717" s="26"/>
      <c r="H717" s="26"/>
      <c r="I717" s="28"/>
      <c r="J717" s="28"/>
      <c r="K717" s="28"/>
      <c r="L717" s="28"/>
      <c r="M717" s="26"/>
      <c r="N717" s="26"/>
      <c r="O717" s="28"/>
      <c r="P717" s="28"/>
      <c r="Q717" s="28"/>
    </row>
    <row r="718" spans="1:17" ht="18">
      <c r="A718" s="22">
        <v>713</v>
      </c>
      <c r="B718" s="23" t="s">
        <v>118</v>
      </c>
      <c r="C718" s="23" t="s">
        <v>809</v>
      </c>
      <c r="D718" s="24">
        <v>2376432.4</v>
      </c>
      <c r="E718" s="24">
        <v>4275015.6100000003</v>
      </c>
      <c r="F718" s="25">
        <f t="shared" si="11"/>
        <v>6651448.0099999998</v>
      </c>
      <c r="G718" s="26"/>
      <c r="H718" s="26"/>
      <c r="I718" s="28"/>
      <c r="J718" s="28"/>
      <c r="K718" s="28"/>
      <c r="L718" s="28"/>
      <c r="M718" s="26"/>
      <c r="N718" s="26"/>
      <c r="O718" s="28"/>
      <c r="P718" s="28"/>
      <c r="Q718" s="28"/>
    </row>
    <row r="719" spans="1:17" ht="18">
      <c r="A719" s="22">
        <v>714</v>
      </c>
      <c r="B719" s="23" t="s">
        <v>118</v>
      </c>
      <c r="C719" s="23" t="s">
        <v>811</v>
      </c>
      <c r="D719" s="24">
        <v>2640781.73</v>
      </c>
      <c r="E719" s="24">
        <v>4750559.33</v>
      </c>
      <c r="F719" s="25">
        <f t="shared" si="11"/>
        <v>7391341.0599999996</v>
      </c>
      <c r="G719" s="26"/>
      <c r="H719" s="26"/>
      <c r="I719" s="28"/>
      <c r="J719" s="28"/>
      <c r="K719" s="28"/>
      <c r="L719" s="28"/>
      <c r="M719" s="26"/>
      <c r="N719" s="26"/>
      <c r="O719" s="28"/>
      <c r="P719" s="28"/>
      <c r="Q719" s="28"/>
    </row>
    <row r="720" spans="1:17" ht="18">
      <c r="A720" s="22">
        <v>715</v>
      </c>
      <c r="B720" s="23" t="s">
        <v>118</v>
      </c>
      <c r="C720" s="23" t="s">
        <v>813</v>
      </c>
      <c r="D720" s="24">
        <v>2619448.1800000002</v>
      </c>
      <c r="E720" s="24">
        <v>4712181.95</v>
      </c>
      <c r="F720" s="25">
        <f t="shared" si="11"/>
        <v>7331630.1299999999</v>
      </c>
      <c r="G720" s="26"/>
      <c r="H720" s="26"/>
      <c r="I720" s="28"/>
      <c r="J720" s="28"/>
      <c r="K720" s="28"/>
      <c r="L720" s="28"/>
      <c r="M720" s="26"/>
      <c r="N720" s="26"/>
      <c r="O720" s="28"/>
      <c r="P720" s="28"/>
      <c r="Q720" s="28"/>
    </row>
    <row r="721" spans="1:17" ht="18">
      <c r="A721" s="22">
        <v>716</v>
      </c>
      <c r="B721" s="23" t="s">
        <v>118</v>
      </c>
      <c r="C721" s="23" t="s">
        <v>815</v>
      </c>
      <c r="D721" s="24">
        <v>2933039.38</v>
      </c>
      <c r="E721" s="24">
        <v>5276307.93</v>
      </c>
      <c r="F721" s="25">
        <f t="shared" si="11"/>
        <v>8209347.3099999996</v>
      </c>
      <c r="G721" s="26"/>
      <c r="H721" s="26"/>
      <c r="I721" s="28"/>
      <c r="J721" s="28"/>
      <c r="K721" s="28"/>
      <c r="L721" s="28"/>
      <c r="M721" s="26"/>
      <c r="N721" s="26"/>
      <c r="O721" s="28"/>
      <c r="P721" s="28"/>
      <c r="Q721" s="28"/>
    </row>
    <row r="722" spans="1:17" ht="18">
      <c r="A722" s="22">
        <v>717</v>
      </c>
      <c r="B722" s="23" t="s">
        <v>118</v>
      </c>
      <c r="C722" s="23" t="s">
        <v>817</v>
      </c>
      <c r="D722" s="24">
        <v>2704144.1</v>
      </c>
      <c r="E722" s="24">
        <v>4864543.28</v>
      </c>
      <c r="F722" s="25">
        <f t="shared" si="11"/>
        <v>7568687.3799999999</v>
      </c>
      <c r="G722" s="26"/>
      <c r="H722" s="26"/>
      <c r="I722" s="28"/>
      <c r="J722" s="28"/>
      <c r="K722" s="28"/>
      <c r="L722" s="28"/>
      <c r="M722" s="26"/>
      <c r="N722" s="26"/>
      <c r="O722" s="28"/>
      <c r="P722" s="28"/>
      <c r="Q722" s="28"/>
    </row>
    <row r="723" spans="1:17" ht="18">
      <c r="A723" s="22">
        <v>718</v>
      </c>
      <c r="B723" s="23" t="s">
        <v>118</v>
      </c>
      <c r="C723" s="23" t="s">
        <v>819</v>
      </c>
      <c r="D723" s="24">
        <v>2460810.59</v>
      </c>
      <c r="E723" s="24">
        <v>4426805.3600000003</v>
      </c>
      <c r="F723" s="25">
        <f t="shared" si="11"/>
        <v>6887615.9500000002</v>
      </c>
      <c r="G723" s="26"/>
      <c r="H723" s="26"/>
      <c r="I723" s="28"/>
      <c r="J723" s="28"/>
      <c r="K723" s="28"/>
      <c r="L723" s="28"/>
      <c r="M723" s="26"/>
      <c r="N723" s="26"/>
      <c r="O723" s="28"/>
      <c r="P723" s="28"/>
      <c r="Q723" s="28"/>
    </row>
    <row r="724" spans="1:17" ht="18">
      <c r="A724" s="22">
        <v>719</v>
      </c>
      <c r="B724" s="23" t="s">
        <v>118</v>
      </c>
      <c r="C724" s="23" t="s">
        <v>821</v>
      </c>
      <c r="D724" s="24">
        <v>2536717.1</v>
      </c>
      <c r="E724" s="24">
        <v>4563355.22</v>
      </c>
      <c r="F724" s="25">
        <f t="shared" si="11"/>
        <v>7100072.3200000003</v>
      </c>
      <c r="G724" s="26"/>
      <c r="H724" s="26"/>
      <c r="I724" s="28"/>
      <c r="J724" s="28"/>
      <c r="K724" s="28"/>
      <c r="L724" s="28"/>
      <c r="M724" s="26"/>
      <c r="N724" s="26"/>
      <c r="O724" s="28"/>
      <c r="P724" s="28"/>
      <c r="Q724" s="28"/>
    </row>
    <row r="725" spans="1:17" ht="18">
      <c r="A725" s="22">
        <v>720</v>
      </c>
      <c r="B725" s="23" t="s">
        <v>118</v>
      </c>
      <c r="C725" s="23" t="s">
        <v>823</v>
      </c>
      <c r="D725" s="24">
        <v>2440716.02</v>
      </c>
      <c r="E725" s="24">
        <v>4390656.8</v>
      </c>
      <c r="F725" s="25">
        <f t="shared" si="11"/>
        <v>6831372.8200000003</v>
      </c>
      <c r="G725" s="26"/>
      <c r="H725" s="26"/>
      <c r="I725" s="28"/>
      <c r="J725" s="28"/>
      <c r="K725" s="28"/>
      <c r="L725" s="28"/>
      <c r="M725" s="26"/>
      <c r="N725" s="26"/>
      <c r="O725" s="28"/>
      <c r="P725" s="28"/>
      <c r="Q725" s="28"/>
    </row>
    <row r="726" spans="1:17" ht="18">
      <c r="A726" s="22">
        <v>721</v>
      </c>
      <c r="B726" s="23" t="s">
        <v>118</v>
      </c>
      <c r="C726" s="23" t="s">
        <v>825</v>
      </c>
      <c r="D726" s="24">
        <v>2288170.73</v>
      </c>
      <c r="E726" s="24">
        <v>4116239.78</v>
      </c>
      <c r="F726" s="25">
        <f t="shared" si="11"/>
        <v>6404410.5099999998</v>
      </c>
      <c r="G726" s="26"/>
      <c r="H726" s="26"/>
      <c r="I726" s="28"/>
      <c r="J726" s="28"/>
      <c r="K726" s="28"/>
      <c r="L726" s="28"/>
      <c r="M726" s="26"/>
      <c r="N726" s="26"/>
      <c r="O726" s="28"/>
      <c r="P726" s="28"/>
      <c r="Q726" s="28"/>
    </row>
    <row r="727" spans="1:17" ht="18">
      <c r="A727" s="22">
        <v>722</v>
      </c>
      <c r="B727" s="23" t="s">
        <v>119</v>
      </c>
      <c r="C727" s="23" t="s">
        <v>829</v>
      </c>
      <c r="D727" s="24">
        <v>2271175.2999999998</v>
      </c>
      <c r="E727" s="24">
        <v>4085666.34</v>
      </c>
      <c r="F727" s="25">
        <f t="shared" si="11"/>
        <v>6356841.6399999997</v>
      </c>
      <c r="G727" s="26"/>
      <c r="H727" s="26"/>
      <c r="I727" s="28"/>
      <c r="J727" s="28"/>
      <c r="K727" s="28"/>
      <c r="L727" s="28"/>
      <c r="M727" s="26"/>
      <c r="N727" s="26"/>
      <c r="O727" s="28"/>
      <c r="P727" s="28"/>
      <c r="Q727" s="28"/>
    </row>
    <row r="728" spans="1:17" ht="18">
      <c r="A728" s="22">
        <v>723</v>
      </c>
      <c r="B728" s="23" t="s">
        <v>119</v>
      </c>
      <c r="C728" s="23" t="s">
        <v>831</v>
      </c>
      <c r="D728" s="24">
        <v>3886503.97</v>
      </c>
      <c r="E728" s="24">
        <v>6991516</v>
      </c>
      <c r="F728" s="25">
        <f t="shared" si="11"/>
        <v>10878019.970000001</v>
      </c>
      <c r="G728" s="26"/>
      <c r="H728" s="26"/>
      <c r="I728" s="28"/>
      <c r="J728" s="28"/>
      <c r="K728" s="28"/>
      <c r="L728" s="28"/>
      <c r="M728" s="26"/>
      <c r="N728" s="26"/>
      <c r="O728" s="28"/>
      <c r="P728" s="28"/>
      <c r="Q728" s="28"/>
    </row>
    <row r="729" spans="1:17" ht="18">
      <c r="A729" s="22">
        <v>724</v>
      </c>
      <c r="B729" s="23" t="s">
        <v>119</v>
      </c>
      <c r="C729" s="23" t="s">
        <v>833</v>
      </c>
      <c r="D729" s="24">
        <v>2669313.3199999998</v>
      </c>
      <c r="E729" s="24">
        <v>4801885.43</v>
      </c>
      <c r="F729" s="25">
        <f t="shared" si="11"/>
        <v>7471198.75</v>
      </c>
      <c r="G729" s="26"/>
      <c r="H729" s="26"/>
      <c r="I729" s="28"/>
      <c r="J729" s="28"/>
      <c r="K729" s="28"/>
      <c r="L729" s="28"/>
      <c r="M729" s="26"/>
      <c r="N729" s="26"/>
      <c r="O729" s="28"/>
      <c r="P729" s="28"/>
      <c r="Q729" s="28"/>
    </row>
    <row r="730" spans="1:17" ht="18">
      <c r="A730" s="22">
        <v>725</v>
      </c>
      <c r="B730" s="23" t="s">
        <v>119</v>
      </c>
      <c r="C730" s="23" t="s">
        <v>835</v>
      </c>
      <c r="D730" s="24">
        <v>3187176.06</v>
      </c>
      <c r="E730" s="24">
        <v>5733479.9199999999</v>
      </c>
      <c r="F730" s="25">
        <f t="shared" si="11"/>
        <v>8920655.9800000004</v>
      </c>
      <c r="G730" s="26"/>
      <c r="H730" s="26"/>
      <c r="I730" s="28"/>
      <c r="J730" s="28"/>
      <c r="K730" s="28"/>
      <c r="L730" s="28"/>
      <c r="M730" s="26"/>
      <c r="N730" s="26"/>
      <c r="O730" s="28"/>
      <c r="P730" s="28"/>
      <c r="Q730" s="28"/>
    </row>
    <row r="731" spans="1:17" ht="18">
      <c r="A731" s="22">
        <v>726</v>
      </c>
      <c r="B731" s="23" t="s">
        <v>119</v>
      </c>
      <c r="C731" s="23" t="s">
        <v>837</v>
      </c>
      <c r="D731" s="24">
        <v>3443251.21</v>
      </c>
      <c r="E731" s="24">
        <v>6194139.04</v>
      </c>
      <c r="F731" s="25">
        <f t="shared" si="11"/>
        <v>9637390.25</v>
      </c>
      <c r="G731" s="26"/>
      <c r="H731" s="26"/>
      <c r="I731" s="28"/>
      <c r="J731" s="28"/>
      <c r="K731" s="28"/>
      <c r="L731" s="28"/>
      <c r="M731" s="26"/>
      <c r="N731" s="26"/>
      <c r="O731" s="28"/>
      <c r="P731" s="28"/>
      <c r="Q731" s="28"/>
    </row>
    <row r="732" spans="1:17" ht="18">
      <c r="A732" s="22">
        <v>727</v>
      </c>
      <c r="B732" s="23" t="s">
        <v>119</v>
      </c>
      <c r="C732" s="23" t="s">
        <v>839</v>
      </c>
      <c r="D732" s="24">
        <v>2385313.9</v>
      </c>
      <c r="E732" s="24">
        <v>4290992.74</v>
      </c>
      <c r="F732" s="25">
        <f t="shared" si="11"/>
        <v>6676306.6399999997</v>
      </c>
      <c r="G732" s="26"/>
      <c r="H732" s="26"/>
      <c r="I732" s="28"/>
      <c r="J732" s="28"/>
      <c r="K732" s="28"/>
      <c r="L732" s="28"/>
      <c r="M732" s="26"/>
      <c r="N732" s="26"/>
      <c r="O732" s="28"/>
      <c r="P732" s="28"/>
      <c r="Q732" s="28"/>
    </row>
    <row r="733" spans="1:17" ht="18">
      <c r="A733" s="22">
        <v>728</v>
      </c>
      <c r="B733" s="23" t="s">
        <v>119</v>
      </c>
      <c r="C733" s="23" t="s">
        <v>841</v>
      </c>
      <c r="D733" s="24">
        <v>2294261.9500000002</v>
      </c>
      <c r="E733" s="24">
        <v>4127197.41</v>
      </c>
      <c r="F733" s="25">
        <f t="shared" si="11"/>
        <v>6421459.3600000003</v>
      </c>
      <c r="G733" s="26"/>
      <c r="H733" s="26"/>
      <c r="I733" s="28"/>
      <c r="J733" s="28"/>
      <c r="K733" s="28"/>
      <c r="L733" s="28"/>
      <c r="M733" s="26"/>
      <c r="N733" s="26"/>
      <c r="O733" s="28"/>
      <c r="P733" s="28"/>
      <c r="Q733" s="28"/>
    </row>
    <row r="734" spans="1:17" ht="18">
      <c r="A734" s="22">
        <v>729</v>
      </c>
      <c r="B734" s="23" t="s">
        <v>119</v>
      </c>
      <c r="C734" s="23" t="s">
        <v>843</v>
      </c>
      <c r="D734" s="24">
        <v>3561008.3</v>
      </c>
      <c r="E734" s="24">
        <v>6405974.8099999996</v>
      </c>
      <c r="F734" s="25">
        <f t="shared" si="11"/>
        <v>9966983.1099999994</v>
      </c>
      <c r="G734" s="26"/>
      <c r="H734" s="26"/>
      <c r="I734" s="28"/>
      <c r="J734" s="28"/>
      <c r="K734" s="28"/>
      <c r="L734" s="28"/>
      <c r="M734" s="26"/>
      <c r="N734" s="26"/>
      <c r="O734" s="28"/>
      <c r="P734" s="28"/>
      <c r="Q734" s="28"/>
    </row>
    <row r="735" spans="1:17" ht="18">
      <c r="A735" s="22">
        <v>730</v>
      </c>
      <c r="B735" s="23" t="s">
        <v>119</v>
      </c>
      <c r="C735" s="23" t="s">
        <v>845</v>
      </c>
      <c r="D735" s="24">
        <v>2534865.5699999998</v>
      </c>
      <c r="E735" s="24">
        <v>4560024.47</v>
      </c>
      <c r="F735" s="25">
        <f t="shared" si="11"/>
        <v>7094890.04</v>
      </c>
      <c r="G735" s="26"/>
      <c r="H735" s="26"/>
      <c r="I735" s="28"/>
      <c r="J735" s="28"/>
      <c r="K735" s="28"/>
      <c r="L735" s="28"/>
      <c r="M735" s="26"/>
      <c r="N735" s="26"/>
      <c r="O735" s="28"/>
      <c r="P735" s="28"/>
      <c r="Q735" s="28"/>
    </row>
    <row r="736" spans="1:17" ht="18">
      <c r="A736" s="22">
        <v>731</v>
      </c>
      <c r="B736" s="23" t="s">
        <v>119</v>
      </c>
      <c r="C736" s="23" t="s">
        <v>848</v>
      </c>
      <c r="D736" s="24">
        <v>2340435.59</v>
      </c>
      <c r="E736" s="24">
        <v>4210260.17</v>
      </c>
      <c r="F736" s="25">
        <f t="shared" si="11"/>
        <v>6550695.7599999998</v>
      </c>
      <c r="G736" s="26"/>
      <c r="H736" s="26"/>
      <c r="I736" s="28"/>
      <c r="J736" s="28"/>
      <c r="K736" s="28"/>
      <c r="L736" s="28"/>
      <c r="M736" s="26"/>
      <c r="N736" s="26"/>
      <c r="O736" s="28"/>
      <c r="P736" s="28"/>
      <c r="Q736" s="28"/>
    </row>
    <row r="737" spans="1:17" ht="18">
      <c r="A737" s="22">
        <v>732</v>
      </c>
      <c r="B737" s="23" t="s">
        <v>119</v>
      </c>
      <c r="C737" s="23" t="s">
        <v>850</v>
      </c>
      <c r="D737" s="24">
        <v>3492674.21</v>
      </c>
      <c r="E737" s="24">
        <v>6283047.1399999997</v>
      </c>
      <c r="F737" s="25">
        <f t="shared" si="11"/>
        <v>9775721.3499999996</v>
      </c>
      <c r="G737" s="26"/>
      <c r="H737" s="26"/>
      <c r="I737" s="28"/>
      <c r="J737" s="28"/>
      <c r="K737" s="28"/>
      <c r="L737" s="28"/>
      <c r="M737" s="26"/>
      <c r="N737" s="26"/>
      <c r="O737" s="28"/>
      <c r="P737" s="28"/>
      <c r="Q737" s="28"/>
    </row>
    <row r="738" spans="1:17" ht="18">
      <c r="A738" s="22">
        <v>733</v>
      </c>
      <c r="B738" s="23" t="s">
        <v>119</v>
      </c>
      <c r="C738" s="23" t="s">
        <v>852</v>
      </c>
      <c r="D738" s="24">
        <v>2764564.56</v>
      </c>
      <c r="E738" s="24">
        <v>4973234.9400000004</v>
      </c>
      <c r="F738" s="25">
        <f t="shared" si="11"/>
        <v>7737799.5</v>
      </c>
      <c r="G738" s="26"/>
      <c r="H738" s="26"/>
      <c r="I738" s="28"/>
      <c r="J738" s="28"/>
      <c r="K738" s="28"/>
      <c r="L738" s="28"/>
      <c r="M738" s="26"/>
      <c r="N738" s="26"/>
      <c r="O738" s="28"/>
      <c r="P738" s="28"/>
      <c r="Q738" s="28"/>
    </row>
    <row r="739" spans="1:17" ht="18">
      <c r="A739" s="22">
        <v>734</v>
      </c>
      <c r="B739" s="23" t="s">
        <v>119</v>
      </c>
      <c r="C739" s="23" t="s">
        <v>854</v>
      </c>
      <c r="D739" s="24">
        <v>2376106.35</v>
      </c>
      <c r="E739" s="24">
        <v>4274429.08</v>
      </c>
      <c r="F739" s="25">
        <f t="shared" si="11"/>
        <v>6650535.4299999997</v>
      </c>
      <c r="G739" s="26"/>
      <c r="H739" s="26"/>
      <c r="I739" s="28"/>
      <c r="J739" s="28"/>
      <c r="K739" s="28"/>
      <c r="L739" s="28"/>
      <c r="M739" s="26"/>
      <c r="N739" s="26"/>
      <c r="O739" s="28"/>
      <c r="P739" s="28"/>
      <c r="Q739" s="28"/>
    </row>
    <row r="740" spans="1:17" ht="18">
      <c r="A740" s="22">
        <v>735</v>
      </c>
      <c r="B740" s="23" t="s">
        <v>119</v>
      </c>
      <c r="C740" s="23" t="s">
        <v>856</v>
      </c>
      <c r="D740" s="24">
        <v>3403434.89</v>
      </c>
      <c r="E740" s="24">
        <v>6122512.5899999999</v>
      </c>
      <c r="F740" s="25">
        <f t="shared" si="11"/>
        <v>9525947.4800000004</v>
      </c>
      <c r="G740" s="26"/>
      <c r="H740" s="26"/>
      <c r="I740" s="28"/>
      <c r="J740" s="28"/>
      <c r="K740" s="28"/>
      <c r="L740" s="28"/>
      <c r="M740" s="26"/>
      <c r="N740" s="26"/>
      <c r="O740" s="28"/>
      <c r="P740" s="28"/>
      <c r="Q740" s="28"/>
    </row>
    <row r="741" spans="1:17" ht="18">
      <c r="A741" s="22">
        <v>736</v>
      </c>
      <c r="B741" s="23" t="s">
        <v>119</v>
      </c>
      <c r="C741" s="23" t="s">
        <v>858</v>
      </c>
      <c r="D741" s="24">
        <v>2256182.2400000002</v>
      </c>
      <c r="E741" s="24">
        <v>4058695</v>
      </c>
      <c r="F741" s="25">
        <f t="shared" si="11"/>
        <v>6314877.2400000002</v>
      </c>
      <c r="G741" s="26"/>
      <c r="H741" s="26"/>
      <c r="I741" s="28"/>
      <c r="J741" s="28"/>
      <c r="K741" s="28"/>
      <c r="L741" s="28"/>
      <c r="M741" s="26"/>
      <c r="N741" s="26"/>
      <c r="O741" s="28"/>
      <c r="P741" s="28"/>
      <c r="Q741" s="28"/>
    </row>
    <row r="742" spans="1:17" ht="18">
      <c r="A742" s="22">
        <v>737</v>
      </c>
      <c r="B742" s="23" t="s">
        <v>119</v>
      </c>
      <c r="C742" s="23" t="s">
        <v>860</v>
      </c>
      <c r="D742" s="24">
        <v>2447505.77</v>
      </c>
      <c r="E742" s="24">
        <v>4402871.03</v>
      </c>
      <c r="F742" s="25">
        <f t="shared" si="11"/>
        <v>6850376.7999999998</v>
      </c>
      <c r="G742" s="26"/>
      <c r="H742" s="26"/>
      <c r="I742" s="28"/>
      <c r="J742" s="28"/>
      <c r="K742" s="28"/>
      <c r="L742" s="28"/>
      <c r="M742" s="26"/>
      <c r="N742" s="26"/>
      <c r="O742" s="28"/>
      <c r="P742" s="28"/>
      <c r="Q742" s="28"/>
    </row>
    <row r="743" spans="1:17" ht="18">
      <c r="A743" s="22">
        <v>738</v>
      </c>
      <c r="B743" s="23" t="s">
        <v>120</v>
      </c>
      <c r="C743" s="23" t="s">
        <v>864</v>
      </c>
      <c r="D743" s="24">
        <v>2529351.67</v>
      </c>
      <c r="E743" s="24">
        <v>4550105.38</v>
      </c>
      <c r="F743" s="25">
        <f t="shared" si="11"/>
        <v>7079457.0499999998</v>
      </c>
      <c r="G743" s="26"/>
      <c r="H743" s="26"/>
      <c r="I743" s="28"/>
      <c r="J743" s="28"/>
      <c r="K743" s="28"/>
      <c r="L743" s="28"/>
      <c r="M743" s="26"/>
      <c r="N743" s="26"/>
      <c r="O743" s="28"/>
      <c r="P743" s="28"/>
      <c r="Q743" s="28"/>
    </row>
    <row r="744" spans="1:17" ht="18">
      <c r="A744" s="22">
        <v>739</v>
      </c>
      <c r="B744" s="23" t="s">
        <v>120</v>
      </c>
      <c r="C744" s="23" t="s">
        <v>866</v>
      </c>
      <c r="D744" s="24">
        <v>2798978.03</v>
      </c>
      <c r="E744" s="24">
        <v>5035142.08</v>
      </c>
      <c r="F744" s="25">
        <f t="shared" si="11"/>
        <v>7834120.1100000003</v>
      </c>
      <c r="G744" s="26"/>
      <c r="H744" s="26"/>
      <c r="I744" s="28"/>
      <c r="J744" s="28"/>
      <c r="K744" s="28"/>
      <c r="L744" s="28"/>
      <c r="M744" s="26"/>
      <c r="N744" s="26"/>
      <c r="O744" s="28"/>
      <c r="P744" s="28"/>
      <c r="Q744" s="28"/>
    </row>
    <row r="745" spans="1:17" ht="18">
      <c r="A745" s="22">
        <v>740</v>
      </c>
      <c r="B745" s="23" t="s">
        <v>120</v>
      </c>
      <c r="C745" s="23" t="s">
        <v>868</v>
      </c>
      <c r="D745" s="24">
        <v>2343556.0499999998</v>
      </c>
      <c r="E745" s="24">
        <v>4215873.63</v>
      </c>
      <c r="F745" s="25">
        <f t="shared" si="11"/>
        <v>6559429.6799999997</v>
      </c>
      <c r="G745" s="26"/>
      <c r="H745" s="26"/>
      <c r="I745" s="28"/>
      <c r="J745" s="28"/>
      <c r="K745" s="28"/>
      <c r="L745" s="28"/>
      <c r="M745" s="26"/>
      <c r="N745" s="26"/>
      <c r="O745" s="28"/>
      <c r="P745" s="28"/>
      <c r="Q745" s="28"/>
    </row>
    <row r="746" spans="1:17" ht="18">
      <c r="A746" s="22">
        <v>741</v>
      </c>
      <c r="B746" s="23" t="s">
        <v>120</v>
      </c>
      <c r="C746" s="23" t="s">
        <v>870</v>
      </c>
      <c r="D746" s="24">
        <v>2623928.35</v>
      </c>
      <c r="E746" s="24">
        <v>4720241.43</v>
      </c>
      <c r="F746" s="25">
        <f t="shared" si="11"/>
        <v>7344169.7800000003</v>
      </c>
      <c r="G746" s="26"/>
      <c r="H746" s="26"/>
      <c r="I746" s="28"/>
      <c r="J746" s="28"/>
      <c r="K746" s="28"/>
      <c r="L746" s="28"/>
      <c r="M746" s="26"/>
      <c r="N746" s="26"/>
      <c r="O746" s="28"/>
      <c r="P746" s="28"/>
      <c r="Q746" s="28"/>
    </row>
    <row r="747" spans="1:17" ht="18">
      <c r="A747" s="22">
        <v>742</v>
      </c>
      <c r="B747" s="23" t="s">
        <v>120</v>
      </c>
      <c r="C747" s="23" t="s">
        <v>872</v>
      </c>
      <c r="D747" s="24">
        <v>3680260.25</v>
      </c>
      <c r="E747" s="24">
        <v>6620499.71</v>
      </c>
      <c r="F747" s="25">
        <f t="shared" si="11"/>
        <v>10300759.960000001</v>
      </c>
      <c r="G747" s="26"/>
      <c r="H747" s="26"/>
      <c r="I747" s="28"/>
      <c r="J747" s="28"/>
      <c r="K747" s="28"/>
      <c r="L747" s="28"/>
      <c r="M747" s="26"/>
      <c r="N747" s="26"/>
      <c r="O747" s="28"/>
      <c r="P747" s="28"/>
      <c r="Q747" s="28"/>
    </row>
    <row r="748" spans="1:17" ht="18">
      <c r="A748" s="22">
        <v>743</v>
      </c>
      <c r="B748" s="23" t="s">
        <v>120</v>
      </c>
      <c r="C748" s="23" t="s">
        <v>874</v>
      </c>
      <c r="D748" s="24">
        <v>3049985.22</v>
      </c>
      <c r="E748" s="24">
        <v>5486684.3300000001</v>
      </c>
      <c r="F748" s="25">
        <f t="shared" si="11"/>
        <v>8536669.5500000007</v>
      </c>
      <c r="G748" s="26"/>
      <c r="H748" s="26"/>
      <c r="I748" s="28"/>
      <c r="J748" s="28"/>
      <c r="K748" s="28"/>
      <c r="L748" s="28"/>
      <c r="M748" s="26"/>
      <c r="N748" s="26"/>
      <c r="O748" s="28"/>
      <c r="P748" s="28"/>
      <c r="Q748" s="28"/>
    </row>
    <row r="749" spans="1:17" ht="18">
      <c r="A749" s="22">
        <v>744</v>
      </c>
      <c r="B749" s="23" t="s">
        <v>120</v>
      </c>
      <c r="C749" s="23" t="s">
        <v>876</v>
      </c>
      <c r="D749" s="24">
        <v>2808030.43</v>
      </c>
      <c r="E749" s="24">
        <v>5051426.6399999997</v>
      </c>
      <c r="F749" s="25">
        <f t="shared" si="11"/>
        <v>7859457.0700000003</v>
      </c>
      <c r="G749" s="26"/>
      <c r="H749" s="26"/>
      <c r="I749" s="28"/>
      <c r="J749" s="28"/>
      <c r="K749" s="28"/>
      <c r="L749" s="28"/>
      <c r="M749" s="26"/>
      <c r="N749" s="26"/>
      <c r="O749" s="28"/>
      <c r="P749" s="28"/>
      <c r="Q749" s="28"/>
    </row>
    <row r="750" spans="1:17" ht="18">
      <c r="A750" s="22">
        <v>745</v>
      </c>
      <c r="B750" s="23" t="s">
        <v>120</v>
      </c>
      <c r="C750" s="23" t="s">
        <v>878</v>
      </c>
      <c r="D750" s="24">
        <v>2439602.48</v>
      </c>
      <c r="E750" s="24">
        <v>4388653.63</v>
      </c>
      <c r="F750" s="25">
        <f t="shared" si="11"/>
        <v>6828256.1100000003</v>
      </c>
      <c r="G750" s="26"/>
      <c r="H750" s="26"/>
      <c r="I750" s="28"/>
      <c r="J750" s="28"/>
      <c r="K750" s="28"/>
      <c r="L750" s="28"/>
      <c r="M750" s="26"/>
      <c r="N750" s="26"/>
      <c r="O750" s="28"/>
      <c r="P750" s="28"/>
      <c r="Q750" s="28"/>
    </row>
    <row r="751" spans="1:17" ht="18">
      <c r="A751" s="22">
        <v>746</v>
      </c>
      <c r="B751" s="23" t="s">
        <v>120</v>
      </c>
      <c r="C751" s="23" t="s">
        <v>880</v>
      </c>
      <c r="D751" s="24">
        <v>3217445.31</v>
      </c>
      <c r="E751" s="24">
        <v>5787931.9199999999</v>
      </c>
      <c r="F751" s="25">
        <f t="shared" si="11"/>
        <v>9005377.2300000004</v>
      </c>
      <c r="G751" s="26"/>
      <c r="H751" s="26"/>
      <c r="I751" s="28"/>
      <c r="J751" s="28"/>
      <c r="K751" s="28"/>
      <c r="L751" s="28"/>
      <c r="M751" s="26"/>
      <c r="N751" s="26"/>
      <c r="O751" s="28"/>
      <c r="P751" s="28"/>
      <c r="Q751" s="28"/>
    </row>
    <row r="752" spans="1:17" ht="18">
      <c r="A752" s="22">
        <v>747</v>
      </c>
      <c r="B752" s="23" t="s">
        <v>120</v>
      </c>
      <c r="C752" s="23" t="s">
        <v>882</v>
      </c>
      <c r="D752" s="24">
        <v>2269118.08</v>
      </c>
      <c r="E752" s="24">
        <v>4081965.56</v>
      </c>
      <c r="F752" s="25">
        <f t="shared" si="11"/>
        <v>6351083.6399999997</v>
      </c>
      <c r="G752" s="26"/>
      <c r="H752" s="26"/>
      <c r="I752" s="28"/>
      <c r="J752" s="28"/>
      <c r="K752" s="28"/>
      <c r="L752" s="28"/>
      <c r="M752" s="26"/>
      <c r="N752" s="26"/>
      <c r="O752" s="28"/>
      <c r="P752" s="28"/>
      <c r="Q752" s="28"/>
    </row>
    <row r="753" spans="1:17" ht="18">
      <c r="A753" s="22">
        <v>748</v>
      </c>
      <c r="B753" s="23" t="s">
        <v>120</v>
      </c>
      <c r="C753" s="23" t="s">
        <v>884</v>
      </c>
      <c r="D753" s="24">
        <v>2173454.35</v>
      </c>
      <c r="E753" s="24">
        <v>3909874</v>
      </c>
      <c r="F753" s="25">
        <f t="shared" si="11"/>
        <v>6083328.3499999996</v>
      </c>
      <c r="G753" s="26"/>
      <c r="H753" s="26"/>
      <c r="I753" s="28"/>
      <c r="J753" s="28"/>
      <c r="K753" s="28"/>
      <c r="L753" s="28"/>
      <c r="M753" s="26"/>
      <c r="N753" s="26"/>
      <c r="O753" s="28"/>
      <c r="P753" s="28"/>
      <c r="Q753" s="28"/>
    </row>
    <row r="754" spans="1:17" ht="18">
      <c r="A754" s="22">
        <v>749</v>
      </c>
      <c r="B754" s="23" t="s">
        <v>120</v>
      </c>
      <c r="C754" s="23" t="s">
        <v>886</v>
      </c>
      <c r="D754" s="24">
        <v>2330275.44</v>
      </c>
      <c r="E754" s="24">
        <v>4191982.85</v>
      </c>
      <c r="F754" s="25">
        <f t="shared" si="11"/>
        <v>6522258.29</v>
      </c>
      <c r="G754" s="26"/>
      <c r="H754" s="26"/>
      <c r="I754" s="28"/>
      <c r="J754" s="28"/>
      <c r="K754" s="28"/>
      <c r="L754" s="28"/>
      <c r="M754" s="26"/>
      <c r="N754" s="26"/>
      <c r="O754" s="28"/>
      <c r="P754" s="28"/>
      <c r="Q754" s="28"/>
    </row>
    <row r="755" spans="1:17" ht="18">
      <c r="A755" s="22">
        <v>750</v>
      </c>
      <c r="B755" s="23" t="s">
        <v>120</v>
      </c>
      <c r="C755" s="23" t="s">
        <v>888</v>
      </c>
      <c r="D755" s="24">
        <v>2534450.15</v>
      </c>
      <c r="E755" s="24">
        <v>4559277.1500000004</v>
      </c>
      <c r="F755" s="25">
        <f t="shared" si="11"/>
        <v>7093727.2999999998</v>
      </c>
      <c r="G755" s="26"/>
      <c r="H755" s="26"/>
      <c r="I755" s="28"/>
      <c r="J755" s="28"/>
      <c r="K755" s="28"/>
      <c r="L755" s="28"/>
      <c r="M755" s="26"/>
      <c r="N755" s="26"/>
      <c r="O755" s="28"/>
      <c r="P755" s="28"/>
      <c r="Q755" s="28"/>
    </row>
    <row r="756" spans="1:17" ht="18">
      <c r="A756" s="22">
        <v>751</v>
      </c>
      <c r="B756" s="23" t="s">
        <v>120</v>
      </c>
      <c r="C756" s="23" t="s">
        <v>890</v>
      </c>
      <c r="D756" s="24">
        <v>2788874.07</v>
      </c>
      <c r="E756" s="24">
        <v>5016965.8499999996</v>
      </c>
      <c r="F756" s="25">
        <f t="shared" si="11"/>
        <v>7805839.9199999999</v>
      </c>
      <c r="G756" s="26"/>
      <c r="H756" s="26"/>
      <c r="I756" s="28"/>
      <c r="J756" s="28"/>
      <c r="K756" s="28"/>
      <c r="L756" s="28"/>
      <c r="M756" s="26"/>
      <c r="N756" s="26"/>
      <c r="O756" s="28"/>
      <c r="P756" s="28"/>
      <c r="Q756" s="28"/>
    </row>
    <row r="757" spans="1:17" ht="18">
      <c r="A757" s="22">
        <v>752</v>
      </c>
      <c r="B757" s="23" t="s">
        <v>120</v>
      </c>
      <c r="C757" s="23" t="s">
        <v>892</v>
      </c>
      <c r="D757" s="24">
        <v>2586652.81</v>
      </c>
      <c r="E757" s="24">
        <v>4653185.6500000004</v>
      </c>
      <c r="F757" s="25">
        <f t="shared" si="11"/>
        <v>7239838.46</v>
      </c>
      <c r="G757" s="26"/>
      <c r="H757" s="26"/>
      <c r="I757" s="28"/>
      <c r="J757" s="28"/>
      <c r="K757" s="28"/>
      <c r="L757" s="28"/>
      <c r="M757" s="26"/>
      <c r="N757" s="26"/>
      <c r="O757" s="28"/>
      <c r="P757" s="28"/>
      <c r="Q757" s="28"/>
    </row>
    <row r="758" spans="1:17" ht="18">
      <c r="A758" s="22">
        <v>753</v>
      </c>
      <c r="B758" s="23" t="s">
        <v>120</v>
      </c>
      <c r="C758" s="23" t="s">
        <v>894</v>
      </c>
      <c r="D758" s="24">
        <v>2695735.56</v>
      </c>
      <c r="E758" s="24">
        <v>4849416.97</v>
      </c>
      <c r="F758" s="25">
        <f t="shared" si="11"/>
        <v>7545152.5300000003</v>
      </c>
      <c r="G758" s="26"/>
      <c r="H758" s="26"/>
      <c r="I758" s="28"/>
      <c r="J758" s="28"/>
      <c r="K758" s="28"/>
      <c r="L758" s="28"/>
      <c r="M758" s="26"/>
      <c r="N758" s="26"/>
      <c r="O758" s="28"/>
      <c r="P758" s="28"/>
      <c r="Q758" s="28"/>
    </row>
    <row r="759" spans="1:17" ht="18">
      <c r="A759" s="22">
        <v>754</v>
      </c>
      <c r="B759" s="23" t="s">
        <v>120</v>
      </c>
      <c r="C759" s="23" t="s">
        <v>896</v>
      </c>
      <c r="D759" s="24">
        <v>2689329.55</v>
      </c>
      <c r="E759" s="24">
        <v>4837893.0599999996</v>
      </c>
      <c r="F759" s="25">
        <f t="shared" si="11"/>
        <v>7527222.6100000003</v>
      </c>
      <c r="G759" s="26"/>
      <c r="H759" s="26"/>
      <c r="I759" s="28"/>
      <c r="J759" s="28"/>
      <c r="K759" s="28"/>
      <c r="L759" s="28"/>
      <c r="M759" s="26"/>
      <c r="N759" s="26"/>
      <c r="O759" s="28"/>
      <c r="P759" s="28"/>
      <c r="Q759" s="28"/>
    </row>
    <row r="760" spans="1:17" ht="18">
      <c r="A760" s="22">
        <v>755</v>
      </c>
      <c r="B760" s="23" t="s">
        <v>121</v>
      </c>
      <c r="C760" s="23" t="s">
        <v>900</v>
      </c>
      <c r="D760" s="24">
        <v>2531386.36</v>
      </c>
      <c r="E760" s="24">
        <v>4553765.6399999997</v>
      </c>
      <c r="F760" s="25">
        <f t="shared" si="11"/>
        <v>7085152</v>
      </c>
      <c r="G760" s="26"/>
      <c r="H760" s="26"/>
      <c r="I760" s="28"/>
      <c r="J760" s="28"/>
      <c r="K760" s="28"/>
      <c r="L760" s="28"/>
      <c r="M760" s="26"/>
      <c r="N760" s="26"/>
      <c r="O760" s="28"/>
      <c r="P760" s="28"/>
      <c r="Q760" s="28"/>
    </row>
    <row r="761" spans="1:17" ht="18">
      <c r="A761" s="22">
        <v>756</v>
      </c>
      <c r="B761" s="23" t="s">
        <v>121</v>
      </c>
      <c r="C761" s="23" t="s">
        <v>902</v>
      </c>
      <c r="D761" s="24">
        <v>2451014.6800000002</v>
      </c>
      <c r="E761" s="24">
        <v>4409183.28</v>
      </c>
      <c r="F761" s="25">
        <f t="shared" si="11"/>
        <v>6860197.96</v>
      </c>
      <c r="G761" s="26"/>
      <c r="H761" s="26"/>
      <c r="I761" s="28"/>
      <c r="J761" s="28"/>
      <c r="K761" s="28"/>
      <c r="L761" s="28"/>
      <c r="M761" s="26"/>
      <c r="N761" s="26"/>
      <c r="O761" s="28"/>
      <c r="P761" s="28"/>
      <c r="Q761" s="28"/>
    </row>
    <row r="762" spans="1:17" ht="18">
      <c r="A762" s="22">
        <v>757</v>
      </c>
      <c r="B762" s="23" t="s">
        <v>121</v>
      </c>
      <c r="C762" s="23" t="s">
        <v>904</v>
      </c>
      <c r="D762" s="24">
        <v>2892598.79</v>
      </c>
      <c r="E762" s="24">
        <v>5203558.4800000004</v>
      </c>
      <c r="F762" s="25">
        <f t="shared" si="11"/>
        <v>8096157.2699999996</v>
      </c>
      <c r="G762" s="26"/>
      <c r="H762" s="26"/>
      <c r="I762" s="28"/>
      <c r="J762" s="28"/>
      <c r="K762" s="28"/>
      <c r="L762" s="28"/>
      <c r="M762" s="26"/>
      <c r="N762" s="26"/>
      <c r="O762" s="28"/>
      <c r="P762" s="28"/>
      <c r="Q762" s="28"/>
    </row>
    <row r="763" spans="1:17" ht="18">
      <c r="A763" s="22">
        <v>758</v>
      </c>
      <c r="B763" s="23" t="s">
        <v>121</v>
      </c>
      <c r="C763" s="23" t="s">
        <v>906</v>
      </c>
      <c r="D763" s="24">
        <v>3192585.19</v>
      </c>
      <c r="E763" s="24">
        <v>5743210.5</v>
      </c>
      <c r="F763" s="25">
        <f t="shared" si="11"/>
        <v>8935795.6899999995</v>
      </c>
      <c r="G763" s="26"/>
      <c r="H763" s="26"/>
      <c r="I763" s="28"/>
      <c r="J763" s="28"/>
      <c r="K763" s="28"/>
      <c r="L763" s="28"/>
      <c r="M763" s="26"/>
      <c r="N763" s="26"/>
      <c r="O763" s="28"/>
      <c r="P763" s="28"/>
      <c r="Q763" s="28"/>
    </row>
    <row r="764" spans="1:17" ht="18">
      <c r="A764" s="22">
        <v>759</v>
      </c>
      <c r="B764" s="23" t="s">
        <v>121</v>
      </c>
      <c r="C764" s="23" t="s">
        <v>908</v>
      </c>
      <c r="D764" s="24">
        <v>2778805.17</v>
      </c>
      <c r="E764" s="24">
        <v>4998852.68</v>
      </c>
      <c r="F764" s="25">
        <f t="shared" si="11"/>
        <v>7777657.8499999996</v>
      </c>
      <c r="G764" s="26"/>
      <c r="H764" s="26"/>
      <c r="I764" s="28"/>
      <c r="J764" s="28"/>
      <c r="K764" s="28"/>
      <c r="L764" s="28"/>
      <c r="M764" s="26"/>
      <c r="N764" s="26"/>
      <c r="O764" s="28"/>
      <c r="P764" s="28"/>
      <c r="Q764" s="28"/>
    </row>
    <row r="765" spans="1:17" ht="18">
      <c r="A765" s="22">
        <v>760</v>
      </c>
      <c r="B765" s="23" t="s">
        <v>121</v>
      </c>
      <c r="C765" s="23" t="s">
        <v>910</v>
      </c>
      <c r="D765" s="24">
        <v>3858531.08</v>
      </c>
      <c r="E765" s="24">
        <v>6941194.9699999997</v>
      </c>
      <c r="F765" s="25">
        <f t="shared" si="11"/>
        <v>10799726.050000001</v>
      </c>
      <c r="G765" s="26"/>
      <c r="H765" s="26"/>
      <c r="I765" s="28"/>
      <c r="J765" s="28"/>
      <c r="K765" s="28"/>
      <c r="L765" s="28"/>
      <c r="M765" s="26"/>
      <c r="N765" s="26"/>
      <c r="O765" s="28"/>
      <c r="P765" s="28"/>
      <c r="Q765" s="28"/>
    </row>
    <row r="766" spans="1:17" ht="18">
      <c r="A766" s="22">
        <v>761</v>
      </c>
      <c r="B766" s="23" t="s">
        <v>121</v>
      </c>
      <c r="C766" s="23" t="s">
        <v>912</v>
      </c>
      <c r="D766" s="24">
        <v>2930386.96</v>
      </c>
      <c r="E766" s="24">
        <v>5271536.4400000004</v>
      </c>
      <c r="F766" s="25">
        <f t="shared" si="11"/>
        <v>8201923.4000000004</v>
      </c>
      <c r="G766" s="26"/>
      <c r="H766" s="26"/>
      <c r="I766" s="28"/>
      <c r="J766" s="28"/>
      <c r="K766" s="28"/>
      <c r="L766" s="28"/>
      <c r="M766" s="26"/>
      <c r="N766" s="26"/>
      <c r="O766" s="28"/>
      <c r="P766" s="28"/>
      <c r="Q766" s="28"/>
    </row>
    <row r="767" spans="1:17" ht="18">
      <c r="A767" s="22">
        <v>762</v>
      </c>
      <c r="B767" s="23" t="s">
        <v>121</v>
      </c>
      <c r="C767" s="23" t="s">
        <v>826</v>
      </c>
      <c r="D767" s="24">
        <v>2658658.86</v>
      </c>
      <c r="E767" s="24">
        <v>4782718.8899999997</v>
      </c>
      <c r="F767" s="25">
        <f t="shared" si="11"/>
        <v>7441377.75</v>
      </c>
      <c r="G767" s="26"/>
      <c r="H767" s="26"/>
      <c r="I767" s="28"/>
      <c r="J767" s="28"/>
      <c r="K767" s="28"/>
      <c r="L767" s="28"/>
      <c r="M767" s="26"/>
      <c r="N767" s="26"/>
      <c r="O767" s="28"/>
      <c r="P767" s="28"/>
      <c r="Q767" s="28"/>
    </row>
    <row r="768" spans="1:17" ht="18">
      <c r="A768" s="22">
        <v>763</v>
      </c>
      <c r="B768" s="23" t="s">
        <v>121</v>
      </c>
      <c r="C768" s="23" t="s">
        <v>915</v>
      </c>
      <c r="D768" s="24">
        <v>2874085.41</v>
      </c>
      <c r="E768" s="24">
        <v>5170254.37</v>
      </c>
      <c r="F768" s="25">
        <f t="shared" si="11"/>
        <v>8044339.7800000003</v>
      </c>
      <c r="G768" s="26"/>
      <c r="H768" s="26"/>
      <c r="I768" s="28"/>
      <c r="J768" s="28"/>
      <c r="K768" s="28"/>
      <c r="L768" s="28"/>
      <c r="M768" s="26"/>
      <c r="N768" s="26"/>
      <c r="O768" s="28"/>
      <c r="P768" s="28"/>
      <c r="Q768" s="28"/>
    </row>
    <row r="769" spans="1:17" ht="18">
      <c r="A769" s="22">
        <v>764</v>
      </c>
      <c r="B769" s="23" t="s">
        <v>121</v>
      </c>
      <c r="C769" s="23" t="s">
        <v>917</v>
      </c>
      <c r="D769" s="24">
        <v>3793558.35</v>
      </c>
      <c r="E769" s="24">
        <v>6824314.1100000003</v>
      </c>
      <c r="F769" s="25">
        <f t="shared" si="11"/>
        <v>10617872.460000001</v>
      </c>
      <c r="G769" s="26"/>
      <c r="H769" s="26"/>
      <c r="I769" s="28"/>
      <c r="J769" s="28"/>
      <c r="K769" s="28"/>
      <c r="L769" s="28"/>
      <c r="M769" s="26"/>
      <c r="N769" s="26"/>
      <c r="O769" s="28"/>
      <c r="P769" s="28"/>
      <c r="Q769" s="28"/>
    </row>
    <row r="770" spans="1:17" ht="18">
      <c r="A770" s="22">
        <v>765</v>
      </c>
      <c r="B770" s="23" t="s">
        <v>121</v>
      </c>
      <c r="C770" s="23" t="s">
        <v>919</v>
      </c>
      <c r="D770" s="24">
        <v>2368621.84</v>
      </c>
      <c r="E770" s="24">
        <v>4260965.0199999996</v>
      </c>
      <c r="F770" s="25">
        <f t="shared" si="11"/>
        <v>6629586.8600000003</v>
      </c>
      <c r="G770" s="26"/>
      <c r="H770" s="26"/>
      <c r="I770" s="28"/>
      <c r="J770" s="28"/>
      <c r="K770" s="28"/>
      <c r="L770" s="28"/>
      <c r="M770" s="26"/>
      <c r="N770" s="26"/>
      <c r="O770" s="28"/>
      <c r="P770" s="28"/>
      <c r="Q770" s="28"/>
    </row>
    <row r="771" spans="1:17" ht="36">
      <c r="A771" s="22">
        <v>766</v>
      </c>
      <c r="B771" s="23" t="s">
        <v>121</v>
      </c>
      <c r="C771" s="23" t="s">
        <v>921</v>
      </c>
      <c r="D771" s="24">
        <v>2735797.37</v>
      </c>
      <c r="E771" s="24">
        <v>4921485.03</v>
      </c>
      <c r="F771" s="25">
        <f t="shared" si="11"/>
        <v>7657282.4000000004</v>
      </c>
      <c r="G771" s="26"/>
      <c r="H771" s="26"/>
      <c r="I771" s="28"/>
      <c r="J771" s="28"/>
      <c r="K771" s="28"/>
      <c r="L771" s="28"/>
      <c r="M771" s="26"/>
      <c r="N771" s="26"/>
      <c r="O771" s="28"/>
      <c r="P771" s="28"/>
      <c r="Q771" s="28"/>
    </row>
    <row r="772" spans="1:17" ht="18">
      <c r="A772" s="22">
        <v>767</v>
      </c>
      <c r="B772" s="23" t="s">
        <v>121</v>
      </c>
      <c r="C772" s="23" t="s">
        <v>923</v>
      </c>
      <c r="D772" s="24">
        <v>2898487.38</v>
      </c>
      <c r="E772" s="24">
        <v>5214151.5999999996</v>
      </c>
      <c r="F772" s="25">
        <f t="shared" si="11"/>
        <v>8112638.9800000004</v>
      </c>
      <c r="G772" s="26"/>
      <c r="H772" s="26"/>
      <c r="I772" s="28"/>
      <c r="J772" s="28"/>
      <c r="K772" s="28"/>
      <c r="L772" s="28"/>
      <c r="M772" s="26"/>
      <c r="N772" s="26"/>
      <c r="O772" s="28"/>
      <c r="P772" s="28"/>
      <c r="Q772" s="28"/>
    </row>
    <row r="773" spans="1:17" ht="18">
      <c r="A773" s="22">
        <v>768</v>
      </c>
      <c r="B773" s="23" t="s">
        <v>121</v>
      </c>
      <c r="C773" s="23" t="s">
        <v>925</v>
      </c>
      <c r="D773" s="24">
        <v>3201109.72</v>
      </c>
      <c r="E773" s="24">
        <v>5758545.4699999997</v>
      </c>
      <c r="F773" s="25">
        <f t="shared" si="11"/>
        <v>8959655.1899999995</v>
      </c>
      <c r="G773" s="26"/>
      <c r="H773" s="26"/>
      <c r="I773" s="28"/>
      <c r="J773" s="28"/>
      <c r="K773" s="28"/>
      <c r="L773" s="28"/>
      <c r="M773" s="26"/>
      <c r="N773" s="26"/>
      <c r="O773" s="28"/>
      <c r="P773" s="28"/>
      <c r="Q773" s="28"/>
    </row>
    <row r="774" spans="1:17" ht="18">
      <c r="A774" s="22">
        <v>769</v>
      </c>
      <c r="B774" s="23" t="s">
        <v>929</v>
      </c>
      <c r="C774" s="23" t="s">
        <v>930</v>
      </c>
      <c r="D774" s="24">
        <v>2114559.4900000002</v>
      </c>
      <c r="E774" s="24">
        <v>3803926.77</v>
      </c>
      <c r="F774" s="25">
        <f t="shared" si="11"/>
        <v>5918486.2599999998</v>
      </c>
      <c r="G774" s="26"/>
      <c r="H774" s="26"/>
      <c r="I774" s="28"/>
      <c r="J774" s="28"/>
      <c r="K774" s="28"/>
      <c r="L774" s="28"/>
      <c r="M774" s="26"/>
      <c r="N774" s="26"/>
      <c r="O774" s="28"/>
      <c r="P774" s="28"/>
      <c r="Q774" s="28"/>
    </row>
    <row r="775" spans="1:17" ht="36">
      <c r="A775" s="22">
        <v>770</v>
      </c>
      <c r="B775" s="23" t="s">
        <v>929</v>
      </c>
      <c r="C775" s="23" t="s">
        <v>932</v>
      </c>
      <c r="D775" s="24">
        <v>5397969.8700000001</v>
      </c>
      <c r="E775" s="24">
        <v>9710524.6799999997</v>
      </c>
      <c r="F775" s="25">
        <f t="shared" ref="F775:F779" si="12">D775+E775</f>
        <v>15108494.550000001</v>
      </c>
      <c r="G775" s="26"/>
      <c r="H775" s="26"/>
      <c r="I775" s="28"/>
      <c r="J775" s="28"/>
      <c r="K775" s="28"/>
      <c r="L775" s="28"/>
      <c r="M775" s="26"/>
      <c r="N775" s="26"/>
      <c r="O775" s="28"/>
      <c r="P775" s="28"/>
      <c r="Q775" s="28"/>
    </row>
    <row r="776" spans="1:17" ht="18">
      <c r="A776" s="22">
        <v>771</v>
      </c>
      <c r="B776" s="23" t="s">
        <v>929</v>
      </c>
      <c r="C776" s="23" t="s">
        <v>934</v>
      </c>
      <c r="D776" s="24">
        <v>3040528.81</v>
      </c>
      <c r="E776" s="24">
        <v>5469673</v>
      </c>
      <c r="F776" s="25">
        <f t="shared" si="12"/>
        <v>8510201.8100000005</v>
      </c>
      <c r="G776" s="26"/>
      <c r="H776" s="26"/>
      <c r="I776" s="28"/>
      <c r="J776" s="28"/>
      <c r="K776" s="28"/>
      <c r="L776" s="28"/>
      <c r="M776" s="26"/>
      <c r="N776" s="26"/>
      <c r="O776" s="28"/>
      <c r="P776" s="28"/>
      <c r="Q776" s="28"/>
    </row>
    <row r="777" spans="1:17" ht="18">
      <c r="A777" s="22">
        <v>772</v>
      </c>
      <c r="B777" s="23" t="s">
        <v>929</v>
      </c>
      <c r="C777" s="23" t="s">
        <v>936</v>
      </c>
      <c r="D777" s="24">
        <v>2605773.5</v>
      </c>
      <c r="E777" s="24">
        <v>4687582.28</v>
      </c>
      <c r="F777" s="25">
        <f t="shared" si="12"/>
        <v>7293355.7800000003</v>
      </c>
      <c r="G777" s="26"/>
      <c r="H777" s="26"/>
      <c r="I777" s="28"/>
      <c r="J777" s="28"/>
      <c r="K777" s="28"/>
      <c r="L777" s="28"/>
      <c r="M777" s="26"/>
      <c r="N777" s="26"/>
      <c r="O777" s="28"/>
      <c r="P777" s="28"/>
      <c r="Q777" s="28"/>
    </row>
    <row r="778" spans="1:17" ht="18">
      <c r="A778" s="22">
        <v>773</v>
      </c>
      <c r="B778" s="23" t="s">
        <v>929</v>
      </c>
      <c r="C778" s="23" t="s">
        <v>938</v>
      </c>
      <c r="D778" s="24">
        <v>2475927.91</v>
      </c>
      <c r="E778" s="24">
        <v>4454000.2300000004</v>
      </c>
      <c r="F778" s="25">
        <f t="shared" si="12"/>
        <v>6929928.1399999997</v>
      </c>
      <c r="G778" s="26"/>
      <c r="H778" s="26"/>
      <c r="I778" s="28"/>
      <c r="J778" s="28"/>
      <c r="K778" s="28"/>
      <c r="L778" s="28"/>
      <c r="M778" s="26"/>
      <c r="N778" s="26"/>
      <c r="O778" s="28"/>
      <c r="P778" s="28"/>
      <c r="Q778" s="28"/>
    </row>
    <row r="779" spans="1:17" ht="18">
      <c r="A779" s="22">
        <v>774</v>
      </c>
      <c r="B779" s="23" t="s">
        <v>929</v>
      </c>
      <c r="C779" s="23" t="s">
        <v>940</v>
      </c>
      <c r="D779" s="24">
        <v>2546833.41</v>
      </c>
      <c r="E779" s="24">
        <v>4581553.67</v>
      </c>
      <c r="F779" s="25">
        <f t="shared" si="12"/>
        <v>7128387.0800000001</v>
      </c>
      <c r="G779" s="26"/>
      <c r="H779" s="26"/>
      <c r="I779" s="28"/>
      <c r="J779" s="28"/>
      <c r="K779" s="28"/>
      <c r="L779" s="28"/>
      <c r="M779" s="26"/>
      <c r="N779" s="26"/>
      <c r="O779" s="28"/>
      <c r="P779" s="28"/>
      <c r="Q779" s="28"/>
    </row>
    <row r="780" spans="1:17" ht="18">
      <c r="A780" s="29"/>
      <c r="B780" s="205" t="s">
        <v>44</v>
      </c>
      <c r="C780" s="206"/>
      <c r="D780" s="13">
        <f>SUM(D6:D779)</f>
        <v>2001033338.3299999</v>
      </c>
      <c r="E780" s="13">
        <f>SUM(E6:E779)</f>
        <v>3599702126.0599899</v>
      </c>
      <c r="F780" s="13">
        <f t="shared" ref="F780" si="13">SUM(F6:F779)</f>
        <v>5600735464.3900003</v>
      </c>
    </row>
  </sheetData>
  <mergeCells count="4">
    <mergeCell ref="A1:F1"/>
    <mergeCell ref="A2:F2"/>
    <mergeCell ref="A3:F3"/>
    <mergeCell ref="B780:C780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topLeftCell="A32" workbookViewId="0">
      <selection activeCell="E46" sqref="E46"/>
    </sheetView>
  </sheetViews>
  <sheetFormatPr defaultColWidth="9" defaultRowHeight="13.2"/>
  <cols>
    <col min="1" max="1" width="5" customWidth="1"/>
    <col min="2" max="2" width="25.44140625" customWidth="1"/>
    <col min="3" max="3" width="22" customWidth="1"/>
    <col min="4" max="4" width="22.109375" customWidth="1"/>
    <col min="5" max="5" width="22" customWidth="1"/>
  </cols>
  <sheetData>
    <row r="1" spans="1:5" ht="20.399999999999999">
      <c r="A1" s="165" t="s">
        <v>17</v>
      </c>
      <c r="B1" s="165"/>
      <c r="C1" s="165"/>
      <c r="D1" s="165"/>
      <c r="E1" s="165"/>
    </row>
    <row r="2" spans="1:5" ht="20.399999999999999">
      <c r="A2" s="165" t="s">
        <v>62</v>
      </c>
      <c r="B2" s="165"/>
      <c r="C2" s="165"/>
      <c r="D2" s="165"/>
      <c r="E2" s="165"/>
    </row>
    <row r="3" spans="1:5" ht="35.4" customHeight="1">
      <c r="A3" s="209" t="s">
        <v>958</v>
      </c>
      <c r="B3" s="209"/>
      <c r="C3" s="209"/>
      <c r="D3" s="209"/>
      <c r="E3" s="209"/>
    </row>
    <row r="4" spans="1:5" ht="52.2">
      <c r="A4" s="2" t="s">
        <v>950</v>
      </c>
      <c r="B4" s="2" t="s">
        <v>955</v>
      </c>
      <c r="C4" s="3" t="s">
        <v>951</v>
      </c>
      <c r="D4" s="4" t="s">
        <v>952</v>
      </c>
      <c r="E4" s="5" t="s">
        <v>947</v>
      </c>
    </row>
    <row r="5" spans="1:5" ht="15.6">
      <c r="A5" s="6"/>
      <c r="B5" s="6"/>
      <c r="C5" s="149" t="s">
        <v>28</v>
      </c>
      <c r="D5" s="149" t="s">
        <v>28</v>
      </c>
      <c r="E5" s="149" t="s">
        <v>28</v>
      </c>
    </row>
    <row r="6" spans="1:5" ht="18">
      <c r="A6" s="8">
        <v>1</v>
      </c>
      <c r="B6" s="9" t="s">
        <v>959</v>
      </c>
      <c r="C6" s="10">
        <v>41533786.388099998</v>
      </c>
      <c r="D6" s="10">
        <v>74716026.117300004</v>
      </c>
      <c r="E6" s="11">
        <f t="shared" ref="E6:E42" si="0">SUM(C6:D6)</f>
        <v>116249812.5054</v>
      </c>
    </row>
    <row r="7" spans="1:5" ht="18">
      <c r="A7" s="8">
        <v>2</v>
      </c>
      <c r="B7" s="9" t="s">
        <v>960</v>
      </c>
      <c r="C7" s="10">
        <v>52388910.459100001</v>
      </c>
      <c r="D7" s="10">
        <v>94243543.450100005</v>
      </c>
      <c r="E7" s="11">
        <f t="shared" si="0"/>
        <v>146632453.90920001</v>
      </c>
    </row>
    <row r="8" spans="1:5" ht="18">
      <c r="A8" s="8">
        <v>3</v>
      </c>
      <c r="B8" s="9" t="s">
        <v>961</v>
      </c>
      <c r="C8" s="10">
        <v>69778950.214599997</v>
      </c>
      <c r="D8" s="10">
        <v>125526861.8655</v>
      </c>
      <c r="E8" s="11">
        <f t="shared" si="0"/>
        <v>195305812.0801</v>
      </c>
    </row>
    <row r="9" spans="1:5" ht="18">
      <c r="A9" s="8">
        <v>4</v>
      </c>
      <c r="B9" s="9" t="s">
        <v>962</v>
      </c>
      <c r="C9" s="10">
        <v>52672025.6853</v>
      </c>
      <c r="D9" s="10">
        <v>94752845.550600007</v>
      </c>
      <c r="E9" s="11">
        <f t="shared" si="0"/>
        <v>147424871.23590001</v>
      </c>
    </row>
    <row r="10" spans="1:5" ht="18">
      <c r="A10" s="8">
        <v>5</v>
      </c>
      <c r="B10" s="9" t="s">
        <v>963</v>
      </c>
      <c r="C10" s="10">
        <v>59793172.289800003</v>
      </c>
      <c r="D10" s="10">
        <v>107563230.1064</v>
      </c>
      <c r="E10" s="11">
        <f t="shared" si="0"/>
        <v>167356402.3962</v>
      </c>
    </row>
    <row r="11" spans="1:5" ht="18">
      <c r="A11" s="8">
        <v>6</v>
      </c>
      <c r="B11" s="9" t="s">
        <v>964</v>
      </c>
      <c r="C11" s="10">
        <v>24338009.751499999</v>
      </c>
      <c r="D11" s="10">
        <v>43782171.825900003</v>
      </c>
      <c r="E11" s="11">
        <f t="shared" si="0"/>
        <v>68120181.577399999</v>
      </c>
    </row>
    <row r="12" spans="1:5" ht="18">
      <c r="A12" s="8">
        <v>7</v>
      </c>
      <c r="B12" s="9" t="s">
        <v>965</v>
      </c>
      <c r="C12" s="10">
        <v>65064225.565399997</v>
      </c>
      <c r="D12" s="10">
        <v>117045441.7809</v>
      </c>
      <c r="E12" s="11">
        <f t="shared" si="0"/>
        <v>182109667.34630001</v>
      </c>
    </row>
    <row r="13" spans="1:5" ht="18">
      <c r="A13" s="8">
        <v>8</v>
      </c>
      <c r="B13" s="9" t="s">
        <v>966</v>
      </c>
      <c r="C13" s="10">
        <v>70640250.770400003</v>
      </c>
      <c r="D13" s="10">
        <v>127076274.05230001</v>
      </c>
      <c r="E13" s="11">
        <f t="shared" si="0"/>
        <v>197716524.82269999</v>
      </c>
    </row>
    <row r="14" spans="1:5" ht="18">
      <c r="A14" s="8">
        <v>9</v>
      </c>
      <c r="B14" s="9" t="s">
        <v>967</v>
      </c>
      <c r="C14" s="10">
        <v>45539544.793099999</v>
      </c>
      <c r="D14" s="10">
        <v>81922071.499300003</v>
      </c>
      <c r="E14" s="11">
        <f t="shared" si="0"/>
        <v>127461616.2924</v>
      </c>
    </row>
    <row r="15" spans="1:5" ht="18">
      <c r="A15" s="8">
        <v>10</v>
      </c>
      <c r="B15" s="9" t="s">
        <v>968</v>
      </c>
      <c r="C15" s="10">
        <v>58352395.280900002</v>
      </c>
      <c r="D15" s="10">
        <v>104971385.2017</v>
      </c>
      <c r="E15" s="11">
        <f t="shared" si="0"/>
        <v>163323780.4826</v>
      </c>
    </row>
    <row r="16" spans="1:5" ht="18">
      <c r="A16" s="8">
        <v>11</v>
      </c>
      <c r="B16" s="9" t="s">
        <v>969</v>
      </c>
      <c r="C16" s="10">
        <v>33687220.333999999</v>
      </c>
      <c r="D16" s="10">
        <v>60600668.833499998</v>
      </c>
      <c r="E16" s="11">
        <f t="shared" si="0"/>
        <v>94287889.167500004</v>
      </c>
    </row>
    <row r="17" spans="1:5" ht="18">
      <c r="A17" s="8">
        <v>12</v>
      </c>
      <c r="B17" s="9" t="s">
        <v>970</v>
      </c>
      <c r="C17" s="10">
        <v>44647480.433600001</v>
      </c>
      <c r="D17" s="10">
        <v>80317317.640499994</v>
      </c>
      <c r="E17" s="11">
        <f t="shared" si="0"/>
        <v>124964798.0741</v>
      </c>
    </row>
    <row r="18" spans="1:5" ht="18">
      <c r="A18" s="8">
        <v>13</v>
      </c>
      <c r="B18" s="9" t="s">
        <v>971</v>
      </c>
      <c r="C18" s="10">
        <v>35451718.575999998</v>
      </c>
      <c r="D18" s="10">
        <v>63774862.861599997</v>
      </c>
      <c r="E18" s="11">
        <f t="shared" si="0"/>
        <v>99226581.437600002</v>
      </c>
    </row>
    <row r="19" spans="1:5" ht="18">
      <c r="A19" s="8">
        <v>14</v>
      </c>
      <c r="B19" s="9" t="s">
        <v>972</v>
      </c>
      <c r="C19" s="10">
        <v>45362503.894599997</v>
      </c>
      <c r="D19" s="10">
        <v>81603588.800400004</v>
      </c>
      <c r="E19" s="11">
        <f t="shared" si="0"/>
        <v>126966092.69499999</v>
      </c>
    </row>
    <row r="20" spans="1:5" ht="18">
      <c r="A20" s="8">
        <v>15</v>
      </c>
      <c r="B20" s="9" t="s">
        <v>973</v>
      </c>
      <c r="C20" s="10">
        <v>31082419.3508</v>
      </c>
      <c r="D20" s="10">
        <v>55914836.040200002</v>
      </c>
      <c r="E20" s="11">
        <f t="shared" si="0"/>
        <v>86997255.391000003</v>
      </c>
    </row>
    <row r="21" spans="1:5" ht="18">
      <c r="A21" s="8">
        <v>16</v>
      </c>
      <c r="B21" s="9" t="s">
        <v>974</v>
      </c>
      <c r="C21" s="10">
        <v>60795846.023699999</v>
      </c>
      <c r="D21" s="10">
        <v>109366961.5589</v>
      </c>
      <c r="E21" s="11">
        <f t="shared" si="0"/>
        <v>170162807.5826</v>
      </c>
    </row>
    <row r="22" spans="1:5" ht="18">
      <c r="A22" s="8">
        <v>17</v>
      </c>
      <c r="B22" s="9" t="s">
        <v>975</v>
      </c>
      <c r="C22" s="10">
        <v>63871760.370099999</v>
      </c>
      <c r="D22" s="10">
        <v>114900290.3655</v>
      </c>
      <c r="E22" s="11">
        <f t="shared" si="0"/>
        <v>178772050.73559999</v>
      </c>
    </row>
    <row r="23" spans="1:5" ht="18">
      <c r="A23" s="8">
        <v>18</v>
      </c>
      <c r="B23" s="9" t="s">
        <v>976</v>
      </c>
      <c r="C23" s="10">
        <v>71829842.555600002</v>
      </c>
      <c r="D23" s="10">
        <v>129216256.42900001</v>
      </c>
      <c r="E23" s="11">
        <f t="shared" si="0"/>
        <v>201046098.98460001</v>
      </c>
    </row>
    <row r="24" spans="1:5" ht="18">
      <c r="A24" s="8">
        <v>19</v>
      </c>
      <c r="B24" s="9" t="s">
        <v>977</v>
      </c>
      <c r="C24" s="10">
        <v>114359265.5774</v>
      </c>
      <c r="D24" s="10">
        <v>205723354.808</v>
      </c>
      <c r="E24" s="11">
        <f t="shared" si="0"/>
        <v>320082620.3854</v>
      </c>
    </row>
    <row r="25" spans="1:5" ht="18">
      <c r="A25" s="8">
        <v>20</v>
      </c>
      <c r="B25" s="9" t="s">
        <v>978</v>
      </c>
      <c r="C25" s="10">
        <v>87063655.442499995</v>
      </c>
      <c r="D25" s="10">
        <v>156620691.7211</v>
      </c>
      <c r="E25" s="11">
        <f t="shared" si="0"/>
        <v>243684347.1636</v>
      </c>
    </row>
    <row r="26" spans="1:5" ht="18">
      <c r="A26" s="8">
        <v>21</v>
      </c>
      <c r="B26" s="9" t="s">
        <v>979</v>
      </c>
      <c r="C26" s="10">
        <v>54946511.921899997</v>
      </c>
      <c r="D26" s="10">
        <v>98844468.005899996</v>
      </c>
      <c r="E26" s="11">
        <f t="shared" si="0"/>
        <v>153790979.9278</v>
      </c>
    </row>
    <row r="27" spans="1:5" ht="18">
      <c r="A27" s="8">
        <v>22</v>
      </c>
      <c r="B27" s="9" t="s">
        <v>980</v>
      </c>
      <c r="C27" s="10">
        <v>56791244.821599998</v>
      </c>
      <c r="D27" s="10">
        <v>102162997.8946</v>
      </c>
      <c r="E27" s="11">
        <f t="shared" si="0"/>
        <v>158954242.71619999</v>
      </c>
    </row>
    <row r="28" spans="1:5" ht="18">
      <c r="A28" s="8">
        <v>23</v>
      </c>
      <c r="B28" s="9" t="s">
        <v>981</v>
      </c>
      <c r="C28" s="10">
        <v>40185754.305699997</v>
      </c>
      <c r="D28" s="10">
        <v>72291022.065599993</v>
      </c>
      <c r="E28" s="11">
        <f t="shared" si="0"/>
        <v>112476776.3713</v>
      </c>
    </row>
    <row r="29" spans="1:5" ht="18">
      <c r="A29" s="8">
        <v>24</v>
      </c>
      <c r="B29" s="9" t="s">
        <v>982</v>
      </c>
      <c r="C29" s="10">
        <v>68456279.276199996</v>
      </c>
      <c r="D29" s="10">
        <v>123147480.5235</v>
      </c>
      <c r="E29" s="11">
        <f t="shared" si="0"/>
        <v>191603759.79969999</v>
      </c>
    </row>
    <row r="30" spans="1:5" ht="18">
      <c r="A30" s="8">
        <v>25</v>
      </c>
      <c r="B30" s="9" t="s">
        <v>983</v>
      </c>
      <c r="C30" s="10">
        <v>35852619.031199999</v>
      </c>
      <c r="D30" s="10">
        <v>64496051.356200002</v>
      </c>
      <c r="E30" s="11">
        <f t="shared" si="0"/>
        <v>100348670.3874</v>
      </c>
    </row>
    <row r="31" spans="1:5" ht="18">
      <c r="A31" s="8">
        <v>26</v>
      </c>
      <c r="B31" s="9" t="s">
        <v>984</v>
      </c>
      <c r="C31" s="10">
        <v>66360432.258599997</v>
      </c>
      <c r="D31" s="10">
        <v>119377216.0201</v>
      </c>
      <c r="E31" s="11">
        <f t="shared" si="0"/>
        <v>185737648.27869999</v>
      </c>
    </row>
    <row r="32" spans="1:5" ht="18">
      <c r="A32" s="8">
        <v>27</v>
      </c>
      <c r="B32" s="9" t="s">
        <v>985</v>
      </c>
      <c r="C32" s="10">
        <v>47341292.437899999</v>
      </c>
      <c r="D32" s="10">
        <v>85163274.284199998</v>
      </c>
      <c r="E32" s="11">
        <f t="shared" si="0"/>
        <v>132504566.7221</v>
      </c>
    </row>
    <row r="33" spans="1:5" ht="18">
      <c r="A33" s="8">
        <v>28</v>
      </c>
      <c r="B33" s="9" t="s">
        <v>986</v>
      </c>
      <c r="C33" s="10">
        <v>45213928.824900001</v>
      </c>
      <c r="D33" s="10">
        <v>81336313.896200001</v>
      </c>
      <c r="E33" s="11">
        <f t="shared" si="0"/>
        <v>126550242.7211</v>
      </c>
    </row>
    <row r="34" spans="1:5" ht="18">
      <c r="A34" s="8">
        <v>29</v>
      </c>
      <c r="B34" s="9" t="s">
        <v>987</v>
      </c>
      <c r="C34" s="10">
        <v>61243409.7469</v>
      </c>
      <c r="D34" s="10">
        <v>110172093.61650001</v>
      </c>
      <c r="E34" s="11">
        <f t="shared" si="0"/>
        <v>171415503.36340001</v>
      </c>
    </row>
    <row r="35" spans="1:5" ht="18">
      <c r="A35" s="8">
        <v>30</v>
      </c>
      <c r="B35" s="9" t="s">
        <v>988</v>
      </c>
      <c r="C35" s="10">
        <v>77253782.9199</v>
      </c>
      <c r="D35" s="10">
        <v>138973499.99259999</v>
      </c>
      <c r="E35" s="11">
        <f t="shared" si="0"/>
        <v>216227282.91249999</v>
      </c>
    </row>
    <row r="36" spans="1:5" ht="18">
      <c r="A36" s="8">
        <v>31</v>
      </c>
      <c r="B36" s="9" t="s">
        <v>989</v>
      </c>
      <c r="C36" s="10">
        <v>48427770.969400004</v>
      </c>
      <c r="D36" s="10">
        <v>87117763.999300003</v>
      </c>
      <c r="E36" s="11">
        <f t="shared" si="0"/>
        <v>135545534.96869999</v>
      </c>
    </row>
    <row r="37" spans="1:5" ht="18">
      <c r="A37" s="8">
        <v>32</v>
      </c>
      <c r="B37" s="9" t="s">
        <v>990</v>
      </c>
      <c r="C37" s="10">
        <v>60028906.802299999</v>
      </c>
      <c r="D37" s="10">
        <v>107987298.0158</v>
      </c>
      <c r="E37" s="11">
        <f t="shared" si="0"/>
        <v>168016204.81810001</v>
      </c>
    </row>
    <row r="38" spans="1:5" ht="18">
      <c r="A38" s="8">
        <v>33</v>
      </c>
      <c r="B38" s="9" t="s">
        <v>991</v>
      </c>
      <c r="C38" s="10">
        <v>60458400.180100001</v>
      </c>
      <c r="D38" s="10">
        <v>108759922.9369</v>
      </c>
      <c r="E38" s="11">
        <f t="shared" si="0"/>
        <v>169218323.11700001</v>
      </c>
    </row>
    <row r="39" spans="1:5" ht="18">
      <c r="A39" s="8">
        <v>34</v>
      </c>
      <c r="B39" s="9" t="s">
        <v>992</v>
      </c>
      <c r="C39" s="10">
        <v>45313773.202100001</v>
      </c>
      <c r="D39" s="10">
        <v>81515926.104100004</v>
      </c>
      <c r="E39" s="11">
        <f t="shared" si="0"/>
        <v>126829699.3062</v>
      </c>
    </row>
    <row r="40" spans="1:5" ht="18">
      <c r="A40" s="8">
        <v>35</v>
      </c>
      <c r="B40" s="9" t="s">
        <v>993</v>
      </c>
      <c r="C40" s="10">
        <v>45559027.7742</v>
      </c>
      <c r="D40" s="10">
        <v>81957119.855299994</v>
      </c>
      <c r="E40" s="11">
        <f t="shared" si="0"/>
        <v>127516147.6295</v>
      </c>
    </row>
    <row r="41" spans="1:5" ht="18">
      <c r="A41" s="8">
        <v>36</v>
      </c>
      <c r="B41" s="9" t="s">
        <v>994</v>
      </c>
      <c r="C41" s="10">
        <v>41165627.129900001</v>
      </c>
      <c r="D41" s="10">
        <v>74053736.470100001</v>
      </c>
      <c r="E41" s="11">
        <f t="shared" si="0"/>
        <v>115219363.59999999</v>
      </c>
    </row>
    <row r="42" spans="1:5" ht="18">
      <c r="A42" s="8">
        <v>37</v>
      </c>
      <c r="B42" s="9" t="s">
        <v>995</v>
      </c>
      <c r="C42" s="10">
        <v>18181592.979699999</v>
      </c>
      <c r="D42" s="10">
        <v>32707260.619899999</v>
      </c>
      <c r="E42" s="11">
        <f t="shared" si="0"/>
        <v>50888853.599600002</v>
      </c>
    </row>
    <row r="43" spans="1:5" ht="17.399999999999999">
      <c r="A43" s="207" t="s">
        <v>44</v>
      </c>
      <c r="B43" s="207"/>
      <c r="C43" s="13">
        <f>SUM(C6:C42)</f>
        <v>2001033338.339</v>
      </c>
      <c r="D43" s="13">
        <f t="shared" ref="D43:E43" si="1">SUM(D6:D42)</f>
        <v>3599702126.1655002</v>
      </c>
      <c r="E43" s="13">
        <f t="shared" si="1"/>
        <v>5600735464.5045004</v>
      </c>
    </row>
  </sheetData>
  <mergeCells count="4">
    <mergeCell ref="A1:E1"/>
    <mergeCell ref="A2:E2"/>
    <mergeCell ref="A3:E3"/>
    <mergeCell ref="A43:B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MONTHENTRY</vt:lpstr>
      <vt:lpstr>Sum &amp; FG</vt:lpstr>
      <vt:lpstr>State Details</vt:lpstr>
      <vt:lpstr>LGCs Details</vt:lpstr>
      <vt:lpstr>Summary</vt:lpstr>
      <vt:lpstr>Ecology to States</vt:lpstr>
      <vt:lpstr>ECOLOGY TO INDIVIDUAL LGCS</vt:lpstr>
      <vt:lpstr>Ecology to LGCs</vt:lpstr>
      <vt:lpstr>acctmonth</vt:lpstr>
      <vt:lpstr>previuosmonth</vt:lpstr>
      <vt:lpstr>'LGCs Details'!Print_Area</vt:lpstr>
      <vt:lpstr>'State Details'!Print_Area</vt:lpstr>
      <vt:lpstr>'Sum &amp; FG'!Print_Area</vt:lpstr>
      <vt:lpstr>Summary!Print_Area</vt:lpstr>
    </vt:vector>
  </TitlesOfParts>
  <Company>OAGF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FUNDS</dc:creator>
  <cp:lastModifiedBy>FAAC</cp:lastModifiedBy>
  <cp:lastPrinted>2024-12-04T07:42:00Z</cp:lastPrinted>
  <dcterms:created xsi:type="dcterms:W3CDTF">2003-11-12T08:54:00Z</dcterms:created>
  <dcterms:modified xsi:type="dcterms:W3CDTF">2025-01-08T14:12:25Z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BD0B322157484682A9F1CFBD1A67B887_13</vt:lpwstr>
  </property>
  <property fmtid="{D5CDD505-2E9C-101B-9397-08002B2CF9AE}" pid="3" name="KSOProductBuildVer">
    <vt:lpwstr>1033-12.2.0.18911</vt:lpwstr>
  </property>
</Properties>
</file>