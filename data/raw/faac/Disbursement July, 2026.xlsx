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635" windowHeight="8115" firstSheet="1" activeTab="1"/>
  </bookViews>
  <sheets>
    <sheet name="MONTHENTRY" sheetId="8" state="hidden" r:id="rId1"/>
    <sheet name="Sum &amp; FG" sheetId="4" r:id="rId2"/>
    <sheet name="State Details" sheetId="12" r:id="rId3"/>
    <sheet name="LGCs Details" sheetId="26" r:id="rId4"/>
    <sheet name="Summary" sheetId="32" r:id="rId5"/>
    <sheet name="Ecology to States" sheetId="13" r:id="rId6"/>
    <sheet name="Ecology to LGCs" sheetId="21" r:id="rId7"/>
    <sheet name="ECOLOGY TO INDIVIDUAL LGCS" sheetId="19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3">'LGCs Details'!$5:$6</definedName>
    <definedName name="_xlnm.Print_Area" localSheetId="2">'State Details'!$A$1:$T$47</definedName>
    <definedName name="_xlnm.Print_Area" localSheetId="1">'Sum &amp; FG'!$A$1:$I$50</definedName>
    <definedName name="_xlnm.Print_Area" localSheetId="4">Summary!$A$1:$J$43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<sst xmlns="http://schemas.openxmlformats.org/spreadsheetml/2006/main" count="2772" uniqueCount="1000">
  <si>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</si>
  <si>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</si>
  <si>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</si>
  <si>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</si>
  <si>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</si>
  <si>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</si>
  <si>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</si>
  <si>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</si>
  <si>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</si>
  <si>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</si>
  <si>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</si>
  <si>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</si>
  <si>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</si>
  <si>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</si>
  <si>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</si>
  <si>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</si>
  <si>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</si>
  <si>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</si>
  <si>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</si>
  <si>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</si>
  <si>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Summary of Gross Revenue Allocation by Federation Account Allocation Committee for the Month of  June, 2026 Shared in July, 2026</t>
  </si>
  <si>
    <t>S/n</t>
  </si>
  <si>
    <t>Beneficiaries</t>
  </si>
  <si>
    <t>Statutory</t>
  </si>
  <si>
    <t>Augmentation of ₦250 Billion for the month of July, 2026</t>
  </si>
  <si>
    <t>Value Added Tax (VAT)</t>
  </si>
  <si>
    <t>Total</t>
  </si>
  <si>
    <t>₦</t>
  </si>
  <si>
    <t>FGN (see Table II)</t>
  </si>
  <si>
    <t>State (see Table III)</t>
  </si>
  <si>
    <t>LGCs (see Table IV)</t>
  </si>
  <si>
    <t>13% Derivation Fund</t>
  </si>
  <si>
    <t xml:space="preserve"> Cost of Collections - NRS</t>
  </si>
  <si>
    <t xml:space="preserve"> Cost of Collections - NUPRC</t>
  </si>
  <si>
    <t xml:space="preserve">Refund to NCS on Non Import VAT  Cost of Collections </t>
  </si>
  <si>
    <t>Transfer to MDGIF</t>
  </si>
  <si>
    <t xml:space="preserve">13% Refunds on Subsidy, Priority Projects </t>
  </si>
  <si>
    <t>North East Development Commission</t>
  </si>
  <si>
    <t>Transfer to NSIA</t>
  </si>
  <si>
    <t>0.5% Deduction from Non-Oil Revenue to RMAFC</t>
  </si>
  <si>
    <t>Infrastructure Development Fund to States</t>
  </si>
  <si>
    <t>Deduction to Non-Oil Excess Revenue Account</t>
  </si>
  <si>
    <t>Refund to 36 States and FCT being WHT wrongly remitted to Federation Account</t>
  </si>
  <si>
    <t>Tax Refund to NRS</t>
  </si>
  <si>
    <t>Intervention for State Security</t>
  </si>
  <si>
    <t>National Security Emergency Fund</t>
  </si>
  <si>
    <t>TOTAL</t>
  </si>
  <si>
    <t>Table II</t>
  </si>
  <si>
    <t>Summary of Gross Revenue Allocation to FGN by Federation Account Allocation Committee for the Month of  June, 2026 Shared in July, 2026</t>
  </si>
  <si>
    <t>Gross Statutory Allocation</t>
  </si>
  <si>
    <t>Total Deduction</t>
  </si>
  <si>
    <t>Net Statutory Allocation</t>
  </si>
  <si>
    <t>Value Added Tax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</si>
  <si>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</si>
  <si>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</si>
  <si>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</si>
  <si>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</si>
  <si>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</si>
  <si>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charset val="134"/>
      </rPr>
      <t xml:space="preserve">Source: </t>
    </r>
    <r>
      <rPr>
        <b/>
        <sz val="16"/>
        <rFont val="Times New Roman"/>
        <charset val="134"/>
      </rPr>
      <t>Office of the Accountant-General of the Federation</t>
    </r>
  </si>
  <si>
    <t>……………………………………………………………</t>
  </si>
  <si>
    <t>Mr. Taiwo Oyedele</t>
  </si>
  <si>
    <t>Hon. Minister of Finance and Coordinating Minister of the Economy</t>
  </si>
  <si>
    <t>Abuja. Nigeria.</t>
  </si>
  <si>
    <t>Office  of the Accountant General of the Federation</t>
  </si>
  <si>
    <t>Federation Account Department</t>
  </si>
  <si>
    <t>Table III</t>
  </si>
  <si>
    <t>Distribution of Revenue Allocation to State Governments by Federation Account Allocation Committee for the month of June, 2026 Shared in July, 2026</t>
  </si>
  <si>
    <t>6=4+5</t>
  </si>
  <si>
    <t>10=6-(7+8+9)</t>
  </si>
  <si>
    <t>18=6+11+12+15</t>
  </si>
  <si>
    <t>19=10+11+14+17</t>
  </si>
  <si>
    <t>No. of LGCs</t>
  </si>
  <si>
    <t>Statutory Allocation</t>
  </si>
  <si>
    <t>13% Share of Derivation (Net)</t>
  </si>
  <si>
    <t>Gross Total</t>
  </si>
  <si>
    <t>Deductions</t>
  </si>
  <si>
    <t>Augmentation of '₦250Billion from Non Oil Revenue for the month of July, 2026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</si>
  <si>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</si>
  <si>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</si>
  <si>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</si>
  <si>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</si>
  <si>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</si>
  <si>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</si>
  <si>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</si>
  <si>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</si>
  <si>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</si>
  <si>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</si>
  <si>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</si>
  <si>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</si>
  <si>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</si>
  <si>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</si>
  <si>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</si>
  <si>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</si>
  <si>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</si>
  <si>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</si>
  <si>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</si>
  <si>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</si>
  <si>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</si>
  <si>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</si>
  <si>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</si>
  <si>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</si>
  <si>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</si>
  <si>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</si>
  <si>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</si>
  <si>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</si>
  <si>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</si>
  <si>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</si>
  <si>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</si>
  <si>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</si>
  <si>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</si>
  <si>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</si>
  <si>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</si>
  <si>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</si>
  <si>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</si>
  <si>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</si>
  <si>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</si>
  <si>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</si>
  <si>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</si>
  <si>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</si>
  <si>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</si>
  <si>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</si>
  <si>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</si>
  <si>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</si>
  <si>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</si>
  <si>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Office of the Accountant-General of the Federation</t>
  </si>
  <si>
    <t xml:space="preserve"> Distribution  of Revenue Allocation to Local Government Councils by Federation Account Allocation Committee for the Month of June, 2026 Shared in July, 2026</t>
  </si>
  <si>
    <t>States</t>
  </si>
  <si>
    <t>Local Government Councils</t>
  </si>
  <si>
    <t>Deduction</t>
  </si>
  <si>
    <t>Transfer of 50% Share of Ecology to NDDC/HYPPADEC &amp; 50% Refund to NDDC</t>
  </si>
  <si>
    <t>Total Net Allocation</t>
  </si>
  <si>
    <t>State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</si>
  <si>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</si>
  <si>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</si>
  <si>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</si>
  <si>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</si>
  <si>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</si>
  <si>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</si>
  <si>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</si>
  <si>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</si>
  <si>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</si>
  <si>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</si>
  <si>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</si>
  <si>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</si>
  <si>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</si>
  <si>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</si>
  <si>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</si>
  <si>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</si>
  <si>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</si>
  <si>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</si>
  <si>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</si>
  <si>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</si>
  <si>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</si>
  <si>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</si>
  <si>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</si>
  <si>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</si>
  <si>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</si>
  <si>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</si>
  <si>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</si>
  <si>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</si>
  <si>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</si>
  <si>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</si>
  <si>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</si>
  <si>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</si>
  <si>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</si>
  <si>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</si>
  <si>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</si>
  <si>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</si>
  <si>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</si>
  <si>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</si>
  <si>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</si>
  <si>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</si>
  <si>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</si>
  <si>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</si>
  <si>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</si>
  <si>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</si>
  <si>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</si>
  <si>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</si>
  <si>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</si>
  <si>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</si>
  <si>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</si>
  <si>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</si>
  <si>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</si>
  <si>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</si>
  <si>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</si>
  <si>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</si>
  <si>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</si>
  <si>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</si>
  <si>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</si>
  <si>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</si>
  <si>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</si>
  <si>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</si>
  <si>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</si>
  <si>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</si>
  <si>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</si>
  <si>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</si>
  <si>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</si>
  <si>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</si>
  <si>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</si>
  <si>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</si>
  <si>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</si>
  <si>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</si>
  <si>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</si>
  <si>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</si>
  <si>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</si>
  <si>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</si>
  <si>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</si>
  <si>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</si>
  <si>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</si>
  <si>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</si>
  <si>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</si>
  <si>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</si>
  <si>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</si>
  <si>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</si>
  <si>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</si>
  <si>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</si>
  <si>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</si>
  <si>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</si>
  <si>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</si>
  <si>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</si>
  <si>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</si>
  <si>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</si>
  <si>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</si>
  <si>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</si>
  <si>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</si>
  <si>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</si>
  <si>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</si>
  <si>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</si>
  <si>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</si>
  <si>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</si>
  <si>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</si>
  <si>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</si>
  <si>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</si>
  <si>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</si>
  <si>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</si>
  <si>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</si>
  <si>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</si>
  <si>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</si>
  <si>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</si>
  <si>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</si>
  <si>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</si>
  <si>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</si>
  <si>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</si>
  <si>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</si>
  <si>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</si>
  <si>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</si>
  <si>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</si>
  <si>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</si>
  <si>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</si>
  <si>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</si>
  <si>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</si>
  <si>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</si>
  <si>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</si>
  <si>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</si>
  <si>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</si>
  <si>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</si>
  <si>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</si>
  <si>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</si>
  <si>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</si>
  <si>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</si>
  <si>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</si>
  <si>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</si>
  <si>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</si>
  <si>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</si>
  <si>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</si>
  <si>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</si>
  <si>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</si>
  <si>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</si>
  <si>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</si>
  <si>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</si>
  <si>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</si>
  <si>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</si>
  <si>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</si>
  <si>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</si>
  <si>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</si>
  <si>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</si>
  <si>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</si>
  <si>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</si>
  <si>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</si>
  <si>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</si>
  <si>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</si>
  <si>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</si>
  <si>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</si>
  <si>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</si>
  <si>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</si>
  <si>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</si>
  <si>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</si>
  <si>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</si>
  <si>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</si>
  <si>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</si>
  <si>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</si>
  <si>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</si>
  <si>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</si>
  <si>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</si>
  <si>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</si>
  <si>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</si>
  <si>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</si>
  <si>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</si>
  <si>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</si>
  <si>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</si>
  <si>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</si>
  <si>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</si>
  <si>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</si>
  <si>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</si>
  <si>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</si>
  <si>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</si>
  <si>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</si>
  <si>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</si>
  <si>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</si>
  <si>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</si>
  <si>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</si>
  <si>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</si>
  <si>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</si>
  <si>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</si>
  <si>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</si>
  <si>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</si>
  <si>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</si>
  <si>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</si>
  <si>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</si>
  <si>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</si>
  <si>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</si>
  <si>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</si>
  <si>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</si>
  <si>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</si>
  <si>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</si>
  <si>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</si>
  <si>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</si>
  <si>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</si>
  <si>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</si>
  <si>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</si>
  <si>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</si>
  <si>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</si>
  <si>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</si>
  <si>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</si>
  <si>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</si>
  <si>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</si>
  <si>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</si>
  <si>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</si>
  <si>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</si>
  <si>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</si>
  <si>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</si>
  <si>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</si>
  <si>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</si>
  <si>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</si>
  <si>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</si>
  <si>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</si>
  <si>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</si>
  <si>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</si>
  <si>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</si>
  <si>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</si>
  <si>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</si>
  <si>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</si>
  <si>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</si>
  <si>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</si>
  <si>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</si>
  <si>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</si>
  <si>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</si>
  <si>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</si>
  <si>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</si>
  <si>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</si>
  <si>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</si>
  <si>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</si>
  <si>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</si>
  <si>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</si>
  <si>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</si>
  <si>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</si>
  <si>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</si>
  <si>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</si>
  <si>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</si>
  <si>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</si>
  <si>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</si>
  <si>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</si>
  <si>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</si>
  <si>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</si>
  <si>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</si>
  <si>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</si>
  <si>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</si>
  <si>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</si>
  <si>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</si>
  <si>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</si>
  <si>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</si>
  <si>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</si>
  <si>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</si>
  <si>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</si>
  <si>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</si>
  <si>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</si>
  <si>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</si>
  <si>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</si>
  <si>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</si>
  <si>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</si>
  <si>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</si>
  <si>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</si>
  <si>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</si>
  <si>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</si>
  <si>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</si>
  <si>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</si>
  <si>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</si>
  <si>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</si>
  <si>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</si>
  <si>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</si>
  <si>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</si>
  <si>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</si>
  <si>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</si>
  <si>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</si>
  <si>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</si>
  <si>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</si>
  <si>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</si>
  <si>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</si>
  <si>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</si>
  <si>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</si>
  <si>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</si>
  <si>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</si>
  <si>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</si>
  <si>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</si>
  <si>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</si>
  <si>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</si>
  <si>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</si>
  <si>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</si>
  <si>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</si>
  <si>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</si>
  <si>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</si>
  <si>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</si>
  <si>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</si>
  <si>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</si>
  <si>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</si>
  <si>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</si>
  <si>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</si>
  <si>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</si>
  <si>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</si>
  <si>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</si>
  <si>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</si>
  <si>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</si>
  <si>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</si>
  <si>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</si>
  <si>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</si>
  <si>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</si>
  <si>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</si>
  <si>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</si>
  <si>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</si>
  <si>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</si>
  <si>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</si>
  <si>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</si>
  <si>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</si>
  <si>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</si>
  <si>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</si>
  <si>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</si>
  <si>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</si>
  <si>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</si>
  <si>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</si>
  <si>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</si>
  <si>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</si>
  <si>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</si>
  <si>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</si>
  <si>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</si>
  <si>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</si>
  <si>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</si>
  <si>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</si>
  <si>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</si>
  <si>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</si>
  <si>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</si>
  <si>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</si>
  <si>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</si>
  <si>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</si>
  <si>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</si>
  <si>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</si>
  <si>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</si>
  <si>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</si>
  <si>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</si>
  <si>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</si>
  <si>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</si>
  <si>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</si>
  <si>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</si>
  <si>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</si>
  <si>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</si>
  <si>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</si>
  <si>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</si>
  <si>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</si>
  <si>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</si>
  <si>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</si>
  <si>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</si>
  <si>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</si>
  <si>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</si>
  <si>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</si>
  <si>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</si>
  <si>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</si>
  <si>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</si>
  <si>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</si>
  <si>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</si>
  <si>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</si>
  <si>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</si>
  <si>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</si>
  <si>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</si>
  <si>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</si>
  <si>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</si>
  <si>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</si>
  <si>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</si>
  <si>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</si>
  <si>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</si>
  <si>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</si>
  <si>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</si>
  <si>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</si>
  <si>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</si>
  <si>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</si>
  <si>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</si>
  <si>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</si>
  <si>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</si>
  <si>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</si>
  <si>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</si>
  <si>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</si>
  <si>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</si>
  <si>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</si>
  <si>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</si>
  <si>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</si>
  <si>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</si>
  <si>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</si>
  <si>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</si>
  <si>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</si>
  <si>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</si>
  <si>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</si>
  <si>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</si>
  <si>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</si>
  <si>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</si>
  <si>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</si>
  <si>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</si>
  <si>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</si>
  <si>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</si>
  <si>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</si>
  <si>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</si>
  <si>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</si>
  <si>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</si>
  <si>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</si>
  <si>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</si>
  <si>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</si>
  <si>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</si>
  <si>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</si>
  <si>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</si>
  <si>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</si>
  <si>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</si>
  <si>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</si>
  <si>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</si>
  <si>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</si>
  <si>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</si>
  <si>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</si>
  <si>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</si>
  <si>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</si>
  <si>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</si>
  <si>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</si>
  <si>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</si>
  <si>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</si>
  <si>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</si>
  <si>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</si>
  <si>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</si>
  <si>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</si>
  <si>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</si>
  <si>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</si>
  <si>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</si>
  <si>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</si>
  <si>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</si>
  <si>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</si>
  <si>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</si>
  <si>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</si>
  <si>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</si>
  <si>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</si>
  <si>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</si>
  <si>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</si>
  <si>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</si>
  <si>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</si>
  <si>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</si>
  <si>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</si>
  <si>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</si>
  <si>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</si>
  <si>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</si>
  <si>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</si>
  <si>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</si>
  <si>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</si>
  <si>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</si>
  <si>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</si>
  <si>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</si>
  <si>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</si>
  <si>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</si>
  <si>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</si>
  <si>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</si>
  <si>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</si>
  <si>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</si>
  <si>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</si>
  <si>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</si>
  <si>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</si>
  <si>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</si>
  <si>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</si>
  <si>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</si>
  <si>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</si>
  <si>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</si>
  <si>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</si>
  <si>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</si>
  <si>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</si>
  <si>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</si>
  <si>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</si>
  <si>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</si>
  <si>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</si>
  <si>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</si>
  <si>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</si>
  <si>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</si>
  <si>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</si>
  <si>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</si>
  <si>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</si>
  <si>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</si>
  <si>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</si>
  <si>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</si>
  <si>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</si>
  <si>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</si>
  <si>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</si>
  <si>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</si>
  <si>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</si>
  <si>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</si>
  <si>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</si>
  <si>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</si>
  <si>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</si>
  <si>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</si>
  <si>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</si>
  <si>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</si>
  <si>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</si>
  <si>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</si>
  <si>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</si>
  <si>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</si>
  <si>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</si>
  <si>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</si>
  <si>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</si>
  <si>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</si>
  <si>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</si>
  <si>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</si>
  <si>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</si>
  <si>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</si>
  <si>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</si>
  <si>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</si>
  <si>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</si>
  <si>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</si>
  <si>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</si>
  <si>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</si>
  <si>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</si>
  <si>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</si>
  <si>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</si>
  <si>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</si>
  <si>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</si>
  <si>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</si>
  <si>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</si>
  <si>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</si>
  <si>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</si>
  <si>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</si>
  <si>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</si>
  <si>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</si>
  <si>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</si>
  <si>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</si>
  <si>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</si>
  <si>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</si>
  <si>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</si>
  <si>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</si>
  <si>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</si>
  <si>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</si>
  <si>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</si>
  <si>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</si>
  <si>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</si>
  <si>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</si>
  <si>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</si>
  <si>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</si>
  <si>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</si>
  <si>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</si>
  <si>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</si>
  <si>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</si>
  <si>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</si>
  <si>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</si>
  <si>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</si>
  <si>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</si>
  <si>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</si>
  <si>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</si>
  <si>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</si>
  <si>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</si>
  <si>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</si>
  <si>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</si>
  <si>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</si>
  <si>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</si>
  <si>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</si>
  <si>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</si>
  <si>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</si>
  <si>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</si>
  <si>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</si>
  <si>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</si>
  <si>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</si>
  <si>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</si>
  <si>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</si>
  <si>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</si>
  <si>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</si>
  <si>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</si>
  <si>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</si>
  <si>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</si>
  <si>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</si>
  <si>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</si>
  <si>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</si>
  <si>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</si>
  <si>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</si>
  <si>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</si>
  <si>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</si>
  <si>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</si>
  <si>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</si>
  <si>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</si>
  <si>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</si>
  <si>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</si>
  <si>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</si>
  <si>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</si>
  <si>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</si>
  <si>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</si>
  <si>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</si>
  <si>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</si>
  <si>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</si>
  <si>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</si>
  <si>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</si>
  <si>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</si>
  <si>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</si>
  <si>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</si>
  <si>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</si>
  <si>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</si>
  <si>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</si>
  <si>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</si>
  <si>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</si>
  <si>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</si>
  <si>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</si>
  <si>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</si>
  <si>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</si>
  <si>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</si>
  <si>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</si>
  <si>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</si>
  <si>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</si>
  <si>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</si>
  <si>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</si>
  <si>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</si>
  <si>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</si>
  <si>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</si>
  <si>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</si>
  <si>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</si>
  <si>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</si>
  <si>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</si>
  <si>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</si>
  <si>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</si>
  <si>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</si>
  <si>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</si>
  <si>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</si>
  <si>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</si>
  <si>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</si>
  <si>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</si>
  <si>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</si>
  <si>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</si>
  <si>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</si>
  <si>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</si>
  <si>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</si>
  <si>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</si>
  <si>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</si>
  <si>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</si>
  <si>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</si>
  <si>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</si>
  <si>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</si>
  <si>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</si>
  <si>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</si>
  <si>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</si>
  <si>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</si>
  <si>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</si>
  <si>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</si>
  <si>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</si>
  <si>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</si>
  <si>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</si>
  <si>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</si>
  <si>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</si>
  <si>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</si>
  <si>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</si>
  <si>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</si>
  <si>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</si>
  <si>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</si>
  <si>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</si>
  <si>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</si>
  <si>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</si>
  <si>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</si>
  <si>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</si>
  <si>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</si>
  <si>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</si>
  <si>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</si>
  <si>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</si>
  <si>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</si>
  <si>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</si>
  <si>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</si>
  <si>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</si>
  <si>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</si>
  <si>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</si>
  <si>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</si>
  <si>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</si>
  <si>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</si>
  <si>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</si>
  <si>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</si>
  <si>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</si>
  <si>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</si>
  <si>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</si>
  <si>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</si>
  <si>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</si>
  <si>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</si>
  <si>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</si>
  <si>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</si>
  <si>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</si>
  <si>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</si>
  <si>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</si>
  <si>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</si>
  <si>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</si>
  <si>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</si>
  <si>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</si>
  <si>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</si>
  <si>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</si>
  <si>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</si>
  <si>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</si>
  <si>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</si>
  <si>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</si>
  <si>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</si>
  <si>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</si>
  <si>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</si>
  <si>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</si>
  <si>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</si>
  <si>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</si>
  <si>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</si>
  <si>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</si>
  <si>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</si>
  <si>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</si>
  <si>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</si>
  <si>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</si>
  <si>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</si>
  <si>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</si>
  <si>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</si>
  <si>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</si>
  <si>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</si>
  <si>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</si>
  <si>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</si>
  <si>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</si>
  <si>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</si>
  <si>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</si>
  <si>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</si>
  <si>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</si>
  <si>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</si>
  <si>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</si>
  <si>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</si>
  <si>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</si>
  <si>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</si>
  <si>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</si>
  <si>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</si>
  <si>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</si>
  <si>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</si>
  <si>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</si>
  <si>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</si>
  <si>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</si>
  <si>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</si>
  <si>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</si>
  <si>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</si>
  <si>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</si>
  <si>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</si>
  <si>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</si>
  <si>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</si>
  <si>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</si>
  <si>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</si>
  <si>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</si>
  <si>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</si>
  <si>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</si>
  <si>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</si>
  <si>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</si>
  <si>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</si>
  <si>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</si>
  <si>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</si>
  <si>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</si>
  <si>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</si>
  <si>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</si>
  <si>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</si>
  <si>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</si>
  <si>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</si>
  <si>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</si>
  <si>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</si>
  <si>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</si>
  <si>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</si>
  <si>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</si>
  <si>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</si>
  <si>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</si>
  <si>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</si>
  <si>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</si>
  <si>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</si>
  <si>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</si>
  <si>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</si>
  <si>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</si>
  <si>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</si>
  <si>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</si>
  <si>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</si>
  <si>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</si>
  <si>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</si>
  <si>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</si>
  <si>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</si>
  <si>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</si>
  <si>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</si>
  <si>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</si>
  <si>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</si>
  <si>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</si>
  <si>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</si>
  <si>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YOBE TOTAL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</si>
  <si>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</si>
  <si>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</si>
  <si>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</si>
  <si>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</si>
  <si>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</si>
  <si>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</si>
  <si>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</si>
  <si>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</si>
  <si>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</si>
  <si>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</si>
  <si>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</si>
  <si>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</si>
  <si>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</si>
  <si>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</si>
  <si>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</si>
  <si>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</si>
  <si>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</si>
  <si>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</si>
  <si>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</si>
  <si>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</si>
  <si>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</si>
  <si>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</si>
  <si>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</si>
  <si>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</si>
  <si>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</si>
  <si>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</si>
  <si>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</si>
  <si>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</si>
  <si>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</si>
  <si>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</si>
  <si>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</si>
  <si>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</si>
  <si>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</si>
  <si>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</si>
  <si>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</si>
  <si>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</si>
  <si>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</si>
  <si>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</si>
  <si>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</si>
  <si>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</si>
  <si>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</si>
  <si>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</si>
  <si>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</si>
  <si>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</si>
  <si>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</si>
  <si>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</si>
  <si>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Summary of Distribution of Revenue Allocation to Local Government Councils by Federation Account Allocation Committee for the month of June, 2026 Shared in July, 2026</t>
  </si>
  <si>
    <t>`</t>
  </si>
  <si>
    <t>Total Ecology Fund</t>
  </si>
  <si>
    <t>VAT</t>
  </si>
  <si>
    <t>Details of Distribution of Ecology Revenue Allocation to States by Federation Account Allocation Committee for the month of June, 2026 Shared in July, 2026</t>
  </si>
  <si>
    <t>S/N</t>
  </si>
  <si>
    <t>Gross Statutory Allocation (Ecology)</t>
  </si>
  <si>
    <t>Augmentation of '₦250Billion from Non Oil Revenue for the month of June, 2026 (Ecology)</t>
  </si>
  <si>
    <t xml:space="preserve"> Distribution of Ecology to Local Government Councils by Federation Account Allocation Committee for the month of  June, 2026 Shared July, 2026</t>
  </si>
  <si>
    <t>STATE</t>
  </si>
  <si>
    <t>Augmentation of '₦250Billion from Non Oil Revenue for the month of May, 2026 (Ecology)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</si>
  <si>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</si>
  <si>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</si>
  <si>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</si>
  <si>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</si>
  <si>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</si>
  <si>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</si>
  <si>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</si>
  <si>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</si>
  <si>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</si>
  <si>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</si>
  <si>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</si>
  <si>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</si>
  <si>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</si>
  <si>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</si>
  <si>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</si>
  <si>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</si>
  <si>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</si>
  <si>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</si>
  <si>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</si>
  <si>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</si>
  <si>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</si>
  <si>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</si>
  <si>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</si>
  <si>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</si>
  <si>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</si>
  <si>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</si>
  <si>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</si>
  <si>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</si>
  <si>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</si>
  <si>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</si>
  <si>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</si>
  <si>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</si>
  <si>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</si>
  <si>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</si>
  <si>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</si>
  <si>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</si>
  <si>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</si>
  <si>
    <t xml:space="preserve"> Distribution of Ecology to Local Government Councils by Federation Account Allocation Committee for the month of June, 2026 Shared in July, 2026</t>
  </si>
  <si>
    <t>S/NO</t>
  </si>
  <si>
    <t>LOCAL GOVERNMENT COUNCILS</t>
  </si>
  <si>
    <t>Total (Ecology)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</si>
</sst>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 &quot;#,##0.00;\-&quot; &quot;#,##0.00"/>
    <numFmt numFmtId="178" formatCode="_-* #,##0.00_-;\-* #,##0.00_-;_-* &quot;-&quot;??_-;_-@_-"/>
    <numFmt numFmtId="179" formatCode="#,##0.00_ ;\-#,##0.00&quot; &quot;"/>
    <numFmt numFmtId="180" formatCode="#,##0.0000000_ ;\-#,##0.0000000&quot; &quot;"/>
  </numFmts>
  <fonts count="50">
    <font>
      <sz val="10"/>
      <name val="Arial"/>
      <charset val="134"/>
    </font>
    <font>
      <sz val="10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b/>
      <sz val="13"/>
      <name val="Times New Roman"/>
      <charset val="134"/>
    </font>
    <font>
      <b/>
      <sz val="11"/>
      <color indexed="8"/>
      <name val="Times New Roman"/>
      <charset val="134"/>
    </font>
    <font>
      <b/>
      <sz val="12"/>
      <name val="Times New Roman"/>
      <charset val="134"/>
    </font>
    <font>
      <sz val="14"/>
      <color indexed="8"/>
      <name val="Times New Roman"/>
      <charset val="134"/>
    </font>
    <font>
      <sz val="14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9"/>
      <name val="Times New Roman"/>
      <charset val="134"/>
    </font>
    <font>
      <b/>
      <sz val="24"/>
      <name val="Times New Roman"/>
      <charset val="134"/>
    </font>
    <font>
      <b/>
      <sz val="18"/>
      <name val="Times New Roman"/>
      <charset val="134"/>
    </font>
    <font>
      <b/>
      <sz val="12"/>
      <color indexed="8"/>
      <name val="Times New Roman"/>
      <charset val="134"/>
    </font>
    <font>
      <b/>
      <sz val="20"/>
      <name val="Times New Roman"/>
      <charset val="134"/>
    </font>
    <font>
      <b/>
      <u/>
      <sz val="16"/>
      <name val="Times New Roman"/>
      <charset val="134"/>
    </font>
    <font>
      <b/>
      <sz val="10"/>
      <name val="Times New Roman"/>
      <charset val="134"/>
    </font>
    <font>
      <sz val="11"/>
      <color indexed="8"/>
      <name val="Times New Roman"/>
      <charset val="134"/>
    </font>
    <font>
      <sz val="10"/>
      <color indexed="8"/>
      <name val="Times New Roman"/>
      <charset val="134"/>
    </font>
    <font>
      <b/>
      <u val="singleAccounting"/>
      <sz val="10"/>
      <name val="Times New Roman"/>
      <charset val="134"/>
    </font>
    <font>
      <sz val="18"/>
      <name val="Times New Roman"/>
      <charset val="134"/>
    </font>
    <font>
      <b/>
      <u/>
      <sz val="14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b/>
      <sz val="22"/>
      <name val="Times New Roman"/>
      <charset val="134"/>
    </font>
    <font>
      <sz val="16"/>
      <color indexed="8"/>
      <name val="Times New Roman"/>
      <charset val="134"/>
    </font>
    <font>
      <b/>
      <sz val="1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/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1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22" applyNumberFormat="0" applyAlignment="0" applyProtection="0">
      <alignment vertical="center"/>
    </xf>
    <xf numFmtId="0" fontId="39" fillId="8" borderId="23" applyNumberFormat="0" applyAlignment="0" applyProtection="0">
      <alignment vertical="center"/>
    </xf>
    <xf numFmtId="0" fontId="40" fillId="8" borderId="22" applyNumberFormat="0" applyAlignment="0" applyProtection="0">
      <alignment vertical="center"/>
    </xf>
    <xf numFmtId="0" fontId="41" fillId="9" borderId="24" applyNumberFormat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9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2" xfId="49" applyFont="1" applyFill="1" applyBorder="1" applyAlignment="1">
      <alignment horizontal="center"/>
    </xf>
    <xf numFmtId="0" fontId="4" fillId="2" borderId="2" xfId="49" applyFont="1" applyFill="1" applyBorder="1" applyAlignment="1">
      <alignment horizontal="center" wrapText="1"/>
    </xf>
    <xf numFmtId="43" fontId="3" fillId="0" borderId="3" xfId="1" applyFont="1" applyBorder="1" applyAlignment="1">
      <alignment horizontal="center" wrapText="1"/>
    </xf>
    <xf numFmtId="43" fontId="5" fillId="0" borderId="1" xfId="1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6" fillId="2" borderId="1" xfId="49" applyFont="1" applyFill="1" applyBorder="1" applyAlignment="1">
      <alignment horizontal="center"/>
    </xf>
    <xf numFmtId="0" fontId="6" fillId="2" borderId="1" xfId="49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8" fillId="0" borderId="1" xfId="49" applyFont="1" applyBorder="1" applyAlignment="1">
      <alignment horizontal="right" wrapText="1"/>
    </xf>
    <xf numFmtId="0" fontId="8" fillId="0" borderId="1" xfId="49" applyFont="1" applyBorder="1" applyAlignment="1">
      <alignment wrapText="1"/>
    </xf>
    <xf numFmtId="177" fontId="8" fillId="0" borderId="1" xfId="49" applyNumberFormat="1" applyFont="1" applyBorder="1" applyAlignment="1">
      <alignment horizontal="right" wrapText="1"/>
    </xf>
    <xf numFmtId="177" fontId="9" fillId="0" borderId="1" xfId="0" applyNumberFormat="1" applyFont="1" applyBorder="1"/>
    <xf numFmtId="177" fontId="1" fillId="0" borderId="0" xfId="0" applyNumberFormat="1" applyFont="1"/>
    <xf numFmtId="43" fontId="1" fillId="0" borderId="0" xfId="1" applyFont="1"/>
    <xf numFmtId="0" fontId="9" fillId="0" borderId="1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7" fontId="3" fillId="0" borderId="1" xfId="0" applyNumberFormat="1" applyFont="1" applyBorder="1"/>
    <xf numFmtId="0" fontId="5" fillId="0" borderId="1" xfId="0" applyFont="1" applyBorder="1" applyAlignment="1">
      <alignment horizontal="center" wrapText="1"/>
    </xf>
    <xf numFmtId="0" fontId="10" fillId="2" borderId="1" xfId="52" applyFont="1" applyFill="1" applyBorder="1" applyAlignment="1">
      <alignment horizontal="center"/>
    </xf>
    <xf numFmtId="43" fontId="3" fillId="0" borderId="1" xfId="1" applyFont="1" applyBorder="1" applyAlignment="1">
      <alignment wrapText="1"/>
    </xf>
    <xf numFmtId="0" fontId="11" fillId="2" borderId="1" xfId="52" applyFont="1" applyFill="1" applyBorder="1" applyAlignment="1">
      <alignment horizontal="center"/>
    </xf>
    <xf numFmtId="0" fontId="8" fillId="0" borderId="1" xfId="52" applyFont="1" applyBorder="1" applyAlignment="1">
      <alignment horizontal="right" wrapText="1"/>
    </xf>
    <xf numFmtId="0" fontId="8" fillId="0" borderId="1" xfId="52" applyFont="1" applyBorder="1" applyAlignment="1">
      <alignment wrapText="1"/>
    </xf>
    <xf numFmtId="177" fontId="8" fillId="0" borderId="1" xfId="52" applyNumberFormat="1" applyFont="1" applyBorder="1" applyAlignment="1">
      <alignment horizontal="right" wrapText="1"/>
    </xf>
    <xf numFmtId="39" fontId="9" fillId="0" borderId="1" xfId="0" applyNumberFormat="1" applyFont="1" applyBorder="1"/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Border="1" applyAlignment="1">
      <alignment wrapText="1"/>
    </xf>
    <xf numFmtId="0" fontId="3" fillId="0" borderId="0" xfId="0" applyFont="1" applyAlignment="1">
      <alignment wrapText="1"/>
    </xf>
    <xf numFmtId="0" fontId="8" fillId="2" borderId="1" xfId="54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54" applyFont="1" applyBorder="1" applyAlignment="1">
      <alignment horizontal="right" wrapText="1"/>
    </xf>
    <xf numFmtId="0" fontId="8" fillId="0" borderId="1" xfId="54" applyFont="1" applyBorder="1" applyAlignment="1">
      <alignment wrapText="1"/>
    </xf>
    <xf numFmtId="43" fontId="9" fillId="0" borderId="1" xfId="1" applyFont="1" applyBorder="1"/>
    <xf numFmtId="178" fontId="9" fillId="0" borderId="1" xfId="0" applyNumberFormat="1" applyFont="1" applyBorder="1"/>
    <xf numFmtId="178" fontId="9" fillId="0" borderId="0" xfId="0" applyNumberFormat="1" applyFont="1"/>
    <xf numFmtId="43" fontId="9" fillId="0" borderId="0" xfId="0" applyNumberFormat="1" applyFont="1"/>
    <xf numFmtId="43" fontId="3" fillId="0" borderId="1" xfId="0" applyNumberFormat="1" applyFont="1" applyBorder="1"/>
    <xf numFmtId="43" fontId="3" fillId="0" borderId="0" xfId="0" applyNumberFormat="1" applyFont="1"/>
    <xf numFmtId="43" fontId="12" fillId="0" borderId="1" xfId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2" borderId="1" xfId="51" applyFont="1" applyFill="1" applyBorder="1" applyAlignment="1">
      <alignment horizontal="center"/>
    </xf>
    <xf numFmtId="43" fontId="7" fillId="0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5" fillId="2" borderId="1" xfId="55" applyFont="1" applyFill="1" applyBorder="1" applyAlignment="1">
      <alignment horizontal="center" wrapText="1"/>
    </xf>
    <xf numFmtId="0" fontId="15" fillId="2" borderId="4" xfId="55" applyFont="1" applyFill="1" applyBorder="1" applyAlignment="1">
      <alignment horizontal="center" wrapText="1"/>
    </xf>
    <xf numFmtId="0" fontId="8" fillId="0" borderId="1" xfId="51" applyFont="1" applyBorder="1" applyAlignment="1">
      <alignment horizontal="right" wrapText="1"/>
    </xf>
    <xf numFmtId="0" fontId="8" fillId="0" borderId="1" xfId="51" applyFont="1" applyBorder="1" applyAlignment="1">
      <alignment wrapText="1"/>
    </xf>
    <xf numFmtId="43" fontId="8" fillId="0" borderId="1" xfId="1" applyFont="1" applyBorder="1" applyAlignment="1">
      <alignment wrapText="1"/>
    </xf>
    <xf numFmtId="177" fontId="8" fillId="0" borderId="1" xfId="51" applyNumberFormat="1" applyFont="1" applyBorder="1" applyAlignment="1">
      <alignment horizontal="right" wrapText="1"/>
    </xf>
    <xf numFmtId="179" fontId="9" fillId="0" borderId="1" xfId="0" applyNumberFormat="1" applyFont="1" applyBorder="1"/>
    <xf numFmtId="180" fontId="9" fillId="0" borderId="0" xfId="0" applyNumberFormat="1" applyFont="1"/>
    <xf numFmtId="43" fontId="9" fillId="0" borderId="0" xfId="1" applyFont="1"/>
    <xf numFmtId="0" fontId="1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" fillId="3" borderId="0" xfId="0" applyFont="1" applyFill="1"/>
    <xf numFmtId="0" fontId="1" fillId="0" borderId="1" xfId="0" applyFont="1" applyBorder="1"/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43" fontId="1" fillId="0" borderId="1" xfId="1" applyFont="1" applyBorder="1"/>
    <xf numFmtId="43" fontId="18" fillId="0" borderId="1" xfId="0" applyNumberFormat="1" applyFont="1" applyBorder="1"/>
    <xf numFmtId="1" fontId="1" fillId="0" borderId="1" xfId="0" applyNumberFormat="1" applyFont="1" applyBorder="1"/>
    <xf numFmtId="0" fontId="7" fillId="0" borderId="7" xfId="0" applyFont="1" applyBorder="1" applyAlignment="1">
      <alignment horizontal="center" vertical="center"/>
    </xf>
    <xf numFmtId="43" fontId="18" fillId="0" borderId="7" xfId="1" applyFont="1" applyBorder="1"/>
    <xf numFmtId="0" fontId="1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3" fontId="18" fillId="0" borderId="1" xfId="1" applyFont="1" applyBorder="1"/>
    <xf numFmtId="0" fontId="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5" xfId="0" applyFont="1" applyBorder="1" applyAlignment="1">
      <alignment horizontal="center"/>
    </xf>
    <xf numFmtId="0" fontId="1" fillId="0" borderId="7" xfId="0" applyFont="1" applyBorder="1"/>
    <xf numFmtId="0" fontId="1" fillId="0" borderId="3" xfId="0" applyFont="1" applyBorder="1"/>
    <xf numFmtId="0" fontId="18" fillId="0" borderId="9" xfId="0" applyFont="1" applyBorder="1" applyAlignment="1">
      <alignment horizontal="center"/>
    </xf>
    <xf numFmtId="1" fontId="1" fillId="0" borderId="4" xfId="0" applyNumberFormat="1" applyFont="1" applyBorder="1"/>
    <xf numFmtId="43" fontId="1" fillId="0" borderId="5" xfId="1" applyFont="1" applyBorder="1"/>
    <xf numFmtId="43" fontId="19" fillId="0" borderId="1" xfId="53" applyNumberFormat="1" applyFont="1" applyBorder="1" applyAlignment="1">
      <alignment horizontal="right" wrapText="1"/>
    </xf>
    <xf numFmtId="43" fontId="1" fillId="0" borderId="1" xfId="1" applyFont="1" applyBorder="1" applyAlignment="1">
      <alignment wrapText="1"/>
    </xf>
    <xf numFmtId="43" fontId="1" fillId="0" borderId="1" xfId="1" applyFont="1" applyBorder="1" applyAlignment="1">
      <alignment horizontal="left" wrapText="1"/>
    </xf>
    <xf numFmtId="43" fontId="1" fillId="0" borderId="0" xfId="0" applyNumberFormat="1" applyFont="1"/>
    <xf numFmtId="177" fontId="19" fillId="0" borderId="1" xfId="53" applyNumberFormat="1" applyFont="1" applyBorder="1" applyAlignment="1">
      <alignment horizontal="right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8" fillId="3" borderId="0" xfId="0" applyFont="1" applyFill="1"/>
    <xf numFmtId="0" fontId="18" fillId="0" borderId="10" xfId="0" applyFont="1" applyBorder="1" applyAlignment="1">
      <alignment horizontal="center"/>
    </xf>
    <xf numFmtId="43" fontId="18" fillId="0" borderId="11" xfId="1" applyFont="1" applyBorder="1"/>
    <xf numFmtId="43" fontId="18" fillId="0" borderId="12" xfId="1" applyFont="1" applyBorder="1"/>
    <xf numFmtId="43" fontId="18" fillId="0" borderId="13" xfId="1" applyFont="1" applyBorder="1"/>
    <xf numFmtId="0" fontId="1" fillId="4" borderId="1" xfId="0" applyFont="1" applyFill="1" applyBorder="1"/>
    <xf numFmtId="43" fontId="1" fillId="4" borderId="1" xfId="0" applyNumberFormat="1" applyFont="1" applyFill="1" applyBorder="1"/>
    <xf numFmtId="43" fontId="18" fillId="4" borderId="1" xfId="0" applyNumberFormat="1" applyFont="1" applyFill="1" applyBorder="1"/>
    <xf numFmtId="0" fontId="1" fillId="0" borderId="10" xfId="0" applyFont="1" applyBorder="1"/>
    <xf numFmtId="0" fontId="18" fillId="0" borderId="14" xfId="0" applyFont="1" applyBorder="1" applyAlignment="1">
      <alignment horizontal="center"/>
    </xf>
    <xf numFmtId="43" fontId="1" fillId="4" borderId="0" xfId="0" applyNumberFormat="1" applyFont="1" applyFill="1"/>
    <xf numFmtId="43" fontId="1" fillId="0" borderId="8" xfId="1" applyFont="1" applyFill="1" applyBorder="1"/>
    <xf numFmtId="178" fontId="21" fillId="0" borderId="0" xfId="0" applyNumberFormat="1" applyFont="1"/>
    <xf numFmtId="43" fontId="18" fillId="0" borderId="0" xfId="0" applyNumberFormat="1" applyFont="1"/>
    <xf numFmtId="178" fontId="1" fillId="0" borderId="0" xfId="0" applyNumberFormat="1" applyFont="1"/>
    <xf numFmtId="0" fontId="1" fillId="4" borderId="0" xfId="0" applyFont="1" applyFill="1"/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1" xfId="0" applyFont="1" applyBorder="1"/>
    <xf numFmtId="0" fontId="7" fillId="0" borderId="7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3" fontId="7" fillId="0" borderId="7" xfId="1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43" fontId="7" fillId="0" borderId="3" xfId="1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39" fontId="24" fillId="0" borderId="1" xfId="0" applyNumberFormat="1" applyFont="1" applyBorder="1"/>
    <xf numFmtId="37" fontId="24" fillId="0" borderId="1" xfId="0" applyNumberFormat="1" applyFont="1" applyBorder="1" applyAlignment="1">
      <alignment horizontal="center"/>
    </xf>
    <xf numFmtId="43" fontId="24" fillId="0" borderId="1" xfId="1" applyFont="1" applyBorder="1"/>
    <xf numFmtId="43" fontId="24" fillId="0" borderId="1" xfId="0" applyNumberFormat="1" applyFont="1" applyBorder="1"/>
    <xf numFmtId="43" fontId="7" fillId="0" borderId="5" xfId="0" applyNumberFormat="1" applyFont="1" applyBorder="1"/>
    <xf numFmtId="0" fontId="24" fillId="0" borderId="1" xfId="0" applyFont="1" applyBorder="1" applyAlignment="1">
      <alignment horizontal="center"/>
    </xf>
    <xf numFmtId="43" fontId="7" fillId="0" borderId="1" xfId="1" applyFont="1" applyBorder="1"/>
    <xf numFmtId="0" fontId="1" fillId="4" borderId="0" xfId="0" applyFont="1" applyFill="1" applyAlignment="1">
      <alignment horizontal="right"/>
    </xf>
    <xf numFmtId="178" fontId="1" fillId="4" borderId="0" xfId="0" applyNumberFormat="1" applyFont="1" applyFill="1"/>
    <xf numFmtId="43" fontId="18" fillId="4" borderId="8" xfId="1" applyFont="1" applyFill="1" applyBorder="1"/>
    <xf numFmtId="43" fontId="18" fillId="4" borderId="0" xfId="1" applyFont="1" applyFill="1" applyBorder="1"/>
    <xf numFmtId="43" fontId="1" fillId="4" borderId="0" xfId="0" applyNumberFormat="1" applyFont="1" applyFill="1" applyAlignment="1">
      <alignment horizontal="right"/>
    </xf>
    <xf numFmtId="178" fontId="1" fillId="4" borderId="0" xfId="0" applyNumberFormat="1" applyFont="1" applyFill="1" applyAlignment="1">
      <alignment horizontal="right"/>
    </xf>
    <xf numFmtId="0" fontId="18" fillId="0" borderId="0" xfId="0" applyFont="1"/>
    <xf numFmtId="0" fontId="25" fillId="0" borderId="0" xfId="0" applyFont="1"/>
    <xf numFmtId="0" fontId="2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43" fontId="25" fillId="0" borderId="0" xfId="1" applyFont="1"/>
    <xf numFmtId="43" fontId="25" fillId="0" borderId="0" xfId="1" applyFont="1" applyBorder="1"/>
    <xf numFmtId="0" fontId="25" fillId="0" borderId="1" xfId="0" applyFont="1" applyBorder="1"/>
    <xf numFmtId="43" fontId="2" fillId="0" borderId="1" xfId="1" applyFont="1" applyBorder="1" applyAlignment="1"/>
    <xf numFmtId="43" fontId="2" fillId="0" borderId="1" xfId="0" applyNumberFormat="1" applyFont="1" applyBorder="1"/>
    <xf numFmtId="43" fontId="25" fillId="0" borderId="0" xfId="0" applyNumberFormat="1" applyFont="1"/>
    <xf numFmtId="43" fontId="2" fillId="0" borderId="1" xfId="1" applyFont="1" applyBorder="1" applyAlignment="1">
      <alignment horizontal="center"/>
    </xf>
    <xf numFmtId="0" fontId="25" fillId="0" borderId="1" xfId="0" applyFont="1" applyBorder="1" applyAlignment="1">
      <alignment wrapText="1"/>
    </xf>
    <xf numFmtId="178" fontId="25" fillId="0" borderId="0" xfId="0" applyNumberFormat="1" applyFont="1"/>
    <xf numFmtId="178" fontId="2" fillId="0" borderId="0" xfId="0" applyNumberFormat="1" applyFont="1" applyAlignment="1">
      <alignment horizontal="center" wrapText="1"/>
    </xf>
    <xf numFmtId="43" fontId="2" fillId="0" borderId="0" xfId="1" applyFont="1" applyBorder="1" applyAlignment="1">
      <alignment horizontal="center"/>
    </xf>
    <xf numFmtId="0" fontId="26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43" fontId="25" fillId="0" borderId="1" xfId="1" applyFont="1" applyBorder="1"/>
    <xf numFmtId="43" fontId="25" fillId="0" borderId="3" xfId="1" applyFont="1" applyBorder="1"/>
    <xf numFmtId="43" fontId="25" fillId="0" borderId="5" xfId="1" applyFont="1" applyBorder="1"/>
    <xf numFmtId="177" fontId="27" fillId="0" borderId="17" xfId="50" applyNumberFormat="1" applyFont="1" applyBorder="1" applyAlignment="1">
      <alignment horizontal="right" wrapText="1"/>
    </xf>
    <xf numFmtId="43" fontId="2" fillId="0" borderId="18" xfId="1" applyFont="1" applyBorder="1"/>
    <xf numFmtId="43" fontId="2" fillId="0" borderId="0" xfId="1" applyFont="1" applyBorder="1"/>
    <xf numFmtId="0" fontId="2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/>
    <xf numFmtId="43" fontId="2" fillId="0" borderId="0" xfId="1" applyFont="1"/>
    <xf numFmtId="0" fontId="0" fillId="5" borderId="0" xfId="0" applyFill="1" applyProtection="1">
      <protection locked="0"/>
    </xf>
    <xf numFmtId="17" fontId="28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4" fillId="0" borderId="1" xfId="0" applyFont="1" applyBorder="1" applyAlignment="1" quotePrefix="1">
      <alignment horizontal="center"/>
    </xf>
    <xf numFmtId="0" fontId="14" fillId="0" borderId="5" xfId="0" applyFont="1" applyBorder="1" applyAlignment="1" quotePrefix="1">
      <alignment horizontal="center"/>
    </xf>
    <xf numFmtId="0" fontId="7" fillId="0" borderId="1" xfId="0" applyFont="1" applyBorder="1" applyAlignment="1" quotePrefix="1">
      <alignment horizont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ECO INDIVIDUALS LGCS NOV 22" xfId="49"/>
    <cellStyle name="Normal_FGN" xfId="50"/>
    <cellStyle name="Normal_lgc eco dec 21" xfId="51"/>
    <cellStyle name="Normal_LGCs Ceo oct 23" xfId="52"/>
    <cellStyle name="Normal_lgcs data" xfId="53"/>
    <cellStyle name="Normal_states eco dec 21" xfId="54"/>
    <cellStyle name="Normal_TOTALDATA_1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20" sqref="A20"/>
    </sheetView>
  </sheetViews>
  <sheetFormatPr defaultColWidth="9" defaultRowHeight="12.75" outlineLevelCol="7"/>
  <cols>
    <col min="2" max="2" width="23" customWidth="1"/>
    <col min="6" max="6" width="24.5714285714286" customWidth="1"/>
  </cols>
  <sheetData>
    <row r="1" ht="23.1" customHeight="1" spans="1:8">
      <c r="B1">
        <f ca="1">MONTH(NOW())</f>
        <v>9</v>
      </c>
      <c r="C1">
        <f ca="1">YEAR(NOW())</f>
        <v>2026</v>
      </c>
    </row>
    <row r="2" ht="23.1" customHeight="1"/>
    <row r="3" ht="23.1" customHeight="1" spans="1:8">
      <c r="B3" t="s">
        <v>0</v>
      </c>
      <c r="F3" t="s">
        <v>1</v>
      </c>
    </row>
    <row r="4" ht="23.1" customHeight="1" spans="1:8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ht="23.1" customHeight="1" spans="1:8">
      <c r="B5" s="194" t="e">
        <f>IF(G5=1,F5-1,F5)</f>
        <v>#REF!</v>
      </c>
      <c r="C5" s="194" t="e">
        <f>IF(G5=1,12,G5-1)</f>
        <v>#REF!</v>
      </c>
      <c r="F5" t="e">
        <f>YEAR(ACCTDATE)</f>
        <v>#REF!</v>
      </c>
      <c r="G5" t="e">
        <f>MONTH(ACCTDATE)</f>
        <v>#REF!</v>
      </c>
    </row>
    <row r="6" ht="23.1" customHeight="1" spans="1:8">
      <c r="B6" s="195" t="e">
        <f>LOOKUP(C5,A8:B19)</f>
        <v>#REF!</v>
      </c>
      <c r="F6" s="195" t="e">
        <f>IF(G5=1,LOOKUP(G5,E8:F19),LOOKUP(G5,A8:B19))</f>
        <v>#REF!</v>
      </c>
    </row>
    <row r="8" spans="1:8">
      <c r="A8">
        <v>1</v>
      </c>
      <c r="B8" s="196" t="e">
        <f>D8&amp;"-"&amp;RIGHT(B$5,2)</f>
        <v>#REF!</v>
      </c>
      <c r="D8" s="197" t="s">
        <v>5</v>
      </c>
      <c r="E8">
        <v>1</v>
      </c>
      <c r="F8" s="196" t="e">
        <f>D8&amp;"-"&amp;RIGHT(F$5,2)</f>
        <v>#REF!</v>
      </c>
    </row>
    <row r="9" spans="1:8">
      <c r="A9">
        <v>2</v>
      </c>
      <c r="B9" s="196" t="e">
        <f t="shared" ref="B9:B19" si="0">D9&amp;"-"&amp;RIGHT(B$5,2)</f>
        <v>#REF!</v>
      </c>
      <c r="D9" s="197" t="s">
        <v>6</v>
      </c>
      <c r="E9">
        <v>2</v>
      </c>
      <c r="F9" s="196" t="e">
        <f t="shared" ref="F9:F19" si="1">D9&amp;"-"&amp;RIGHT(F$5,2)</f>
        <v>#REF!</v>
      </c>
    </row>
    <row r="10" spans="1:8">
      <c r="A10">
        <v>3</v>
      </c>
      <c r="B10" s="196" t="e">
        <f t="shared" si="0"/>
        <v>#REF!</v>
      </c>
      <c r="D10" s="197" t="s">
        <v>7</v>
      </c>
      <c r="E10">
        <v>3</v>
      </c>
      <c r="F10" s="196" t="e">
        <f t="shared" si="1"/>
        <v>#REF!</v>
      </c>
    </row>
    <row r="11" spans="1:8">
      <c r="A11">
        <v>4</v>
      </c>
      <c r="B11" s="196" t="e">
        <f t="shared" si="0"/>
        <v>#REF!</v>
      </c>
      <c r="D11" s="197" t="s">
        <v>8</v>
      </c>
      <c r="E11">
        <v>4</v>
      </c>
      <c r="F11" s="196" t="e">
        <f t="shared" si="1"/>
        <v>#REF!</v>
      </c>
    </row>
    <row r="12" spans="1:8">
      <c r="A12">
        <v>5</v>
      </c>
      <c r="B12" s="196" t="e">
        <f t="shared" si="0"/>
        <v>#REF!</v>
      </c>
      <c r="D12" s="197" t="s">
        <v>9</v>
      </c>
      <c r="E12">
        <v>5</v>
      </c>
      <c r="F12" s="196" t="e">
        <f t="shared" si="1"/>
        <v>#REF!</v>
      </c>
    </row>
    <row r="13" spans="1:8">
      <c r="A13">
        <v>6</v>
      </c>
      <c r="B13" s="196" t="e">
        <f t="shared" si="0"/>
        <v>#REF!</v>
      </c>
      <c r="D13" s="197" t="s">
        <v>10</v>
      </c>
      <c r="E13">
        <v>6</v>
      </c>
      <c r="F13" s="196" t="e">
        <f t="shared" si="1"/>
        <v>#REF!</v>
      </c>
    </row>
    <row r="14" spans="1:8">
      <c r="A14">
        <v>7</v>
      </c>
      <c r="B14" s="196" t="e">
        <f t="shared" si="0"/>
        <v>#REF!</v>
      </c>
      <c r="D14" s="197" t="s">
        <v>11</v>
      </c>
      <c r="E14">
        <v>7</v>
      </c>
      <c r="F14" s="196" t="e">
        <f t="shared" si="1"/>
        <v>#REF!</v>
      </c>
    </row>
    <row r="15" spans="1:8">
      <c r="A15">
        <v>8</v>
      </c>
      <c r="B15" s="196" t="e">
        <f t="shared" si="0"/>
        <v>#REF!</v>
      </c>
      <c r="D15" s="197" t="s">
        <v>12</v>
      </c>
      <c r="E15">
        <v>8</v>
      </c>
      <c r="F15" s="196" t="e">
        <f t="shared" si="1"/>
        <v>#REF!</v>
      </c>
    </row>
    <row r="16" spans="1:8">
      <c r="A16">
        <v>9</v>
      </c>
      <c r="B16" s="196" t="e">
        <f t="shared" si="0"/>
        <v>#REF!</v>
      </c>
      <c r="D16" s="197" t="s">
        <v>13</v>
      </c>
      <c r="E16">
        <v>9</v>
      </c>
      <c r="F16" s="196" t="e">
        <f t="shared" si="1"/>
        <v>#REF!</v>
      </c>
    </row>
    <row r="17" spans="1:6">
      <c r="A17">
        <v>10</v>
      </c>
      <c r="B17" s="196" t="e">
        <f t="shared" si="0"/>
        <v>#REF!</v>
      </c>
      <c r="D17" s="197" t="s">
        <v>14</v>
      </c>
      <c r="E17">
        <v>10</v>
      </c>
      <c r="F17" s="196" t="e">
        <f t="shared" si="1"/>
        <v>#REF!</v>
      </c>
    </row>
    <row r="18" spans="1:6">
      <c r="A18">
        <v>11</v>
      </c>
      <c r="B18" s="196" t="e">
        <f t="shared" si="0"/>
        <v>#REF!</v>
      </c>
      <c r="D18" s="197" t="s">
        <v>15</v>
      </c>
      <c r="E18">
        <v>11</v>
      </c>
      <c r="F18" s="196" t="e">
        <f t="shared" si="1"/>
        <v>#REF!</v>
      </c>
    </row>
    <row r="19" spans="1:6">
      <c r="A19">
        <v>12</v>
      </c>
      <c r="B19" s="196" t="e">
        <f t="shared" si="0"/>
        <v>#REF!</v>
      </c>
      <c r="D19" s="197" t="s">
        <v>16</v>
      </c>
      <c r="E19">
        <v>12</v>
      </c>
      <c r="F19" s="196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47"/>
  <sheetViews>
    <sheetView tabSelected="1" zoomScale="75" zoomScaleNormal="75" topLeftCell="A26" workbookViewId="0">
      <selection activeCell="D38" sqref="D38"/>
    </sheetView>
  </sheetViews>
  <sheetFormatPr defaultColWidth="9.14285714285714" defaultRowHeight="20.25"/>
  <cols>
    <col min="1" max="1" width="6.28571428571429" style="160" customWidth="1"/>
    <col min="2" max="2" width="40.8571428571429" style="160" customWidth="1"/>
    <col min="3" max="3" width="35.1428571428571" style="160" customWidth="1"/>
    <col min="4" max="4" width="34.1428571428571" style="160" customWidth="1"/>
    <col min="5" max="5" width="35.1428571428571" style="160" customWidth="1"/>
    <col min="6" max="6" width="36" style="160" customWidth="1"/>
    <col min="7" max="7" width="38.7142857142857" style="160" customWidth="1"/>
    <col min="8" max="8" width="32.4285714285714" style="160" customWidth="1"/>
    <col min="9" max="9" width="26.4285714285714" style="160" customWidth="1"/>
    <col min="10" max="16384" width="9.14285714285714" style="160"/>
  </cols>
  <sheetData>
    <row r="1" ht="30" customHeight="1" spans="1:9">
      <c r="A1" s="161" t="s">
        <v>17</v>
      </c>
      <c r="B1" s="161"/>
      <c r="C1" s="161"/>
      <c r="D1" s="161"/>
      <c r="E1" s="161"/>
      <c r="F1" s="161"/>
    </row>
    <row r="2" ht="30" customHeight="1" spans="1:9">
      <c r="A2" s="162" t="s">
        <v>18</v>
      </c>
      <c r="B2" s="162"/>
      <c r="C2" s="162"/>
      <c r="D2" s="162"/>
      <c r="E2" s="162"/>
      <c r="F2" s="162"/>
    </row>
    <row r="3" ht="30" customHeight="1" spans="1:9">
      <c r="A3" s="162" t="s">
        <v>19</v>
      </c>
      <c r="B3" s="162"/>
      <c r="C3" s="162"/>
      <c r="D3" s="162"/>
      <c r="E3" s="162"/>
      <c r="F3" s="162"/>
    </row>
    <row r="4" ht="51.6" customHeight="1" spans="1:9">
      <c r="A4" s="163" t="s">
        <v>20</v>
      </c>
      <c r="B4" s="163"/>
      <c r="C4" s="163"/>
      <c r="D4" s="163"/>
      <c r="E4" s="163"/>
      <c r="F4" s="163"/>
    </row>
    <row r="5" ht="76.15" customHeight="1" spans="1:9">
      <c r="A5" s="164" t="s">
        <v>21</v>
      </c>
      <c r="B5" s="165" t="s">
        <v>22</v>
      </c>
      <c r="C5" s="165" t="s">
        <v>23</v>
      </c>
      <c r="D5" s="166" t="s">
        <v>24</v>
      </c>
      <c r="E5" s="167" t="s">
        <v>25</v>
      </c>
      <c r="F5" s="165" t="s">
        <v>26</v>
      </c>
    </row>
    <row r="6" ht="30" customHeight="1" spans="1:9">
      <c r="A6" s="2"/>
      <c r="B6" s="2"/>
      <c r="C6" s="198" t="s">
        <v>27</v>
      </c>
      <c r="D6" s="198" t="s">
        <v>27</v>
      </c>
      <c r="E6" s="198" t="s">
        <v>27</v>
      </c>
      <c r="F6" s="198" t="s">
        <v>27</v>
      </c>
      <c r="G6" s="168"/>
      <c r="H6" s="169"/>
    </row>
    <row r="7" ht="30" customHeight="1" spans="1:9">
      <c r="A7" s="170">
        <v>1</v>
      </c>
      <c r="B7" s="170" t="s">
        <v>28</v>
      </c>
      <c r="C7" s="171">
        <v>849365716919.202</v>
      </c>
      <c r="D7" s="171">
        <v>131700000000</v>
      </c>
      <c r="E7" s="172">
        <v>74072457851.573</v>
      </c>
      <c r="F7" s="171">
        <f>C7+D7+E7</f>
        <v>1055138174770.78</v>
      </c>
      <c r="G7" s="173"/>
      <c r="H7" s="169"/>
    </row>
    <row r="8" ht="30" customHeight="1" spans="1:9">
      <c r="A8" s="170">
        <v>2</v>
      </c>
      <c r="B8" s="170" t="s">
        <v>29</v>
      </c>
      <c r="C8" s="174">
        <v>430809642294.629</v>
      </c>
      <c r="D8" s="174">
        <v>66800000000</v>
      </c>
      <c r="E8" s="174">
        <v>407398518183.652</v>
      </c>
      <c r="F8" s="171">
        <f t="shared" ref="F8:F24" si="0">C8+D8+E8</f>
        <v>905008160478.281</v>
      </c>
      <c r="G8" s="173"/>
      <c r="H8" s="173"/>
    </row>
    <row r="9" ht="30" customHeight="1" spans="1:9">
      <c r="A9" s="170">
        <v>3</v>
      </c>
      <c r="B9" s="170" t="s">
        <v>30</v>
      </c>
      <c r="C9" s="171">
        <v>332136176319.961</v>
      </c>
      <c r="D9" s="174">
        <v>51500000000</v>
      </c>
      <c r="E9" s="174">
        <v>259253602480.505</v>
      </c>
      <c r="F9" s="171">
        <f t="shared" si="0"/>
        <v>642889778800.466</v>
      </c>
      <c r="G9" s="168"/>
      <c r="H9" s="169"/>
    </row>
    <row r="10" ht="30" customHeight="1" spans="1:9">
      <c r="A10" s="170">
        <v>4</v>
      </c>
      <c r="B10" s="170" t="s">
        <v>31</v>
      </c>
      <c r="C10" s="171">
        <v>197609813861.738</v>
      </c>
      <c r="D10" s="174">
        <v>0</v>
      </c>
      <c r="E10" s="174">
        <v>0</v>
      </c>
      <c r="F10" s="171">
        <f t="shared" si="0"/>
        <v>197609813861.738</v>
      </c>
      <c r="G10" s="173"/>
      <c r="H10" s="173"/>
    </row>
    <row r="11" ht="30" customHeight="1" spans="1:9">
      <c r="A11" s="170">
        <v>5</v>
      </c>
      <c r="B11" s="175" t="s">
        <v>32</v>
      </c>
      <c r="C11" s="171">
        <f>70512788922.42+11244279047.29</f>
        <v>81757067969.71</v>
      </c>
      <c r="D11" s="174">
        <v>0</v>
      </c>
      <c r="E11" s="174">
        <v>27073007480.37</v>
      </c>
      <c r="F11" s="171">
        <f t="shared" si="0"/>
        <v>108830075450.08</v>
      </c>
      <c r="H11" s="169"/>
    </row>
    <row r="12" ht="30" customHeight="1" spans="1:9">
      <c r="A12" s="170">
        <v>6</v>
      </c>
      <c r="B12" s="175" t="s">
        <v>33</v>
      </c>
      <c r="C12" s="171">
        <v>51914004160.67</v>
      </c>
      <c r="D12" s="174"/>
      <c r="E12" s="174">
        <v>0</v>
      </c>
      <c r="F12" s="171">
        <f t="shared" si="0"/>
        <v>51914004160.67</v>
      </c>
      <c r="G12" s="168"/>
      <c r="H12" s="169"/>
      <c r="I12" s="168"/>
    </row>
    <row r="13" ht="41.25" customHeight="1" spans="1:9">
      <c r="A13" s="170">
        <v>7</v>
      </c>
      <c r="B13" s="175" t="s">
        <v>34</v>
      </c>
      <c r="C13" s="171"/>
      <c r="D13" s="174"/>
      <c r="E13" s="174">
        <v>4916825321</v>
      </c>
      <c r="F13" s="171">
        <f t="shared" si="0"/>
        <v>4916825321</v>
      </c>
      <c r="G13" s="168"/>
      <c r="H13" s="169"/>
      <c r="I13" s="168"/>
    </row>
    <row r="14" ht="30" customHeight="1" spans="1:9">
      <c r="A14" s="170">
        <v>8</v>
      </c>
      <c r="B14" s="175" t="s">
        <v>35</v>
      </c>
      <c r="C14" s="171">
        <v>7224091161.22</v>
      </c>
      <c r="D14" s="171">
        <v>0</v>
      </c>
      <c r="E14" s="174">
        <v>0</v>
      </c>
      <c r="F14" s="171">
        <f t="shared" si="0"/>
        <v>7224091161.22</v>
      </c>
      <c r="H14" s="169"/>
      <c r="I14" s="168"/>
    </row>
    <row r="15" ht="40.5" spans="1:9">
      <c r="A15" s="170">
        <v>9</v>
      </c>
      <c r="B15" s="175" t="s">
        <v>36</v>
      </c>
      <c r="C15" s="174">
        <v>18163078852.38</v>
      </c>
      <c r="D15" s="174">
        <v>0</v>
      </c>
      <c r="E15" s="174">
        <v>0</v>
      </c>
      <c r="F15" s="171">
        <f t="shared" si="0"/>
        <v>18163078852.38</v>
      </c>
      <c r="H15" s="169"/>
      <c r="I15" s="168"/>
    </row>
    <row r="16" ht="42.75" customHeight="1" spans="1:9">
      <c r="A16" s="170">
        <v>10</v>
      </c>
      <c r="B16" s="175" t="s">
        <v>37</v>
      </c>
      <c r="C16" s="174">
        <v>0</v>
      </c>
      <c r="D16" s="174">
        <v>0</v>
      </c>
      <c r="E16" s="174">
        <v>23032679616.99</v>
      </c>
      <c r="F16" s="171">
        <f t="shared" si="0"/>
        <v>23032679616.99</v>
      </c>
      <c r="H16" s="169"/>
      <c r="I16" s="168"/>
    </row>
    <row r="17" ht="45" customHeight="1" spans="1:9">
      <c r="A17" s="170">
        <v>11</v>
      </c>
      <c r="B17" s="175" t="s">
        <v>38</v>
      </c>
      <c r="C17" s="174">
        <v>50000000000</v>
      </c>
      <c r="D17" s="174">
        <v>0</v>
      </c>
      <c r="E17" s="171">
        <v>0</v>
      </c>
      <c r="F17" s="171">
        <f t="shared" si="0"/>
        <v>50000000000</v>
      </c>
      <c r="H17" s="169"/>
      <c r="I17" s="168"/>
    </row>
    <row r="18" ht="43.9" customHeight="1" spans="1:9">
      <c r="A18" s="170">
        <v>12</v>
      </c>
      <c r="B18" s="175" t="s">
        <v>39</v>
      </c>
      <c r="C18" s="174">
        <v>10532582585.6</v>
      </c>
      <c r="D18" s="174">
        <v>0</v>
      </c>
      <c r="E18" s="171">
        <v>3998729100.17</v>
      </c>
      <c r="F18" s="171">
        <f t="shared" si="0"/>
        <v>14531311685.77</v>
      </c>
      <c r="G18" s="176"/>
    </row>
    <row r="19" ht="43.9" customHeight="1" spans="1:9">
      <c r="A19" s="170">
        <v>13</v>
      </c>
      <c r="B19" s="175" t="s">
        <v>40</v>
      </c>
      <c r="C19" s="174">
        <v>259000000000</v>
      </c>
      <c r="D19" s="174"/>
      <c r="E19" s="174"/>
      <c r="F19" s="171">
        <f t="shared" si="0"/>
        <v>259000000000</v>
      </c>
      <c r="G19" s="176"/>
    </row>
    <row r="20" ht="43.9" customHeight="1" spans="1:9">
      <c r="A20" s="170">
        <v>14</v>
      </c>
      <c r="B20" s="175" t="s">
        <v>41</v>
      </c>
      <c r="C20" s="174">
        <v>250000000000</v>
      </c>
      <c r="D20" s="174">
        <v>0</v>
      </c>
      <c r="E20" s="174">
        <v>0</v>
      </c>
      <c r="F20" s="171">
        <f t="shared" si="0"/>
        <v>250000000000</v>
      </c>
      <c r="G20" s="176"/>
    </row>
    <row r="21" ht="65.25" customHeight="1" spans="1:9">
      <c r="A21" s="170">
        <v>15</v>
      </c>
      <c r="B21" s="175" t="s">
        <v>42</v>
      </c>
      <c r="C21" s="174">
        <v>54438414232</v>
      </c>
      <c r="D21" s="174">
        <v>0</v>
      </c>
      <c r="E21" s="174">
        <v>0</v>
      </c>
      <c r="F21" s="171">
        <f t="shared" si="0"/>
        <v>54438414232</v>
      </c>
      <c r="G21" s="176"/>
    </row>
    <row r="22" ht="43.9" customHeight="1" spans="1:9">
      <c r="A22" s="170">
        <v>16</v>
      </c>
      <c r="B22" s="175" t="s">
        <v>43</v>
      </c>
      <c r="C22" s="174">
        <v>250000000000</v>
      </c>
      <c r="D22" s="174">
        <v>0</v>
      </c>
      <c r="E22" s="174">
        <v>0</v>
      </c>
      <c r="F22" s="171">
        <f t="shared" si="0"/>
        <v>250000000000</v>
      </c>
      <c r="G22" s="176"/>
    </row>
    <row r="23" ht="43.9" customHeight="1" spans="1:9">
      <c r="A23" s="170">
        <v>17</v>
      </c>
      <c r="B23" s="175" t="s">
        <v>44</v>
      </c>
      <c r="C23" s="174">
        <v>108000000000</v>
      </c>
      <c r="D23" s="174">
        <v>0</v>
      </c>
      <c r="E23" s="174">
        <v>0</v>
      </c>
      <c r="F23" s="171">
        <f t="shared" si="0"/>
        <v>108000000000</v>
      </c>
      <c r="G23" s="176"/>
    </row>
    <row r="24" ht="43.9" customHeight="1" spans="1:9">
      <c r="A24" s="170">
        <v>18</v>
      </c>
      <c r="B24" s="175" t="s">
        <v>45</v>
      </c>
      <c r="C24" s="174">
        <v>500000000000</v>
      </c>
      <c r="D24" s="174">
        <v>0</v>
      </c>
      <c r="E24" s="174">
        <v>0</v>
      </c>
      <c r="F24" s="171">
        <f t="shared" si="0"/>
        <v>500000000000</v>
      </c>
      <c r="G24" s="176"/>
    </row>
    <row r="25" ht="30" customHeight="1" spans="1:9">
      <c r="A25" s="170"/>
      <c r="B25" s="166" t="s">
        <v>46</v>
      </c>
      <c r="C25" s="174">
        <f>SUM(C7:C24)</f>
        <v>3450950588357.11</v>
      </c>
      <c r="D25" s="174">
        <f>SUM(D7:D20)</f>
        <v>250000000000</v>
      </c>
      <c r="E25" s="174">
        <f>SUM(E7:E24)</f>
        <v>799745820034.26</v>
      </c>
      <c r="F25" s="174">
        <f>SUM(F7:F24)</f>
        <v>4500696408391.37</v>
      </c>
      <c r="G25" s="176"/>
    </row>
    <row r="26" ht="50.25" customHeight="1" spans="1:9">
      <c r="B26" s="177"/>
      <c r="C26" s="178"/>
      <c r="D26" s="178"/>
      <c r="E26" s="178"/>
      <c r="F26" s="176"/>
      <c r="G26" s="173"/>
    </row>
    <row r="27" ht="35.1" customHeight="1" spans="1:9">
      <c r="A27" s="33" t="s">
        <v>47</v>
      </c>
      <c r="B27" s="33"/>
      <c r="C27" s="33"/>
      <c r="D27" s="33"/>
      <c r="E27" s="33"/>
      <c r="F27" s="33"/>
      <c r="G27" s="33"/>
    </row>
    <row r="28" ht="60" customHeight="1" spans="1:9">
      <c r="A28" s="179" t="s">
        <v>48</v>
      </c>
      <c r="B28" s="180"/>
      <c r="C28" s="180"/>
      <c r="D28" s="180"/>
      <c r="E28" s="180"/>
      <c r="F28" s="180"/>
      <c r="G28" s="180"/>
      <c r="H28" s="180"/>
    </row>
    <row r="29" ht="30" customHeight="1" spans="1:9">
      <c r="A29" s="2">
        <v>0</v>
      </c>
      <c r="B29" s="2">
        <v>1</v>
      </c>
      <c r="C29" s="2">
        <v>2</v>
      </c>
      <c r="D29" s="2">
        <v>3</v>
      </c>
      <c r="E29" s="2">
        <v>5</v>
      </c>
      <c r="F29" s="2">
        <v>6</v>
      </c>
      <c r="G29" s="2">
        <v>7</v>
      </c>
      <c r="H29" s="2">
        <v>8</v>
      </c>
      <c r="I29" s="33"/>
    </row>
    <row r="30" ht="108" customHeight="1" spans="1:9">
      <c r="A30" s="166" t="s">
        <v>21</v>
      </c>
      <c r="B30" s="166" t="s">
        <v>22</v>
      </c>
      <c r="C30" s="181" t="s">
        <v>49</v>
      </c>
      <c r="D30" s="166" t="s">
        <v>50</v>
      </c>
      <c r="E30" s="166" t="s">
        <v>51</v>
      </c>
      <c r="F30" s="166" t="s">
        <v>24</v>
      </c>
      <c r="G30" s="166" t="s">
        <v>52</v>
      </c>
      <c r="H30" s="166" t="s">
        <v>26</v>
      </c>
      <c r="I30" s="182"/>
    </row>
    <row r="31" ht="22.5" spans="1:9">
      <c r="A31" s="170"/>
      <c r="B31" s="170"/>
      <c r="C31" s="198" t="s">
        <v>27</v>
      </c>
      <c r="D31" s="198" t="s">
        <v>27</v>
      </c>
      <c r="E31" s="199" t="s">
        <v>27</v>
      </c>
      <c r="F31" s="198" t="s">
        <v>27</v>
      </c>
      <c r="G31" s="198" t="s">
        <v>27</v>
      </c>
      <c r="H31" s="198" t="s">
        <v>27</v>
      </c>
      <c r="I31" s="183"/>
    </row>
    <row r="32" customHeight="1" spans="1:9">
      <c r="A32" s="170">
        <v>1</v>
      </c>
      <c r="B32" s="170" t="s">
        <v>53</v>
      </c>
      <c r="C32" s="184">
        <v>781971094733.889</v>
      </c>
      <c r="D32" s="185">
        <v>-108510204578.44</v>
      </c>
      <c r="E32" s="186">
        <f>C32+D32</f>
        <v>673460890155.449</v>
      </c>
      <c r="F32" s="184">
        <v>121250000000</v>
      </c>
      <c r="G32" s="184">
        <v>74072457851.57</v>
      </c>
      <c r="H32" s="184">
        <f>+E32+F32+G32</f>
        <v>868783348007.019</v>
      </c>
    </row>
    <row r="33" customHeight="1" spans="1:9">
      <c r="A33" s="170">
        <v>2</v>
      </c>
      <c r="B33" s="170" t="s">
        <v>54</v>
      </c>
      <c r="C33" s="184">
        <v>16123115355.3379</v>
      </c>
      <c r="D33" s="185">
        <v>0</v>
      </c>
      <c r="E33" s="186">
        <f t="shared" ref="E33:E36" si="1">C33+D33</f>
        <v>16123115355.3379</v>
      </c>
      <c r="F33" s="184">
        <v>2500000000</v>
      </c>
      <c r="G33" s="184">
        <v>0</v>
      </c>
      <c r="H33" s="184">
        <f t="shared" ref="H33:H36" si="2">+E33+F33+G33</f>
        <v>18623115355.3379</v>
      </c>
      <c r="I33" s="169"/>
    </row>
    <row r="34" customHeight="1" spans="1:9">
      <c r="A34" s="170">
        <v>3</v>
      </c>
      <c r="B34" s="170" t="s">
        <v>55</v>
      </c>
      <c r="C34" s="187">
        <v>8061557677.669</v>
      </c>
      <c r="D34" s="185">
        <v>0</v>
      </c>
      <c r="E34" s="186">
        <f t="shared" si="1"/>
        <v>8061557677.669</v>
      </c>
      <c r="F34" s="184">
        <v>1250000000</v>
      </c>
      <c r="G34" s="184">
        <v>0</v>
      </c>
      <c r="H34" s="184">
        <f t="shared" si="2"/>
        <v>9311557677.669</v>
      </c>
      <c r="I34" s="169"/>
    </row>
    <row r="35" ht="40.5" spans="1:9">
      <c r="A35" s="170">
        <v>4</v>
      </c>
      <c r="B35" s="175" t="s">
        <v>56</v>
      </c>
      <c r="C35" s="187">
        <v>27086833796.9677</v>
      </c>
      <c r="D35" s="185">
        <v>0</v>
      </c>
      <c r="E35" s="186">
        <f t="shared" si="1"/>
        <v>27086833796.9677</v>
      </c>
      <c r="F35" s="184">
        <v>4200000000</v>
      </c>
      <c r="G35" s="184">
        <v>0</v>
      </c>
      <c r="H35" s="184">
        <f t="shared" si="2"/>
        <v>31286833796.9677</v>
      </c>
      <c r="I35" s="169"/>
    </row>
    <row r="36" ht="21" customHeight="1" spans="1:9">
      <c r="A36" s="170">
        <v>5</v>
      </c>
      <c r="B36" s="170" t="s">
        <v>57</v>
      </c>
      <c r="C36" s="184">
        <v>16123115355.3379</v>
      </c>
      <c r="D36" s="184">
        <v>-221063917</v>
      </c>
      <c r="E36" s="186">
        <f t="shared" si="1"/>
        <v>15902051438.3379</v>
      </c>
      <c r="F36" s="184">
        <v>2500000000</v>
      </c>
      <c r="G36" s="184">
        <v>9533026169.33</v>
      </c>
      <c r="H36" s="184">
        <f t="shared" si="2"/>
        <v>27935077607.6679</v>
      </c>
      <c r="I36" s="169"/>
    </row>
    <row r="37" ht="36.75" customHeight="1" spans="1:9">
      <c r="A37" s="170"/>
      <c r="B37" s="2" t="s">
        <v>26</v>
      </c>
      <c r="C37" s="188">
        <f>SUM(C32:C36)</f>
        <v>849365716919.201</v>
      </c>
      <c r="D37" s="188">
        <f>SUM(D32:D36)</f>
        <v>-108731268495.44</v>
      </c>
      <c r="E37" s="188">
        <f t="shared" ref="E37:H37" si="3">SUM(E32:E36)</f>
        <v>740634448423.761</v>
      </c>
      <c r="F37" s="188">
        <f t="shared" si="3"/>
        <v>131700000000</v>
      </c>
      <c r="G37" s="188">
        <f t="shared" si="3"/>
        <v>83605484020.9</v>
      </c>
      <c r="H37" s="188">
        <f t="shared" si="3"/>
        <v>955939932444.661</v>
      </c>
      <c r="I37" s="189"/>
    </row>
    <row r="39" ht="12.75" hidden="1" customHeight="1" spans="1:9">
      <c r="A39" s="190" t="s">
        <v>58</v>
      </c>
      <c r="B39" s="190"/>
      <c r="C39" s="190"/>
    </row>
    <row r="40" spans="1:9">
      <c r="A40" s="191"/>
      <c r="B40" s="191"/>
      <c r="C40" s="191"/>
      <c r="F40" s="176"/>
      <c r="G40" s="176"/>
      <c r="H40" s="48"/>
    </row>
    <row r="41" ht="42.75" customHeight="1" spans="1:9">
      <c r="B41" s="192"/>
      <c r="C41" s="193"/>
      <c r="E41" s="176"/>
      <c r="F41" s="176"/>
      <c r="G41" s="173"/>
      <c r="H41" s="173"/>
    </row>
    <row r="42" spans="1:9">
      <c r="B42" s="192"/>
      <c r="C42" s="193"/>
      <c r="F42" s="176"/>
      <c r="H42" s="176"/>
    </row>
    <row r="43" spans="1:9">
      <c r="B43" s="193"/>
      <c r="C43" s="192"/>
      <c r="G43" s="176"/>
      <c r="H43" s="173"/>
    </row>
    <row r="44" ht="22.5" spans="1:9">
      <c r="A44" s="183" t="s">
        <v>59</v>
      </c>
      <c r="B44" s="183"/>
      <c r="C44" s="183"/>
      <c r="D44" s="183"/>
      <c r="E44" s="183"/>
      <c r="F44" s="183"/>
      <c r="G44" s="183"/>
      <c r="H44" s="183"/>
      <c r="I44" s="183"/>
    </row>
    <row r="45" ht="35.25" customHeight="1" spans="1:9">
      <c r="A45" s="183" t="s">
        <v>60</v>
      </c>
      <c r="B45" s="183"/>
      <c r="C45" s="183"/>
      <c r="D45" s="183"/>
      <c r="E45" s="183"/>
      <c r="F45" s="183"/>
      <c r="G45" s="183"/>
      <c r="H45" s="183"/>
      <c r="I45" s="183"/>
    </row>
    <row r="46" ht="30.75" customHeight="1" spans="1:9">
      <c r="A46" s="183" t="s">
        <v>61</v>
      </c>
      <c r="B46" s="183"/>
      <c r="C46" s="183"/>
      <c r="D46" s="183"/>
      <c r="E46" s="183"/>
      <c r="F46" s="183"/>
      <c r="G46" s="183"/>
      <c r="H46" s="183"/>
      <c r="I46" s="183"/>
    </row>
    <row r="47" ht="22.5" spans="1:9">
      <c r="A47" s="183" t="s">
        <v>62</v>
      </c>
      <c r="B47" s="183"/>
      <c r="C47" s="183"/>
      <c r="D47" s="183"/>
      <c r="E47" s="183"/>
      <c r="F47" s="183"/>
      <c r="G47" s="183"/>
      <c r="H47" s="183"/>
      <c r="I47" s="183"/>
    </row>
  </sheetData>
  <mergeCells count="12">
    <mergeCell ref="A1:F1"/>
    <mergeCell ref="A2:F2"/>
    <mergeCell ref="A3:F3"/>
    <mergeCell ref="A4:F4"/>
    <mergeCell ref="A27:G27"/>
    <mergeCell ref="A28:H28"/>
    <mergeCell ref="A39:C39"/>
    <mergeCell ref="A40:C40"/>
    <mergeCell ref="A44:I44"/>
    <mergeCell ref="A45:I45"/>
    <mergeCell ref="A46:I46"/>
    <mergeCell ref="A47:I47"/>
  </mergeCells>
  <pageMargins left="0.747916666666667" right="0.747916666666667" top="0.393055555555556" bottom="0.409027777777778" header="0.511805555555556" footer="0.511805555555556"/>
  <pageSetup paperSize="1" scale="3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"/>
  <sheetViews>
    <sheetView zoomScale="130" zoomScaleNormal="130" topLeftCell="A3" workbookViewId="0">
      <pane xSplit="3" ySplit="7" topLeftCell="J42" activePane="bottomRight" state="frozen"/>
      <selection/>
      <selection pane="topRight"/>
      <selection pane="bottomLeft"/>
      <selection pane="bottomRight" activeCell="J47" sqref="J47"/>
    </sheetView>
  </sheetViews>
  <sheetFormatPr defaultColWidth="8.85714285714286" defaultRowHeight="12.75"/>
  <cols>
    <col min="1" max="1" width="4.14285714285714" style="1" customWidth="1"/>
    <col min="2" max="2" width="22.4285714285714" style="1" customWidth="1"/>
    <col min="3" max="3" width="7.42857142857143" style="1" customWidth="1"/>
    <col min="4" max="4" width="25.5714285714286" style="1" customWidth="1"/>
    <col min="5" max="5" width="23.7142857142857" style="1" customWidth="1"/>
    <col min="6" max="6" width="28.2857142857143" style="1" customWidth="1"/>
    <col min="7" max="7" width="21.2857142857143" style="1" customWidth="1"/>
    <col min="8" max="8" width="24.4285714285714" style="1" customWidth="1"/>
    <col min="9" max="9" width="22.7142857142857" style="1" customWidth="1"/>
    <col min="10" max="11" width="25.5714285714286" style="1" customWidth="1"/>
    <col min="12" max="17" width="22" style="1" customWidth="1"/>
    <col min="18" max="18" width="28" style="1" customWidth="1"/>
    <col min="19" max="19" width="25.8571428571429" style="1" customWidth="1"/>
    <col min="20" max="20" width="6.42857142857143" style="1" customWidth="1"/>
    <col min="21" max="21" width="8.85714285714286" style="1"/>
    <col min="22" max="22" width="16.2857142857143" style="1" customWidth="1"/>
    <col min="23" max="23" width="16.8571428571429" style="1" customWidth="1"/>
    <col min="24" max="24" width="21" style="1" customWidth="1"/>
    <col min="25" max="25" width="8.85714285714286" style="1"/>
    <col min="26" max="26" width="17.4285714285714" style="1" customWidth="1"/>
    <col min="27" max="27" width="12.2857142857143" style="1" customWidth="1"/>
    <col min="28" max="28" width="17.8571428571429" style="1" customWidth="1"/>
    <col min="29" max="30" width="8.85714285714286" style="1"/>
    <col min="31" max="31" width="17.8571428571429" style="1" customWidth="1"/>
    <col min="32" max="32" width="16.2857142857143" style="1" customWidth="1"/>
    <col min="33" max="33" width="17.8571428571429" style="1" customWidth="1"/>
    <col min="34" max="16384" width="8.85714285714286" style="1"/>
  </cols>
  <sheetData>
    <row r="1" ht="23.25" spans="1:33">
      <c r="A1" s="133" t="s">
        <v>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ht="25.5" spans="1:33">
      <c r="A2" s="74" t="s">
        <v>64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</row>
    <row r="3" ht="18" customHeight="1" spans="1:33">
      <c r="A3" s="134" t="s">
        <v>65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</row>
    <row r="4" ht="18.75" spans="1:33">
      <c r="A4" s="135" t="s">
        <v>66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</row>
    <row r="5" ht="20.25" spans="1:33"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ht="15.75" spans="1:33">
      <c r="A6" s="12">
        <v>1</v>
      </c>
      <c r="B6" s="12">
        <v>2</v>
      </c>
      <c r="C6" s="12">
        <v>3</v>
      </c>
      <c r="D6" s="12">
        <v>4</v>
      </c>
      <c r="E6" s="12">
        <v>5</v>
      </c>
      <c r="F6" s="12" t="s">
        <v>67</v>
      </c>
      <c r="G6" s="12">
        <v>7</v>
      </c>
      <c r="H6" s="12">
        <v>8</v>
      </c>
      <c r="I6" s="12">
        <v>9</v>
      </c>
      <c r="J6" s="12" t="s">
        <v>68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 t="s">
        <v>69</v>
      </c>
      <c r="S6" s="12" t="s">
        <v>70</v>
      </c>
      <c r="T6" s="136"/>
    </row>
    <row r="7" customHeight="1" spans="1:33">
      <c r="A7" s="137" t="s">
        <v>21</v>
      </c>
      <c r="B7" s="137" t="s">
        <v>22</v>
      </c>
      <c r="C7" s="137" t="s">
        <v>71</v>
      </c>
      <c r="D7" s="137" t="s">
        <v>72</v>
      </c>
      <c r="E7" s="137" t="s">
        <v>73</v>
      </c>
      <c r="F7" s="137" t="s">
        <v>74</v>
      </c>
      <c r="G7" s="138" t="s">
        <v>75</v>
      </c>
      <c r="H7" s="139"/>
      <c r="I7" s="140"/>
      <c r="J7" s="137" t="s">
        <v>51</v>
      </c>
      <c r="K7" s="141" t="s">
        <v>76</v>
      </c>
      <c r="L7" s="137" t="s">
        <v>77</v>
      </c>
      <c r="M7" s="137" t="s">
        <v>78</v>
      </c>
      <c r="N7" s="137" t="s">
        <v>79</v>
      </c>
      <c r="O7" s="137" t="s">
        <v>80</v>
      </c>
      <c r="P7" s="137" t="s">
        <v>81</v>
      </c>
      <c r="Q7" s="137" t="s">
        <v>82</v>
      </c>
      <c r="R7" s="137" t="s">
        <v>83</v>
      </c>
      <c r="S7" s="137" t="s">
        <v>84</v>
      </c>
      <c r="T7" s="142" t="s">
        <v>21</v>
      </c>
    </row>
    <row r="8" ht="50.25" customHeight="1" spans="1:33">
      <c r="A8" s="143"/>
      <c r="B8" s="143"/>
      <c r="C8" s="143"/>
      <c r="D8" s="143"/>
      <c r="E8" s="143"/>
      <c r="F8" s="143"/>
      <c r="G8" s="63" t="s">
        <v>85</v>
      </c>
      <c r="H8" s="63" t="s">
        <v>86</v>
      </c>
      <c r="I8" s="63" t="s">
        <v>87</v>
      </c>
      <c r="J8" s="143"/>
      <c r="K8" s="144"/>
      <c r="L8" s="143"/>
      <c r="M8" s="143"/>
      <c r="N8" s="143"/>
      <c r="O8" s="143"/>
      <c r="P8" s="143"/>
      <c r="Q8" s="143"/>
      <c r="R8" s="143"/>
      <c r="S8" s="143"/>
      <c r="T8" s="145"/>
    </row>
    <row r="9" ht="21" customHeight="1" spans="1:33">
      <c r="A9" s="136"/>
      <c r="B9" s="136"/>
      <c r="C9" s="136"/>
      <c r="D9" s="200" t="s">
        <v>27</v>
      </c>
      <c r="E9" s="200" t="s">
        <v>27</v>
      </c>
      <c r="F9" s="200" t="s">
        <v>27</v>
      </c>
      <c r="G9" s="200" t="s">
        <v>27</v>
      </c>
      <c r="H9" s="200" t="s">
        <v>27</v>
      </c>
      <c r="I9" s="200" t="s">
        <v>27</v>
      </c>
      <c r="J9" s="200" t="s">
        <v>27</v>
      </c>
      <c r="K9" s="200" t="s">
        <v>27</v>
      </c>
      <c r="L9" s="200" t="s">
        <v>27</v>
      </c>
      <c r="M9" s="200" t="s">
        <v>27</v>
      </c>
      <c r="N9" s="200" t="s">
        <v>27</v>
      </c>
      <c r="O9" s="200" t="s">
        <v>27</v>
      </c>
      <c r="P9" s="200" t="s">
        <v>27</v>
      </c>
      <c r="Q9" s="200" t="s">
        <v>27</v>
      </c>
      <c r="R9" s="200" t="s">
        <v>27</v>
      </c>
      <c r="S9" s="200" t="s">
        <v>27</v>
      </c>
      <c r="T9" s="136"/>
    </row>
    <row r="10" ht="30" customHeight="1" spans="1:33">
      <c r="A10" s="136">
        <v>1</v>
      </c>
      <c r="B10" s="146" t="s">
        <v>88</v>
      </c>
      <c r="C10" s="147">
        <v>17</v>
      </c>
      <c r="D10" s="148">
        <v>10351470814.089</v>
      </c>
      <c r="E10" s="148">
        <v>3415851888.0597</v>
      </c>
      <c r="F10" s="149">
        <f>D10+E10</f>
        <v>13767322702.1487</v>
      </c>
      <c r="G10" s="148">
        <v>606031676.25</v>
      </c>
      <c r="H10" s="148">
        <v>0</v>
      </c>
      <c r="I10" s="148">
        <v>126471991.19</v>
      </c>
      <c r="J10" s="148">
        <f>F10-G10-H10-I10</f>
        <v>13034819034.7087</v>
      </c>
      <c r="K10" s="148">
        <v>1605066791.6765</v>
      </c>
      <c r="L10" s="148">
        <v>331104118.313496</v>
      </c>
      <c r="M10" s="148">
        <f>L10/2</f>
        <v>165552059.156748</v>
      </c>
      <c r="N10" s="148">
        <f>L10-M10</f>
        <v>165552059.156748</v>
      </c>
      <c r="O10" s="148">
        <v>7298590592.2443</v>
      </c>
      <c r="P10" s="148">
        <v>0</v>
      </c>
      <c r="Q10" s="148">
        <f>O10-P10</f>
        <v>7298590592.2443</v>
      </c>
      <c r="R10" s="150">
        <f>F10+K10+L10+O10</f>
        <v>23002084204.383</v>
      </c>
      <c r="S10" s="150">
        <f>J10+K10+N10+Q10</f>
        <v>22104028477.7862</v>
      </c>
      <c r="T10" s="136">
        <v>1</v>
      </c>
      <c r="AG10" s="131">
        <v>0</v>
      </c>
    </row>
    <row r="11" ht="30" customHeight="1" spans="1:33">
      <c r="A11" s="136">
        <v>2</v>
      </c>
      <c r="B11" s="146" t="s">
        <v>89</v>
      </c>
      <c r="C11" s="151">
        <v>21</v>
      </c>
      <c r="D11" s="148">
        <v>11012184841.1857</v>
      </c>
      <c r="E11" s="148">
        <v>0</v>
      </c>
      <c r="F11" s="149">
        <f t="shared" ref="F11:F45" si="0">D11+E11</f>
        <v>11012184841.1857</v>
      </c>
      <c r="G11" s="148">
        <v>495107019.72</v>
      </c>
      <c r="H11" s="148">
        <v>0</v>
      </c>
      <c r="I11" s="148">
        <v>242145408.15</v>
      </c>
      <c r="J11" s="148">
        <f t="shared" ref="J11:J45" si="1">F11-G11-H11-I11</f>
        <v>10274932413.3157</v>
      </c>
      <c r="K11" s="148">
        <v>1707515048.8116</v>
      </c>
      <c r="L11" s="148">
        <v>352237843.107581</v>
      </c>
      <c r="M11" s="148">
        <v>0</v>
      </c>
      <c r="N11" s="148">
        <f t="shared" ref="N11:N45" si="2">L11-M11</f>
        <v>352237843.107581</v>
      </c>
      <c r="O11" s="148">
        <v>10129826679.8125</v>
      </c>
      <c r="P11" s="148">
        <v>0</v>
      </c>
      <c r="Q11" s="148">
        <f t="shared" ref="Q11:Q45" si="3">O11-P11</f>
        <v>10129826679.8125</v>
      </c>
      <c r="R11" s="150">
        <f t="shared" ref="R11:R45" si="4">F11+K11+L11+O11</f>
        <v>23201764412.9174</v>
      </c>
      <c r="S11" s="150">
        <f t="shared" ref="S11:S45" si="5">J11+K11+N11+Q11</f>
        <v>22464511985.0474</v>
      </c>
      <c r="T11" s="136">
        <v>2</v>
      </c>
      <c r="AG11" s="131">
        <v>0</v>
      </c>
    </row>
    <row r="12" ht="30" customHeight="1" spans="1:33">
      <c r="A12" s="136">
        <v>3</v>
      </c>
      <c r="B12" s="146" t="s">
        <v>90</v>
      </c>
      <c r="C12" s="151">
        <v>31</v>
      </c>
      <c r="D12" s="148">
        <v>11114520209.4786</v>
      </c>
      <c r="E12" s="148">
        <v>45864567832.9837</v>
      </c>
      <c r="F12" s="149">
        <f t="shared" si="0"/>
        <v>56979088042.4623</v>
      </c>
      <c r="G12" s="148">
        <v>243840584.06</v>
      </c>
      <c r="H12" s="148">
        <v>0</v>
      </c>
      <c r="I12" s="148">
        <v>933812028.49</v>
      </c>
      <c r="J12" s="148">
        <f t="shared" si="1"/>
        <v>55801435429.9123</v>
      </c>
      <c r="K12" s="148">
        <v>1723382851.9683</v>
      </c>
      <c r="L12" s="148">
        <v>355511161.701655</v>
      </c>
      <c r="M12" s="148">
        <f>L12/2</f>
        <v>177755580.850827</v>
      </c>
      <c r="N12" s="148">
        <f t="shared" si="2"/>
        <v>177755580.850827</v>
      </c>
      <c r="O12" s="148">
        <v>8645797019.3187</v>
      </c>
      <c r="P12" s="148">
        <v>0</v>
      </c>
      <c r="Q12" s="148">
        <f t="shared" si="3"/>
        <v>8645797019.3187</v>
      </c>
      <c r="R12" s="150">
        <f t="shared" si="4"/>
        <v>67703779075.451</v>
      </c>
      <c r="S12" s="150">
        <f t="shared" si="5"/>
        <v>66348370882.0501</v>
      </c>
      <c r="T12" s="136">
        <v>3</v>
      </c>
      <c r="AG12" s="131">
        <v>0</v>
      </c>
    </row>
    <row r="13" ht="30" customHeight="1" spans="1:33">
      <c r="A13" s="136">
        <v>4</v>
      </c>
      <c r="B13" s="146" t="s">
        <v>91</v>
      </c>
      <c r="C13" s="151">
        <v>21</v>
      </c>
      <c r="D13" s="148">
        <v>10991554809.3387</v>
      </c>
      <c r="E13" s="148">
        <v>2038603548.7491</v>
      </c>
      <c r="F13" s="149">
        <f t="shared" si="0"/>
        <v>13030158358.0878</v>
      </c>
      <c r="G13" s="148">
        <v>337733487.2</v>
      </c>
      <c r="H13" s="148">
        <v>0</v>
      </c>
      <c r="I13" s="148">
        <v>0</v>
      </c>
      <c r="J13" s="148">
        <f t="shared" si="1"/>
        <v>12692424870.8878</v>
      </c>
      <c r="K13" s="148">
        <v>1704316220.3915</v>
      </c>
      <c r="L13" s="148">
        <v>351577966.977172</v>
      </c>
      <c r="M13" s="148">
        <v>0</v>
      </c>
      <c r="N13" s="148">
        <f t="shared" si="2"/>
        <v>351577966.977172</v>
      </c>
      <c r="O13" s="148">
        <v>9510434242.458</v>
      </c>
      <c r="P13" s="148">
        <v>0</v>
      </c>
      <c r="Q13" s="148">
        <f t="shared" si="3"/>
        <v>9510434242.458</v>
      </c>
      <c r="R13" s="150">
        <f t="shared" si="4"/>
        <v>24596486787.9145</v>
      </c>
      <c r="S13" s="150">
        <f t="shared" si="5"/>
        <v>24258753300.7145</v>
      </c>
      <c r="T13" s="136">
        <v>4</v>
      </c>
      <c r="AG13" s="131">
        <v>0</v>
      </c>
    </row>
    <row r="14" ht="30" customHeight="1" spans="1:33">
      <c r="A14" s="136">
        <v>5</v>
      </c>
      <c r="B14" s="146" t="s">
        <v>92</v>
      </c>
      <c r="C14" s="151">
        <v>20</v>
      </c>
      <c r="D14" s="148">
        <v>13223208695.9192</v>
      </c>
      <c r="E14" s="148">
        <v>0</v>
      </c>
      <c r="F14" s="149">
        <f t="shared" si="0"/>
        <v>13223208695.9192</v>
      </c>
      <c r="G14" s="148">
        <v>1956626887.11</v>
      </c>
      <c r="H14" s="148">
        <v>1654765384.01</v>
      </c>
      <c r="I14" s="148">
        <v>1212723343.03</v>
      </c>
      <c r="J14" s="148">
        <f t="shared" si="1"/>
        <v>8399093081.7692</v>
      </c>
      <c r="K14" s="148">
        <v>2050349514.4226</v>
      </c>
      <c r="L14" s="148">
        <v>422960073.517193</v>
      </c>
      <c r="M14" s="148">
        <v>0</v>
      </c>
      <c r="N14" s="148">
        <f t="shared" si="2"/>
        <v>422960073.517193</v>
      </c>
      <c r="O14" s="148">
        <v>8487385489.1637</v>
      </c>
      <c r="P14" s="148">
        <v>0</v>
      </c>
      <c r="Q14" s="148">
        <f t="shared" si="3"/>
        <v>8487385489.1637</v>
      </c>
      <c r="R14" s="150">
        <f t="shared" si="4"/>
        <v>24183903773.0227</v>
      </c>
      <c r="S14" s="150">
        <f t="shared" si="5"/>
        <v>19359788158.8727</v>
      </c>
      <c r="T14" s="136">
        <v>5</v>
      </c>
      <c r="AG14" s="131">
        <v>0</v>
      </c>
    </row>
    <row r="15" ht="30" customHeight="1" spans="1:33">
      <c r="A15" s="136">
        <v>6</v>
      </c>
      <c r="B15" s="146" t="s">
        <v>93</v>
      </c>
      <c r="C15" s="151">
        <v>8</v>
      </c>
      <c r="D15" s="148">
        <v>9781415972.67776</v>
      </c>
      <c r="E15" s="148">
        <v>38450421756.7271</v>
      </c>
      <c r="F15" s="149">
        <f t="shared" si="0"/>
        <v>48231837729.4049</v>
      </c>
      <c r="G15" s="148">
        <v>302231190.43</v>
      </c>
      <c r="H15" s="148">
        <v>0</v>
      </c>
      <c r="I15" s="148">
        <v>362020453.51</v>
      </c>
      <c r="J15" s="148">
        <f t="shared" si="1"/>
        <v>47567586085.4649</v>
      </c>
      <c r="K15" s="148">
        <v>1516675865.226</v>
      </c>
      <c r="L15" s="148">
        <v>312870235.511146</v>
      </c>
      <c r="M15" s="148">
        <f t="shared" ref="M15:M21" si="6">L15/2</f>
        <v>156435117.755573</v>
      </c>
      <c r="N15" s="148">
        <f t="shared" si="2"/>
        <v>156435117.755573</v>
      </c>
      <c r="O15" s="148">
        <v>8465948826.5975</v>
      </c>
      <c r="P15" s="148">
        <v>0</v>
      </c>
      <c r="Q15" s="148">
        <f t="shared" si="3"/>
        <v>8465948826.5975</v>
      </c>
      <c r="R15" s="150">
        <f t="shared" si="4"/>
        <v>58527332656.7395</v>
      </c>
      <c r="S15" s="150">
        <f t="shared" si="5"/>
        <v>57706645895.0439</v>
      </c>
      <c r="T15" s="136">
        <v>6</v>
      </c>
      <c r="AG15" s="131">
        <v>0</v>
      </c>
    </row>
    <row r="16" ht="30" customHeight="1" spans="1:33">
      <c r="A16" s="136">
        <v>7</v>
      </c>
      <c r="B16" s="146" t="s">
        <v>94</v>
      </c>
      <c r="C16" s="151">
        <v>23</v>
      </c>
      <c r="D16" s="148">
        <v>12397612953.9575</v>
      </c>
      <c r="E16" s="148">
        <v>0</v>
      </c>
      <c r="F16" s="149">
        <f t="shared" si="0"/>
        <v>12397612953.9575</v>
      </c>
      <c r="G16" s="148">
        <v>335836615.1</v>
      </c>
      <c r="H16" s="148">
        <v>0</v>
      </c>
      <c r="I16" s="148">
        <v>189354505.17</v>
      </c>
      <c r="J16" s="148">
        <f t="shared" si="1"/>
        <v>11872421833.6875</v>
      </c>
      <c r="K16" s="148">
        <v>1922335212.632</v>
      </c>
      <c r="L16" s="148">
        <v>396552410.76713</v>
      </c>
      <c r="M16" s="148">
        <f t="shared" si="6"/>
        <v>198276205.383565</v>
      </c>
      <c r="N16" s="148">
        <f t="shared" si="2"/>
        <v>198276205.383565</v>
      </c>
      <c r="O16" s="148">
        <v>8533064556.2801</v>
      </c>
      <c r="P16" s="148">
        <v>0</v>
      </c>
      <c r="Q16" s="148">
        <f t="shared" si="3"/>
        <v>8533064556.2801</v>
      </c>
      <c r="R16" s="150">
        <f t="shared" si="4"/>
        <v>23249565133.6367</v>
      </c>
      <c r="S16" s="150">
        <f t="shared" si="5"/>
        <v>22526097807.9832</v>
      </c>
      <c r="T16" s="136">
        <v>7</v>
      </c>
      <c r="AG16" s="131">
        <v>0</v>
      </c>
    </row>
    <row r="17" ht="30" customHeight="1" spans="1:33">
      <c r="A17" s="136">
        <v>8</v>
      </c>
      <c r="B17" s="146" t="s">
        <v>95</v>
      </c>
      <c r="C17" s="151">
        <v>27</v>
      </c>
      <c r="D17" s="148">
        <v>13734778401.2891</v>
      </c>
      <c r="E17" s="148">
        <v>0</v>
      </c>
      <c r="F17" s="149">
        <f t="shared" si="0"/>
        <v>13734778401.2891</v>
      </c>
      <c r="G17" s="148">
        <v>845367206.88</v>
      </c>
      <c r="H17" s="148">
        <v>0</v>
      </c>
      <c r="I17" s="148">
        <v>77142815.66</v>
      </c>
      <c r="J17" s="148">
        <f t="shared" si="1"/>
        <v>12812268378.7491</v>
      </c>
      <c r="K17" s="148">
        <v>2129671918.0177</v>
      </c>
      <c r="L17" s="148">
        <v>439323239.611561</v>
      </c>
      <c r="M17" s="148">
        <v>0</v>
      </c>
      <c r="N17" s="148">
        <f t="shared" si="2"/>
        <v>439323239.611561</v>
      </c>
      <c r="O17" s="148">
        <v>10160535798.8629</v>
      </c>
      <c r="P17" s="148">
        <v>0</v>
      </c>
      <c r="Q17" s="148">
        <f t="shared" si="3"/>
        <v>10160535798.8629</v>
      </c>
      <c r="R17" s="150">
        <f t="shared" si="4"/>
        <v>26464309357.7813</v>
      </c>
      <c r="S17" s="150">
        <f t="shared" si="5"/>
        <v>25541799335.2413</v>
      </c>
      <c r="T17" s="136">
        <v>8</v>
      </c>
      <c r="AG17" s="131">
        <v>0</v>
      </c>
    </row>
    <row r="18" ht="30" customHeight="1" spans="1:33">
      <c r="A18" s="136">
        <v>9</v>
      </c>
      <c r="B18" s="146" t="s">
        <v>96</v>
      </c>
      <c r="C18" s="151">
        <v>18</v>
      </c>
      <c r="D18" s="148">
        <v>11116415694.9515</v>
      </c>
      <c r="E18" s="148">
        <v>0</v>
      </c>
      <c r="F18" s="149">
        <f t="shared" si="0"/>
        <v>11116415694.9515</v>
      </c>
      <c r="G18" s="148">
        <v>2376137373.35</v>
      </c>
      <c r="H18" s="148">
        <v>1352747444.36</v>
      </c>
      <c r="I18" s="148">
        <v>1060690675.12</v>
      </c>
      <c r="J18" s="148">
        <f t="shared" si="1"/>
        <v>6326840202.1215</v>
      </c>
      <c r="K18" s="148">
        <v>1723676760.0362</v>
      </c>
      <c r="L18" s="148">
        <v>355571791.061195</v>
      </c>
      <c r="M18" s="148">
        <f t="shared" si="6"/>
        <v>177785895.530598</v>
      </c>
      <c r="N18" s="148">
        <f t="shared" si="2"/>
        <v>177785895.530598</v>
      </c>
      <c r="O18" s="148">
        <v>7717687205.1565</v>
      </c>
      <c r="P18" s="148">
        <v>0</v>
      </c>
      <c r="Q18" s="148">
        <f t="shared" si="3"/>
        <v>7717687205.1565</v>
      </c>
      <c r="R18" s="150">
        <f t="shared" si="4"/>
        <v>20913351451.2054</v>
      </c>
      <c r="S18" s="150">
        <f t="shared" si="5"/>
        <v>15945990062.8448</v>
      </c>
      <c r="T18" s="136">
        <v>9</v>
      </c>
      <c r="AG18" s="131">
        <v>0</v>
      </c>
    </row>
    <row r="19" ht="30" customHeight="1" spans="1:33">
      <c r="A19" s="136">
        <v>10</v>
      </c>
      <c r="B19" s="146" t="s">
        <v>97</v>
      </c>
      <c r="C19" s="151">
        <v>25</v>
      </c>
      <c r="D19" s="148">
        <v>11224478032.0498</v>
      </c>
      <c r="E19" s="148">
        <v>61103391336.3939</v>
      </c>
      <c r="F19" s="149">
        <f t="shared" si="0"/>
        <v>72327869368.4437</v>
      </c>
      <c r="G19" s="148">
        <v>562710438.25</v>
      </c>
      <c r="H19" s="148">
        <v>0</v>
      </c>
      <c r="I19" s="148">
        <v>1455181114.56</v>
      </c>
      <c r="J19" s="148">
        <f t="shared" si="1"/>
        <v>70309977815.6337</v>
      </c>
      <c r="K19" s="148">
        <v>1740432569.121</v>
      </c>
      <c r="L19" s="148">
        <v>359028293.570872</v>
      </c>
      <c r="M19" s="148">
        <f t="shared" si="6"/>
        <v>179514146.785436</v>
      </c>
      <c r="N19" s="148">
        <f t="shared" si="2"/>
        <v>179514146.785436</v>
      </c>
      <c r="O19" s="148">
        <v>13361798857.3377</v>
      </c>
      <c r="P19" s="148">
        <v>0</v>
      </c>
      <c r="Q19" s="148">
        <f t="shared" si="3"/>
        <v>13361798857.3377</v>
      </c>
      <c r="R19" s="150">
        <f t="shared" si="4"/>
        <v>87789129088.4733</v>
      </c>
      <c r="S19" s="150">
        <f t="shared" si="5"/>
        <v>85591723388.8778</v>
      </c>
      <c r="T19" s="136">
        <v>10</v>
      </c>
      <c r="AG19" s="131">
        <v>0</v>
      </c>
    </row>
    <row r="20" ht="30" customHeight="1" spans="1:33">
      <c r="A20" s="136">
        <v>11</v>
      </c>
      <c r="B20" s="146" t="s">
        <v>98</v>
      </c>
      <c r="C20" s="151">
        <v>13</v>
      </c>
      <c r="D20" s="148">
        <v>9890019815.95924</v>
      </c>
      <c r="E20" s="148">
        <v>0</v>
      </c>
      <c r="F20" s="149">
        <f t="shared" si="0"/>
        <v>9890019815.95924</v>
      </c>
      <c r="G20" s="148">
        <v>345897603.93</v>
      </c>
      <c r="H20" s="148">
        <v>0</v>
      </c>
      <c r="I20" s="148">
        <v>307206905.5579</v>
      </c>
      <c r="J20" s="148">
        <f t="shared" si="1"/>
        <v>9236915306.47134</v>
      </c>
      <c r="K20" s="148">
        <v>1533515638.5712</v>
      </c>
      <c r="L20" s="148">
        <v>316344058.740864</v>
      </c>
      <c r="M20" s="148">
        <v>0</v>
      </c>
      <c r="N20" s="148">
        <f t="shared" si="2"/>
        <v>316344058.740864</v>
      </c>
      <c r="O20" s="148">
        <v>8513043030.2747</v>
      </c>
      <c r="P20" s="148">
        <v>0</v>
      </c>
      <c r="Q20" s="148">
        <f t="shared" si="3"/>
        <v>8513043030.2747</v>
      </c>
      <c r="R20" s="150">
        <f t="shared" si="4"/>
        <v>20252922543.546</v>
      </c>
      <c r="S20" s="150">
        <f t="shared" si="5"/>
        <v>19599818034.0581</v>
      </c>
      <c r="T20" s="136">
        <v>11</v>
      </c>
      <c r="AG20" s="131">
        <v>0</v>
      </c>
    </row>
    <row r="21" ht="30" customHeight="1" spans="1:33">
      <c r="A21" s="136">
        <v>12</v>
      </c>
      <c r="B21" s="146" t="s">
        <v>99</v>
      </c>
      <c r="C21" s="151">
        <v>18</v>
      </c>
      <c r="D21" s="148">
        <v>10336655775.3234</v>
      </c>
      <c r="E21" s="148">
        <v>4780636606.8216</v>
      </c>
      <c r="F21" s="149">
        <f t="shared" si="0"/>
        <v>15117292382.145</v>
      </c>
      <c r="G21" s="148">
        <v>2728253929.48</v>
      </c>
      <c r="H21" s="148">
        <v>510923032.41</v>
      </c>
      <c r="I21" s="148">
        <v>170793606.8</v>
      </c>
      <c r="J21" s="148">
        <f t="shared" si="1"/>
        <v>11707321813.455</v>
      </c>
      <c r="K21" s="148">
        <v>1602769617.9543</v>
      </c>
      <c r="L21" s="148">
        <v>330630241.660024</v>
      </c>
      <c r="M21" s="148">
        <f t="shared" si="6"/>
        <v>165315120.830012</v>
      </c>
      <c r="N21" s="148">
        <f t="shared" si="2"/>
        <v>165315120.830012</v>
      </c>
      <c r="O21" s="148">
        <v>10918570861.0828</v>
      </c>
      <c r="P21" s="148">
        <v>0</v>
      </c>
      <c r="Q21" s="148">
        <f t="shared" si="3"/>
        <v>10918570861.0828</v>
      </c>
      <c r="R21" s="150">
        <f t="shared" si="4"/>
        <v>27969263102.8421</v>
      </c>
      <c r="S21" s="150">
        <f t="shared" si="5"/>
        <v>24393977413.3221</v>
      </c>
      <c r="T21" s="136">
        <v>12</v>
      </c>
      <c r="AG21" s="131">
        <v>0</v>
      </c>
    </row>
    <row r="22" ht="30" customHeight="1" spans="1:33">
      <c r="A22" s="136">
        <v>13</v>
      </c>
      <c r="B22" s="146" t="s">
        <v>100</v>
      </c>
      <c r="C22" s="151">
        <v>16</v>
      </c>
      <c r="D22" s="148">
        <v>9884438935.4135</v>
      </c>
      <c r="E22" s="148">
        <v>0</v>
      </c>
      <c r="F22" s="149">
        <f t="shared" si="0"/>
        <v>9884438935.4135</v>
      </c>
      <c r="G22" s="148">
        <v>915766895.37</v>
      </c>
      <c r="H22" s="148">
        <v>345000000</v>
      </c>
      <c r="I22" s="148">
        <v>1183228093.26</v>
      </c>
      <c r="J22" s="148">
        <f t="shared" si="1"/>
        <v>7440443946.7835</v>
      </c>
      <c r="K22" s="148">
        <v>1532650284.6332</v>
      </c>
      <c r="L22" s="148">
        <v>316165547.632097</v>
      </c>
      <c r="M22" s="148">
        <v>0</v>
      </c>
      <c r="N22" s="148">
        <f t="shared" si="2"/>
        <v>316165547.632097</v>
      </c>
      <c r="O22" s="148">
        <v>8195707972.5271</v>
      </c>
      <c r="P22" s="148">
        <v>0</v>
      </c>
      <c r="Q22" s="148">
        <f t="shared" si="3"/>
        <v>8195707972.5271</v>
      </c>
      <c r="R22" s="150">
        <f t="shared" si="4"/>
        <v>19928962740.2059</v>
      </c>
      <c r="S22" s="150">
        <f t="shared" si="5"/>
        <v>17484967751.5759</v>
      </c>
      <c r="T22" s="136">
        <v>13</v>
      </c>
      <c r="AG22" s="131">
        <v>0</v>
      </c>
    </row>
    <row r="23" ht="30" customHeight="1" spans="1:33">
      <c r="A23" s="136">
        <v>14</v>
      </c>
      <c r="B23" s="146" t="s">
        <v>101</v>
      </c>
      <c r="C23" s="151">
        <v>17</v>
      </c>
      <c r="D23" s="148">
        <v>11117375116.6811</v>
      </c>
      <c r="E23" s="148">
        <v>16570.1505</v>
      </c>
      <c r="F23" s="149">
        <f t="shared" si="0"/>
        <v>11117391686.8316</v>
      </c>
      <c r="G23" s="148">
        <v>798504871.86</v>
      </c>
      <c r="H23" s="148">
        <v>0</v>
      </c>
      <c r="I23" s="148">
        <v>78644312.34</v>
      </c>
      <c r="J23" s="148">
        <f t="shared" si="1"/>
        <v>10240242502.6316</v>
      </c>
      <c r="K23" s="148">
        <v>1723825524.9784</v>
      </c>
      <c r="L23" s="148">
        <v>355602479.307537</v>
      </c>
      <c r="M23" s="148">
        <v>0</v>
      </c>
      <c r="N23" s="148">
        <f t="shared" si="2"/>
        <v>355602479.307537</v>
      </c>
      <c r="O23" s="148">
        <v>7931570875.6865</v>
      </c>
      <c r="P23" s="148">
        <v>0</v>
      </c>
      <c r="Q23" s="148">
        <f t="shared" si="3"/>
        <v>7931570875.6865</v>
      </c>
      <c r="R23" s="150">
        <f t="shared" si="4"/>
        <v>21128390566.804</v>
      </c>
      <c r="S23" s="150">
        <f t="shared" si="5"/>
        <v>20251241382.604</v>
      </c>
      <c r="T23" s="136">
        <v>14</v>
      </c>
      <c r="AG23" s="131">
        <v>0</v>
      </c>
    </row>
    <row r="24" ht="30" customHeight="1" spans="1:33">
      <c r="A24" s="136">
        <v>15</v>
      </c>
      <c r="B24" s="146" t="s">
        <v>102</v>
      </c>
      <c r="C24" s="151">
        <v>11</v>
      </c>
      <c r="D24" s="148">
        <v>10412642772.2579</v>
      </c>
      <c r="E24" s="148">
        <v>0</v>
      </c>
      <c r="F24" s="149">
        <f t="shared" si="0"/>
        <v>10412642772.2579</v>
      </c>
      <c r="G24" s="148">
        <v>980564408.34</v>
      </c>
      <c r="H24" s="148">
        <v>1191927125.99</v>
      </c>
      <c r="I24" s="148">
        <v>394619046.44</v>
      </c>
      <c r="J24" s="148">
        <f t="shared" si="1"/>
        <v>7845532191.4879</v>
      </c>
      <c r="K24" s="148">
        <v>1614551924.7945</v>
      </c>
      <c r="L24" s="148">
        <v>333060776.226048</v>
      </c>
      <c r="M24" s="148">
        <f>L24/2</f>
        <v>166530388.113024</v>
      </c>
      <c r="N24" s="148">
        <f t="shared" si="2"/>
        <v>166530388.113024</v>
      </c>
      <c r="O24" s="148">
        <v>7610359741.259</v>
      </c>
      <c r="P24" s="148">
        <v>0</v>
      </c>
      <c r="Q24" s="148">
        <f t="shared" si="3"/>
        <v>7610359741.259</v>
      </c>
      <c r="R24" s="150">
        <f t="shared" si="4"/>
        <v>19970615214.5374</v>
      </c>
      <c r="S24" s="150">
        <f t="shared" si="5"/>
        <v>17236974245.6544</v>
      </c>
      <c r="T24" s="136">
        <v>15</v>
      </c>
      <c r="AG24" s="131">
        <v>0</v>
      </c>
    </row>
    <row r="25" ht="30" customHeight="1" spans="1:33">
      <c r="A25" s="136">
        <v>16</v>
      </c>
      <c r="B25" s="146" t="s">
        <v>103</v>
      </c>
      <c r="C25" s="151">
        <v>27</v>
      </c>
      <c r="D25" s="148">
        <v>11493729070.46</v>
      </c>
      <c r="E25" s="148">
        <v>4583057076.7302</v>
      </c>
      <c r="F25" s="149">
        <f t="shared" si="0"/>
        <v>16076786147.1902</v>
      </c>
      <c r="G25" s="148">
        <v>543558967.87</v>
      </c>
      <c r="H25" s="148">
        <v>0</v>
      </c>
      <c r="I25" s="148">
        <v>1470820604.19</v>
      </c>
      <c r="J25" s="148">
        <f t="shared" si="1"/>
        <v>14062406575.1302</v>
      </c>
      <c r="K25" s="148">
        <v>1782181795.6935</v>
      </c>
      <c r="L25" s="148">
        <v>367640608.6012</v>
      </c>
      <c r="M25" s="148">
        <f t="shared" ref="M25" si="7">L25/2</f>
        <v>183820304.3006</v>
      </c>
      <c r="N25" s="148">
        <f t="shared" si="2"/>
        <v>183820304.3006</v>
      </c>
      <c r="O25" s="148">
        <v>9612889379.3699</v>
      </c>
      <c r="P25" s="148">
        <v>0</v>
      </c>
      <c r="Q25" s="148">
        <f t="shared" si="3"/>
        <v>9612889379.3699</v>
      </c>
      <c r="R25" s="150">
        <f t="shared" si="4"/>
        <v>27839497930.8548</v>
      </c>
      <c r="S25" s="150">
        <f t="shared" si="5"/>
        <v>25641298054.4942</v>
      </c>
      <c r="T25" s="136">
        <v>16</v>
      </c>
      <c r="AG25" s="131">
        <v>0</v>
      </c>
    </row>
    <row r="26" ht="30" customHeight="1" spans="1:33">
      <c r="A26" s="136">
        <v>17</v>
      </c>
      <c r="B26" s="146" t="s">
        <v>104</v>
      </c>
      <c r="C26" s="151">
        <v>27</v>
      </c>
      <c r="D26" s="148">
        <v>12362571821.9696</v>
      </c>
      <c r="E26" s="148">
        <v>0</v>
      </c>
      <c r="F26" s="149">
        <f t="shared" si="0"/>
        <v>12362571821.9696</v>
      </c>
      <c r="G26" s="148">
        <v>324205966.62</v>
      </c>
      <c r="H26" s="148">
        <v>0</v>
      </c>
      <c r="I26" s="148">
        <v>0</v>
      </c>
      <c r="J26" s="148">
        <f t="shared" si="1"/>
        <v>12038365855.3496</v>
      </c>
      <c r="K26" s="148">
        <v>1916901843.9536</v>
      </c>
      <c r="L26" s="148">
        <v>395431578.440934</v>
      </c>
      <c r="M26" s="148">
        <v>0</v>
      </c>
      <c r="N26" s="148">
        <f t="shared" si="2"/>
        <v>395431578.440934</v>
      </c>
      <c r="O26" s="148">
        <v>8752936878.1194</v>
      </c>
      <c r="P26" s="148">
        <v>0</v>
      </c>
      <c r="Q26" s="148">
        <f t="shared" si="3"/>
        <v>8752936878.1194</v>
      </c>
      <c r="R26" s="150">
        <f t="shared" si="4"/>
        <v>23427842122.4835</v>
      </c>
      <c r="S26" s="150">
        <f t="shared" si="5"/>
        <v>23103636155.8635</v>
      </c>
      <c r="T26" s="136">
        <v>17</v>
      </c>
      <c r="AG26" s="131">
        <v>0</v>
      </c>
    </row>
    <row r="27" ht="30" customHeight="1" spans="1:33">
      <c r="A27" s="136">
        <v>18</v>
      </c>
      <c r="B27" s="146" t="s">
        <v>105</v>
      </c>
      <c r="C27" s="151">
        <v>23</v>
      </c>
      <c r="D27" s="148">
        <v>14484190785.6233</v>
      </c>
      <c r="E27" s="148">
        <v>0</v>
      </c>
      <c r="F27" s="149">
        <f t="shared" si="0"/>
        <v>14484190785.6233</v>
      </c>
      <c r="G27" s="148">
        <v>5493901125.58</v>
      </c>
      <c r="H27" s="148">
        <v>0</v>
      </c>
      <c r="I27" s="148">
        <v>436184267.24</v>
      </c>
      <c r="J27" s="148">
        <f t="shared" si="1"/>
        <v>8554105392.8033</v>
      </c>
      <c r="K27" s="148">
        <v>2245873465.8913</v>
      </c>
      <c r="L27" s="148">
        <v>463294086.965069</v>
      </c>
      <c r="M27" s="148">
        <f>L27/2</f>
        <v>231647043.482534</v>
      </c>
      <c r="N27" s="148">
        <f t="shared" si="2"/>
        <v>231647043.482534</v>
      </c>
      <c r="O27" s="148">
        <v>9876810351.1242</v>
      </c>
      <c r="P27" s="148">
        <v>0</v>
      </c>
      <c r="Q27" s="148">
        <f t="shared" si="3"/>
        <v>9876810351.1242</v>
      </c>
      <c r="R27" s="150">
        <f t="shared" si="4"/>
        <v>27070168689.6039</v>
      </c>
      <c r="S27" s="150">
        <f t="shared" si="5"/>
        <v>20908436253.3013</v>
      </c>
      <c r="T27" s="136">
        <v>18</v>
      </c>
      <c r="AG27" s="131">
        <v>0</v>
      </c>
    </row>
    <row r="28" ht="30" customHeight="1" spans="1:33">
      <c r="A28" s="136">
        <v>19</v>
      </c>
      <c r="B28" s="146" t="s">
        <v>106</v>
      </c>
      <c r="C28" s="151">
        <v>44</v>
      </c>
      <c r="D28" s="148">
        <v>17534725469.1897</v>
      </c>
      <c r="E28" s="148">
        <v>0</v>
      </c>
      <c r="F28" s="149">
        <f t="shared" si="0"/>
        <v>17534725469.1897</v>
      </c>
      <c r="G28" s="148">
        <v>821112432.66</v>
      </c>
      <c r="H28" s="148">
        <v>292615190</v>
      </c>
      <c r="I28" s="148">
        <v>252703160</v>
      </c>
      <c r="J28" s="148">
        <f t="shared" si="1"/>
        <v>16168294686.5297</v>
      </c>
      <c r="K28" s="148">
        <v>2718879863.2803</v>
      </c>
      <c r="L28" s="148">
        <v>560869070.745344</v>
      </c>
      <c r="M28" s="148">
        <v>0</v>
      </c>
      <c r="N28" s="148">
        <f t="shared" si="2"/>
        <v>560869070.745344</v>
      </c>
      <c r="O28" s="148">
        <v>13067773840.3878</v>
      </c>
      <c r="P28" s="148">
        <v>0</v>
      </c>
      <c r="Q28" s="148">
        <f t="shared" si="3"/>
        <v>13067773840.3878</v>
      </c>
      <c r="R28" s="150">
        <f t="shared" si="4"/>
        <v>33882248243.6031</v>
      </c>
      <c r="S28" s="150">
        <f t="shared" si="5"/>
        <v>32515817460.9431</v>
      </c>
      <c r="T28" s="136">
        <v>19</v>
      </c>
      <c r="AG28" s="131">
        <v>0</v>
      </c>
    </row>
    <row r="29" ht="30" customHeight="1" spans="1:33">
      <c r="A29" s="136">
        <v>20</v>
      </c>
      <c r="B29" s="146" t="s">
        <v>107</v>
      </c>
      <c r="C29" s="151">
        <v>34</v>
      </c>
      <c r="D29" s="148">
        <v>13588913201.1583</v>
      </c>
      <c r="E29" s="148">
        <v>0</v>
      </c>
      <c r="F29" s="149">
        <f t="shared" si="0"/>
        <v>13588913201.1583</v>
      </c>
      <c r="G29" s="148">
        <v>1769238725.34</v>
      </c>
      <c r="H29" s="148">
        <v>850000000</v>
      </c>
      <c r="I29" s="148">
        <v>0</v>
      </c>
      <c r="J29" s="148">
        <f t="shared" si="1"/>
        <v>10969674475.8183</v>
      </c>
      <c r="K29" s="148">
        <v>2107054514.8489</v>
      </c>
      <c r="L29" s="148">
        <v>434657567.520236</v>
      </c>
      <c r="M29" s="148">
        <v>0</v>
      </c>
      <c r="N29" s="148">
        <f t="shared" si="2"/>
        <v>434657567.520236</v>
      </c>
      <c r="O29" s="148">
        <v>10082532568.5112</v>
      </c>
      <c r="P29" s="148">
        <v>0</v>
      </c>
      <c r="Q29" s="148">
        <f t="shared" si="3"/>
        <v>10082532568.5112</v>
      </c>
      <c r="R29" s="150">
        <f t="shared" si="4"/>
        <v>26213157852.0386</v>
      </c>
      <c r="S29" s="150">
        <f t="shared" si="5"/>
        <v>23593919126.6986</v>
      </c>
      <c r="T29" s="136">
        <v>20</v>
      </c>
      <c r="AG29" s="131">
        <v>0</v>
      </c>
    </row>
    <row r="30" ht="30" customHeight="1" spans="1:33">
      <c r="A30" s="136">
        <v>21</v>
      </c>
      <c r="B30" s="146" t="s">
        <v>108</v>
      </c>
      <c r="C30" s="151">
        <v>21</v>
      </c>
      <c r="D30" s="148">
        <v>11672944235.5668</v>
      </c>
      <c r="E30" s="148">
        <v>0</v>
      </c>
      <c r="F30" s="149">
        <f t="shared" si="0"/>
        <v>11672944235.5668</v>
      </c>
      <c r="G30" s="148">
        <v>482422600.21</v>
      </c>
      <c r="H30" s="148">
        <v>0</v>
      </c>
      <c r="I30" s="148">
        <v>66162540.43</v>
      </c>
      <c r="J30" s="148">
        <f t="shared" si="1"/>
        <v>11124359094.9268</v>
      </c>
      <c r="K30" s="148">
        <v>1809970340.4563</v>
      </c>
      <c r="L30" s="148">
        <v>373373019.028366</v>
      </c>
      <c r="M30" s="148">
        <f t="shared" ref="M30:M32" si="8">L30/2</f>
        <v>186686509.514183</v>
      </c>
      <c r="N30" s="148">
        <f t="shared" si="2"/>
        <v>186686509.514183</v>
      </c>
      <c r="O30" s="148">
        <v>8399716826.2408</v>
      </c>
      <c r="P30" s="148">
        <v>0</v>
      </c>
      <c r="Q30" s="148">
        <f t="shared" si="3"/>
        <v>8399716826.2408</v>
      </c>
      <c r="R30" s="150">
        <f t="shared" si="4"/>
        <v>22256004421.2923</v>
      </c>
      <c r="S30" s="150">
        <f t="shared" si="5"/>
        <v>21520732771.1381</v>
      </c>
      <c r="T30" s="136">
        <v>21</v>
      </c>
      <c r="AG30" s="131">
        <v>0</v>
      </c>
    </row>
    <row r="31" ht="30" customHeight="1" spans="1:33">
      <c r="A31" s="136">
        <v>22</v>
      </c>
      <c r="B31" s="146" t="s">
        <v>109</v>
      </c>
      <c r="C31" s="151">
        <v>21</v>
      </c>
      <c r="D31" s="148">
        <v>12218048664.77</v>
      </c>
      <c r="E31" s="148">
        <v>16570.1505</v>
      </c>
      <c r="F31" s="149">
        <f t="shared" si="0"/>
        <v>12218065234.9205</v>
      </c>
      <c r="G31" s="148">
        <v>884512693.78</v>
      </c>
      <c r="H31" s="148">
        <v>0</v>
      </c>
      <c r="I31" s="148">
        <v>725622264.75</v>
      </c>
      <c r="J31" s="148">
        <f t="shared" si="1"/>
        <v>10607930276.3905</v>
      </c>
      <c r="K31" s="148">
        <v>1894492533.7777</v>
      </c>
      <c r="L31" s="148">
        <v>390808833.1906</v>
      </c>
      <c r="M31" s="148">
        <f t="shared" si="8"/>
        <v>195404416.5953</v>
      </c>
      <c r="N31" s="148">
        <f t="shared" si="2"/>
        <v>195404416.5953</v>
      </c>
      <c r="O31" s="148">
        <v>8954717738.1672</v>
      </c>
      <c r="P31" s="148">
        <v>0</v>
      </c>
      <c r="Q31" s="148">
        <f t="shared" si="3"/>
        <v>8954717738.1672</v>
      </c>
      <c r="R31" s="150">
        <f t="shared" si="4"/>
        <v>23458084340.056</v>
      </c>
      <c r="S31" s="150">
        <f t="shared" si="5"/>
        <v>21652544964.9307</v>
      </c>
      <c r="T31" s="136">
        <v>22</v>
      </c>
      <c r="AG31" s="131">
        <v>0</v>
      </c>
    </row>
    <row r="32" ht="30" customHeight="1" spans="1:33">
      <c r="A32" s="136">
        <v>23</v>
      </c>
      <c r="B32" s="146" t="s">
        <v>110</v>
      </c>
      <c r="C32" s="151">
        <v>16</v>
      </c>
      <c r="D32" s="148">
        <v>9840370286.60159</v>
      </c>
      <c r="E32" s="148">
        <v>0</v>
      </c>
      <c r="F32" s="149">
        <f t="shared" si="0"/>
        <v>9840370286.60159</v>
      </c>
      <c r="G32" s="148">
        <v>357485838.84</v>
      </c>
      <c r="H32" s="148">
        <v>559212440.21</v>
      </c>
      <c r="I32" s="148">
        <v>211464655.14</v>
      </c>
      <c r="J32" s="148">
        <f t="shared" si="1"/>
        <v>8712207352.41159</v>
      </c>
      <c r="K32" s="148">
        <v>1525817137.3412</v>
      </c>
      <c r="L32" s="148">
        <v>314755959.432313</v>
      </c>
      <c r="M32" s="148">
        <f t="shared" si="8"/>
        <v>157377979.716157</v>
      </c>
      <c r="N32" s="148">
        <f t="shared" si="2"/>
        <v>157377979.716157</v>
      </c>
      <c r="O32" s="148">
        <v>8872198494.724</v>
      </c>
      <c r="P32" s="148">
        <v>0</v>
      </c>
      <c r="Q32" s="148">
        <f t="shared" si="3"/>
        <v>8872198494.724</v>
      </c>
      <c r="R32" s="150">
        <f t="shared" si="4"/>
        <v>20553141878.0991</v>
      </c>
      <c r="S32" s="150">
        <f t="shared" si="5"/>
        <v>19267600964.1929</v>
      </c>
      <c r="T32" s="136">
        <v>23</v>
      </c>
      <c r="AG32" s="131">
        <v>0</v>
      </c>
    </row>
    <row r="33" ht="30" customHeight="1" spans="1:33">
      <c r="A33" s="136">
        <v>24</v>
      </c>
      <c r="B33" s="146" t="s">
        <v>111</v>
      </c>
      <c r="C33" s="151">
        <v>20</v>
      </c>
      <c r="D33" s="148">
        <v>14809213187.5696</v>
      </c>
      <c r="E33" s="148">
        <v>0</v>
      </c>
      <c r="F33" s="149">
        <f t="shared" si="0"/>
        <v>14809213187.5696</v>
      </c>
      <c r="G33" s="148">
        <v>8338643520.01</v>
      </c>
      <c r="H33" s="148">
        <v>0</v>
      </c>
      <c r="I33" s="148">
        <v>0</v>
      </c>
      <c r="J33" s="148">
        <f t="shared" si="1"/>
        <v>6470569667.5596</v>
      </c>
      <c r="K33" s="148">
        <v>2296270426.2156</v>
      </c>
      <c r="L33" s="148">
        <v>473690315.458659</v>
      </c>
      <c r="M33" s="148">
        <v>0</v>
      </c>
      <c r="N33" s="148">
        <f t="shared" si="2"/>
        <v>473690315.458659</v>
      </c>
      <c r="O33" s="148">
        <v>59481745580.1579</v>
      </c>
      <c r="P33" s="148">
        <v>9886025186.97</v>
      </c>
      <c r="Q33" s="148">
        <f t="shared" si="3"/>
        <v>49595720393.1879</v>
      </c>
      <c r="R33" s="150">
        <f t="shared" si="4"/>
        <v>77060919509.4018</v>
      </c>
      <c r="S33" s="150">
        <f t="shared" si="5"/>
        <v>58836250802.4218</v>
      </c>
      <c r="T33" s="136">
        <v>24</v>
      </c>
      <c r="AG33" s="131">
        <v>0</v>
      </c>
    </row>
    <row r="34" ht="30" customHeight="1" spans="1:33">
      <c r="A34" s="136">
        <v>25</v>
      </c>
      <c r="B34" s="146" t="s">
        <v>112</v>
      </c>
      <c r="C34" s="151">
        <v>13</v>
      </c>
      <c r="D34" s="148">
        <v>10194644761.4617</v>
      </c>
      <c r="E34" s="148">
        <v>0</v>
      </c>
      <c r="F34" s="149">
        <f t="shared" si="0"/>
        <v>10194644761.4617</v>
      </c>
      <c r="G34" s="148">
        <v>228507906.65</v>
      </c>
      <c r="H34" s="148">
        <v>0</v>
      </c>
      <c r="I34" s="148">
        <v>0</v>
      </c>
      <c r="J34" s="148">
        <f t="shared" si="1"/>
        <v>9966136854.8117</v>
      </c>
      <c r="K34" s="148">
        <v>1580749832.8924</v>
      </c>
      <c r="L34" s="148">
        <v>326087850.305171</v>
      </c>
      <c r="M34" s="148">
        <f>L34/2</f>
        <v>163043925.152586</v>
      </c>
      <c r="N34" s="148">
        <f t="shared" si="2"/>
        <v>163043925.152586</v>
      </c>
      <c r="O34" s="148">
        <v>7465876088.2425</v>
      </c>
      <c r="P34" s="148">
        <v>0</v>
      </c>
      <c r="Q34" s="148">
        <f t="shared" si="3"/>
        <v>7465876088.2425</v>
      </c>
      <c r="R34" s="150">
        <f t="shared" si="4"/>
        <v>19567358532.9018</v>
      </c>
      <c r="S34" s="150">
        <f t="shared" si="5"/>
        <v>19175806701.0992</v>
      </c>
      <c r="T34" s="136">
        <v>25</v>
      </c>
      <c r="AG34" s="131">
        <v>0</v>
      </c>
    </row>
    <row r="35" ht="30" customHeight="1" spans="1:33">
      <c r="A35" s="136">
        <v>26</v>
      </c>
      <c r="B35" s="146" t="s">
        <v>113</v>
      </c>
      <c r="C35" s="151">
        <v>25</v>
      </c>
      <c r="D35" s="148">
        <v>13094567289.5623</v>
      </c>
      <c r="E35" s="148">
        <v>0</v>
      </c>
      <c r="F35" s="149">
        <f t="shared" si="0"/>
        <v>13094567289.5623</v>
      </c>
      <c r="G35" s="148">
        <v>1207822626.7</v>
      </c>
      <c r="H35" s="148">
        <v>658877997.95</v>
      </c>
      <c r="I35" s="148">
        <v>0</v>
      </c>
      <c r="J35" s="148">
        <f t="shared" si="1"/>
        <v>11227866664.9123</v>
      </c>
      <c r="K35" s="148">
        <v>2030402779.018</v>
      </c>
      <c r="L35" s="148">
        <v>418845324.976087</v>
      </c>
      <c r="M35" s="148">
        <f t="shared" ref="M35:M37" si="9">L35/2</f>
        <v>209422662.488043</v>
      </c>
      <c r="N35" s="148">
        <f t="shared" si="2"/>
        <v>209422662.488043</v>
      </c>
      <c r="O35" s="148">
        <v>8336910850.722</v>
      </c>
      <c r="P35" s="148">
        <v>0</v>
      </c>
      <c r="Q35" s="148">
        <f t="shared" si="3"/>
        <v>8336910850.722</v>
      </c>
      <c r="R35" s="150">
        <f t="shared" si="4"/>
        <v>23880726244.2784</v>
      </c>
      <c r="S35" s="150">
        <f t="shared" si="5"/>
        <v>21804602957.1403</v>
      </c>
      <c r="T35" s="136">
        <v>26</v>
      </c>
      <c r="AG35" s="131">
        <v>0</v>
      </c>
    </row>
    <row r="36" ht="30" customHeight="1" spans="1:33">
      <c r="A36" s="136">
        <v>27</v>
      </c>
      <c r="B36" s="146" t="s">
        <v>114</v>
      </c>
      <c r="C36" s="151">
        <v>20</v>
      </c>
      <c r="D36" s="148">
        <v>10270360406.0932</v>
      </c>
      <c r="E36" s="148">
        <v>0</v>
      </c>
      <c r="F36" s="149">
        <f t="shared" si="0"/>
        <v>10270360406.0932</v>
      </c>
      <c r="G36" s="148">
        <v>1852468620.3</v>
      </c>
      <c r="H36" s="148">
        <v>500000000</v>
      </c>
      <c r="I36" s="148">
        <f>3076250580.13-G36-H36</f>
        <v>723781959.83</v>
      </c>
      <c r="J36" s="148">
        <f t="shared" si="1"/>
        <v>7194109825.9632</v>
      </c>
      <c r="K36" s="148">
        <v>1592490064.6904</v>
      </c>
      <c r="L36" s="148">
        <v>328509705.344826</v>
      </c>
      <c r="M36" s="148">
        <v>0</v>
      </c>
      <c r="N36" s="148">
        <f t="shared" si="2"/>
        <v>328509705.344826</v>
      </c>
      <c r="O36" s="148">
        <v>8130022459.054</v>
      </c>
      <c r="P36" s="148">
        <v>0</v>
      </c>
      <c r="Q36" s="148">
        <f t="shared" si="3"/>
        <v>8130022459.054</v>
      </c>
      <c r="R36" s="150">
        <f t="shared" si="4"/>
        <v>20321382635.1824</v>
      </c>
      <c r="S36" s="150">
        <f t="shared" si="5"/>
        <v>17245132055.0524</v>
      </c>
      <c r="T36" s="136">
        <v>27</v>
      </c>
      <c r="AG36" s="131">
        <v>0</v>
      </c>
    </row>
    <row r="37" ht="30" customHeight="1" spans="1:33">
      <c r="A37" s="136">
        <v>28</v>
      </c>
      <c r="B37" s="146" t="s">
        <v>115</v>
      </c>
      <c r="C37" s="151">
        <v>18</v>
      </c>
      <c r="D37" s="148">
        <v>10290707140.2701</v>
      </c>
      <c r="E37" s="148">
        <v>4496318337.9445</v>
      </c>
      <c r="F37" s="149">
        <f t="shared" si="0"/>
        <v>14787025478.2146</v>
      </c>
      <c r="G37" s="148">
        <v>319123103.31</v>
      </c>
      <c r="H37" s="148">
        <v>644248762.92</v>
      </c>
      <c r="I37" s="148">
        <f>1050241973.49-G37-H37</f>
        <v>86870107.2600001</v>
      </c>
      <c r="J37" s="148">
        <f t="shared" si="1"/>
        <v>13736783504.7246</v>
      </c>
      <c r="K37" s="148">
        <v>1595644965.8569</v>
      </c>
      <c r="L37" s="148">
        <v>329160519.861988</v>
      </c>
      <c r="M37" s="148">
        <f t="shared" si="9"/>
        <v>164580259.930994</v>
      </c>
      <c r="N37" s="148">
        <f t="shared" si="2"/>
        <v>164580259.930994</v>
      </c>
      <c r="O37" s="148">
        <v>9210033372.8287</v>
      </c>
      <c r="P37" s="148">
        <v>0</v>
      </c>
      <c r="Q37" s="148">
        <f t="shared" si="3"/>
        <v>9210033372.8287</v>
      </c>
      <c r="R37" s="150">
        <f t="shared" si="4"/>
        <v>25921864336.7622</v>
      </c>
      <c r="S37" s="150">
        <f t="shared" si="5"/>
        <v>24707042103.3412</v>
      </c>
      <c r="T37" s="136">
        <v>28</v>
      </c>
      <c r="AG37" s="131">
        <v>0</v>
      </c>
    </row>
    <row r="38" ht="30" customHeight="1" spans="1:33">
      <c r="A38" s="136">
        <v>29</v>
      </c>
      <c r="B38" s="146" t="s">
        <v>116</v>
      </c>
      <c r="C38" s="151">
        <v>30</v>
      </c>
      <c r="D38" s="148">
        <v>10082084285.6412</v>
      </c>
      <c r="E38" s="148">
        <v>0</v>
      </c>
      <c r="F38" s="149">
        <f t="shared" si="0"/>
        <v>10082084285.6412</v>
      </c>
      <c r="G38" s="148">
        <v>756764825.7</v>
      </c>
      <c r="H38" s="148">
        <v>0</v>
      </c>
      <c r="I38" s="148">
        <v>1142270944.01</v>
      </c>
      <c r="J38" s="148">
        <f t="shared" si="1"/>
        <v>8183048515.9312</v>
      </c>
      <c r="K38" s="148">
        <v>1563296556.4411</v>
      </c>
      <c r="L38" s="148">
        <v>322487469.473057</v>
      </c>
      <c r="M38" s="148">
        <v>0</v>
      </c>
      <c r="N38" s="148">
        <f t="shared" si="2"/>
        <v>322487469.473057</v>
      </c>
      <c r="O38" s="148">
        <v>7865223169.7397</v>
      </c>
      <c r="P38" s="148">
        <v>0</v>
      </c>
      <c r="Q38" s="148">
        <f t="shared" si="3"/>
        <v>7865223169.7397</v>
      </c>
      <c r="R38" s="150">
        <f t="shared" si="4"/>
        <v>19833091481.2951</v>
      </c>
      <c r="S38" s="150">
        <f t="shared" si="5"/>
        <v>17934055711.5851</v>
      </c>
      <c r="T38" s="136">
        <v>29</v>
      </c>
      <c r="AG38" s="131">
        <v>0</v>
      </c>
    </row>
    <row r="39" ht="30" customHeight="1" spans="1:33">
      <c r="A39" s="136">
        <v>30</v>
      </c>
      <c r="B39" s="146" t="s">
        <v>117</v>
      </c>
      <c r="C39" s="151">
        <v>33</v>
      </c>
      <c r="D39" s="148">
        <v>12398982742.5504</v>
      </c>
      <c r="E39" s="148">
        <v>0</v>
      </c>
      <c r="F39" s="149">
        <f t="shared" si="0"/>
        <v>12398982742.5504</v>
      </c>
      <c r="G39" s="148">
        <v>1412349618.81</v>
      </c>
      <c r="H39" s="148">
        <v>0</v>
      </c>
      <c r="I39" s="148">
        <v>1228448655.33</v>
      </c>
      <c r="J39" s="148">
        <f t="shared" si="1"/>
        <v>9758184468.4104</v>
      </c>
      <c r="K39" s="148">
        <v>1922547607.7806</v>
      </c>
      <c r="L39" s="148">
        <v>396596225.086118</v>
      </c>
      <c r="M39" s="148">
        <v>0</v>
      </c>
      <c r="N39" s="148">
        <f t="shared" si="2"/>
        <v>396596225.086118</v>
      </c>
      <c r="O39" s="148">
        <v>17317441442.5535</v>
      </c>
      <c r="P39" s="148">
        <v>0</v>
      </c>
      <c r="Q39" s="148">
        <f t="shared" si="3"/>
        <v>17317441442.5535</v>
      </c>
      <c r="R39" s="150">
        <f t="shared" si="4"/>
        <v>32035568017.9706</v>
      </c>
      <c r="S39" s="150">
        <f t="shared" si="5"/>
        <v>29394769743.8306</v>
      </c>
      <c r="T39" s="136">
        <v>30</v>
      </c>
      <c r="AG39" s="131">
        <v>0</v>
      </c>
    </row>
    <row r="40" ht="30" customHeight="1" spans="1:33">
      <c r="A40" s="136">
        <v>31</v>
      </c>
      <c r="B40" s="146" t="s">
        <v>118</v>
      </c>
      <c r="C40" s="151">
        <v>17</v>
      </c>
      <c r="D40" s="148">
        <v>11543861527.9967</v>
      </c>
      <c r="E40" s="148">
        <v>0</v>
      </c>
      <c r="F40" s="149">
        <f t="shared" si="0"/>
        <v>11543861527.9967</v>
      </c>
      <c r="G40" s="148">
        <v>690122272.12</v>
      </c>
      <c r="H40" s="148">
        <v>630535139.41</v>
      </c>
      <c r="I40" s="148">
        <f>1960164169.2-G40-H40</f>
        <v>639506757.67</v>
      </c>
      <c r="J40" s="148">
        <f t="shared" si="1"/>
        <v>9583697358.7967</v>
      </c>
      <c r="K40" s="148">
        <v>1789955178.2613</v>
      </c>
      <c r="L40" s="148">
        <v>369244154.942578</v>
      </c>
      <c r="M40" s="148">
        <f t="shared" ref="M40:M41" si="10">L40/2</f>
        <v>184622077.471289</v>
      </c>
      <c r="N40" s="148">
        <f t="shared" si="2"/>
        <v>184622077.471289</v>
      </c>
      <c r="O40" s="148">
        <v>8637944366.2541</v>
      </c>
      <c r="P40" s="148">
        <v>0</v>
      </c>
      <c r="Q40" s="148">
        <f t="shared" si="3"/>
        <v>8637944366.2541</v>
      </c>
      <c r="R40" s="150">
        <f t="shared" si="4"/>
        <v>22341005227.4547</v>
      </c>
      <c r="S40" s="150">
        <f t="shared" si="5"/>
        <v>20196218980.7834</v>
      </c>
      <c r="T40" s="136">
        <v>31</v>
      </c>
      <c r="AG40" s="131">
        <v>0</v>
      </c>
    </row>
    <row r="41" ht="30" customHeight="1" spans="1:33">
      <c r="A41" s="136">
        <v>32</v>
      </c>
      <c r="B41" s="146" t="s">
        <v>119</v>
      </c>
      <c r="C41" s="151">
        <v>23</v>
      </c>
      <c r="D41" s="148">
        <v>11922077410.9636</v>
      </c>
      <c r="E41" s="148">
        <v>32876932337.0274</v>
      </c>
      <c r="F41" s="149">
        <f t="shared" si="0"/>
        <v>44799009747.991</v>
      </c>
      <c r="G41" s="148">
        <v>1478178567.9</v>
      </c>
      <c r="H41" s="148">
        <v>0</v>
      </c>
      <c r="I41" s="148">
        <v>1488272552</v>
      </c>
      <c r="J41" s="148">
        <f t="shared" si="1"/>
        <v>41832558628.091</v>
      </c>
      <c r="K41" s="148">
        <v>1848600153.9114</v>
      </c>
      <c r="L41" s="148">
        <v>381341840.258115</v>
      </c>
      <c r="M41" s="148">
        <f t="shared" si="10"/>
        <v>190670920.129057</v>
      </c>
      <c r="N41" s="148">
        <f t="shared" si="2"/>
        <v>190670920.129057</v>
      </c>
      <c r="O41" s="148">
        <v>26958269117.3507</v>
      </c>
      <c r="P41" s="148">
        <v>0</v>
      </c>
      <c r="Q41" s="148">
        <f t="shared" si="3"/>
        <v>26958269117.3507</v>
      </c>
      <c r="R41" s="150">
        <f t="shared" si="4"/>
        <v>73987220859.5112</v>
      </c>
      <c r="S41" s="150">
        <f t="shared" si="5"/>
        <v>70830098819.4821</v>
      </c>
      <c r="T41" s="136">
        <v>32</v>
      </c>
      <c r="AG41" s="131">
        <v>0</v>
      </c>
    </row>
    <row r="42" ht="30" customHeight="1" spans="1:33">
      <c r="A42" s="136">
        <v>33</v>
      </c>
      <c r="B42" s="146" t="s">
        <v>120</v>
      </c>
      <c r="C42" s="151">
        <v>23</v>
      </c>
      <c r="D42" s="148">
        <v>12183280795.4081</v>
      </c>
      <c r="E42" s="148">
        <v>0</v>
      </c>
      <c r="F42" s="149">
        <f t="shared" si="0"/>
        <v>12183280795.4081</v>
      </c>
      <c r="G42" s="148">
        <v>536506322.14</v>
      </c>
      <c r="H42" s="148">
        <v>206017834</v>
      </c>
      <c r="I42" s="148">
        <v>818965730.71</v>
      </c>
      <c r="J42" s="148">
        <f t="shared" si="1"/>
        <v>10621790908.5581</v>
      </c>
      <c r="K42" s="148">
        <v>1889101536.3502</v>
      </c>
      <c r="L42" s="148">
        <v>389696741.494824</v>
      </c>
      <c r="M42" s="148">
        <v>0</v>
      </c>
      <c r="N42" s="148">
        <f t="shared" si="2"/>
        <v>389696741.494824</v>
      </c>
      <c r="O42" s="148">
        <v>8340441589.5663</v>
      </c>
      <c r="P42" s="148">
        <v>0</v>
      </c>
      <c r="Q42" s="148">
        <f t="shared" si="3"/>
        <v>8340441589.5663</v>
      </c>
      <c r="R42" s="150">
        <f t="shared" si="4"/>
        <v>22802520662.8194</v>
      </c>
      <c r="S42" s="150">
        <f t="shared" si="5"/>
        <v>21241030775.9694</v>
      </c>
      <c r="T42" s="136">
        <v>33</v>
      </c>
      <c r="AG42" s="131">
        <v>0</v>
      </c>
    </row>
    <row r="43" ht="30" customHeight="1" spans="1:33">
      <c r="A43" s="136">
        <v>34</v>
      </c>
      <c r="B43" s="146" t="s">
        <v>121</v>
      </c>
      <c r="C43" s="151">
        <v>16</v>
      </c>
      <c r="D43" s="148">
        <v>10648696443.8099</v>
      </c>
      <c r="E43" s="148">
        <v>0</v>
      </c>
      <c r="F43" s="149">
        <f t="shared" si="0"/>
        <v>10648696443.8099</v>
      </c>
      <c r="G43" s="148">
        <v>210019696.06</v>
      </c>
      <c r="H43" s="148">
        <v>0</v>
      </c>
      <c r="I43" s="148">
        <v>150436484.33</v>
      </c>
      <c r="J43" s="148">
        <f t="shared" si="1"/>
        <v>10288240263.4199</v>
      </c>
      <c r="K43" s="148">
        <v>1651153671.1614</v>
      </c>
      <c r="L43" s="148">
        <v>340611233.953067</v>
      </c>
      <c r="M43" s="148">
        <f>L43/2</f>
        <v>170305616.976534</v>
      </c>
      <c r="N43" s="148">
        <f t="shared" si="2"/>
        <v>170305616.976534</v>
      </c>
      <c r="O43" s="148">
        <v>7781771076.2939</v>
      </c>
      <c r="P43" s="148">
        <v>0</v>
      </c>
      <c r="Q43" s="148">
        <f t="shared" si="3"/>
        <v>7781771076.2939</v>
      </c>
      <c r="R43" s="150">
        <f t="shared" si="4"/>
        <v>20422232425.2183</v>
      </c>
      <c r="S43" s="150">
        <f t="shared" si="5"/>
        <v>19891470627.8517</v>
      </c>
      <c r="T43" s="136">
        <v>34</v>
      </c>
      <c r="AG43" s="131">
        <v>0</v>
      </c>
    </row>
    <row r="44" ht="30" customHeight="1" spans="1:33">
      <c r="A44" s="136">
        <v>35</v>
      </c>
      <c r="B44" s="146" t="s">
        <v>122</v>
      </c>
      <c r="C44" s="151">
        <v>17</v>
      </c>
      <c r="D44" s="148">
        <v>10977439065.8454</v>
      </c>
      <c r="E44" s="148">
        <v>0</v>
      </c>
      <c r="F44" s="149">
        <f t="shared" si="0"/>
        <v>10977439065.8454</v>
      </c>
      <c r="G44" s="148">
        <v>254301847.36</v>
      </c>
      <c r="H44" s="148">
        <v>0</v>
      </c>
      <c r="I44" s="148">
        <v>659714874.41</v>
      </c>
      <c r="J44" s="148">
        <f t="shared" si="1"/>
        <v>10063422344.0754</v>
      </c>
      <c r="K44" s="148">
        <v>1702127477.2142</v>
      </c>
      <c r="L44" s="148">
        <v>351126458.115451</v>
      </c>
      <c r="M44" s="148">
        <v>0</v>
      </c>
      <c r="N44" s="148">
        <f t="shared" si="2"/>
        <v>351126458.115451</v>
      </c>
      <c r="O44" s="148">
        <v>7298597019.612</v>
      </c>
      <c r="P44" s="148">
        <v>0</v>
      </c>
      <c r="Q44" s="148">
        <f t="shared" si="3"/>
        <v>7298597019.612</v>
      </c>
      <c r="R44" s="150">
        <f t="shared" si="4"/>
        <v>20329290020.7871</v>
      </c>
      <c r="S44" s="150">
        <f t="shared" si="5"/>
        <v>19415273299.0171</v>
      </c>
      <c r="T44" s="136">
        <v>35</v>
      </c>
      <c r="AG44" s="131">
        <v>0</v>
      </c>
    </row>
    <row r="45" ht="30" customHeight="1" spans="1:33">
      <c r="A45" s="136">
        <v>36</v>
      </c>
      <c r="B45" s="146" t="s">
        <v>123</v>
      </c>
      <c r="C45" s="151">
        <v>14</v>
      </c>
      <c r="D45" s="148">
        <v>11000817805.7023</v>
      </c>
      <c r="E45" s="148">
        <v>0</v>
      </c>
      <c r="F45" s="149">
        <f t="shared" si="0"/>
        <v>11000817805.7023</v>
      </c>
      <c r="G45" s="148">
        <v>207943588.86</v>
      </c>
      <c r="H45" s="148">
        <v>422213140</v>
      </c>
      <c r="I45" s="148">
        <v>356684792.66</v>
      </c>
      <c r="J45" s="148">
        <f t="shared" si="1"/>
        <v>10013976284.1823</v>
      </c>
      <c r="K45" s="148">
        <v>1705752511.7285</v>
      </c>
      <c r="L45" s="148">
        <v>351874254.944225</v>
      </c>
      <c r="M45" s="148">
        <v>0</v>
      </c>
      <c r="N45" s="148">
        <f t="shared" si="2"/>
        <v>351874254.944225</v>
      </c>
      <c r="O45" s="148">
        <v>7941318057.2389</v>
      </c>
      <c r="P45" s="148">
        <v>0</v>
      </c>
      <c r="Q45" s="148">
        <f t="shared" si="3"/>
        <v>7941318057.2389</v>
      </c>
      <c r="R45" s="150">
        <f t="shared" si="4"/>
        <v>20999762629.6139</v>
      </c>
      <c r="S45" s="150">
        <f t="shared" si="5"/>
        <v>20012921108.0939</v>
      </c>
      <c r="T45" s="136">
        <v>36</v>
      </c>
      <c r="AG45" s="131">
        <v>0</v>
      </c>
    </row>
    <row r="46" ht="30" customHeight="1" spans="1:33">
      <c r="A46" s="136"/>
      <c r="B46" s="2" t="s">
        <v>26</v>
      </c>
      <c r="C46" s="2"/>
      <c r="D46" s="152">
        <f>SUM(D10:D45)</f>
        <v>419200999238.786</v>
      </c>
      <c r="E46" s="152">
        <f>SUM(E10:E45)</f>
        <v>197609813861.738</v>
      </c>
      <c r="F46" s="152">
        <f>SUM(F10:F45)</f>
        <v>616810813100.524</v>
      </c>
      <c r="G46" s="152">
        <f t="shared" ref="G46:S46" si="11">SUM(G10:G45)</f>
        <v>41999801054.15</v>
      </c>
      <c r="H46" s="152">
        <f t="shared" si="11"/>
        <v>9819083491.26</v>
      </c>
      <c r="I46" s="152">
        <f t="shared" si="11"/>
        <v>18251944649.2379</v>
      </c>
      <c r="J46" s="152">
        <f t="shared" si="11"/>
        <v>546739983905.876</v>
      </c>
      <c r="K46" s="152">
        <f t="shared" si="11"/>
        <v>64999999999.9998</v>
      </c>
      <c r="L46" s="152">
        <f t="shared" si="11"/>
        <v>13408643055.8438</v>
      </c>
      <c r="M46" s="152">
        <f t="shared" si="11"/>
        <v>3424746230.16306</v>
      </c>
      <c r="N46" s="152">
        <f t="shared" si="11"/>
        <v>9983896825.68074</v>
      </c>
      <c r="O46" s="152">
        <f t="shared" si="11"/>
        <v>397865492014.321</v>
      </c>
      <c r="P46" s="152">
        <f t="shared" si="11"/>
        <v>9886025186.97</v>
      </c>
      <c r="Q46" s="152">
        <f t="shared" si="11"/>
        <v>387979466827.351</v>
      </c>
      <c r="R46" s="152">
        <f t="shared" si="11"/>
        <v>1093084948170.69</v>
      </c>
      <c r="S46" s="152">
        <f t="shared" si="11"/>
        <v>1009703347558.91</v>
      </c>
      <c r="T46" s="152"/>
    </row>
    <row r="47" spans="1:33">
      <c r="B47" s="153"/>
      <c r="C47" s="132"/>
      <c r="D47" s="127"/>
      <c r="E47" s="154">
        <v>0</v>
      </c>
      <c r="F47" s="132"/>
      <c r="G47" s="127"/>
      <c r="H47" s="127"/>
      <c r="I47" s="127"/>
      <c r="J47" s="155"/>
      <c r="K47" s="156"/>
      <c r="L47" s="154"/>
      <c r="M47" s="154"/>
      <c r="N47" s="154"/>
      <c r="O47" s="154"/>
      <c r="P47" s="154"/>
      <c r="Q47" s="154"/>
      <c r="R47" s="131"/>
    </row>
    <row r="48" spans="1:33">
      <c r="B48" s="132"/>
      <c r="C48" s="132"/>
      <c r="D48" s="132"/>
      <c r="E48" s="132"/>
      <c r="F48" s="127"/>
      <c r="G48" s="127"/>
      <c r="H48" s="132"/>
      <c r="I48" s="127"/>
      <c r="J48" s="127"/>
      <c r="K48" s="127"/>
      <c r="L48" s="157"/>
      <c r="M48" s="157"/>
      <c r="N48" s="157"/>
      <c r="O48" s="158"/>
      <c r="P48" s="153"/>
      <c r="Q48" s="157"/>
      <c r="S48" s="107"/>
    </row>
    <row r="49" spans="1:19">
      <c r="G49" s="107"/>
      <c r="H49" s="19"/>
      <c r="I49" s="131"/>
      <c r="J49" s="107"/>
      <c r="K49" s="107"/>
      <c r="O49" s="19"/>
      <c r="Q49" s="107"/>
      <c r="R49" s="107"/>
      <c r="S49" s="131"/>
    </row>
    <row r="50" spans="1:19">
      <c r="C50" s="159"/>
      <c r="D50" s="19"/>
      <c r="E50" s="131"/>
      <c r="G50" s="107"/>
      <c r="H50" s="107"/>
      <c r="I50" s="131"/>
      <c r="J50" s="19"/>
      <c r="K50" s="19"/>
      <c r="L50" s="19"/>
      <c r="M50" s="131"/>
      <c r="N50" s="19"/>
      <c r="P50" s="131"/>
      <c r="R50" s="107"/>
      <c r="S50" s="107"/>
    </row>
    <row r="51" spans="1:19">
      <c r="C51" s="159"/>
      <c r="D51" s="19"/>
      <c r="H51" s="107"/>
      <c r="J51" s="131"/>
      <c r="K51" s="131"/>
      <c r="N51" s="107"/>
      <c r="O51" s="131"/>
      <c r="S51" s="107"/>
    </row>
    <row r="52" spans="1:19">
      <c r="D52" s="107"/>
      <c r="H52" s="107"/>
      <c r="N52" s="107"/>
      <c r="Q52" s="107"/>
    </row>
    <row r="53" spans="1:19">
      <c r="H53" s="131"/>
      <c r="R53" s="107"/>
    </row>
    <row r="54" ht="20.25" spans="1:19">
      <c r="A54" s="160" t="s">
        <v>58</v>
      </c>
    </row>
  </sheetData>
  <mergeCells count="24">
    <mergeCell ref="A1:T1"/>
    <mergeCell ref="A2:T2"/>
    <mergeCell ref="A3:T3"/>
    <mergeCell ref="A4:S4"/>
    <mergeCell ref="D5:S5"/>
    <mergeCell ref="G7:I7"/>
    <mergeCell ref="B46:C46"/>
    <mergeCell ref="A7:A8"/>
    <mergeCell ref="B7:B8"/>
    <mergeCell ref="C7:C8"/>
    <mergeCell ref="D7:D8"/>
    <mergeCell ref="E7:E8"/>
    <mergeCell ref="F7:F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</mergeCells>
  <pageMargins left="0.109722222222222" right="0.109722222222222" top="0.357638888888889" bottom="0.357638888888889" header="0.298611111111111" footer="0.298611111111111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24"/>
  <sheetViews>
    <sheetView zoomScale="93" zoomScaleNormal="93" topLeftCell="A5" workbookViewId="0">
      <pane xSplit="4" ySplit="2" topLeftCell="T7" activePane="bottomRight" state="frozen"/>
      <selection/>
      <selection pane="topRight"/>
      <selection pane="bottomLeft"/>
      <selection pane="bottomRight" activeCell="Y18" sqref="Y18"/>
    </sheetView>
  </sheetViews>
  <sheetFormatPr defaultColWidth="9.14285714285714" defaultRowHeight="12.75"/>
  <cols>
    <col min="1" max="1" width="9.28571428571429" style="1" customWidth="1"/>
    <col min="2" max="2" width="13.8571428571429" style="73" customWidth="1"/>
    <col min="3" max="3" width="9" style="1" customWidth="1"/>
    <col min="4" max="4" width="20.7142857142857" style="1" customWidth="1"/>
    <col min="5" max="10" width="19.8571428571429" style="1" customWidth="1"/>
    <col min="11" max="11" width="18.4285714285714" style="1" customWidth="1"/>
    <col min="12" max="12" width="19.7142857142857" style="1" customWidth="1"/>
    <col min="13" max="13" width="0.714285714285714" style="1" customWidth="1"/>
    <col min="14" max="14" width="4.71428571428571" style="1" customWidth="1"/>
    <col min="15" max="15" width="9.42857142857143" style="1" customWidth="1"/>
    <col min="16" max="16" width="26" style="73" customWidth="1"/>
    <col min="17" max="17" width="22.7142857142857" style="1" customWidth="1"/>
    <col min="18" max="19" width="21.4285714285714" style="1" customWidth="1"/>
    <col min="20" max="20" width="21.8571428571429" style="1" customWidth="1"/>
    <col min="21" max="23" width="18.5714285714286" style="1" customWidth="1"/>
    <col min="24" max="24" width="22.1428571428571" style="1" customWidth="1"/>
    <col min="25" max="25" width="20.7142857142857" style="1" customWidth="1"/>
    <col min="26" max="26" width="14.5714285714286" style="1" customWidth="1"/>
    <col min="27" max="16384" width="9.14285714285714" style="1"/>
  </cols>
  <sheetData>
    <row r="1" ht="25.5" spans="1:25">
      <c r="A1" s="74" t="s">
        <v>124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</row>
    <row r="2" ht="25.5" spans="1:25">
      <c r="A2" s="74" t="s">
        <v>64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ht="45" customHeight="1" spans="1:25">
      <c r="A3" s="75" t="s">
        <v>125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 spans="1:25">
      <c r="M4" s="1">
        <v>0</v>
      </c>
    </row>
    <row r="5" ht="76.15" customHeight="1" spans="1:25">
      <c r="A5" s="76" t="s">
        <v>21</v>
      </c>
      <c r="B5" s="77" t="s">
        <v>126</v>
      </c>
      <c r="C5" s="77" t="s">
        <v>21</v>
      </c>
      <c r="D5" s="77" t="s">
        <v>127</v>
      </c>
      <c r="E5" s="77" t="s">
        <v>51</v>
      </c>
      <c r="F5" s="77" t="s">
        <v>128</v>
      </c>
      <c r="G5" s="77" t="s">
        <v>24</v>
      </c>
      <c r="H5" s="77" t="s">
        <v>77</v>
      </c>
      <c r="I5" s="77" t="s">
        <v>129</v>
      </c>
      <c r="J5" s="77" t="s">
        <v>79</v>
      </c>
      <c r="K5" s="77" t="s">
        <v>52</v>
      </c>
      <c r="L5" s="78" t="s">
        <v>130</v>
      </c>
      <c r="M5" s="79"/>
      <c r="N5" s="80"/>
      <c r="O5" s="77" t="s">
        <v>21</v>
      </c>
      <c r="P5" s="81" t="s">
        <v>131</v>
      </c>
      <c r="Q5" s="77" t="s">
        <v>127</v>
      </c>
      <c r="R5" s="77" t="s">
        <v>51</v>
      </c>
      <c r="S5" s="77" t="s">
        <v>128</v>
      </c>
      <c r="T5" s="77" t="s">
        <v>24</v>
      </c>
      <c r="U5" s="77" t="s">
        <v>77</v>
      </c>
      <c r="V5" s="77" t="s">
        <v>129</v>
      </c>
      <c r="W5" s="77" t="s">
        <v>79</v>
      </c>
      <c r="X5" s="77" t="s">
        <v>52</v>
      </c>
      <c r="Y5" s="77" t="s">
        <v>130</v>
      </c>
    </row>
    <row r="6" ht="15.75" spans="1:25">
      <c r="A6" s="80"/>
      <c r="B6" s="82"/>
      <c r="C6" s="80"/>
      <c r="D6" s="78"/>
      <c r="E6" s="200" t="s">
        <v>27</v>
      </c>
      <c r="F6" s="200" t="s">
        <v>27</v>
      </c>
      <c r="G6" s="200" t="s">
        <v>27</v>
      </c>
      <c r="H6" s="200" t="s">
        <v>27</v>
      </c>
      <c r="I6" s="200" t="s">
        <v>27</v>
      </c>
      <c r="J6" s="200" t="s">
        <v>27</v>
      </c>
      <c r="K6" s="200" t="s">
        <v>27</v>
      </c>
      <c r="L6" s="200" t="s">
        <v>27</v>
      </c>
      <c r="M6" s="79"/>
      <c r="N6" s="80"/>
      <c r="O6" s="78"/>
      <c r="P6" s="83"/>
      <c r="Q6" s="78"/>
      <c r="R6" s="200" t="s">
        <v>27</v>
      </c>
      <c r="S6" s="200" t="s">
        <v>27</v>
      </c>
      <c r="T6" s="200" t="s">
        <v>27</v>
      </c>
      <c r="U6" s="200" t="s">
        <v>27</v>
      </c>
      <c r="V6" s="200" t="s">
        <v>27</v>
      </c>
      <c r="W6" s="200" t="s">
        <v>27</v>
      </c>
      <c r="X6" s="200" t="s">
        <v>27</v>
      </c>
      <c r="Y6" s="200" t="s">
        <v>27</v>
      </c>
    </row>
    <row r="7" ht="24.95" customHeight="1" spans="1:25">
      <c r="A7" s="83">
        <v>1</v>
      </c>
      <c r="B7" s="84" t="s">
        <v>88</v>
      </c>
      <c r="C7" s="80">
        <v>1</v>
      </c>
      <c r="D7" s="85" t="s">
        <v>132</v>
      </c>
      <c r="E7" s="85">
        <v>342892077.04</v>
      </c>
      <c r="F7" s="85">
        <v>0</v>
      </c>
      <c r="G7" s="85">
        <v>53167776.43</v>
      </c>
      <c r="H7" s="85">
        <v>11881795.6043</v>
      </c>
      <c r="I7" s="85">
        <v>11881795.6043</v>
      </c>
      <c r="J7" s="85">
        <f t="shared" ref="J7:J23" si="0">H7-I7</f>
        <v>0</v>
      </c>
      <c r="K7" s="85">
        <v>212665621.84</v>
      </c>
      <c r="L7" s="86">
        <f>E7+F7+G7+J7+K7</f>
        <v>608725475.31</v>
      </c>
      <c r="M7" s="79"/>
      <c r="N7" s="83">
        <v>19</v>
      </c>
      <c r="O7" s="87">
        <v>26</v>
      </c>
      <c r="P7" s="88" t="s">
        <v>106</v>
      </c>
      <c r="Q7" s="85" t="s">
        <v>133</v>
      </c>
      <c r="R7" s="85">
        <v>362996683.43</v>
      </c>
      <c r="S7" s="89">
        <v>0</v>
      </c>
      <c r="T7" s="85">
        <v>56285134.02</v>
      </c>
      <c r="U7" s="85">
        <v>12578454.5235</v>
      </c>
      <c r="V7" s="85">
        <v>0</v>
      </c>
      <c r="W7" s="85">
        <f t="shared" ref="W7:W25" si="1">U7-V7</f>
        <v>12578454.5235</v>
      </c>
      <c r="X7" s="85">
        <v>238974098.05</v>
      </c>
      <c r="Y7" s="86">
        <f>R7+S7+T7+W7+X7</f>
        <v>670834370.0235</v>
      </c>
    </row>
    <row r="8" ht="24.95" customHeight="1" spans="1:25">
      <c r="A8" s="83"/>
      <c r="B8" s="90"/>
      <c r="C8" s="80">
        <v>2</v>
      </c>
      <c r="D8" s="85" t="s">
        <v>134</v>
      </c>
      <c r="E8" s="85">
        <v>572070761.72</v>
      </c>
      <c r="F8" s="85">
        <v>0</v>
      </c>
      <c r="G8" s="85">
        <v>88703508.77</v>
      </c>
      <c r="H8" s="85">
        <v>19823228.1145</v>
      </c>
      <c r="I8" s="85">
        <v>19823228.1145</v>
      </c>
      <c r="J8" s="85">
        <f t="shared" si="0"/>
        <v>0</v>
      </c>
      <c r="K8" s="85">
        <v>329857064.63</v>
      </c>
      <c r="L8" s="86">
        <f t="shared" ref="L8:L71" si="2">E8+F8+G8+J8+K8</f>
        <v>990631335.12</v>
      </c>
      <c r="M8" s="79"/>
      <c r="N8" s="83"/>
      <c r="O8" s="87">
        <v>27</v>
      </c>
      <c r="P8" s="91"/>
      <c r="Q8" s="85" t="s">
        <v>135</v>
      </c>
      <c r="R8" s="85">
        <v>355494884.23</v>
      </c>
      <c r="S8" s="89">
        <v>0</v>
      </c>
      <c r="T8" s="85">
        <v>55121928.42</v>
      </c>
      <c r="U8" s="85">
        <v>12318504.3795</v>
      </c>
      <c r="V8" s="85">
        <v>0</v>
      </c>
      <c r="W8" s="85">
        <f t="shared" si="1"/>
        <v>12318504.3795</v>
      </c>
      <c r="X8" s="85">
        <v>251414325.84</v>
      </c>
      <c r="Y8" s="86">
        <f t="shared" ref="Y8:Y25" si="3">R8+S8+T8+W8+X8</f>
        <v>674349642.8695</v>
      </c>
    </row>
    <row r="9" ht="24.95" customHeight="1" spans="1:25">
      <c r="A9" s="83"/>
      <c r="B9" s="90"/>
      <c r="C9" s="80">
        <v>3</v>
      </c>
      <c r="D9" s="85" t="s">
        <v>136</v>
      </c>
      <c r="E9" s="85">
        <v>402514765.78</v>
      </c>
      <c r="F9" s="85">
        <v>0</v>
      </c>
      <c r="G9" s="85">
        <v>62412684.66</v>
      </c>
      <c r="H9" s="85">
        <v>13947823.5132</v>
      </c>
      <c r="I9" s="85">
        <v>13947823.5132</v>
      </c>
      <c r="J9" s="85">
        <f t="shared" si="0"/>
        <v>0</v>
      </c>
      <c r="K9" s="85">
        <v>235898394.56</v>
      </c>
      <c r="L9" s="86">
        <f t="shared" si="2"/>
        <v>700825845</v>
      </c>
      <c r="M9" s="79"/>
      <c r="N9" s="83"/>
      <c r="O9" s="87">
        <v>28</v>
      </c>
      <c r="P9" s="91"/>
      <c r="Q9" s="85" t="s">
        <v>137</v>
      </c>
      <c r="R9" s="85">
        <v>355816686.19</v>
      </c>
      <c r="S9" s="89">
        <v>0</v>
      </c>
      <c r="T9" s="85">
        <v>55171826.03</v>
      </c>
      <c r="U9" s="85">
        <v>12329655.3667</v>
      </c>
      <c r="V9" s="85">
        <v>0</v>
      </c>
      <c r="W9" s="85">
        <f t="shared" si="1"/>
        <v>12329655.3667</v>
      </c>
      <c r="X9" s="85">
        <v>248459016.98</v>
      </c>
      <c r="Y9" s="86">
        <f t="shared" si="3"/>
        <v>671777184.5667</v>
      </c>
    </row>
    <row r="10" ht="24.95" customHeight="1" spans="1:25">
      <c r="A10" s="83"/>
      <c r="B10" s="90"/>
      <c r="C10" s="80">
        <v>4</v>
      </c>
      <c r="D10" s="85" t="s">
        <v>138</v>
      </c>
      <c r="E10" s="85">
        <v>410118951.62</v>
      </c>
      <c r="F10" s="85">
        <v>0</v>
      </c>
      <c r="G10" s="85">
        <v>63591766.01</v>
      </c>
      <c r="H10" s="85">
        <v>14211321.5289</v>
      </c>
      <c r="I10" s="85">
        <v>14211321.5289</v>
      </c>
      <c r="J10" s="85">
        <f t="shared" si="0"/>
        <v>0</v>
      </c>
      <c r="K10" s="85">
        <v>244012714</v>
      </c>
      <c r="L10" s="86">
        <f t="shared" si="2"/>
        <v>717723431.63</v>
      </c>
      <c r="M10" s="79"/>
      <c r="N10" s="83"/>
      <c r="O10" s="87">
        <v>29</v>
      </c>
      <c r="P10" s="91"/>
      <c r="Q10" s="85" t="s">
        <v>139</v>
      </c>
      <c r="R10" s="85">
        <v>421701821.39</v>
      </c>
      <c r="S10" s="89">
        <v>0</v>
      </c>
      <c r="T10" s="85">
        <v>65387769.69</v>
      </c>
      <c r="U10" s="85">
        <v>14612687.7322</v>
      </c>
      <c r="V10" s="85">
        <v>0</v>
      </c>
      <c r="W10" s="85">
        <f t="shared" si="1"/>
        <v>14612687.7322</v>
      </c>
      <c r="X10" s="85">
        <v>280233217.57</v>
      </c>
      <c r="Y10" s="86">
        <f t="shared" si="3"/>
        <v>781935496.3822</v>
      </c>
    </row>
    <row r="11" ht="24.95" customHeight="1" spans="1:25">
      <c r="A11" s="83"/>
      <c r="B11" s="90"/>
      <c r="C11" s="80">
        <v>5</v>
      </c>
      <c r="D11" s="85" t="s">
        <v>140</v>
      </c>
      <c r="E11" s="85">
        <v>373288568.21</v>
      </c>
      <c r="F11" s="85">
        <v>0</v>
      </c>
      <c r="G11" s="85">
        <v>57880961.59</v>
      </c>
      <c r="H11" s="85">
        <v>12935085.8939</v>
      </c>
      <c r="I11" s="85">
        <v>12935085.8939</v>
      </c>
      <c r="J11" s="85">
        <f t="shared" si="0"/>
        <v>0</v>
      </c>
      <c r="K11" s="85">
        <v>223965659.02</v>
      </c>
      <c r="L11" s="86">
        <f t="shared" si="2"/>
        <v>655135188.82</v>
      </c>
      <c r="M11" s="79"/>
      <c r="N11" s="83"/>
      <c r="O11" s="87">
        <v>30</v>
      </c>
      <c r="P11" s="91"/>
      <c r="Q11" s="85" t="s">
        <v>141</v>
      </c>
      <c r="R11" s="85">
        <v>425000785.33</v>
      </c>
      <c r="S11" s="89">
        <v>0</v>
      </c>
      <c r="T11" s="85">
        <v>65899296.75</v>
      </c>
      <c r="U11" s="85">
        <v>14727002.4625</v>
      </c>
      <c r="V11" s="85">
        <v>0</v>
      </c>
      <c r="W11" s="85">
        <f t="shared" si="1"/>
        <v>14727002.4625</v>
      </c>
      <c r="X11" s="85">
        <v>277045647.67</v>
      </c>
      <c r="Y11" s="86">
        <f t="shared" si="3"/>
        <v>782672732.2125</v>
      </c>
    </row>
    <row r="12" ht="24.95" customHeight="1" spans="1:25">
      <c r="A12" s="83"/>
      <c r="B12" s="90"/>
      <c r="C12" s="80">
        <v>6</v>
      </c>
      <c r="D12" s="85" t="s">
        <v>142</v>
      </c>
      <c r="E12" s="85">
        <v>385510603.46</v>
      </c>
      <c r="F12" s="85">
        <v>0</v>
      </c>
      <c r="G12" s="85">
        <v>59776072.27</v>
      </c>
      <c r="H12" s="85">
        <v>13358600.2717</v>
      </c>
      <c r="I12" s="85">
        <v>13358600.2717</v>
      </c>
      <c r="J12" s="85">
        <f t="shared" si="0"/>
        <v>0</v>
      </c>
      <c r="K12" s="85">
        <v>229796633.79</v>
      </c>
      <c r="L12" s="86">
        <f t="shared" si="2"/>
        <v>675083309.52</v>
      </c>
      <c r="M12" s="79"/>
      <c r="N12" s="83"/>
      <c r="O12" s="87">
        <v>31</v>
      </c>
      <c r="P12" s="91"/>
      <c r="Q12" s="85" t="s">
        <v>112</v>
      </c>
      <c r="R12" s="85">
        <v>734815094.74</v>
      </c>
      <c r="S12" s="89">
        <v>0</v>
      </c>
      <c r="T12" s="85">
        <v>113938137.66</v>
      </c>
      <c r="U12" s="85">
        <v>25462596.9721</v>
      </c>
      <c r="V12" s="85">
        <v>0</v>
      </c>
      <c r="W12" s="85">
        <f t="shared" si="1"/>
        <v>25462596.9721</v>
      </c>
      <c r="X12" s="85">
        <v>418874912.87</v>
      </c>
      <c r="Y12" s="86">
        <f t="shared" si="3"/>
        <v>1293090742.2421</v>
      </c>
    </row>
    <row r="13" ht="24.95" customHeight="1" spans="1:25">
      <c r="A13" s="83"/>
      <c r="B13" s="90"/>
      <c r="C13" s="80">
        <v>7</v>
      </c>
      <c r="D13" s="85" t="s">
        <v>143</v>
      </c>
      <c r="E13" s="85">
        <v>374048542.61</v>
      </c>
      <c r="F13" s="85">
        <v>0</v>
      </c>
      <c r="G13" s="85">
        <v>57998800.85</v>
      </c>
      <c r="H13" s="85">
        <v>12961420.3038</v>
      </c>
      <c r="I13" s="85">
        <v>12961420.3038</v>
      </c>
      <c r="J13" s="85">
        <f t="shared" si="0"/>
        <v>0</v>
      </c>
      <c r="K13" s="85">
        <v>222768792.28</v>
      </c>
      <c r="L13" s="86">
        <f t="shared" si="2"/>
        <v>654816135.74</v>
      </c>
      <c r="M13" s="79"/>
      <c r="N13" s="83"/>
      <c r="O13" s="87">
        <v>32</v>
      </c>
      <c r="P13" s="91"/>
      <c r="Q13" s="85" t="s">
        <v>144</v>
      </c>
      <c r="R13" s="85">
        <v>368052656.1</v>
      </c>
      <c r="S13" s="89">
        <v>0</v>
      </c>
      <c r="T13" s="85">
        <v>57069097.38</v>
      </c>
      <c r="U13" s="85">
        <v>12753652.6042</v>
      </c>
      <c r="V13" s="85">
        <v>0</v>
      </c>
      <c r="W13" s="85">
        <f t="shared" si="1"/>
        <v>12753652.6042</v>
      </c>
      <c r="X13" s="85">
        <v>251724748.1</v>
      </c>
      <c r="Y13" s="86">
        <f t="shared" si="3"/>
        <v>689600154.1842</v>
      </c>
    </row>
    <row r="14" ht="24.95" customHeight="1" spans="1:25">
      <c r="A14" s="83"/>
      <c r="B14" s="90"/>
      <c r="C14" s="80">
        <v>8</v>
      </c>
      <c r="D14" s="85" t="s">
        <v>145</v>
      </c>
      <c r="E14" s="85">
        <v>364720653.18</v>
      </c>
      <c r="F14" s="85">
        <v>0</v>
      </c>
      <c r="G14" s="85">
        <v>56552447.39</v>
      </c>
      <c r="H14" s="85">
        <v>12638193.0172</v>
      </c>
      <c r="I14" s="85">
        <v>12638193.0172</v>
      </c>
      <c r="J14" s="85">
        <f t="shared" si="0"/>
        <v>0</v>
      </c>
      <c r="K14" s="85">
        <v>215241608.03</v>
      </c>
      <c r="L14" s="86">
        <f t="shared" si="2"/>
        <v>636514708.6</v>
      </c>
      <c r="M14" s="79"/>
      <c r="N14" s="83"/>
      <c r="O14" s="87">
        <v>33</v>
      </c>
      <c r="P14" s="91"/>
      <c r="Q14" s="85" t="s">
        <v>146</v>
      </c>
      <c r="R14" s="85">
        <v>364251057.96</v>
      </c>
      <c r="S14" s="89">
        <v>0</v>
      </c>
      <c r="T14" s="85">
        <v>56479633.42</v>
      </c>
      <c r="U14" s="85">
        <v>12621920.7414</v>
      </c>
      <c r="V14" s="85">
        <v>0</v>
      </c>
      <c r="W14" s="85">
        <f t="shared" si="1"/>
        <v>12621920.7414</v>
      </c>
      <c r="X14" s="85">
        <v>236667045.71</v>
      </c>
      <c r="Y14" s="86">
        <f t="shared" si="3"/>
        <v>670019657.8314</v>
      </c>
    </row>
    <row r="15" ht="24.95" customHeight="1" spans="1:25">
      <c r="A15" s="83"/>
      <c r="B15" s="90"/>
      <c r="C15" s="80">
        <v>9</v>
      </c>
      <c r="D15" s="85" t="s">
        <v>147</v>
      </c>
      <c r="E15" s="85">
        <v>393481646.59</v>
      </c>
      <c r="F15" s="85">
        <v>0</v>
      </c>
      <c r="G15" s="85">
        <v>61012037.36</v>
      </c>
      <c r="H15" s="85">
        <v>13634810.5186</v>
      </c>
      <c r="I15" s="85">
        <v>13634810.5186</v>
      </c>
      <c r="J15" s="85">
        <f t="shared" si="0"/>
        <v>0</v>
      </c>
      <c r="K15" s="85">
        <v>233572820.61</v>
      </c>
      <c r="L15" s="86">
        <f t="shared" si="2"/>
        <v>688066504.56</v>
      </c>
      <c r="M15" s="79"/>
      <c r="N15" s="83"/>
      <c r="O15" s="87">
        <v>34</v>
      </c>
      <c r="P15" s="91"/>
      <c r="Q15" s="85" t="s">
        <v>148</v>
      </c>
      <c r="R15" s="85">
        <v>436017741.74</v>
      </c>
      <c r="S15" s="89">
        <v>0</v>
      </c>
      <c r="T15" s="85">
        <v>67607551.66</v>
      </c>
      <c r="U15" s="85">
        <v>15108758.8021</v>
      </c>
      <c r="V15" s="85">
        <v>0</v>
      </c>
      <c r="W15" s="85">
        <f t="shared" si="1"/>
        <v>15108758.8021</v>
      </c>
      <c r="X15" s="85">
        <v>282212437.33</v>
      </c>
      <c r="Y15" s="86">
        <f t="shared" si="3"/>
        <v>800946489.5321</v>
      </c>
    </row>
    <row r="16" ht="24.95" customHeight="1" spans="1:25">
      <c r="A16" s="83"/>
      <c r="B16" s="90"/>
      <c r="C16" s="80">
        <v>10</v>
      </c>
      <c r="D16" s="85" t="s">
        <v>149</v>
      </c>
      <c r="E16" s="85">
        <v>399304253.62</v>
      </c>
      <c r="F16" s="85">
        <v>0</v>
      </c>
      <c r="G16" s="85">
        <v>61914872.66</v>
      </c>
      <c r="H16" s="85">
        <v>13836573.7884</v>
      </c>
      <c r="I16" s="85">
        <v>13836573.7884</v>
      </c>
      <c r="J16" s="85">
        <f t="shared" si="0"/>
        <v>0</v>
      </c>
      <c r="K16" s="85">
        <v>240059460.54</v>
      </c>
      <c r="L16" s="86">
        <f t="shared" si="2"/>
        <v>701278586.82</v>
      </c>
      <c r="M16" s="79"/>
      <c r="N16" s="83"/>
      <c r="O16" s="87">
        <v>35</v>
      </c>
      <c r="P16" s="91"/>
      <c r="Q16" s="85" t="s">
        <v>150</v>
      </c>
      <c r="R16" s="85">
        <v>359756662.9</v>
      </c>
      <c r="S16" s="89">
        <v>0</v>
      </c>
      <c r="T16" s="85">
        <v>55782746.54</v>
      </c>
      <c r="U16" s="85">
        <v>12466182.2832</v>
      </c>
      <c r="V16" s="85">
        <v>0</v>
      </c>
      <c r="W16" s="85">
        <f t="shared" si="1"/>
        <v>12466182.2832</v>
      </c>
      <c r="X16" s="85">
        <v>249934819.25</v>
      </c>
      <c r="Y16" s="86">
        <f t="shared" si="3"/>
        <v>677940410.9732</v>
      </c>
    </row>
    <row r="17" ht="24.95" customHeight="1" spans="1:25">
      <c r="A17" s="83"/>
      <c r="B17" s="90"/>
      <c r="C17" s="80">
        <v>11</v>
      </c>
      <c r="D17" s="85" t="s">
        <v>151</v>
      </c>
      <c r="E17" s="85">
        <v>436671141.12</v>
      </c>
      <c r="F17" s="85">
        <v>0</v>
      </c>
      <c r="G17" s="85">
        <v>67708865.73</v>
      </c>
      <c r="H17" s="85">
        <v>15131400.2055</v>
      </c>
      <c r="I17" s="85">
        <v>15131400.2055</v>
      </c>
      <c r="J17" s="85">
        <f t="shared" si="0"/>
        <v>0</v>
      </c>
      <c r="K17" s="85">
        <v>263657849.94</v>
      </c>
      <c r="L17" s="86">
        <f t="shared" si="2"/>
        <v>768037856.79</v>
      </c>
      <c r="M17" s="79"/>
      <c r="N17" s="83"/>
      <c r="O17" s="87">
        <v>36</v>
      </c>
      <c r="P17" s="91"/>
      <c r="Q17" s="85" t="s">
        <v>152</v>
      </c>
      <c r="R17" s="85">
        <v>455337822.08</v>
      </c>
      <c r="S17" s="89">
        <v>0</v>
      </c>
      <c r="T17" s="85">
        <v>70603263.09</v>
      </c>
      <c r="U17" s="85">
        <v>15778232.5551</v>
      </c>
      <c r="V17" s="85">
        <v>0</v>
      </c>
      <c r="W17" s="85">
        <f t="shared" si="1"/>
        <v>15778232.5551</v>
      </c>
      <c r="X17" s="85">
        <v>291813672</v>
      </c>
      <c r="Y17" s="86">
        <f t="shared" si="3"/>
        <v>833532989.7251</v>
      </c>
    </row>
    <row r="18" ht="24.95" customHeight="1" spans="1:25">
      <c r="A18" s="83"/>
      <c r="B18" s="90"/>
      <c r="C18" s="80">
        <v>12</v>
      </c>
      <c r="D18" s="85" t="s">
        <v>153</v>
      </c>
      <c r="E18" s="85">
        <v>420436682.52</v>
      </c>
      <c r="F18" s="85">
        <v>0</v>
      </c>
      <c r="G18" s="85">
        <v>65191601.2</v>
      </c>
      <c r="H18" s="85">
        <v>14568848.5115</v>
      </c>
      <c r="I18" s="85">
        <v>14568848.5115</v>
      </c>
      <c r="J18" s="85">
        <f t="shared" si="0"/>
        <v>0</v>
      </c>
      <c r="K18" s="85">
        <v>254207381.21</v>
      </c>
      <c r="L18" s="86">
        <f t="shared" si="2"/>
        <v>739835664.93</v>
      </c>
      <c r="M18" s="79"/>
      <c r="N18" s="83"/>
      <c r="O18" s="87">
        <v>37</v>
      </c>
      <c r="P18" s="91"/>
      <c r="Q18" s="85" t="s">
        <v>154</v>
      </c>
      <c r="R18" s="85">
        <v>399859603.96</v>
      </c>
      <c r="S18" s="89">
        <v>0</v>
      </c>
      <c r="T18" s="85">
        <v>62000983.55</v>
      </c>
      <c r="U18" s="85">
        <v>13855817.6254</v>
      </c>
      <c r="V18" s="85">
        <v>0</v>
      </c>
      <c r="W18" s="85">
        <f t="shared" si="1"/>
        <v>13855817.6254</v>
      </c>
      <c r="X18" s="85">
        <v>272952000.37</v>
      </c>
      <c r="Y18" s="86">
        <f t="shared" si="3"/>
        <v>748668405.5054</v>
      </c>
    </row>
    <row r="19" ht="24.95" customHeight="1" spans="1:25">
      <c r="A19" s="83"/>
      <c r="B19" s="90"/>
      <c r="C19" s="80">
        <v>13</v>
      </c>
      <c r="D19" s="85" t="s">
        <v>155</v>
      </c>
      <c r="E19" s="85">
        <v>321054724.61</v>
      </c>
      <c r="F19" s="85">
        <v>0</v>
      </c>
      <c r="G19" s="85">
        <v>49781744.65</v>
      </c>
      <c r="H19" s="85">
        <v>11125094.0776</v>
      </c>
      <c r="I19" s="85">
        <v>11125094.0776</v>
      </c>
      <c r="J19" s="85">
        <f t="shared" si="0"/>
        <v>0</v>
      </c>
      <c r="K19" s="85">
        <v>203452970.65</v>
      </c>
      <c r="L19" s="86">
        <f t="shared" si="2"/>
        <v>574289439.91</v>
      </c>
      <c r="M19" s="79"/>
      <c r="N19" s="83"/>
      <c r="O19" s="87">
        <v>38</v>
      </c>
      <c r="P19" s="91"/>
      <c r="Q19" s="85" t="s">
        <v>156</v>
      </c>
      <c r="R19" s="85">
        <v>415795461.63</v>
      </c>
      <c r="S19" s="89">
        <v>0</v>
      </c>
      <c r="T19" s="85">
        <v>64471947.96</v>
      </c>
      <c r="U19" s="85">
        <v>14408022.2876</v>
      </c>
      <c r="V19" s="85">
        <v>0</v>
      </c>
      <c r="W19" s="85">
        <f t="shared" si="1"/>
        <v>14408022.2876</v>
      </c>
      <c r="X19" s="85">
        <v>279850931.45</v>
      </c>
      <c r="Y19" s="86">
        <f t="shared" si="3"/>
        <v>774526363.3276</v>
      </c>
    </row>
    <row r="20" ht="24.95" customHeight="1" spans="1:25">
      <c r="A20" s="83"/>
      <c r="B20" s="90"/>
      <c r="C20" s="80">
        <v>14</v>
      </c>
      <c r="D20" s="85" t="s">
        <v>157</v>
      </c>
      <c r="E20" s="85">
        <v>303352861.77</v>
      </c>
      <c r="F20" s="85">
        <v>0</v>
      </c>
      <c r="G20" s="85">
        <v>47036948.98</v>
      </c>
      <c r="H20" s="85">
        <v>10511694.3226</v>
      </c>
      <c r="I20" s="85">
        <v>10511694.3226</v>
      </c>
      <c r="J20" s="85">
        <f t="shared" si="0"/>
        <v>0</v>
      </c>
      <c r="K20" s="85">
        <v>194654092.33</v>
      </c>
      <c r="L20" s="86">
        <f t="shared" si="2"/>
        <v>545043903.08</v>
      </c>
      <c r="M20" s="79"/>
      <c r="N20" s="83"/>
      <c r="O20" s="87">
        <v>39</v>
      </c>
      <c r="P20" s="91"/>
      <c r="Q20" s="85" t="s">
        <v>158</v>
      </c>
      <c r="R20" s="85">
        <v>327336441.43</v>
      </c>
      <c r="S20" s="89">
        <v>0</v>
      </c>
      <c r="T20" s="85">
        <v>50755768.07</v>
      </c>
      <c r="U20" s="85">
        <v>11342766.285</v>
      </c>
      <c r="V20" s="85">
        <v>0</v>
      </c>
      <c r="W20" s="85">
        <f t="shared" si="1"/>
        <v>11342766.285</v>
      </c>
      <c r="X20" s="85">
        <v>234053275.43</v>
      </c>
      <c r="Y20" s="86">
        <f t="shared" si="3"/>
        <v>623488251.215</v>
      </c>
    </row>
    <row r="21" ht="24.95" customHeight="1" spans="1:25">
      <c r="A21" s="83"/>
      <c r="B21" s="90"/>
      <c r="C21" s="80">
        <v>15</v>
      </c>
      <c r="D21" s="85" t="s">
        <v>159</v>
      </c>
      <c r="E21" s="85">
        <v>315879185.51</v>
      </c>
      <c r="F21" s="85">
        <v>0</v>
      </c>
      <c r="G21" s="85">
        <v>48979241.69</v>
      </c>
      <c r="H21" s="85">
        <v>10945752.8161</v>
      </c>
      <c r="I21" s="85">
        <v>10945752.8161</v>
      </c>
      <c r="J21" s="85">
        <f t="shared" si="0"/>
        <v>0</v>
      </c>
      <c r="K21" s="85">
        <v>205652227.19</v>
      </c>
      <c r="L21" s="86">
        <f t="shared" si="2"/>
        <v>570510654.39</v>
      </c>
      <c r="M21" s="79"/>
      <c r="N21" s="83"/>
      <c r="O21" s="87">
        <v>40</v>
      </c>
      <c r="P21" s="91"/>
      <c r="Q21" s="85" t="s">
        <v>160</v>
      </c>
      <c r="R21" s="85">
        <v>360900051.37</v>
      </c>
      <c r="S21" s="89">
        <v>0</v>
      </c>
      <c r="T21" s="85">
        <v>55960036.79</v>
      </c>
      <c r="U21" s="85">
        <v>12505802.6446</v>
      </c>
      <c r="V21" s="85">
        <v>0</v>
      </c>
      <c r="W21" s="85">
        <f t="shared" si="1"/>
        <v>12505802.6446</v>
      </c>
      <c r="X21" s="85">
        <v>256259209.83</v>
      </c>
      <c r="Y21" s="86">
        <f t="shared" si="3"/>
        <v>685625100.6346</v>
      </c>
    </row>
    <row r="22" ht="24.95" customHeight="1" spans="1:25">
      <c r="A22" s="83"/>
      <c r="B22" s="90"/>
      <c r="C22" s="80">
        <v>16</v>
      </c>
      <c r="D22" s="85" t="s">
        <v>161</v>
      </c>
      <c r="E22" s="85">
        <v>470874001.98</v>
      </c>
      <c r="F22" s="85">
        <v>0</v>
      </c>
      <c r="G22" s="85">
        <v>73012254.7</v>
      </c>
      <c r="H22" s="85">
        <v>16316587.7005</v>
      </c>
      <c r="I22" s="85">
        <v>16316587.7005</v>
      </c>
      <c r="J22" s="85">
        <f t="shared" si="0"/>
        <v>0</v>
      </c>
      <c r="K22" s="85">
        <v>254588185.61</v>
      </c>
      <c r="L22" s="86">
        <f t="shared" si="2"/>
        <v>798474442.29</v>
      </c>
      <c r="M22" s="79"/>
      <c r="N22" s="83"/>
      <c r="O22" s="87">
        <v>41</v>
      </c>
      <c r="P22" s="91"/>
      <c r="Q22" s="85" t="s">
        <v>162</v>
      </c>
      <c r="R22" s="85">
        <v>445002580.39</v>
      </c>
      <c r="S22" s="89">
        <v>0</v>
      </c>
      <c r="T22" s="85">
        <v>69000712.73</v>
      </c>
      <c r="U22" s="85">
        <v>15420098.7935</v>
      </c>
      <c r="V22" s="85">
        <v>0</v>
      </c>
      <c r="W22" s="85">
        <f t="shared" si="1"/>
        <v>15420098.7935</v>
      </c>
      <c r="X22" s="85">
        <v>283694166.51</v>
      </c>
      <c r="Y22" s="86">
        <f t="shared" si="3"/>
        <v>813117558.4235</v>
      </c>
    </row>
    <row r="23" ht="24.95" customHeight="1" spans="1:25">
      <c r="A23" s="83"/>
      <c r="B23" s="92"/>
      <c r="C23" s="80">
        <v>17</v>
      </c>
      <c r="D23" s="85" t="s">
        <v>163</v>
      </c>
      <c r="E23" s="85">
        <v>406862760.24</v>
      </c>
      <c r="F23" s="85">
        <v>0</v>
      </c>
      <c r="G23" s="85">
        <v>63086871.13</v>
      </c>
      <c r="H23" s="85">
        <v>14098488.941</v>
      </c>
      <c r="I23" s="85">
        <v>14098488.941</v>
      </c>
      <c r="J23" s="85">
        <f t="shared" si="0"/>
        <v>0</v>
      </c>
      <c r="K23" s="85">
        <v>224179398.47</v>
      </c>
      <c r="L23" s="86">
        <f t="shared" si="2"/>
        <v>694129029.84</v>
      </c>
      <c r="M23" s="79"/>
      <c r="N23" s="83"/>
      <c r="O23" s="87">
        <v>42</v>
      </c>
      <c r="P23" s="91"/>
      <c r="Q23" s="85" t="s">
        <v>164</v>
      </c>
      <c r="R23" s="85">
        <v>520284417.92</v>
      </c>
      <c r="S23" s="89">
        <v>0</v>
      </c>
      <c r="T23" s="85">
        <v>80673679.75</v>
      </c>
      <c r="U23" s="85">
        <v>18028742.9301</v>
      </c>
      <c r="V23" s="85">
        <v>0</v>
      </c>
      <c r="W23" s="85">
        <f t="shared" si="1"/>
        <v>18028742.9301</v>
      </c>
      <c r="X23" s="85">
        <v>334782336.57</v>
      </c>
      <c r="Y23" s="86">
        <f t="shared" si="3"/>
        <v>953769177.1701</v>
      </c>
    </row>
    <row r="24" ht="24.95" customHeight="1" spans="1:25">
      <c r="A24" s="80"/>
      <c r="B24" s="93" t="s">
        <v>165</v>
      </c>
      <c r="C24" s="94"/>
      <c r="D24" s="95"/>
      <c r="E24" s="95">
        <f t="shared" ref="E24:L24" si="4">SUM(E7:E23)</f>
        <v>6693082181.58</v>
      </c>
      <c r="F24" s="85">
        <v>0</v>
      </c>
      <c r="G24" s="95">
        <f t="shared" si="4"/>
        <v>1037808456.07</v>
      </c>
      <c r="H24" s="95">
        <f t="shared" si="4"/>
        <v>231926719.1293</v>
      </c>
      <c r="I24" s="95">
        <f t="shared" si="4"/>
        <v>231926719.1293</v>
      </c>
      <c r="J24" s="95">
        <f t="shared" si="4"/>
        <v>0</v>
      </c>
      <c r="K24" s="95">
        <f t="shared" si="4"/>
        <v>3988230874.7</v>
      </c>
      <c r="L24" s="95">
        <f t="shared" si="4"/>
        <v>11719121512.35</v>
      </c>
      <c r="M24" s="79"/>
      <c r="N24" s="83"/>
      <c r="O24" s="87">
        <v>43</v>
      </c>
      <c r="P24" s="91"/>
      <c r="Q24" s="85" t="s">
        <v>166</v>
      </c>
      <c r="R24" s="85">
        <v>339538636.94</v>
      </c>
      <c r="S24" s="89">
        <v>0</v>
      </c>
      <c r="T24" s="85">
        <v>52647802.47</v>
      </c>
      <c r="U24" s="85">
        <v>11765593.1822</v>
      </c>
      <c r="V24" s="85">
        <v>0</v>
      </c>
      <c r="W24" s="85">
        <f t="shared" si="1"/>
        <v>11765593.1822</v>
      </c>
      <c r="X24" s="85">
        <v>245556309.51</v>
      </c>
      <c r="Y24" s="86">
        <f t="shared" si="3"/>
        <v>649508342.1022</v>
      </c>
    </row>
    <row r="25" ht="24.95" customHeight="1" spans="1:25">
      <c r="A25" s="83">
        <v>2</v>
      </c>
      <c r="B25" s="84" t="s">
        <v>167</v>
      </c>
      <c r="C25" s="80">
        <v>1</v>
      </c>
      <c r="D25" s="85" t="s">
        <v>168</v>
      </c>
      <c r="E25" s="85">
        <v>417251036.78</v>
      </c>
      <c r="F25" s="85">
        <v>0</v>
      </c>
      <c r="G25" s="85">
        <v>64697644.9</v>
      </c>
      <c r="H25" s="85">
        <v>14458460.4505</v>
      </c>
      <c r="I25" s="85">
        <v>0</v>
      </c>
      <c r="J25" s="85">
        <f t="shared" ref="J25:J45" si="5">H25-I25</f>
        <v>14458460.4505</v>
      </c>
      <c r="K25" s="85">
        <v>318497724.58</v>
      </c>
      <c r="L25" s="86">
        <f t="shared" si="2"/>
        <v>814904866.7105</v>
      </c>
      <c r="M25" s="79"/>
      <c r="N25" s="83"/>
      <c r="O25" s="87">
        <v>44</v>
      </c>
      <c r="P25" s="96"/>
      <c r="Q25" s="85" t="s">
        <v>169</v>
      </c>
      <c r="R25" s="85">
        <v>399250172.03</v>
      </c>
      <c r="S25" s="89">
        <v>0</v>
      </c>
      <c r="T25" s="85">
        <v>61906486.93</v>
      </c>
      <c r="U25" s="85">
        <v>13834699.7688</v>
      </c>
      <c r="V25" s="85">
        <v>0</v>
      </c>
      <c r="W25" s="85">
        <f t="shared" si="1"/>
        <v>13834699.7688</v>
      </c>
      <c r="X25" s="85">
        <v>266449431.85</v>
      </c>
      <c r="Y25" s="86">
        <f t="shared" si="3"/>
        <v>741440790.5788</v>
      </c>
    </row>
    <row r="26" ht="24.95" customHeight="1" spans="1:25">
      <c r="A26" s="83"/>
      <c r="B26" s="90"/>
      <c r="C26" s="80">
        <v>2</v>
      </c>
      <c r="D26" s="85" t="s">
        <v>170</v>
      </c>
      <c r="E26" s="85">
        <v>509733639.57</v>
      </c>
      <c r="F26" s="85">
        <v>0</v>
      </c>
      <c r="G26" s="85">
        <v>79037708.96</v>
      </c>
      <c r="H26" s="85">
        <v>17663140.4558</v>
      </c>
      <c r="I26" s="85">
        <v>0</v>
      </c>
      <c r="J26" s="85">
        <f t="shared" si="5"/>
        <v>17663140.4558</v>
      </c>
      <c r="K26" s="85">
        <v>328512732.13</v>
      </c>
      <c r="L26" s="86">
        <f t="shared" si="2"/>
        <v>934947221.1158</v>
      </c>
      <c r="M26" s="79"/>
      <c r="N26" s="97"/>
      <c r="O26" s="94" t="s">
        <v>171</v>
      </c>
      <c r="P26" s="98"/>
      <c r="Q26" s="95"/>
      <c r="R26" s="95">
        <f>7847209261.76+10581545477.42</f>
        <v>18428754739.18</v>
      </c>
      <c r="S26" s="95">
        <v>0</v>
      </c>
      <c r="T26" s="95">
        <f>1216763802.91+1640741451.69</f>
        <v>2857505254.6</v>
      </c>
      <c r="U26" s="95">
        <f>271919191.9397+366668607.87</f>
        <v>638587799.8097</v>
      </c>
      <c r="V26" s="95">
        <v>0</v>
      </c>
      <c r="W26" s="95">
        <f>U26</f>
        <v>638587799.8097</v>
      </c>
      <c r="X26" s="95">
        <f>5200951602.89+6980442861.98</f>
        <v>12181394464.87</v>
      </c>
      <c r="Y26" s="95">
        <f>14536843859.4997+19569398398.96</f>
        <v>34106242258.4597</v>
      </c>
    </row>
    <row r="27" ht="24.95" customHeight="1" spans="1:25">
      <c r="A27" s="83"/>
      <c r="B27" s="90"/>
      <c r="C27" s="80">
        <v>3</v>
      </c>
      <c r="D27" s="85" t="s">
        <v>172</v>
      </c>
      <c r="E27" s="85">
        <v>434038340.12</v>
      </c>
      <c r="F27" s="85">
        <v>0</v>
      </c>
      <c r="G27" s="85">
        <v>67300631.82</v>
      </c>
      <c r="H27" s="85">
        <v>15040169.1583</v>
      </c>
      <c r="I27" s="85">
        <v>0</v>
      </c>
      <c r="J27" s="85">
        <f t="shared" si="5"/>
        <v>15040169.1583</v>
      </c>
      <c r="K27" s="85">
        <v>312510056.96</v>
      </c>
      <c r="L27" s="86">
        <f t="shared" si="2"/>
        <v>828889198.0583</v>
      </c>
      <c r="M27" s="79"/>
      <c r="N27" s="84">
        <v>20</v>
      </c>
      <c r="O27" s="87">
        <v>1</v>
      </c>
      <c r="P27" s="84" t="s">
        <v>107</v>
      </c>
      <c r="Q27" s="85" t="s">
        <v>173</v>
      </c>
      <c r="R27" s="85">
        <v>405696598.97</v>
      </c>
      <c r="S27" s="89">
        <v>0</v>
      </c>
      <c r="T27" s="85">
        <v>62906049.8</v>
      </c>
      <c r="U27" s="85">
        <v>14058079.4629</v>
      </c>
      <c r="V27" s="85">
        <v>0</v>
      </c>
      <c r="W27" s="85">
        <f t="shared" ref="W27:W60" si="6">U27-V27</f>
        <v>14058079.4629</v>
      </c>
      <c r="X27" s="85">
        <v>245366331.65</v>
      </c>
      <c r="Y27" s="86">
        <f>R27+S27+T27+W27+X27</f>
        <v>728027059.8829</v>
      </c>
    </row>
    <row r="28" ht="24.95" customHeight="1" spans="1:25">
      <c r="A28" s="83"/>
      <c r="B28" s="90"/>
      <c r="C28" s="80">
        <v>4</v>
      </c>
      <c r="D28" s="85" t="s">
        <v>174</v>
      </c>
      <c r="E28" s="85">
        <v>380006820.65</v>
      </c>
      <c r="F28" s="85">
        <v>0</v>
      </c>
      <c r="G28" s="85">
        <v>58922672.86</v>
      </c>
      <c r="H28" s="85">
        <v>13167884.8055</v>
      </c>
      <c r="I28" s="85">
        <v>0</v>
      </c>
      <c r="J28" s="85">
        <f t="shared" si="5"/>
        <v>13167884.8055</v>
      </c>
      <c r="K28" s="85">
        <v>299881279.13</v>
      </c>
      <c r="L28" s="86">
        <f t="shared" si="2"/>
        <v>751978657.4455</v>
      </c>
      <c r="M28" s="79"/>
      <c r="N28" s="90"/>
      <c r="O28" s="87">
        <v>2</v>
      </c>
      <c r="P28" s="90"/>
      <c r="Q28" s="85" t="s">
        <v>175</v>
      </c>
      <c r="R28" s="85">
        <v>418046560.57</v>
      </c>
      <c r="S28" s="89">
        <v>0</v>
      </c>
      <c r="T28" s="85">
        <v>64820996.34</v>
      </c>
      <c r="U28" s="85">
        <v>14486026.7074</v>
      </c>
      <c r="V28" s="85">
        <v>0</v>
      </c>
      <c r="W28" s="85">
        <f t="shared" si="6"/>
        <v>14486026.7074</v>
      </c>
      <c r="X28" s="85">
        <v>258407030.19</v>
      </c>
      <c r="Y28" s="86">
        <f t="shared" ref="Y28:Y91" si="7">R28+S28+T28+W28+X28</f>
        <v>755760613.8074</v>
      </c>
    </row>
    <row r="29" ht="24.95" customHeight="1" spans="1:25">
      <c r="A29" s="83"/>
      <c r="B29" s="90"/>
      <c r="C29" s="80">
        <v>5</v>
      </c>
      <c r="D29" s="85" t="s">
        <v>176</v>
      </c>
      <c r="E29" s="85">
        <v>376030366.48</v>
      </c>
      <c r="F29" s="85">
        <v>0</v>
      </c>
      <c r="G29" s="85">
        <v>58306096.28</v>
      </c>
      <c r="H29" s="85">
        <v>13030093.8827</v>
      </c>
      <c r="I29" s="85">
        <v>0</v>
      </c>
      <c r="J29" s="85">
        <f t="shared" si="5"/>
        <v>13030093.8827</v>
      </c>
      <c r="K29" s="85">
        <v>305968963.48</v>
      </c>
      <c r="L29" s="86">
        <f t="shared" si="2"/>
        <v>753335520.1227</v>
      </c>
      <c r="M29" s="79"/>
      <c r="N29" s="90"/>
      <c r="O29" s="87">
        <v>3</v>
      </c>
      <c r="P29" s="90"/>
      <c r="Q29" s="85" t="s">
        <v>177</v>
      </c>
      <c r="R29" s="85">
        <v>454795163.96</v>
      </c>
      <c r="S29" s="89">
        <v>0</v>
      </c>
      <c r="T29" s="85">
        <v>70519120.21</v>
      </c>
      <c r="U29" s="85">
        <v>15759428.5252</v>
      </c>
      <c r="V29" s="85">
        <v>0</v>
      </c>
      <c r="W29" s="85">
        <f t="shared" si="6"/>
        <v>15759428.5252</v>
      </c>
      <c r="X29" s="85">
        <v>267446689.5</v>
      </c>
      <c r="Y29" s="86">
        <f t="shared" si="7"/>
        <v>808520402.1952</v>
      </c>
    </row>
    <row r="30" ht="24.95" customHeight="1" spans="1:25">
      <c r="A30" s="83"/>
      <c r="B30" s="90"/>
      <c r="C30" s="80">
        <v>6</v>
      </c>
      <c r="D30" s="85" t="s">
        <v>178</v>
      </c>
      <c r="E30" s="85">
        <v>402030648.07</v>
      </c>
      <c r="F30" s="85">
        <v>0</v>
      </c>
      <c r="G30" s="85">
        <v>62337618.88</v>
      </c>
      <c r="H30" s="85">
        <v>13931048.0085</v>
      </c>
      <c r="I30" s="85">
        <v>0</v>
      </c>
      <c r="J30" s="85">
        <f t="shared" si="5"/>
        <v>13931048.0085</v>
      </c>
      <c r="K30" s="85">
        <v>317584238.54</v>
      </c>
      <c r="L30" s="86">
        <f t="shared" si="2"/>
        <v>795883553.4985</v>
      </c>
      <c r="M30" s="79"/>
      <c r="N30" s="90"/>
      <c r="O30" s="87">
        <v>4</v>
      </c>
      <c r="P30" s="90"/>
      <c r="Q30" s="85" t="s">
        <v>179</v>
      </c>
      <c r="R30" s="85">
        <v>426415696.96</v>
      </c>
      <c r="S30" s="89">
        <v>0</v>
      </c>
      <c r="T30" s="85">
        <v>66118688.54</v>
      </c>
      <c r="U30" s="85">
        <v>14776031.5647</v>
      </c>
      <c r="V30" s="85">
        <v>0</v>
      </c>
      <c r="W30" s="85">
        <f t="shared" si="6"/>
        <v>14776031.5647</v>
      </c>
      <c r="X30" s="85">
        <v>263167085.19</v>
      </c>
      <c r="Y30" s="86">
        <f t="shared" si="7"/>
        <v>770477502.2547</v>
      </c>
    </row>
    <row r="31" ht="24.95" customHeight="1" spans="1:25">
      <c r="A31" s="83"/>
      <c r="B31" s="90"/>
      <c r="C31" s="80">
        <v>7</v>
      </c>
      <c r="D31" s="85" t="s">
        <v>180</v>
      </c>
      <c r="E31" s="85">
        <v>437907766.84</v>
      </c>
      <c r="F31" s="85">
        <v>0</v>
      </c>
      <c r="G31" s="85">
        <v>67900613.06</v>
      </c>
      <c r="H31" s="85">
        <v>15174251.3969</v>
      </c>
      <c r="I31" s="85">
        <v>0</v>
      </c>
      <c r="J31" s="85">
        <f t="shared" si="5"/>
        <v>15174251.3969</v>
      </c>
      <c r="K31" s="85">
        <v>314376665.3</v>
      </c>
      <c r="L31" s="86">
        <f t="shared" si="2"/>
        <v>835359296.5969</v>
      </c>
      <c r="M31" s="79"/>
      <c r="N31" s="90"/>
      <c r="O31" s="87">
        <v>5</v>
      </c>
      <c r="P31" s="90"/>
      <c r="Q31" s="85" t="s">
        <v>181</v>
      </c>
      <c r="R31" s="85">
        <v>398791719.16</v>
      </c>
      <c r="S31" s="89">
        <v>0</v>
      </c>
      <c r="T31" s="85">
        <v>61835400.66</v>
      </c>
      <c r="U31" s="85">
        <v>13818813.5948</v>
      </c>
      <c r="V31" s="85">
        <v>0</v>
      </c>
      <c r="W31" s="85">
        <f t="shared" si="6"/>
        <v>13818813.5948</v>
      </c>
      <c r="X31" s="85">
        <v>246472072.06</v>
      </c>
      <c r="Y31" s="86">
        <f t="shared" si="7"/>
        <v>720918005.4748</v>
      </c>
    </row>
    <row r="32" ht="24.95" customHeight="1" spans="1:25">
      <c r="A32" s="83"/>
      <c r="B32" s="90"/>
      <c r="C32" s="80">
        <v>8</v>
      </c>
      <c r="D32" s="85" t="s">
        <v>182</v>
      </c>
      <c r="E32" s="85">
        <v>458088054.08</v>
      </c>
      <c r="F32" s="85">
        <v>0</v>
      </c>
      <c r="G32" s="85">
        <v>71029705.49</v>
      </c>
      <c r="H32" s="85">
        <v>15873532.7868</v>
      </c>
      <c r="I32" s="85">
        <v>0</v>
      </c>
      <c r="J32" s="85">
        <f t="shared" si="5"/>
        <v>15873532.7868</v>
      </c>
      <c r="K32" s="85">
        <v>314134773.01</v>
      </c>
      <c r="L32" s="86">
        <f t="shared" si="2"/>
        <v>859126065.3668</v>
      </c>
      <c r="M32" s="79"/>
      <c r="N32" s="90"/>
      <c r="O32" s="87">
        <v>6</v>
      </c>
      <c r="P32" s="90"/>
      <c r="Q32" s="85" t="s">
        <v>183</v>
      </c>
      <c r="R32" s="85">
        <v>373023681.62</v>
      </c>
      <c r="S32" s="89">
        <v>0</v>
      </c>
      <c r="T32" s="85">
        <v>57839889.1</v>
      </c>
      <c r="U32" s="85">
        <v>12925907.1215</v>
      </c>
      <c r="V32" s="85">
        <v>0</v>
      </c>
      <c r="W32" s="85">
        <f t="shared" si="6"/>
        <v>12925907.1215</v>
      </c>
      <c r="X32" s="85">
        <v>241010788.72</v>
      </c>
      <c r="Y32" s="86">
        <f t="shared" si="7"/>
        <v>684800266.5615</v>
      </c>
    </row>
    <row r="33" ht="24.95" customHeight="1" spans="1:25">
      <c r="A33" s="83"/>
      <c r="B33" s="90"/>
      <c r="C33" s="80">
        <v>9</v>
      </c>
      <c r="D33" s="85" t="s">
        <v>184</v>
      </c>
      <c r="E33" s="85">
        <v>356611634.34</v>
      </c>
      <c r="F33" s="85">
        <v>0</v>
      </c>
      <c r="G33" s="85">
        <v>61756794.86</v>
      </c>
      <c r="H33" s="85">
        <v>13801246.9752</v>
      </c>
      <c r="I33" s="85">
        <v>0</v>
      </c>
      <c r="J33" s="85">
        <f t="shared" si="5"/>
        <v>13801246.9752</v>
      </c>
      <c r="K33" s="85">
        <v>293512807.11</v>
      </c>
      <c r="L33" s="86">
        <f t="shared" si="2"/>
        <v>725682483.2852</v>
      </c>
      <c r="M33" s="79"/>
      <c r="N33" s="90"/>
      <c r="O33" s="87">
        <v>7</v>
      </c>
      <c r="P33" s="90"/>
      <c r="Q33" s="85" t="s">
        <v>185</v>
      </c>
      <c r="R33" s="85">
        <v>400703440.69</v>
      </c>
      <c r="S33" s="89">
        <v>0</v>
      </c>
      <c r="T33" s="85">
        <v>58029172.01</v>
      </c>
      <c r="U33" s="85">
        <v>12968207.5717</v>
      </c>
      <c r="V33" s="85">
        <v>0</v>
      </c>
      <c r="W33" s="85">
        <f t="shared" si="6"/>
        <v>12968207.5717</v>
      </c>
      <c r="X33" s="85">
        <v>244020921.56</v>
      </c>
      <c r="Y33" s="86">
        <f t="shared" si="7"/>
        <v>715721741.8317</v>
      </c>
    </row>
    <row r="34" ht="24.95" customHeight="1" spans="1:25">
      <c r="A34" s="83"/>
      <c r="B34" s="90"/>
      <c r="C34" s="80">
        <v>10</v>
      </c>
      <c r="D34" s="85" t="s">
        <v>186</v>
      </c>
      <c r="E34" s="85">
        <v>362397158.63</v>
      </c>
      <c r="F34" s="85">
        <v>0</v>
      </c>
      <c r="G34" s="85">
        <v>55295088.21</v>
      </c>
      <c r="H34" s="85">
        <v>12357201.6765</v>
      </c>
      <c r="I34" s="85">
        <v>0</v>
      </c>
      <c r="J34" s="85">
        <f t="shared" si="5"/>
        <v>12357201.6765</v>
      </c>
      <c r="K34" s="85">
        <v>301671207.99</v>
      </c>
      <c r="L34" s="86">
        <f t="shared" si="2"/>
        <v>731720656.5065</v>
      </c>
      <c r="M34" s="79"/>
      <c r="N34" s="90"/>
      <c r="O34" s="87">
        <v>8</v>
      </c>
      <c r="P34" s="90"/>
      <c r="Q34" s="85" t="s">
        <v>187</v>
      </c>
      <c r="R34" s="85">
        <v>375840776.01</v>
      </c>
      <c r="S34" s="89">
        <v>0</v>
      </c>
      <c r="T34" s="85">
        <v>62131826.24</v>
      </c>
      <c r="U34" s="85">
        <v>13885058.0078</v>
      </c>
      <c r="V34" s="85">
        <v>0</v>
      </c>
      <c r="W34" s="85">
        <f t="shared" si="6"/>
        <v>13885058.0078</v>
      </c>
      <c r="X34" s="85">
        <v>236598940.08</v>
      </c>
      <c r="Y34" s="86">
        <f t="shared" si="7"/>
        <v>688456600.3378</v>
      </c>
    </row>
    <row r="35" ht="24.95" customHeight="1" spans="1:25">
      <c r="A35" s="83"/>
      <c r="B35" s="90"/>
      <c r="C35" s="80">
        <v>11</v>
      </c>
      <c r="D35" s="85" t="s">
        <v>188</v>
      </c>
      <c r="E35" s="85">
        <v>354810148.17</v>
      </c>
      <c r="F35" s="85">
        <v>0</v>
      </c>
      <c r="G35" s="85">
        <v>56192173.57</v>
      </c>
      <c r="H35" s="85">
        <v>12557679.966</v>
      </c>
      <c r="I35" s="85">
        <v>0</v>
      </c>
      <c r="J35" s="85">
        <f t="shared" si="5"/>
        <v>12557679.966</v>
      </c>
      <c r="K35" s="85">
        <v>292924560.62</v>
      </c>
      <c r="L35" s="86">
        <f t="shared" si="2"/>
        <v>716484562.326</v>
      </c>
      <c r="M35" s="79"/>
      <c r="N35" s="90"/>
      <c r="O35" s="87">
        <v>9</v>
      </c>
      <c r="P35" s="90"/>
      <c r="Q35" s="85" t="s">
        <v>189</v>
      </c>
      <c r="R35" s="85">
        <v>374244413.71</v>
      </c>
      <c r="S35" s="89">
        <v>0</v>
      </c>
      <c r="T35" s="85">
        <v>58276698.97</v>
      </c>
      <c r="U35" s="85">
        <v>13023524.2495</v>
      </c>
      <c r="V35" s="85">
        <v>0</v>
      </c>
      <c r="W35" s="85">
        <f t="shared" si="6"/>
        <v>13023524.2495</v>
      </c>
      <c r="X35" s="85">
        <v>232149307.34</v>
      </c>
      <c r="Y35" s="86">
        <f t="shared" si="7"/>
        <v>677693944.2695</v>
      </c>
    </row>
    <row r="36" ht="24.95" customHeight="1" spans="1:25">
      <c r="A36" s="83"/>
      <c r="B36" s="90"/>
      <c r="C36" s="80">
        <v>12</v>
      </c>
      <c r="D36" s="85" t="s">
        <v>190</v>
      </c>
      <c r="E36" s="85">
        <v>411409994.79</v>
      </c>
      <c r="F36" s="85">
        <v>0</v>
      </c>
      <c r="G36" s="85">
        <v>55015755.38</v>
      </c>
      <c r="H36" s="85">
        <v>12294777.1065</v>
      </c>
      <c r="I36" s="85">
        <v>0</v>
      </c>
      <c r="J36" s="85">
        <f t="shared" si="5"/>
        <v>12294777.1065</v>
      </c>
      <c r="K36" s="85">
        <v>308450859.86</v>
      </c>
      <c r="L36" s="86">
        <f t="shared" si="2"/>
        <v>787171387.1365</v>
      </c>
      <c r="M36" s="79"/>
      <c r="N36" s="90"/>
      <c r="O36" s="87">
        <v>10</v>
      </c>
      <c r="P36" s="90"/>
      <c r="Q36" s="85" t="s">
        <v>191</v>
      </c>
      <c r="R36" s="85">
        <v>453148799.3</v>
      </c>
      <c r="S36" s="89">
        <v>0</v>
      </c>
      <c r="T36" s="85">
        <v>70263840.04</v>
      </c>
      <c r="U36" s="85">
        <v>15702379.18</v>
      </c>
      <c r="V36" s="85">
        <v>0</v>
      </c>
      <c r="W36" s="85">
        <f t="shared" si="6"/>
        <v>15702379.18</v>
      </c>
      <c r="X36" s="85">
        <v>271426243.65</v>
      </c>
      <c r="Y36" s="86">
        <f t="shared" si="7"/>
        <v>810541262.17</v>
      </c>
    </row>
    <row r="37" ht="24.95" customHeight="1" spans="1:25">
      <c r="A37" s="83"/>
      <c r="B37" s="90"/>
      <c r="C37" s="80">
        <v>13</v>
      </c>
      <c r="D37" s="85" t="s">
        <v>192</v>
      </c>
      <c r="E37" s="85">
        <v>398837624.9</v>
      </c>
      <c r="F37" s="85">
        <v>0</v>
      </c>
      <c r="G37" s="85">
        <v>63791951.14</v>
      </c>
      <c r="H37" s="85">
        <v>14256058.3778</v>
      </c>
      <c r="I37" s="85">
        <v>0</v>
      </c>
      <c r="J37" s="85">
        <f t="shared" si="5"/>
        <v>14256058.3778</v>
      </c>
      <c r="K37" s="85">
        <v>309255809.24</v>
      </c>
      <c r="L37" s="86">
        <f t="shared" si="2"/>
        <v>786141443.6578</v>
      </c>
      <c r="M37" s="79"/>
      <c r="N37" s="90"/>
      <c r="O37" s="87">
        <v>11</v>
      </c>
      <c r="P37" s="90"/>
      <c r="Q37" s="85" t="s">
        <v>193</v>
      </c>
      <c r="R37" s="85">
        <v>373991455.93</v>
      </c>
      <c r="S37" s="89">
        <v>0</v>
      </c>
      <c r="T37" s="85">
        <v>57989949.16</v>
      </c>
      <c r="U37" s="85">
        <v>12959442.1529</v>
      </c>
      <c r="V37" s="85">
        <v>0</v>
      </c>
      <c r="W37" s="85">
        <f t="shared" si="6"/>
        <v>12959442.1529</v>
      </c>
      <c r="X37" s="85">
        <v>234494884.64</v>
      </c>
      <c r="Y37" s="86">
        <f t="shared" si="7"/>
        <v>679435731.8829</v>
      </c>
    </row>
    <row r="38" ht="24.95" customHeight="1" spans="1:25">
      <c r="A38" s="83"/>
      <c r="B38" s="90"/>
      <c r="C38" s="80">
        <v>14</v>
      </c>
      <c r="D38" s="85" t="s">
        <v>194</v>
      </c>
      <c r="E38" s="85">
        <v>380587058.13</v>
      </c>
      <c r="F38" s="85">
        <v>0</v>
      </c>
      <c r="G38" s="85">
        <v>61842518.66</v>
      </c>
      <c r="H38" s="85">
        <v>13820404.307</v>
      </c>
      <c r="I38" s="85">
        <v>0</v>
      </c>
      <c r="J38" s="85">
        <f t="shared" si="5"/>
        <v>13820404.307</v>
      </c>
      <c r="K38" s="85">
        <v>307688880.63</v>
      </c>
      <c r="L38" s="86">
        <f t="shared" si="2"/>
        <v>763938861.727</v>
      </c>
      <c r="M38" s="79"/>
      <c r="N38" s="90"/>
      <c r="O38" s="87">
        <v>12</v>
      </c>
      <c r="P38" s="90"/>
      <c r="Q38" s="85" t="s">
        <v>195</v>
      </c>
      <c r="R38" s="85">
        <v>415381813.99</v>
      </c>
      <c r="S38" s="89">
        <v>0</v>
      </c>
      <c r="T38" s="85">
        <v>64407809.04</v>
      </c>
      <c r="U38" s="85">
        <v>14393688.691</v>
      </c>
      <c r="V38" s="85">
        <v>0</v>
      </c>
      <c r="W38" s="85">
        <f t="shared" si="6"/>
        <v>14393688.691</v>
      </c>
      <c r="X38" s="85">
        <v>252886107.26</v>
      </c>
      <c r="Y38" s="86">
        <f t="shared" si="7"/>
        <v>747069418.981</v>
      </c>
    </row>
    <row r="39" ht="24.95" customHeight="1" spans="1:25">
      <c r="A39" s="83"/>
      <c r="B39" s="90"/>
      <c r="C39" s="80">
        <v>15</v>
      </c>
      <c r="D39" s="85" t="s">
        <v>196</v>
      </c>
      <c r="E39" s="85">
        <v>354564409.29</v>
      </c>
      <c r="F39" s="85">
        <v>0</v>
      </c>
      <c r="G39" s="85">
        <v>59012642.68</v>
      </c>
      <c r="H39" s="85">
        <v>13187991.0242</v>
      </c>
      <c r="I39" s="85">
        <v>0</v>
      </c>
      <c r="J39" s="85">
        <f t="shared" si="5"/>
        <v>13187991.0242</v>
      </c>
      <c r="K39" s="85">
        <v>299489361.76</v>
      </c>
      <c r="L39" s="86">
        <f t="shared" si="2"/>
        <v>726254404.7542</v>
      </c>
      <c r="M39" s="79"/>
      <c r="N39" s="90"/>
      <c r="O39" s="87">
        <v>13</v>
      </c>
      <c r="P39" s="90"/>
      <c r="Q39" s="85" t="s">
        <v>197</v>
      </c>
      <c r="R39" s="85">
        <v>452672008.84</v>
      </c>
      <c r="S39" s="89">
        <v>0</v>
      </c>
      <c r="T39" s="85">
        <v>70189910.4</v>
      </c>
      <c r="U39" s="85">
        <v>15685857.577</v>
      </c>
      <c r="V39" s="85">
        <v>0</v>
      </c>
      <c r="W39" s="85">
        <f t="shared" si="6"/>
        <v>15685857.577</v>
      </c>
      <c r="X39" s="85">
        <v>262652184.3</v>
      </c>
      <c r="Y39" s="86">
        <f t="shared" si="7"/>
        <v>801199961.117</v>
      </c>
    </row>
    <row r="40" ht="24.95" customHeight="1" spans="1:25">
      <c r="A40" s="83"/>
      <c r="B40" s="90"/>
      <c r="C40" s="80">
        <v>16</v>
      </c>
      <c r="D40" s="85" t="s">
        <v>198</v>
      </c>
      <c r="E40" s="85">
        <v>336962773.5</v>
      </c>
      <c r="F40" s="85">
        <v>0</v>
      </c>
      <c r="G40" s="85">
        <v>54977651.88</v>
      </c>
      <c r="H40" s="85">
        <v>12286261.8352</v>
      </c>
      <c r="I40" s="85">
        <v>0</v>
      </c>
      <c r="J40" s="85">
        <f t="shared" si="5"/>
        <v>12286261.8352</v>
      </c>
      <c r="K40" s="85">
        <v>285333662.02</v>
      </c>
      <c r="L40" s="86">
        <f t="shared" si="2"/>
        <v>689560349.2352</v>
      </c>
      <c r="M40" s="79"/>
      <c r="N40" s="90"/>
      <c r="O40" s="87">
        <v>14</v>
      </c>
      <c r="P40" s="90"/>
      <c r="Q40" s="85" t="s">
        <v>199</v>
      </c>
      <c r="R40" s="85">
        <v>451613568.3</v>
      </c>
      <c r="S40" s="89">
        <v>0</v>
      </c>
      <c r="T40" s="85">
        <v>70025791.91</v>
      </c>
      <c r="U40" s="85">
        <v>15649180.8062</v>
      </c>
      <c r="V40" s="85">
        <v>0</v>
      </c>
      <c r="W40" s="85">
        <f t="shared" si="6"/>
        <v>15649180.8062</v>
      </c>
      <c r="X40" s="85">
        <v>273593272.58</v>
      </c>
      <c r="Y40" s="86">
        <f t="shared" si="7"/>
        <v>810881813.5962</v>
      </c>
    </row>
    <row r="41" ht="24.95" customHeight="1" spans="1:25">
      <c r="A41" s="83"/>
      <c r="B41" s="90"/>
      <c r="C41" s="80">
        <v>17</v>
      </c>
      <c r="D41" s="85" t="s">
        <v>200</v>
      </c>
      <c r="E41" s="85">
        <v>381723349.27</v>
      </c>
      <c r="F41" s="85">
        <v>0</v>
      </c>
      <c r="G41" s="85">
        <v>52248397.11</v>
      </c>
      <c r="H41" s="85">
        <v>11676335.1183</v>
      </c>
      <c r="I41" s="85">
        <v>0</v>
      </c>
      <c r="J41" s="85">
        <f t="shared" si="5"/>
        <v>11676335.1183</v>
      </c>
      <c r="K41" s="85">
        <v>306946904.74</v>
      </c>
      <c r="L41" s="86">
        <f t="shared" si="2"/>
        <v>752594986.2383</v>
      </c>
      <c r="M41" s="79"/>
      <c r="N41" s="90"/>
      <c r="O41" s="87">
        <v>15</v>
      </c>
      <c r="P41" s="90"/>
      <c r="Q41" s="85" t="s">
        <v>201</v>
      </c>
      <c r="R41" s="85">
        <v>394373983.72</v>
      </c>
      <c r="S41" s="89">
        <v>0</v>
      </c>
      <c r="T41" s="85">
        <v>61150400.38</v>
      </c>
      <c r="U41" s="85">
        <v>13665731.5228</v>
      </c>
      <c r="V41" s="85">
        <v>0</v>
      </c>
      <c r="W41" s="85">
        <f t="shared" si="6"/>
        <v>13665731.5228</v>
      </c>
      <c r="X41" s="85">
        <v>252916482.7</v>
      </c>
      <c r="Y41" s="86">
        <f t="shared" si="7"/>
        <v>722106598.3228</v>
      </c>
    </row>
    <row r="42" ht="24.95" customHeight="1" spans="1:25">
      <c r="A42" s="83"/>
      <c r="B42" s="90"/>
      <c r="C42" s="80">
        <v>18</v>
      </c>
      <c r="D42" s="85" t="s">
        <v>202</v>
      </c>
      <c r="E42" s="85">
        <v>480482015.45</v>
      </c>
      <c r="F42" s="85">
        <v>0</v>
      </c>
      <c r="G42" s="85">
        <v>59188832.44</v>
      </c>
      <c r="H42" s="85">
        <v>13227365.4512</v>
      </c>
      <c r="I42" s="85">
        <v>0</v>
      </c>
      <c r="J42" s="85">
        <f t="shared" si="5"/>
        <v>13227365.4512</v>
      </c>
      <c r="K42" s="85">
        <v>323108124.94</v>
      </c>
      <c r="L42" s="86">
        <f t="shared" si="2"/>
        <v>876006338.2812</v>
      </c>
      <c r="M42" s="79"/>
      <c r="N42" s="90"/>
      <c r="O42" s="87">
        <v>16</v>
      </c>
      <c r="P42" s="90"/>
      <c r="Q42" s="85" t="s">
        <v>203</v>
      </c>
      <c r="R42" s="85">
        <v>444291989.88</v>
      </c>
      <c r="S42" s="89">
        <v>0</v>
      </c>
      <c r="T42" s="85">
        <v>68890530.78</v>
      </c>
      <c r="U42" s="85">
        <v>15395475.6198</v>
      </c>
      <c r="V42" s="85">
        <v>0</v>
      </c>
      <c r="W42" s="85">
        <f t="shared" si="6"/>
        <v>15395475.6198</v>
      </c>
      <c r="X42" s="85">
        <v>252914630.54</v>
      </c>
      <c r="Y42" s="86">
        <f t="shared" si="7"/>
        <v>781492626.8198</v>
      </c>
    </row>
    <row r="43" ht="24.95" customHeight="1" spans="1:25">
      <c r="A43" s="83"/>
      <c r="B43" s="90"/>
      <c r="C43" s="80">
        <v>19</v>
      </c>
      <c r="D43" s="85" t="s">
        <v>204</v>
      </c>
      <c r="E43" s="85">
        <v>411667795.63</v>
      </c>
      <c r="F43" s="85">
        <v>0</v>
      </c>
      <c r="G43" s="85">
        <v>74502043.32</v>
      </c>
      <c r="H43" s="85">
        <v>16649521.763</v>
      </c>
      <c r="I43" s="85">
        <v>0</v>
      </c>
      <c r="J43" s="85">
        <f t="shared" si="5"/>
        <v>16649521.763</v>
      </c>
      <c r="K43" s="85">
        <v>271004229.52</v>
      </c>
      <c r="L43" s="86">
        <f t="shared" si="2"/>
        <v>773823590.233</v>
      </c>
      <c r="M43" s="79"/>
      <c r="N43" s="90"/>
      <c r="O43" s="87">
        <v>17</v>
      </c>
      <c r="P43" s="90"/>
      <c r="Q43" s="85" t="s">
        <v>205</v>
      </c>
      <c r="R43" s="85">
        <v>458636479.54</v>
      </c>
      <c r="S43" s="89">
        <v>0</v>
      </c>
      <c r="T43" s="85">
        <v>71114742.63</v>
      </c>
      <c r="U43" s="85">
        <v>15892536.6651</v>
      </c>
      <c r="V43" s="85">
        <v>0</v>
      </c>
      <c r="W43" s="85">
        <f t="shared" si="6"/>
        <v>15892536.6651</v>
      </c>
      <c r="X43" s="85">
        <v>265189275.09</v>
      </c>
      <c r="Y43" s="86">
        <f t="shared" si="7"/>
        <v>810833033.9251</v>
      </c>
    </row>
    <row r="44" ht="24.95" customHeight="1" spans="1:25">
      <c r="A44" s="83"/>
      <c r="B44" s="90"/>
      <c r="C44" s="80">
        <v>20</v>
      </c>
      <c r="D44" s="85" t="s">
        <v>206</v>
      </c>
      <c r="E44" s="85">
        <v>398284770.98</v>
      </c>
      <c r="F44" s="85">
        <v>0</v>
      </c>
      <c r="G44" s="85">
        <v>63831924.93</v>
      </c>
      <c r="H44" s="85">
        <v>14264991.6168</v>
      </c>
      <c r="I44" s="85">
        <v>0</v>
      </c>
      <c r="J44" s="85">
        <f t="shared" si="5"/>
        <v>14264991.6168</v>
      </c>
      <c r="K44" s="85">
        <v>325164024.18</v>
      </c>
      <c r="L44" s="86">
        <f t="shared" si="2"/>
        <v>801545711.7068</v>
      </c>
      <c r="M44" s="79"/>
      <c r="N44" s="90"/>
      <c r="O44" s="87">
        <v>18</v>
      </c>
      <c r="P44" s="90"/>
      <c r="Q44" s="85" t="s">
        <v>207</v>
      </c>
      <c r="R44" s="85">
        <v>439041205.77</v>
      </c>
      <c r="S44" s="89">
        <v>0</v>
      </c>
      <c r="T44" s="85">
        <v>68076360.57</v>
      </c>
      <c r="U44" s="85">
        <v>15213526.9901</v>
      </c>
      <c r="V44" s="85">
        <v>0</v>
      </c>
      <c r="W44" s="85">
        <f t="shared" si="6"/>
        <v>15213526.9901</v>
      </c>
      <c r="X44" s="85">
        <v>258342574.97</v>
      </c>
      <c r="Y44" s="86">
        <f t="shared" si="7"/>
        <v>780673668.3001</v>
      </c>
    </row>
    <row r="45" ht="24.95" customHeight="1" spans="1:25">
      <c r="A45" s="83"/>
      <c r="B45" s="90"/>
      <c r="C45" s="99">
        <v>21</v>
      </c>
      <c r="D45" s="85" t="s">
        <v>208</v>
      </c>
      <c r="E45" s="85">
        <v>398937152.59</v>
      </c>
      <c r="F45" s="85">
        <v>0</v>
      </c>
      <c r="G45" s="85">
        <v>61857951.12</v>
      </c>
      <c r="H45" s="85">
        <v>13823853.1113</v>
      </c>
      <c r="I45" s="85">
        <v>0</v>
      </c>
      <c r="J45" s="85">
        <f t="shared" si="5"/>
        <v>13823853.1113</v>
      </c>
      <c r="K45" s="85">
        <v>323815650.61</v>
      </c>
      <c r="L45" s="86">
        <f t="shared" si="2"/>
        <v>798434607.4313</v>
      </c>
      <c r="M45" s="79"/>
      <c r="N45" s="90"/>
      <c r="O45" s="87">
        <v>19</v>
      </c>
      <c r="P45" s="90"/>
      <c r="Q45" s="85" t="s">
        <v>209</v>
      </c>
      <c r="R45" s="85">
        <v>481458759.14</v>
      </c>
      <c r="S45" s="89">
        <v>0</v>
      </c>
      <c r="T45" s="85">
        <v>74653494.15</v>
      </c>
      <c r="U45" s="85">
        <v>16683367.5987</v>
      </c>
      <c r="V45" s="85">
        <v>0</v>
      </c>
      <c r="W45" s="85">
        <f t="shared" si="6"/>
        <v>16683367.5987</v>
      </c>
      <c r="X45" s="85">
        <v>281064151.12</v>
      </c>
      <c r="Y45" s="86">
        <f t="shared" si="7"/>
        <v>853859772.0087</v>
      </c>
    </row>
    <row r="46" ht="24.95" customHeight="1" spans="1:25">
      <c r="A46" s="80"/>
      <c r="B46" s="78" t="s">
        <v>210</v>
      </c>
      <c r="C46" s="78"/>
      <c r="D46" s="95"/>
      <c r="E46" s="95">
        <f t="shared" ref="E46:L46" si="8">SUM(E25:E45)</f>
        <v>8442362558.26</v>
      </c>
      <c r="F46" s="85">
        <v>0</v>
      </c>
      <c r="G46" s="95">
        <f t="shared" si="8"/>
        <v>1309046417.55</v>
      </c>
      <c r="H46" s="95">
        <f t="shared" si="8"/>
        <v>292542269.274</v>
      </c>
      <c r="I46" s="95">
        <f t="shared" si="8"/>
        <v>0</v>
      </c>
      <c r="J46" s="95">
        <f t="shared" si="8"/>
        <v>292542269.274</v>
      </c>
      <c r="K46" s="95">
        <f t="shared" si="8"/>
        <v>6459832516.35</v>
      </c>
      <c r="L46" s="95">
        <f t="shared" si="8"/>
        <v>16503783761.434</v>
      </c>
      <c r="M46" s="79"/>
      <c r="N46" s="90"/>
      <c r="O46" s="87">
        <v>20</v>
      </c>
      <c r="P46" s="90"/>
      <c r="Q46" s="85" t="s">
        <v>211</v>
      </c>
      <c r="R46" s="85">
        <v>383396438.89</v>
      </c>
      <c r="S46" s="89">
        <v>0</v>
      </c>
      <c r="T46" s="85">
        <v>59448256.5</v>
      </c>
      <c r="U46" s="85">
        <v>13285340.8618</v>
      </c>
      <c r="V46" s="85">
        <v>0</v>
      </c>
      <c r="W46" s="85">
        <f t="shared" si="6"/>
        <v>13285340.8618</v>
      </c>
      <c r="X46" s="85">
        <v>246130533.48</v>
      </c>
      <c r="Y46" s="86">
        <f t="shared" si="7"/>
        <v>702260569.7318</v>
      </c>
    </row>
    <row r="47" ht="24.95" customHeight="1" spans="1:25">
      <c r="A47" s="83">
        <v>3</v>
      </c>
      <c r="B47" s="84" t="s">
        <v>212</v>
      </c>
      <c r="C47" s="100">
        <v>1</v>
      </c>
      <c r="D47" s="85" t="s">
        <v>213</v>
      </c>
      <c r="E47" s="85">
        <v>383073976.21</v>
      </c>
      <c r="F47" s="85">
        <v>0</v>
      </c>
      <c r="G47" s="85">
        <v>59398256.44</v>
      </c>
      <c r="H47" s="85">
        <v>13274166.9798</v>
      </c>
      <c r="I47" s="85">
        <v>13274166.9798</v>
      </c>
      <c r="J47" s="85">
        <f t="shared" ref="J47:J77" si="9">H47-I47</f>
        <v>0</v>
      </c>
      <c r="K47" s="85">
        <v>236621596.72</v>
      </c>
      <c r="L47" s="86">
        <f t="shared" si="2"/>
        <v>679093829.37</v>
      </c>
      <c r="M47" s="79"/>
      <c r="N47" s="90"/>
      <c r="O47" s="87">
        <v>21</v>
      </c>
      <c r="P47" s="90"/>
      <c r="Q47" s="85" t="s">
        <v>107</v>
      </c>
      <c r="R47" s="85">
        <v>528038223.4</v>
      </c>
      <c r="S47" s="89">
        <v>0</v>
      </c>
      <c r="T47" s="85">
        <v>81875960.66</v>
      </c>
      <c r="U47" s="85">
        <v>18297425.5217</v>
      </c>
      <c r="V47" s="85">
        <v>0</v>
      </c>
      <c r="W47" s="85">
        <f t="shared" si="6"/>
        <v>18297425.5217</v>
      </c>
      <c r="X47" s="85">
        <v>308001987.66</v>
      </c>
      <c r="Y47" s="86">
        <f t="shared" si="7"/>
        <v>936213597.2417</v>
      </c>
    </row>
    <row r="48" ht="24.95" customHeight="1" spans="1:25">
      <c r="A48" s="83"/>
      <c r="B48" s="90"/>
      <c r="C48" s="80">
        <v>2</v>
      </c>
      <c r="D48" s="85" t="s">
        <v>214</v>
      </c>
      <c r="E48" s="85">
        <v>299103578.18</v>
      </c>
      <c r="F48" s="85">
        <v>0</v>
      </c>
      <c r="G48" s="85">
        <v>46378068.32</v>
      </c>
      <c r="H48" s="85">
        <v>10364449.3951</v>
      </c>
      <c r="I48" s="85">
        <v>10364449.3951</v>
      </c>
      <c r="J48" s="85">
        <f t="shared" si="9"/>
        <v>0</v>
      </c>
      <c r="K48" s="85">
        <v>207525251.19</v>
      </c>
      <c r="L48" s="86">
        <f t="shared" si="2"/>
        <v>553006897.69</v>
      </c>
      <c r="M48" s="79"/>
      <c r="N48" s="90"/>
      <c r="O48" s="87">
        <v>22</v>
      </c>
      <c r="P48" s="90"/>
      <c r="Q48" s="85" t="s">
        <v>215</v>
      </c>
      <c r="R48" s="85">
        <v>371550390.14</v>
      </c>
      <c r="S48" s="89">
        <v>0</v>
      </c>
      <c r="T48" s="85">
        <v>57611445.11</v>
      </c>
      <c r="U48" s="85">
        <v>12874855.0576</v>
      </c>
      <c r="V48" s="85">
        <v>0</v>
      </c>
      <c r="W48" s="85">
        <f t="shared" si="6"/>
        <v>12874855.0576</v>
      </c>
      <c r="X48" s="85">
        <v>233590288.97</v>
      </c>
      <c r="Y48" s="86">
        <f t="shared" si="7"/>
        <v>675626979.2776</v>
      </c>
    </row>
    <row r="49" ht="24.95" customHeight="1" spans="1:25">
      <c r="A49" s="83"/>
      <c r="B49" s="90"/>
      <c r="C49" s="80">
        <v>3</v>
      </c>
      <c r="D49" s="85" t="s">
        <v>216</v>
      </c>
      <c r="E49" s="85">
        <v>394901458.17</v>
      </c>
      <c r="F49" s="85">
        <v>0</v>
      </c>
      <c r="G49" s="85">
        <v>61232188.92</v>
      </c>
      <c r="H49" s="85">
        <v>13684009.4126</v>
      </c>
      <c r="I49" s="85">
        <v>13684009.4126</v>
      </c>
      <c r="J49" s="85">
        <f t="shared" si="9"/>
        <v>0</v>
      </c>
      <c r="K49" s="85">
        <v>249018854.36</v>
      </c>
      <c r="L49" s="86">
        <f t="shared" si="2"/>
        <v>705152501.45</v>
      </c>
      <c r="M49" s="79"/>
      <c r="N49" s="90"/>
      <c r="O49" s="87">
        <v>23</v>
      </c>
      <c r="P49" s="90"/>
      <c r="Q49" s="85" t="s">
        <v>217</v>
      </c>
      <c r="R49" s="85">
        <v>351016625.16</v>
      </c>
      <c r="S49" s="89">
        <v>0</v>
      </c>
      <c r="T49" s="85">
        <v>54427543.53</v>
      </c>
      <c r="U49" s="85">
        <v>12163325.0609</v>
      </c>
      <c r="V49" s="85">
        <v>0</v>
      </c>
      <c r="W49" s="85">
        <f t="shared" si="6"/>
        <v>12163325.0609</v>
      </c>
      <c r="X49" s="85">
        <v>226806191.91</v>
      </c>
      <c r="Y49" s="86">
        <f t="shared" si="7"/>
        <v>644413685.6609</v>
      </c>
    </row>
    <row r="50" ht="24.95" customHeight="1" spans="1:25">
      <c r="A50" s="83"/>
      <c r="B50" s="90"/>
      <c r="C50" s="80">
        <v>4</v>
      </c>
      <c r="D50" s="85" t="s">
        <v>218</v>
      </c>
      <c r="E50" s="85">
        <v>302736821.85</v>
      </c>
      <c r="F50" s="85">
        <v>0</v>
      </c>
      <c r="G50" s="85">
        <v>46941427.75</v>
      </c>
      <c r="H50" s="85">
        <v>10490347.4882</v>
      </c>
      <c r="I50" s="85">
        <v>10490347.4882</v>
      </c>
      <c r="J50" s="85">
        <f t="shared" si="9"/>
        <v>0</v>
      </c>
      <c r="K50" s="85">
        <v>212730565.81</v>
      </c>
      <c r="L50" s="86">
        <f t="shared" si="2"/>
        <v>562408815.41</v>
      </c>
      <c r="M50" s="79"/>
      <c r="N50" s="90"/>
      <c r="O50" s="87">
        <v>24</v>
      </c>
      <c r="P50" s="90"/>
      <c r="Q50" s="85" t="s">
        <v>219</v>
      </c>
      <c r="R50" s="85">
        <v>427006463.16</v>
      </c>
      <c r="S50" s="89">
        <v>0</v>
      </c>
      <c r="T50" s="85">
        <v>66210290.9</v>
      </c>
      <c r="U50" s="85">
        <v>14796502.6219</v>
      </c>
      <c r="V50" s="85">
        <v>0</v>
      </c>
      <c r="W50" s="85">
        <f t="shared" si="6"/>
        <v>14796502.6219</v>
      </c>
      <c r="X50" s="85">
        <v>264557317.6</v>
      </c>
      <c r="Y50" s="86">
        <f t="shared" si="7"/>
        <v>772570574.2819</v>
      </c>
    </row>
    <row r="51" ht="24.95" customHeight="1" spans="1:25">
      <c r="A51" s="83"/>
      <c r="B51" s="90"/>
      <c r="C51" s="80">
        <v>5</v>
      </c>
      <c r="D51" s="85" t="s">
        <v>220</v>
      </c>
      <c r="E51" s="85">
        <v>406828577.59</v>
      </c>
      <c r="F51" s="85">
        <v>0</v>
      </c>
      <c r="G51" s="85">
        <v>63081570.87</v>
      </c>
      <c r="H51" s="85">
        <v>14097304.4539</v>
      </c>
      <c r="I51" s="85">
        <v>14097304.4539</v>
      </c>
      <c r="J51" s="85">
        <f t="shared" si="9"/>
        <v>0</v>
      </c>
      <c r="K51" s="85">
        <v>256468618.25</v>
      </c>
      <c r="L51" s="86">
        <f t="shared" si="2"/>
        <v>726378766.71</v>
      </c>
      <c r="M51" s="79"/>
      <c r="N51" s="90"/>
      <c r="O51" s="87">
        <v>25</v>
      </c>
      <c r="P51" s="90"/>
      <c r="Q51" s="85" t="s">
        <v>221</v>
      </c>
      <c r="R51" s="85">
        <v>424922707.04</v>
      </c>
      <c r="S51" s="89">
        <v>0</v>
      </c>
      <c r="T51" s="85">
        <v>65887190.17</v>
      </c>
      <c r="U51" s="85">
        <v>14724296.9163</v>
      </c>
      <c r="V51" s="85">
        <v>0</v>
      </c>
      <c r="W51" s="85">
        <f t="shared" si="6"/>
        <v>14724296.9163</v>
      </c>
      <c r="X51" s="85">
        <v>257793964.74</v>
      </c>
      <c r="Y51" s="86">
        <f t="shared" si="7"/>
        <v>763328158.8663</v>
      </c>
    </row>
    <row r="52" ht="24.95" customHeight="1" spans="1:25">
      <c r="A52" s="83"/>
      <c r="B52" s="90"/>
      <c r="C52" s="80">
        <v>6</v>
      </c>
      <c r="D52" s="85" t="s">
        <v>222</v>
      </c>
      <c r="E52" s="85">
        <v>354596933.38</v>
      </c>
      <c r="F52" s="85">
        <v>0</v>
      </c>
      <c r="G52" s="85">
        <v>54982694.96</v>
      </c>
      <c r="H52" s="85">
        <v>12287388.8502</v>
      </c>
      <c r="I52" s="85">
        <v>12287388.8502</v>
      </c>
      <c r="J52" s="85">
        <f t="shared" si="9"/>
        <v>0</v>
      </c>
      <c r="K52" s="85">
        <v>224148400.46</v>
      </c>
      <c r="L52" s="86">
        <f t="shared" si="2"/>
        <v>633728028.8</v>
      </c>
      <c r="M52" s="79"/>
      <c r="N52" s="90"/>
      <c r="O52" s="87">
        <v>26</v>
      </c>
      <c r="P52" s="90"/>
      <c r="Q52" s="85" t="s">
        <v>223</v>
      </c>
      <c r="R52" s="85">
        <v>403069724.32</v>
      </c>
      <c r="S52" s="89">
        <v>0</v>
      </c>
      <c r="T52" s="85">
        <v>62498734.8</v>
      </c>
      <c r="U52" s="85">
        <v>13967053.7736</v>
      </c>
      <c r="V52" s="85">
        <v>0</v>
      </c>
      <c r="W52" s="85">
        <f t="shared" si="6"/>
        <v>13967053.7736</v>
      </c>
      <c r="X52" s="85">
        <v>255588410.85</v>
      </c>
      <c r="Y52" s="86">
        <f t="shared" si="7"/>
        <v>735123923.7436</v>
      </c>
    </row>
    <row r="53" ht="24.95" customHeight="1" spans="1:25">
      <c r="A53" s="83"/>
      <c r="B53" s="90"/>
      <c r="C53" s="80">
        <v>7</v>
      </c>
      <c r="D53" s="85" t="s">
        <v>224</v>
      </c>
      <c r="E53" s="85">
        <v>402174680.81</v>
      </c>
      <c r="F53" s="85">
        <v>0</v>
      </c>
      <c r="G53" s="85">
        <v>62359952.15</v>
      </c>
      <c r="H53" s="85">
        <v>13936038.9887</v>
      </c>
      <c r="I53" s="85">
        <v>13936038.9887</v>
      </c>
      <c r="J53" s="85">
        <f t="shared" si="9"/>
        <v>0</v>
      </c>
      <c r="K53" s="85">
        <v>247806429.45</v>
      </c>
      <c r="L53" s="86">
        <f t="shared" si="2"/>
        <v>712341062.41</v>
      </c>
      <c r="M53" s="79"/>
      <c r="N53" s="90"/>
      <c r="O53" s="87">
        <v>27</v>
      </c>
      <c r="P53" s="90"/>
      <c r="Q53" s="85" t="s">
        <v>225</v>
      </c>
      <c r="R53" s="85">
        <v>411535104.77</v>
      </c>
      <c r="S53" s="89">
        <v>0</v>
      </c>
      <c r="T53" s="85">
        <v>63811350.3</v>
      </c>
      <c r="U53" s="85">
        <v>14260393.6521</v>
      </c>
      <c r="V53" s="85">
        <v>0</v>
      </c>
      <c r="W53" s="85">
        <f t="shared" si="6"/>
        <v>14260393.6521</v>
      </c>
      <c r="X53" s="85">
        <v>254168914.3</v>
      </c>
      <c r="Y53" s="86">
        <f t="shared" si="7"/>
        <v>743775763.0221</v>
      </c>
    </row>
    <row r="54" ht="24.95" customHeight="1" spans="1:25">
      <c r="A54" s="83"/>
      <c r="B54" s="90"/>
      <c r="C54" s="80">
        <v>8</v>
      </c>
      <c r="D54" s="85" t="s">
        <v>226</v>
      </c>
      <c r="E54" s="85">
        <v>322242084.27</v>
      </c>
      <c r="F54" s="85">
        <v>0</v>
      </c>
      <c r="G54" s="85">
        <v>49965852.93</v>
      </c>
      <c r="H54" s="85">
        <v>11166238.1161</v>
      </c>
      <c r="I54" s="85">
        <v>11166238.1161</v>
      </c>
      <c r="J54" s="85">
        <f t="shared" si="9"/>
        <v>0</v>
      </c>
      <c r="K54" s="85">
        <v>213021355.16</v>
      </c>
      <c r="L54" s="86">
        <f t="shared" si="2"/>
        <v>585229292.36</v>
      </c>
      <c r="M54" s="79"/>
      <c r="N54" s="90"/>
      <c r="O54" s="87">
        <v>28</v>
      </c>
      <c r="P54" s="90"/>
      <c r="Q54" s="85" t="s">
        <v>227</v>
      </c>
      <c r="R54" s="85">
        <v>346642019.47</v>
      </c>
      <c r="S54" s="89">
        <v>0</v>
      </c>
      <c r="T54" s="85">
        <v>53749230.81</v>
      </c>
      <c r="U54" s="85">
        <v>12011737.5085</v>
      </c>
      <c r="V54" s="85">
        <v>0</v>
      </c>
      <c r="W54" s="85">
        <f t="shared" si="6"/>
        <v>12011737.5085</v>
      </c>
      <c r="X54" s="85">
        <v>232754593.72</v>
      </c>
      <c r="Y54" s="86">
        <f t="shared" si="7"/>
        <v>645157581.5085</v>
      </c>
    </row>
    <row r="55" ht="24.95" customHeight="1" spans="1:25">
      <c r="A55" s="83"/>
      <c r="B55" s="90"/>
      <c r="C55" s="80">
        <v>9</v>
      </c>
      <c r="D55" s="85" t="s">
        <v>228</v>
      </c>
      <c r="E55" s="85">
        <v>373973088.61</v>
      </c>
      <c r="F55" s="85">
        <v>0</v>
      </c>
      <c r="G55" s="85">
        <v>57987101.18</v>
      </c>
      <c r="H55" s="85">
        <v>12958805.6938</v>
      </c>
      <c r="I55" s="85">
        <v>12958805.6938</v>
      </c>
      <c r="J55" s="85">
        <f t="shared" si="9"/>
        <v>0</v>
      </c>
      <c r="K55" s="85">
        <v>235884806.88</v>
      </c>
      <c r="L55" s="86">
        <f t="shared" si="2"/>
        <v>667844996.67</v>
      </c>
      <c r="M55" s="79"/>
      <c r="N55" s="90"/>
      <c r="O55" s="87">
        <v>29</v>
      </c>
      <c r="P55" s="90"/>
      <c r="Q55" s="85" t="s">
        <v>229</v>
      </c>
      <c r="R55" s="85">
        <v>414779107.46</v>
      </c>
      <c r="S55" s="89">
        <v>0</v>
      </c>
      <c r="T55" s="85">
        <v>64314355.25</v>
      </c>
      <c r="U55" s="85">
        <v>14372803.8813</v>
      </c>
      <c r="V55" s="85">
        <v>0</v>
      </c>
      <c r="W55" s="85">
        <f t="shared" si="6"/>
        <v>14372803.8813</v>
      </c>
      <c r="X55" s="85">
        <v>253642900.44</v>
      </c>
      <c r="Y55" s="86">
        <f t="shared" si="7"/>
        <v>747109167.0313</v>
      </c>
    </row>
    <row r="56" ht="24.95" customHeight="1" spans="1:25">
      <c r="A56" s="83"/>
      <c r="B56" s="90"/>
      <c r="C56" s="80">
        <v>10</v>
      </c>
      <c r="D56" s="85" t="s">
        <v>230</v>
      </c>
      <c r="E56" s="85">
        <v>406865407.37</v>
      </c>
      <c r="F56" s="85">
        <v>0</v>
      </c>
      <c r="G56" s="85">
        <v>63087281.58</v>
      </c>
      <c r="H56" s="85">
        <v>14098580.6687</v>
      </c>
      <c r="I56" s="85">
        <v>14098580.6687</v>
      </c>
      <c r="J56" s="85">
        <f t="shared" si="9"/>
        <v>0</v>
      </c>
      <c r="K56" s="85">
        <v>255346949.26</v>
      </c>
      <c r="L56" s="86">
        <f t="shared" si="2"/>
        <v>725299638.21</v>
      </c>
      <c r="M56" s="79"/>
      <c r="N56" s="90"/>
      <c r="O56" s="87">
        <v>30</v>
      </c>
      <c r="P56" s="90"/>
      <c r="Q56" s="85" t="s">
        <v>231</v>
      </c>
      <c r="R56" s="85">
        <v>374155720.13</v>
      </c>
      <c r="S56" s="89">
        <v>0</v>
      </c>
      <c r="T56" s="85">
        <v>58015419.46</v>
      </c>
      <c r="U56" s="85">
        <v>12965134.1878</v>
      </c>
      <c r="V56" s="85">
        <v>0</v>
      </c>
      <c r="W56" s="85">
        <f t="shared" si="6"/>
        <v>12965134.1878</v>
      </c>
      <c r="X56" s="85">
        <v>246986232.08</v>
      </c>
      <c r="Y56" s="86">
        <f t="shared" si="7"/>
        <v>692122505.8578</v>
      </c>
    </row>
    <row r="57" ht="24.95" customHeight="1" spans="1:25">
      <c r="A57" s="83"/>
      <c r="B57" s="90"/>
      <c r="C57" s="80">
        <v>11</v>
      </c>
      <c r="D57" s="85" t="s">
        <v>232</v>
      </c>
      <c r="E57" s="85">
        <v>313134883.89</v>
      </c>
      <c r="F57" s="85">
        <v>0</v>
      </c>
      <c r="G57" s="85">
        <v>48553718.84</v>
      </c>
      <c r="H57" s="85">
        <v>10850658.0819</v>
      </c>
      <c r="I57" s="85">
        <v>10850658.0819</v>
      </c>
      <c r="J57" s="85">
        <f t="shared" si="9"/>
        <v>0</v>
      </c>
      <c r="K57" s="85">
        <v>212117129.93</v>
      </c>
      <c r="L57" s="86">
        <f t="shared" si="2"/>
        <v>573805732.66</v>
      </c>
      <c r="M57" s="79"/>
      <c r="N57" s="90"/>
      <c r="O57" s="87">
        <v>31</v>
      </c>
      <c r="P57" s="90"/>
      <c r="Q57" s="85" t="s">
        <v>233</v>
      </c>
      <c r="R57" s="85">
        <v>387658125.01</v>
      </c>
      <c r="S57" s="89">
        <v>0</v>
      </c>
      <c r="T57" s="85">
        <v>60109060.26</v>
      </c>
      <c r="U57" s="85">
        <v>13433015.5581</v>
      </c>
      <c r="V57" s="85">
        <v>0</v>
      </c>
      <c r="W57" s="85">
        <f t="shared" si="6"/>
        <v>13433015.5581</v>
      </c>
      <c r="X57" s="85">
        <v>240431803.07</v>
      </c>
      <c r="Y57" s="86">
        <f t="shared" si="7"/>
        <v>701632003.8981</v>
      </c>
    </row>
    <row r="58" ht="24.95" customHeight="1" spans="1:25">
      <c r="A58" s="83"/>
      <c r="B58" s="90"/>
      <c r="C58" s="80">
        <v>12</v>
      </c>
      <c r="D58" s="85" t="s">
        <v>234</v>
      </c>
      <c r="E58" s="85">
        <v>370382299.33</v>
      </c>
      <c r="F58" s="85">
        <v>0</v>
      </c>
      <c r="G58" s="85">
        <v>57430324.59</v>
      </c>
      <c r="H58" s="85">
        <v>12834378.7177</v>
      </c>
      <c r="I58" s="85">
        <v>12834378.7177</v>
      </c>
      <c r="J58" s="85">
        <f t="shared" si="9"/>
        <v>0</v>
      </c>
      <c r="K58" s="85">
        <v>233959670.24</v>
      </c>
      <c r="L58" s="86">
        <f t="shared" si="2"/>
        <v>661772294.16</v>
      </c>
      <c r="M58" s="79"/>
      <c r="N58" s="90"/>
      <c r="O58" s="87">
        <v>32</v>
      </c>
      <c r="P58" s="90"/>
      <c r="Q58" s="85" t="s">
        <v>235</v>
      </c>
      <c r="R58" s="85">
        <v>415949210.11</v>
      </c>
      <c r="S58" s="89">
        <v>0</v>
      </c>
      <c r="T58" s="85">
        <v>64495787.72</v>
      </c>
      <c r="U58" s="85">
        <v>14413349.9345</v>
      </c>
      <c r="V58" s="85">
        <v>0</v>
      </c>
      <c r="W58" s="85">
        <f t="shared" si="6"/>
        <v>14413349.9345</v>
      </c>
      <c r="X58" s="85">
        <v>258112166.08</v>
      </c>
      <c r="Y58" s="86">
        <f t="shared" si="7"/>
        <v>752970513.8445</v>
      </c>
    </row>
    <row r="59" ht="24.95" customHeight="1" spans="1:25">
      <c r="A59" s="83"/>
      <c r="B59" s="90"/>
      <c r="C59" s="80">
        <v>13</v>
      </c>
      <c r="D59" s="85" t="s">
        <v>236</v>
      </c>
      <c r="E59" s="85">
        <v>370486726.07</v>
      </c>
      <c r="F59" s="85">
        <v>0</v>
      </c>
      <c r="G59" s="85">
        <v>57446516.68</v>
      </c>
      <c r="H59" s="85">
        <v>12837997.2825</v>
      </c>
      <c r="I59" s="85">
        <v>12837997.2825</v>
      </c>
      <c r="J59" s="85">
        <f t="shared" si="9"/>
        <v>0</v>
      </c>
      <c r="K59" s="85">
        <v>234003751.68</v>
      </c>
      <c r="L59" s="86">
        <f t="shared" si="2"/>
        <v>661936994.43</v>
      </c>
      <c r="M59" s="79"/>
      <c r="N59" s="90"/>
      <c r="O59" s="87">
        <v>33</v>
      </c>
      <c r="P59" s="90"/>
      <c r="Q59" s="85" t="s">
        <v>237</v>
      </c>
      <c r="R59" s="85">
        <v>403133139.11</v>
      </c>
      <c r="S59" s="89">
        <v>0</v>
      </c>
      <c r="T59" s="85">
        <v>62508567.7</v>
      </c>
      <c r="U59" s="85">
        <v>13969251.2044</v>
      </c>
      <c r="V59" s="85">
        <v>0</v>
      </c>
      <c r="W59" s="85">
        <f t="shared" si="6"/>
        <v>13969251.2044</v>
      </c>
      <c r="X59" s="85">
        <v>240890027.79</v>
      </c>
      <c r="Y59" s="86">
        <f t="shared" si="7"/>
        <v>720500985.8044</v>
      </c>
    </row>
    <row r="60" ht="24.95" customHeight="1" spans="1:25">
      <c r="A60" s="83"/>
      <c r="B60" s="90"/>
      <c r="C60" s="80">
        <v>14</v>
      </c>
      <c r="D60" s="85" t="s">
        <v>238</v>
      </c>
      <c r="E60" s="85">
        <v>382101944.05</v>
      </c>
      <c r="F60" s="85">
        <v>0</v>
      </c>
      <c r="G60" s="85">
        <v>59247536.17</v>
      </c>
      <c r="H60" s="85">
        <v>13240484.4064</v>
      </c>
      <c r="I60" s="85">
        <v>13240484.4064</v>
      </c>
      <c r="J60" s="85">
        <f t="shared" si="9"/>
        <v>0</v>
      </c>
      <c r="K60" s="85">
        <v>238098510.28</v>
      </c>
      <c r="L60" s="86">
        <f t="shared" si="2"/>
        <v>679447990.5</v>
      </c>
      <c r="M60" s="79"/>
      <c r="N60" s="92"/>
      <c r="O60" s="87">
        <v>34</v>
      </c>
      <c r="P60" s="92"/>
      <c r="Q60" s="85" t="s">
        <v>239</v>
      </c>
      <c r="R60" s="85">
        <v>395103552.49</v>
      </c>
      <c r="S60" s="89">
        <v>0</v>
      </c>
      <c r="T60" s="85">
        <v>61263525.03</v>
      </c>
      <c r="U60" s="85">
        <v>13691012.3258</v>
      </c>
      <c r="V60" s="85">
        <v>0</v>
      </c>
      <c r="W60" s="85">
        <f t="shared" si="6"/>
        <v>13691012.3258</v>
      </c>
      <c r="X60" s="85">
        <v>247356293.95</v>
      </c>
      <c r="Y60" s="86">
        <f t="shared" si="7"/>
        <v>717414383.7958</v>
      </c>
    </row>
    <row r="61" ht="24.95" customHeight="1" spans="1:25">
      <c r="A61" s="83"/>
      <c r="B61" s="90"/>
      <c r="C61" s="80">
        <v>15</v>
      </c>
      <c r="D61" s="85" t="s">
        <v>240</v>
      </c>
      <c r="E61" s="85">
        <v>349087571.45</v>
      </c>
      <c r="F61" s="85">
        <v>0</v>
      </c>
      <c r="G61" s="85">
        <v>54128430.48</v>
      </c>
      <c r="H61" s="85">
        <v>12096480.0579</v>
      </c>
      <c r="I61" s="85">
        <v>12096480.0579</v>
      </c>
      <c r="J61" s="85">
        <f t="shared" si="9"/>
        <v>0</v>
      </c>
      <c r="K61" s="85">
        <v>221843570.71</v>
      </c>
      <c r="L61" s="86">
        <f t="shared" si="2"/>
        <v>625059572.64</v>
      </c>
      <c r="M61" s="79"/>
      <c r="N61" s="80"/>
      <c r="O61" s="94" t="s">
        <v>241</v>
      </c>
      <c r="P61" s="98"/>
      <c r="Q61" s="95"/>
      <c r="R61" s="95">
        <f t="shared" ref="R61:Y61" si="10">SUM(R27:R60)</f>
        <v>14030124666.72</v>
      </c>
      <c r="S61" s="89">
        <v>0</v>
      </c>
      <c r="T61" s="95">
        <f t="shared" si="10"/>
        <v>2175467389.13</v>
      </c>
      <c r="U61" s="95">
        <f t="shared" si="10"/>
        <v>486167761.6754</v>
      </c>
      <c r="V61" s="95">
        <f t="shared" si="10"/>
        <v>0</v>
      </c>
      <c r="W61" s="95">
        <f t="shared" si="10"/>
        <v>486167761.6754</v>
      </c>
      <c r="X61" s="95">
        <f t="shared" si="10"/>
        <v>8606930599.78</v>
      </c>
      <c r="Y61" s="95">
        <f t="shared" si="10"/>
        <v>25298690417.3054</v>
      </c>
    </row>
    <row r="62" ht="24.95" customHeight="1" spans="1:25">
      <c r="A62" s="83"/>
      <c r="B62" s="90"/>
      <c r="C62" s="80">
        <v>16</v>
      </c>
      <c r="D62" s="85" t="s">
        <v>242</v>
      </c>
      <c r="E62" s="85">
        <v>356435996.01</v>
      </c>
      <c r="F62" s="85">
        <v>0</v>
      </c>
      <c r="G62" s="85">
        <v>55267854.28</v>
      </c>
      <c r="H62" s="85">
        <v>12351115.5089</v>
      </c>
      <c r="I62" s="85">
        <v>12351115.5089</v>
      </c>
      <c r="J62" s="85">
        <f t="shared" si="9"/>
        <v>0</v>
      </c>
      <c r="K62" s="85">
        <v>232155294.53</v>
      </c>
      <c r="L62" s="86">
        <f t="shared" si="2"/>
        <v>643859144.82</v>
      </c>
      <c r="M62" s="79"/>
      <c r="N62" s="84">
        <v>21</v>
      </c>
      <c r="O62" s="87">
        <v>1</v>
      </c>
      <c r="P62" s="84" t="s">
        <v>108</v>
      </c>
      <c r="Q62" s="85" t="s">
        <v>243</v>
      </c>
      <c r="R62" s="85">
        <v>316345128.7</v>
      </c>
      <c r="S62" s="89">
        <v>0</v>
      </c>
      <c r="T62" s="85">
        <v>49051489.39</v>
      </c>
      <c r="U62" s="85">
        <v>10961898.5425</v>
      </c>
      <c r="V62" s="85">
        <f t="shared" ref="V62:V82" si="11">U62/2</f>
        <v>5480949.27125</v>
      </c>
      <c r="W62" s="85">
        <f t="shared" ref="W62:W82" si="12">U62-V62</f>
        <v>5480949.27125</v>
      </c>
      <c r="X62" s="85">
        <v>222493820.97</v>
      </c>
      <c r="Y62" s="86">
        <f t="shared" si="7"/>
        <v>593371388.33125</v>
      </c>
    </row>
    <row r="63" ht="24.95" customHeight="1" spans="1:25">
      <c r="A63" s="83"/>
      <c r="B63" s="90"/>
      <c r="C63" s="80">
        <v>17</v>
      </c>
      <c r="D63" s="85" t="s">
        <v>244</v>
      </c>
      <c r="E63" s="85">
        <v>332711814.76</v>
      </c>
      <c r="F63" s="85">
        <v>0</v>
      </c>
      <c r="G63" s="85">
        <v>51589256.7</v>
      </c>
      <c r="H63" s="85">
        <v>11529032.1437</v>
      </c>
      <c r="I63" s="85">
        <v>11529032.1437</v>
      </c>
      <c r="J63" s="85">
        <f t="shared" si="9"/>
        <v>0</v>
      </c>
      <c r="K63" s="85">
        <v>223627572.65</v>
      </c>
      <c r="L63" s="86">
        <f t="shared" si="2"/>
        <v>607928644.11</v>
      </c>
      <c r="M63" s="79"/>
      <c r="N63" s="90"/>
      <c r="O63" s="87">
        <v>2</v>
      </c>
      <c r="P63" s="90"/>
      <c r="Q63" s="85" t="s">
        <v>245</v>
      </c>
      <c r="R63" s="85">
        <v>516895413.19</v>
      </c>
      <c r="S63" s="89">
        <v>0</v>
      </c>
      <c r="T63" s="85">
        <v>80148191.25</v>
      </c>
      <c r="U63" s="85">
        <v>17911308.1332</v>
      </c>
      <c r="V63" s="85">
        <f t="shared" si="11"/>
        <v>8955654.0666</v>
      </c>
      <c r="W63" s="85">
        <f t="shared" si="12"/>
        <v>8955654.0666</v>
      </c>
      <c r="X63" s="85">
        <v>266225946.5</v>
      </c>
      <c r="Y63" s="86">
        <f t="shared" si="7"/>
        <v>872225205.0066</v>
      </c>
    </row>
    <row r="64" ht="24.95" customHeight="1" spans="1:25">
      <c r="A64" s="83"/>
      <c r="B64" s="90"/>
      <c r="C64" s="80">
        <v>18</v>
      </c>
      <c r="D64" s="85" t="s">
        <v>246</v>
      </c>
      <c r="E64" s="85">
        <v>413362688.76</v>
      </c>
      <c r="F64" s="85">
        <v>0</v>
      </c>
      <c r="G64" s="85">
        <v>64094729.78</v>
      </c>
      <c r="H64" s="85">
        <v>14323722.5563</v>
      </c>
      <c r="I64" s="85">
        <v>14323722.5563</v>
      </c>
      <c r="J64" s="85">
        <f t="shared" si="9"/>
        <v>0</v>
      </c>
      <c r="K64" s="85">
        <v>251048452.9</v>
      </c>
      <c r="L64" s="86">
        <f t="shared" si="2"/>
        <v>728505871.44</v>
      </c>
      <c r="M64" s="79"/>
      <c r="N64" s="90"/>
      <c r="O64" s="87">
        <v>3</v>
      </c>
      <c r="P64" s="90"/>
      <c r="Q64" s="85" t="s">
        <v>247</v>
      </c>
      <c r="R64" s="85">
        <v>435376744.42</v>
      </c>
      <c r="S64" s="89">
        <v>0</v>
      </c>
      <c r="T64" s="85">
        <v>67508160.62</v>
      </c>
      <c r="U64" s="85">
        <v>15086547.151</v>
      </c>
      <c r="V64" s="85">
        <f t="shared" si="11"/>
        <v>7543273.5755</v>
      </c>
      <c r="W64" s="85">
        <f t="shared" si="12"/>
        <v>7543273.5755</v>
      </c>
      <c r="X64" s="85">
        <v>270468878.02</v>
      </c>
      <c r="Y64" s="86">
        <f t="shared" si="7"/>
        <v>780897056.6355</v>
      </c>
    </row>
    <row r="65" ht="24.95" customHeight="1" spans="1:25">
      <c r="A65" s="83"/>
      <c r="B65" s="90"/>
      <c r="C65" s="80">
        <v>19</v>
      </c>
      <c r="D65" s="85" t="s">
        <v>248</v>
      </c>
      <c r="E65" s="85">
        <v>344920558.52</v>
      </c>
      <c r="F65" s="85">
        <v>0</v>
      </c>
      <c r="G65" s="85">
        <v>53482306.45</v>
      </c>
      <c r="H65" s="85">
        <v>11952085.9491</v>
      </c>
      <c r="I65" s="85">
        <v>11952085.9491</v>
      </c>
      <c r="J65" s="85">
        <f t="shared" si="9"/>
        <v>0</v>
      </c>
      <c r="K65" s="85">
        <v>225331190.78</v>
      </c>
      <c r="L65" s="86">
        <f t="shared" si="2"/>
        <v>623734055.75</v>
      </c>
      <c r="M65" s="79"/>
      <c r="N65" s="90"/>
      <c r="O65" s="87">
        <v>4</v>
      </c>
      <c r="P65" s="90"/>
      <c r="Q65" s="85" t="s">
        <v>249</v>
      </c>
      <c r="R65" s="85">
        <v>359476822.8</v>
      </c>
      <c r="S65" s="89">
        <v>0</v>
      </c>
      <c r="T65" s="85">
        <v>55739355.4</v>
      </c>
      <c r="U65" s="85">
        <v>12456485.346</v>
      </c>
      <c r="V65" s="85">
        <f t="shared" si="11"/>
        <v>6228242.673</v>
      </c>
      <c r="W65" s="85">
        <f t="shared" si="12"/>
        <v>6228242.673</v>
      </c>
      <c r="X65" s="85">
        <v>241502183.79</v>
      </c>
      <c r="Y65" s="86">
        <f t="shared" si="7"/>
        <v>662946604.663</v>
      </c>
    </row>
    <row r="66" ht="24.95" customHeight="1" spans="1:25">
      <c r="A66" s="83"/>
      <c r="B66" s="90"/>
      <c r="C66" s="80">
        <v>20</v>
      </c>
      <c r="D66" s="85" t="s">
        <v>250</v>
      </c>
      <c r="E66" s="85">
        <v>362913937.05</v>
      </c>
      <c r="F66" s="85">
        <v>0</v>
      </c>
      <c r="G66" s="85">
        <v>56272303.62</v>
      </c>
      <c r="H66" s="85">
        <v>12575587.2201</v>
      </c>
      <c r="I66" s="85">
        <v>12575587.2201</v>
      </c>
      <c r="J66" s="85">
        <f t="shared" si="9"/>
        <v>0</v>
      </c>
      <c r="K66" s="85">
        <v>232599072.42</v>
      </c>
      <c r="L66" s="86">
        <f t="shared" si="2"/>
        <v>651785313.09</v>
      </c>
      <c r="M66" s="79"/>
      <c r="N66" s="90"/>
      <c r="O66" s="87">
        <v>5</v>
      </c>
      <c r="P66" s="90"/>
      <c r="Q66" s="85" t="s">
        <v>251</v>
      </c>
      <c r="R66" s="85">
        <v>478753053.45</v>
      </c>
      <c r="S66" s="89">
        <v>0</v>
      </c>
      <c r="T66" s="85">
        <v>74233955.86</v>
      </c>
      <c r="U66" s="85">
        <v>16589610.2794</v>
      </c>
      <c r="V66" s="85">
        <f t="shared" si="11"/>
        <v>8294805.1397</v>
      </c>
      <c r="W66" s="85">
        <f t="shared" si="12"/>
        <v>8294805.1397</v>
      </c>
      <c r="X66" s="85">
        <v>286150388.39</v>
      </c>
      <c r="Y66" s="86">
        <f t="shared" si="7"/>
        <v>847432202.8397</v>
      </c>
    </row>
    <row r="67" ht="24.95" customHeight="1" spans="1:25">
      <c r="A67" s="83"/>
      <c r="B67" s="90"/>
      <c r="C67" s="80">
        <v>21</v>
      </c>
      <c r="D67" s="85" t="s">
        <v>252</v>
      </c>
      <c r="E67" s="85">
        <v>377483205.57</v>
      </c>
      <c r="F67" s="85">
        <v>0</v>
      </c>
      <c r="G67" s="85">
        <v>58531368.98</v>
      </c>
      <c r="H67" s="85">
        <v>13080437.2364</v>
      </c>
      <c r="I67" s="85">
        <v>13080437.2364</v>
      </c>
      <c r="J67" s="85">
        <f t="shared" si="9"/>
        <v>0</v>
      </c>
      <c r="K67" s="85">
        <v>240026239.95</v>
      </c>
      <c r="L67" s="86">
        <f t="shared" si="2"/>
        <v>676040814.5</v>
      </c>
      <c r="M67" s="79"/>
      <c r="N67" s="90"/>
      <c r="O67" s="87">
        <v>6</v>
      </c>
      <c r="P67" s="90"/>
      <c r="Q67" s="85" t="s">
        <v>253</v>
      </c>
      <c r="R67" s="85">
        <v>585725399.93</v>
      </c>
      <c r="S67" s="89">
        <v>0</v>
      </c>
      <c r="T67" s="85">
        <v>90820754.4</v>
      </c>
      <c r="U67" s="85">
        <v>20296384.6298</v>
      </c>
      <c r="V67" s="85">
        <f t="shared" si="11"/>
        <v>10148192.3149</v>
      </c>
      <c r="W67" s="85">
        <f t="shared" si="12"/>
        <v>10148192.3149</v>
      </c>
      <c r="X67" s="85">
        <v>297486727.94</v>
      </c>
      <c r="Y67" s="86">
        <f t="shared" si="7"/>
        <v>984181074.5849</v>
      </c>
    </row>
    <row r="68" ht="24.95" customHeight="1" spans="1:25">
      <c r="A68" s="83"/>
      <c r="B68" s="90"/>
      <c r="C68" s="80">
        <v>22</v>
      </c>
      <c r="D68" s="85" t="s">
        <v>254</v>
      </c>
      <c r="E68" s="85">
        <v>324456695.11</v>
      </c>
      <c r="F68" s="85">
        <v>0</v>
      </c>
      <c r="G68" s="85">
        <v>50309243.59</v>
      </c>
      <c r="H68" s="85">
        <v>11242978.1608</v>
      </c>
      <c r="I68" s="85">
        <v>11242978.1608</v>
      </c>
      <c r="J68" s="85">
        <f t="shared" si="9"/>
        <v>0</v>
      </c>
      <c r="K68" s="85">
        <v>223644242.1</v>
      </c>
      <c r="L68" s="86">
        <f t="shared" si="2"/>
        <v>598410180.8</v>
      </c>
      <c r="M68" s="79"/>
      <c r="N68" s="90"/>
      <c r="O68" s="87">
        <v>7</v>
      </c>
      <c r="P68" s="90"/>
      <c r="Q68" s="85" t="s">
        <v>255</v>
      </c>
      <c r="R68" s="85">
        <v>399038506.12</v>
      </c>
      <c r="S68" s="89">
        <v>0</v>
      </c>
      <c r="T68" s="85">
        <v>61873666.68</v>
      </c>
      <c r="U68" s="85">
        <v>13827365.1838</v>
      </c>
      <c r="V68" s="85">
        <f t="shared" si="11"/>
        <v>6913682.5919</v>
      </c>
      <c r="W68" s="85">
        <f t="shared" si="12"/>
        <v>6913682.5919</v>
      </c>
      <c r="X68" s="85">
        <v>243048368.2</v>
      </c>
      <c r="Y68" s="86">
        <f t="shared" si="7"/>
        <v>710874223.5919</v>
      </c>
    </row>
    <row r="69" ht="24.95" customHeight="1" spans="1:25">
      <c r="A69" s="83"/>
      <c r="B69" s="90"/>
      <c r="C69" s="80">
        <v>23</v>
      </c>
      <c r="D69" s="85" t="s">
        <v>256</v>
      </c>
      <c r="E69" s="85">
        <v>338795907.02</v>
      </c>
      <c r="F69" s="85">
        <v>0</v>
      </c>
      <c r="G69" s="85">
        <v>52532637.08</v>
      </c>
      <c r="H69" s="85">
        <v>11739856.3231</v>
      </c>
      <c r="I69" s="85">
        <v>11739856.3231</v>
      </c>
      <c r="J69" s="85">
        <f t="shared" si="9"/>
        <v>0</v>
      </c>
      <c r="K69" s="85">
        <v>230799512.33</v>
      </c>
      <c r="L69" s="86">
        <f t="shared" si="2"/>
        <v>622128056.43</v>
      </c>
      <c r="M69" s="79"/>
      <c r="N69" s="90"/>
      <c r="O69" s="87">
        <v>8</v>
      </c>
      <c r="P69" s="90"/>
      <c r="Q69" s="85" t="s">
        <v>257</v>
      </c>
      <c r="R69" s="85">
        <v>423920458.74</v>
      </c>
      <c r="S69" s="89">
        <v>0</v>
      </c>
      <c r="T69" s="85">
        <v>65731784.68</v>
      </c>
      <c r="U69" s="85">
        <v>14689567.3024</v>
      </c>
      <c r="V69" s="85">
        <f t="shared" si="11"/>
        <v>7344783.6512</v>
      </c>
      <c r="W69" s="85">
        <f t="shared" si="12"/>
        <v>7344783.6512</v>
      </c>
      <c r="X69" s="85">
        <v>251498669.72</v>
      </c>
      <c r="Y69" s="86">
        <f t="shared" si="7"/>
        <v>748495696.7912</v>
      </c>
    </row>
    <row r="70" ht="24.95" customHeight="1" spans="1:25">
      <c r="A70" s="83"/>
      <c r="B70" s="90"/>
      <c r="C70" s="80">
        <v>24</v>
      </c>
      <c r="D70" s="85" t="s">
        <v>258</v>
      </c>
      <c r="E70" s="85">
        <v>347022293.57</v>
      </c>
      <c r="F70" s="85">
        <v>0</v>
      </c>
      <c r="G70" s="85">
        <v>53808194.93</v>
      </c>
      <c r="H70" s="85">
        <v>12024914.6551</v>
      </c>
      <c r="I70" s="85">
        <v>12024914.6551</v>
      </c>
      <c r="J70" s="85">
        <f t="shared" si="9"/>
        <v>0</v>
      </c>
      <c r="K70" s="85">
        <v>217496547.72</v>
      </c>
      <c r="L70" s="86">
        <f t="shared" si="2"/>
        <v>618327036.22</v>
      </c>
      <c r="M70" s="79"/>
      <c r="N70" s="90"/>
      <c r="O70" s="87">
        <v>9</v>
      </c>
      <c r="P70" s="90"/>
      <c r="Q70" s="85" t="s">
        <v>259</v>
      </c>
      <c r="R70" s="85">
        <v>526642280.71</v>
      </c>
      <c r="S70" s="89">
        <v>0</v>
      </c>
      <c r="T70" s="85">
        <v>81659510.14</v>
      </c>
      <c r="U70" s="85">
        <v>18249053.7253</v>
      </c>
      <c r="V70" s="85">
        <f t="shared" si="11"/>
        <v>9124526.86265</v>
      </c>
      <c r="W70" s="85">
        <f t="shared" si="12"/>
        <v>9124526.86265</v>
      </c>
      <c r="X70" s="85">
        <v>296295047.24</v>
      </c>
      <c r="Y70" s="86">
        <f t="shared" si="7"/>
        <v>913721364.95265</v>
      </c>
    </row>
    <row r="71" ht="24.95" customHeight="1" spans="1:25">
      <c r="A71" s="83"/>
      <c r="B71" s="90"/>
      <c r="C71" s="80">
        <v>25</v>
      </c>
      <c r="D71" s="85" t="s">
        <v>260</v>
      </c>
      <c r="E71" s="85">
        <v>408869136.34</v>
      </c>
      <c r="F71" s="85">
        <v>0</v>
      </c>
      <c r="G71" s="85">
        <v>63397973.55</v>
      </c>
      <c r="H71" s="85">
        <v>14168013.2967</v>
      </c>
      <c r="I71" s="85">
        <v>14168013.2967</v>
      </c>
      <c r="J71" s="85">
        <f t="shared" si="9"/>
        <v>0</v>
      </c>
      <c r="K71" s="85">
        <v>249054786.29</v>
      </c>
      <c r="L71" s="86">
        <f t="shared" si="2"/>
        <v>721321896.18</v>
      </c>
      <c r="M71" s="79"/>
      <c r="N71" s="90"/>
      <c r="O71" s="87">
        <v>10</v>
      </c>
      <c r="P71" s="90"/>
      <c r="Q71" s="85" t="s">
        <v>261</v>
      </c>
      <c r="R71" s="85">
        <v>366704897.37</v>
      </c>
      <c r="S71" s="89">
        <v>0</v>
      </c>
      <c r="T71" s="85">
        <v>56860118.11</v>
      </c>
      <c r="U71" s="85">
        <v>12706950.4643</v>
      </c>
      <c r="V71" s="85">
        <f t="shared" si="11"/>
        <v>6353475.23215</v>
      </c>
      <c r="W71" s="85">
        <f t="shared" si="12"/>
        <v>6353475.23215</v>
      </c>
      <c r="X71" s="85">
        <v>242956130.55</v>
      </c>
      <c r="Y71" s="86">
        <f t="shared" si="7"/>
        <v>672874621.26215</v>
      </c>
    </row>
    <row r="72" ht="24.95" customHeight="1" spans="1:25">
      <c r="A72" s="83"/>
      <c r="B72" s="90"/>
      <c r="C72" s="80">
        <v>26</v>
      </c>
      <c r="D72" s="85" t="s">
        <v>262</v>
      </c>
      <c r="E72" s="85">
        <v>304569362.46</v>
      </c>
      <c r="F72" s="85">
        <v>0</v>
      </c>
      <c r="G72" s="85">
        <v>47225575.79</v>
      </c>
      <c r="H72" s="85">
        <v>10553848.1473</v>
      </c>
      <c r="I72" s="85">
        <v>10553848.1473</v>
      </c>
      <c r="J72" s="85">
        <f t="shared" si="9"/>
        <v>0</v>
      </c>
      <c r="K72" s="85">
        <v>204834060.56</v>
      </c>
      <c r="L72" s="86">
        <f t="shared" ref="L72:L135" si="13">E72+F72+G72+J72+K72</f>
        <v>556628998.81</v>
      </c>
      <c r="M72" s="79"/>
      <c r="N72" s="90"/>
      <c r="O72" s="87">
        <v>11</v>
      </c>
      <c r="P72" s="90"/>
      <c r="Q72" s="85" t="s">
        <v>263</v>
      </c>
      <c r="R72" s="85">
        <v>387336076.08</v>
      </c>
      <c r="S72" s="89">
        <v>0</v>
      </c>
      <c r="T72" s="85">
        <v>60059124.36</v>
      </c>
      <c r="U72" s="85">
        <v>13421856.0132</v>
      </c>
      <c r="V72" s="85">
        <f t="shared" si="11"/>
        <v>6710928.0066</v>
      </c>
      <c r="W72" s="85">
        <f t="shared" si="12"/>
        <v>6710928.0066</v>
      </c>
      <c r="X72" s="85">
        <v>253997605.99</v>
      </c>
      <c r="Y72" s="86">
        <f t="shared" si="7"/>
        <v>708103734.4366</v>
      </c>
    </row>
    <row r="73" ht="24.95" customHeight="1" spans="1:25">
      <c r="A73" s="83"/>
      <c r="B73" s="90"/>
      <c r="C73" s="80">
        <v>27</v>
      </c>
      <c r="D73" s="85" t="s">
        <v>264</v>
      </c>
      <c r="E73" s="85">
        <v>373709094.96</v>
      </c>
      <c r="F73" s="85">
        <v>0</v>
      </c>
      <c r="G73" s="85">
        <v>57946167.15</v>
      </c>
      <c r="H73" s="85">
        <v>12949657.8633</v>
      </c>
      <c r="I73" s="85">
        <v>12949657.8633</v>
      </c>
      <c r="J73" s="85">
        <f t="shared" si="9"/>
        <v>0</v>
      </c>
      <c r="K73" s="85">
        <v>232155294.53</v>
      </c>
      <c r="L73" s="86">
        <f t="shared" si="13"/>
        <v>663810556.64</v>
      </c>
      <c r="M73" s="79"/>
      <c r="N73" s="90"/>
      <c r="O73" s="87">
        <v>12</v>
      </c>
      <c r="P73" s="90"/>
      <c r="Q73" s="85" t="s">
        <v>265</v>
      </c>
      <c r="R73" s="85">
        <v>427315884.6</v>
      </c>
      <c r="S73" s="89">
        <v>0</v>
      </c>
      <c r="T73" s="85">
        <v>66258268.82</v>
      </c>
      <c r="U73" s="85">
        <v>14807224.6028</v>
      </c>
      <c r="V73" s="85">
        <f t="shared" si="11"/>
        <v>7403612.3014</v>
      </c>
      <c r="W73" s="85">
        <f t="shared" si="12"/>
        <v>7403612.3014</v>
      </c>
      <c r="X73" s="85">
        <v>269679116.36</v>
      </c>
      <c r="Y73" s="86">
        <f t="shared" si="7"/>
        <v>770656882.0814</v>
      </c>
    </row>
    <row r="74" ht="24.95" customHeight="1" spans="1:25">
      <c r="A74" s="83"/>
      <c r="B74" s="90"/>
      <c r="C74" s="80">
        <v>28</v>
      </c>
      <c r="D74" s="85" t="s">
        <v>266</v>
      </c>
      <c r="E74" s="85">
        <v>304677823.33</v>
      </c>
      <c r="F74" s="85">
        <v>0</v>
      </c>
      <c r="G74" s="85">
        <v>47242393.39</v>
      </c>
      <c r="H74" s="85">
        <v>10557606.5017</v>
      </c>
      <c r="I74" s="85">
        <v>10557606.5017</v>
      </c>
      <c r="J74" s="85">
        <f t="shared" si="9"/>
        <v>0</v>
      </c>
      <c r="K74" s="85">
        <v>208695076.38</v>
      </c>
      <c r="L74" s="86">
        <f t="shared" si="13"/>
        <v>560615293.1</v>
      </c>
      <c r="M74" s="79"/>
      <c r="N74" s="90"/>
      <c r="O74" s="87">
        <v>13</v>
      </c>
      <c r="P74" s="90"/>
      <c r="Q74" s="85" t="s">
        <v>267</v>
      </c>
      <c r="R74" s="85">
        <v>355620155.39</v>
      </c>
      <c r="S74" s="89">
        <v>0</v>
      </c>
      <c r="T74" s="85">
        <v>55141352.58</v>
      </c>
      <c r="U74" s="85">
        <v>12322845.2391</v>
      </c>
      <c r="V74" s="85">
        <f t="shared" si="11"/>
        <v>6161422.61955</v>
      </c>
      <c r="W74" s="85">
        <f t="shared" si="12"/>
        <v>6161422.61955</v>
      </c>
      <c r="X74" s="85">
        <v>229691320.48</v>
      </c>
      <c r="Y74" s="86">
        <f t="shared" si="7"/>
        <v>646614251.06955</v>
      </c>
    </row>
    <row r="75" ht="24.95" customHeight="1" spans="1:25">
      <c r="A75" s="83"/>
      <c r="B75" s="90"/>
      <c r="C75" s="80">
        <v>29</v>
      </c>
      <c r="D75" s="85" t="s">
        <v>268</v>
      </c>
      <c r="E75" s="85">
        <v>397348793.72</v>
      </c>
      <c r="F75" s="85">
        <v>0</v>
      </c>
      <c r="G75" s="85">
        <v>61611665.14</v>
      </c>
      <c r="H75" s="85">
        <v>13768813.7659</v>
      </c>
      <c r="I75" s="85">
        <v>13768813.7659</v>
      </c>
      <c r="J75" s="85">
        <f t="shared" si="9"/>
        <v>0</v>
      </c>
      <c r="K75" s="85">
        <v>228920309.29</v>
      </c>
      <c r="L75" s="86">
        <f t="shared" si="13"/>
        <v>687880768.15</v>
      </c>
      <c r="M75" s="79"/>
      <c r="N75" s="90"/>
      <c r="O75" s="87">
        <v>14</v>
      </c>
      <c r="P75" s="90"/>
      <c r="Q75" s="85" t="s">
        <v>269</v>
      </c>
      <c r="R75" s="85">
        <v>408097369.16</v>
      </c>
      <c r="S75" s="89">
        <v>0</v>
      </c>
      <c r="T75" s="85">
        <v>63278305.74</v>
      </c>
      <c r="U75" s="85">
        <v>14141270.2471</v>
      </c>
      <c r="V75" s="85">
        <f t="shared" si="11"/>
        <v>7070635.12355</v>
      </c>
      <c r="W75" s="85">
        <f t="shared" si="12"/>
        <v>7070635.12355</v>
      </c>
      <c r="X75" s="85">
        <v>255325976.2</v>
      </c>
      <c r="Y75" s="86">
        <f t="shared" si="7"/>
        <v>733772286.22355</v>
      </c>
    </row>
    <row r="76" ht="24.95" customHeight="1" spans="1:25">
      <c r="A76" s="83"/>
      <c r="B76" s="90"/>
      <c r="C76" s="80">
        <v>30</v>
      </c>
      <c r="D76" s="85" t="s">
        <v>270</v>
      </c>
      <c r="E76" s="85">
        <v>328786565.75</v>
      </c>
      <c r="F76" s="85">
        <v>0</v>
      </c>
      <c r="G76" s="85">
        <v>50980619.84</v>
      </c>
      <c r="H76" s="85">
        <v>11393015.5675</v>
      </c>
      <c r="I76" s="85">
        <v>11393015.5675</v>
      </c>
      <c r="J76" s="85">
        <f t="shared" si="9"/>
        <v>0</v>
      </c>
      <c r="K76" s="85">
        <v>211457760.44</v>
      </c>
      <c r="L76" s="86">
        <f t="shared" si="13"/>
        <v>591224946.03</v>
      </c>
      <c r="M76" s="79"/>
      <c r="N76" s="90"/>
      <c r="O76" s="87">
        <v>15</v>
      </c>
      <c r="P76" s="90"/>
      <c r="Q76" s="85" t="s">
        <v>271</v>
      </c>
      <c r="R76" s="85">
        <v>472130014.23</v>
      </c>
      <c r="S76" s="89">
        <v>0</v>
      </c>
      <c r="T76" s="85">
        <v>73207008.05</v>
      </c>
      <c r="U76" s="85">
        <v>16360110.6683</v>
      </c>
      <c r="V76" s="85">
        <f t="shared" si="11"/>
        <v>8180055.33415</v>
      </c>
      <c r="W76" s="85">
        <f t="shared" si="12"/>
        <v>8180055.33415</v>
      </c>
      <c r="X76" s="85">
        <v>263135059.43</v>
      </c>
      <c r="Y76" s="86">
        <f t="shared" si="7"/>
        <v>816652137.04415</v>
      </c>
    </row>
    <row r="77" ht="24.95" customHeight="1" spans="1:25">
      <c r="A77" s="83"/>
      <c r="B77" s="92"/>
      <c r="C77" s="80">
        <v>31</v>
      </c>
      <c r="D77" s="85" t="s">
        <v>272</v>
      </c>
      <c r="E77" s="85">
        <v>496976926.97</v>
      </c>
      <c r="F77" s="85">
        <v>0</v>
      </c>
      <c r="G77" s="85">
        <v>77059692.87</v>
      </c>
      <c r="H77" s="85">
        <v>17221098.5948</v>
      </c>
      <c r="I77" s="85">
        <v>17221098.5948</v>
      </c>
      <c r="J77" s="85">
        <f t="shared" si="9"/>
        <v>0</v>
      </c>
      <c r="K77" s="85">
        <v>299774005.78</v>
      </c>
      <c r="L77" s="86">
        <f t="shared" si="13"/>
        <v>873810625.62</v>
      </c>
      <c r="M77" s="79"/>
      <c r="N77" s="90"/>
      <c r="O77" s="87">
        <v>16</v>
      </c>
      <c r="P77" s="90"/>
      <c r="Q77" s="85" t="s">
        <v>273</v>
      </c>
      <c r="R77" s="85">
        <v>378267635.58</v>
      </c>
      <c r="S77" s="89">
        <v>0</v>
      </c>
      <c r="T77" s="85">
        <v>58653000.25</v>
      </c>
      <c r="U77" s="85">
        <v>13107619.0749</v>
      </c>
      <c r="V77" s="85">
        <f t="shared" si="11"/>
        <v>6553809.53745</v>
      </c>
      <c r="W77" s="85">
        <f t="shared" si="12"/>
        <v>6553809.53745</v>
      </c>
      <c r="X77" s="85">
        <v>244272646.93</v>
      </c>
      <c r="Y77" s="86">
        <f t="shared" si="7"/>
        <v>687747092.29745</v>
      </c>
    </row>
    <row r="78" ht="24.95" customHeight="1" spans="1:25">
      <c r="A78" s="80"/>
      <c r="B78" s="93" t="s">
        <v>274</v>
      </c>
      <c r="C78" s="94"/>
      <c r="D78" s="95"/>
      <c r="E78" s="95">
        <f t="shared" ref="E78:L78" si="14">SUM(E47:E77)</f>
        <v>11244730831.13</v>
      </c>
      <c r="F78" s="85">
        <v>0</v>
      </c>
      <c r="G78" s="95">
        <f t="shared" si="14"/>
        <v>1743572905</v>
      </c>
      <c r="H78" s="95">
        <f t="shared" si="14"/>
        <v>389649112.0842</v>
      </c>
      <c r="I78" s="95">
        <f t="shared" si="14"/>
        <v>389649112.0842</v>
      </c>
      <c r="J78" s="95">
        <f t="shared" si="14"/>
        <v>0</v>
      </c>
      <c r="K78" s="95">
        <f t="shared" si="14"/>
        <v>7190214879.03</v>
      </c>
      <c r="L78" s="95">
        <f t="shared" si="14"/>
        <v>20178518615.16</v>
      </c>
      <c r="M78" s="79"/>
      <c r="N78" s="90"/>
      <c r="O78" s="87">
        <v>17</v>
      </c>
      <c r="P78" s="90"/>
      <c r="Q78" s="85" t="s">
        <v>275</v>
      </c>
      <c r="R78" s="85">
        <v>372770958.82</v>
      </c>
      <c r="S78" s="89">
        <v>0</v>
      </c>
      <c r="T78" s="85">
        <v>57800702.69</v>
      </c>
      <c r="U78" s="85">
        <v>12917149.8451</v>
      </c>
      <c r="V78" s="85">
        <f t="shared" si="11"/>
        <v>6458574.92255</v>
      </c>
      <c r="W78" s="85">
        <f t="shared" si="12"/>
        <v>6458574.92255</v>
      </c>
      <c r="X78" s="85">
        <v>231370860.51</v>
      </c>
      <c r="Y78" s="86">
        <f t="shared" si="7"/>
        <v>668401096.94255</v>
      </c>
    </row>
    <row r="79" ht="24.95" customHeight="1" spans="1:25">
      <c r="A79" s="83">
        <v>4</v>
      </c>
      <c r="B79" s="84" t="s">
        <v>276</v>
      </c>
      <c r="C79" s="80">
        <v>1</v>
      </c>
      <c r="D79" s="85" t="s">
        <v>277</v>
      </c>
      <c r="E79" s="85">
        <v>558988572.1</v>
      </c>
      <c r="F79" s="85">
        <v>0</v>
      </c>
      <c r="G79" s="85">
        <v>86675025.23</v>
      </c>
      <c r="H79" s="85">
        <v>19369907.9199</v>
      </c>
      <c r="I79" s="85">
        <v>0</v>
      </c>
      <c r="J79" s="85">
        <f t="shared" ref="J79:J99" si="15">H79-I79</f>
        <v>19369907.9199</v>
      </c>
      <c r="K79" s="85">
        <v>352195757.96</v>
      </c>
      <c r="L79" s="86">
        <f t="shared" si="13"/>
        <v>1017229263.2099</v>
      </c>
      <c r="M79" s="79"/>
      <c r="N79" s="90"/>
      <c r="O79" s="87">
        <v>18</v>
      </c>
      <c r="P79" s="90"/>
      <c r="Q79" s="85" t="s">
        <v>278</v>
      </c>
      <c r="R79" s="85">
        <v>386842800.57</v>
      </c>
      <c r="S79" s="89">
        <v>0</v>
      </c>
      <c r="T79" s="85">
        <v>59982638.6</v>
      </c>
      <c r="U79" s="85">
        <v>13404763.175</v>
      </c>
      <c r="V79" s="85">
        <f t="shared" si="11"/>
        <v>6702381.5875</v>
      </c>
      <c r="W79" s="85">
        <f t="shared" si="12"/>
        <v>6702381.5875</v>
      </c>
      <c r="X79" s="85">
        <v>245154275.8</v>
      </c>
      <c r="Y79" s="86">
        <f t="shared" si="7"/>
        <v>698682096.5575</v>
      </c>
    </row>
    <row r="80" ht="24.95" customHeight="1" spans="1:25">
      <c r="A80" s="83"/>
      <c r="B80" s="90"/>
      <c r="C80" s="80">
        <v>2</v>
      </c>
      <c r="D80" s="85" t="s">
        <v>279</v>
      </c>
      <c r="E80" s="85">
        <v>367622699.4</v>
      </c>
      <c r="F80" s="85">
        <v>0</v>
      </c>
      <c r="G80" s="85">
        <v>57002429.63</v>
      </c>
      <c r="H80" s="85">
        <v>12738753.8711</v>
      </c>
      <c r="I80" s="85">
        <v>0</v>
      </c>
      <c r="J80" s="85">
        <f t="shared" si="15"/>
        <v>12738753.8711</v>
      </c>
      <c r="K80" s="85">
        <v>271870848.53</v>
      </c>
      <c r="L80" s="86">
        <f t="shared" si="13"/>
        <v>709234731.4311</v>
      </c>
      <c r="M80" s="79"/>
      <c r="N80" s="90"/>
      <c r="O80" s="87">
        <v>19</v>
      </c>
      <c r="P80" s="90"/>
      <c r="Q80" s="85" t="s">
        <v>280</v>
      </c>
      <c r="R80" s="85">
        <v>468028037.31</v>
      </c>
      <c r="S80" s="89">
        <v>0</v>
      </c>
      <c r="T80" s="85">
        <v>72570968.27</v>
      </c>
      <c r="U80" s="85">
        <v>16217970.168</v>
      </c>
      <c r="V80" s="85">
        <f t="shared" si="11"/>
        <v>8108985.084</v>
      </c>
      <c r="W80" s="85">
        <f t="shared" si="12"/>
        <v>8108985.084</v>
      </c>
      <c r="X80" s="85">
        <v>253705334.92</v>
      </c>
      <c r="Y80" s="86">
        <f t="shared" si="7"/>
        <v>802413325.584</v>
      </c>
    </row>
    <row r="81" ht="24.95" customHeight="1" spans="1:25">
      <c r="A81" s="83"/>
      <c r="B81" s="90"/>
      <c r="C81" s="80">
        <v>3</v>
      </c>
      <c r="D81" s="85" t="s">
        <v>281</v>
      </c>
      <c r="E81" s="85">
        <v>378179796.92</v>
      </c>
      <c r="F81" s="85">
        <v>0</v>
      </c>
      <c r="G81" s="85">
        <v>58639380.26</v>
      </c>
      <c r="H81" s="85">
        <v>13104575.3154</v>
      </c>
      <c r="I81" s="85">
        <v>0</v>
      </c>
      <c r="J81" s="85">
        <f t="shared" si="15"/>
        <v>13104575.3154</v>
      </c>
      <c r="K81" s="85">
        <v>277088387.41</v>
      </c>
      <c r="L81" s="86">
        <f t="shared" si="13"/>
        <v>727012139.9054</v>
      </c>
      <c r="M81" s="79"/>
      <c r="N81" s="90"/>
      <c r="O81" s="87">
        <v>20</v>
      </c>
      <c r="P81" s="90"/>
      <c r="Q81" s="85" t="s">
        <v>282</v>
      </c>
      <c r="R81" s="85">
        <v>359647189.94</v>
      </c>
      <c r="S81" s="89">
        <v>0</v>
      </c>
      <c r="T81" s="85">
        <v>55765772</v>
      </c>
      <c r="U81" s="85">
        <v>12462388.8583</v>
      </c>
      <c r="V81" s="85">
        <f t="shared" si="11"/>
        <v>6231194.42915</v>
      </c>
      <c r="W81" s="85">
        <f t="shared" si="12"/>
        <v>6231194.42915</v>
      </c>
      <c r="X81" s="85">
        <v>235015914.3</v>
      </c>
      <c r="Y81" s="86">
        <f t="shared" si="7"/>
        <v>656660070.66915</v>
      </c>
    </row>
    <row r="82" ht="24.95" customHeight="1" spans="1:25">
      <c r="A82" s="83"/>
      <c r="B82" s="90"/>
      <c r="C82" s="80">
        <v>4</v>
      </c>
      <c r="D82" s="85" t="s">
        <v>283</v>
      </c>
      <c r="E82" s="85">
        <v>457104062.42</v>
      </c>
      <c r="F82" s="85">
        <v>0</v>
      </c>
      <c r="G82" s="85">
        <v>70877130.81</v>
      </c>
      <c r="H82" s="85">
        <v>15839435.7967</v>
      </c>
      <c r="I82" s="85">
        <v>0</v>
      </c>
      <c r="J82" s="85">
        <f t="shared" si="15"/>
        <v>15839435.7967</v>
      </c>
      <c r="K82" s="85">
        <v>320646039.33</v>
      </c>
      <c r="L82" s="86">
        <f t="shared" si="13"/>
        <v>864466668.3567</v>
      </c>
      <c r="M82" s="79"/>
      <c r="N82" s="92"/>
      <c r="O82" s="87">
        <v>21</v>
      </c>
      <c r="P82" s="92"/>
      <c r="Q82" s="85" t="s">
        <v>284</v>
      </c>
      <c r="R82" s="85">
        <v>429579819.06</v>
      </c>
      <c r="S82" s="89">
        <v>0</v>
      </c>
      <c r="T82" s="85">
        <v>66609307.44</v>
      </c>
      <c r="U82" s="85">
        <v>14885673.7951</v>
      </c>
      <c r="V82" s="85">
        <f t="shared" si="11"/>
        <v>7442836.89755</v>
      </c>
      <c r="W82" s="85">
        <f t="shared" si="12"/>
        <v>7442836.89755</v>
      </c>
      <c r="X82" s="85">
        <v>259379246.38</v>
      </c>
      <c r="Y82" s="86">
        <f t="shared" si="7"/>
        <v>763011209.77755</v>
      </c>
    </row>
    <row r="83" ht="24.95" customHeight="1" spans="1:25">
      <c r="A83" s="83"/>
      <c r="B83" s="90"/>
      <c r="C83" s="80">
        <v>5</v>
      </c>
      <c r="D83" s="85" t="s">
        <v>285</v>
      </c>
      <c r="E83" s="85">
        <v>347155664.15</v>
      </c>
      <c r="F83" s="85">
        <v>0</v>
      </c>
      <c r="G83" s="85">
        <v>53828874.96</v>
      </c>
      <c r="H83" s="85">
        <v>12029536.1731</v>
      </c>
      <c r="I83" s="85">
        <v>0</v>
      </c>
      <c r="J83" s="85">
        <f t="shared" si="15"/>
        <v>12029536.1731</v>
      </c>
      <c r="K83" s="85">
        <v>256785734.15</v>
      </c>
      <c r="L83" s="86">
        <f t="shared" si="13"/>
        <v>669799809.4331</v>
      </c>
      <c r="M83" s="79"/>
      <c r="N83" s="80"/>
      <c r="O83" s="94" t="s">
        <v>286</v>
      </c>
      <c r="P83" s="101"/>
      <c r="Q83" s="95"/>
      <c r="R83" s="95">
        <f t="shared" ref="R83:Y83" si="16">SUM(R62:R82)</f>
        <v>8854514646.17</v>
      </c>
      <c r="S83" s="89">
        <v>0</v>
      </c>
      <c r="T83" s="95">
        <f t="shared" si="16"/>
        <v>1372953435.33</v>
      </c>
      <c r="U83" s="95">
        <f t="shared" si="16"/>
        <v>306824042.4446</v>
      </c>
      <c r="V83" s="95">
        <f t="shared" si="16"/>
        <v>153412021.2223</v>
      </c>
      <c r="W83" s="95">
        <f t="shared" si="16"/>
        <v>153412021.2223</v>
      </c>
      <c r="X83" s="95">
        <f t="shared" si="16"/>
        <v>5358853518.62</v>
      </c>
      <c r="Y83" s="95">
        <f t="shared" si="16"/>
        <v>15739733621.3423</v>
      </c>
    </row>
    <row r="84" ht="24.95" customHeight="1" spans="1:25">
      <c r="A84" s="83"/>
      <c r="B84" s="90"/>
      <c r="C84" s="80">
        <v>6</v>
      </c>
      <c r="D84" s="85" t="s">
        <v>287</v>
      </c>
      <c r="E84" s="85">
        <v>399653581.04</v>
      </c>
      <c r="F84" s="85">
        <v>0</v>
      </c>
      <c r="G84" s="85">
        <v>61969038.28</v>
      </c>
      <c r="H84" s="85">
        <v>13848678.5796</v>
      </c>
      <c r="I84" s="85">
        <v>0</v>
      </c>
      <c r="J84" s="85">
        <f t="shared" si="15"/>
        <v>13848678.5796</v>
      </c>
      <c r="K84" s="85">
        <v>285101949.27</v>
      </c>
      <c r="L84" s="86">
        <f t="shared" si="13"/>
        <v>760573247.1696</v>
      </c>
      <c r="M84" s="79"/>
      <c r="N84" s="84">
        <v>22</v>
      </c>
      <c r="O84" s="102">
        <v>1</v>
      </c>
      <c r="P84" s="83" t="s">
        <v>109</v>
      </c>
      <c r="Q84" s="103" t="s">
        <v>288</v>
      </c>
      <c r="R84" s="85">
        <v>458852915.08</v>
      </c>
      <c r="S84" s="89">
        <v>0</v>
      </c>
      <c r="T84" s="104">
        <v>71148302.45</v>
      </c>
      <c r="U84" s="85">
        <v>15900036.5259</v>
      </c>
      <c r="V84" s="85">
        <f t="shared" ref="V84:V104" si="17">U84/2</f>
        <v>7950018.26295</v>
      </c>
      <c r="W84" s="85">
        <f t="shared" ref="W84:W104" si="18">U84-V84</f>
        <v>7950018.26295</v>
      </c>
      <c r="X84" s="85">
        <v>289069590.04</v>
      </c>
      <c r="Y84" s="86">
        <f t="shared" si="7"/>
        <v>827020825.83295</v>
      </c>
    </row>
    <row r="85" ht="24.95" customHeight="1" spans="1:25">
      <c r="A85" s="83"/>
      <c r="B85" s="90"/>
      <c r="C85" s="80">
        <v>7</v>
      </c>
      <c r="D85" s="85" t="s">
        <v>289</v>
      </c>
      <c r="E85" s="85">
        <v>370388712.72</v>
      </c>
      <c r="F85" s="85">
        <v>0</v>
      </c>
      <c r="G85" s="85">
        <v>57431319.04</v>
      </c>
      <c r="H85" s="85">
        <v>12834600.9528</v>
      </c>
      <c r="I85" s="85">
        <v>0</v>
      </c>
      <c r="J85" s="85">
        <f t="shared" si="15"/>
        <v>12834600.9528</v>
      </c>
      <c r="K85" s="85">
        <v>273752274.16</v>
      </c>
      <c r="L85" s="86">
        <f t="shared" si="13"/>
        <v>714406906.8728</v>
      </c>
      <c r="M85" s="79"/>
      <c r="N85" s="90"/>
      <c r="O85" s="102">
        <v>2</v>
      </c>
      <c r="P85" s="83"/>
      <c r="Q85" s="103" t="s">
        <v>290</v>
      </c>
      <c r="R85" s="85">
        <v>405729524.14</v>
      </c>
      <c r="S85" s="89">
        <v>0</v>
      </c>
      <c r="T85" s="104">
        <v>62911155.07</v>
      </c>
      <c r="U85" s="85">
        <v>14059220.3764</v>
      </c>
      <c r="V85" s="85">
        <f t="shared" si="17"/>
        <v>7029610.1882</v>
      </c>
      <c r="W85" s="85">
        <f t="shared" si="18"/>
        <v>7029610.1882</v>
      </c>
      <c r="X85" s="85">
        <v>259482051.29</v>
      </c>
      <c r="Y85" s="86">
        <f t="shared" si="7"/>
        <v>735152340.6882</v>
      </c>
    </row>
    <row r="86" ht="24.95" customHeight="1" spans="1:25">
      <c r="A86" s="83"/>
      <c r="B86" s="90"/>
      <c r="C86" s="80">
        <v>8</v>
      </c>
      <c r="D86" s="85" t="s">
        <v>291</v>
      </c>
      <c r="E86" s="85">
        <v>331173531.3</v>
      </c>
      <c r="F86" s="85">
        <v>0</v>
      </c>
      <c r="G86" s="85">
        <v>51350735.26</v>
      </c>
      <c r="H86" s="85">
        <v>11475727.997</v>
      </c>
      <c r="I86" s="85">
        <v>0</v>
      </c>
      <c r="J86" s="85">
        <f t="shared" si="15"/>
        <v>11475727.997</v>
      </c>
      <c r="K86" s="85">
        <v>250775099.72</v>
      </c>
      <c r="L86" s="86">
        <f t="shared" si="13"/>
        <v>644775094.277</v>
      </c>
      <c r="M86" s="79"/>
      <c r="N86" s="90"/>
      <c r="O86" s="102">
        <v>3</v>
      </c>
      <c r="P86" s="83"/>
      <c r="Q86" s="103" t="s">
        <v>292</v>
      </c>
      <c r="R86" s="85">
        <v>512050321.89</v>
      </c>
      <c r="S86" s="89">
        <v>0</v>
      </c>
      <c r="T86" s="104">
        <v>79396926.5</v>
      </c>
      <c r="U86" s="85">
        <v>17743417.4516</v>
      </c>
      <c r="V86" s="85">
        <f t="shared" si="17"/>
        <v>8871708.7258</v>
      </c>
      <c r="W86" s="85">
        <f t="shared" si="18"/>
        <v>8871708.7258</v>
      </c>
      <c r="X86" s="85">
        <v>313206587.99</v>
      </c>
      <c r="Y86" s="86">
        <f t="shared" si="7"/>
        <v>913525545.1058</v>
      </c>
    </row>
    <row r="87" ht="24.95" customHeight="1" spans="1:25">
      <c r="A87" s="83"/>
      <c r="B87" s="90"/>
      <c r="C87" s="80">
        <v>9</v>
      </c>
      <c r="D87" s="85" t="s">
        <v>293</v>
      </c>
      <c r="E87" s="85">
        <v>367830286.07</v>
      </c>
      <c r="F87" s="85">
        <v>0</v>
      </c>
      <c r="G87" s="85">
        <v>57034617.37</v>
      </c>
      <c r="H87" s="85">
        <v>12745947.1033</v>
      </c>
      <c r="I87" s="85">
        <v>0</v>
      </c>
      <c r="J87" s="85">
        <f t="shared" si="15"/>
        <v>12745947.1033</v>
      </c>
      <c r="K87" s="85">
        <v>273685966.78</v>
      </c>
      <c r="L87" s="86">
        <f t="shared" si="13"/>
        <v>711296817.3233</v>
      </c>
      <c r="M87" s="79"/>
      <c r="N87" s="90"/>
      <c r="O87" s="102">
        <v>4</v>
      </c>
      <c r="P87" s="83"/>
      <c r="Q87" s="103" t="s">
        <v>294</v>
      </c>
      <c r="R87" s="85">
        <v>405436200.6</v>
      </c>
      <c r="S87" s="89">
        <v>0</v>
      </c>
      <c r="T87" s="104">
        <v>62865673.24</v>
      </c>
      <c r="U87" s="85">
        <v>14049056.2151</v>
      </c>
      <c r="V87" s="85">
        <f t="shared" si="17"/>
        <v>7024528.10755</v>
      </c>
      <c r="W87" s="85">
        <f t="shared" si="18"/>
        <v>7024528.10755</v>
      </c>
      <c r="X87" s="85">
        <v>266028330.81</v>
      </c>
      <c r="Y87" s="86">
        <f t="shared" si="7"/>
        <v>741354732.75755</v>
      </c>
    </row>
    <row r="88" ht="24.95" customHeight="1" spans="1:25">
      <c r="A88" s="83"/>
      <c r="B88" s="90"/>
      <c r="C88" s="80">
        <v>10</v>
      </c>
      <c r="D88" s="85" t="s">
        <v>295</v>
      </c>
      <c r="E88" s="85">
        <v>581920772.27</v>
      </c>
      <c r="F88" s="85">
        <v>0</v>
      </c>
      <c r="G88" s="85">
        <v>90230820.7</v>
      </c>
      <c r="H88" s="85">
        <v>20164547.7891</v>
      </c>
      <c r="I88" s="85">
        <v>0</v>
      </c>
      <c r="J88" s="85">
        <f t="shared" si="15"/>
        <v>20164547.7891</v>
      </c>
      <c r="K88" s="85">
        <v>374648029.83</v>
      </c>
      <c r="L88" s="86">
        <f t="shared" si="13"/>
        <v>1066964170.5891</v>
      </c>
      <c r="M88" s="79"/>
      <c r="N88" s="90"/>
      <c r="O88" s="102">
        <v>5</v>
      </c>
      <c r="P88" s="83"/>
      <c r="Q88" s="103" t="s">
        <v>296</v>
      </c>
      <c r="R88" s="85">
        <v>554357218.07</v>
      </c>
      <c r="S88" s="89">
        <v>0</v>
      </c>
      <c r="T88" s="104">
        <v>85956901.92</v>
      </c>
      <c r="U88" s="85">
        <v>19209423.5997</v>
      </c>
      <c r="V88" s="85">
        <f t="shared" si="17"/>
        <v>9604711.79985</v>
      </c>
      <c r="W88" s="85">
        <f t="shared" si="18"/>
        <v>9604711.79985</v>
      </c>
      <c r="X88" s="85">
        <v>310598374.2</v>
      </c>
      <c r="Y88" s="86">
        <f t="shared" si="7"/>
        <v>960517205.98985</v>
      </c>
    </row>
    <row r="89" ht="24.95" customHeight="1" spans="1:25">
      <c r="A89" s="83"/>
      <c r="B89" s="90"/>
      <c r="C89" s="80">
        <v>11</v>
      </c>
      <c r="D89" s="85" t="s">
        <v>297</v>
      </c>
      <c r="E89" s="85">
        <v>404435639.48</v>
      </c>
      <c r="F89" s="85">
        <v>0</v>
      </c>
      <c r="G89" s="85">
        <v>62710529.35</v>
      </c>
      <c r="H89" s="85">
        <v>14014385.0648</v>
      </c>
      <c r="I89" s="85">
        <v>0</v>
      </c>
      <c r="J89" s="85">
        <f t="shared" si="15"/>
        <v>14014385.0648</v>
      </c>
      <c r="K89" s="85">
        <v>292004584.66</v>
      </c>
      <c r="L89" s="86">
        <f t="shared" si="13"/>
        <v>773165138.5548</v>
      </c>
      <c r="M89" s="79"/>
      <c r="N89" s="90"/>
      <c r="O89" s="102">
        <v>6</v>
      </c>
      <c r="P89" s="83"/>
      <c r="Q89" s="103" t="s">
        <v>298</v>
      </c>
      <c r="R89" s="85">
        <v>431016794.17</v>
      </c>
      <c r="S89" s="89">
        <v>0</v>
      </c>
      <c r="T89" s="104">
        <v>66832120.32</v>
      </c>
      <c r="U89" s="85">
        <v>14935467.4347</v>
      </c>
      <c r="V89" s="85">
        <f t="shared" si="17"/>
        <v>7467733.71735</v>
      </c>
      <c r="W89" s="85">
        <f t="shared" si="18"/>
        <v>7467733.71735</v>
      </c>
      <c r="X89" s="85">
        <v>261633522.06</v>
      </c>
      <c r="Y89" s="86">
        <f t="shared" si="7"/>
        <v>766950170.26735</v>
      </c>
    </row>
    <row r="90" ht="24.95" customHeight="1" spans="1:25">
      <c r="A90" s="83"/>
      <c r="B90" s="90"/>
      <c r="C90" s="80">
        <v>12</v>
      </c>
      <c r="D90" s="85" t="s">
        <v>299</v>
      </c>
      <c r="E90" s="85">
        <v>494463175.07</v>
      </c>
      <c r="F90" s="85">
        <v>0</v>
      </c>
      <c r="G90" s="85">
        <v>76669918.34</v>
      </c>
      <c r="H90" s="85">
        <v>17133992.8022</v>
      </c>
      <c r="I90" s="85">
        <v>0</v>
      </c>
      <c r="J90" s="85">
        <f t="shared" si="15"/>
        <v>17133992.8022</v>
      </c>
      <c r="K90" s="85">
        <v>327001175.8</v>
      </c>
      <c r="L90" s="86">
        <f t="shared" si="13"/>
        <v>915268262.0122</v>
      </c>
      <c r="M90" s="79"/>
      <c r="N90" s="90"/>
      <c r="O90" s="102">
        <v>7</v>
      </c>
      <c r="P90" s="83"/>
      <c r="Q90" s="103" t="s">
        <v>300</v>
      </c>
      <c r="R90" s="85">
        <v>361662233.97</v>
      </c>
      <c r="S90" s="89">
        <v>0</v>
      </c>
      <c r="T90" s="104">
        <v>56078218.45</v>
      </c>
      <c r="U90" s="85">
        <v>12532213.5724</v>
      </c>
      <c r="V90" s="85">
        <f t="shared" si="17"/>
        <v>6266106.7862</v>
      </c>
      <c r="W90" s="85">
        <f t="shared" si="18"/>
        <v>6266106.7862</v>
      </c>
      <c r="X90" s="85">
        <v>243736456.13</v>
      </c>
      <c r="Y90" s="86">
        <f t="shared" si="7"/>
        <v>667743015.3362</v>
      </c>
    </row>
    <row r="91" ht="24.95" customHeight="1" spans="1:25">
      <c r="A91" s="83"/>
      <c r="B91" s="90"/>
      <c r="C91" s="80">
        <v>13</v>
      </c>
      <c r="D91" s="85" t="s">
        <v>301</v>
      </c>
      <c r="E91" s="85">
        <v>363304225.24</v>
      </c>
      <c r="F91" s="85">
        <v>0</v>
      </c>
      <c r="G91" s="85">
        <v>56332820.49</v>
      </c>
      <c r="H91" s="85">
        <v>12589111.3721</v>
      </c>
      <c r="I91" s="85">
        <v>0</v>
      </c>
      <c r="J91" s="85">
        <f t="shared" si="15"/>
        <v>12589111.3721</v>
      </c>
      <c r="K91" s="85">
        <v>270068324.98</v>
      </c>
      <c r="L91" s="86">
        <f t="shared" si="13"/>
        <v>702294482.0821</v>
      </c>
      <c r="M91" s="79"/>
      <c r="N91" s="90"/>
      <c r="O91" s="102">
        <v>8</v>
      </c>
      <c r="P91" s="83"/>
      <c r="Q91" s="103" t="s">
        <v>302</v>
      </c>
      <c r="R91" s="85">
        <v>423796401.12</v>
      </c>
      <c r="S91" s="89">
        <v>0</v>
      </c>
      <c r="T91" s="104">
        <v>65712548.69</v>
      </c>
      <c r="U91" s="85">
        <v>14685268.4944</v>
      </c>
      <c r="V91" s="85">
        <f t="shared" si="17"/>
        <v>7342634.2472</v>
      </c>
      <c r="W91" s="85">
        <f t="shared" si="18"/>
        <v>7342634.2472</v>
      </c>
      <c r="X91" s="85">
        <v>269001790.85</v>
      </c>
      <c r="Y91" s="86">
        <f t="shared" si="7"/>
        <v>765853374.9072</v>
      </c>
    </row>
    <row r="92" ht="24.95" customHeight="1" spans="1:25">
      <c r="A92" s="83"/>
      <c r="B92" s="90"/>
      <c r="C92" s="80">
        <v>14</v>
      </c>
      <c r="D92" s="85" t="s">
        <v>303</v>
      </c>
      <c r="E92" s="85">
        <v>360218301.14</v>
      </c>
      <c r="F92" s="85">
        <v>0</v>
      </c>
      <c r="G92" s="85">
        <v>55854326.72</v>
      </c>
      <c r="H92" s="85">
        <v>12482178.836</v>
      </c>
      <c r="I92" s="85">
        <v>0</v>
      </c>
      <c r="J92" s="85">
        <f t="shared" si="15"/>
        <v>12482178.836</v>
      </c>
      <c r="K92" s="85">
        <v>273440740.6</v>
      </c>
      <c r="L92" s="86">
        <f t="shared" si="13"/>
        <v>701995547.296</v>
      </c>
      <c r="M92" s="79"/>
      <c r="N92" s="90"/>
      <c r="O92" s="102">
        <v>9</v>
      </c>
      <c r="P92" s="83"/>
      <c r="Q92" s="103" t="s">
        <v>304</v>
      </c>
      <c r="R92" s="85">
        <v>415618776.16</v>
      </c>
      <c r="S92" s="89">
        <v>0</v>
      </c>
      <c r="T92" s="104">
        <v>64444551.66</v>
      </c>
      <c r="U92" s="85">
        <v>14401899.8344</v>
      </c>
      <c r="V92" s="85">
        <f t="shared" si="17"/>
        <v>7200949.9172</v>
      </c>
      <c r="W92" s="85">
        <f t="shared" si="18"/>
        <v>7200949.9172</v>
      </c>
      <c r="X92" s="85">
        <v>258595977.23</v>
      </c>
      <c r="Y92" s="86">
        <f t="shared" ref="Y92:Y155" si="19">R92+S92+T92+W92+X92</f>
        <v>745860254.9672</v>
      </c>
    </row>
    <row r="93" ht="24.95" customHeight="1" spans="1:25">
      <c r="A93" s="83"/>
      <c r="B93" s="90"/>
      <c r="C93" s="80">
        <v>15</v>
      </c>
      <c r="D93" s="85" t="s">
        <v>305</v>
      </c>
      <c r="E93" s="85">
        <v>432340838.78</v>
      </c>
      <c r="F93" s="85">
        <v>0</v>
      </c>
      <c r="G93" s="85">
        <v>67037422.55</v>
      </c>
      <c r="H93" s="85">
        <v>14981347.8399</v>
      </c>
      <c r="I93" s="85">
        <v>0</v>
      </c>
      <c r="J93" s="85">
        <f t="shared" si="15"/>
        <v>14981347.8399</v>
      </c>
      <c r="K93" s="85">
        <v>301626563.54</v>
      </c>
      <c r="L93" s="86">
        <f t="shared" si="13"/>
        <v>815986172.7099</v>
      </c>
      <c r="M93" s="79"/>
      <c r="N93" s="90"/>
      <c r="O93" s="102">
        <v>10</v>
      </c>
      <c r="P93" s="83"/>
      <c r="Q93" s="103" t="s">
        <v>306</v>
      </c>
      <c r="R93" s="85">
        <v>439403340.89</v>
      </c>
      <c r="S93" s="89">
        <v>0</v>
      </c>
      <c r="T93" s="104">
        <v>68132512.11</v>
      </c>
      <c r="U93" s="85">
        <v>15226075.59</v>
      </c>
      <c r="V93" s="85">
        <f t="shared" si="17"/>
        <v>7613037.795</v>
      </c>
      <c r="W93" s="85">
        <f t="shared" si="18"/>
        <v>7613037.795</v>
      </c>
      <c r="X93" s="85">
        <v>268048298.12</v>
      </c>
      <c r="Y93" s="86">
        <f t="shared" si="19"/>
        <v>783197188.915</v>
      </c>
    </row>
    <row r="94" ht="24.95" customHeight="1" spans="1:25">
      <c r="A94" s="83"/>
      <c r="B94" s="90"/>
      <c r="C94" s="80">
        <v>16</v>
      </c>
      <c r="D94" s="85" t="s">
        <v>307</v>
      </c>
      <c r="E94" s="85">
        <v>413113905.56</v>
      </c>
      <c r="F94" s="85">
        <v>0</v>
      </c>
      <c r="G94" s="85">
        <v>64056154.23</v>
      </c>
      <c r="H94" s="85">
        <v>14315101.7936</v>
      </c>
      <c r="I94" s="85">
        <v>0</v>
      </c>
      <c r="J94" s="85">
        <f t="shared" si="15"/>
        <v>14315101.7936</v>
      </c>
      <c r="K94" s="85">
        <v>297263241.53</v>
      </c>
      <c r="L94" s="86">
        <f t="shared" si="13"/>
        <v>788748403.1136</v>
      </c>
      <c r="M94" s="79"/>
      <c r="N94" s="90"/>
      <c r="O94" s="102">
        <v>11</v>
      </c>
      <c r="P94" s="83"/>
      <c r="Q94" s="103" t="s">
        <v>109</v>
      </c>
      <c r="R94" s="85">
        <v>386801761.78</v>
      </c>
      <c r="S94" s="89">
        <v>0</v>
      </c>
      <c r="T94" s="104">
        <v>59976275.25</v>
      </c>
      <c r="U94" s="85">
        <v>13403341.1108</v>
      </c>
      <c r="V94" s="85">
        <f t="shared" si="17"/>
        <v>6701670.5554</v>
      </c>
      <c r="W94" s="85">
        <f t="shared" si="18"/>
        <v>6701670.5554</v>
      </c>
      <c r="X94" s="85">
        <v>257103505.52</v>
      </c>
      <c r="Y94" s="86">
        <f t="shared" si="19"/>
        <v>710583213.1054</v>
      </c>
    </row>
    <row r="95" ht="24.95" customHeight="1" spans="1:25">
      <c r="A95" s="83"/>
      <c r="B95" s="90"/>
      <c r="C95" s="80">
        <v>17</v>
      </c>
      <c r="D95" s="85" t="s">
        <v>308</v>
      </c>
      <c r="E95" s="85">
        <v>346075344.42</v>
      </c>
      <c r="F95" s="85">
        <v>0</v>
      </c>
      <c r="G95" s="85">
        <v>53661363.95</v>
      </c>
      <c r="H95" s="85">
        <v>11992101.2509</v>
      </c>
      <c r="I95" s="85">
        <v>0</v>
      </c>
      <c r="J95" s="85">
        <f t="shared" si="15"/>
        <v>11992101.2509</v>
      </c>
      <c r="K95" s="85">
        <v>261354646.09</v>
      </c>
      <c r="L95" s="86">
        <f t="shared" si="13"/>
        <v>673083455.7109</v>
      </c>
      <c r="M95" s="79"/>
      <c r="N95" s="90"/>
      <c r="O95" s="102">
        <v>12</v>
      </c>
      <c r="P95" s="83"/>
      <c r="Q95" s="103" t="s">
        <v>309</v>
      </c>
      <c r="R95" s="85">
        <v>493832625.21</v>
      </c>
      <c r="S95" s="89">
        <v>0</v>
      </c>
      <c r="T95" s="104">
        <v>76572147.24</v>
      </c>
      <c r="U95" s="85">
        <v>17112143.1736</v>
      </c>
      <c r="V95" s="85">
        <f t="shared" si="17"/>
        <v>8556071.5868</v>
      </c>
      <c r="W95" s="85">
        <f t="shared" si="18"/>
        <v>8556071.5868</v>
      </c>
      <c r="X95" s="85">
        <v>286501382.93</v>
      </c>
      <c r="Y95" s="86">
        <f t="shared" si="19"/>
        <v>865462226.9668</v>
      </c>
    </row>
    <row r="96" ht="24.95" customHeight="1" spans="1:25">
      <c r="A96" s="83"/>
      <c r="B96" s="90"/>
      <c r="C96" s="80">
        <v>18</v>
      </c>
      <c r="D96" s="85" t="s">
        <v>310</v>
      </c>
      <c r="E96" s="85">
        <v>358597087.36</v>
      </c>
      <c r="F96" s="85">
        <v>0</v>
      </c>
      <c r="G96" s="85">
        <v>55602946.37</v>
      </c>
      <c r="H96" s="85">
        <v>12426001.012</v>
      </c>
      <c r="I96" s="85">
        <v>0</v>
      </c>
      <c r="J96" s="85">
        <f t="shared" si="15"/>
        <v>12426001.012</v>
      </c>
      <c r="K96" s="85">
        <v>265696112.59</v>
      </c>
      <c r="L96" s="86">
        <f t="shared" si="13"/>
        <v>692322147.332</v>
      </c>
      <c r="M96" s="79"/>
      <c r="N96" s="90"/>
      <c r="O96" s="102">
        <v>13</v>
      </c>
      <c r="P96" s="83"/>
      <c r="Q96" s="103" t="s">
        <v>311</v>
      </c>
      <c r="R96" s="85">
        <v>325959005.32</v>
      </c>
      <c r="S96" s="89">
        <v>0</v>
      </c>
      <c r="T96" s="104">
        <v>50542187.12</v>
      </c>
      <c r="U96" s="85">
        <v>11295035.7734</v>
      </c>
      <c r="V96" s="85">
        <f t="shared" si="17"/>
        <v>5647517.8867</v>
      </c>
      <c r="W96" s="85">
        <f t="shared" si="18"/>
        <v>5647517.8867</v>
      </c>
      <c r="X96" s="85">
        <v>230483129.45</v>
      </c>
      <c r="Y96" s="86">
        <f t="shared" si="19"/>
        <v>612631839.7767</v>
      </c>
    </row>
    <row r="97" ht="24.95" customHeight="1" spans="1:25">
      <c r="A97" s="83"/>
      <c r="B97" s="90"/>
      <c r="C97" s="80">
        <v>19</v>
      </c>
      <c r="D97" s="85" t="s">
        <v>312</v>
      </c>
      <c r="E97" s="85">
        <v>387254406.46</v>
      </c>
      <c r="F97" s="85">
        <v>0</v>
      </c>
      <c r="G97" s="85">
        <v>60046460.92</v>
      </c>
      <c r="H97" s="85">
        <v>13419026.0214</v>
      </c>
      <c r="I97" s="85">
        <v>0</v>
      </c>
      <c r="J97" s="85">
        <f t="shared" si="15"/>
        <v>13419026.0214</v>
      </c>
      <c r="K97" s="85">
        <v>278936474.14</v>
      </c>
      <c r="L97" s="86">
        <f t="shared" si="13"/>
        <v>739656367.5414</v>
      </c>
      <c r="M97" s="79"/>
      <c r="N97" s="90"/>
      <c r="O97" s="102">
        <v>14</v>
      </c>
      <c r="P97" s="83"/>
      <c r="Q97" s="103" t="s">
        <v>313</v>
      </c>
      <c r="R97" s="85">
        <v>473895450.75</v>
      </c>
      <c r="S97" s="89">
        <v>0</v>
      </c>
      <c r="T97" s="104">
        <v>73480751.13</v>
      </c>
      <c r="U97" s="85">
        <v>16421286.0564</v>
      </c>
      <c r="V97" s="85">
        <f t="shared" si="17"/>
        <v>8210643.0282</v>
      </c>
      <c r="W97" s="85">
        <f t="shared" si="18"/>
        <v>8210643.0282</v>
      </c>
      <c r="X97" s="85">
        <v>285356006.27</v>
      </c>
      <c r="Y97" s="86">
        <f t="shared" si="19"/>
        <v>840942851.1782</v>
      </c>
    </row>
    <row r="98" ht="24.95" customHeight="1" spans="1:25">
      <c r="A98" s="83"/>
      <c r="B98" s="90"/>
      <c r="C98" s="80">
        <v>20</v>
      </c>
      <c r="D98" s="85" t="s">
        <v>314</v>
      </c>
      <c r="E98" s="85">
        <v>391891667.69</v>
      </c>
      <c r="F98" s="85">
        <v>0</v>
      </c>
      <c r="G98" s="85">
        <v>60765500.19</v>
      </c>
      <c r="H98" s="85">
        <v>13579715.0365</v>
      </c>
      <c r="I98" s="85">
        <v>0</v>
      </c>
      <c r="J98" s="85">
        <f t="shared" si="15"/>
        <v>13579715.0365</v>
      </c>
      <c r="K98" s="85">
        <v>284416279.09</v>
      </c>
      <c r="L98" s="86">
        <f t="shared" si="13"/>
        <v>750653162.0065</v>
      </c>
      <c r="M98" s="79"/>
      <c r="N98" s="90"/>
      <c r="O98" s="102">
        <v>15</v>
      </c>
      <c r="P98" s="83"/>
      <c r="Q98" s="103" t="s">
        <v>315</v>
      </c>
      <c r="R98" s="85">
        <v>316448601.68</v>
      </c>
      <c r="S98" s="89">
        <v>0</v>
      </c>
      <c r="T98" s="104">
        <v>49067533.58</v>
      </c>
      <c r="U98" s="85">
        <v>10965484.0578</v>
      </c>
      <c r="V98" s="85">
        <f t="shared" si="17"/>
        <v>5482742.0289</v>
      </c>
      <c r="W98" s="85">
        <f t="shared" si="18"/>
        <v>5482742.0289</v>
      </c>
      <c r="X98" s="85">
        <v>228847670.87</v>
      </c>
      <c r="Y98" s="86">
        <f t="shared" si="19"/>
        <v>599846548.1589</v>
      </c>
    </row>
    <row r="99" ht="24.95" customHeight="1" spans="1:25">
      <c r="A99" s="83"/>
      <c r="B99" s="92"/>
      <c r="C99" s="80">
        <v>21</v>
      </c>
      <c r="D99" s="85" t="s">
        <v>316</v>
      </c>
      <c r="E99" s="85">
        <v>376273710.99</v>
      </c>
      <c r="F99" s="85">
        <v>0</v>
      </c>
      <c r="G99" s="85">
        <v>58343828.52</v>
      </c>
      <c r="H99" s="85">
        <v>13038526.1851</v>
      </c>
      <c r="I99" s="85">
        <v>0</v>
      </c>
      <c r="J99" s="85">
        <f t="shared" si="15"/>
        <v>13038526.1851</v>
      </c>
      <c r="K99" s="85">
        <v>277315462.42</v>
      </c>
      <c r="L99" s="86">
        <f t="shared" si="13"/>
        <v>724971528.1151</v>
      </c>
      <c r="M99" s="79"/>
      <c r="N99" s="90"/>
      <c r="O99" s="102">
        <v>16</v>
      </c>
      <c r="P99" s="83"/>
      <c r="Q99" s="103" t="s">
        <v>317</v>
      </c>
      <c r="R99" s="85">
        <v>458778353.06</v>
      </c>
      <c r="S99" s="89">
        <v>0</v>
      </c>
      <c r="T99" s="104">
        <v>71136741.09</v>
      </c>
      <c r="U99" s="85">
        <v>15897452.8245</v>
      </c>
      <c r="V99" s="85">
        <f t="shared" si="17"/>
        <v>7948726.41225</v>
      </c>
      <c r="W99" s="85">
        <f t="shared" si="18"/>
        <v>7948726.41225</v>
      </c>
      <c r="X99" s="85">
        <v>288256491.15</v>
      </c>
      <c r="Y99" s="86">
        <f t="shared" si="19"/>
        <v>826120311.71225</v>
      </c>
    </row>
    <row r="100" ht="24.95" customHeight="1" spans="1:25">
      <c r="A100" s="80"/>
      <c r="B100" s="93" t="s">
        <v>318</v>
      </c>
      <c r="C100" s="94"/>
      <c r="D100" s="95"/>
      <c r="E100" s="95">
        <f t="shared" ref="E100:L100" si="20">SUM(E79:E99)</f>
        <v>8487985980.58</v>
      </c>
      <c r="F100" s="85">
        <v>0</v>
      </c>
      <c r="G100" s="95">
        <f t="shared" si="20"/>
        <v>1316120643.17</v>
      </c>
      <c r="H100" s="95">
        <f t="shared" si="20"/>
        <v>294123198.7125</v>
      </c>
      <c r="I100" s="95">
        <f t="shared" si="20"/>
        <v>0</v>
      </c>
      <c r="J100" s="95">
        <f t="shared" si="20"/>
        <v>294123198.7125</v>
      </c>
      <c r="K100" s="95">
        <f t="shared" si="20"/>
        <v>6065673692.58</v>
      </c>
      <c r="L100" s="95">
        <f t="shared" si="20"/>
        <v>16163903515.0425</v>
      </c>
      <c r="M100" s="79"/>
      <c r="N100" s="90"/>
      <c r="O100" s="102">
        <v>17</v>
      </c>
      <c r="P100" s="83"/>
      <c r="Q100" s="103" t="s">
        <v>319</v>
      </c>
      <c r="R100" s="85">
        <v>573776659.25</v>
      </c>
      <c r="S100" s="89">
        <v>0</v>
      </c>
      <c r="T100" s="104">
        <v>88968019.92</v>
      </c>
      <c r="U100" s="85">
        <v>19882340.3751</v>
      </c>
      <c r="V100" s="85">
        <f t="shared" si="17"/>
        <v>9941170.18755</v>
      </c>
      <c r="W100" s="85">
        <f t="shared" si="18"/>
        <v>9941170.18755</v>
      </c>
      <c r="X100" s="85">
        <v>332805049.46</v>
      </c>
      <c r="Y100" s="86">
        <f t="shared" si="19"/>
        <v>1005490898.81755</v>
      </c>
    </row>
    <row r="101" ht="24.95" customHeight="1" spans="1:25">
      <c r="A101" s="83">
        <v>5</v>
      </c>
      <c r="B101" s="84" t="s">
        <v>320</v>
      </c>
      <c r="C101" s="80">
        <v>1</v>
      </c>
      <c r="D101" s="85" t="s">
        <v>321</v>
      </c>
      <c r="E101" s="85">
        <v>634438155.68</v>
      </c>
      <c r="F101" s="85">
        <v>0</v>
      </c>
      <c r="G101" s="85">
        <v>98374002.43</v>
      </c>
      <c r="H101" s="85">
        <v>21984364.7434</v>
      </c>
      <c r="I101" s="85">
        <v>0</v>
      </c>
      <c r="J101" s="85">
        <f t="shared" ref="J101:J120" si="21">H101-I101</f>
        <v>21984364.7434</v>
      </c>
      <c r="K101" s="85">
        <v>298327562.75</v>
      </c>
      <c r="L101" s="86">
        <f t="shared" si="13"/>
        <v>1053124085.6034</v>
      </c>
      <c r="M101" s="79"/>
      <c r="N101" s="90"/>
      <c r="O101" s="102">
        <v>18</v>
      </c>
      <c r="P101" s="83"/>
      <c r="Q101" s="103" t="s">
        <v>322</v>
      </c>
      <c r="R101" s="85">
        <v>433417409.38</v>
      </c>
      <c r="S101" s="89">
        <v>0</v>
      </c>
      <c r="T101" s="104">
        <v>67204352.23</v>
      </c>
      <c r="U101" s="85">
        <v>15018652.8483</v>
      </c>
      <c r="V101" s="85">
        <f t="shared" si="17"/>
        <v>7509326.42415</v>
      </c>
      <c r="W101" s="85">
        <f t="shared" si="18"/>
        <v>7509326.42415</v>
      </c>
      <c r="X101" s="85">
        <v>273495875.46</v>
      </c>
      <c r="Y101" s="86">
        <f t="shared" si="19"/>
        <v>781626963.49415</v>
      </c>
    </row>
    <row r="102" ht="24.95" customHeight="1" spans="1:25">
      <c r="A102" s="83"/>
      <c r="B102" s="90"/>
      <c r="C102" s="80">
        <v>2</v>
      </c>
      <c r="D102" s="85" t="s">
        <v>92</v>
      </c>
      <c r="E102" s="85">
        <v>766150892.88</v>
      </c>
      <c r="F102" s="85">
        <v>0</v>
      </c>
      <c r="G102" s="85">
        <v>118796968.82</v>
      </c>
      <c r="H102" s="85">
        <v>26548435.8512</v>
      </c>
      <c r="I102" s="85">
        <v>0</v>
      </c>
      <c r="J102" s="85">
        <f t="shared" si="21"/>
        <v>26548435.8512</v>
      </c>
      <c r="K102" s="85">
        <v>359221446.11</v>
      </c>
      <c r="L102" s="86">
        <f t="shared" si="13"/>
        <v>1270717743.6612</v>
      </c>
      <c r="M102" s="79"/>
      <c r="N102" s="90"/>
      <c r="O102" s="102">
        <v>19</v>
      </c>
      <c r="P102" s="83"/>
      <c r="Q102" s="103" t="s">
        <v>323</v>
      </c>
      <c r="R102" s="85">
        <v>410379516.12</v>
      </c>
      <c r="S102" s="89">
        <v>0</v>
      </c>
      <c r="T102" s="104">
        <v>63632168.34</v>
      </c>
      <c r="U102" s="85">
        <v>14220350.5335</v>
      </c>
      <c r="V102" s="85">
        <f t="shared" si="17"/>
        <v>7110175.26675</v>
      </c>
      <c r="W102" s="85">
        <f t="shared" si="18"/>
        <v>7110175.26675</v>
      </c>
      <c r="X102" s="85">
        <v>254326004.16</v>
      </c>
      <c r="Y102" s="86">
        <f t="shared" si="19"/>
        <v>735447863.88675</v>
      </c>
    </row>
    <row r="103" ht="24.95" customHeight="1" spans="1:25">
      <c r="A103" s="83"/>
      <c r="B103" s="90"/>
      <c r="C103" s="80">
        <v>3</v>
      </c>
      <c r="D103" s="85" t="s">
        <v>324</v>
      </c>
      <c r="E103" s="85">
        <v>335073385.85</v>
      </c>
      <c r="F103" s="85">
        <v>0</v>
      </c>
      <c r="G103" s="85">
        <v>51955434.55</v>
      </c>
      <c r="H103" s="85">
        <v>11610864.612</v>
      </c>
      <c r="I103" s="85">
        <v>0</v>
      </c>
      <c r="J103" s="85">
        <f t="shared" si="21"/>
        <v>11610864.612</v>
      </c>
      <c r="K103" s="85">
        <v>207494229.96</v>
      </c>
      <c r="L103" s="86">
        <f t="shared" si="13"/>
        <v>606133914.972</v>
      </c>
      <c r="M103" s="79"/>
      <c r="N103" s="90"/>
      <c r="O103" s="102">
        <v>20</v>
      </c>
      <c r="P103" s="83"/>
      <c r="Q103" s="103" t="s">
        <v>325</v>
      </c>
      <c r="R103" s="85">
        <v>440026057.72</v>
      </c>
      <c r="S103" s="89">
        <v>0</v>
      </c>
      <c r="T103" s="104">
        <v>68229068.64</v>
      </c>
      <c r="U103" s="85">
        <v>15247653.791</v>
      </c>
      <c r="V103" s="85">
        <f t="shared" si="17"/>
        <v>7623826.8955</v>
      </c>
      <c r="W103" s="85">
        <f t="shared" si="18"/>
        <v>7623826.8955</v>
      </c>
      <c r="X103" s="85">
        <v>269373334.44</v>
      </c>
      <c r="Y103" s="86">
        <f t="shared" si="19"/>
        <v>785252287.6955</v>
      </c>
    </row>
    <row r="104" ht="24.95" customHeight="1" spans="1:25">
      <c r="A104" s="83"/>
      <c r="B104" s="90"/>
      <c r="C104" s="80">
        <v>4</v>
      </c>
      <c r="D104" s="85" t="s">
        <v>326</v>
      </c>
      <c r="E104" s="85">
        <v>396001995.63</v>
      </c>
      <c r="F104" s="85">
        <v>0</v>
      </c>
      <c r="G104" s="85">
        <v>61402834.83</v>
      </c>
      <c r="H104" s="85">
        <v>13722144.9139</v>
      </c>
      <c r="I104" s="85">
        <v>0</v>
      </c>
      <c r="J104" s="85">
        <f t="shared" si="21"/>
        <v>13722144.9139</v>
      </c>
      <c r="K104" s="85">
        <v>232204657.11</v>
      </c>
      <c r="L104" s="86">
        <f t="shared" si="13"/>
        <v>703331632.4839</v>
      </c>
      <c r="M104" s="79"/>
      <c r="N104" s="92"/>
      <c r="O104" s="102">
        <v>21</v>
      </c>
      <c r="P104" s="83"/>
      <c r="Q104" s="103" t="s">
        <v>327</v>
      </c>
      <c r="R104" s="85">
        <v>430550300.49</v>
      </c>
      <c r="S104" s="89">
        <v>0</v>
      </c>
      <c r="T104" s="104">
        <v>66759787.27</v>
      </c>
      <c r="U104" s="85">
        <v>14919302.6329</v>
      </c>
      <c r="V104" s="85">
        <f t="shared" si="17"/>
        <v>7459651.31645</v>
      </c>
      <c r="W104" s="85">
        <f t="shared" si="18"/>
        <v>7459651.31645</v>
      </c>
      <c r="X104" s="85">
        <v>266086488.69</v>
      </c>
      <c r="Y104" s="86">
        <f t="shared" si="19"/>
        <v>770856227.76645</v>
      </c>
    </row>
    <row r="105" ht="24.95" customHeight="1" spans="1:25">
      <c r="A105" s="83"/>
      <c r="B105" s="90"/>
      <c r="C105" s="80">
        <v>5</v>
      </c>
      <c r="D105" s="85" t="s">
        <v>328</v>
      </c>
      <c r="E105" s="85">
        <v>502344839.98</v>
      </c>
      <c r="F105" s="85">
        <v>0</v>
      </c>
      <c r="G105" s="85">
        <v>77892024.73</v>
      </c>
      <c r="H105" s="85">
        <v>17407105.9414</v>
      </c>
      <c r="I105" s="85">
        <v>0</v>
      </c>
      <c r="J105" s="85">
        <f t="shared" si="21"/>
        <v>17407105.9414</v>
      </c>
      <c r="K105" s="85">
        <v>269497928.48</v>
      </c>
      <c r="L105" s="86">
        <f t="shared" si="13"/>
        <v>867141899.1314</v>
      </c>
      <c r="M105" s="79"/>
      <c r="N105" s="80"/>
      <c r="O105" s="94" t="s">
        <v>329</v>
      </c>
      <c r="P105" s="101"/>
      <c r="Q105" s="95"/>
      <c r="R105" s="95">
        <f t="shared" ref="R105:Y105" si="22">SUM(R84:R104)</f>
        <v>9151789466.85</v>
      </c>
      <c r="S105" s="89">
        <v>0</v>
      </c>
      <c r="T105" s="95">
        <f t="shared" si="22"/>
        <v>1419047942.22</v>
      </c>
      <c r="U105" s="95">
        <f t="shared" si="22"/>
        <v>317125122.2719</v>
      </c>
      <c r="V105" s="95">
        <f t="shared" si="22"/>
        <v>158562561.13595</v>
      </c>
      <c r="W105" s="95">
        <f t="shared" si="22"/>
        <v>158562561.13595</v>
      </c>
      <c r="X105" s="95">
        <f t="shared" si="22"/>
        <v>5712035917.12</v>
      </c>
      <c r="Y105" s="95">
        <f t="shared" si="22"/>
        <v>16441435887.3259</v>
      </c>
    </row>
    <row r="106" ht="24.95" customHeight="1" spans="1:25">
      <c r="A106" s="83"/>
      <c r="B106" s="90"/>
      <c r="C106" s="80">
        <v>6</v>
      </c>
      <c r="D106" s="85" t="s">
        <v>330</v>
      </c>
      <c r="E106" s="85">
        <v>332645098.36</v>
      </c>
      <c r="F106" s="85">
        <v>0</v>
      </c>
      <c r="G106" s="85">
        <v>51578911.87</v>
      </c>
      <c r="H106" s="85">
        <v>11526720.3069</v>
      </c>
      <c r="I106" s="85">
        <v>0</v>
      </c>
      <c r="J106" s="85">
        <f t="shared" si="21"/>
        <v>11526720.3069</v>
      </c>
      <c r="K106" s="85">
        <v>209616066.15</v>
      </c>
      <c r="L106" s="86">
        <f t="shared" si="13"/>
        <v>605366796.6869</v>
      </c>
      <c r="M106" s="79"/>
      <c r="N106" s="84">
        <v>23</v>
      </c>
      <c r="O106" s="102">
        <v>1</v>
      </c>
      <c r="P106" s="83" t="s">
        <v>110</v>
      </c>
      <c r="Q106" s="103" t="s">
        <v>331</v>
      </c>
      <c r="R106" s="85">
        <v>371845845.7</v>
      </c>
      <c r="S106" s="89">
        <v>0</v>
      </c>
      <c r="T106" s="85">
        <v>57657257.53</v>
      </c>
      <c r="U106" s="85">
        <v>12885093.0968</v>
      </c>
      <c r="V106" s="85">
        <f t="shared" ref="V106:V121" si="23">U106/2</f>
        <v>6442546.5484</v>
      </c>
      <c r="W106" s="85">
        <f t="shared" ref="W106:W121" si="24">U106-V106</f>
        <v>6442546.5484</v>
      </c>
      <c r="X106" s="85">
        <v>293323938.11</v>
      </c>
      <c r="Y106" s="86">
        <f t="shared" si="19"/>
        <v>729269587.8884</v>
      </c>
    </row>
    <row r="107" ht="24.95" customHeight="1" spans="1:25">
      <c r="A107" s="83"/>
      <c r="B107" s="90"/>
      <c r="C107" s="80">
        <v>7</v>
      </c>
      <c r="D107" s="85" t="s">
        <v>332</v>
      </c>
      <c r="E107" s="85">
        <v>530692649.2</v>
      </c>
      <c r="F107" s="85">
        <v>0</v>
      </c>
      <c r="G107" s="85">
        <v>82287547.65</v>
      </c>
      <c r="H107" s="85">
        <v>18389405.9055</v>
      </c>
      <c r="I107" s="85">
        <v>0</v>
      </c>
      <c r="J107" s="85">
        <f t="shared" si="21"/>
        <v>18389405.9055</v>
      </c>
      <c r="K107" s="85">
        <v>282385638.48</v>
      </c>
      <c r="L107" s="86">
        <f t="shared" si="13"/>
        <v>913755241.2355</v>
      </c>
      <c r="M107" s="79"/>
      <c r="N107" s="90"/>
      <c r="O107" s="102">
        <v>2</v>
      </c>
      <c r="P107" s="83"/>
      <c r="Q107" s="103" t="s">
        <v>333</v>
      </c>
      <c r="R107" s="85">
        <v>611478936.81</v>
      </c>
      <c r="S107" s="89">
        <v>0</v>
      </c>
      <c r="T107" s="85">
        <v>94814017.53</v>
      </c>
      <c r="U107" s="85">
        <v>21188788.6302</v>
      </c>
      <c r="V107" s="85">
        <f t="shared" si="23"/>
        <v>10594394.3151</v>
      </c>
      <c r="W107" s="85">
        <f t="shared" si="24"/>
        <v>10594394.3151</v>
      </c>
      <c r="X107" s="85">
        <v>324078709.02</v>
      </c>
      <c r="Y107" s="86">
        <f t="shared" si="19"/>
        <v>1040966057.6751</v>
      </c>
    </row>
    <row r="108" ht="24.95" customHeight="1" spans="1:25">
      <c r="A108" s="83"/>
      <c r="B108" s="90"/>
      <c r="C108" s="80">
        <v>8</v>
      </c>
      <c r="D108" s="85" t="s">
        <v>334</v>
      </c>
      <c r="E108" s="85">
        <v>535718762.79</v>
      </c>
      <c r="F108" s="85">
        <v>0</v>
      </c>
      <c r="G108" s="85">
        <v>83066881.15</v>
      </c>
      <c r="H108" s="85">
        <v>18563569.3182</v>
      </c>
      <c r="I108" s="85">
        <v>0</v>
      </c>
      <c r="J108" s="85">
        <f t="shared" si="21"/>
        <v>18563569.3182</v>
      </c>
      <c r="K108" s="85">
        <v>269079710.42</v>
      </c>
      <c r="L108" s="86">
        <f t="shared" si="13"/>
        <v>906428923.6782</v>
      </c>
      <c r="M108" s="79"/>
      <c r="N108" s="90"/>
      <c r="O108" s="102">
        <v>3</v>
      </c>
      <c r="P108" s="83"/>
      <c r="Q108" s="103" t="s">
        <v>335</v>
      </c>
      <c r="R108" s="85">
        <v>468660222.01</v>
      </c>
      <c r="S108" s="89">
        <v>0</v>
      </c>
      <c r="T108" s="85">
        <v>72668992.88</v>
      </c>
      <c r="U108" s="85">
        <v>16239876.4467</v>
      </c>
      <c r="V108" s="85">
        <f t="shared" si="23"/>
        <v>8119938.22335</v>
      </c>
      <c r="W108" s="85">
        <f t="shared" si="24"/>
        <v>8119938.22335</v>
      </c>
      <c r="X108" s="85">
        <v>321118954.98</v>
      </c>
      <c r="Y108" s="86">
        <f t="shared" si="19"/>
        <v>870568108.09335</v>
      </c>
    </row>
    <row r="109" ht="24.95" customHeight="1" spans="1:25">
      <c r="A109" s="83"/>
      <c r="B109" s="90"/>
      <c r="C109" s="80">
        <v>9</v>
      </c>
      <c r="D109" s="85" t="s">
        <v>336</v>
      </c>
      <c r="E109" s="85">
        <v>376818854.1</v>
      </c>
      <c r="F109" s="85">
        <v>0</v>
      </c>
      <c r="G109" s="85">
        <v>58428356.71</v>
      </c>
      <c r="H109" s="85">
        <v>13057416.3243</v>
      </c>
      <c r="I109" s="85">
        <v>0</v>
      </c>
      <c r="J109" s="85">
        <f t="shared" si="21"/>
        <v>13057416.3243</v>
      </c>
      <c r="K109" s="85">
        <v>234444661.2</v>
      </c>
      <c r="L109" s="86">
        <f t="shared" si="13"/>
        <v>682749288.3343</v>
      </c>
      <c r="M109" s="79"/>
      <c r="N109" s="90"/>
      <c r="O109" s="102">
        <v>4</v>
      </c>
      <c r="P109" s="83"/>
      <c r="Q109" s="103" t="s">
        <v>100</v>
      </c>
      <c r="R109" s="85">
        <v>285403649.23</v>
      </c>
      <c r="S109" s="89">
        <v>0</v>
      </c>
      <c r="T109" s="85">
        <v>44253800.05</v>
      </c>
      <c r="U109" s="85">
        <v>9889723.4783</v>
      </c>
      <c r="V109" s="85">
        <f t="shared" si="23"/>
        <v>4944861.73915</v>
      </c>
      <c r="W109" s="85">
        <f t="shared" si="24"/>
        <v>4944861.73915</v>
      </c>
      <c r="X109" s="85">
        <v>266806542.22</v>
      </c>
      <c r="Y109" s="86">
        <f t="shared" si="19"/>
        <v>601408853.23915</v>
      </c>
    </row>
    <row r="110" ht="24.95" customHeight="1" spans="1:25">
      <c r="A110" s="83"/>
      <c r="B110" s="90"/>
      <c r="C110" s="80">
        <v>10</v>
      </c>
      <c r="D110" s="85" t="s">
        <v>337</v>
      </c>
      <c r="E110" s="85">
        <v>431567561.41</v>
      </c>
      <c r="F110" s="85">
        <v>0</v>
      </c>
      <c r="G110" s="85">
        <v>66917520.57</v>
      </c>
      <c r="H110" s="85">
        <v>14954552.4595</v>
      </c>
      <c r="I110" s="85">
        <v>0</v>
      </c>
      <c r="J110" s="85">
        <f t="shared" si="21"/>
        <v>14954552.4595</v>
      </c>
      <c r="K110" s="85">
        <v>261496220.46</v>
      </c>
      <c r="L110" s="86">
        <f t="shared" si="13"/>
        <v>774935854.8995</v>
      </c>
      <c r="M110" s="79"/>
      <c r="N110" s="90"/>
      <c r="O110" s="102">
        <v>5</v>
      </c>
      <c r="P110" s="83"/>
      <c r="Q110" s="103" t="s">
        <v>338</v>
      </c>
      <c r="R110" s="85">
        <v>495205115.61</v>
      </c>
      <c r="S110" s="89">
        <v>0</v>
      </c>
      <c r="T110" s="85">
        <v>76784961.33</v>
      </c>
      <c r="U110" s="85">
        <v>17159702.308</v>
      </c>
      <c r="V110" s="85">
        <f t="shared" si="23"/>
        <v>8579851.154</v>
      </c>
      <c r="W110" s="85">
        <f t="shared" si="24"/>
        <v>8579851.154</v>
      </c>
      <c r="X110" s="85">
        <v>322812941.87</v>
      </c>
      <c r="Y110" s="86">
        <f t="shared" si="19"/>
        <v>903382869.964</v>
      </c>
    </row>
    <row r="111" ht="24.95" customHeight="1" spans="1:25">
      <c r="A111" s="83"/>
      <c r="B111" s="90"/>
      <c r="C111" s="80">
        <v>11</v>
      </c>
      <c r="D111" s="85" t="s">
        <v>339</v>
      </c>
      <c r="E111" s="85">
        <v>333933333.2</v>
      </c>
      <c r="F111" s="85">
        <v>0</v>
      </c>
      <c r="G111" s="85">
        <v>51778661.54</v>
      </c>
      <c r="H111" s="85">
        <v>11571359.8424</v>
      </c>
      <c r="I111" s="85">
        <v>0</v>
      </c>
      <c r="J111" s="85">
        <f t="shared" si="21"/>
        <v>11571359.8424</v>
      </c>
      <c r="K111" s="85">
        <v>219965944.49</v>
      </c>
      <c r="L111" s="86">
        <f t="shared" si="13"/>
        <v>617249299.0724</v>
      </c>
      <c r="M111" s="79"/>
      <c r="N111" s="90"/>
      <c r="O111" s="102">
        <v>6</v>
      </c>
      <c r="P111" s="83"/>
      <c r="Q111" s="103" t="s">
        <v>340</v>
      </c>
      <c r="R111" s="85">
        <v>425622498.76</v>
      </c>
      <c r="S111" s="89">
        <v>0</v>
      </c>
      <c r="T111" s="85">
        <v>65995697.7</v>
      </c>
      <c r="U111" s="85">
        <v>14748545.8937</v>
      </c>
      <c r="V111" s="85">
        <f t="shared" si="23"/>
        <v>7374272.94685</v>
      </c>
      <c r="W111" s="85">
        <f t="shared" si="24"/>
        <v>7374272.94685</v>
      </c>
      <c r="X111" s="85">
        <v>322171353.13</v>
      </c>
      <c r="Y111" s="86">
        <f t="shared" si="19"/>
        <v>821163822.53685</v>
      </c>
    </row>
    <row r="112" ht="24.95" customHeight="1" spans="1:25">
      <c r="A112" s="83"/>
      <c r="B112" s="90"/>
      <c r="C112" s="80">
        <v>12</v>
      </c>
      <c r="D112" s="85" t="s">
        <v>341</v>
      </c>
      <c r="E112" s="85">
        <v>517130563.8</v>
      </c>
      <c r="F112" s="85">
        <v>0</v>
      </c>
      <c r="G112" s="85">
        <v>80184652.97</v>
      </c>
      <c r="H112" s="85">
        <v>17919456.5031</v>
      </c>
      <c r="I112" s="85">
        <v>0</v>
      </c>
      <c r="J112" s="85">
        <f t="shared" si="21"/>
        <v>17919456.5031</v>
      </c>
      <c r="K112" s="85">
        <v>285935120.73</v>
      </c>
      <c r="L112" s="86">
        <f t="shared" si="13"/>
        <v>901169794.0031</v>
      </c>
      <c r="M112" s="79"/>
      <c r="N112" s="90"/>
      <c r="O112" s="102">
        <v>7</v>
      </c>
      <c r="P112" s="83"/>
      <c r="Q112" s="103" t="s">
        <v>342</v>
      </c>
      <c r="R112" s="85">
        <v>430209525.52</v>
      </c>
      <c r="S112" s="89">
        <v>0</v>
      </c>
      <c r="T112" s="85">
        <v>66706947.76</v>
      </c>
      <c r="U112" s="85">
        <v>14907494.1986</v>
      </c>
      <c r="V112" s="85">
        <f t="shared" si="23"/>
        <v>7453747.0993</v>
      </c>
      <c r="W112" s="85">
        <f t="shared" si="24"/>
        <v>7453747.0993</v>
      </c>
      <c r="X112" s="85">
        <v>323794217.02</v>
      </c>
      <c r="Y112" s="86">
        <f t="shared" si="19"/>
        <v>828164437.3993</v>
      </c>
    </row>
    <row r="113" ht="24.95" customHeight="1" spans="1:25">
      <c r="A113" s="83"/>
      <c r="B113" s="90"/>
      <c r="C113" s="80">
        <v>13</v>
      </c>
      <c r="D113" s="85" t="s">
        <v>343</v>
      </c>
      <c r="E113" s="85">
        <v>425315209.41</v>
      </c>
      <c r="F113" s="85">
        <v>0</v>
      </c>
      <c r="G113" s="85">
        <v>65948050.37</v>
      </c>
      <c r="H113" s="85">
        <v>14737897.7933</v>
      </c>
      <c r="I113" s="85">
        <v>0</v>
      </c>
      <c r="J113" s="85">
        <f t="shared" si="21"/>
        <v>14737897.7933</v>
      </c>
      <c r="K113" s="85">
        <v>230980748.81</v>
      </c>
      <c r="L113" s="86">
        <f t="shared" si="13"/>
        <v>736981906.3833</v>
      </c>
      <c r="M113" s="79"/>
      <c r="N113" s="90"/>
      <c r="O113" s="102">
        <v>8</v>
      </c>
      <c r="P113" s="83"/>
      <c r="Q113" s="103" t="s">
        <v>344</v>
      </c>
      <c r="R113" s="85">
        <v>507311417.13</v>
      </c>
      <c r="S113" s="89">
        <v>0</v>
      </c>
      <c r="T113" s="85">
        <v>78662126.7</v>
      </c>
      <c r="U113" s="85">
        <v>17579206.3148</v>
      </c>
      <c r="V113" s="85">
        <f t="shared" si="23"/>
        <v>8789603.1574</v>
      </c>
      <c r="W113" s="85">
        <f t="shared" si="24"/>
        <v>8789603.1574</v>
      </c>
      <c r="X113" s="85">
        <v>381572394.34</v>
      </c>
      <c r="Y113" s="86">
        <f t="shared" si="19"/>
        <v>976335541.3274</v>
      </c>
    </row>
    <row r="114" ht="24.95" customHeight="1" spans="1:25">
      <c r="A114" s="83"/>
      <c r="B114" s="90"/>
      <c r="C114" s="80">
        <v>14</v>
      </c>
      <c r="D114" s="85" t="s">
        <v>345</v>
      </c>
      <c r="E114" s="85">
        <v>496634430.4</v>
      </c>
      <c r="F114" s="85">
        <v>0</v>
      </c>
      <c r="G114" s="85">
        <v>77006586.42</v>
      </c>
      <c r="H114" s="85">
        <v>17209230.5045</v>
      </c>
      <c r="I114" s="85">
        <v>0</v>
      </c>
      <c r="J114" s="85">
        <f t="shared" si="21"/>
        <v>17209230.5045</v>
      </c>
      <c r="K114" s="85">
        <v>273902368.47</v>
      </c>
      <c r="L114" s="86">
        <f t="shared" si="13"/>
        <v>864752615.7945</v>
      </c>
      <c r="M114" s="79"/>
      <c r="N114" s="90"/>
      <c r="O114" s="102">
        <v>9</v>
      </c>
      <c r="P114" s="83"/>
      <c r="Q114" s="103" t="s">
        <v>346</v>
      </c>
      <c r="R114" s="85">
        <v>366752894.7</v>
      </c>
      <c r="S114" s="89">
        <v>0</v>
      </c>
      <c r="T114" s="85">
        <v>56867560.43</v>
      </c>
      <c r="U114" s="85">
        <v>12708613.6537</v>
      </c>
      <c r="V114" s="85">
        <f t="shared" si="23"/>
        <v>6354306.82685</v>
      </c>
      <c r="W114" s="85">
        <f t="shared" si="24"/>
        <v>6354306.82685</v>
      </c>
      <c r="X114" s="85">
        <v>301538274.26</v>
      </c>
      <c r="Y114" s="86">
        <f t="shared" si="19"/>
        <v>731513036.21685</v>
      </c>
    </row>
    <row r="115" ht="24.95" customHeight="1" spans="1:25">
      <c r="A115" s="83"/>
      <c r="B115" s="90"/>
      <c r="C115" s="80">
        <v>15</v>
      </c>
      <c r="D115" s="85" t="s">
        <v>347</v>
      </c>
      <c r="E115" s="85">
        <v>636426037.95</v>
      </c>
      <c r="F115" s="85">
        <v>0</v>
      </c>
      <c r="G115" s="85">
        <v>98682237.26</v>
      </c>
      <c r="H115" s="85">
        <v>22053248.2564</v>
      </c>
      <c r="I115" s="85">
        <v>0</v>
      </c>
      <c r="J115" s="85">
        <f t="shared" si="21"/>
        <v>22053248.2564</v>
      </c>
      <c r="K115" s="85">
        <v>319726695.61</v>
      </c>
      <c r="L115" s="86">
        <f t="shared" si="13"/>
        <v>1076888219.0764</v>
      </c>
      <c r="M115" s="79"/>
      <c r="N115" s="90"/>
      <c r="O115" s="102">
        <v>10</v>
      </c>
      <c r="P115" s="83"/>
      <c r="Q115" s="103" t="s">
        <v>348</v>
      </c>
      <c r="R115" s="85">
        <v>487717932.35</v>
      </c>
      <c r="S115" s="89">
        <v>0</v>
      </c>
      <c r="T115" s="85">
        <v>75624022.03</v>
      </c>
      <c r="U115" s="85">
        <v>16900258.6314</v>
      </c>
      <c r="V115" s="85">
        <f t="shared" si="23"/>
        <v>8450129.3157</v>
      </c>
      <c r="W115" s="85">
        <f t="shared" si="24"/>
        <v>8450129.3157</v>
      </c>
      <c r="X115" s="85">
        <v>292482686.36</v>
      </c>
      <c r="Y115" s="86">
        <f t="shared" si="19"/>
        <v>864274770.0557</v>
      </c>
    </row>
    <row r="116" ht="24.95" customHeight="1" spans="1:25">
      <c r="A116" s="83"/>
      <c r="B116" s="90"/>
      <c r="C116" s="80">
        <v>16</v>
      </c>
      <c r="D116" s="85" t="s">
        <v>349</v>
      </c>
      <c r="E116" s="85">
        <v>477115962.05</v>
      </c>
      <c r="F116" s="85">
        <v>0</v>
      </c>
      <c r="G116" s="85">
        <v>73980113.57</v>
      </c>
      <c r="H116" s="85">
        <v>16532882.2687</v>
      </c>
      <c r="I116" s="85">
        <v>0</v>
      </c>
      <c r="J116" s="85">
        <f t="shared" si="21"/>
        <v>16532882.2687</v>
      </c>
      <c r="K116" s="85">
        <v>262984617.42</v>
      </c>
      <c r="L116" s="86">
        <f t="shared" si="13"/>
        <v>830613575.3087</v>
      </c>
      <c r="M116" s="79"/>
      <c r="N116" s="90"/>
      <c r="O116" s="102">
        <v>11</v>
      </c>
      <c r="P116" s="83"/>
      <c r="Q116" s="103" t="s">
        <v>350</v>
      </c>
      <c r="R116" s="85">
        <v>386628321.39</v>
      </c>
      <c r="S116" s="89">
        <v>0</v>
      </c>
      <c r="T116" s="85">
        <v>59949382.12</v>
      </c>
      <c r="U116" s="85">
        <v>13397331.1054</v>
      </c>
      <c r="V116" s="85">
        <f t="shared" si="23"/>
        <v>6698665.5527</v>
      </c>
      <c r="W116" s="85">
        <f t="shared" si="24"/>
        <v>6698665.5527</v>
      </c>
      <c r="X116" s="85">
        <v>286788401.11</v>
      </c>
      <c r="Y116" s="86">
        <f t="shared" si="19"/>
        <v>740064770.1727</v>
      </c>
    </row>
    <row r="117" ht="24.95" customHeight="1" spans="1:25">
      <c r="A117" s="83"/>
      <c r="B117" s="90"/>
      <c r="C117" s="80">
        <v>17</v>
      </c>
      <c r="D117" s="85" t="s">
        <v>351</v>
      </c>
      <c r="E117" s="85">
        <v>469280132.34</v>
      </c>
      <c r="F117" s="85">
        <v>0</v>
      </c>
      <c r="G117" s="85">
        <v>72765114.25</v>
      </c>
      <c r="H117" s="85">
        <v>16261357.3977</v>
      </c>
      <c r="I117" s="85">
        <v>0</v>
      </c>
      <c r="J117" s="85">
        <f t="shared" si="21"/>
        <v>16261357.3977</v>
      </c>
      <c r="K117" s="85">
        <v>257788934.04</v>
      </c>
      <c r="L117" s="86">
        <f t="shared" si="13"/>
        <v>816095538.0277</v>
      </c>
      <c r="M117" s="79"/>
      <c r="N117" s="90"/>
      <c r="O117" s="102">
        <v>12</v>
      </c>
      <c r="P117" s="83"/>
      <c r="Q117" s="103" t="s">
        <v>352</v>
      </c>
      <c r="R117" s="85">
        <v>343415966.95</v>
      </c>
      <c r="S117" s="89">
        <v>0</v>
      </c>
      <c r="T117" s="85">
        <v>53249009.17</v>
      </c>
      <c r="U117" s="85">
        <v>11899949.2835</v>
      </c>
      <c r="V117" s="85">
        <f t="shared" si="23"/>
        <v>5949974.64175</v>
      </c>
      <c r="W117" s="85">
        <f t="shared" si="24"/>
        <v>5949974.64175</v>
      </c>
      <c r="X117" s="85">
        <v>279706476.48</v>
      </c>
      <c r="Y117" s="86">
        <f t="shared" si="19"/>
        <v>682321427.24175</v>
      </c>
    </row>
    <row r="118" ht="24.95" customHeight="1" spans="1:25">
      <c r="A118" s="83"/>
      <c r="B118" s="90"/>
      <c r="C118" s="80">
        <v>18</v>
      </c>
      <c r="D118" s="85" t="s">
        <v>353</v>
      </c>
      <c r="E118" s="85">
        <v>659953210.72</v>
      </c>
      <c r="F118" s="85">
        <v>0</v>
      </c>
      <c r="G118" s="85">
        <v>102330287.32</v>
      </c>
      <c r="H118" s="85">
        <v>22868504.9404</v>
      </c>
      <c r="I118" s="85">
        <v>0</v>
      </c>
      <c r="J118" s="85">
        <f t="shared" si="21"/>
        <v>22868504.9404</v>
      </c>
      <c r="K118" s="85">
        <v>306099232.32</v>
      </c>
      <c r="L118" s="86">
        <f t="shared" si="13"/>
        <v>1091251235.3004</v>
      </c>
      <c r="M118" s="79"/>
      <c r="N118" s="90"/>
      <c r="O118" s="102">
        <v>13</v>
      </c>
      <c r="P118" s="83"/>
      <c r="Q118" s="103" t="s">
        <v>354</v>
      </c>
      <c r="R118" s="85">
        <v>287341920.48</v>
      </c>
      <c r="S118" s="89">
        <v>0</v>
      </c>
      <c r="T118" s="85">
        <v>44554342.34</v>
      </c>
      <c r="U118" s="85">
        <v>9956887.8847</v>
      </c>
      <c r="V118" s="85">
        <f t="shared" si="23"/>
        <v>4978443.94235</v>
      </c>
      <c r="W118" s="85">
        <f t="shared" si="24"/>
        <v>4978443.94235</v>
      </c>
      <c r="X118" s="85">
        <v>267832269.25</v>
      </c>
      <c r="Y118" s="86">
        <f t="shared" si="19"/>
        <v>604706976.01235</v>
      </c>
    </row>
    <row r="119" ht="24.95" customHeight="1" spans="1:25">
      <c r="A119" s="83"/>
      <c r="B119" s="90"/>
      <c r="C119" s="80">
        <v>19</v>
      </c>
      <c r="D119" s="85" t="s">
        <v>355</v>
      </c>
      <c r="E119" s="85">
        <v>367302231.81</v>
      </c>
      <c r="F119" s="85">
        <v>0</v>
      </c>
      <c r="G119" s="85">
        <v>56952738.93</v>
      </c>
      <c r="H119" s="85">
        <v>12727649.1222</v>
      </c>
      <c r="I119" s="85">
        <v>0</v>
      </c>
      <c r="J119" s="85">
        <f t="shared" si="21"/>
        <v>12727649.1222</v>
      </c>
      <c r="K119" s="85">
        <v>218794267.14</v>
      </c>
      <c r="L119" s="86">
        <f t="shared" si="13"/>
        <v>655776887.0022</v>
      </c>
      <c r="M119" s="79"/>
      <c r="N119" s="90"/>
      <c r="O119" s="102">
        <v>14</v>
      </c>
      <c r="P119" s="83"/>
      <c r="Q119" s="103" t="s">
        <v>356</v>
      </c>
      <c r="R119" s="85">
        <v>286123452.47</v>
      </c>
      <c r="S119" s="89">
        <v>0</v>
      </c>
      <c r="T119" s="85">
        <v>44365410.49</v>
      </c>
      <c r="U119" s="85">
        <v>9914665.8889</v>
      </c>
      <c r="V119" s="85">
        <f t="shared" si="23"/>
        <v>4957332.94445</v>
      </c>
      <c r="W119" s="85">
        <f t="shared" si="24"/>
        <v>4957332.94445</v>
      </c>
      <c r="X119" s="85">
        <v>268617215.28</v>
      </c>
      <c r="Y119" s="86">
        <f t="shared" si="19"/>
        <v>604063411.18445</v>
      </c>
    </row>
    <row r="120" ht="24.95" customHeight="1" spans="1:25">
      <c r="A120" s="83"/>
      <c r="B120" s="92"/>
      <c r="C120" s="80">
        <v>20</v>
      </c>
      <c r="D120" s="85" t="s">
        <v>357</v>
      </c>
      <c r="E120" s="85">
        <v>411000446.97</v>
      </c>
      <c r="F120" s="85">
        <v>0</v>
      </c>
      <c r="G120" s="85">
        <v>63728447.93</v>
      </c>
      <c r="H120" s="85">
        <v>14241866.8472</v>
      </c>
      <c r="I120" s="85">
        <v>0</v>
      </c>
      <c r="J120" s="85">
        <f t="shared" si="21"/>
        <v>14241866.8472</v>
      </c>
      <c r="K120" s="85">
        <v>247220130.22</v>
      </c>
      <c r="L120" s="86">
        <f t="shared" si="13"/>
        <v>736190891.9672</v>
      </c>
      <c r="M120" s="79"/>
      <c r="N120" s="90"/>
      <c r="O120" s="102">
        <v>15</v>
      </c>
      <c r="P120" s="83"/>
      <c r="Q120" s="103" t="s">
        <v>358</v>
      </c>
      <c r="R120" s="85">
        <v>326705384.21</v>
      </c>
      <c r="S120" s="89">
        <v>0</v>
      </c>
      <c r="T120" s="85">
        <v>50657918.31</v>
      </c>
      <c r="U120" s="85">
        <v>11320899.0755</v>
      </c>
      <c r="V120" s="85">
        <f t="shared" si="23"/>
        <v>5660449.53775</v>
      </c>
      <c r="W120" s="85">
        <f t="shared" si="24"/>
        <v>5660449.53775</v>
      </c>
      <c r="X120" s="85">
        <v>281402685.95</v>
      </c>
      <c r="Y120" s="86">
        <f t="shared" si="19"/>
        <v>664426438.00775</v>
      </c>
    </row>
    <row r="121" ht="24.95" customHeight="1" spans="1:25">
      <c r="A121" s="80"/>
      <c r="B121" s="93" t="s">
        <v>359</v>
      </c>
      <c r="C121" s="94"/>
      <c r="D121" s="95"/>
      <c r="E121" s="95">
        <f t="shared" ref="E121:L121" si="25">SUM(E101:E120)</f>
        <v>9635543754.53</v>
      </c>
      <c r="F121" s="85">
        <v>0</v>
      </c>
      <c r="G121" s="95">
        <f t="shared" si="25"/>
        <v>1494057373.87</v>
      </c>
      <c r="H121" s="95">
        <f t="shared" si="25"/>
        <v>333888033.8522</v>
      </c>
      <c r="I121" s="95">
        <f t="shared" si="25"/>
        <v>0</v>
      </c>
      <c r="J121" s="95">
        <f t="shared" si="25"/>
        <v>333888033.8522</v>
      </c>
      <c r="K121" s="95">
        <f t="shared" si="25"/>
        <v>5247166180.37</v>
      </c>
      <c r="L121" s="95">
        <f t="shared" si="25"/>
        <v>16710655342.6222</v>
      </c>
      <c r="M121" s="79"/>
      <c r="N121" s="92"/>
      <c r="O121" s="102">
        <v>16</v>
      </c>
      <c r="P121" s="83"/>
      <c r="Q121" s="103" t="s">
        <v>360</v>
      </c>
      <c r="R121" s="85">
        <v>395426567.94</v>
      </c>
      <c r="S121" s="89">
        <v>0</v>
      </c>
      <c r="T121" s="85">
        <v>61313610.81</v>
      </c>
      <c r="U121" s="85">
        <v>13702205.3626</v>
      </c>
      <c r="V121" s="85">
        <f t="shared" si="23"/>
        <v>6851102.6813</v>
      </c>
      <c r="W121" s="85">
        <f t="shared" si="24"/>
        <v>6851102.6813</v>
      </c>
      <c r="X121" s="85">
        <v>288094174.96</v>
      </c>
      <c r="Y121" s="86">
        <f t="shared" si="19"/>
        <v>751685456.3913</v>
      </c>
    </row>
    <row r="122" ht="24.95" customHeight="1" spans="1:25">
      <c r="A122" s="83">
        <v>6</v>
      </c>
      <c r="B122" s="84" t="s">
        <v>361</v>
      </c>
      <c r="C122" s="80">
        <v>1</v>
      </c>
      <c r="D122" s="85" t="s">
        <v>362</v>
      </c>
      <c r="E122" s="85">
        <v>466721526.42</v>
      </c>
      <c r="F122" s="85">
        <v>0</v>
      </c>
      <c r="G122" s="85">
        <v>72368384.79</v>
      </c>
      <c r="H122" s="85">
        <v>16172697.3363</v>
      </c>
      <c r="I122" s="85">
        <v>16172697.3363</v>
      </c>
      <c r="J122" s="85">
        <f t="shared" ref="J122:J129" si="26">H122-I122</f>
        <v>0</v>
      </c>
      <c r="K122" s="85">
        <v>392651626.49</v>
      </c>
      <c r="L122" s="86">
        <f t="shared" si="13"/>
        <v>931741537.7</v>
      </c>
      <c r="M122" s="79"/>
      <c r="N122" s="80"/>
      <c r="O122" s="94" t="s">
        <v>363</v>
      </c>
      <c r="P122" s="101"/>
      <c r="Q122" s="95"/>
      <c r="R122" s="95">
        <f t="shared" ref="R122:Y122" si="27">SUM(R106:R121)</f>
        <v>6475849651.26</v>
      </c>
      <c r="S122" s="89">
        <v>0</v>
      </c>
      <c r="T122" s="95">
        <f t="shared" si="27"/>
        <v>1004125057.18</v>
      </c>
      <c r="U122" s="95">
        <f t="shared" si="27"/>
        <v>224399241.2528</v>
      </c>
      <c r="V122" s="95">
        <f t="shared" si="27"/>
        <v>112199620.6264</v>
      </c>
      <c r="W122" s="95">
        <f t="shared" si="27"/>
        <v>112199620.6264</v>
      </c>
      <c r="X122" s="95">
        <f t="shared" si="27"/>
        <v>4822141234.34</v>
      </c>
      <c r="Y122" s="95">
        <f t="shared" si="27"/>
        <v>12414315563.4064</v>
      </c>
    </row>
    <row r="123" ht="24.95" customHeight="1" spans="1:25">
      <c r="A123" s="83"/>
      <c r="B123" s="90"/>
      <c r="C123" s="80">
        <v>2</v>
      </c>
      <c r="D123" s="85" t="s">
        <v>364</v>
      </c>
      <c r="E123" s="85">
        <v>535798732.15</v>
      </c>
      <c r="F123" s="85">
        <v>0</v>
      </c>
      <c r="G123" s="85">
        <v>83079280.95</v>
      </c>
      <c r="H123" s="85">
        <v>18566340.393</v>
      </c>
      <c r="I123" s="85">
        <v>18566340.393</v>
      </c>
      <c r="J123" s="85">
        <f t="shared" si="26"/>
        <v>0</v>
      </c>
      <c r="K123" s="85">
        <v>424215421.54</v>
      </c>
      <c r="L123" s="86">
        <f t="shared" si="13"/>
        <v>1043093434.64</v>
      </c>
      <c r="M123" s="79"/>
      <c r="N123" s="84">
        <v>24</v>
      </c>
      <c r="O123" s="87">
        <v>1</v>
      </c>
      <c r="P123" s="84" t="s">
        <v>111</v>
      </c>
      <c r="Q123" s="85" t="s">
        <v>365</v>
      </c>
      <c r="R123" s="85">
        <v>554906995.64</v>
      </c>
      <c r="S123" s="89">
        <v>0</v>
      </c>
      <c r="T123" s="85">
        <v>86042148.71</v>
      </c>
      <c r="U123" s="85">
        <v>19228474.3305</v>
      </c>
      <c r="V123" s="85">
        <v>0</v>
      </c>
      <c r="W123" s="85">
        <f t="shared" ref="W123:W142" si="28">U123-V123</f>
        <v>19228474.3305</v>
      </c>
      <c r="X123" s="85">
        <v>1888337185.15</v>
      </c>
      <c r="Y123" s="86">
        <f t="shared" si="19"/>
        <v>2548514803.8305</v>
      </c>
    </row>
    <row r="124" ht="24.95" customHeight="1" spans="1:25">
      <c r="A124" s="83"/>
      <c r="B124" s="90"/>
      <c r="C124" s="80">
        <v>3</v>
      </c>
      <c r="D124" s="105" t="s">
        <v>366</v>
      </c>
      <c r="E124" s="85">
        <v>356574625.37</v>
      </c>
      <c r="F124" s="85">
        <v>0</v>
      </c>
      <c r="G124" s="85">
        <v>55289349.72</v>
      </c>
      <c r="H124" s="85">
        <v>12355919.2526</v>
      </c>
      <c r="I124" s="85">
        <v>12355919.2526</v>
      </c>
      <c r="J124" s="85">
        <f t="shared" si="26"/>
        <v>0</v>
      </c>
      <c r="K124" s="85">
        <v>352734953.6</v>
      </c>
      <c r="L124" s="86">
        <f t="shared" si="13"/>
        <v>764598928.69</v>
      </c>
      <c r="M124" s="79"/>
      <c r="N124" s="90"/>
      <c r="O124" s="87">
        <v>2</v>
      </c>
      <c r="P124" s="90"/>
      <c r="Q124" s="105" t="s">
        <v>367</v>
      </c>
      <c r="R124" s="85">
        <v>713259601.42</v>
      </c>
      <c r="S124" s="89">
        <v>0</v>
      </c>
      <c r="T124" s="85">
        <v>110595810.07</v>
      </c>
      <c r="U124" s="85">
        <v>24715662.3448</v>
      </c>
      <c r="V124" s="85">
        <v>0</v>
      </c>
      <c r="W124" s="85">
        <f t="shared" si="28"/>
        <v>24715662.3448</v>
      </c>
      <c r="X124" s="85">
        <v>1971375511.14</v>
      </c>
      <c r="Y124" s="86">
        <f t="shared" si="19"/>
        <v>2819946584.9748</v>
      </c>
    </row>
    <row r="125" ht="24.95" customHeight="1" spans="1:25">
      <c r="A125" s="83"/>
      <c r="B125" s="90"/>
      <c r="C125" s="80">
        <v>4</v>
      </c>
      <c r="D125" s="85" t="s">
        <v>368</v>
      </c>
      <c r="E125" s="85">
        <v>439672622.17</v>
      </c>
      <c r="F125" s="85">
        <v>0</v>
      </c>
      <c r="G125" s="85">
        <v>68174266.03</v>
      </c>
      <c r="H125" s="85">
        <v>15235406.6459</v>
      </c>
      <c r="I125" s="85">
        <v>15235406.6459</v>
      </c>
      <c r="J125" s="85">
        <f t="shared" si="26"/>
        <v>0</v>
      </c>
      <c r="K125" s="85">
        <v>372604571.51</v>
      </c>
      <c r="L125" s="86">
        <f t="shared" si="13"/>
        <v>880451459.71</v>
      </c>
      <c r="M125" s="79"/>
      <c r="N125" s="90"/>
      <c r="O125" s="87">
        <v>3</v>
      </c>
      <c r="P125" s="90"/>
      <c r="Q125" s="85" t="s">
        <v>369</v>
      </c>
      <c r="R125" s="85">
        <v>1150267122.84</v>
      </c>
      <c r="S125" s="89">
        <v>0</v>
      </c>
      <c r="T125" s="85">
        <v>178356833.88</v>
      </c>
      <c r="U125" s="85">
        <v>39858718.7018</v>
      </c>
      <c r="V125" s="85">
        <v>0</v>
      </c>
      <c r="W125" s="85">
        <f t="shared" si="28"/>
        <v>39858718.7018</v>
      </c>
      <c r="X125" s="85">
        <v>2191267455.74</v>
      </c>
      <c r="Y125" s="86">
        <f t="shared" si="19"/>
        <v>3559750131.1618</v>
      </c>
    </row>
    <row r="126" ht="24.95" customHeight="1" spans="1:25">
      <c r="A126" s="83"/>
      <c r="B126" s="90"/>
      <c r="C126" s="80">
        <v>5</v>
      </c>
      <c r="D126" s="85" t="s">
        <v>370</v>
      </c>
      <c r="E126" s="85">
        <v>462057593.44</v>
      </c>
      <c r="F126" s="85">
        <v>0</v>
      </c>
      <c r="G126" s="85">
        <v>71645209.88</v>
      </c>
      <c r="H126" s="85">
        <v>16011084.0997</v>
      </c>
      <c r="I126" s="85">
        <v>16011084.0997</v>
      </c>
      <c r="J126" s="85">
        <f t="shared" si="26"/>
        <v>0</v>
      </c>
      <c r="K126" s="85">
        <v>390753901.84</v>
      </c>
      <c r="L126" s="86">
        <f t="shared" si="13"/>
        <v>924456705.16</v>
      </c>
      <c r="M126" s="79"/>
      <c r="N126" s="90"/>
      <c r="O126" s="87">
        <v>4</v>
      </c>
      <c r="P126" s="90"/>
      <c r="Q126" s="85" t="s">
        <v>371</v>
      </c>
      <c r="R126" s="85">
        <v>449574434.94</v>
      </c>
      <c r="S126" s="89">
        <v>0</v>
      </c>
      <c r="T126" s="85">
        <v>69709610.25</v>
      </c>
      <c r="U126" s="85">
        <v>15578521.3556</v>
      </c>
      <c r="V126" s="85">
        <v>0</v>
      </c>
      <c r="W126" s="85">
        <f t="shared" si="28"/>
        <v>15578521.3556</v>
      </c>
      <c r="X126" s="85">
        <v>1835819887.29</v>
      </c>
      <c r="Y126" s="86">
        <f t="shared" si="19"/>
        <v>2370682453.8356</v>
      </c>
    </row>
    <row r="127" ht="24.95" customHeight="1" spans="1:25">
      <c r="A127" s="83"/>
      <c r="B127" s="90"/>
      <c r="C127" s="80">
        <v>6</v>
      </c>
      <c r="D127" s="85" t="s">
        <v>372</v>
      </c>
      <c r="E127" s="85">
        <v>454274341.55</v>
      </c>
      <c r="F127" s="85">
        <v>0</v>
      </c>
      <c r="G127" s="85">
        <v>70438363.11</v>
      </c>
      <c r="H127" s="85">
        <v>15741381.1397</v>
      </c>
      <c r="I127" s="85">
        <v>15741381.1397</v>
      </c>
      <c r="J127" s="85">
        <f t="shared" si="26"/>
        <v>0</v>
      </c>
      <c r="K127" s="85">
        <v>393428423.01</v>
      </c>
      <c r="L127" s="86">
        <f t="shared" si="13"/>
        <v>918141127.67</v>
      </c>
      <c r="M127" s="79"/>
      <c r="N127" s="90"/>
      <c r="O127" s="87">
        <v>5</v>
      </c>
      <c r="P127" s="90"/>
      <c r="Q127" s="85" t="s">
        <v>373</v>
      </c>
      <c r="R127" s="85">
        <v>377977937.31</v>
      </c>
      <c r="S127" s="89">
        <v>0</v>
      </c>
      <c r="T127" s="85">
        <v>58608080.54</v>
      </c>
      <c r="U127" s="85">
        <v>13097580.5353</v>
      </c>
      <c r="V127" s="85">
        <v>0</v>
      </c>
      <c r="W127" s="85">
        <f t="shared" si="28"/>
        <v>13097580.5353</v>
      </c>
      <c r="X127" s="85">
        <v>1798478830.16</v>
      </c>
      <c r="Y127" s="86">
        <f t="shared" si="19"/>
        <v>2248162428.5453</v>
      </c>
    </row>
    <row r="128" ht="24.95" customHeight="1" spans="1:25">
      <c r="A128" s="83"/>
      <c r="B128" s="90"/>
      <c r="C128" s="80">
        <v>7</v>
      </c>
      <c r="D128" s="85" t="s">
        <v>374</v>
      </c>
      <c r="E128" s="85">
        <v>627611076.29</v>
      </c>
      <c r="F128" s="85">
        <v>0</v>
      </c>
      <c r="G128" s="85">
        <v>97315416.78</v>
      </c>
      <c r="H128" s="85">
        <v>21747794.7925</v>
      </c>
      <c r="I128" s="85">
        <v>21747794.7925</v>
      </c>
      <c r="J128" s="85">
        <f t="shared" si="26"/>
        <v>0</v>
      </c>
      <c r="K128" s="85">
        <v>442424391.46</v>
      </c>
      <c r="L128" s="86">
        <f t="shared" si="13"/>
        <v>1167350884.53</v>
      </c>
      <c r="M128" s="79"/>
      <c r="N128" s="90"/>
      <c r="O128" s="87">
        <v>6</v>
      </c>
      <c r="P128" s="90"/>
      <c r="Q128" s="85" t="s">
        <v>375</v>
      </c>
      <c r="R128" s="85">
        <v>422565389.02</v>
      </c>
      <c r="S128" s="89">
        <v>0</v>
      </c>
      <c r="T128" s="85">
        <v>65521671.79</v>
      </c>
      <c r="U128" s="85">
        <v>14642611.8244</v>
      </c>
      <c r="V128" s="85">
        <v>0</v>
      </c>
      <c r="W128" s="85">
        <f t="shared" si="28"/>
        <v>14642611.8244</v>
      </c>
      <c r="X128" s="85">
        <v>1807269558.97</v>
      </c>
      <c r="Y128" s="86">
        <f t="shared" si="19"/>
        <v>2309999231.6044</v>
      </c>
    </row>
    <row r="129" ht="24.95" customHeight="1" spans="1:25">
      <c r="A129" s="83"/>
      <c r="B129" s="92"/>
      <c r="C129" s="80">
        <v>8</v>
      </c>
      <c r="D129" s="85" t="s">
        <v>376</v>
      </c>
      <c r="E129" s="85">
        <v>579308483.72</v>
      </c>
      <c r="F129" s="85">
        <v>0</v>
      </c>
      <c r="G129" s="85">
        <v>89825767.38</v>
      </c>
      <c r="H129" s="85">
        <v>20074027.5329</v>
      </c>
      <c r="I129" s="85">
        <v>20074027.5329</v>
      </c>
      <c r="J129" s="85">
        <f t="shared" si="26"/>
        <v>0</v>
      </c>
      <c r="K129" s="85">
        <v>454993529.69</v>
      </c>
      <c r="L129" s="86">
        <f t="shared" si="13"/>
        <v>1124127780.79</v>
      </c>
      <c r="M129" s="79"/>
      <c r="N129" s="90"/>
      <c r="O129" s="87">
        <v>7</v>
      </c>
      <c r="P129" s="90"/>
      <c r="Q129" s="85" t="s">
        <v>377</v>
      </c>
      <c r="R129" s="85">
        <v>387979585.72</v>
      </c>
      <c r="S129" s="89">
        <v>0</v>
      </c>
      <c r="T129" s="85">
        <v>60158904.96</v>
      </c>
      <c r="U129" s="85">
        <v>13444154.7205</v>
      </c>
      <c r="V129" s="85">
        <v>0</v>
      </c>
      <c r="W129" s="85">
        <f t="shared" si="28"/>
        <v>13444154.7205</v>
      </c>
      <c r="X129" s="85">
        <v>1785160677.83</v>
      </c>
      <c r="Y129" s="86">
        <f t="shared" si="19"/>
        <v>2246743323.2305</v>
      </c>
    </row>
    <row r="130" ht="24.95" customHeight="1" spans="1:25">
      <c r="A130" s="80"/>
      <c r="B130" s="93" t="s">
        <v>378</v>
      </c>
      <c r="C130" s="94"/>
      <c r="D130" s="95"/>
      <c r="E130" s="95">
        <f t="shared" ref="E130:L130" si="29">SUM(E122:E129)</f>
        <v>3922019001.11</v>
      </c>
      <c r="F130" s="85">
        <v>0</v>
      </c>
      <c r="G130" s="95">
        <f t="shared" si="29"/>
        <v>608136038.64</v>
      </c>
      <c r="H130" s="95">
        <f t="shared" si="29"/>
        <v>135904651.1926</v>
      </c>
      <c r="I130" s="95">
        <f t="shared" si="29"/>
        <v>135904651.1926</v>
      </c>
      <c r="J130" s="95">
        <f t="shared" si="29"/>
        <v>0</v>
      </c>
      <c r="K130" s="95">
        <f t="shared" si="29"/>
        <v>3223806819.14</v>
      </c>
      <c r="L130" s="95">
        <f t="shared" si="29"/>
        <v>7753961858.89</v>
      </c>
      <c r="M130" s="79"/>
      <c r="N130" s="90"/>
      <c r="O130" s="87">
        <v>8</v>
      </c>
      <c r="P130" s="90"/>
      <c r="Q130" s="85" t="s">
        <v>379</v>
      </c>
      <c r="R130" s="85">
        <v>468056095.08</v>
      </c>
      <c r="S130" s="89">
        <v>0</v>
      </c>
      <c r="T130" s="85">
        <v>72575318.85</v>
      </c>
      <c r="U130" s="85">
        <v>16218942.4178</v>
      </c>
      <c r="V130" s="85">
        <v>0</v>
      </c>
      <c r="W130" s="85">
        <f t="shared" si="28"/>
        <v>16218942.4178</v>
      </c>
      <c r="X130" s="85">
        <v>1824565783.72</v>
      </c>
      <c r="Y130" s="86">
        <f t="shared" si="19"/>
        <v>2381416140.0678</v>
      </c>
    </row>
    <row r="131" ht="24.95" customHeight="1" spans="1:25">
      <c r="A131" s="83">
        <v>7</v>
      </c>
      <c r="B131" s="84" t="s">
        <v>380</v>
      </c>
      <c r="C131" s="80">
        <v>1</v>
      </c>
      <c r="D131" s="85" t="s">
        <v>381</v>
      </c>
      <c r="E131" s="85">
        <v>461603706.14</v>
      </c>
      <c r="F131" s="85">
        <v>0</v>
      </c>
      <c r="G131" s="85">
        <v>71574831.53</v>
      </c>
      <c r="H131" s="85">
        <v>15995356.1302</v>
      </c>
      <c r="I131" s="85">
        <f t="shared" ref="I131:I153" si="30">H131/2</f>
        <v>7997678.0651</v>
      </c>
      <c r="J131" s="85">
        <f t="shared" ref="J131:J153" si="31">H131-I131</f>
        <v>7997678.0651</v>
      </c>
      <c r="K131" s="85">
        <v>249555839.43</v>
      </c>
      <c r="L131" s="86">
        <f t="shared" si="13"/>
        <v>790732055.1651</v>
      </c>
      <c r="M131" s="79"/>
      <c r="N131" s="90"/>
      <c r="O131" s="87">
        <v>9</v>
      </c>
      <c r="P131" s="90"/>
      <c r="Q131" s="85" t="s">
        <v>382</v>
      </c>
      <c r="R131" s="85">
        <v>312538172.83</v>
      </c>
      <c r="S131" s="89">
        <v>0</v>
      </c>
      <c r="T131" s="85">
        <v>48461194.68</v>
      </c>
      <c r="U131" s="85">
        <v>10829981.0253</v>
      </c>
      <c r="V131" s="85">
        <v>0</v>
      </c>
      <c r="W131" s="85">
        <f t="shared" si="28"/>
        <v>10829981.0253</v>
      </c>
      <c r="X131" s="85">
        <v>1761479682.04</v>
      </c>
      <c r="Y131" s="86">
        <f t="shared" si="19"/>
        <v>2133309030.5753</v>
      </c>
    </row>
    <row r="132" ht="24.95" customHeight="1" spans="1:25">
      <c r="A132" s="83"/>
      <c r="B132" s="90"/>
      <c r="C132" s="80">
        <v>2</v>
      </c>
      <c r="D132" s="85" t="s">
        <v>383</v>
      </c>
      <c r="E132" s="85">
        <v>407295426.41</v>
      </c>
      <c r="F132" s="85">
        <v>0</v>
      </c>
      <c r="G132" s="85">
        <v>63153959</v>
      </c>
      <c r="H132" s="85">
        <v>14113481.5623</v>
      </c>
      <c r="I132" s="85">
        <f t="shared" si="30"/>
        <v>7056740.78115</v>
      </c>
      <c r="J132" s="85">
        <f t="shared" si="31"/>
        <v>7056740.78115</v>
      </c>
      <c r="K132" s="85">
        <v>226085619.61</v>
      </c>
      <c r="L132" s="86">
        <f t="shared" si="13"/>
        <v>703591745.80115</v>
      </c>
      <c r="M132" s="79"/>
      <c r="N132" s="90"/>
      <c r="O132" s="87">
        <v>10</v>
      </c>
      <c r="P132" s="90"/>
      <c r="Q132" s="85" t="s">
        <v>384</v>
      </c>
      <c r="R132" s="85">
        <v>532909051.82</v>
      </c>
      <c r="S132" s="89">
        <v>0</v>
      </c>
      <c r="T132" s="85">
        <v>82631216.13</v>
      </c>
      <c r="U132" s="85">
        <v>18466208.0385</v>
      </c>
      <c r="V132" s="85">
        <v>0</v>
      </c>
      <c r="W132" s="85">
        <f t="shared" si="28"/>
        <v>18466208.0385</v>
      </c>
      <c r="X132" s="85">
        <v>1876460755.32</v>
      </c>
      <c r="Y132" s="86">
        <f t="shared" si="19"/>
        <v>2510467231.3085</v>
      </c>
    </row>
    <row r="133" ht="24.95" customHeight="1" spans="1:25">
      <c r="A133" s="83"/>
      <c r="B133" s="90"/>
      <c r="C133" s="80">
        <v>3</v>
      </c>
      <c r="D133" s="85" t="s">
        <v>385</v>
      </c>
      <c r="E133" s="85">
        <v>394383064.58</v>
      </c>
      <c r="F133" s="85">
        <v>0</v>
      </c>
      <c r="G133" s="85">
        <v>61151808.43</v>
      </c>
      <c r="H133" s="85">
        <v>13666046.1903</v>
      </c>
      <c r="I133" s="85">
        <f t="shared" si="30"/>
        <v>6833023.09515</v>
      </c>
      <c r="J133" s="85">
        <f t="shared" si="31"/>
        <v>6833023.09515</v>
      </c>
      <c r="K133" s="85">
        <v>219137050.61</v>
      </c>
      <c r="L133" s="86">
        <f t="shared" si="13"/>
        <v>681504946.71515</v>
      </c>
      <c r="M133" s="79"/>
      <c r="N133" s="90"/>
      <c r="O133" s="87">
        <v>11</v>
      </c>
      <c r="P133" s="90"/>
      <c r="Q133" s="85" t="s">
        <v>386</v>
      </c>
      <c r="R133" s="85">
        <v>460673512.34</v>
      </c>
      <c r="S133" s="89">
        <v>0</v>
      </c>
      <c r="T133" s="85">
        <v>71430598.58</v>
      </c>
      <c r="U133" s="85">
        <v>15963123.3276</v>
      </c>
      <c r="V133" s="85">
        <v>0</v>
      </c>
      <c r="W133" s="85">
        <f t="shared" si="28"/>
        <v>15963123.3276</v>
      </c>
      <c r="X133" s="85">
        <v>1833978838.78</v>
      </c>
      <c r="Y133" s="86">
        <f t="shared" si="19"/>
        <v>2382046073.0276</v>
      </c>
    </row>
    <row r="134" ht="24.95" customHeight="1" spans="1:25">
      <c r="A134" s="83"/>
      <c r="B134" s="90"/>
      <c r="C134" s="80">
        <v>4</v>
      </c>
      <c r="D134" s="85" t="s">
        <v>387</v>
      </c>
      <c r="E134" s="85">
        <v>467535968.01</v>
      </c>
      <c r="F134" s="85">
        <v>0</v>
      </c>
      <c r="G134" s="85">
        <v>72494669.56</v>
      </c>
      <c r="H134" s="85">
        <v>16200919.1271</v>
      </c>
      <c r="I134" s="85">
        <f t="shared" si="30"/>
        <v>8100459.56355</v>
      </c>
      <c r="J134" s="85">
        <f t="shared" si="31"/>
        <v>8100459.56355</v>
      </c>
      <c r="K134" s="85">
        <v>258757007.22</v>
      </c>
      <c r="L134" s="86">
        <f t="shared" si="13"/>
        <v>806888104.35355</v>
      </c>
      <c r="M134" s="79"/>
      <c r="N134" s="90"/>
      <c r="O134" s="87">
        <v>12</v>
      </c>
      <c r="P134" s="90"/>
      <c r="Q134" s="85" t="s">
        <v>388</v>
      </c>
      <c r="R134" s="85">
        <v>633403230.41</v>
      </c>
      <c r="S134" s="89">
        <v>0</v>
      </c>
      <c r="T134" s="85">
        <v>98213530.15</v>
      </c>
      <c r="U134" s="85">
        <v>21948502.8167</v>
      </c>
      <c r="V134" s="85">
        <v>0</v>
      </c>
      <c r="W134" s="85">
        <f t="shared" si="28"/>
        <v>21948502.8167</v>
      </c>
      <c r="X134" s="85">
        <v>1916371501.28</v>
      </c>
      <c r="Y134" s="86">
        <f t="shared" si="19"/>
        <v>2669936764.6567</v>
      </c>
    </row>
    <row r="135" ht="24.95" customHeight="1" spans="1:25">
      <c r="A135" s="83"/>
      <c r="B135" s="90"/>
      <c r="C135" s="80">
        <v>5</v>
      </c>
      <c r="D135" s="85" t="s">
        <v>389</v>
      </c>
      <c r="E135" s="85">
        <v>606788893.32</v>
      </c>
      <c r="F135" s="85">
        <v>0</v>
      </c>
      <c r="G135" s="85">
        <v>94086794.01</v>
      </c>
      <c r="H135" s="85">
        <v>21026270.62</v>
      </c>
      <c r="I135" s="85">
        <f t="shared" si="30"/>
        <v>10513135.31</v>
      </c>
      <c r="J135" s="85">
        <f t="shared" si="31"/>
        <v>10513135.31</v>
      </c>
      <c r="K135" s="85">
        <v>316253656</v>
      </c>
      <c r="L135" s="86">
        <f t="shared" si="13"/>
        <v>1027642478.64</v>
      </c>
      <c r="M135" s="79"/>
      <c r="N135" s="90"/>
      <c r="O135" s="87">
        <v>13</v>
      </c>
      <c r="P135" s="90"/>
      <c r="Q135" s="85" t="s">
        <v>390</v>
      </c>
      <c r="R135" s="85">
        <v>685301368.23</v>
      </c>
      <c r="S135" s="89">
        <v>0</v>
      </c>
      <c r="T135" s="85">
        <v>106260693.59</v>
      </c>
      <c r="U135" s="85">
        <v>23746861.8546</v>
      </c>
      <c r="V135" s="85">
        <v>0</v>
      </c>
      <c r="W135" s="85">
        <f t="shared" si="28"/>
        <v>23746861.8546</v>
      </c>
      <c r="X135" s="85">
        <v>1964443982.02</v>
      </c>
      <c r="Y135" s="86">
        <f t="shared" si="19"/>
        <v>2779752905.6946</v>
      </c>
    </row>
    <row r="136" ht="24.95" customHeight="1" spans="1:25">
      <c r="A136" s="83"/>
      <c r="B136" s="90"/>
      <c r="C136" s="80">
        <v>6</v>
      </c>
      <c r="D136" s="85" t="s">
        <v>391</v>
      </c>
      <c r="E136" s="85">
        <v>495754131.1</v>
      </c>
      <c r="F136" s="85">
        <v>0</v>
      </c>
      <c r="G136" s="85">
        <v>76870089.96</v>
      </c>
      <c r="H136" s="85">
        <v>17178726.6316</v>
      </c>
      <c r="I136" s="85">
        <f t="shared" si="30"/>
        <v>8589363.3158</v>
      </c>
      <c r="J136" s="85">
        <f t="shared" si="31"/>
        <v>8589363.3158</v>
      </c>
      <c r="K136" s="85">
        <v>254266626.93</v>
      </c>
      <c r="L136" s="86">
        <f t="shared" ref="L136:L199" si="32">E136+F136+G136+J136+K136</f>
        <v>835480211.3058</v>
      </c>
      <c r="M136" s="79"/>
      <c r="N136" s="90"/>
      <c r="O136" s="87">
        <v>14</v>
      </c>
      <c r="P136" s="90"/>
      <c r="Q136" s="85" t="s">
        <v>392</v>
      </c>
      <c r="R136" s="85">
        <v>368908322.59</v>
      </c>
      <c r="S136" s="89">
        <v>0</v>
      </c>
      <c r="T136" s="85">
        <v>57201774.36</v>
      </c>
      <c r="U136" s="85">
        <v>12783302.9084</v>
      </c>
      <c r="V136" s="85">
        <v>0</v>
      </c>
      <c r="W136" s="85">
        <f t="shared" si="28"/>
        <v>12783302.9084</v>
      </c>
      <c r="X136" s="85">
        <v>1795543154.22</v>
      </c>
      <c r="Y136" s="86">
        <f t="shared" si="19"/>
        <v>2234436554.0784</v>
      </c>
    </row>
    <row r="137" ht="24.95" customHeight="1" spans="1:25">
      <c r="A137" s="83"/>
      <c r="B137" s="90"/>
      <c r="C137" s="80">
        <v>7</v>
      </c>
      <c r="D137" s="85" t="s">
        <v>393</v>
      </c>
      <c r="E137" s="85">
        <v>470269071.23</v>
      </c>
      <c r="F137" s="85">
        <v>0</v>
      </c>
      <c r="G137" s="85">
        <v>72918456.03</v>
      </c>
      <c r="H137" s="85">
        <v>16295625.8179</v>
      </c>
      <c r="I137" s="85">
        <f t="shared" si="30"/>
        <v>8147812.90895</v>
      </c>
      <c r="J137" s="85">
        <f t="shared" si="31"/>
        <v>8147812.90895</v>
      </c>
      <c r="K137" s="85">
        <v>243912303.41</v>
      </c>
      <c r="L137" s="86">
        <f t="shared" si="32"/>
        <v>795247643.57895</v>
      </c>
      <c r="M137" s="79"/>
      <c r="N137" s="90"/>
      <c r="O137" s="87">
        <v>15</v>
      </c>
      <c r="P137" s="90"/>
      <c r="Q137" s="85" t="s">
        <v>394</v>
      </c>
      <c r="R137" s="85">
        <v>445147138.69</v>
      </c>
      <c r="S137" s="89">
        <v>0</v>
      </c>
      <c r="T137" s="85">
        <v>69023127.49</v>
      </c>
      <c r="U137" s="85">
        <v>15425107.9853</v>
      </c>
      <c r="V137" s="85">
        <v>0</v>
      </c>
      <c r="W137" s="85">
        <f t="shared" si="28"/>
        <v>15425107.9853</v>
      </c>
      <c r="X137" s="85">
        <v>1835654674.49</v>
      </c>
      <c r="Y137" s="86">
        <f t="shared" si="19"/>
        <v>2365250048.6553</v>
      </c>
    </row>
    <row r="138" ht="24.95" customHeight="1" spans="1:25">
      <c r="A138" s="83"/>
      <c r="B138" s="90"/>
      <c r="C138" s="80">
        <v>8</v>
      </c>
      <c r="D138" s="85" t="s">
        <v>395</v>
      </c>
      <c r="E138" s="85">
        <v>404126902.95</v>
      </c>
      <c r="F138" s="85">
        <v>0</v>
      </c>
      <c r="G138" s="85">
        <v>62662657.63</v>
      </c>
      <c r="H138" s="85">
        <v>14003686.8172</v>
      </c>
      <c r="I138" s="85">
        <f t="shared" si="30"/>
        <v>7001843.4086</v>
      </c>
      <c r="J138" s="85">
        <f t="shared" si="31"/>
        <v>7001843.4086</v>
      </c>
      <c r="K138" s="85">
        <v>228538622.27</v>
      </c>
      <c r="L138" s="86">
        <f t="shared" si="32"/>
        <v>702330026.2586</v>
      </c>
      <c r="M138" s="79"/>
      <c r="N138" s="90"/>
      <c r="O138" s="87">
        <v>16</v>
      </c>
      <c r="P138" s="90"/>
      <c r="Q138" s="85" t="s">
        <v>396</v>
      </c>
      <c r="R138" s="85">
        <v>666418710.46</v>
      </c>
      <c r="S138" s="89">
        <v>0</v>
      </c>
      <c r="T138" s="85">
        <v>103332807.55</v>
      </c>
      <c r="U138" s="85">
        <v>23092545.5404</v>
      </c>
      <c r="V138" s="85">
        <v>0</v>
      </c>
      <c r="W138" s="85">
        <f t="shared" si="28"/>
        <v>23092545.5404</v>
      </c>
      <c r="X138" s="85">
        <v>1952447902.56</v>
      </c>
      <c r="Y138" s="86">
        <f t="shared" si="19"/>
        <v>2745291966.1104</v>
      </c>
    </row>
    <row r="139" ht="24.95" customHeight="1" spans="1:25">
      <c r="A139" s="83"/>
      <c r="B139" s="90"/>
      <c r="C139" s="80">
        <v>9</v>
      </c>
      <c r="D139" s="85" t="s">
        <v>397</v>
      </c>
      <c r="E139" s="85">
        <v>510516510.24</v>
      </c>
      <c r="F139" s="85">
        <v>0</v>
      </c>
      <c r="G139" s="85">
        <v>79159098.44</v>
      </c>
      <c r="H139" s="85">
        <v>17690268.2603</v>
      </c>
      <c r="I139" s="85">
        <f t="shared" si="30"/>
        <v>8845134.13015</v>
      </c>
      <c r="J139" s="85">
        <f t="shared" si="31"/>
        <v>8845134.13015</v>
      </c>
      <c r="K139" s="85">
        <v>266534974.14</v>
      </c>
      <c r="L139" s="86">
        <f t="shared" si="32"/>
        <v>865055716.95015</v>
      </c>
      <c r="M139" s="79"/>
      <c r="N139" s="90"/>
      <c r="O139" s="87">
        <v>17</v>
      </c>
      <c r="P139" s="90"/>
      <c r="Q139" s="85" t="s">
        <v>398</v>
      </c>
      <c r="R139" s="85">
        <v>646638739.37</v>
      </c>
      <c r="S139" s="89">
        <v>0</v>
      </c>
      <c r="T139" s="85">
        <v>100265786.9</v>
      </c>
      <c r="U139" s="85">
        <v>22407135.7882</v>
      </c>
      <c r="V139" s="85">
        <v>0</v>
      </c>
      <c r="W139" s="85">
        <f t="shared" si="28"/>
        <v>22407135.7882</v>
      </c>
      <c r="X139" s="85">
        <v>1939505739.01</v>
      </c>
      <c r="Y139" s="86">
        <f t="shared" si="19"/>
        <v>2708817401.0682</v>
      </c>
    </row>
    <row r="140" ht="24.95" customHeight="1" spans="1:25">
      <c r="A140" s="83"/>
      <c r="B140" s="90"/>
      <c r="C140" s="80">
        <v>10</v>
      </c>
      <c r="D140" s="85" t="s">
        <v>399</v>
      </c>
      <c r="E140" s="85">
        <v>483006493.16</v>
      </c>
      <c r="F140" s="85">
        <v>0</v>
      </c>
      <c r="G140" s="85">
        <v>74893480.96</v>
      </c>
      <c r="H140" s="85">
        <v>16736999.2235</v>
      </c>
      <c r="I140" s="85">
        <f t="shared" si="30"/>
        <v>8368499.61175</v>
      </c>
      <c r="J140" s="85">
        <f t="shared" si="31"/>
        <v>8368499.61175</v>
      </c>
      <c r="K140" s="85">
        <v>266888366.55</v>
      </c>
      <c r="L140" s="86">
        <f t="shared" si="32"/>
        <v>833156840.28175</v>
      </c>
      <c r="M140" s="79"/>
      <c r="N140" s="90"/>
      <c r="O140" s="87">
        <v>18</v>
      </c>
      <c r="P140" s="90"/>
      <c r="Q140" s="85" t="s">
        <v>400</v>
      </c>
      <c r="R140" s="85">
        <v>660272230.14</v>
      </c>
      <c r="S140" s="89">
        <v>0</v>
      </c>
      <c r="T140" s="85">
        <v>102379753.47</v>
      </c>
      <c r="U140" s="85">
        <v>22879559.5081</v>
      </c>
      <c r="V140" s="85">
        <v>0</v>
      </c>
      <c r="W140" s="85">
        <f t="shared" si="28"/>
        <v>22879559.5081</v>
      </c>
      <c r="X140" s="85">
        <v>1948187931.16</v>
      </c>
      <c r="Y140" s="86">
        <f t="shared" si="19"/>
        <v>2733719474.2781</v>
      </c>
    </row>
    <row r="141" ht="24.95" customHeight="1" spans="1:25">
      <c r="A141" s="83"/>
      <c r="B141" s="90"/>
      <c r="C141" s="80">
        <v>11</v>
      </c>
      <c r="D141" s="85" t="s">
        <v>401</v>
      </c>
      <c r="E141" s="85">
        <v>553010198.99</v>
      </c>
      <c r="F141" s="85">
        <v>0</v>
      </c>
      <c r="G141" s="85">
        <v>85748037.34</v>
      </c>
      <c r="H141" s="85">
        <v>19162747.0899</v>
      </c>
      <c r="I141" s="85">
        <f t="shared" si="30"/>
        <v>9581373.54495</v>
      </c>
      <c r="J141" s="85">
        <f t="shared" si="31"/>
        <v>9581373.54495</v>
      </c>
      <c r="K141" s="85">
        <v>275417570.15</v>
      </c>
      <c r="L141" s="86">
        <f t="shared" si="32"/>
        <v>923757180.02495</v>
      </c>
      <c r="M141" s="79"/>
      <c r="N141" s="90"/>
      <c r="O141" s="87">
        <v>19</v>
      </c>
      <c r="P141" s="90"/>
      <c r="Q141" s="85" t="s">
        <v>402</v>
      </c>
      <c r="R141" s="85">
        <v>510658831.48</v>
      </c>
      <c r="S141" s="89">
        <v>0</v>
      </c>
      <c r="T141" s="85">
        <v>79181166.33</v>
      </c>
      <c r="U141" s="85">
        <v>17695199.9344</v>
      </c>
      <c r="V141" s="85">
        <v>0</v>
      </c>
      <c r="W141" s="85">
        <f t="shared" si="28"/>
        <v>17695199.9344</v>
      </c>
      <c r="X141" s="85">
        <v>1867124009.3</v>
      </c>
      <c r="Y141" s="86">
        <f t="shared" si="19"/>
        <v>2474659207.0444</v>
      </c>
    </row>
    <row r="142" ht="24.95" customHeight="1" spans="1:25">
      <c r="A142" s="83"/>
      <c r="B142" s="90"/>
      <c r="C142" s="80">
        <v>12</v>
      </c>
      <c r="D142" s="85" t="s">
        <v>403</v>
      </c>
      <c r="E142" s="85">
        <v>424679259.97</v>
      </c>
      <c r="F142" s="85">
        <v>0</v>
      </c>
      <c r="G142" s="85">
        <v>65849442.03</v>
      </c>
      <c r="H142" s="85">
        <v>14715861.0601</v>
      </c>
      <c r="I142" s="85">
        <f t="shared" si="30"/>
        <v>7357930.53005</v>
      </c>
      <c r="J142" s="85">
        <f t="shared" si="31"/>
        <v>7357930.53005</v>
      </c>
      <c r="K142" s="85">
        <v>245918564.72</v>
      </c>
      <c r="L142" s="86">
        <f t="shared" si="32"/>
        <v>743805197.25005</v>
      </c>
      <c r="M142" s="79"/>
      <c r="N142" s="92"/>
      <c r="O142" s="87">
        <v>20</v>
      </c>
      <c r="P142" s="92"/>
      <c r="Q142" s="85" t="s">
        <v>404</v>
      </c>
      <c r="R142" s="85">
        <v>584128725.4</v>
      </c>
      <c r="S142" s="89">
        <v>0</v>
      </c>
      <c r="T142" s="85">
        <v>90573179.02</v>
      </c>
      <c r="U142" s="85">
        <v>20241057.1328</v>
      </c>
      <c r="V142" s="85">
        <v>0</v>
      </c>
      <c r="W142" s="85">
        <f t="shared" si="28"/>
        <v>20241057.1328</v>
      </c>
      <c r="X142" s="85">
        <v>1904649541.73</v>
      </c>
      <c r="Y142" s="86">
        <f t="shared" si="19"/>
        <v>2599592503.2828</v>
      </c>
    </row>
    <row r="143" ht="24.95" customHeight="1" spans="1:25">
      <c r="A143" s="83"/>
      <c r="B143" s="90"/>
      <c r="C143" s="80">
        <v>13</v>
      </c>
      <c r="D143" s="85" t="s">
        <v>405</v>
      </c>
      <c r="E143" s="85">
        <v>510139609.08</v>
      </c>
      <c r="F143" s="85">
        <v>0</v>
      </c>
      <c r="G143" s="85">
        <v>79100657.32</v>
      </c>
      <c r="H143" s="85">
        <v>17677207.9921</v>
      </c>
      <c r="I143" s="85">
        <f t="shared" si="30"/>
        <v>8838603.99605</v>
      </c>
      <c r="J143" s="85">
        <f t="shared" si="31"/>
        <v>8838603.99605</v>
      </c>
      <c r="K143" s="85">
        <v>293457993.38</v>
      </c>
      <c r="L143" s="86">
        <f t="shared" si="32"/>
        <v>891536863.77605</v>
      </c>
      <c r="M143" s="79"/>
      <c r="N143" s="80"/>
      <c r="O143" s="94" t="s">
        <v>406</v>
      </c>
      <c r="P143" s="101"/>
      <c r="Q143" s="95"/>
      <c r="R143" s="95">
        <f t="shared" ref="R143:Y143" si="33">SUM(R123:R142)</f>
        <v>11031585195.73</v>
      </c>
      <c r="S143" s="89">
        <v>0</v>
      </c>
      <c r="T143" s="95">
        <f t="shared" si="33"/>
        <v>1710523207.3</v>
      </c>
      <c r="U143" s="95">
        <f t="shared" si="33"/>
        <v>382263252.091</v>
      </c>
      <c r="V143" s="95">
        <f t="shared" si="33"/>
        <v>0</v>
      </c>
      <c r="W143" s="95">
        <f t="shared" si="33"/>
        <v>382263252.091</v>
      </c>
      <c r="X143" s="95">
        <f t="shared" si="33"/>
        <v>37698122601.91</v>
      </c>
      <c r="Y143" s="95">
        <f t="shared" si="33"/>
        <v>50822494257.031</v>
      </c>
    </row>
    <row r="144" ht="24.95" customHeight="1" spans="1:25">
      <c r="A144" s="83"/>
      <c r="B144" s="90"/>
      <c r="C144" s="80">
        <v>14</v>
      </c>
      <c r="D144" s="85" t="s">
        <v>407</v>
      </c>
      <c r="E144" s="85">
        <v>376842170.5</v>
      </c>
      <c r="F144" s="85">
        <v>0</v>
      </c>
      <c r="G144" s="85">
        <v>58431972.08</v>
      </c>
      <c r="H144" s="85">
        <v>13058224.2773</v>
      </c>
      <c r="I144" s="85">
        <f t="shared" si="30"/>
        <v>6529112.13865</v>
      </c>
      <c r="J144" s="85">
        <f t="shared" si="31"/>
        <v>6529112.13865</v>
      </c>
      <c r="K144" s="85">
        <v>219911254.11</v>
      </c>
      <c r="L144" s="86">
        <f t="shared" si="32"/>
        <v>661714508.82865</v>
      </c>
      <c r="M144" s="79"/>
      <c r="N144" s="84">
        <v>25</v>
      </c>
      <c r="O144" s="87">
        <v>1</v>
      </c>
      <c r="P144" s="84" t="s">
        <v>112</v>
      </c>
      <c r="Q144" s="85" t="s">
        <v>408</v>
      </c>
      <c r="R144" s="85">
        <v>382196179.3</v>
      </c>
      <c r="S144" s="89">
        <v>0</v>
      </c>
      <c r="T144" s="85">
        <v>59262147.99</v>
      </c>
      <c r="U144" s="85">
        <v>13243749.8188</v>
      </c>
      <c r="V144" s="85">
        <f t="shared" ref="V144:V156" si="34">U144/2</f>
        <v>6621874.9094</v>
      </c>
      <c r="W144" s="85">
        <f t="shared" ref="W144:W175" si="35">U144-V144</f>
        <v>6621874.9094</v>
      </c>
      <c r="X144" s="85">
        <v>252369065.76</v>
      </c>
      <c r="Y144" s="86">
        <f t="shared" si="19"/>
        <v>700449267.9594</v>
      </c>
    </row>
    <row r="145" ht="24.95" customHeight="1" spans="1:25">
      <c r="A145" s="83"/>
      <c r="B145" s="90"/>
      <c r="C145" s="80">
        <v>15</v>
      </c>
      <c r="D145" s="85" t="s">
        <v>409</v>
      </c>
      <c r="E145" s="85">
        <v>395880674.02</v>
      </c>
      <c r="F145" s="85">
        <v>0</v>
      </c>
      <c r="G145" s="85">
        <v>61384023.08</v>
      </c>
      <c r="H145" s="85">
        <v>13717940.9128</v>
      </c>
      <c r="I145" s="85">
        <f t="shared" si="30"/>
        <v>6858970.4564</v>
      </c>
      <c r="J145" s="85">
        <f t="shared" si="31"/>
        <v>6858970.4564</v>
      </c>
      <c r="K145" s="85">
        <v>230969399</v>
      </c>
      <c r="L145" s="86">
        <f t="shared" si="32"/>
        <v>695093066.5564</v>
      </c>
      <c r="M145" s="79"/>
      <c r="N145" s="90"/>
      <c r="O145" s="87">
        <v>2</v>
      </c>
      <c r="P145" s="90"/>
      <c r="Q145" s="85" t="s">
        <v>410</v>
      </c>
      <c r="R145" s="85">
        <v>430804103.49</v>
      </c>
      <c r="S145" s="89">
        <v>0</v>
      </c>
      <c r="T145" s="85">
        <v>66799141.17</v>
      </c>
      <c r="U145" s="85">
        <v>14928097.3398</v>
      </c>
      <c r="V145" s="85">
        <f t="shared" si="34"/>
        <v>7464048.6699</v>
      </c>
      <c r="W145" s="85">
        <f t="shared" si="35"/>
        <v>7464048.6699</v>
      </c>
      <c r="X145" s="85">
        <v>252051975.71</v>
      </c>
      <c r="Y145" s="86">
        <f t="shared" si="19"/>
        <v>757119269.0399</v>
      </c>
    </row>
    <row r="146" ht="24.95" customHeight="1" spans="1:25">
      <c r="A146" s="83"/>
      <c r="B146" s="90"/>
      <c r="C146" s="80">
        <v>16</v>
      </c>
      <c r="D146" s="85" t="s">
        <v>411</v>
      </c>
      <c r="E146" s="85">
        <v>361091453.55</v>
      </c>
      <c r="F146" s="85">
        <v>0</v>
      </c>
      <c r="G146" s="85">
        <v>55989715.01</v>
      </c>
      <c r="H146" s="85">
        <v>12512435.057</v>
      </c>
      <c r="I146" s="85">
        <f t="shared" si="30"/>
        <v>6256217.5285</v>
      </c>
      <c r="J146" s="85">
        <f t="shared" si="31"/>
        <v>6256217.5285</v>
      </c>
      <c r="K146" s="85">
        <v>209771410.88</v>
      </c>
      <c r="L146" s="86">
        <f t="shared" si="32"/>
        <v>633108796.9685</v>
      </c>
      <c r="M146" s="79"/>
      <c r="N146" s="90"/>
      <c r="O146" s="87">
        <v>3</v>
      </c>
      <c r="P146" s="90"/>
      <c r="Q146" s="85" t="s">
        <v>412</v>
      </c>
      <c r="R146" s="85">
        <v>441105159.63</v>
      </c>
      <c r="S146" s="89">
        <v>0</v>
      </c>
      <c r="T146" s="85">
        <v>68396390.82</v>
      </c>
      <c r="U146" s="85">
        <v>15285046.5134</v>
      </c>
      <c r="V146" s="85">
        <f t="shared" si="34"/>
        <v>7642523.2567</v>
      </c>
      <c r="W146" s="85">
        <f t="shared" si="35"/>
        <v>7642523.2567</v>
      </c>
      <c r="X146" s="85">
        <v>262065871.96</v>
      </c>
      <c r="Y146" s="86">
        <f t="shared" si="19"/>
        <v>779209945.6667</v>
      </c>
    </row>
    <row r="147" ht="24.95" customHeight="1" spans="1:25">
      <c r="A147" s="83"/>
      <c r="B147" s="90"/>
      <c r="C147" s="80">
        <v>17</v>
      </c>
      <c r="D147" s="85" t="s">
        <v>413</v>
      </c>
      <c r="E147" s="85">
        <v>456890997.73</v>
      </c>
      <c r="F147" s="85">
        <v>0</v>
      </c>
      <c r="G147" s="85">
        <v>70844093.66</v>
      </c>
      <c r="H147" s="85">
        <v>15832052.7417</v>
      </c>
      <c r="I147" s="85">
        <f t="shared" si="30"/>
        <v>7916026.37085</v>
      </c>
      <c r="J147" s="85">
        <f t="shared" si="31"/>
        <v>7916026.37085</v>
      </c>
      <c r="K147" s="85">
        <v>246353081.8</v>
      </c>
      <c r="L147" s="86">
        <f t="shared" si="32"/>
        <v>782004199.56085</v>
      </c>
      <c r="M147" s="79"/>
      <c r="N147" s="90"/>
      <c r="O147" s="87">
        <v>4</v>
      </c>
      <c r="P147" s="90"/>
      <c r="Q147" s="85" t="s">
        <v>414</v>
      </c>
      <c r="R147" s="85">
        <v>520443976.84</v>
      </c>
      <c r="S147" s="89">
        <v>0</v>
      </c>
      <c r="T147" s="85">
        <v>80698420.46</v>
      </c>
      <c r="U147" s="85">
        <v>18034271.9188</v>
      </c>
      <c r="V147" s="85">
        <f t="shared" si="34"/>
        <v>9017135.9594</v>
      </c>
      <c r="W147" s="85">
        <f t="shared" si="35"/>
        <v>9017135.9594</v>
      </c>
      <c r="X147" s="85">
        <v>286466247.28</v>
      </c>
      <c r="Y147" s="86">
        <f t="shared" si="19"/>
        <v>896625780.5394</v>
      </c>
    </row>
    <row r="148" ht="24.95" customHeight="1" spans="1:25">
      <c r="A148" s="83"/>
      <c r="B148" s="90"/>
      <c r="C148" s="80">
        <v>18</v>
      </c>
      <c r="D148" s="85" t="s">
        <v>415</v>
      </c>
      <c r="E148" s="85">
        <v>428153292.1</v>
      </c>
      <c r="F148" s="85">
        <v>0</v>
      </c>
      <c r="G148" s="85">
        <v>66388114.62</v>
      </c>
      <c r="H148" s="85">
        <v>14836242.2017</v>
      </c>
      <c r="I148" s="85">
        <f t="shared" si="30"/>
        <v>7418121.10085</v>
      </c>
      <c r="J148" s="85">
        <f t="shared" si="31"/>
        <v>7418121.10085</v>
      </c>
      <c r="K148" s="85">
        <v>248727923.25</v>
      </c>
      <c r="L148" s="86">
        <f t="shared" si="32"/>
        <v>750687451.07085</v>
      </c>
      <c r="M148" s="79"/>
      <c r="N148" s="90"/>
      <c r="O148" s="87">
        <v>5</v>
      </c>
      <c r="P148" s="90"/>
      <c r="Q148" s="85" t="s">
        <v>416</v>
      </c>
      <c r="R148" s="85">
        <v>371619396.42</v>
      </c>
      <c r="S148" s="89">
        <v>0</v>
      </c>
      <c r="T148" s="85">
        <v>57622145.01</v>
      </c>
      <c r="U148" s="85">
        <v>12877246.2428</v>
      </c>
      <c r="V148" s="85">
        <f t="shared" si="34"/>
        <v>6438623.1214</v>
      </c>
      <c r="W148" s="85">
        <f t="shared" si="35"/>
        <v>6438623.1214</v>
      </c>
      <c r="X148" s="85">
        <v>239708801.19</v>
      </c>
      <c r="Y148" s="86">
        <f t="shared" si="19"/>
        <v>675388965.7414</v>
      </c>
    </row>
    <row r="149" ht="24.95" customHeight="1" spans="1:25">
      <c r="A149" s="83"/>
      <c r="B149" s="90"/>
      <c r="C149" s="80">
        <v>19</v>
      </c>
      <c r="D149" s="85" t="s">
        <v>417</v>
      </c>
      <c r="E149" s="85">
        <v>501446316.3</v>
      </c>
      <c r="F149" s="85">
        <v>0</v>
      </c>
      <c r="G149" s="85">
        <v>77752702.45</v>
      </c>
      <c r="H149" s="85">
        <v>17375970.5624</v>
      </c>
      <c r="I149" s="85">
        <f t="shared" si="30"/>
        <v>8687985.2812</v>
      </c>
      <c r="J149" s="85">
        <f t="shared" si="31"/>
        <v>8687985.2812</v>
      </c>
      <c r="K149" s="85">
        <v>280221706.6</v>
      </c>
      <c r="L149" s="86">
        <f t="shared" si="32"/>
        <v>868108710.6312</v>
      </c>
      <c r="M149" s="79"/>
      <c r="N149" s="90"/>
      <c r="O149" s="87">
        <v>6</v>
      </c>
      <c r="P149" s="90"/>
      <c r="Q149" s="85" t="s">
        <v>418</v>
      </c>
      <c r="R149" s="85">
        <v>349446468.93</v>
      </c>
      <c r="S149" s="89">
        <v>0</v>
      </c>
      <c r="T149" s="85">
        <v>54184080</v>
      </c>
      <c r="U149" s="85">
        <v>12108916.4681</v>
      </c>
      <c r="V149" s="85">
        <f t="shared" si="34"/>
        <v>6054458.23405</v>
      </c>
      <c r="W149" s="85">
        <f t="shared" si="35"/>
        <v>6054458.23405</v>
      </c>
      <c r="X149" s="85">
        <v>244676668.71</v>
      </c>
      <c r="Y149" s="86">
        <f t="shared" si="19"/>
        <v>654361675.87405</v>
      </c>
    </row>
    <row r="150" ht="24.95" customHeight="1" spans="1:25">
      <c r="A150" s="83"/>
      <c r="B150" s="90"/>
      <c r="C150" s="80">
        <v>20</v>
      </c>
      <c r="D150" s="85" t="s">
        <v>419</v>
      </c>
      <c r="E150" s="85">
        <v>347541284.89</v>
      </c>
      <c r="F150" s="85">
        <v>0</v>
      </c>
      <c r="G150" s="85">
        <v>53888668.1</v>
      </c>
      <c r="H150" s="85">
        <v>12042898.5898</v>
      </c>
      <c r="I150" s="85">
        <f t="shared" si="30"/>
        <v>6021449.2949</v>
      </c>
      <c r="J150" s="85">
        <f t="shared" si="31"/>
        <v>6021449.2949</v>
      </c>
      <c r="K150" s="85">
        <v>212739314.43</v>
      </c>
      <c r="L150" s="86">
        <f t="shared" si="32"/>
        <v>620190716.7149</v>
      </c>
      <c r="M150" s="79"/>
      <c r="N150" s="90"/>
      <c r="O150" s="87">
        <v>7</v>
      </c>
      <c r="P150" s="90"/>
      <c r="Q150" s="85" t="s">
        <v>420</v>
      </c>
      <c r="R150" s="85">
        <v>399273977.12</v>
      </c>
      <c r="S150" s="89">
        <v>0</v>
      </c>
      <c r="T150" s="85">
        <v>61910178.08</v>
      </c>
      <c r="U150" s="85">
        <v>13835524.6558</v>
      </c>
      <c r="V150" s="85">
        <f t="shared" si="34"/>
        <v>6917762.3279</v>
      </c>
      <c r="W150" s="85">
        <f t="shared" si="35"/>
        <v>6917762.3279</v>
      </c>
      <c r="X150" s="85">
        <v>251005504.48</v>
      </c>
      <c r="Y150" s="86">
        <f t="shared" si="19"/>
        <v>719107422.0079</v>
      </c>
    </row>
    <row r="151" ht="24.95" customHeight="1" spans="1:25">
      <c r="A151" s="83"/>
      <c r="B151" s="90"/>
      <c r="C151" s="80">
        <v>21</v>
      </c>
      <c r="D151" s="85" t="s">
        <v>421</v>
      </c>
      <c r="E151" s="85">
        <v>475201309.5</v>
      </c>
      <c r="F151" s="85">
        <v>0</v>
      </c>
      <c r="G151" s="85">
        <v>73683233.52</v>
      </c>
      <c r="H151" s="85">
        <v>16466536.2905</v>
      </c>
      <c r="I151" s="85">
        <f t="shared" si="30"/>
        <v>8233268.14525</v>
      </c>
      <c r="J151" s="85">
        <f t="shared" si="31"/>
        <v>8233268.14525</v>
      </c>
      <c r="K151" s="85">
        <v>263650047.4</v>
      </c>
      <c r="L151" s="86">
        <f t="shared" si="32"/>
        <v>820767858.56525</v>
      </c>
      <c r="M151" s="79"/>
      <c r="N151" s="90"/>
      <c r="O151" s="87">
        <v>8</v>
      </c>
      <c r="P151" s="90"/>
      <c r="Q151" s="85" t="s">
        <v>422</v>
      </c>
      <c r="R151" s="85">
        <v>624767491.96</v>
      </c>
      <c r="S151" s="89">
        <v>0</v>
      </c>
      <c r="T151" s="85">
        <v>96874499.47</v>
      </c>
      <c r="U151" s="85">
        <v>21649259.7428</v>
      </c>
      <c r="V151" s="85">
        <f t="shared" si="34"/>
        <v>10824629.8714</v>
      </c>
      <c r="W151" s="85">
        <f t="shared" si="35"/>
        <v>10824629.8714</v>
      </c>
      <c r="X151" s="85">
        <v>332857335.82</v>
      </c>
      <c r="Y151" s="86">
        <f t="shared" si="19"/>
        <v>1065323957.1214</v>
      </c>
    </row>
    <row r="152" ht="24.95" customHeight="1" spans="1:25">
      <c r="A152" s="83"/>
      <c r="B152" s="90"/>
      <c r="C152" s="80">
        <v>22</v>
      </c>
      <c r="D152" s="85" t="s">
        <v>423</v>
      </c>
      <c r="E152" s="85">
        <v>462712131.18</v>
      </c>
      <c r="F152" s="85">
        <v>0</v>
      </c>
      <c r="G152" s="85">
        <v>71746700.46</v>
      </c>
      <c r="H152" s="85">
        <v>16033764.9492</v>
      </c>
      <c r="I152" s="85">
        <f t="shared" si="30"/>
        <v>8016882.4746</v>
      </c>
      <c r="J152" s="85">
        <f t="shared" si="31"/>
        <v>8016882.4746</v>
      </c>
      <c r="K152" s="85">
        <v>253059758.5</v>
      </c>
      <c r="L152" s="86">
        <f t="shared" si="32"/>
        <v>795535472.6146</v>
      </c>
      <c r="M152" s="79"/>
      <c r="N152" s="90"/>
      <c r="O152" s="87">
        <v>9</v>
      </c>
      <c r="P152" s="90"/>
      <c r="Q152" s="85" t="s">
        <v>424</v>
      </c>
      <c r="R152" s="85">
        <v>578999867.39</v>
      </c>
      <c r="S152" s="89">
        <v>0</v>
      </c>
      <c r="T152" s="85">
        <v>89777914.29</v>
      </c>
      <c r="U152" s="85">
        <v>20063333.4503</v>
      </c>
      <c r="V152" s="85">
        <f t="shared" si="34"/>
        <v>10031666.72515</v>
      </c>
      <c r="W152" s="85">
        <f t="shared" si="35"/>
        <v>10031666.72515</v>
      </c>
      <c r="X152" s="85">
        <v>280671945.31</v>
      </c>
      <c r="Y152" s="86">
        <f t="shared" si="19"/>
        <v>959481393.71515</v>
      </c>
    </row>
    <row r="153" ht="24.95" customHeight="1" spans="1:25">
      <c r="A153" s="83"/>
      <c r="B153" s="92"/>
      <c r="C153" s="80">
        <v>23</v>
      </c>
      <c r="D153" s="85" t="s">
        <v>425</v>
      </c>
      <c r="E153" s="85">
        <v>490094020.9</v>
      </c>
      <c r="F153" s="85">
        <v>0</v>
      </c>
      <c r="G153" s="85">
        <v>75992450.92</v>
      </c>
      <c r="H153" s="85">
        <v>16982594.1546</v>
      </c>
      <c r="I153" s="85">
        <f t="shared" si="30"/>
        <v>8491297.0773</v>
      </c>
      <c r="J153" s="85">
        <f t="shared" si="31"/>
        <v>8491297.0773</v>
      </c>
      <c r="K153" s="85">
        <v>268536049.4</v>
      </c>
      <c r="L153" s="86">
        <f t="shared" si="32"/>
        <v>843113818.2973</v>
      </c>
      <c r="M153" s="79"/>
      <c r="N153" s="90"/>
      <c r="O153" s="87">
        <v>10</v>
      </c>
      <c r="P153" s="90"/>
      <c r="Q153" s="106" t="s">
        <v>426</v>
      </c>
      <c r="R153" s="85">
        <v>442926083.25</v>
      </c>
      <c r="S153" s="89">
        <v>0</v>
      </c>
      <c r="T153" s="85">
        <v>68678737.56</v>
      </c>
      <c r="U153" s="85">
        <v>15348144.6243</v>
      </c>
      <c r="V153" s="85">
        <f t="shared" si="34"/>
        <v>7674072.31215</v>
      </c>
      <c r="W153" s="85">
        <f t="shared" si="35"/>
        <v>7674072.31215</v>
      </c>
      <c r="X153" s="85">
        <v>265593128.28</v>
      </c>
      <c r="Y153" s="86">
        <f t="shared" si="19"/>
        <v>784872021.40215</v>
      </c>
    </row>
    <row r="154" ht="24.95" customHeight="1" spans="1:25">
      <c r="A154" s="80"/>
      <c r="B154" s="93" t="s">
        <v>427</v>
      </c>
      <c r="C154" s="94"/>
      <c r="D154" s="95"/>
      <c r="E154" s="95">
        <f t="shared" ref="E154:L154" si="36">SUM(E131:E153)</f>
        <v>10484962885.85</v>
      </c>
      <c r="F154" s="85">
        <v>0</v>
      </c>
      <c r="G154" s="95">
        <f t="shared" si="36"/>
        <v>1625765656.14</v>
      </c>
      <c r="H154" s="95">
        <f t="shared" si="36"/>
        <v>363321856.2595</v>
      </c>
      <c r="I154" s="95">
        <f t="shared" si="36"/>
        <v>181660928.12975</v>
      </c>
      <c r="J154" s="95">
        <f t="shared" si="36"/>
        <v>181660928.12975</v>
      </c>
      <c r="K154" s="95">
        <f t="shared" si="36"/>
        <v>5778664139.79</v>
      </c>
      <c r="L154" s="95">
        <f t="shared" si="36"/>
        <v>18071053609.9098</v>
      </c>
      <c r="M154" s="79"/>
      <c r="N154" s="90"/>
      <c r="O154" s="87">
        <v>11</v>
      </c>
      <c r="P154" s="90"/>
      <c r="Q154" s="85" t="s">
        <v>407</v>
      </c>
      <c r="R154" s="85">
        <v>423965855.67</v>
      </c>
      <c r="S154" s="89">
        <v>0</v>
      </c>
      <c r="T154" s="85">
        <v>65738823.78</v>
      </c>
      <c r="U154" s="85">
        <v>14691140.3836</v>
      </c>
      <c r="V154" s="85">
        <f t="shared" si="34"/>
        <v>7345570.1918</v>
      </c>
      <c r="W154" s="85">
        <f t="shared" si="35"/>
        <v>7345570.1918</v>
      </c>
      <c r="X154" s="85">
        <v>265498668.04</v>
      </c>
      <c r="Y154" s="86">
        <f t="shared" si="19"/>
        <v>762548917.6818</v>
      </c>
    </row>
    <row r="155" ht="24.95" customHeight="1" spans="1:25">
      <c r="A155" s="83">
        <v>8</v>
      </c>
      <c r="B155" s="84" t="s">
        <v>428</v>
      </c>
      <c r="C155" s="80">
        <v>1</v>
      </c>
      <c r="D155" s="85" t="s">
        <v>429</v>
      </c>
      <c r="E155" s="85">
        <v>411580828.53</v>
      </c>
      <c r="F155" s="85">
        <v>0</v>
      </c>
      <c r="G155" s="85">
        <v>63818440.09</v>
      </c>
      <c r="H155" s="85">
        <v>14261978.0584</v>
      </c>
      <c r="I155" s="85">
        <v>0</v>
      </c>
      <c r="J155" s="85">
        <f t="shared" ref="J155:J181" si="37">H155-I155</f>
        <v>14261978.0584</v>
      </c>
      <c r="K155" s="85">
        <v>257350561.25</v>
      </c>
      <c r="L155" s="86">
        <f t="shared" si="32"/>
        <v>747011807.9284</v>
      </c>
      <c r="M155" s="79"/>
      <c r="N155" s="90"/>
      <c r="O155" s="87">
        <v>12</v>
      </c>
      <c r="P155" s="90"/>
      <c r="Q155" s="85" t="s">
        <v>430</v>
      </c>
      <c r="R155" s="85">
        <v>450433291.13</v>
      </c>
      <c r="S155" s="89">
        <v>0</v>
      </c>
      <c r="T155" s="85">
        <v>69842781.81</v>
      </c>
      <c r="U155" s="85">
        <v>15608282.1881</v>
      </c>
      <c r="V155" s="85">
        <f t="shared" si="34"/>
        <v>7804141.09405</v>
      </c>
      <c r="W155" s="85">
        <f t="shared" si="35"/>
        <v>7804141.09405</v>
      </c>
      <c r="X155" s="85">
        <v>254460896.93</v>
      </c>
      <c r="Y155" s="86">
        <f t="shared" si="19"/>
        <v>782541110.96405</v>
      </c>
    </row>
    <row r="156" ht="24.95" customHeight="1" spans="1:25">
      <c r="A156" s="83"/>
      <c r="B156" s="90"/>
      <c r="C156" s="80">
        <v>2</v>
      </c>
      <c r="D156" s="85" t="s">
        <v>431</v>
      </c>
      <c r="E156" s="85">
        <v>397983625.37</v>
      </c>
      <c r="F156" s="85">
        <v>0</v>
      </c>
      <c r="G156" s="85">
        <v>61710100.16</v>
      </c>
      <c r="H156" s="85">
        <v>13790811.7659</v>
      </c>
      <c r="I156" s="85">
        <v>0</v>
      </c>
      <c r="J156" s="85">
        <f t="shared" si="37"/>
        <v>13790811.7659</v>
      </c>
      <c r="K156" s="85">
        <v>271394020.02</v>
      </c>
      <c r="L156" s="86">
        <f t="shared" si="32"/>
        <v>744878557.3159</v>
      </c>
      <c r="M156" s="79"/>
      <c r="N156" s="92"/>
      <c r="O156" s="87">
        <v>13</v>
      </c>
      <c r="P156" s="92"/>
      <c r="Q156" s="85" t="s">
        <v>432</v>
      </c>
      <c r="R156" s="85">
        <v>361592178.81</v>
      </c>
      <c r="S156" s="89">
        <v>0</v>
      </c>
      <c r="T156" s="85">
        <v>56067355.91</v>
      </c>
      <c r="U156" s="85">
        <v>12529786.0415</v>
      </c>
      <c r="V156" s="85">
        <f t="shared" si="34"/>
        <v>6264893.02075</v>
      </c>
      <c r="W156" s="85">
        <f t="shared" si="35"/>
        <v>6264893.02075</v>
      </c>
      <c r="X156" s="85">
        <v>237353222.21</v>
      </c>
      <c r="Y156" s="86">
        <f t="shared" ref="Y156:Y219" si="38">R156+S156+T156+W156+X156</f>
        <v>661277649.95075</v>
      </c>
    </row>
    <row r="157" ht="24.95" customHeight="1" spans="1:25">
      <c r="A157" s="83"/>
      <c r="B157" s="90"/>
      <c r="C157" s="80">
        <v>3</v>
      </c>
      <c r="D157" s="85" t="s">
        <v>433</v>
      </c>
      <c r="E157" s="85">
        <v>558353785.25</v>
      </c>
      <c r="F157" s="85">
        <v>0</v>
      </c>
      <c r="G157" s="85">
        <v>86576597.16</v>
      </c>
      <c r="H157" s="85">
        <v>19347911.4725</v>
      </c>
      <c r="I157" s="85">
        <v>0</v>
      </c>
      <c r="J157" s="85">
        <f t="shared" si="37"/>
        <v>19347911.4725</v>
      </c>
      <c r="K157" s="85">
        <v>320252187.65</v>
      </c>
      <c r="L157" s="86">
        <f t="shared" si="32"/>
        <v>984530481.5325</v>
      </c>
      <c r="M157" s="79"/>
      <c r="N157" s="80"/>
      <c r="O157" s="94" t="s">
        <v>434</v>
      </c>
      <c r="P157" s="98"/>
      <c r="Q157" s="95"/>
      <c r="R157" s="95">
        <f t="shared" ref="R157:V157" si="39">SUM(R144:R156)</f>
        <v>5777574029.94</v>
      </c>
      <c r="S157" s="89">
        <v>0</v>
      </c>
      <c r="T157" s="95">
        <f t="shared" si="39"/>
        <v>895852616.35</v>
      </c>
      <c r="U157" s="95">
        <f t="shared" si="39"/>
        <v>200202799.3881</v>
      </c>
      <c r="V157" s="95">
        <f t="shared" si="39"/>
        <v>100101399.69405</v>
      </c>
      <c r="W157" s="95">
        <f t="shared" si="35"/>
        <v>100101399.69405</v>
      </c>
      <c r="X157" s="95">
        <f>SUM(X144:X156)</f>
        <v>3424779331.68</v>
      </c>
      <c r="Y157" s="86">
        <f t="shared" si="38"/>
        <v>10198307377.6641</v>
      </c>
    </row>
    <row r="158" ht="24.95" customHeight="1" spans="1:25">
      <c r="A158" s="83"/>
      <c r="B158" s="90"/>
      <c r="C158" s="80">
        <v>4</v>
      </c>
      <c r="D158" s="85" t="s">
        <v>435</v>
      </c>
      <c r="E158" s="85">
        <v>321628663.22</v>
      </c>
      <c r="F158" s="85">
        <v>0</v>
      </c>
      <c r="G158" s="85">
        <v>49870737.78</v>
      </c>
      <c r="H158" s="85">
        <v>11144982.0301</v>
      </c>
      <c r="I158" s="85">
        <v>0</v>
      </c>
      <c r="J158" s="85">
        <f t="shared" si="37"/>
        <v>11144982.0301</v>
      </c>
      <c r="K158" s="85">
        <v>249496655.72</v>
      </c>
      <c r="L158" s="86">
        <f t="shared" si="32"/>
        <v>632141038.7501</v>
      </c>
      <c r="M158" s="79"/>
      <c r="N158" s="84">
        <v>26</v>
      </c>
      <c r="O158" s="87">
        <v>1</v>
      </c>
      <c r="P158" s="84" t="s">
        <v>113</v>
      </c>
      <c r="Q158" s="85" t="s">
        <v>436</v>
      </c>
      <c r="R158" s="85">
        <v>397597473.28</v>
      </c>
      <c r="S158" s="89">
        <v>0</v>
      </c>
      <c r="T158" s="85">
        <v>61650224.62</v>
      </c>
      <c r="U158" s="85">
        <v>13777430.9369</v>
      </c>
      <c r="V158" s="85">
        <f t="shared" ref="V158:V182" si="40">U158/2</f>
        <v>6888715.46845</v>
      </c>
      <c r="W158" s="85">
        <f t="shared" si="35"/>
        <v>6888715.46845</v>
      </c>
      <c r="X158" s="85">
        <v>230252734.07</v>
      </c>
      <c r="Y158" s="86">
        <f t="shared" si="38"/>
        <v>696389147.43845</v>
      </c>
    </row>
    <row r="159" ht="24.95" customHeight="1" spans="1:25">
      <c r="A159" s="83"/>
      <c r="B159" s="90"/>
      <c r="C159" s="80">
        <v>5</v>
      </c>
      <c r="D159" s="85" t="s">
        <v>437</v>
      </c>
      <c r="E159" s="85">
        <v>445160200.11</v>
      </c>
      <c r="F159" s="85">
        <v>0</v>
      </c>
      <c r="G159" s="85">
        <v>69025152.75</v>
      </c>
      <c r="H159" s="85">
        <v>15425560.586</v>
      </c>
      <c r="I159" s="85">
        <v>0</v>
      </c>
      <c r="J159" s="85">
        <f t="shared" si="37"/>
        <v>15425560.586</v>
      </c>
      <c r="K159" s="85">
        <v>285463409.04</v>
      </c>
      <c r="L159" s="86">
        <f t="shared" si="32"/>
        <v>815074322.486</v>
      </c>
      <c r="M159" s="79"/>
      <c r="N159" s="90"/>
      <c r="O159" s="87">
        <v>2</v>
      </c>
      <c r="P159" s="90"/>
      <c r="Q159" s="85" t="s">
        <v>438</v>
      </c>
      <c r="R159" s="85">
        <v>341364540.38</v>
      </c>
      <c r="S159" s="89">
        <v>0</v>
      </c>
      <c r="T159" s="85">
        <v>52930921.36</v>
      </c>
      <c r="U159" s="85">
        <v>11828863.8522</v>
      </c>
      <c r="V159" s="85">
        <f t="shared" si="40"/>
        <v>5914431.9261</v>
      </c>
      <c r="W159" s="85">
        <f t="shared" si="35"/>
        <v>5914431.9261</v>
      </c>
      <c r="X159" s="85">
        <v>202287318.34</v>
      </c>
      <c r="Y159" s="86">
        <f t="shared" si="38"/>
        <v>602497212.0061</v>
      </c>
    </row>
    <row r="160" ht="24.95" customHeight="1" spans="1:25">
      <c r="A160" s="83"/>
      <c r="B160" s="90"/>
      <c r="C160" s="80">
        <v>6</v>
      </c>
      <c r="D160" s="85" t="s">
        <v>439</v>
      </c>
      <c r="E160" s="85">
        <v>320691371.74</v>
      </c>
      <c r="F160" s="85">
        <v>0</v>
      </c>
      <c r="G160" s="85">
        <v>49725404.28</v>
      </c>
      <c r="H160" s="85">
        <v>11112503.2808</v>
      </c>
      <c r="I160" s="85">
        <v>0</v>
      </c>
      <c r="J160" s="85">
        <f t="shared" si="37"/>
        <v>11112503.2808</v>
      </c>
      <c r="K160" s="85">
        <v>244728080.78</v>
      </c>
      <c r="L160" s="86">
        <f t="shared" si="32"/>
        <v>626257360.0808</v>
      </c>
      <c r="M160" s="79"/>
      <c r="N160" s="90"/>
      <c r="O160" s="87">
        <v>3</v>
      </c>
      <c r="P160" s="90"/>
      <c r="Q160" s="85" t="s">
        <v>440</v>
      </c>
      <c r="R160" s="85">
        <v>390933267.56</v>
      </c>
      <c r="S160" s="89">
        <v>0</v>
      </c>
      <c r="T160" s="85">
        <v>60616893.66</v>
      </c>
      <c r="U160" s="85">
        <v>13546504.8365</v>
      </c>
      <c r="V160" s="85">
        <f t="shared" si="40"/>
        <v>6773252.41825</v>
      </c>
      <c r="W160" s="85">
        <f t="shared" si="35"/>
        <v>6773252.41825</v>
      </c>
      <c r="X160" s="85">
        <v>250728008.78</v>
      </c>
      <c r="Y160" s="86">
        <f t="shared" si="38"/>
        <v>709051422.41825</v>
      </c>
    </row>
    <row r="161" ht="24.95" customHeight="1" spans="1:25">
      <c r="A161" s="83"/>
      <c r="B161" s="90"/>
      <c r="C161" s="80">
        <v>7</v>
      </c>
      <c r="D161" s="85" t="s">
        <v>441</v>
      </c>
      <c r="E161" s="85">
        <v>537582783.22</v>
      </c>
      <c r="F161" s="85">
        <v>0</v>
      </c>
      <c r="G161" s="85">
        <v>83355910.35</v>
      </c>
      <c r="H161" s="85">
        <v>18628160.8071</v>
      </c>
      <c r="I161" s="85">
        <v>0</v>
      </c>
      <c r="J161" s="85">
        <f t="shared" si="37"/>
        <v>18628160.8071</v>
      </c>
      <c r="K161" s="85">
        <v>306022771.88</v>
      </c>
      <c r="L161" s="86">
        <f t="shared" si="32"/>
        <v>945589626.2571</v>
      </c>
      <c r="M161" s="79"/>
      <c r="N161" s="90"/>
      <c r="O161" s="87">
        <v>4</v>
      </c>
      <c r="P161" s="90"/>
      <c r="Q161" s="85" t="s">
        <v>442</v>
      </c>
      <c r="R161" s="85">
        <v>636381932.68</v>
      </c>
      <c r="S161" s="89">
        <v>0</v>
      </c>
      <c r="T161" s="85">
        <v>98675398.43</v>
      </c>
      <c r="U161" s="85">
        <v>22051719.9333</v>
      </c>
      <c r="V161" s="85">
        <f t="shared" si="40"/>
        <v>11025859.96665</v>
      </c>
      <c r="W161" s="85">
        <f t="shared" si="35"/>
        <v>11025859.96665</v>
      </c>
      <c r="X161" s="85">
        <v>244721078.67</v>
      </c>
      <c r="Y161" s="86">
        <f t="shared" si="38"/>
        <v>990804269.74665</v>
      </c>
    </row>
    <row r="162" ht="24.95" customHeight="1" spans="1:25">
      <c r="A162" s="83"/>
      <c r="B162" s="90"/>
      <c r="C162" s="80">
        <v>8</v>
      </c>
      <c r="D162" s="85" t="s">
        <v>443</v>
      </c>
      <c r="E162" s="85">
        <v>355753757.41</v>
      </c>
      <c r="F162" s="85">
        <v>0</v>
      </c>
      <c r="G162" s="85">
        <v>55162068.49</v>
      </c>
      <c r="H162" s="85">
        <v>12327474.777</v>
      </c>
      <c r="I162" s="85">
        <v>0</v>
      </c>
      <c r="J162" s="85">
        <f t="shared" si="37"/>
        <v>12327474.777</v>
      </c>
      <c r="K162" s="85">
        <v>259472767.88</v>
      </c>
      <c r="L162" s="86">
        <f t="shared" si="32"/>
        <v>682716068.557</v>
      </c>
      <c r="M162" s="79"/>
      <c r="N162" s="90"/>
      <c r="O162" s="87">
        <v>5</v>
      </c>
      <c r="P162" s="90"/>
      <c r="Q162" s="85" t="s">
        <v>444</v>
      </c>
      <c r="R162" s="85">
        <v>381991883.94</v>
      </c>
      <c r="S162" s="89">
        <v>0</v>
      </c>
      <c r="T162" s="85">
        <v>59230470.59</v>
      </c>
      <c r="U162" s="85">
        <v>13236670.6357</v>
      </c>
      <c r="V162" s="85">
        <f t="shared" si="40"/>
        <v>6618335.31785</v>
      </c>
      <c r="W162" s="85">
        <f t="shared" si="35"/>
        <v>6618335.31785</v>
      </c>
      <c r="X162" s="85">
        <v>235606221.6</v>
      </c>
      <c r="Y162" s="86">
        <f t="shared" si="38"/>
        <v>683446911.44785</v>
      </c>
    </row>
    <row r="163" ht="24.95" customHeight="1" spans="1:25">
      <c r="A163" s="83"/>
      <c r="B163" s="90"/>
      <c r="C163" s="80">
        <v>9</v>
      </c>
      <c r="D163" s="85" t="s">
        <v>445</v>
      </c>
      <c r="E163" s="85">
        <v>422511532.03</v>
      </c>
      <c r="F163" s="85">
        <v>0</v>
      </c>
      <c r="G163" s="85">
        <v>65513320.89</v>
      </c>
      <c r="H163" s="85">
        <v>14640745.5877</v>
      </c>
      <c r="I163" s="85">
        <v>0</v>
      </c>
      <c r="J163" s="85">
        <f t="shared" si="37"/>
        <v>14640745.5877</v>
      </c>
      <c r="K163" s="85">
        <v>276834559.14</v>
      </c>
      <c r="L163" s="86">
        <f t="shared" si="32"/>
        <v>779500157.6477</v>
      </c>
      <c r="M163" s="79"/>
      <c r="N163" s="90"/>
      <c r="O163" s="87">
        <v>6</v>
      </c>
      <c r="P163" s="90"/>
      <c r="Q163" s="85" t="s">
        <v>446</v>
      </c>
      <c r="R163" s="85">
        <v>402318413.74</v>
      </c>
      <c r="S163" s="89">
        <v>0</v>
      </c>
      <c r="T163" s="85">
        <v>62382238.93</v>
      </c>
      <c r="U163" s="85">
        <v>13941019.5801</v>
      </c>
      <c r="V163" s="85">
        <f t="shared" si="40"/>
        <v>6970509.79005</v>
      </c>
      <c r="W163" s="85">
        <f t="shared" si="35"/>
        <v>6970509.79005</v>
      </c>
      <c r="X163" s="85">
        <v>240407765.02</v>
      </c>
      <c r="Y163" s="86">
        <f t="shared" si="38"/>
        <v>712078927.48005</v>
      </c>
    </row>
    <row r="164" ht="24.95" customHeight="1" spans="1:25">
      <c r="A164" s="83"/>
      <c r="B164" s="90"/>
      <c r="C164" s="80">
        <v>10</v>
      </c>
      <c r="D164" s="85" t="s">
        <v>447</v>
      </c>
      <c r="E164" s="85">
        <v>360132797.52</v>
      </c>
      <c r="F164" s="85">
        <v>0</v>
      </c>
      <c r="G164" s="85">
        <v>55841068.8</v>
      </c>
      <c r="H164" s="85">
        <v>12479215.9894</v>
      </c>
      <c r="I164" s="85">
        <v>0</v>
      </c>
      <c r="J164" s="85">
        <f t="shared" si="37"/>
        <v>12479215.9894</v>
      </c>
      <c r="K164" s="85">
        <v>255671762.09</v>
      </c>
      <c r="L164" s="86">
        <f t="shared" si="32"/>
        <v>684124844.3994</v>
      </c>
      <c r="M164" s="79"/>
      <c r="N164" s="90"/>
      <c r="O164" s="87">
        <v>7</v>
      </c>
      <c r="P164" s="90"/>
      <c r="Q164" s="85" t="s">
        <v>448</v>
      </c>
      <c r="R164" s="85">
        <v>381071044.91</v>
      </c>
      <c r="S164" s="89">
        <v>0</v>
      </c>
      <c r="T164" s="85">
        <v>59087688.16</v>
      </c>
      <c r="U164" s="85">
        <v>13204761.9921</v>
      </c>
      <c r="V164" s="85">
        <f t="shared" si="40"/>
        <v>6602380.99605</v>
      </c>
      <c r="W164" s="85">
        <f t="shared" si="35"/>
        <v>6602380.99605</v>
      </c>
      <c r="X164" s="85">
        <v>228237211.95</v>
      </c>
      <c r="Y164" s="86">
        <f t="shared" si="38"/>
        <v>674998326.01605</v>
      </c>
    </row>
    <row r="165" ht="24.95" customHeight="1" spans="1:25">
      <c r="A165" s="83"/>
      <c r="B165" s="90"/>
      <c r="C165" s="80">
        <v>11</v>
      </c>
      <c r="D165" s="85" t="s">
        <v>449</v>
      </c>
      <c r="E165" s="85">
        <v>518878459.38</v>
      </c>
      <c r="F165" s="85">
        <v>0</v>
      </c>
      <c r="G165" s="85">
        <v>80455676.2</v>
      </c>
      <c r="H165" s="85">
        <v>17980024.0674</v>
      </c>
      <c r="I165" s="85">
        <v>0</v>
      </c>
      <c r="J165" s="85">
        <f t="shared" si="37"/>
        <v>17980024.0674</v>
      </c>
      <c r="K165" s="85">
        <v>322595542.36</v>
      </c>
      <c r="L165" s="86">
        <f t="shared" si="32"/>
        <v>939909702.0074</v>
      </c>
      <c r="M165" s="79"/>
      <c r="N165" s="90"/>
      <c r="O165" s="87">
        <v>8</v>
      </c>
      <c r="P165" s="90"/>
      <c r="Q165" s="85" t="s">
        <v>450</v>
      </c>
      <c r="R165" s="85">
        <v>340511122.37</v>
      </c>
      <c r="S165" s="89">
        <v>0</v>
      </c>
      <c r="T165" s="85">
        <v>52798593.02</v>
      </c>
      <c r="U165" s="85">
        <v>11799291.4619</v>
      </c>
      <c r="V165" s="85">
        <f t="shared" si="40"/>
        <v>5899645.73095</v>
      </c>
      <c r="W165" s="85">
        <f t="shared" si="35"/>
        <v>5899645.73095</v>
      </c>
      <c r="X165" s="85">
        <v>214719396.61</v>
      </c>
      <c r="Y165" s="86">
        <f t="shared" si="38"/>
        <v>613928757.73095</v>
      </c>
    </row>
    <row r="166" ht="24.95" customHeight="1" spans="1:25">
      <c r="A166" s="83"/>
      <c r="B166" s="90"/>
      <c r="C166" s="80">
        <v>12</v>
      </c>
      <c r="D166" s="85" t="s">
        <v>451</v>
      </c>
      <c r="E166" s="85">
        <v>367478011.28</v>
      </c>
      <c r="F166" s="85">
        <v>0</v>
      </c>
      <c r="G166" s="85">
        <v>56979994.74</v>
      </c>
      <c r="H166" s="85">
        <v>12733740.1808</v>
      </c>
      <c r="I166" s="85">
        <v>0</v>
      </c>
      <c r="J166" s="85">
        <f t="shared" si="37"/>
        <v>12733740.1808</v>
      </c>
      <c r="K166" s="85">
        <v>264808845.1</v>
      </c>
      <c r="L166" s="86">
        <f t="shared" si="32"/>
        <v>702000591.3008</v>
      </c>
      <c r="M166" s="79"/>
      <c r="N166" s="90"/>
      <c r="O166" s="87">
        <v>9</v>
      </c>
      <c r="P166" s="90"/>
      <c r="Q166" s="85" t="s">
        <v>452</v>
      </c>
      <c r="R166" s="85">
        <v>367431103.18</v>
      </c>
      <c r="S166" s="89">
        <v>0</v>
      </c>
      <c r="T166" s="85">
        <v>56972721.32</v>
      </c>
      <c r="U166" s="85">
        <v>12732114.7351</v>
      </c>
      <c r="V166" s="85">
        <f t="shared" si="40"/>
        <v>6366057.36755</v>
      </c>
      <c r="W166" s="85">
        <f t="shared" si="35"/>
        <v>6366057.36755</v>
      </c>
      <c r="X166" s="85">
        <v>226277625.1</v>
      </c>
      <c r="Y166" s="86">
        <f t="shared" si="38"/>
        <v>657047506.96755</v>
      </c>
    </row>
    <row r="167" ht="24.95" customHeight="1" spans="1:25">
      <c r="A167" s="83"/>
      <c r="B167" s="90"/>
      <c r="C167" s="80">
        <v>13</v>
      </c>
      <c r="D167" s="85" t="s">
        <v>453</v>
      </c>
      <c r="E167" s="85">
        <v>423984032.51</v>
      </c>
      <c r="F167" s="85">
        <v>0</v>
      </c>
      <c r="G167" s="85">
        <v>65741642.23</v>
      </c>
      <c r="H167" s="85">
        <v>14691770.2421</v>
      </c>
      <c r="I167" s="85">
        <v>0</v>
      </c>
      <c r="J167" s="85">
        <f t="shared" si="37"/>
        <v>14691770.2421</v>
      </c>
      <c r="K167" s="85">
        <v>298477436.45</v>
      </c>
      <c r="L167" s="86">
        <f t="shared" si="32"/>
        <v>802894881.4321</v>
      </c>
      <c r="M167" s="79"/>
      <c r="N167" s="90"/>
      <c r="O167" s="87">
        <v>10</v>
      </c>
      <c r="P167" s="90"/>
      <c r="Q167" s="85" t="s">
        <v>454</v>
      </c>
      <c r="R167" s="85">
        <v>404644858.66</v>
      </c>
      <c r="S167" s="89">
        <v>0</v>
      </c>
      <c r="T167" s="85">
        <v>62742970.22</v>
      </c>
      <c r="U167" s="85">
        <v>14021634.8666</v>
      </c>
      <c r="V167" s="85">
        <f t="shared" si="40"/>
        <v>7010817.4333</v>
      </c>
      <c r="W167" s="85">
        <f t="shared" si="35"/>
        <v>7010817.4333</v>
      </c>
      <c r="X167" s="85">
        <v>237304653.68</v>
      </c>
      <c r="Y167" s="86">
        <f t="shared" si="38"/>
        <v>711703299.9933</v>
      </c>
    </row>
    <row r="168" ht="24.95" customHeight="1" spans="1:25">
      <c r="A168" s="83"/>
      <c r="B168" s="90"/>
      <c r="C168" s="80">
        <v>14</v>
      </c>
      <c r="D168" s="85" t="s">
        <v>455</v>
      </c>
      <c r="E168" s="85">
        <v>374779793.88</v>
      </c>
      <c r="F168" s="85">
        <v>0</v>
      </c>
      <c r="G168" s="85">
        <v>58112186.39</v>
      </c>
      <c r="H168" s="85">
        <v>12986759.408</v>
      </c>
      <c r="I168" s="85">
        <v>0</v>
      </c>
      <c r="J168" s="85">
        <f t="shared" si="37"/>
        <v>12986759.408</v>
      </c>
      <c r="K168" s="85">
        <v>253585116.97</v>
      </c>
      <c r="L168" s="86">
        <f t="shared" si="32"/>
        <v>699463856.648</v>
      </c>
      <c r="M168" s="79"/>
      <c r="N168" s="90"/>
      <c r="O168" s="87">
        <v>11</v>
      </c>
      <c r="P168" s="90"/>
      <c r="Q168" s="85" t="s">
        <v>456</v>
      </c>
      <c r="R168" s="85">
        <v>395254955.79</v>
      </c>
      <c r="S168" s="89">
        <v>0</v>
      </c>
      <c r="T168" s="85">
        <v>61287001.16</v>
      </c>
      <c r="U168" s="85">
        <v>13696258.7084</v>
      </c>
      <c r="V168" s="85">
        <f t="shared" si="40"/>
        <v>6848129.3542</v>
      </c>
      <c r="W168" s="85">
        <f t="shared" si="35"/>
        <v>6848129.3542</v>
      </c>
      <c r="X168" s="85">
        <v>221814286.37</v>
      </c>
      <c r="Y168" s="86">
        <f t="shared" si="38"/>
        <v>685204372.6742</v>
      </c>
    </row>
    <row r="169" ht="24.95" customHeight="1" spans="1:25">
      <c r="A169" s="83"/>
      <c r="B169" s="90"/>
      <c r="C169" s="80">
        <v>15</v>
      </c>
      <c r="D169" s="85" t="s">
        <v>457</v>
      </c>
      <c r="E169" s="85">
        <v>344902180.14</v>
      </c>
      <c r="F169" s="85">
        <v>0</v>
      </c>
      <c r="G169" s="85">
        <v>53479456.75</v>
      </c>
      <c r="H169" s="85">
        <v>11951449.1067</v>
      </c>
      <c r="I169" s="85">
        <v>0</v>
      </c>
      <c r="J169" s="85">
        <f t="shared" si="37"/>
        <v>11951449.1067</v>
      </c>
      <c r="K169" s="85">
        <v>242761826.15</v>
      </c>
      <c r="L169" s="86">
        <f t="shared" si="32"/>
        <v>653094912.1467</v>
      </c>
      <c r="M169" s="79"/>
      <c r="N169" s="90"/>
      <c r="O169" s="87">
        <v>12</v>
      </c>
      <c r="P169" s="90"/>
      <c r="Q169" s="85" t="s">
        <v>458</v>
      </c>
      <c r="R169" s="85">
        <v>459926898.45</v>
      </c>
      <c r="S169" s="89">
        <v>0</v>
      </c>
      <c r="T169" s="85">
        <v>71314830.96</v>
      </c>
      <c r="U169" s="85">
        <v>15937251.8822</v>
      </c>
      <c r="V169" s="85">
        <f t="shared" si="40"/>
        <v>7968625.9411</v>
      </c>
      <c r="W169" s="85">
        <f t="shared" si="35"/>
        <v>7968625.9411</v>
      </c>
      <c r="X169" s="85">
        <v>258779725.16</v>
      </c>
      <c r="Y169" s="86">
        <f t="shared" si="38"/>
        <v>797990080.5111</v>
      </c>
    </row>
    <row r="170" ht="24.95" customHeight="1" spans="1:25">
      <c r="A170" s="83"/>
      <c r="B170" s="90"/>
      <c r="C170" s="80">
        <v>16</v>
      </c>
      <c r="D170" s="85" t="s">
        <v>459</v>
      </c>
      <c r="E170" s="85">
        <v>505378231.38</v>
      </c>
      <c r="F170" s="85">
        <v>0</v>
      </c>
      <c r="G170" s="85">
        <v>78362372.94</v>
      </c>
      <c r="H170" s="85">
        <v>17512218.1295</v>
      </c>
      <c r="I170" s="85">
        <v>0</v>
      </c>
      <c r="J170" s="85">
        <f t="shared" si="37"/>
        <v>17512218.1295</v>
      </c>
      <c r="K170" s="85">
        <v>278237015.81</v>
      </c>
      <c r="L170" s="86">
        <f t="shared" si="32"/>
        <v>879489838.2595</v>
      </c>
      <c r="M170" s="79"/>
      <c r="N170" s="90"/>
      <c r="O170" s="87">
        <v>13</v>
      </c>
      <c r="P170" s="90"/>
      <c r="Q170" s="85" t="s">
        <v>460</v>
      </c>
      <c r="R170" s="85">
        <v>471135806.14</v>
      </c>
      <c r="S170" s="89">
        <v>0</v>
      </c>
      <c r="T170" s="85">
        <v>73052849.24</v>
      </c>
      <c r="U170" s="85">
        <v>16325659.6615</v>
      </c>
      <c r="V170" s="85">
        <f t="shared" si="40"/>
        <v>8162829.83075</v>
      </c>
      <c r="W170" s="85">
        <f t="shared" si="35"/>
        <v>8162829.83075</v>
      </c>
      <c r="X170" s="85">
        <v>248309826.75</v>
      </c>
      <c r="Y170" s="86">
        <f t="shared" si="38"/>
        <v>800661311.96075</v>
      </c>
    </row>
    <row r="171" ht="24.95" customHeight="1" spans="1:25">
      <c r="A171" s="83"/>
      <c r="B171" s="90"/>
      <c r="C171" s="80">
        <v>17</v>
      </c>
      <c r="D171" s="85" t="s">
        <v>461</v>
      </c>
      <c r="E171" s="85">
        <v>520843641.31</v>
      </c>
      <c r="F171" s="85">
        <v>0</v>
      </c>
      <c r="G171" s="85">
        <v>80760391.19</v>
      </c>
      <c r="H171" s="85">
        <v>18048120.9748</v>
      </c>
      <c r="I171" s="85">
        <v>0</v>
      </c>
      <c r="J171" s="85">
        <f t="shared" si="37"/>
        <v>18048120.9748</v>
      </c>
      <c r="K171" s="85">
        <v>295758463.4</v>
      </c>
      <c r="L171" s="86">
        <f t="shared" si="32"/>
        <v>915410616.8748</v>
      </c>
      <c r="M171" s="79"/>
      <c r="N171" s="90"/>
      <c r="O171" s="87">
        <v>14</v>
      </c>
      <c r="P171" s="90"/>
      <c r="Q171" s="85" t="s">
        <v>462</v>
      </c>
      <c r="R171" s="85">
        <v>521672376.42</v>
      </c>
      <c r="S171" s="89">
        <v>0</v>
      </c>
      <c r="T171" s="85">
        <v>80888892.27</v>
      </c>
      <c r="U171" s="85">
        <v>18076838.0606</v>
      </c>
      <c r="V171" s="85">
        <f t="shared" si="40"/>
        <v>9038419.0303</v>
      </c>
      <c r="W171" s="85">
        <f t="shared" si="35"/>
        <v>9038419.0303</v>
      </c>
      <c r="X171" s="85">
        <v>254895001.67</v>
      </c>
      <c r="Y171" s="86">
        <f t="shared" si="38"/>
        <v>866494689.3903</v>
      </c>
    </row>
    <row r="172" ht="24.95" customHeight="1" spans="1:25">
      <c r="A172" s="83"/>
      <c r="B172" s="90"/>
      <c r="C172" s="80">
        <v>18</v>
      </c>
      <c r="D172" s="85" t="s">
        <v>463</v>
      </c>
      <c r="E172" s="85">
        <v>290005994.47</v>
      </c>
      <c r="F172" s="85">
        <v>0</v>
      </c>
      <c r="G172" s="85">
        <v>44967425.35</v>
      </c>
      <c r="H172" s="85">
        <v>10049202.5945</v>
      </c>
      <c r="I172" s="85">
        <v>0</v>
      </c>
      <c r="J172" s="85">
        <f t="shared" si="37"/>
        <v>10049202.5945</v>
      </c>
      <c r="K172" s="85">
        <v>241170078.58</v>
      </c>
      <c r="L172" s="86">
        <f t="shared" si="32"/>
        <v>586192700.9945</v>
      </c>
      <c r="M172" s="79"/>
      <c r="N172" s="90"/>
      <c r="O172" s="87">
        <v>15</v>
      </c>
      <c r="P172" s="90"/>
      <c r="Q172" s="85" t="s">
        <v>464</v>
      </c>
      <c r="R172" s="85">
        <v>615540969.08</v>
      </c>
      <c r="S172" s="89">
        <v>0</v>
      </c>
      <c r="T172" s="85">
        <v>95443863.59</v>
      </c>
      <c r="U172" s="85">
        <v>21329544.9801</v>
      </c>
      <c r="V172" s="85">
        <f t="shared" si="40"/>
        <v>10664772.49005</v>
      </c>
      <c r="W172" s="85">
        <f t="shared" si="35"/>
        <v>10664772.49005</v>
      </c>
      <c r="X172" s="85">
        <v>260670782.03</v>
      </c>
      <c r="Y172" s="86">
        <f t="shared" si="38"/>
        <v>982320387.19005</v>
      </c>
    </row>
    <row r="173" ht="24.95" customHeight="1" spans="1:25">
      <c r="A173" s="83"/>
      <c r="B173" s="90"/>
      <c r="C173" s="80">
        <v>19</v>
      </c>
      <c r="D173" s="85" t="s">
        <v>465</v>
      </c>
      <c r="E173" s="85">
        <v>390694483.45</v>
      </c>
      <c r="F173" s="85">
        <v>0</v>
      </c>
      <c r="G173" s="85">
        <v>60579868.54</v>
      </c>
      <c r="H173" s="85">
        <v>13538230.5596</v>
      </c>
      <c r="I173" s="85">
        <v>0</v>
      </c>
      <c r="J173" s="85">
        <f t="shared" si="37"/>
        <v>13538230.5596</v>
      </c>
      <c r="K173" s="85">
        <v>258587064.26</v>
      </c>
      <c r="L173" s="86">
        <f t="shared" si="32"/>
        <v>723399646.8096</v>
      </c>
      <c r="M173" s="79"/>
      <c r="N173" s="90"/>
      <c r="O173" s="87">
        <v>16</v>
      </c>
      <c r="P173" s="90"/>
      <c r="Q173" s="85" t="s">
        <v>466</v>
      </c>
      <c r="R173" s="85">
        <v>389841919.61</v>
      </c>
      <c r="S173" s="89">
        <v>0</v>
      </c>
      <c r="T173" s="85">
        <v>60447672.65</v>
      </c>
      <c r="U173" s="85">
        <v>13508687.7678</v>
      </c>
      <c r="V173" s="85">
        <f t="shared" si="40"/>
        <v>6754343.8839</v>
      </c>
      <c r="W173" s="85">
        <f t="shared" si="35"/>
        <v>6754343.8839</v>
      </c>
      <c r="X173" s="85">
        <v>255635495.83</v>
      </c>
      <c r="Y173" s="86">
        <f t="shared" si="38"/>
        <v>712679431.9739</v>
      </c>
    </row>
    <row r="174" ht="24.95" customHeight="1" spans="1:25">
      <c r="A174" s="83"/>
      <c r="B174" s="90"/>
      <c r="C174" s="80">
        <v>20</v>
      </c>
      <c r="D174" s="85" t="s">
        <v>467</v>
      </c>
      <c r="E174" s="85">
        <v>462344583.17</v>
      </c>
      <c r="F174" s="85">
        <v>0</v>
      </c>
      <c r="G174" s="85">
        <v>71689709.62</v>
      </c>
      <c r="H174" s="85">
        <v>16021028.7836</v>
      </c>
      <c r="I174" s="85">
        <v>0</v>
      </c>
      <c r="J174" s="85">
        <f t="shared" si="37"/>
        <v>16021028.7836</v>
      </c>
      <c r="K174" s="85">
        <v>272186745.13</v>
      </c>
      <c r="L174" s="86">
        <f t="shared" si="32"/>
        <v>822242066.7036</v>
      </c>
      <c r="M174" s="79"/>
      <c r="N174" s="90"/>
      <c r="O174" s="87">
        <v>17</v>
      </c>
      <c r="P174" s="90"/>
      <c r="Q174" s="85" t="s">
        <v>468</v>
      </c>
      <c r="R174" s="85">
        <v>529132783.25</v>
      </c>
      <c r="S174" s="89">
        <v>0</v>
      </c>
      <c r="T174" s="85">
        <v>82045679.7</v>
      </c>
      <c r="U174" s="85">
        <v>18335353.8885</v>
      </c>
      <c r="V174" s="85">
        <f t="shared" si="40"/>
        <v>9167676.94425</v>
      </c>
      <c r="W174" s="85">
        <f t="shared" si="35"/>
        <v>9167676.94425</v>
      </c>
      <c r="X174" s="85">
        <v>271752264.15</v>
      </c>
      <c r="Y174" s="86">
        <f t="shared" si="38"/>
        <v>892098404.04425</v>
      </c>
    </row>
    <row r="175" ht="24.95" customHeight="1" spans="1:25">
      <c r="A175" s="83"/>
      <c r="B175" s="90"/>
      <c r="C175" s="80">
        <v>21</v>
      </c>
      <c r="D175" s="85" t="s">
        <v>469</v>
      </c>
      <c r="E175" s="85">
        <v>673284193.37</v>
      </c>
      <c r="F175" s="85">
        <v>0</v>
      </c>
      <c r="G175" s="85">
        <v>104397347.93</v>
      </c>
      <c r="H175" s="85">
        <v>23330446.239</v>
      </c>
      <c r="I175" s="85">
        <v>0</v>
      </c>
      <c r="J175" s="85">
        <f t="shared" si="37"/>
        <v>23330446.239</v>
      </c>
      <c r="K175" s="85">
        <v>413418132.61</v>
      </c>
      <c r="L175" s="86">
        <f t="shared" si="32"/>
        <v>1214430120.149</v>
      </c>
      <c r="M175" s="79"/>
      <c r="N175" s="90"/>
      <c r="O175" s="87">
        <v>18</v>
      </c>
      <c r="P175" s="90"/>
      <c r="Q175" s="85" t="s">
        <v>470</v>
      </c>
      <c r="R175" s="85">
        <v>357417826.27</v>
      </c>
      <c r="S175" s="89">
        <v>0</v>
      </c>
      <c r="T175" s="85">
        <v>55420093.82</v>
      </c>
      <c r="U175" s="85">
        <v>12385137.6026</v>
      </c>
      <c r="V175" s="85">
        <f t="shared" si="40"/>
        <v>6192568.8013</v>
      </c>
      <c r="W175" s="85">
        <f t="shared" si="35"/>
        <v>6192568.8013</v>
      </c>
      <c r="X175" s="85">
        <v>219415366.83</v>
      </c>
      <c r="Y175" s="86">
        <f t="shared" si="38"/>
        <v>638445855.7213</v>
      </c>
    </row>
    <row r="176" ht="24.95" customHeight="1" spans="1:25">
      <c r="A176" s="83"/>
      <c r="B176" s="90"/>
      <c r="C176" s="80">
        <v>22</v>
      </c>
      <c r="D176" s="85" t="s">
        <v>471</v>
      </c>
      <c r="E176" s="85">
        <v>420438439.01</v>
      </c>
      <c r="F176" s="85">
        <v>0</v>
      </c>
      <c r="G176" s="85">
        <v>65191873.55</v>
      </c>
      <c r="H176" s="85">
        <v>14568909.3769</v>
      </c>
      <c r="I176" s="85">
        <v>0</v>
      </c>
      <c r="J176" s="85">
        <f t="shared" si="37"/>
        <v>14568909.3769</v>
      </c>
      <c r="K176" s="85">
        <v>268163479.97</v>
      </c>
      <c r="L176" s="86">
        <f t="shared" si="32"/>
        <v>768362701.9069</v>
      </c>
      <c r="M176" s="79"/>
      <c r="N176" s="90"/>
      <c r="O176" s="87">
        <v>19</v>
      </c>
      <c r="P176" s="90"/>
      <c r="Q176" s="85" t="s">
        <v>472</v>
      </c>
      <c r="R176" s="85">
        <v>411346752.05</v>
      </c>
      <c r="S176" s="89">
        <v>0</v>
      </c>
      <c r="T176" s="85">
        <v>63782144.92</v>
      </c>
      <c r="U176" s="85">
        <v>14253866.9092</v>
      </c>
      <c r="V176" s="85">
        <f t="shared" si="40"/>
        <v>7126933.4546</v>
      </c>
      <c r="W176" s="85">
        <f t="shared" ref="W176:W207" si="41">U176-V176</f>
        <v>7126933.4546</v>
      </c>
      <c r="X176" s="85">
        <v>239579848.84</v>
      </c>
      <c r="Y176" s="86">
        <f t="shared" si="38"/>
        <v>721835679.2646</v>
      </c>
    </row>
    <row r="177" ht="24.95" customHeight="1" spans="1:26">
      <c r="A177" s="83"/>
      <c r="B177" s="90"/>
      <c r="C177" s="80">
        <v>23</v>
      </c>
      <c r="D177" s="85" t="s">
        <v>473</v>
      </c>
      <c r="E177" s="85">
        <v>391520379.58</v>
      </c>
      <c r="F177" s="85">
        <v>0</v>
      </c>
      <c r="G177" s="85">
        <v>60707929.41</v>
      </c>
      <c r="H177" s="85">
        <v>13566849.2697</v>
      </c>
      <c r="I177" s="85">
        <v>0</v>
      </c>
      <c r="J177" s="85">
        <f t="shared" si="37"/>
        <v>13566849.2697</v>
      </c>
      <c r="K177" s="85">
        <v>263453062.89</v>
      </c>
      <c r="L177" s="86">
        <f t="shared" si="32"/>
        <v>729248221.1497</v>
      </c>
      <c r="M177" s="79"/>
      <c r="N177" s="90"/>
      <c r="O177" s="87">
        <v>20</v>
      </c>
      <c r="P177" s="90"/>
      <c r="Q177" s="85" t="s">
        <v>474</v>
      </c>
      <c r="R177" s="85">
        <v>474442410.36</v>
      </c>
      <c r="S177" s="89">
        <v>0</v>
      </c>
      <c r="T177" s="85">
        <v>73565560.98</v>
      </c>
      <c r="U177" s="85">
        <v>16440239.1402</v>
      </c>
      <c r="V177" s="85">
        <f t="shared" si="40"/>
        <v>8220119.5701</v>
      </c>
      <c r="W177" s="85">
        <f t="shared" si="41"/>
        <v>8220119.5701</v>
      </c>
      <c r="X177" s="85">
        <v>248412066.07</v>
      </c>
      <c r="Y177" s="86">
        <f t="shared" si="38"/>
        <v>804640156.9801</v>
      </c>
    </row>
    <row r="178" ht="24.95" customHeight="1" spans="1:26">
      <c r="A178" s="83"/>
      <c r="B178" s="90"/>
      <c r="C178" s="80">
        <v>24</v>
      </c>
      <c r="D178" s="85" t="s">
        <v>475</v>
      </c>
      <c r="E178" s="85">
        <v>382161011.91</v>
      </c>
      <c r="F178" s="85">
        <v>0</v>
      </c>
      <c r="G178" s="85">
        <v>59256695.04</v>
      </c>
      <c r="H178" s="85">
        <v>13242531.2087</v>
      </c>
      <c r="I178" s="85">
        <v>0</v>
      </c>
      <c r="J178" s="85">
        <f t="shared" si="37"/>
        <v>13242531.2087</v>
      </c>
      <c r="K178" s="85">
        <v>260933011.99</v>
      </c>
      <c r="L178" s="86">
        <f t="shared" si="32"/>
        <v>715593250.1487</v>
      </c>
      <c r="M178" s="79"/>
      <c r="N178" s="90"/>
      <c r="O178" s="87">
        <v>21</v>
      </c>
      <c r="P178" s="90"/>
      <c r="Q178" s="85" t="s">
        <v>476</v>
      </c>
      <c r="R178" s="85">
        <v>446322446.97</v>
      </c>
      <c r="S178" s="89">
        <v>0</v>
      </c>
      <c r="T178" s="85">
        <v>69205367.13</v>
      </c>
      <c r="U178" s="85">
        <v>15465834.4229</v>
      </c>
      <c r="V178" s="85">
        <f t="shared" si="40"/>
        <v>7732917.21145</v>
      </c>
      <c r="W178" s="85">
        <f t="shared" si="41"/>
        <v>7732917.21145</v>
      </c>
      <c r="X178" s="85">
        <v>246235405.9</v>
      </c>
      <c r="Y178" s="86">
        <f t="shared" si="38"/>
        <v>769496137.21145</v>
      </c>
    </row>
    <row r="179" ht="24.95" customHeight="1" spans="1:26">
      <c r="A179" s="83"/>
      <c r="B179" s="90"/>
      <c r="C179" s="80">
        <v>25</v>
      </c>
      <c r="D179" s="85" t="s">
        <v>477</v>
      </c>
      <c r="E179" s="85">
        <v>437065625.08</v>
      </c>
      <c r="F179" s="85">
        <v>0</v>
      </c>
      <c r="G179" s="85">
        <v>67770033.19</v>
      </c>
      <c r="H179" s="85">
        <v>15145069.748</v>
      </c>
      <c r="I179" s="85">
        <v>0</v>
      </c>
      <c r="J179" s="85">
        <f t="shared" si="37"/>
        <v>15145069.748</v>
      </c>
      <c r="K179" s="85">
        <v>308059408.64</v>
      </c>
      <c r="L179" s="86">
        <f t="shared" si="32"/>
        <v>828040136.658</v>
      </c>
      <c r="M179" s="79"/>
      <c r="N179" s="90"/>
      <c r="O179" s="87">
        <v>22</v>
      </c>
      <c r="P179" s="90"/>
      <c r="Q179" s="85" t="s">
        <v>478</v>
      </c>
      <c r="R179" s="85">
        <v>527621517.05</v>
      </c>
      <c r="S179" s="89">
        <v>0</v>
      </c>
      <c r="T179" s="85">
        <v>81811347.47</v>
      </c>
      <c r="U179" s="85">
        <v>18282985.9355</v>
      </c>
      <c r="V179" s="85">
        <f t="shared" si="40"/>
        <v>9141492.96775</v>
      </c>
      <c r="W179" s="85">
        <f t="shared" si="41"/>
        <v>9141492.96775</v>
      </c>
      <c r="X179" s="85">
        <v>268220933.08</v>
      </c>
      <c r="Y179" s="86">
        <f t="shared" si="38"/>
        <v>886795290.56775</v>
      </c>
    </row>
    <row r="180" ht="24.95" customHeight="1" spans="1:26">
      <c r="A180" s="83"/>
      <c r="B180" s="90"/>
      <c r="C180" s="80">
        <v>26</v>
      </c>
      <c r="D180" s="85" t="s">
        <v>479</v>
      </c>
      <c r="E180" s="85">
        <v>379918872.32</v>
      </c>
      <c r="F180" s="85">
        <v>0</v>
      </c>
      <c r="G180" s="85">
        <v>58909035.87</v>
      </c>
      <c r="H180" s="85">
        <v>13164837.2457</v>
      </c>
      <c r="I180" s="85">
        <v>0</v>
      </c>
      <c r="J180" s="85">
        <f t="shared" si="37"/>
        <v>13164837.2457</v>
      </c>
      <c r="K180" s="85">
        <v>257209426.55</v>
      </c>
      <c r="L180" s="86">
        <f t="shared" si="32"/>
        <v>709202171.9857</v>
      </c>
      <c r="M180" s="79"/>
      <c r="N180" s="90"/>
      <c r="O180" s="87">
        <v>23</v>
      </c>
      <c r="P180" s="90"/>
      <c r="Q180" s="85" t="s">
        <v>480</v>
      </c>
      <c r="R180" s="85">
        <v>385862864.33</v>
      </c>
      <c r="S180" s="89">
        <v>0</v>
      </c>
      <c r="T180" s="85">
        <v>59830692.74</v>
      </c>
      <c r="U180" s="85">
        <v>13370806.7121</v>
      </c>
      <c r="V180" s="85">
        <f t="shared" si="40"/>
        <v>6685403.35605</v>
      </c>
      <c r="W180" s="85">
        <f t="shared" si="41"/>
        <v>6685403.35605</v>
      </c>
      <c r="X180" s="85">
        <v>261247174.68</v>
      </c>
      <c r="Y180" s="86">
        <f t="shared" si="38"/>
        <v>713626135.10605</v>
      </c>
    </row>
    <row r="181" ht="24.95" customHeight="1" spans="1:26">
      <c r="A181" s="83"/>
      <c r="B181" s="92"/>
      <c r="C181" s="80">
        <v>27</v>
      </c>
      <c r="D181" s="85" t="s">
        <v>481</v>
      </c>
      <c r="E181" s="85">
        <v>368470324.61</v>
      </c>
      <c r="F181" s="85">
        <v>0</v>
      </c>
      <c r="G181" s="85">
        <v>57133859.76</v>
      </c>
      <c r="H181" s="85">
        <v>12768125.5309</v>
      </c>
      <c r="I181" s="85">
        <v>0</v>
      </c>
      <c r="J181" s="85">
        <f t="shared" si="37"/>
        <v>12768125.5309</v>
      </c>
      <c r="K181" s="85">
        <v>258142175.06</v>
      </c>
      <c r="L181" s="86">
        <f t="shared" si="32"/>
        <v>696514484.9609</v>
      </c>
      <c r="M181" s="79"/>
      <c r="N181" s="90"/>
      <c r="O181" s="87">
        <v>24</v>
      </c>
      <c r="P181" s="90"/>
      <c r="Q181" s="85" t="s">
        <v>482</v>
      </c>
      <c r="R181" s="85">
        <v>314031124.57</v>
      </c>
      <c r="S181" s="89">
        <v>0</v>
      </c>
      <c r="T181" s="85">
        <v>48692687.12</v>
      </c>
      <c r="U181" s="85">
        <v>10881714.3506</v>
      </c>
      <c r="V181" s="85">
        <f t="shared" si="40"/>
        <v>5440857.1753</v>
      </c>
      <c r="W181" s="85">
        <f t="shared" si="41"/>
        <v>5440857.1753</v>
      </c>
      <c r="X181" s="85">
        <v>211967084.66</v>
      </c>
      <c r="Y181" s="86">
        <f t="shared" si="38"/>
        <v>580131753.5253</v>
      </c>
    </row>
    <row r="182" ht="24.95" customHeight="1" spans="1:26">
      <c r="A182" s="80"/>
      <c r="B182" s="93" t="s">
        <v>483</v>
      </c>
      <c r="C182" s="94"/>
      <c r="D182" s="95"/>
      <c r="E182" s="95">
        <f t="shared" ref="E182:L182" si="42">SUM(E155:E181)</f>
        <v>11383527601.25</v>
      </c>
      <c r="F182" s="85">
        <v>0</v>
      </c>
      <c r="G182" s="95">
        <f t="shared" si="42"/>
        <v>1765094299.45</v>
      </c>
      <c r="H182" s="95">
        <f t="shared" si="42"/>
        <v>394458657.0208</v>
      </c>
      <c r="I182" s="95">
        <f t="shared" si="42"/>
        <v>0</v>
      </c>
      <c r="J182" s="95">
        <f t="shared" si="42"/>
        <v>394458657.0208</v>
      </c>
      <c r="K182" s="95">
        <f t="shared" si="42"/>
        <v>7484233607.37</v>
      </c>
      <c r="L182" s="95">
        <f t="shared" si="42"/>
        <v>21027314165.0908</v>
      </c>
      <c r="M182" s="79"/>
      <c r="N182" s="92"/>
      <c r="O182" s="87">
        <v>25</v>
      </c>
      <c r="P182" s="92"/>
      <c r="Q182" s="85" t="s">
        <v>484</v>
      </c>
      <c r="R182" s="85">
        <v>350047572.86</v>
      </c>
      <c r="S182" s="89">
        <v>0</v>
      </c>
      <c r="T182" s="85">
        <v>54277285.3</v>
      </c>
      <c r="U182" s="85">
        <v>12129745.745</v>
      </c>
      <c r="V182" s="85">
        <f t="shared" si="40"/>
        <v>6064872.8725</v>
      </c>
      <c r="W182" s="85">
        <f t="shared" si="41"/>
        <v>6064872.8725</v>
      </c>
      <c r="X182" s="85">
        <v>211314753.38</v>
      </c>
      <c r="Y182" s="86">
        <f t="shared" si="38"/>
        <v>621704484.4125</v>
      </c>
    </row>
    <row r="183" ht="24.95" customHeight="1" spans="1:26">
      <c r="A183" s="83">
        <v>9</v>
      </c>
      <c r="B183" s="84" t="s">
        <v>485</v>
      </c>
      <c r="C183" s="80">
        <v>1</v>
      </c>
      <c r="D183" s="85" t="s">
        <v>486</v>
      </c>
      <c r="E183" s="85">
        <v>390627482.6</v>
      </c>
      <c r="F183" s="85">
        <v>0</v>
      </c>
      <c r="G183" s="85">
        <v>60569479.59</v>
      </c>
      <c r="H183" s="85">
        <v>13535908.8659</v>
      </c>
      <c r="I183" s="85">
        <v>13535908.8659</v>
      </c>
      <c r="J183" s="85">
        <f t="shared" ref="J183:J200" si="43">H183-I183</f>
        <v>0</v>
      </c>
      <c r="K183" s="85">
        <v>239874831.68</v>
      </c>
      <c r="L183" s="86">
        <f t="shared" si="32"/>
        <v>691071793.87</v>
      </c>
      <c r="M183" s="79"/>
      <c r="N183" s="80"/>
      <c r="O183" s="93" t="s">
        <v>487</v>
      </c>
      <c r="P183" s="98"/>
      <c r="Q183" s="95"/>
      <c r="R183" s="95">
        <f t="shared" ref="R183:V183" si="44">SUM(R158:R182)</f>
        <v>10693843863.9</v>
      </c>
      <c r="S183" s="89">
        <v>0</v>
      </c>
      <c r="T183" s="95">
        <f t="shared" si="44"/>
        <v>1658154089.36</v>
      </c>
      <c r="U183" s="95">
        <f t="shared" si="44"/>
        <v>370559938.5976</v>
      </c>
      <c r="V183" s="95">
        <f t="shared" si="44"/>
        <v>185279969.2988</v>
      </c>
      <c r="W183" s="95">
        <f t="shared" si="41"/>
        <v>185279969.2988</v>
      </c>
      <c r="X183" s="95">
        <f>SUM(X158:X182)</f>
        <v>5988792029.22</v>
      </c>
      <c r="Y183" s="95">
        <f>SUM(Y158:Y182)</f>
        <v>18526069951.7788</v>
      </c>
      <c r="Z183" s="107"/>
    </row>
    <row r="184" ht="24.95" customHeight="1" spans="1:26">
      <c r="A184" s="83"/>
      <c r="B184" s="90"/>
      <c r="C184" s="80">
        <v>2</v>
      </c>
      <c r="D184" s="85" t="s">
        <v>488</v>
      </c>
      <c r="E184" s="85">
        <v>491014006.76</v>
      </c>
      <c r="F184" s="85">
        <v>0</v>
      </c>
      <c r="G184" s="85">
        <v>76135101.05</v>
      </c>
      <c r="H184" s="85">
        <v>17014473.2343</v>
      </c>
      <c r="I184" s="85">
        <v>17014473.2343</v>
      </c>
      <c r="J184" s="85">
        <f t="shared" si="43"/>
        <v>0</v>
      </c>
      <c r="K184" s="85">
        <v>242217075.08</v>
      </c>
      <c r="L184" s="86">
        <f t="shared" si="32"/>
        <v>809366182.89</v>
      </c>
      <c r="M184" s="79"/>
      <c r="N184" s="84">
        <v>27</v>
      </c>
      <c r="O184" s="87">
        <v>1</v>
      </c>
      <c r="P184" s="84" t="s">
        <v>114</v>
      </c>
      <c r="Q184" s="85" t="s">
        <v>489</v>
      </c>
      <c r="R184" s="85">
        <v>393003573.14</v>
      </c>
      <c r="S184" s="89">
        <v>0</v>
      </c>
      <c r="T184" s="85">
        <v>60937908.78</v>
      </c>
      <c r="U184" s="85">
        <v>13618244.4576</v>
      </c>
      <c r="V184" s="85">
        <v>0</v>
      </c>
      <c r="W184" s="85">
        <f t="shared" si="41"/>
        <v>13618244.4576</v>
      </c>
      <c r="X184" s="85">
        <v>256516035.78</v>
      </c>
      <c r="Y184" s="86">
        <f t="shared" si="38"/>
        <v>724075762.1576</v>
      </c>
    </row>
    <row r="185" ht="24.95" customHeight="1" spans="1:26">
      <c r="A185" s="83"/>
      <c r="B185" s="90"/>
      <c r="C185" s="80">
        <v>3</v>
      </c>
      <c r="D185" s="85" t="s">
        <v>490</v>
      </c>
      <c r="E185" s="85">
        <v>470044993.14</v>
      </c>
      <c r="F185" s="85">
        <v>0</v>
      </c>
      <c r="G185" s="85">
        <v>72883711.18</v>
      </c>
      <c r="H185" s="85">
        <v>16287861.1295</v>
      </c>
      <c r="I185" s="85">
        <v>16287861.1295</v>
      </c>
      <c r="J185" s="85">
        <f t="shared" si="43"/>
        <v>0</v>
      </c>
      <c r="K185" s="85">
        <v>286768967.28</v>
      </c>
      <c r="L185" s="86">
        <f t="shared" si="32"/>
        <v>829697671.6</v>
      </c>
      <c r="M185" s="79"/>
      <c r="N185" s="90"/>
      <c r="O185" s="87">
        <v>2</v>
      </c>
      <c r="P185" s="90"/>
      <c r="Q185" s="85" t="s">
        <v>491</v>
      </c>
      <c r="R185" s="85">
        <v>405716055.42</v>
      </c>
      <c r="S185" s="89">
        <v>0</v>
      </c>
      <c r="T185" s="85">
        <v>62909066.65</v>
      </c>
      <c r="U185" s="85">
        <v>14058753.6621</v>
      </c>
      <c r="V185" s="85">
        <v>0</v>
      </c>
      <c r="W185" s="85">
        <f t="shared" si="41"/>
        <v>14058753.6621</v>
      </c>
      <c r="X185" s="85">
        <v>274648326.22</v>
      </c>
      <c r="Y185" s="86">
        <f t="shared" si="38"/>
        <v>757332201.9521</v>
      </c>
    </row>
    <row r="186" ht="24.95" customHeight="1" spans="1:26">
      <c r="A186" s="83"/>
      <c r="B186" s="90"/>
      <c r="C186" s="80">
        <v>4</v>
      </c>
      <c r="D186" s="85" t="s">
        <v>492</v>
      </c>
      <c r="E186" s="85">
        <v>303281260.42</v>
      </c>
      <c r="F186" s="85">
        <v>0</v>
      </c>
      <c r="G186" s="85">
        <v>47025846.7</v>
      </c>
      <c r="H186" s="85">
        <v>10509213.2138</v>
      </c>
      <c r="I186" s="85">
        <v>10509213.2138</v>
      </c>
      <c r="J186" s="85">
        <f t="shared" si="43"/>
        <v>0</v>
      </c>
      <c r="K186" s="85">
        <v>198231944.29</v>
      </c>
      <c r="L186" s="86">
        <f t="shared" si="32"/>
        <v>548539051.41</v>
      </c>
      <c r="M186" s="79"/>
      <c r="N186" s="90"/>
      <c r="O186" s="87">
        <v>3</v>
      </c>
      <c r="P186" s="90"/>
      <c r="Q186" s="85" t="s">
        <v>493</v>
      </c>
      <c r="R186" s="85">
        <v>623599008.21</v>
      </c>
      <c r="S186" s="89">
        <v>0</v>
      </c>
      <c r="T186" s="85">
        <v>96693318.02</v>
      </c>
      <c r="U186" s="85">
        <v>21608769.7869</v>
      </c>
      <c r="V186" s="85">
        <v>0</v>
      </c>
      <c r="W186" s="85">
        <f t="shared" si="41"/>
        <v>21608769.7869</v>
      </c>
      <c r="X186" s="85">
        <v>376993953.89</v>
      </c>
      <c r="Y186" s="86">
        <f t="shared" si="38"/>
        <v>1118895049.9069</v>
      </c>
    </row>
    <row r="187" ht="24.95" customHeight="1" spans="1:26">
      <c r="A187" s="83"/>
      <c r="B187" s="90"/>
      <c r="C187" s="80">
        <v>5</v>
      </c>
      <c r="D187" s="85" t="s">
        <v>494</v>
      </c>
      <c r="E187" s="85">
        <v>362291178.35</v>
      </c>
      <c r="F187" s="85">
        <v>0</v>
      </c>
      <c r="G187" s="85">
        <v>56175740.6</v>
      </c>
      <c r="H187" s="85">
        <v>12554007.5686</v>
      </c>
      <c r="I187" s="85">
        <v>12554007.5686</v>
      </c>
      <c r="J187" s="85">
        <f t="shared" si="43"/>
        <v>0</v>
      </c>
      <c r="K187" s="85">
        <v>225435380.79</v>
      </c>
      <c r="L187" s="86">
        <f t="shared" si="32"/>
        <v>643902299.74</v>
      </c>
      <c r="M187" s="79"/>
      <c r="N187" s="90"/>
      <c r="O187" s="87">
        <v>4</v>
      </c>
      <c r="P187" s="90"/>
      <c r="Q187" s="85" t="s">
        <v>495</v>
      </c>
      <c r="R187" s="85">
        <v>410021582.88</v>
      </c>
      <c r="S187" s="89">
        <v>0</v>
      </c>
      <c r="T187" s="85">
        <v>63576668.32</v>
      </c>
      <c r="U187" s="85">
        <v>14207947.5359</v>
      </c>
      <c r="V187" s="85">
        <v>0</v>
      </c>
      <c r="W187" s="85">
        <f t="shared" si="41"/>
        <v>14207947.5359</v>
      </c>
      <c r="X187" s="85">
        <v>249291494.71</v>
      </c>
      <c r="Y187" s="86">
        <f t="shared" si="38"/>
        <v>737097693.4459</v>
      </c>
    </row>
    <row r="188" ht="24.95" customHeight="1" spans="1:26">
      <c r="A188" s="83"/>
      <c r="B188" s="90"/>
      <c r="C188" s="80">
        <v>6</v>
      </c>
      <c r="D188" s="85" t="s">
        <v>496</v>
      </c>
      <c r="E188" s="85">
        <v>416789128.16</v>
      </c>
      <c r="F188" s="85">
        <v>0</v>
      </c>
      <c r="G188" s="85">
        <v>64626022.79</v>
      </c>
      <c r="H188" s="85">
        <v>14442454.5286</v>
      </c>
      <c r="I188" s="85">
        <v>14442454.5286</v>
      </c>
      <c r="J188" s="85">
        <f t="shared" si="43"/>
        <v>0</v>
      </c>
      <c r="K188" s="85">
        <v>248906341.48</v>
      </c>
      <c r="L188" s="86">
        <f t="shared" si="32"/>
        <v>730321492.43</v>
      </c>
      <c r="M188" s="79"/>
      <c r="N188" s="90"/>
      <c r="O188" s="87">
        <v>5</v>
      </c>
      <c r="P188" s="90"/>
      <c r="Q188" s="85" t="s">
        <v>497</v>
      </c>
      <c r="R188" s="85">
        <v>367452594.43</v>
      </c>
      <c r="S188" s="89">
        <v>0</v>
      </c>
      <c r="T188" s="85">
        <v>56976053.69</v>
      </c>
      <c r="U188" s="85">
        <v>12732859.4435</v>
      </c>
      <c r="V188" s="85">
        <v>0</v>
      </c>
      <c r="W188" s="85">
        <f t="shared" si="41"/>
        <v>12732859.4435</v>
      </c>
      <c r="X188" s="85">
        <v>244484765.24</v>
      </c>
      <c r="Y188" s="86">
        <f t="shared" si="38"/>
        <v>681646272.8035</v>
      </c>
    </row>
    <row r="189" ht="24.95" customHeight="1" spans="1:26">
      <c r="A189" s="83"/>
      <c r="B189" s="90"/>
      <c r="C189" s="80">
        <v>7</v>
      </c>
      <c r="D189" s="85" t="s">
        <v>498</v>
      </c>
      <c r="E189" s="85">
        <v>477826757.97</v>
      </c>
      <c r="F189" s="85">
        <v>0</v>
      </c>
      <c r="G189" s="85">
        <v>74090327.37</v>
      </c>
      <c r="H189" s="85">
        <v>16557512.5601</v>
      </c>
      <c r="I189" s="85">
        <v>16557512.5601</v>
      </c>
      <c r="J189" s="85">
        <f t="shared" si="43"/>
        <v>0</v>
      </c>
      <c r="K189" s="85">
        <v>255188132.35</v>
      </c>
      <c r="L189" s="86">
        <f t="shared" si="32"/>
        <v>807105217.69</v>
      </c>
      <c r="M189" s="79"/>
      <c r="N189" s="90"/>
      <c r="O189" s="87">
        <v>6</v>
      </c>
      <c r="P189" s="90"/>
      <c r="Q189" s="85" t="s">
        <v>499</v>
      </c>
      <c r="R189" s="85">
        <v>279511925.42</v>
      </c>
      <c r="S189" s="89">
        <v>0</v>
      </c>
      <c r="T189" s="85">
        <v>43340247.72</v>
      </c>
      <c r="U189" s="85">
        <v>9685565.1944</v>
      </c>
      <c r="V189" s="85">
        <v>0</v>
      </c>
      <c r="W189" s="85">
        <f t="shared" si="41"/>
        <v>9685565.1944</v>
      </c>
      <c r="X189" s="85">
        <v>202368835.82</v>
      </c>
      <c r="Y189" s="86">
        <f t="shared" si="38"/>
        <v>534906574.1544</v>
      </c>
    </row>
    <row r="190" ht="24.95" customHeight="1" spans="1:26">
      <c r="A190" s="83"/>
      <c r="B190" s="90"/>
      <c r="C190" s="80">
        <v>8</v>
      </c>
      <c r="D190" s="85" t="s">
        <v>500</v>
      </c>
      <c r="E190" s="85">
        <v>378512348.98</v>
      </c>
      <c r="F190" s="85">
        <v>0</v>
      </c>
      <c r="G190" s="85">
        <v>58690944.75</v>
      </c>
      <c r="H190" s="85">
        <v>13116098.8119</v>
      </c>
      <c r="I190" s="85">
        <v>13116098.8119</v>
      </c>
      <c r="J190" s="85">
        <f t="shared" si="43"/>
        <v>0</v>
      </c>
      <c r="K190" s="85">
        <v>252688084.78</v>
      </c>
      <c r="L190" s="86">
        <f t="shared" si="32"/>
        <v>689891378.51</v>
      </c>
      <c r="M190" s="79"/>
      <c r="N190" s="90"/>
      <c r="O190" s="87">
        <v>7</v>
      </c>
      <c r="P190" s="90"/>
      <c r="Q190" s="85" t="s">
        <v>501</v>
      </c>
      <c r="R190" s="85">
        <v>611424656.74</v>
      </c>
      <c r="S190" s="89">
        <v>0</v>
      </c>
      <c r="T190" s="85">
        <v>42221060.04</v>
      </c>
      <c r="U190" s="85">
        <v>9435452.0581</v>
      </c>
      <c r="V190" s="85">
        <v>0</v>
      </c>
      <c r="W190" s="85">
        <f t="shared" si="41"/>
        <v>9435452.0581</v>
      </c>
      <c r="X190" s="85">
        <v>376353846.88</v>
      </c>
      <c r="Y190" s="86">
        <f t="shared" si="38"/>
        <v>1039435015.7181</v>
      </c>
    </row>
    <row r="191" ht="24.95" customHeight="1" spans="1:26">
      <c r="A191" s="83"/>
      <c r="B191" s="90"/>
      <c r="C191" s="80">
        <v>9</v>
      </c>
      <c r="D191" s="85" t="s">
        <v>502</v>
      </c>
      <c r="E191" s="85">
        <v>403447508.49</v>
      </c>
      <c r="F191" s="85">
        <v>0</v>
      </c>
      <c r="G191" s="85">
        <v>62557312.84</v>
      </c>
      <c r="H191" s="85">
        <v>13980144.6398</v>
      </c>
      <c r="I191" s="85">
        <v>13980144.6398</v>
      </c>
      <c r="J191" s="85">
        <f t="shared" si="43"/>
        <v>0</v>
      </c>
      <c r="K191" s="85">
        <v>257221435.22</v>
      </c>
      <c r="L191" s="86">
        <f t="shared" si="32"/>
        <v>723226256.55</v>
      </c>
      <c r="M191" s="79"/>
      <c r="N191" s="90"/>
      <c r="O191" s="87">
        <v>8</v>
      </c>
      <c r="P191" s="90"/>
      <c r="Q191" s="85" t="s">
        <v>503</v>
      </c>
      <c r="R191" s="85">
        <v>363873700.14</v>
      </c>
      <c r="S191" s="89">
        <v>0</v>
      </c>
      <c r="T191" s="85">
        <v>94805601.04</v>
      </c>
      <c r="U191" s="85">
        <v>21186907.7334</v>
      </c>
      <c r="V191" s="85">
        <v>0</v>
      </c>
      <c r="W191" s="85">
        <f t="shared" si="41"/>
        <v>21186907.7334</v>
      </c>
      <c r="X191" s="85">
        <v>222757429.37</v>
      </c>
      <c r="Y191" s="86">
        <f t="shared" si="38"/>
        <v>702623638.2834</v>
      </c>
    </row>
    <row r="192" ht="24.95" customHeight="1" spans="1:26">
      <c r="A192" s="83"/>
      <c r="B192" s="90"/>
      <c r="C192" s="80">
        <v>10</v>
      </c>
      <c r="D192" s="85" t="s">
        <v>504</v>
      </c>
      <c r="E192" s="85">
        <v>315915122.04</v>
      </c>
      <c r="F192" s="85">
        <v>0</v>
      </c>
      <c r="G192" s="85">
        <v>48984813.9</v>
      </c>
      <c r="H192" s="85">
        <v>10946998.0782</v>
      </c>
      <c r="I192" s="85">
        <v>10946998.0782</v>
      </c>
      <c r="J192" s="85">
        <f t="shared" si="43"/>
        <v>0</v>
      </c>
      <c r="K192" s="85">
        <v>215942682.78</v>
      </c>
      <c r="L192" s="86">
        <f t="shared" si="32"/>
        <v>580842618.72</v>
      </c>
      <c r="M192" s="79"/>
      <c r="N192" s="90"/>
      <c r="O192" s="87">
        <v>9</v>
      </c>
      <c r="P192" s="90"/>
      <c r="Q192" s="85" t="s">
        <v>505</v>
      </c>
      <c r="R192" s="85">
        <v>454624608.36</v>
      </c>
      <c r="S192" s="89">
        <v>0</v>
      </c>
      <c r="T192" s="85">
        <v>56421121.5</v>
      </c>
      <c r="U192" s="85">
        <v>12608844.6492</v>
      </c>
      <c r="V192" s="85">
        <v>0</v>
      </c>
      <c r="W192" s="85">
        <f t="shared" si="41"/>
        <v>12608844.6492</v>
      </c>
      <c r="X192" s="85">
        <v>287264509.34</v>
      </c>
      <c r="Y192" s="86">
        <f t="shared" si="38"/>
        <v>810919083.8492</v>
      </c>
    </row>
    <row r="193" ht="24.95" customHeight="1" spans="1:25">
      <c r="A193" s="83"/>
      <c r="B193" s="90"/>
      <c r="C193" s="80">
        <v>11</v>
      </c>
      <c r="D193" s="85" t="s">
        <v>506</v>
      </c>
      <c r="E193" s="85">
        <v>431061729.48</v>
      </c>
      <c r="F193" s="85">
        <v>0</v>
      </c>
      <c r="G193" s="85">
        <v>66839087.85</v>
      </c>
      <c r="H193" s="85">
        <v>14937024.5199</v>
      </c>
      <c r="I193" s="85">
        <v>14937024.5199</v>
      </c>
      <c r="J193" s="85">
        <f t="shared" si="43"/>
        <v>0</v>
      </c>
      <c r="K193" s="85">
        <v>246387401.87</v>
      </c>
      <c r="L193" s="86">
        <f t="shared" si="32"/>
        <v>744288219.2</v>
      </c>
      <c r="M193" s="79"/>
      <c r="N193" s="90"/>
      <c r="O193" s="87">
        <v>10</v>
      </c>
      <c r="P193" s="90"/>
      <c r="Q193" s="85" t="s">
        <v>507</v>
      </c>
      <c r="R193" s="85">
        <v>285750001.11</v>
      </c>
      <c r="S193" s="89">
        <v>0</v>
      </c>
      <c r="T193" s="85">
        <v>70492674.39</v>
      </c>
      <c r="U193" s="85">
        <v>15753518.4826</v>
      </c>
      <c r="V193" s="85">
        <v>0</v>
      </c>
      <c r="W193" s="85">
        <f t="shared" si="41"/>
        <v>15753518.4826</v>
      </c>
      <c r="X193" s="85">
        <v>206991090.01</v>
      </c>
      <c r="Y193" s="86">
        <f t="shared" si="38"/>
        <v>578987283.9926</v>
      </c>
    </row>
    <row r="194" ht="24.95" customHeight="1" spans="1:25">
      <c r="A194" s="83"/>
      <c r="B194" s="90"/>
      <c r="C194" s="80">
        <v>12</v>
      </c>
      <c r="D194" s="85" t="s">
        <v>508</v>
      </c>
      <c r="E194" s="85">
        <v>371997573.27</v>
      </c>
      <c r="F194" s="85">
        <v>0</v>
      </c>
      <c r="G194" s="85">
        <v>57680783.93</v>
      </c>
      <c r="H194" s="85">
        <v>12890350.716</v>
      </c>
      <c r="I194" s="85">
        <v>12890350.716</v>
      </c>
      <c r="J194" s="85">
        <f t="shared" si="43"/>
        <v>0</v>
      </c>
      <c r="K194" s="85">
        <v>227103066.99</v>
      </c>
      <c r="L194" s="86">
        <f t="shared" si="32"/>
        <v>656781424.19</v>
      </c>
      <c r="M194" s="79"/>
      <c r="N194" s="90"/>
      <c r="O194" s="87">
        <v>11</v>
      </c>
      <c r="P194" s="90"/>
      <c r="Q194" s="85" t="s">
        <v>509</v>
      </c>
      <c r="R194" s="85">
        <v>350743084.3</v>
      </c>
      <c r="S194" s="89">
        <v>0</v>
      </c>
      <c r="T194" s="85">
        <v>54385129.14</v>
      </c>
      <c r="U194" s="85">
        <v>12153846.4032</v>
      </c>
      <c r="V194" s="85">
        <v>0</v>
      </c>
      <c r="W194" s="85">
        <f t="shared" si="41"/>
        <v>12153846.4032</v>
      </c>
      <c r="X194" s="85">
        <v>238995699.49</v>
      </c>
      <c r="Y194" s="86">
        <f t="shared" si="38"/>
        <v>656277759.3332</v>
      </c>
    </row>
    <row r="195" ht="24.95" customHeight="1" spans="1:25">
      <c r="A195" s="83"/>
      <c r="B195" s="90"/>
      <c r="C195" s="80">
        <v>13</v>
      </c>
      <c r="D195" s="85" t="s">
        <v>510</v>
      </c>
      <c r="E195" s="85">
        <v>409997534.07</v>
      </c>
      <c r="F195" s="85">
        <v>0</v>
      </c>
      <c r="G195" s="85">
        <v>63572939.38</v>
      </c>
      <c r="H195" s="85">
        <v>14207114.2035</v>
      </c>
      <c r="I195" s="85">
        <v>14207114.2035</v>
      </c>
      <c r="J195" s="85">
        <f t="shared" si="43"/>
        <v>0</v>
      </c>
      <c r="K195" s="85">
        <v>250114321.19</v>
      </c>
      <c r="L195" s="86">
        <f t="shared" si="32"/>
        <v>723684794.64</v>
      </c>
      <c r="M195" s="79"/>
      <c r="N195" s="90"/>
      <c r="O195" s="87">
        <v>12</v>
      </c>
      <c r="P195" s="90"/>
      <c r="Q195" s="85" t="s">
        <v>511</v>
      </c>
      <c r="R195" s="85">
        <v>316881034.1</v>
      </c>
      <c r="S195" s="89">
        <v>0</v>
      </c>
      <c r="T195" s="85">
        <v>49134585.21</v>
      </c>
      <c r="U195" s="85">
        <v>10980468.5794</v>
      </c>
      <c r="V195" s="85">
        <v>0</v>
      </c>
      <c r="W195" s="85">
        <f t="shared" si="41"/>
        <v>10980468.5794</v>
      </c>
      <c r="X195" s="85">
        <v>225920550.75</v>
      </c>
      <c r="Y195" s="86">
        <f t="shared" si="38"/>
        <v>602916638.6394</v>
      </c>
    </row>
    <row r="196" ht="24.95" customHeight="1" spans="1:25">
      <c r="A196" s="83"/>
      <c r="B196" s="90"/>
      <c r="C196" s="80">
        <v>14</v>
      </c>
      <c r="D196" s="85" t="s">
        <v>512</v>
      </c>
      <c r="E196" s="85">
        <v>388159597.07</v>
      </c>
      <c r="F196" s="85">
        <v>0</v>
      </c>
      <c r="G196" s="85">
        <v>60186816.96</v>
      </c>
      <c r="H196" s="85">
        <v>13450392.4208</v>
      </c>
      <c r="I196" s="85">
        <v>13450392.4208</v>
      </c>
      <c r="J196" s="85">
        <f t="shared" si="43"/>
        <v>0</v>
      </c>
      <c r="K196" s="85">
        <v>245543927.53</v>
      </c>
      <c r="L196" s="86">
        <f t="shared" si="32"/>
        <v>693890341.56</v>
      </c>
      <c r="M196" s="79"/>
      <c r="N196" s="90"/>
      <c r="O196" s="87">
        <v>13</v>
      </c>
      <c r="P196" s="90"/>
      <c r="Q196" s="85" t="s">
        <v>513</v>
      </c>
      <c r="R196" s="85">
        <v>328505914.89</v>
      </c>
      <c r="S196" s="89">
        <v>0</v>
      </c>
      <c r="T196" s="85">
        <v>44307504.29</v>
      </c>
      <c r="U196" s="85">
        <v>9901725.1621</v>
      </c>
      <c r="V196" s="85">
        <v>0</v>
      </c>
      <c r="W196" s="85">
        <f t="shared" si="41"/>
        <v>9901725.1621</v>
      </c>
      <c r="X196" s="85">
        <v>212393104.17</v>
      </c>
      <c r="Y196" s="86">
        <f t="shared" si="38"/>
        <v>595108248.5121</v>
      </c>
    </row>
    <row r="197" ht="24.95" customHeight="1" spans="1:25">
      <c r="A197" s="83"/>
      <c r="B197" s="90"/>
      <c r="C197" s="80">
        <v>15</v>
      </c>
      <c r="D197" s="85" t="s">
        <v>514</v>
      </c>
      <c r="E197" s="85">
        <v>440287565.95</v>
      </c>
      <c r="F197" s="85">
        <v>0</v>
      </c>
      <c r="G197" s="85">
        <v>68269617.29</v>
      </c>
      <c r="H197" s="85">
        <v>15256715.4973</v>
      </c>
      <c r="I197" s="85">
        <v>15256715.4973</v>
      </c>
      <c r="J197" s="85">
        <f t="shared" si="43"/>
        <v>0</v>
      </c>
      <c r="K197" s="85">
        <v>257522967.11</v>
      </c>
      <c r="L197" s="86">
        <f t="shared" si="32"/>
        <v>766080150.35</v>
      </c>
      <c r="M197" s="79"/>
      <c r="N197" s="90"/>
      <c r="O197" s="87">
        <v>14</v>
      </c>
      <c r="P197" s="90"/>
      <c r="Q197" s="85" t="s">
        <v>515</v>
      </c>
      <c r="R197" s="85">
        <v>344083053.82</v>
      </c>
      <c r="S197" s="89">
        <v>0</v>
      </c>
      <c r="T197" s="85">
        <v>50937102.98</v>
      </c>
      <c r="U197" s="85">
        <v>11383290.5361</v>
      </c>
      <c r="V197" s="85">
        <v>0</v>
      </c>
      <c r="W197" s="85">
        <f t="shared" si="41"/>
        <v>11383290.5361</v>
      </c>
      <c r="X197" s="85">
        <v>237659920.63</v>
      </c>
      <c r="Y197" s="86">
        <f t="shared" si="38"/>
        <v>644063367.9661</v>
      </c>
    </row>
    <row r="198" ht="24.95" customHeight="1" spans="1:25">
      <c r="A198" s="83"/>
      <c r="B198" s="90"/>
      <c r="C198" s="80">
        <v>16</v>
      </c>
      <c r="D198" s="85" t="s">
        <v>516</v>
      </c>
      <c r="E198" s="85">
        <v>413794780.98</v>
      </c>
      <c r="F198" s="85">
        <v>0</v>
      </c>
      <c r="G198" s="85">
        <v>64161728.65</v>
      </c>
      <c r="H198" s="85">
        <v>14338695.2888</v>
      </c>
      <c r="I198" s="85">
        <v>14338695.2888</v>
      </c>
      <c r="J198" s="85">
        <f t="shared" si="43"/>
        <v>0</v>
      </c>
      <c r="K198" s="85">
        <v>249913176.46</v>
      </c>
      <c r="L198" s="86">
        <f t="shared" si="32"/>
        <v>727869686.09</v>
      </c>
      <c r="M198" s="79"/>
      <c r="N198" s="90"/>
      <c r="O198" s="87">
        <v>15</v>
      </c>
      <c r="P198" s="90"/>
      <c r="Q198" s="85" t="s">
        <v>517</v>
      </c>
      <c r="R198" s="85">
        <v>417201737.73</v>
      </c>
      <c r="S198" s="89">
        <v>0</v>
      </c>
      <c r="T198" s="85">
        <v>53352445.58</v>
      </c>
      <c r="U198" s="85">
        <v>11923064.9818</v>
      </c>
      <c r="V198" s="85">
        <v>0</v>
      </c>
      <c r="W198" s="85">
        <f t="shared" si="41"/>
        <v>11923064.9818</v>
      </c>
      <c r="X198" s="85">
        <v>266711073.42</v>
      </c>
      <c r="Y198" s="86">
        <f t="shared" si="38"/>
        <v>749188321.7118</v>
      </c>
    </row>
    <row r="199" ht="24.95" customHeight="1" spans="1:25">
      <c r="A199" s="83"/>
      <c r="B199" s="90"/>
      <c r="C199" s="80">
        <v>17</v>
      </c>
      <c r="D199" s="85" t="s">
        <v>518</v>
      </c>
      <c r="E199" s="85">
        <v>415426053.78</v>
      </c>
      <c r="F199" s="85">
        <v>0</v>
      </c>
      <c r="G199" s="85">
        <v>64414668.73</v>
      </c>
      <c r="H199" s="85">
        <v>14395221.6752</v>
      </c>
      <c r="I199" s="85">
        <v>14395221.6752</v>
      </c>
      <c r="J199" s="85">
        <f t="shared" si="43"/>
        <v>0</v>
      </c>
      <c r="K199" s="85">
        <v>259006918.88</v>
      </c>
      <c r="L199" s="86">
        <f t="shared" si="32"/>
        <v>738847641.39</v>
      </c>
      <c r="M199" s="79"/>
      <c r="N199" s="90"/>
      <c r="O199" s="87">
        <v>16</v>
      </c>
      <c r="P199" s="90"/>
      <c r="Q199" s="85" t="s">
        <v>519</v>
      </c>
      <c r="R199" s="85">
        <v>350232526.95</v>
      </c>
      <c r="S199" s="89">
        <v>0</v>
      </c>
      <c r="T199" s="85">
        <v>64690000.74</v>
      </c>
      <c r="U199" s="85">
        <v>14456752.1542</v>
      </c>
      <c r="V199" s="85">
        <v>0</v>
      </c>
      <c r="W199" s="85">
        <f t="shared" si="41"/>
        <v>14456752.1542</v>
      </c>
      <c r="X199" s="85">
        <v>222480716.45</v>
      </c>
      <c r="Y199" s="86">
        <f t="shared" si="38"/>
        <v>651859996.2942</v>
      </c>
    </row>
    <row r="200" ht="24.95" customHeight="1" spans="1:25">
      <c r="A200" s="83"/>
      <c r="B200" s="92"/>
      <c r="C200" s="80">
        <v>18</v>
      </c>
      <c r="D200" s="85" t="s">
        <v>520</v>
      </c>
      <c r="E200" s="85">
        <v>458127088.51</v>
      </c>
      <c r="F200" s="85">
        <v>0</v>
      </c>
      <c r="G200" s="85">
        <v>71035758.05</v>
      </c>
      <c r="H200" s="85">
        <v>15874885.3965</v>
      </c>
      <c r="I200" s="85">
        <v>15874885.3965</v>
      </c>
      <c r="J200" s="85">
        <f t="shared" si="43"/>
        <v>0</v>
      </c>
      <c r="K200" s="85">
        <v>264338550.91</v>
      </c>
      <c r="L200" s="86">
        <f t="shared" ref="L200:L263" si="45">E200+F200+G200+J200+K200</f>
        <v>793501397.47</v>
      </c>
      <c r="M200" s="79"/>
      <c r="N200" s="90"/>
      <c r="O200" s="87">
        <v>17</v>
      </c>
      <c r="P200" s="90"/>
      <c r="Q200" s="85" t="s">
        <v>521</v>
      </c>
      <c r="R200" s="85">
        <v>325504700.07</v>
      </c>
      <c r="S200" s="89">
        <v>0</v>
      </c>
      <c r="T200" s="85">
        <v>54305963.71</v>
      </c>
      <c r="U200" s="85">
        <v>12136154.7199</v>
      </c>
      <c r="V200" s="85">
        <v>0</v>
      </c>
      <c r="W200" s="85">
        <f t="shared" si="41"/>
        <v>12136154.7199</v>
      </c>
      <c r="X200" s="85">
        <v>229027736.84</v>
      </c>
      <c r="Y200" s="86">
        <f t="shared" si="38"/>
        <v>620974555.3399</v>
      </c>
    </row>
    <row r="201" ht="24.95" customHeight="1" spans="1:25">
      <c r="A201" s="80"/>
      <c r="B201" s="93" t="s">
        <v>522</v>
      </c>
      <c r="C201" s="94"/>
      <c r="D201" s="95"/>
      <c r="E201" s="95">
        <f t="shared" ref="E201:L201" si="46">SUM(E183:E200)</f>
        <v>7338601710.02</v>
      </c>
      <c r="F201" s="85">
        <v>0</v>
      </c>
      <c r="G201" s="95">
        <f t="shared" si="46"/>
        <v>1137900701.61</v>
      </c>
      <c r="H201" s="95">
        <f t="shared" si="46"/>
        <v>254295072.3487</v>
      </c>
      <c r="I201" s="95">
        <f t="shared" si="46"/>
        <v>254295072.3487</v>
      </c>
      <c r="J201" s="95">
        <f t="shared" si="46"/>
        <v>0</v>
      </c>
      <c r="K201" s="95">
        <f t="shared" si="46"/>
        <v>4422405206.67</v>
      </c>
      <c r="L201" s="95">
        <f t="shared" si="46"/>
        <v>12898907618.3</v>
      </c>
      <c r="M201" s="79"/>
      <c r="N201" s="90"/>
      <c r="O201" s="87">
        <v>18</v>
      </c>
      <c r="P201" s="90"/>
      <c r="Q201" s="85" t="s">
        <v>523</v>
      </c>
      <c r="R201" s="85">
        <v>309178100.03</v>
      </c>
      <c r="S201" s="89">
        <v>0</v>
      </c>
      <c r="T201" s="85">
        <v>50471743.97</v>
      </c>
      <c r="U201" s="85">
        <v>11279293.3213</v>
      </c>
      <c r="V201" s="85">
        <v>0</v>
      </c>
      <c r="W201" s="85">
        <f t="shared" si="41"/>
        <v>11279293.3213</v>
      </c>
      <c r="X201" s="85">
        <v>208954751.6</v>
      </c>
      <c r="Y201" s="86">
        <f t="shared" si="38"/>
        <v>579883888.9213</v>
      </c>
    </row>
    <row r="202" ht="24.95" customHeight="1" spans="1:25">
      <c r="A202" s="83">
        <v>10</v>
      </c>
      <c r="B202" s="84" t="s">
        <v>524</v>
      </c>
      <c r="C202" s="80">
        <v>1</v>
      </c>
      <c r="D202" s="85" t="s">
        <v>525</v>
      </c>
      <c r="E202" s="85">
        <v>320808618.66</v>
      </c>
      <c r="F202" s="85">
        <v>0</v>
      </c>
      <c r="G202" s="85">
        <v>49743584.22</v>
      </c>
      <c r="H202" s="85">
        <v>11116566.0864</v>
      </c>
      <c r="I202" s="85">
        <v>11116566.0864</v>
      </c>
      <c r="J202" s="85">
        <f t="shared" ref="J202:J226" si="47">H202-I202</f>
        <v>0</v>
      </c>
      <c r="K202" s="108">
        <v>345519201.98</v>
      </c>
      <c r="L202" s="86">
        <f t="shared" si="45"/>
        <v>716071404.86</v>
      </c>
      <c r="M202" s="79"/>
      <c r="N202" s="90"/>
      <c r="O202" s="87">
        <v>19</v>
      </c>
      <c r="P202" s="90"/>
      <c r="Q202" s="85" t="s">
        <v>526</v>
      </c>
      <c r="R202" s="85">
        <v>272294008.57</v>
      </c>
      <c r="S202" s="89">
        <v>0</v>
      </c>
      <c r="T202" s="85">
        <v>47940192.27</v>
      </c>
      <c r="U202" s="85">
        <v>10713548.7688</v>
      </c>
      <c r="V202" s="85">
        <v>0</v>
      </c>
      <c r="W202" s="85">
        <f t="shared" si="41"/>
        <v>10713548.7688</v>
      </c>
      <c r="X202" s="85">
        <v>204130241.39</v>
      </c>
      <c r="Y202" s="86">
        <f t="shared" si="38"/>
        <v>535077990.9988</v>
      </c>
    </row>
    <row r="203" ht="24.95" customHeight="1" spans="1:25">
      <c r="A203" s="83"/>
      <c r="B203" s="90"/>
      <c r="C203" s="80">
        <v>2</v>
      </c>
      <c r="D203" s="85" t="s">
        <v>527</v>
      </c>
      <c r="E203" s="85">
        <v>349668665.59</v>
      </c>
      <c r="F203" s="85">
        <v>0</v>
      </c>
      <c r="G203" s="85">
        <v>54218533.13</v>
      </c>
      <c r="H203" s="85">
        <v>12116615.9614</v>
      </c>
      <c r="I203" s="85">
        <v>12116615.9614</v>
      </c>
      <c r="J203" s="85">
        <f t="shared" si="47"/>
        <v>0</v>
      </c>
      <c r="K203" s="108">
        <v>358815128.37</v>
      </c>
      <c r="L203" s="86">
        <f t="shared" si="45"/>
        <v>762702327.09</v>
      </c>
      <c r="M203" s="79"/>
      <c r="N203" s="92"/>
      <c r="O203" s="87">
        <v>20</v>
      </c>
      <c r="P203" s="92"/>
      <c r="Q203" s="85" t="s">
        <v>528</v>
      </c>
      <c r="R203" s="85">
        <v>419347681.14</v>
      </c>
      <c r="S203" s="89">
        <v>0</v>
      </c>
      <c r="T203" s="85">
        <v>65022744.04</v>
      </c>
      <c r="U203" s="85">
        <v>14531112.7553</v>
      </c>
      <c r="V203" s="85">
        <v>0</v>
      </c>
      <c r="W203" s="85">
        <f t="shared" si="41"/>
        <v>14531112.7553</v>
      </c>
      <c r="X203" s="85">
        <v>275809261.02</v>
      </c>
      <c r="Y203" s="86">
        <f t="shared" si="38"/>
        <v>774710798.9553</v>
      </c>
    </row>
    <row r="204" ht="24.95" customHeight="1" spans="1:25">
      <c r="A204" s="83"/>
      <c r="B204" s="90"/>
      <c r="C204" s="80">
        <v>3</v>
      </c>
      <c r="D204" s="85" t="s">
        <v>529</v>
      </c>
      <c r="E204" s="85">
        <v>298909086.51</v>
      </c>
      <c r="F204" s="85">
        <v>0</v>
      </c>
      <c r="G204" s="85">
        <v>46347911.05</v>
      </c>
      <c r="H204" s="85">
        <v>10357709.9267</v>
      </c>
      <c r="I204" s="85">
        <v>10357709.9267</v>
      </c>
      <c r="J204" s="85">
        <f t="shared" si="47"/>
        <v>0</v>
      </c>
      <c r="K204" s="108">
        <v>338826601.7</v>
      </c>
      <c r="L204" s="86">
        <f t="shared" si="45"/>
        <v>684083599.26</v>
      </c>
      <c r="M204" s="79"/>
      <c r="N204" s="80"/>
      <c r="O204" s="94" t="s">
        <v>530</v>
      </c>
      <c r="P204" s="98"/>
      <c r="Q204" s="95"/>
      <c r="R204" s="95">
        <f t="shared" ref="R204:V204" si="48">SUM(R184:R203)</f>
        <v>7628949547.45</v>
      </c>
      <c r="S204" s="89">
        <v>0</v>
      </c>
      <c r="T204" s="95">
        <f>SUM(T184:T203)</f>
        <v>1182921132.08</v>
      </c>
      <c r="U204" s="95">
        <f t="shared" si="48"/>
        <v>264356120.3858</v>
      </c>
      <c r="V204" s="95">
        <f t="shared" si="48"/>
        <v>0</v>
      </c>
      <c r="W204" s="95">
        <f t="shared" si="41"/>
        <v>264356120.3858</v>
      </c>
      <c r="X204" s="95">
        <f>SUM(X184:X203)</f>
        <v>5019753343.02</v>
      </c>
      <c r="Y204" s="95">
        <f>SUM(Y184:Y203)</f>
        <v>14095980142.9358</v>
      </c>
    </row>
    <row r="205" ht="33.75" customHeight="1" spans="1:25">
      <c r="A205" s="83"/>
      <c r="B205" s="90"/>
      <c r="C205" s="80">
        <v>4</v>
      </c>
      <c r="D205" s="85" t="s">
        <v>531</v>
      </c>
      <c r="E205" s="85">
        <v>429586405.94</v>
      </c>
      <c r="F205" s="85">
        <v>0</v>
      </c>
      <c r="G205" s="85">
        <v>66610328.78</v>
      </c>
      <c r="H205" s="85">
        <v>14885902.0416</v>
      </c>
      <c r="I205" s="85">
        <v>14885902.0416</v>
      </c>
      <c r="J205" s="85">
        <f t="shared" si="47"/>
        <v>0</v>
      </c>
      <c r="K205" s="108">
        <v>384397923.57</v>
      </c>
      <c r="L205" s="86">
        <f t="shared" si="45"/>
        <v>880594658.29</v>
      </c>
      <c r="M205" s="79"/>
      <c r="N205" s="84">
        <v>28</v>
      </c>
      <c r="O205" s="87">
        <v>1</v>
      </c>
      <c r="P205" s="109" t="s">
        <v>115</v>
      </c>
      <c r="Q205" s="105" t="s">
        <v>532</v>
      </c>
      <c r="R205" s="85">
        <v>404217451.78</v>
      </c>
      <c r="S205" s="89">
        <v>0</v>
      </c>
      <c r="T205" s="85">
        <v>62676697.85</v>
      </c>
      <c r="U205" s="85">
        <v>14006824.4889</v>
      </c>
      <c r="V205" s="85">
        <v>14006824.4889</v>
      </c>
      <c r="W205" s="85">
        <f t="shared" si="41"/>
        <v>0</v>
      </c>
      <c r="X205" s="85">
        <v>292611248.6</v>
      </c>
      <c r="Y205" s="86">
        <f t="shared" si="38"/>
        <v>759505398.23</v>
      </c>
    </row>
    <row r="206" ht="24.95" customHeight="1" spans="1:25">
      <c r="A206" s="83"/>
      <c r="B206" s="90"/>
      <c r="C206" s="80">
        <v>5</v>
      </c>
      <c r="D206" s="85" t="s">
        <v>533</v>
      </c>
      <c r="E206" s="85">
        <v>390856876.67</v>
      </c>
      <c r="F206" s="85">
        <v>0</v>
      </c>
      <c r="G206" s="85">
        <v>60605048.72</v>
      </c>
      <c r="H206" s="85">
        <v>13543857.7619</v>
      </c>
      <c r="I206" s="85">
        <v>13543857.7619</v>
      </c>
      <c r="J206" s="85">
        <f t="shared" si="47"/>
        <v>0</v>
      </c>
      <c r="K206" s="108">
        <v>381110707.38</v>
      </c>
      <c r="L206" s="86">
        <f t="shared" si="45"/>
        <v>832572632.77</v>
      </c>
      <c r="M206" s="79"/>
      <c r="N206" s="90"/>
      <c r="O206" s="87">
        <v>2</v>
      </c>
      <c r="P206" s="110"/>
      <c r="Q206" s="105" t="s">
        <v>534</v>
      </c>
      <c r="R206" s="85">
        <v>427597236.96</v>
      </c>
      <c r="S206" s="89">
        <v>0</v>
      </c>
      <c r="T206" s="85">
        <v>66301894.44</v>
      </c>
      <c r="U206" s="85">
        <v>14816973.9422</v>
      </c>
      <c r="V206" s="85">
        <v>14816973.9422</v>
      </c>
      <c r="W206" s="85">
        <f t="shared" si="41"/>
        <v>0</v>
      </c>
      <c r="X206" s="85">
        <v>306829551.4</v>
      </c>
      <c r="Y206" s="86">
        <f t="shared" si="38"/>
        <v>800728682.8</v>
      </c>
    </row>
    <row r="207" ht="24.95" customHeight="1" spans="1:25">
      <c r="A207" s="83"/>
      <c r="B207" s="90"/>
      <c r="C207" s="80">
        <v>6</v>
      </c>
      <c r="D207" s="85" t="s">
        <v>535</v>
      </c>
      <c r="E207" s="85">
        <v>400370616.81</v>
      </c>
      <c r="F207" s="85">
        <v>0</v>
      </c>
      <c r="G207" s="85">
        <v>62080219.61</v>
      </c>
      <c r="H207" s="85">
        <v>13873525.0924</v>
      </c>
      <c r="I207" s="85">
        <v>13873525.0924</v>
      </c>
      <c r="J207" s="85">
        <f t="shared" si="47"/>
        <v>0</v>
      </c>
      <c r="K207" s="108">
        <v>382147917.81</v>
      </c>
      <c r="L207" s="86">
        <f t="shared" si="45"/>
        <v>844598754.23</v>
      </c>
      <c r="M207" s="79"/>
      <c r="N207" s="90"/>
      <c r="O207" s="87">
        <v>3</v>
      </c>
      <c r="P207" s="110"/>
      <c r="Q207" s="105" t="s">
        <v>536</v>
      </c>
      <c r="R207" s="85">
        <v>322891124.47</v>
      </c>
      <c r="S207" s="89">
        <v>0</v>
      </c>
      <c r="T207" s="85">
        <v>67500785.94</v>
      </c>
      <c r="U207" s="85">
        <v>15084899.0771</v>
      </c>
      <c r="V207" s="85">
        <v>15084899.0771</v>
      </c>
      <c r="W207" s="85">
        <f t="shared" si="41"/>
        <v>0</v>
      </c>
      <c r="X207" s="85">
        <v>258167342.45</v>
      </c>
      <c r="Y207" s="86">
        <f t="shared" si="38"/>
        <v>648559252.86</v>
      </c>
    </row>
    <row r="208" ht="24.95" customHeight="1" spans="1:25">
      <c r="A208" s="83"/>
      <c r="B208" s="90"/>
      <c r="C208" s="80">
        <v>7</v>
      </c>
      <c r="D208" s="85" t="s">
        <v>537</v>
      </c>
      <c r="E208" s="85">
        <v>424466731.63</v>
      </c>
      <c r="F208" s="85">
        <v>0</v>
      </c>
      <c r="G208" s="85">
        <v>65816488.05</v>
      </c>
      <c r="H208" s="85">
        <v>14708496.5902</v>
      </c>
      <c r="I208" s="85">
        <v>14708496.5902</v>
      </c>
      <c r="J208" s="85">
        <f t="shared" si="47"/>
        <v>0</v>
      </c>
      <c r="K208" s="108">
        <v>374763350</v>
      </c>
      <c r="L208" s="86">
        <f t="shared" si="45"/>
        <v>865046569.68</v>
      </c>
      <c r="M208" s="79"/>
      <c r="N208" s="90"/>
      <c r="O208" s="87">
        <v>4</v>
      </c>
      <c r="P208" s="110"/>
      <c r="Q208" s="105" t="s">
        <v>538</v>
      </c>
      <c r="R208" s="85">
        <v>435329183.3</v>
      </c>
      <c r="S208" s="89">
        <v>0</v>
      </c>
      <c r="T208" s="85">
        <v>50066491.08</v>
      </c>
      <c r="U208" s="85">
        <v>11188728.4666</v>
      </c>
      <c r="V208" s="85">
        <v>11188728.4666</v>
      </c>
      <c r="W208" s="85">
        <f t="shared" ref="W208:W239" si="49">U208-V208</f>
        <v>0</v>
      </c>
      <c r="X208" s="85">
        <v>312643115.85</v>
      </c>
      <c r="Y208" s="86">
        <f t="shared" si="38"/>
        <v>798038790.23</v>
      </c>
    </row>
    <row r="209" ht="24.95" customHeight="1" spans="1:25">
      <c r="A209" s="83"/>
      <c r="B209" s="90"/>
      <c r="C209" s="80">
        <v>8</v>
      </c>
      <c r="D209" s="85" t="s">
        <v>539</v>
      </c>
      <c r="E209" s="85">
        <v>399217170.96</v>
      </c>
      <c r="F209" s="85">
        <v>0</v>
      </c>
      <c r="G209" s="85">
        <v>61901369.89</v>
      </c>
      <c r="H209" s="85">
        <v>13833556.2255</v>
      </c>
      <c r="I209" s="85">
        <v>13833556.2255</v>
      </c>
      <c r="J209" s="85">
        <f t="shared" si="47"/>
        <v>0</v>
      </c>
      <c r="K209" s="108">
        <v>366960934.55</v>
      </c>
      <c r="L209" s="86">
        <f t="shared" si="45"/>
        <v>828079475.4</v>
      </c>
      <c r="M209" s="79"/>
      <c r="N209" s="90"/>
      <c r="O209" s="87">
        <v>5</v>
      </c>
      <c r="P209" s="110"/>
      <c r="Q209" s="85" t="s">
        <v>540</v>
      </c>
      <c r="R209" s="85">
        <v>338350821.47</v>
      </c>
      <c r="S209" s="89">
        <v>0</v>
      </c>
      <c r="T209" s="85">
        <v>52463623.5</v>
      </c>
      <c r="U209" s="85">
        <v>11724433.3493</v>
      </c>
      <c r="V209" s="85">
        <v>11724433.3493</v>
      </c>
      <c r="W209" s="85">
        <f t="shared" si="49"/>
        <v>0</v>
      </c>
      <c r="X209" s="85">
        <v>276378164.54</v>
      </c>
      <c r="Y209" s="86">
        <f t="shared" si="38"/>
        <v>667192609.51</v>
      </c>
    </row>
    <row r="210" ht="24.95" customHeight="1" spans="1:25">
      <c r="A210" s="83"/>
      <c r="B210" s="90"/>
      <c r="C210" s="80">
        <v>9</v>
      </c>
      <c r="D210" s="85" t="s">
        <v>541</v>
      </c>
      <c r="E210" s="85">
        <v>375633938.1</v>
      </c>
      <c r="F210" s="85">
        <v>0</v>
      </c>
      <c r="G210" s="85">
        <v>58244627.33</v>
      </c>
      <c r="H210" s="85">
        <v>13016356.963</v>
      </c>
      <c r="I210" s="85">
        <v>13016356.963</v>
      </c>
      <c r="J210" s="85">
        <f t="shared" si="47"/>
        <v>0</v>
      </c>
      <c r="K210" s="108">
        <v>360130533.45</v>
      </c>
      <c r="L210" s="86">
        <f t="shared" si="45"/>
        <v>794009098.88</v>
      </c>
      <c r="M210" s="79"/>
      <c r="N210" s="90"/>
      <c r="O210" s="87">
        <v>6</v>
      </c>
      <c r="P210" s="110"/>
      <c r="Q210" s="85" t="s">
        <v>542</v>
      </c>
      <c r="R210" s="85">
        <v>519965645.14</v>
      </c>
      <c r="S210" s="89">
        <v>0</v>
      </c>
      <c r="T210" s="85">
        <v>80624251.84</v>
      </c>
      <c r="U210" s="85">
        <v>18017696.9094</v>
      </c>
      <c r="V210" s="85">
        <v>18017696.9094</v>
      </c>
      <c r="W210" s="85">
        <f t="shared" si="49"/>
        <v>0</v>
      </c>
      <c r="X210" s="85">
        <v>358474851.63</v>
      </c>
      <c r="Y210" s="86">
        <f t="shared" si="38"/>
        <v>959064748.61</v>
      </c>
    </row>
    <row r="211" ht="24.95" customHeight="1" spans="1:25">
      <c r="A211" s="83"/>
      <c r="B211" s="90"/>
      <c r="C211" s="80">
        <v>10</v>
      </c>
      <c r="D211" s="85" t="s">
        <v>543</v>
      </c>
      <c r="E211" s="85">
        <v>420042582.63</v>
      </c>
      <c r="F211" s="85">
        <v>0</v>
      </c>
      <c r="G211" s="85">
        <v>65130493.3</v>
      </c>
      <c r="H211" s="85">
        <v>14555192.2777</v>
      </c>
      <c r="I211" s="85">
        <v>14555192.2777</v>
      </c>
      <c r="J211" s="85">
        <f t="shared" si="47"/>
        <v>0</v>
      </c>
      <c r="K211" s="108">
        <v>391082744.78</v>
      </c>
      <c r="L211" s="86">
        <f t="shared" si="45"/>
        <v>876255820.71</v>
      </c>
      <c r="M211" s="79"/>
      <c r="N211" s="90"/>
      <c r="O211" s="87">
        <v>7</v>
      </c>
      <c r="P211" s="110"/>
      <c r="Q211" s="85" t="s">
        <v>544</v>
      </c>
      <c r="R211" s="85">
        <v>366202221.18</v>
      </c>
      <c r="S211" s="89">
        <v>0</v>
      </c>
      <c r="T211" s="85">
        <v>56782174.71</v>
      </c>
      <c r="U211" s="85">
        <v>12689531.8768</v>
      </c>
      <c r="V211" s="85">
        <v>12689531.8768</v>
      </c>
      <c r="W211" s="85">
        <f t="shared" si="49"/>
        <v>0</v>
      </c>
      <c r="X211" s="85">
        <v>285042946.37</v>
      </c>
      <c r="Y211" s="86">
        <f t="shared" si="38"/>
        <v>708027342.26</v>
      </c>
    </row>
    <row r="212" ht="24.95" customHeight="1" spans="1:25">
      <c r="A212" s="83"/>
      <c r="B212" s="90"/>
      <c r="C212" s="80">
        <v>11</v>
      </c>
      <c r="D212" s="85" t="s">
        <v>545</v>
      </c>
      <c r="E212" s="85">
        <v>352965231.16</v>
      </c>
      <c r="F212" s="85">
        <v>0</v>
      </c>
      <c r="G212" s="85">
        <v>54729688.3</v>
      </c>
      <c r="H212" s="85">
        <v>12230847.5839</v>
      </c>
      <c r="I212" s="85">
        <v>12230847.5839</v>
      </c>
      <c r="J212" s="85">
        <f t="shared" si="47"/>
        <v>0</v>
      </c>
      <c r="K212" s="108">
        <v>344948736.25</v>
      </c>
      <c r="L212" s="86">
        <f t="shared" si="45"/>
        <v>752643655.71</v>
      </c>
      <c r="M212" s="79"/>
      <c r="N212" s="90"/>
      <c r="O212" s="87">
        <v>8</v>
      </c>
      <c r="P212" s="110"/>
      <c r="Q212" s="85" t="s">
        <v>546</v>
      </c>
      <c r="R212" s="85">
        <v>368950415.01</v>
      </c>
      <c r="S212" s="89">
        <v>0</v>
      </c>
      <c r="T212" s="85">
        <v>57208301.08</v>
      </c>
      <c r="U212" s="85">
        <v>12784761.4825</v>
      </c>
      <c r="V212" s="85">
        <v>12784761.4825</v>
      </c>
      <c r="W212" s="85">
        <f t="shared" si="49"/>
        <v>0</v>
      </c>
      <c r="X212" s="85">
        <v>275428746.56</v>
      </c>
      <c r="Y212" s="86">
        <f t="shared" si="38"/>
        <v>701587462.65</v>
      </c>
    </row>
    <row r="213" ht="24.95" customHeight="1" spans="1:25">
      <c r="A213" s="83"/>
      <c r="B213" s="90"/>
      <c r="C213" s="80">
        <v>12</v>
      </c>
      <c r="D213" s="85" t="s">
        <v>547</v>
      </c>
      <c r="E213" s="85">
        <v>364030255.17</v>
      </c>
      <c r="F213" s="85">
        <v>0</v>
      </c>
      <c r="G213" s="85">
        <v>56445396.43</v>
      </c>
      <c r="H213" s="85">
        <v>12614269.5479</v>
      </c>
      <c r="I213" s="85">
        <v>12614269.5479</v>
      </c>
      <c r="J213" s="85">
        <f t="shared" si="47"/>
        <v>0</v>
      </c>
      <c r="K213" s="108">
        <v>362045668.42</v>
      </c>
      <c r="L213" s="86">
        <f t="shared" si="45"/>
        <v>782521320.02</v>
      </c>
      <c r="M213" s="79"/>
      <c r="N213" s="90"/>
      <c r="O213" s="87">
        <v>9</v>
      </c>
      <c r="P213" s="110"/>
      <c r="Q213" s="85" t="s">
        <v>548</v>
      </c>
      <c r="R213" s="85">
        <v>443568489.8</v>
      </c>
      <c r="S213" s="89">
        <v>0</v>
      </c>
      <c r="T213" s="85">
        <v>68778347.12</v>
      </c>
      <c r="U213" s="85">
        <v>15370405.1076</v>
      </c>
      <c r="V213" s="85">
        <v>15370405.1076</v>
      </c>
      <c r="W213" s="85">
        <f t="shared" si="49"/>
        <v>0</v>
      </c>
      <c r="X213" s="85">
        <v>292951305.45</v>
      </c>
      <c r="Y213" s="86">
        <f t="shared" si="38"/>
        <v>805298142.37</v>
      </c>
    </row>
    <row r="214" ht="24.95" customHeight="1" spans="1:25">
      <c r="A214" s="83"/>
      <c r="B214" s="90"/>
      <c r="C214" s="80">
        <v>13</v>
      </c>
      <c r="D214" s="85" t="s">
        <v>549</v>
      </c>
      <c r="E214" s="85">
        <v>333443857.6</v>
      </c>
      <c r="F214" s="85">
        <v>0</v>
      </c>
      <c r="G214" s="85">
        <v>51702764.98</v>
      </c>
      <c r="H214" s="85">
        <v>11554398.6774</v>
      </c>
      <c r="I214" s="85">
        <v>11554398.6774</v>
      </c>
      <c r="J214" s="85">
        <f t="shared" si="47"/>
        <v>0</v>
      </c>
      <c r="K214" s="108">
        <v>354897806.84</v>
      </c>
      <c r="L214" s="86">
        <f t="shared" si="45"/>
        <v>740044429.42</v>
      </c>
      <c r="M214" s="79"/>
      <c r="N214" s="90"/>
      <c r="O214" s="87">
        <v>10</v>
      </c>
      <c r="P214" s="110"/>
      <c r="Q214" s="85" t="s">
        <v>550</v>
      </c>
      <c r="R214" s="85">
        <v>481326244.41</v>
      </c>
      <c r="S214" s="89">
        <v>0</v>
      </c>
      <c r="T214" s="85">
        <v>74632946.83</v>
      </c>
      <c r="U214" s="85">
        <v>16678775.7373</v>
      </c>
      <c r="V214" s="85">
        <v>16678775.7373</v>
      </c>
      <c r="W214" s="85">
        <f t="shared" si="49"/>
        <v>0</v>
      </c>
      <c r="X214" s="85">
        <v>335287271.65</v>
      </c>
      <c r="Y214" s="86">
        <f t="shared" si="38"/>
        <v>891246462.89</v>
      </c>
    </row>
    <row r="215" ht="24.95" customHeight="1" spans="1:25">
      <c r="A215" s="83"/>
      <c r="B215" s="90"/>
      <c r="C215" s="80">
        <v>14</v>
      </c>
      <c r="D215" s="85" t="s">
        <v>551</v>
      </c>
      <c r="E215" s="85">
        <v>326563260.3</v>
      </c>
      <c r="F215" s="85">
        <v>0</v>
      </c>
      <c r="G215" s="85">
        <v>50635881.02</v>
      </c>
      <c r="H215" s="85">
        <v>11315974.2395</v>
      </c>
      <c r="I215" s="85">
        <v>11315974.2395</v>
      </c>
      <c r="J215" s="85">
        <f t="shared" si="47"/>
        <v>0</v>
      </c>
      <c r="K215" s="108">
        <v>349447636.48</v>
      </c>
      <c r="L215" s="86">
        <f t="shared" si="45"/>
        <v>726646777.8</v>
      </c>
      <c r="M215" s="79"/>
      <c r="N215" s="90"/>
      <c r="O215" s="87">
        <v>11</v>
      </c>
      <c r="P215" s="110"/>
      <c r="Q215" s="85" t="s">
        <v>552</v>
      </c>
      <c r="R215" s="85">
        <v>368286427.89</v>
      </c>
      <c r="S215" s="89">
        <v>0</v>
      </c>
      <c r="T215" s="85">
        <v>57105345.3</v>
      </c>
      <c r="U215" s="85">
        <v>12761753.1957</v>
      </c>
      <c r="V215" s="85">
        <v>12761753.1957</v>
      </c>
      <c r="W215" s="85">
        <f t="shared" si="49"/>
        <v>0</v>
      </c>
      <c r="X215" s="85">
        <v>291670721</v>
      </c>
      <c r="Y215" s="86">
        <f t="shared" si="38"/>
        <v>717062494.19</v>
      </c>
    </row>
    <row r="216" ht="24.95" customHeight="1" spans="1:25">
      <c r="A216" s="83"/>
      <c r="B216" s="90"/>
      <c r="C216" s="80">
        <v>15</v>
      </c>
      <c r="D216" s="85" t="s">
        <v>553</v>
      </c>
      <c r="E216" s="85">
        <v>354358803.55</v>
      </c>
      <c r="F216" s="85">
        <v>0</v>
      </c>
      <c r="G216" s="85">
        <v>54945771.29</v>
      </c>
      <c r="H216" s="85">
        <v>12279137.2452</v>
      </c>
      <c r="I216" s="85">
        <v>12279137.2452</v>
      </c>
      <c r="J216" s="85">
        <f t="shared" si="47"/>
        <v>0</v>
      </c>
      <c r="K216" s="108">
        <v>362148648.6</v>
      </c>
      <c r="L216" s="86">
        <f t="shared" si="45"/>
        <v>771453223.44</v>
      </c>
      <c r="M216" s="79"/>
      <c r="N216" s="90"/>
      <c r="O216" s="87">
        <v>12</v>
      </c>
      <c r="P216" s="110"/>
      <c r="Q216" s="85" t="s">
        <v>554</v>
      </c>
      <c r="R216" s="85">
        <v>381200593.42</v>
      </c>
      <c r="S216" s="89">
        <v>0</v>
      </c>
      <c r="T216" s="85">
        <v>59107775.55</v>
      </c>
      <c r="U216" s="85">
        <v>13209251.0691</v>
      </c>
      <c r="V216" s="85">
        <v>13209251.0691</v>
      </c>
      <c r="W216" s="85">
        <f t="shared" si="49"/>
        <v>0</v>
      </c>
      <c r="X216" s="85">
        <v>281408264.68</v>
      </c>
      <c r="Y216" s="86">
        <f t="shared" si="38"/>
        <v>721716633.65</v>
      </c>
    </row>
    <row r="217" ht="24.95" customHeight="1" spans="1:25">
      <c r="A217" s="83"/>
      <c r="B217" s="90"/>
      <c r="C217" s="80">
        <v>16</v>
      </c>
      <c r="D217" s="85" t="s">
        <v>555</v>
      </c>
      <c r="E217" s="85">
        <v>292644592.98</v>
      </c>
      <c r="F217" s="85">
        <v>0</v>
      </c>
      <c r="G217" s="85">
        <v>45376558.21</v>
      </c>
      <c r="H217" s="85">
        <v>10140634.5356</v>
      </c>
      <c r="I217" s="85">
        <v>10140634.5356</v>
      </c>
      <c r="J217" s="85">
        <f t="shared" si="47"/>
        <v>0</v>
      </c>
      <c r="K217" s="108">
        <v>331811725.31</v>
      </c>
      <c r="L217" s="86">
        <f t="shared" si="45"/>
        <v>669832876.5</v>
      </c>
      <c r="M217" s="79"/>
      <c r="N217" s="90"/>
      <c r="O217" s="87">
        <v>13</v>
      </c>
      <c r="P217" s="110"/>
      <c r="Q217" s="85" t="s">
        <v>556</v>
      </c>
      <c r="R217" s="85">
        <v>354255959.87</v>
      </c>
      <c r="S217" s="89">
        <v>0</v>
      </c>
      <c r="T217" s="85">
        <v>54929824.68</v>
      </c>
      <c r="U217" s="85">
        <v>12275573.5365</v>
      </c>
      <c r="V217" s="85">
        <v>12275573.5365</v>
      </c>
      <c r="W217" s="85">
        <f t="shared" si="49"/>
        <v>0</v>
      </c>
      <c r="X217" s="85">
        <v>312963539.79</v>
      </c>
      <c r="Y217" s="86">
        <f t="shared" si="38"/>
        <v>722149324.34</v>
      </c>
    </row>
    <row r="218" ht="24.95" customHeight="1" spans="1:25">
      <c r="A218" s="83"/>
      <c r="B218" s="90"/>
      <c r="C218" s="80">
        <v>17</v>
      </c>
      <c r="D218" s="85" t="s">
        <v>557</v>
      </c>
      <c r="E218" s="85">
        <v>368608488.53</v>
      </c>
      <c r="F218" s="85">
        <v>0</v>
      </c>
      <c r="G218" s="85">
        <v>57155283.02</v>
      </c>
      <c r="H218" s="85">
        <v>12772913.1467</v>
      </c>
      <c r="I218" s="85">
        <v>12772913.1467</v>
      </c>
      <c r="J218" s="85">
        <f t="shared" si="47"/>
        <v>0</v>
      </c>
      <c r="K218" s="108">
        <v>370403732.31</v>
      </c>
      <c r="L218" s="86">
        <f t="shared" si="45"/>
        <v>796167503.86</v>
      </c>
      <c r="M218" s="79"/>
      <c r="N218" s="90"/>
      <c r="O218" s="87">
        <v>14</v>
      </c>
      <c r="P218" s="110"/>
      <c r="Q218" s="85" t="s">
        <v>558</v>
      </c>
      <c r="R218" s="85">
        <v>443045419.52</v>
      </c>
      <c r="S218" s="89">
        <v>0</v>
      </c>
      <c r="T218" s="85">
        <v>68697241.47</v>
      </c>
      <c r="U218" s="85">
        <v>15352279.8296</v>
      </c>
      <c r="V218" s="85">
        <v>15352279.8296</v>
      </c>
      <c r="W218" s="85">
        <f t="shared" si="49"/>
        <v>0</v>
      </c>
      <c r="X218" s="85">
        <v>314154109.19</v>
      </c>
      <c r="Y218" s="86">
        <f t="shared" si="38"/>
        <v>825896770.18</v>
      </c>
    </row>
    <row r="219" ht="24.95" customHeight="1" spans="1:25">
      <c r="A219" s="83"/>
      <c r="B219" s="90"/>
      <c r="C219" s="80">
        <v>18</v>
      </c>
      <c r="D219" s="85" t="s">
        <v>559</v>
      </c>
      <c r="E219" s="85">
        <v>387553650.32</v>
      </c>
      <c r="F219" s="85">
        <v>0</v>
      </c>
      <c r="G219" s="85">
        <v>60092860.74</v>
      </c>
      <c r="H219" s="85">
        <v>13429395.332</v>
      </c>
      <c r="I219" s="85">
        <v>13429395.332</v>
      </c>
      <c r="J219" s="85">
        <f t="shared" si="47"/>
        <v>0</v>
      </c>
      <c r="K219" s="108">
        <v>359836410.21</v>
      </c>
      <c r="L219" s="86">
        <f t="shared" si="45"/>
        <v>807482921.27</v>
      </c>
      <c r="M219" s="79"/>
      <c r="N219" s="90"/>
      <c r="O219" s="87">
        <v>15</v>
      </c>
      <c r="P219" s="110"/>
      <c r="Q219" s="85" t="s">
        <v>560</v>
      </c>
      <c r="R219" s="85">
        <v>294035283.14</v>
      </c>
      <c r="S219" s="89">
        <v>0</v>
      </c>
      <c r="T219" s="85">
        <v>45592194.29</v>
      </c>
      <c r="U219" s="85">
        <v>10188824.3228</v>
      </c>
      <c r="V219" s="85">
        <v>10188824.3228</v>
      </c>
      <c r="W219" s="85">
        <f t="shared" si="49"/>
        <v>0</v>
      </c>
      <c r="X219" s="85">
        <v>255326867.61</v>
      </c>
      <c r="Y219" s="86">
        <f t="shared" si="38"/>
        <v>594954345.04</v>
      </c>
    </row>
    <row r="220" ht="24.95" customHeight="1" spans="1:25">
      <c r="A220" s="83"/>
      <c r="B220" s="90"/>
      <c r="C220" s="80">
        <v>19</v>
      </c>
      <c r="D220" s="85" t="s">
        <v>561</v>
      </c>
      <c r="E220" s="85">
        <v>506133787.04</v>
      </c>
      <c r="F220" s="85">
        <v>0</v>
      </c>
      <c r="G220" s="85">
        <v>78479527.05</v>
      </c>
      <c r="H220" s="85">
        <v>17538399.4225</v>
      </c>
      <c r="I220" s="85">
        <v>17538399.4225</v>
      </c>
      <c r="J220" s="85">
        <f t="shared" si="47"/>
        <v>0</v>
      </c>
      <c r="K220" s="108">
        <v>425650004.88</v>
      </c>
      <c r="L220" s="86">
        <f t="shared" si="45"/>
        <v>1010263318.97</v>
      </c>
      <c r="M220" s="79"/>
      <c r="N220" s="90"/>
      <c r="O220" s="87">
        <v>16</v>
      </c>
      <c r="P220" s="110"/>
      <c r="Q220" s="85" t="s">
        <v>562</v>
      </c>
      <c r="R220" s="85">
        <v>485960290.09</v>
      </c>
      <c r="S220" s="89">
        <v>0</v>
      </c>
      <c r="T220" s="85">
        <v>75351487.5</v>
      </c>
      <c r="U220" s="85">
        <v>16839353.3277</v>
      </c>
      <c r="V220" s="85">
        <v>16839353.3277</v>
      </c>
      <c r="W220" s="85">
        <f t="shared" si="49"/>
        <v>0</v>
      </c>
      <c r="X220" s="85">
        <v>332715360.23</v>
      </c>
      <c r="Y220" s="86">
        <f t="shared" ref="Y220:Y283" si="50">R220+S220+T220+W220+X220</f>
        <v>894027137.82</v>
      </c>
    </row>
    <row r="221" ht="24.95" customHeight="1" spans="1:25">
      <c r="A221" s="83"/>
      <c r="B221" s="90"/>
      <c r="C221" s="80">
        <v>20</v>
      </c>
      <c r="D221" s="85" t="s">
        <v>563</v>
      </c>
      <c r="E221" s="85">
        <v>401220073.95</v>
      </c>
      <c r="F221" s="85">
        <v>0</v>
      </c>
      <c r="G221" s="85">
        <v>62211933.78</v>
      </c>
      <c r="H221" s="85">
        <v>13902960.232</v>
      </c>
      <c r="I221" s="85">
        <v>13902960.232</v>
      </c>
      <c r="J221" s="85">
        <f t="shared" si="47"/>
        <v>0</v>
      </c>
      <c r="K221" s="108">
        <v>385846313.85</v>
      </c>
      <c r="L221" s="86">
        <f t="shared" si="45"/>
        <v>849278321.58</v>
      </c>
      <c r="M221" s="79"/>
      <c r="N221" s="90"/>
      <c r="O221" s="87">
        <v>17</v>
      </c>
      <c r="P221" s="110"/>
      <c r="Q221" s="85" t="s">
        <v>564</v>
      </c>
      <c r="R221" s="85">
        <v>391552156.45</v>
      </c>
      <c r="S221" s="89">
        <v>0</v>
      </c>
      <c r="T221" s="85">
        <v>60712856.64</v>
      </c>
      <c r="U221" s="85">
        <v>13567950.3928</v>
      </c>
      <c r="V221" s="85">
        <v>13567950.3928</v>
      </c>
      <c r="W221" s="85">
        <f t="shared" si="49"/>
        <v>0</v>
      </c>
      <c r="X221" s="85">
        <v>281310100.13</v>
      </c>
      <c r="Y221" s="86">
        <f t="shared" si="50"/>
        <v>733575113.22</v>
      </c>
    </row>
    <row r="222" ht="24.95" customHeight="1" spans="1:25">
      <c r="A222" s="83"/>
      <c r="B222" s="90"/>
      <c r="C222" s="80">
        <v>21</v>
      </c>
      <c r="D222" s="85" t="s">
        <v>565</v>
      </c>
      <c r="E222" s="85">
        <v>318203148.71</v>
      </c>
      <c r="F222" s="85">
        <v>0</v>
      </c>
      <c r="G222" s="85">
        <v>49339588.18</v>
      </c>
      <c r="H222" s="85">
        <v>11026282.1065</v>
      </c>
      <c r="I222" s="85">
        <v>11026282.1065</v>
      </c>
      <c r="J222" s="85">
        <f t="shared" si="47"/>
        <v>0</v>
      </c>
      <c r="K222" s="108">
        <v>351327209.95</v>
      </c>
      <c r="L222" s="86">
        <f t="shared" si="45"/>
        <v>718869946.84</v>
      </c>
      <c r="M222" s="79"/>
      <c r="N222" s="92"/>
      <c r="O222" s="87">
        <v>18</v>
      </c>
      <c r="P222" s="111"/>
      <c r="Q222" s="85" t="s">
        <v>566</v>
      </c>
      <c r="R222" s="85">
        <v>459394418.82</v>
      </c>
      <c r="S222" s="89">
        <v>0</v>
      </c>
      <c r="T222" s="85">
        <v>71232266.33</v>
      </c>
      <c r="U222" s="85">
        <v>15918800.5546</v>
      </c>
      <c r="V222" s="85">
        <v>15918800.5546</v>
      </c>
      <c r="W222" s="85">
        <f t="shared" si="49"/>
        <v>0</v>
      </c>
      <c r="X222" s="85">
        <v>308716533.52</v>
      </c>
      <c r="Y222" s="86">
        <f t="shared" si="50"/>
        <v>839343218.67</v>
      </c>
    </row>
    <row r="223" ht="24.95" customHeight="1" spans="1:25">
      <c r="A223" s="83"/>
      <c r="B223" s="90"/>
      <c r="C223" s="80">
        <v>22</v>
      </c>
      <c r="D223" s="85" t="s">
        <v>567</v>
      </c>
      <c r="E223" s="85">
        <v>373884462.77</v>
      </c>
      <c r="F223" s="85">
        <v>0</v>
      </c>
      <c r="G223" s="85">
        <v>57973359.14</v>
      </c>
      <c r="H223" s="85">
        <v>12955734.6574</v>
      </c>
      <c r="I223" s="85">
        <v>12955734.6574</v>
      </c>
      <c r="J223" s="85">
        <f t="shared" si="47"/>
        <v>0</v>
      </c>
      <c r="K223" s="108">
        <v>377658278.39</v>
      </c>
      <c r="L223" s="86">
        <f t="shared" si="45"/>
        <v>809516100.3</v>
      </c>
      <c r="M223" s="79"/>
      <c r="N223" s="80"/>
      <c r="O223" s="94" t="s">
        <v>568</v>
      </c>
      <c r="P223" s="98"/>
      <c r="Q223" s="95"/>
      <c r="R223" s="95">
        <f t="shared" ref="R223:V223" si="51">SUM(R205:R222)</f>
        <v>7286129382.72</v>
      </c>
      <c r="S223" s="89">
        <v>0</v>
      </c>
      <c r="T223" s="95">
        <f t="shared" si="51"/>
        <v>1129764506.15</v>
      </c>
      <c r="U223" s="95">
        <f t="shared" si="51"/>
        <v>252476816.6665</v>
      </c>
      <c r="V223" s="95">
        <f t="shared" si="51"/>
        <v>252476816.6665</v>
      </c>
      <c r="W223" s="95">
        <f t="shared" si="49"/>
        <v>0</v>
      </c>
      <c r="X223" s="95">
        <f>SUM(X205:X222)</f>
        <v>5372080040.65</v>
      </c>
      <c r="Y223" s="95">
        <f>SUM(Y205:Y222)</f>
        <v>13787973929.52</v>
      </c>
    </row>
    <row r="224" ht="24.95" customHeight="1" spans="1:25">
      <c r="A224" s="83"/>
      <c r="B224" s="90"/>
      <c r="C224" s="80">
        <v>23</v>
      </c>
      <c r="D224" s="85" t="s">
        <v>569</v>
      </c>
      <c r="E224" s="85">
        <v>382363987.54</v>
      </c>
      <c r="F224" s="85">
        <v>0</v>
      </c>
      <c r="G224" s="85">
        <v>72044215.85</v>
      </c>
      <c r="H224" s="85">
        <v>16100252.9093</v>
      </c>
      <c r="I224" s="85">
        <v>16100252.9093</v>
      </c>
      <c r="J224" s="85">
        <f t="shared" si="47"/>
        <v>0</v>
      </c>
      <c r="K224" s="108">
        <v>357591220.07</v>
      </c>
      <c r="L224" s="86">
        <f t="shared" si="45"/>
        <v>811999423.46</v>
      </c>
      <c r="M224" s="79"/>
      <c r="N224" s="84">
        <v>29</v>
      </c>
      <c r="O224" s="87">
        <v>1</v>
      </c>
      <c r="P224" s="84" t="s">
        <v>116</v>
      </c>
      <c r="Q224" s="85" t="s">
        <v>570</v>
      </c>
      <c r="R224" s="85">
        <v>287100022.9</v>
      </c>
      <c r="S224" s="89">
        <v>0</v>
      </c>
      <c r="T224" s="85">
        <v>44516834.46</v>
      </c>
      <c r="U224" s="85">
        <v>9948505.7209</v>
      </c>
      <c r="V224" s="85">
        <v>0</v>
      </c>
      <c r="W224" s="85">
        <f t="shared" si="49"/>
        <v>9948505.7209</v>
      </c>
      <c r="X224" s="85">
        <v>203486551.26</v>
      </c>
      <c r="Y224" s="86">
        <f t="shared" si="50"/>
        <v>545051914.3409</v>
      </c>
    </row>
    <row r="225" ht="24.95" customHeight="1" spans="1:25">
      <c r="A225" s="83"/>
      <c r="B225" s="90"/>
      <c r="C225" s="80">
        <v>24</v>
      </c>
      <c r="D225" s="85" t="s">
        <v>571</v>
      </c>
      <c r="E225" s="85">
        <v>464630881.1</v>
      </c>
      <c r="F225" s="85">
        <v>0</v>
      </c>
      <c r="G225" s="85">
        <v>59288167.81</v>
      </c>
      <c r="H225" s="85">
        <v>13249564.6606</v>
      </c>
      <c r="I225" s="85">
        <v>13249564.6606</v>
      </c>
      <c r="J225" s="85">
        <f t="shared" si="47"/>
        <v>0</v>
      </c>
      <c r="K225" s="108">
        <v>419126321.73</v>
      </c>
      <c r="L225" s="86">
        <f t="shared" si="45"/>
        <v>943045370.64</v>
      </c>
      <c r="M225" s="79"/>
      <c r="N225" s="90"/>
      <c r="O225" s="87">
        <v>2</v>
      </c>
      <c r="P225" s="90"/>
      <c r="Q225" s="85" t="s">
        <v>572</v>
      </c>
      <c r="R225" s="85">
        <v>287905378.2</v>
      </c>
      <c r="S225" s="89">
        <v>0</v>
      </c>
      <c r="T225" s="85">
        <v>44641710.34</v>
      </c>
      <c r="U225" s="85">
        <v>9976412.6563</v>
      </c>
      <c r="V225" s="85">
        <v>0</v>
      </c>
      <c r="W225" s="85">
        <f t="shared" si="49"/>
        <v>9976412.6563</v>
      </c>
      <c r="X225" s="85">
        <v>200688305.7</v>
      </c>
      <c r="Y225" s="86">
        <f t="shared" si="50"/>
        <v>543211806.8963</v>
      </c>
    </row>
    <row r="226" ht="24.95" customHeight="1" spans="1:25">
      <c r="A226" s="83"/>
      <c r="B226" s="92"/>
      <c r="C226" s="80">
        <v>25</v>
      </c>
      <c r="D226" s="85" t="s">
        <v>573</v>
      </c>
      <c r="E226" s="85">
        <v>367200400.47</v>
      </c>
      <c r="F226" s="85">
        <v>0</v>
      </c>
      <c r="G226" s="85">
        <v>56936949.28</v>
      </c>
      <c r="H226" s="85">
        <v>12724120.4924</v>
      </c>
      <c r="I226" s="85">
        <v>12724120.4924</v>
      </c>
      <c r="J226" s="85">
        <f t="shared" si="47"/>
        <v>0</v>
      </c>
      <c r="K226" s="108">
        <v>349953276.55</v>
      </c>
      <c r="L226" s="86">
        <f t="shared" si="45"/>
        <v>774090626.3</v>
      </c>
      <c r="M226" s="79"/>
      <c r="N226" s="90"/>
      <c r="O226" s="87">
        <v>3</v>
      </c>
      <c r="P226" s="90"/>
      <c r="Q226" s="85" t="s">
        <v>574</v>
      </c>
      <c r="R226" s="85">
        <v>358681740.63</v>
      </c>
      <c r="S226" s="89">
        <v>0</v>
      </c>
      <c r="T226" s="85">
        <v>55616072.44</v>
      </c>
      <c r="U226" s="85">
        <v>12428934.392</v>
      </c>
      <c r="V226" s="85">
        <v>0</v>
      </c>
      <c r="W226" s="85">
        <f t="shared" si="49"/>
        <v>12428934.392</v>
      </c>
      <c r="X226" s="85">
        <v>230970775.44</v>
      </c>
      <c r="Y226" s="86">
        <f t="shared" si="50"/>
        <v>657697522.902</v>
      </c>
    </row>
    <row r="227" ht="24.95" customHeight="1" spans="1:25">
      <c r="A227" s="80"/>
      <c r="B227" s="93" t="s">
        <v>575</v>
      </c>
      <c r="C227" s="94"/>
      <c r="D227" s="95"/>
      <c r="E227" s="95">
        <f t="shared" ref="E227:L227" si="52">SUM(E202:E226)</f>
        <v>9403365574.69</v>
      </c>
      <c r="F227" s="85">
        <v>0</v>
      </c>
      <c r="G227" s="95">
        <f t="shared" si="52"/>
        <v>1458056549.16</v>
      </c>
      <c r="H227" s="95">
        <f t="shared" si="52"/>
        <v>325842663.7157</v>
      </c>
      <c r="I227" s="95">
        <f t="shared" si="52"/>
        <v>325842663.7157</v>
      </c>
      <c r="J227" s="95">
        <f t="shared" si="52"/>
        <v>0</v>
      </c>
      <c r="K227" s="95">
        <f t="shared" si="52"/>
        <v>9186448033.43</v>
      </c>
      <c r="L227" s="95">
        <f t="shared" si="52"/>
        <v>20047870157.28</v>
      </c>
      <c r="M227" s="79"/>
      <c r="N227" s="90"/>
      <c r="O227" s="87">
        <v>4</v>
      </c>
      <c r="P227" s="90"/>
      <c r="Q227" s="85" t="s">
        <v>576</v>
      </c>
      <c r="R227" s="85">
        <v>317066730.69</v>
      </c>
      <c r="S227" s="89">
        <v>0</v>
      </c>
      <c r="T227" s="85">
        <v>49163378.74</v>
      </c>
      <c r="U227" s="85">
        <v>10986903.2831</v>
      </c>
      <c r="V227" s="85">
        <v>0</v>
      </c>
      <c r="W227" s="85">
        <f t="shared" si="49"/>
        <v>10986903.2831</v>
      </c>
      <c r="X227" s="85">
        <v>203356529.53</v>
      </c>
      <c r="Y227" s="86">
        <f t="shared" si="50"/>
        <v>580573542.2431</v>
      </c>
    </row>
    <row r="228" ht="24.95" customHeight="1" spans="1:25">
      <c r="A228" s="83"/>
      <c r="B228" s="84" t="s">
        <v>577</v>
      </c>
      <c r="C228" s="80">
        <v>1</v>
      </c>
      <c r="D228" s="85" t="s">
        <v>578</v>
      </c>
      <c r="E228" s="85">
        <v>416980646.8199</v>
      </c>
      <c r="F228" s="85">
        <f>-4294900.662245</f>
        <v>-4294900.662245</v>
      </c>
      <c r="G228" s="85">
        <v>64655719.08</v>
      </c>
      <c r="H228" s="85">
        <v>14449090.9769</v>
      </c>
      <c r="I228" s="85">
        <v>0</v>
      </c>
      <c r="J228" s="85">
        <f t="shared" ref="J228:J240" si="53">H228-I228</f>
        <v>14449090.9769</v>
      </c>
      <c r="K228" s="108">
        <v>308974124.56</v>
      </c>
      <c r="L228" s="86">
        <f t="shared" si="45"/>
        <v>800764680.774555</v>
      </c>
      <c r="M228" s="79"/>
      <c r="N228" s="90"/>
      <c r="O228" s="87">
        <v>5</v>
      </c>
      <c r="P228" s="90"/>
      <c r="Q228" s="85" t="s">
        <v>579</v>
      </c>
      <c r="R228" s="85">
        <v>300044611.47</v>
      </c>
      <c r="S228" s="89">
        <v>0</v>
      </c>
      <c r="T228" s="85">
        <v>46523982.01</v>
      </c>
      <c r="U228" s="85">
        <v>10397057.8043</v>
      </c>
      <c r="V228" s="85">
        <v>0</v>
      </c>
      <c r="W228" s="85">
        <f t="shared" si="49"/>
        <v>10397057.8043</v>
      </c>
      <c r="X228" s="85">
        <v>201478067.36</v>
      </c>
      <c r="Y228" s="86">
        <f t="shared" si="50"/>
        <v>558443718.6443</v>
      </c>
    </row>
    <row r="229" ht="24.95" customHeight="1" spans="1:25">
      <c r="A229" s="83"/>
      <c r="B229" s="90"/>
      <c r="C229" s="80">
        <v>2</v>
      </c>
      <c r="D229" s="85" t="s">
        <v>580</v>
      </c>
      <c r="E229" s="85">
        <v>391544172.1602</v>
      </c>
      <c r="F229" s="85">
        <f>-4032904.97325</f>
        <v>-4032904.97325</v>
      </c>
      <c r="G229" s="85">
        <v>60711618.62</v>
      </c>
      <c r="H229" s="85">
        <v>13567673.7234</v>
      </c>
      <c r="I229" s="85">
        <v>0</v>
      </c>
      <c r="J229" s="85">
        <f t="shared" si="53"/>
        <v>13567673.7234</v>
      </c>
      <c r="K229" s="108">
        <v>310784797.62</v>
      </c>
      <c r="L229" s="86">
        <f t="shared" si="45"/>
        <v>772575357.15035</v>
      </c>
      <c r="M229" s="79"/>
      <c r="N229" s="90"/>
      <c r="O229" s="87">
        <v>6</v>
      </c>
      <c r="P229" s="90"/>
      <c r="Q229" s="85" t="s">
        <v>581</v>
      </c>
      <c r="R229" s="85">
        <v>341736075.14</v>
      </c>
      <c r="S229" s="89">
        <v>0</v>
      </c>
      <c r="T229" s="85">
        <v>52988530.38</v>
      </c>
      <c r="U229" s="85">
        <v>11841738.1655</v>
      </c>
      <c r="V229" s="85">
        <v>0</v>
      </c>
      <c r="W229" s="85">
        <f t="shared" si="49"/>
        <v>11841738.1655</v>
      </c>
      <c r="X229" s="85">
        <v>226883425.49</v>
      </c>
      <c r="Y229" s="86">
        <f t="shared" si="50"/>
        <v>633449769.1755</v>
      </c>
    </row>
    <row r="230" ht="24.95" customHeight="1" spans="1:25">
      <c r="A230" s="83"/>
      <c r="B230" s="90"/>
      <c r="C230" s="80">
        <v>3</v>
      </c>
      <c r="D230" s="85" t="s">
        <v>582</v>
      </c>
      <c r="E230" s="85">
        <v>394914824.5547</v>
      </c>
      <c r="F230" s="85">
        <f>-4067622.692913</f>
        <v>-4067622.692913</v>
      </c>
      <c r="G230" s="85">
        <v>61234261.47</v>
      </c>
      <c r="H230" s="85">
        <v>13684472.5807</v>
      </c>
      <c r="I230" s="85">
        <v>0</v>
      </c>
      <c r="J230" s="85">
        <f t="shared" si="53"/>
        <v>13684472.5807</v>
      </c>
      <c r="K230" s="108">
        <v>310955566.91</v>
      </c>
      <c r="L230" s="86">
        <f t="shared" si="45"/>
        <v>776721502.822487</v>
      </c>
      <c r="M230" s="79"/>
      <c r="N230" s="90"/>
      <c r="O230" s="87">
        <v>7</v>
      </c>
      <c r="P230" s="90"/>
      <c r="Q230" s="85" t="s">
        <v>583</v>
      </c>
      <c r="R230" s="85">
        <v>286425604.92</v>
      </c>
      <c r="S230" s="89">
        <v>0</v>
      </c>
      <c r="T230" s="85">
        <v>44412261.31</v>
      </c>
      <c r="U230" s="85">
        <v>9925135.9868</v>
      </c>
      <c r="V230" s="85">
        <v>0</v>
      </c>
      <c r="W230" s="85">
        <f t="shared" si="49"/>
        <v>9925135.9868</v>
      </c>
      <c r="X230" s="85">
        <v>206314431.41</v>
      </c>
      <c r="Y230" s="86">
        <f t="shared" si="50"/>
        <v>547077433.6268</v>
      </c>
    </row>
    <row r="231" ht="24.95" customHeight="1" spans="1:25">
      <c r="A231" s="83"/>
      <c r="B231" s="90"/>
      <c r="C231" s="80">
        <v>4</v>
      </c>
      <c r="D231" s="85" t="s">
        <v>98</v>
      </c>
      <c r="E231" s="85">
        <v>380808240.7683</v>
      </c>
      <c r="F231" s="85">
        <f>-3922324.879914</f>
        <v>-3922324.879914</v>
      </c>
      <c r="G231" s="85">
        <v>59046938.57</v>
      </c>
      <c r="H231" s="85">
        <v>13195655.3802</v>
      </c>
      <c r="I231" s="85">
        <v>0</v>
      </c>
      <c r="J231" s="85">
        <f t="shared" si="53"/>
        <v>13195655.3802</v>
      </c>
      <c r="K231" s="108">
        <v>299755546.45</v>
      </c>
      <c r="L231" s="86">
        <f t="shared" si="45"/>
        <v>748884056.288586</v>
      </c>
      <c r="M231" s="79"/>
      <c r="N231" s="90"/>
      <c r="O231" s="87">
        <v>8</v>
      </c>
      <c r="P231" s="90"/>
      <c r="Q231" s="85" t="s">
        <v>584</v>
      </c>
      <c r="R231" s="85">
        <v>297467695.24</v>
      </c>
      <c r="S231" s="89">
        <v>0</v>
      </c>
      <c r="T231" s="85">
        <v>46124413.41</v>
      </c>
      <c r="U231" s="85">
        <v>10307763.2594</v>
      </c>
      <c r="V231" s="85">
        <v>0</v>
      </c>
      <c r="W231" s="85">
        <f t="shared" si="49"/>
        <v>10307763.2594</v>
      </c>
      <c r="X231" s="85">
        <v>203426541.23</v>
      </c>
      <c r="Y231" s="86">
        <f t="shared" si="50"/>
        <v>557326413.1394</v>
      </c>
    </row>
    <row r="232" ht="24.95" customHeight="1" spans="1:25">
      <c r="A232" s="83"/>
      <c r="B232" s="90"/>
      <c r="C232" s="80">
        <v>5</v>
      </c>
      <c r="D232" s="85" t="s">
        <v>585</v>
      </c>
      <c r="E232" s="85">
        <v>379572497.0645</v>
      </c>
      <c r="F232" s="85">
        <f>-3909596.719764</f>
        <v>-3909596.719764</v>
      </c>
      <c r="G232" s="85">
        <v>58855328</v>
      </c>
      <c r="H232" s="85">
        <v>13152834.752</v>
      </c>
      <c r="I232" s="85">
        <v>0</v>
      </c>
      <c r="J232" s="85">
        <f t="shared" si="53"/>
        <v>13152834.752</v>
      </c>
      <c r="K232" s="108">
        <v>306713005.83</v>
      </c>
      <c r="L232" s="86">
        <f t="shared" si="45"/>
        <v>754384068.926736</v>
      </c>
      <c r="M232" s="79"/>
      <c r="N232" s="90"/>
      <c r="O232" s="87">
        <v>9</v>
      </c>
      <c r="P232" s="90"/>
      <c r="Q232" s="85" t="s">
        <v>586</v>
      </c>
      <c r="R232" s="85">
        <v>292574238.2</v>
      </c>
      <c r="S232" s="89">
        <v>0</v>
      </c>
      <c r="T232" s="85">
        <v>45365649.22</v>
      </c>
      <c r="U232" s="85">
        <v>10138196.6226</v>
      </c>
      <c r="V232" s="85">
        <v>0</v>
      </c>
      <c r="W232" s="85">
        <f t="shared" si="49"/>
        <v>10138196.6226</v>
      </c>
      <c r="X232" s="85">
        <v>202833849.56</v>
      </c>
      <c r="Y232" s="86">
        <f t="shared" si="50"/>
        <v>550911933.6026</v>
      </c>
    </row>
    <row r="233" ht="24.95" customHeight="1" spans="1:25">
      <c r="A233" s="83"/>
      <c r="B233" s="90"/>
      <c r="C233" s="80">
        <v>6</v>
      </c>
      <c r="D233" s="85" t="s">
        <v>587</v>
      </c>
      <c r="E233" s="85">
        <v>394524607.6886</v>
      </c>
      <c r="F233" s="85">
        <f>-4063603.459193</f>
        <v>-4063603.459193</v>
      </c>
      <c r="G233" s="85">
        <v>61173755.66</v>
      </c>
      <c r="H233" s="85">
        <v>13670950.9005</v>
      </c>
      <c r="I233" s="85">
        <v>0</v>
      </c>
      <c r="J233" s="85">
        <f t="shared" si="53"/>
        <v>13670950.9005</v>
      </c>
      <c r="K233" s="108">
        <v>302114459.31</v>
      </c>
      <c r="L233" s="86">
        <f t="shared" si="45"/>
        <v>767420170.099907</v>
      </c>
      <c r="M233" s="79"/>
      <c r="N233" s="90"/>
      <c r="O233" s="87">
        <v>10</v>
      </c>
      <c r="P233" s="90"/>
      <c r="Q233" s="85" t="s">
        <v>588</v>
      </c>
      <c r="R233" s="85">
        <v>332129575.16</v>
      </c>
      <c r="S233" s="89">
        <v>0</v>
      </c>
      <c r="T233" s="85">
        <v>51498976.45</v>
      </c>
      <c r="U233" s="85">
        <v>11508856.5483</v>
      </c>
      <c r="V233" s="85">
        <v>0</v>
      </c>
      <c r="W233" s="85">
        <f t="shared" si="49"/>
        <v>11508856.5483</v>
      </c>
      <c r="X233" s="85">
        <v>224395231.76</v>
      </c>
      <c r="Y233" s="86">
        <f t="shared" si="50"/>
        <v>619532639.9183</v>
      </c>
    </row>
    <row r="234" ht="24.95" customHeight="1" spans="1:25">
      <c r="A234" s="83"/>
      <c r="B234" s="90"/>
      <c r="C234" s="80">
        <v>7</v>
      </c>
      <c r="D234" s="85" t="s">
        <v>589</v>
      </c>
      <c r="E234" s="85">
        <v>460971949.2815</v>
      </c>
      <c r="F234" s="85">
        <f>-4748011.077599</f>
        <v>-4748011.077599</v>
      </c>
      <c r="G234" s="85">
        <v>71476873.28</v>
      </c>
      <c r="H234" s="85">
        <v>15973464.6769</v>
      </c>
      <c r="I234" s="85">
        <v>0</v>
      </c>
      <c r="J234" s="85">
        <f t="shared" si="53"/>
        <v>15973464.6769</v>
      </c>
      <c r="K234" s="108">
        <v>332267277.74</v>
      </c>
      <c r="L234" s="86">
        <f t="shared" si="45"/>
        <v>875941553.900801</v>
      </c>
      <c r="M234" s="79"/>
      <c r="N234" s="90"/>
      <c r="O234" s="87">
        <v>11</v>
      </c>
      <c r="P234" s="90"/>
      <c r="Q234" s="85" t="s">
        <v>590</v>
      </c>
      <c r="R234" s="85">
        <v>351668962.88</v>
      </c>
      <c r="S234" s="89">
        <v>0</v>
      </c>
      <c r="T234" s="85">
        <v>54528692.99</v>
      </c>
      <c r="U234" s="85">
        <v>12185929.676</v>
      </c>
      <c r="V234" s="85">
        <v>0</v>
      </c>
      <c r="W234" s="85">
        <f t="shared" si="49"/>
        <v>12185929.676</v>
      </c>
      <c r="X234" s="85">
        <v>237217004.81</v>
      </c>
      <c r="Y234" s="86">
        <f t="shared" si="50"/>
        <v>655600590.356</v>
      </c>
    </row>
    <row r="235" ht="24.95" customHeight="1" spans="1:25">
      <c r="A235" s="83"/>
      <c r="B235" s="90"/>
      <c r="C235" s="80">
        <v>8</v>
      </c>
      <c r="D235" s="85" t="s">
        <v>591</v>
      </c>
      <c r="E235" s="85">
        <v>408316671.1622</v>
      </c>
      <c r="F235" s="85">
        <f>-4205661.712971</f>
        <v>-4205661.712971</v>
      </c>
      <c r="G235" s="85">
        <v>63312310.02</v>
      </c>
      <c r="H235" s="85">
        <v>14148869.4356</v>
      </c>
      <c r="I235" s="85">
        <v>0</v>
      </c>
      <c r="J235" s="85">
        <f t="shared" si="53"/>
        <v>14148869.4356</v>
      </c>
      <c r="K235" s="108">
        <v>308724082.76</v>
      </c>
      <c r="L235" s="86">
        <f t="shared" si="45"/>
        <v>790296271.664829</v>
      </c>
      <c r="M235" s="79"/>
      <c r="N235" s="90"/>
      <c r="O235" s="87">
        <v>12</v>
      </c>
      <c r="P235" s="90"/>
      <c r="Q235" s="85" t="s">
        <v>592</v>
      </c>
      <c r="R235" s="85">
        <v>406448279.99</v>
      </c>
      <c r="S235" s="89">
        <v>0</v>
      </c>
      <c r="T235" s="85">
        <v>63022603.11</v>
      </c>
      <c r="U235" s="85">
        <v>14084126.4931</v>
      </c>
      <c r="V235" s="85">
        <v>0</v>
      </c>
      <c r="W235" s="85">
        <f t="shared" si="49"/>
        <v>14084126.4931</v>
      </c>
      <c r="X235" s="85">
        <v>244934220.83</v>
      </c>
      <c r="Y235" s="86">
        <f t="shared" si="50"/>
        <v>728489230.4231</v>
      </c>
    </row>
    <row r="236" ht="24.95" customHeight="1" spans="1:25">
      <c r="A236" s="83"/>
      <c r="B236" s="90"/>
      <c r="C236" s="80">
        <v>9</v>
      </c>
      <c r="D236" s="85" t="s">
        <v>593</v>
      </c>
      <c r="E236" s="85">
        <v>369428761.9102</v>
      </c>
      <c r="F236" s="85">
        <f>-3805116.247675</f>
        <v>-3805116.247675</v>
      </c>
      <c r="G236" s="85">
        <v>57282472.05</v>
      </c>
      <c r="H236" s="85">
        <v>12801337.0189</v>
      </c>
      <c r="I236" s="85">
        <v>0</v>
      </c>
      <c r="J236" s="85">
        <f t="shared" si="53"/>
        <v>12801337.0189</v>
      </c>
      <c r="K236" s="108">
        <v>297563328.12</v>
      </c>
      <c r="L236" s="86">
        <f t="shared" si="45"/>
        <v>733270782.851425</v>
      </c>
      <c r="M236" s="79"/>
      <c r="N236" s="90"/>
      <c r="O236" s="87">
        <v>13</v>
      </c>
      <c r="P236" s="90"/>
      <c r="Q236" s="85" t="s">
        <v>594</v>
      </c>
      <c r="R236" s="85">
        <v>378868423.61</v>
      </c>
      <c r="S236" s="89">
        <v>0</v>
      </c>
      <c r="T236" s="85">
        <v>58746156.57</v>
      </c>
      <c r="U236" s="85">
        <v>13128437.4053</v>
      </c>
      <c r="V236" s="85">
        <v>0</v>
      </c>
      <c r="W236" s="85">
        <f t="shared" si="49"/>
        <v>13128437.4053</v>
      </c>
      <c r="X236" s="85">
        <v>232193942.88</v>
      </c>
      <c r="Y236" s="86">
        <f t="shared" si="50"/>
        <v>682936960.4653</v>
      </c>
    </row>
    <row r="237" ht="24.95" customHeight="1" spans="1:25">
      <c r="A237" s="83"/>
      <c r="B237" s="90"/>
      <c r="C237" s="80">
        <v>10</v>
      </c>
      <c r="D237" s="85" t="s">
        <v>595</v>
      </c>
      <c r="E237" s="85">
        <v>513134952.181</v>
      </c>
      <c r="F237" s="85">
        <f>-5285290.007464</f>
        <v>-5285290.007464</v>
      </c>
      <c r="G237" s="85">
        <v>79565105.89</v>
      </c>
      <c r="H237" s="85">
        <v>17781001.742</v>
      </c>
      <c r="I237" s="85">
        <v>0</v>
      </c>
      <c r="J237" s="85">
        <f t="shared" si="53"/>
        <v>17781001.742</v>
      </c>
      <c r="K237" s="108">
        <v>339478853.68</v>
      </c>
      <c r="L237" s="86">
        <f t="shared" si="45"/>
        <v>944674623.485536</v>
      </c>
      <c r="M237" s="79"/>
      <c r="N237" s="90"/>
      <c r="O237" s="87">
        <v>14</v>
      </c>
      <c r="P237" s="90"/>
      <c r="Q237" s="85" t="s">
        <v>596</v>
      </c>
      <c r="R237" s="85">
        <v>330255924.55</v>
      </c>
      <c r="S237" s="89">
        <v>0</v>
      </c>
      <c r="T237" s="85">
        <v>51208454.02</v>
      </c>
      <c r="U237" s="85">
        <v>11443931.3572</v>
      </c>
      <c r="V237" s="85">
        <v>0</v>
      </c>
      <c r="W237" s="85">
        <f t="shared" si="49"/>
        <v>11443931.3572</v>
      </c>
      <c r="X237" s="85">
        <v>225394287.66</v>
      </c>
      <c r="Y237" s="86">
        <f t="shared" si="50"/>
        <v>618302597.5872</v>
      </c>
    </row>
    <row r="238" ht="24.95" customHeight="1" spans="1:25">
      <c r="A238" s="83"/>
      <c r="B238" s="90"/>
      <c r="C238" s="80">
        <v>11</v>
      </c>
      <c r="D238" s="85" t="s">
        <v>597</v>
      </c>
      <c r="E238" s="85">
        <v>398082433.4776</v>
      </c>
      <c r="F238" s="85">
        <f>-4100249.064819</f>
        <v>-4100249.064819</v>
      </c>
      <c r="G238" s="85">
        <v>61725421.03</v>
      </c>
      <c r="H238" s="85">
        <v>13794235.6353</v>
      </c>
      <c r="I238" s="85">
        <v>0</v>
      </c>
      <c r="J238" s="85">
        <f t="shared" si="53"/>
        <v>13794235.6353</v>
      </c>
      <c r="K238" s="108">
        <v>307826895.74</v>
      </c>
      <c r="L238" s="86">
        <f t="shared" si="45"/>
        <v>777328736.818081</v>
      </c>
      <c r="M238" s="79"/>
      <c r="N238" s="90"/>
      <c r="O238" s="87">
        <v>15</v>
      </c>
      <c r="P238" s="90"/>
      <c r="Q238" s="85" t="s">
        <v>598</v>
      </c>
      <c r="R238" s="85">
        <v>259522125.32</v>
      </c>
      <c r="S238" s="89">
        <v>0</v>
      </c>
      <c r="T238" s="85">
        <v>40240691.64</v>
      </c>
      <c r="U238" s="85">
        <v>8992884.5088</v>
      </c>
      <c r="V238" s="85">
        <v>0</v>
      </c>
      <c r="W238" s="85">
        <f t="shared" si="49"/>
        <v>8992884.5088</v>
      </c>
      <c r="X238" s="85">
        <v>188988201.64</v>
      </c>
      <c r="Y238" s="86">
        <f t="shared" si="50"/>
        <v>497743903.1088</v>
      </c>
    </row>
    <row r="239" ht="24.95" customHeight="1" spans="1:25">
      <c r="A239" s="83"/>
      <c r="B239" s="90"/>
      <c r="C239" s="80">
        <v>12</v>
      </c>
      <c r="D239" s="85" t="s">
        <v>599</v>
      </c>
      <c r="E239" s="85">
        <v>439253386.5426</v>
      </c>
      <c r="F239" s="85">
        <f>-4524309.881389</f>
        <v>-4524309.881389</v>
      </c>
      <c r="G239" s="85">
        <v>68109260.66</v>
      </c>
      <c r="H239" s="85">
        <v>15220879.416</v>
      </c>
      <c r="I239" s="85">
        <v>0</v>
      </c>
      <c r="J239" s="85">
        <f t="shared" si="53"/>
        <v>15220879.416</v>
      </c>
      <c r="K239" s="108">
        <v>325500591</v>
      </c>
      <c r="L239" s="86">
        <f t="shared" si="45"/>
        <v>843559807.737211</v>
      </c>
      <c r="M239" s="79"/>
      <c r="N239" s="90"/>
      <c r="O239" s="87">
        <v>16</v>
      </c>
      <c r="P239" s="90"/>
      <c r="Q239" s="85" t="s">
        <v>338</v>
      </c>
      <c r="R239" s="85">
        <v>334418820.19</v>
      </c>
      <c r="S239" s="89">
        <v>0</v>
      </c>
      <c r="T239" s="85">
        <v>51853939.64</v>
      </c>
      <c r="U239" s="85">
        <v>11588182.7948</v>
      </c>
      <c r="V239" s="85">
        <v>0</v>
      </c>
      <c r="W239" s="85">
        <f t="shared" si="49"/>
        <v>11588182.7948</v>
      </c>
      <c r="X239" s="85">
        <v>211099305.37</v>
      </c>
      <c r="Y239" s="86">
        <f t="shared" si="50"/>
        <v>608960247.9948</v>
      </c>
    </row>
    <row r="240" ht="24.95" customHeight="1" spans="1:25">
      <c r="A240" s="83"/>
      <c r="B240" s="92"/>
      <c r="C240" s="80">
        <v>13</v>
      </c>
      <c r="D240" s="85" t="s">
        <v>600</v>
      </c>
      <c r="E240" s="85">
        <v>481091447.9149</v>
      </c>
      <c r="F240" s="85">
        <f>-4955241.913523</f>
        <v>-4955241.913523</v>
      </c>
      <c r="G240" s="85">
        <v>74596540.02</v>
      </c>
      <c r="H240" s="85">
        <v>16670639.6379</v>
      </c>
      <c r="I240" s="85">
        <v>0</v>
      </c>
      <c r="J240" s="85">
        <f t="shared" si="53"/>
        <v>16670639.6379</v>
      </c>
      <c r="K240" s="108">
        <v>340499765.08</v>
      </c>
      <c r="L240" s="86">
        <f t="shared" si="45"/>
        <v>907903150.739277</v>
      </c>
      <c r="M240" s="79"/>
      <c r="N240" s="90"/>
      <c r="O240" s="87">
        <v>17</v>
      </c>
      <c r="P240" s="90"/>
      <c r="Q240" s="85" t="s">
        <v>601</v>
      </c>
      <c r="R240" s="85">
        <v>294835913.44</v>
      </c>
      <c r="S240" s="89">
        <v>0</v>
      </c>
      <c r="T240" s="85">
        <v>45716337.53</v>
      </c>
      <c r="U240" s="85">
        <v>10216567.5289</v>
      </c>
      <c r="V240" s="85">
        <v>0</v>
      </c>
      <c r="W240" s="85">
        <f t="shared" ref="W240:W253" si="54">U240-V240</f>
        <v>10216567.5289</v>
      </c>
      <c r="X240" s="85">
        <v>198245675.14</v>
      </c>
      <c r="Y240" s="86">
        <f t="shared" si="50"/>
        <v>549014493.6389</v>
      </c>
    </row>
    <row r="241" ht="24.95" customHeight="1" spans="1:25">
      <c r="A241" s="80"/>
      <c r="B241" s="93" t="s">
        <v>602</v>
      </c>
      <c r="C241" s="94"/>
      <c r="D241" s="95"/>
      <c r="E241" s="95">
        <f>SUM(E228:E240)</f>
        <v>5428624591.5262</v>
      </c>
      <c r="F241" s="95">
        <f t="shared" ref="F241:L241" si="55">SUM(F228:F240)</f>
        <v>-55914833.292719</v>
      </c>
      <c r="G241" s="95">
        <f t="shared" si="55"/>
        <v>841745604.35</v>
      </c>
      <c r="H241" s="95">
        <f t="shared" si="55"/>
        <v>188111105.8763</v>
      </c>
      <c r="I241" s="95">
        <f t="shared" si="55"/>
        <v>0</v>
      </c>
      <c r="J241" s="95">
        <f t="shared" si="55"/>
        <v>188111105.8763</v>
      </c>
      <c r="K241" s="95">
        <f t="shared" si="55"/>
        <v>4091158294.8</v>
      </c>
      <c r="L241" s="95">
        <f t="shared" si="55"/>
        <v>10493724763.2598</v>
      </c>
      <c r="M241" s="79"/>
      <c r="N241" s="90"/>
      <c r="O241" s="87">
        <v>18</v>
      </c>
      <c r="P241" s="90"/>
      <c r="Q241" s="85" t="s">
        <v>603</v>
      </c>
      <c r="R241" s="85">
        <v>307369631.67</v>
      </c>
      <c r="S241" s="89">
        <v>0</v>
      </c>
      <c r="T241" s="85">
        <v>47659776.8</v>
      </c>
      <c r="U241" s="85">
        <v>10650882.2543</v>
      </c>
      <c r="V241" s="85">
        <v>0</v>
      </c>
      <c r="W241" s="85">
        <f t="shared" si="54"/>
        <v>10650882.2543</v>
      </c>
      <c r="X241" s="85">
        <v>214743618.3</v>
      </c>
      <c r="Y241" s="86">
        <f t="shared" si="50"/>
        <v>580423909.0243</v>
      </c>
    </row>
    <row r="242" ht="24.95" customHeight="1" spans="1:25">
      <c r="A242" s="83">
        <v>12</v>
      </c>
      <c r="B242" s="84" t="s">
        <v>604</v>
      </c>
      <c r="C242" s="80">
        <v>1</v>
      </c>
      <c r="D242" s="85" t="s">
        <v>605</v>
      </c>
      <c r="E242" s="85">
        <v>499475167.38</v>
      </c>
      <c r="F242" s="85">
        <v>0</v>
      </c>
      <c r="G242" s="85">
        <v>77447062.24</v>
      </c>
      <c r="H242" s="85">
        <v>17307666.8885</v>
      </c>
      <c r="I242" s="85">
        <v>17307666.8885</v>
      </c>
      <c r="J242" s="85">
        <f t="shared" ref="J242:J259" si="56">H242-I242</f>
        <v>0</v>
      </c>
      <c r="K242" s="108">
        <v>389713845.6</v>
      </c>
      <c r="L242" s="86">
        <f t="shared" si="45"/>
        <v>966636075.22</v>
      </c>
      <c r="M242" s="79"/>
      <c r="N242" s="90"/>
      <c r="O242" s="87">
        <v>19</v>
      </c>
      <c r="P242" s="90"/>
      <c r="Q242" s="85" t="s">
        <v>606</v>
      </c>
      <c r="R242" s="85">
        <v>325717874.49</v>
      </c>
      <c r="S242" s="89">
        <v>0</v>
      </c>
      <c r="T242" s="85">
        <v>50504798.13</v>
      </c>
      <c r="U242" s="85">
        <v>11286680.1784</v>
      </c>
      <c r="V242" s="85">
        <v>0</v>
      </c>
      <c r="W242" s="85">
        <f t="shared" si="54"/>
        <v>11286680.1784</v>
      </c>
      <c r="X242" s="85">
        <v>213620838.01</v>
      </c>
      <c r="Y242" s="86">
        <f t="shared" si="50"/>
        <v>601130190.8084</v>
      </c>
    </row>
    <row r="243" ht="24.95" customHeight="1" spans="1:25">
      <c r="A243" s="83"/>
      <c r="B243" s="90"/>
      <c r="C243" s="80">
        <v>2</v>
      </c>
      <c r="D243" s="85" t="s">
        <v>607</v>
      </c>
      <c r="E243" s="85">
        <v>474392723.99</v>
      </c>
      <c r="F243" s="85">
        <v>0</v>
      </c>
      <c r="G243" s="85">
        <v>73557856.77</v>
      </c>
      <c r="H243" s="85">
        <v>16438517.4228</v>
      </c>
      <c r="I243" s="85">
        <v>16438517.4228</v>
      </c>
      <c r="J243" s="85">
        <f t="shared" si="56"/>
        <v>0</v>
      </c>
      <c r="K243" s="108">
        <v>418529403.45</v>
      </c>
      <c r="L243" s="86">
        <f t="shared" si="45"/>
        <v>966479984.21</v>
      </c>
      <c r="M243" s="79"/>
      <c r="N243" s="90"/>
      <c r="O243" s="87">
        <v>20</v>
      </c>
      <c r="P243" s="90"/>
      <c r="Q243" s="85" t="s">
        <v>346</v>
      </c>
      <c r="R243" s="85">
        <v>322345970.12</v>
      </c>
      <c r="S243" s="89">
        <v>0</v>
      </c>
      <c r="T243" s="85">
        <v>49981961.15</v>
      </c>
      <c r="U243" s="85">
        <v>11169837.938</v>
      </c>
      <c r="V243" s="85">
        <v>0</v>
      </c>
      <c r="W243" s="85">
        <f t="shared" si="54"/>
        <v>11169837.938</v>
      </c>
      <c r="X243" s="85">
        <v>219526269.67</v>
      </c>
      <c r="Y243" s="86">
        <f t="shared" si="50"/>
        <v>603024038.878</v>
      </c>
    </row>
    <row r="244" ht="24.95" customHeight="1" spans="1:25">
      <c r="A244" s="83"/>
      <c r="B244" s="90"/>
      <c r="C244" s="80">
        <v>3</v>
      </c>
      <c r="D244" s="85" t="s">
        <v>608</v>
      </c>
      <c r="E244" s="85">
        <v>313914354.42</v>
      </c>
      <c r="F244" s="85">
        <v>0</v>
      </c>
      <c r="G244" s="85">
        <v>48674581.11</v>
      </c>
      <c r="H244" s="85">
        <v>10877668.0657</v>
      </c>
      <c r="I244" s="85">
        <v>10877668.0657</v>
      </c>
      <c r="J244" s="85">
        <f t="shared" si="56"/>
        <v>0</v>
      </c>
      <c r="K244" s="108">
        <v>331630061.64</v>
      </c>
      <c r="L244" s="86">
        <f t="shared" si="45"/>
        <v>694218997.17</v>
      </c>
      <c r="M244" s="79"/>
      <c r="N244" s="90"/>
      <c r="O244" s="87">
        <v>21</v>
      </c>
      <c r="P244" s="90"/>
      <c r="Q244" s="85" t="s">
        <v>609</v>
      </c>
      <c r="R244" s="85">
        <v>348766191.08</v>
      </c>
      <c r="S244" s="89">
        <v>0</v>
      </c>
      <c r="T244" s="85">
        <v>54078598.24</v>
      </c>
      <c r="U244" s="85">
        <v>12085343.6796</v>
      </c>
      <c r="V244" s="85">
        <v>0</v>
      </c>
      <c r="W244" s="85">
        <f t="shared" si="54"/>
        <v>12085343.6796</v>
      </c>
      <c r="X244" s="85">
        <v>228454428.86</v>
      </c>
      <c r="Y244" s="86">
        <f t="shared" si="50"/>
        <v>643384561.8596</v>
      </c>
    </row>
    <row r="245" ht="24.95" customHeight="1" spans="1:25">
      <c r="A245" s="83"/>
      <c r="B245" s="90"/>
      <c r="C245" s="80">
        <v>4</v>
      </c>
      <c r="D245" s="85" t="s">
        <v>610</v>
      </c>
      <c r="E245" s="85">
        <v>323184076.86</v>
      </c>
      <c r="F245" s="85">
        <v>0</v>
      </c>
      <c r="G245" s="85">
        <v>50111915.37</v>
      </c>
      <c r="H245" s="85">
        <v>11198879.7669</v>
      </c>
      <c r="I245" s="85">
        <v>11198879.7669</v>
      </c>
      <c r="J245" s="85">
        <f t="shared" si="56"/>
        <v>0</v>
      </c>
      <c r="K245" s="108">
        <v>336829449.34</v>
      </c>
      <c r="L245" s="86">
        <f t="shared" si="45"/>
        <v>710125441.57</v>
      </c>
      <c r="M245" s="79"/>
      <c r="N245" s="90"/>
      <c r="O245" s="87">
        <v>22</v>
      </c>
      <c r="P245" s="90"/>
      <c r="Q245" s="85" t="s">
        <v>611</v>
      </c>
      <c r="R245" s="85">
        <v>316563162.98</v>
      </c>
      <c r="S245" s="89">
        <v>0</v>
      </c>
      <c r="T245" s="85">
        <v>49085297.1</v>
      </c>
      <c r="U245" s="85">
        <v>10969453.8026</v>
      </c>
      <c r="V245" s="85">
        <v>0</v>
      </c>
      <c r="W245" s="85">
        <f t="shared" si="54"/>
        <v>10969453.8026</v>
      </c>
      <c r="X245" s="85">
        <v>213480814.6</v>
      </c>
      <c r="Y245" s="86">
        <f t="shared" si="50"/>
        <v>590098728.4826</v>
      </c>
    </row>
    <row r="246" ht="24.95" customHeight="1" spans="1:25">
      <c r="A246" s="83"/>
      <c r="B246" s="90"/>
      <c r="C246" s="80">
        <v>5</v>
      </c>
      <c r="D246" s="85" t="s">
        <v>612</v>
      </c>
      <c r="E246" s="85">
        <v>386962807.37</v>
      </c>
      <c r="F246" s="85">
        <v>0</v>
      </c>
      <c r="G246" s="85">
        <v>60001246.48</v>
      </c>
      <c r="H246" s="85">
        <v>13408921.6154</v>
      </c>
      <c r="I246" s="85">
        <v>13408921.6154</v>
      </c>
      <c r="J246" s="85">
        <f t="shared" si="56"/>
        <v>0</v>
      </c>
      <c r="K246" s="108">
        <v>354749111.65</v>
      </c>
      <c r="L246" s="86">
        <f t="shared" si="45"/>
        <v>801713165.5</v>
      </c>
      <c r="M246" s="79"/>
      <c r="N246" s="90"/>
      <c r="O246" s="87">
        <v>23</v>
      </c>
      <c r="P246" s="90"/>
      <c r="Q246" s="85" t="s">
        <v>613</v>
      </c>
      <c r="R246" s="85">
        <v>389258832.42</v>
      </c>
      <c r="S246" s="89">
        <v>0</v>
      </c>
      <c r="T246" s="85">
        <v>60357260.96</v>
      </c>
      <c r="U246" s="85">
        <v>13488482.8016</v>
      </c>
      <c r="V246" s="85">
        <v>0</v>
      </c>
      <c r="W246" s="85">
        <f t="shared" si="54"/>
        <v>13488482.8016</v>
      </c>
      <c r="X246" s="85">
        <v>246152943.08</v>
      </c>
      <c r="Y246" s="86">
        <f t="shared" si="50"/>
        <v>709257519.2616</v>
      </c>
    </row>
    <row r="247" ht="24.95" customHeight="1" spans="1:25">
      <c r="A247" s="83"/>
      <c r="B247" s="90"/>
      <c r="C247" s="80">
        <v>6</v>
      </c>
      <c r="D247" s="85" t="s">
        <v>614</v>
      </c>
      <c r="E247" s="85">
        <v>328904396.75</v>
      </c>
      <c r="F247" s="85">
        <v>0</v>
      </c>
      <c r="G247" s="85">
        <v>50998890.34</v>
      </c>
      <c r="H247" s="85">
        <v>11397098.6125</v>
      </c>
      <c r="I247" s="85">
        <v>11397098.6125</v>
      </c>
      <c r="J247" s="85">
        <f t="shared" si="56"/>
        <v>0</v>
      </c>
      <c r="K247" s="108">
        <v>339235777.54</v>
      </c>
      <c r="L247" s="86">
        <f t="shared" si="45"/>
        <v>719139064.63</v>
      </c>
      <c r="M247" s="79"/>
      <c r="N247" s="90"/>
      <c r="O247" s="87">
        <v>24</v>
      </c>
      <c r="P247" s="90"/>
      <c r="Q247" s="85" t="s">
        <v>615</v>
      </c>
      <c r="R247" s="85">
        <v>322798143.92</v>
      </c>
      <c r="S247" s="89">
        <v>0</v>
      </c>
      <c r="T247" s="85">
        <v>50052073.81</v>
      </c>
      <c r="U247" s="85">
        <v>11185506.5318</v>
      </c>
      <c r="V247" s="85">
        <v>0</v>
      </c>
      <c r="W247" s="85">
        <f t="shared" si="54"/>
        <v>11185506.5318</v>
      </c>
      <c r="X247" s="85">
        <v>218420158.83</v>
      </c>
      <c r="Y247" s="86">
        <f t="shared" si="50"/>
        <v>602455883.0918</v>
      </c>
    </row>
    <row r="248" ht="24.95" customHeight="1" spans="1:25">
      <c r="A248" s="83"/>
      <c r="B248" s="90"/>
      <c r="C248" s="80">
        <v>7</v>
      </c>
      <c r="D248" s="85" t="s">
        <v>616</v>
      </c>
      <c r="E248" s="85">
        <v>329206917.39</v>
      </c>
      <c r="F248" s="85">
        <v>0</v>
      </c>
      <c r="G248" s="85">
        <v>51045798.24</v>
      </c>
      <c r="H248" s="85">
        <v>11407581.4691</v>
      </c>
      <c r="I248" s="85">
        <v>11407581.4691</v>
      </c>
      <c r="J248" s="85">
        <f t="shared" si="56"/>
        <v>0</v>
      </c>
      <c r="K248" s="108">
        <v>327653470.95</v>
      </c>
      <c r="L248" s="86">
        <f t="shared" si="45"/>
        <v>707906186.58</v>
      </c>
      <c r="M248" s="79"/>
      <c r="N248" s="90"/>
      <c r="O248" s="87">
        <v>25</v>
      </c>
      <c r="P248" s="90"/>
      <c r="Q248" s="85" t="s">
        <v>617</v>
      </c>
      <c r="R248" s="85">
        <v>425282537.83</v>
      </c>
      <c r="S248" s="89">
        <v>0</v>
      </c>
      <c r="T248" s="85">
        <v>65942984.41</v>
      </c>
      <c r="U248" s="85">
        <v>14736765.6673</v>
      </c>
      <c r="V248" s="85">
        <v>0</v>
      </c>
      <c r="W248" s="85">
        <f t="shared" si="54"/>
        <v>14736765.6673</v>
      </c>
      <c r="X248" s="85">
        <v>224939396.8</v>
      </c>
      <c r="Y248" s="86">
        <f t="shared" si="50"/>
        <v>730901684.7073</v>
      </c>
    </row>
    <row r="249" ht="24.95" customHeight="1" spans="1:25">
      <c r="A249" s="83"/>
      <c r="B249" s="90"/>
      <c r="C249" s="80">
        <v>8</v>
      </c>
      <c r="D249" s="85" t="s">
        <v>618</v>
      </c>
      <c r="E249" s="85">
        <v>381907469.48</v>
      </c>
      <c r="F249" s="85">
        <v>0</v>
      </c>
      <c r="G249" s="85">
        <v>59217381.55</v>
      </c>
      <c r="H249" s="85">
        <v>13233745.5307</v>
      </c>
      <c r="I249" s="85">
        <v>13233745.5307</v>
      </c>
      <c r="J249" s="85">
        <f t="shared" si="56"/>
        <v>0</v>
      </c>
      <c r="K249" s="108">
        <v>346701470.02</v>
      </c>
      <c r="L249" s="86">
        <f t="shared" si="45"/>
        <v>787826321.05</v>
      </c>
      <c r="M249" s="79"/>
      <c r="N249" s="90"/>
      <c r="O249" s="87">
        <v>26</v>
      </c>
      <c r="P249" s="90"/>
      <c r="Q249" s="85" t="s">
        <v>619</v>
      </c>
      <c r="R249" s="85">
        <v>291095981.02</v>
      </c>
      <c r="S249" s="89">
        <v>0</v>
      </c>
      <c r="T249" s="85">
        <v>45136435.27</v>
      </c>
      <c r="U249" s="85">
        <v>10086972.4887</v>
      </c>
      <c r="V249" s="85">
        <v>0</v>
      </c>
      <c r="W249" s="85">
        <f t="shared" si="54"/>
        <v>10086972.4887</v>
      </c>
      <c r="X249" s="85">
        <v>203633242.45</v>
      </c>
      <c r="Y249" s="86">
        <f t="shared" si="50"/>
        <v>549952631.2287</v>
      </c>
    </row>
    <row r="250" ht="24.95" customHeight="1" spans="1:25">
      <c r="A250" s="83"/>
      <c r="B250" s="90"/>
      <c r="C250" s="80">
        <v>9</v>
      </c>
      <c r="D250" s="85" t="s">
        <v>620</v>
      </c>
      <c r="E250" s="85">
        <v>420336045.97</v>
      </c>
      <c r="F250" s="85">
        <v>0</v>
      </c>
      <c r="G250" s="85">
        <v>65175996.81</v>
      </c>
      <c r="H250" s="85">
        <v>14565361.2834</v>
      </c>
      <c r="I250" s="85">
        <v>14565361.2834</v>
      </c>
      <c r="J250" s="85">
        <f t="shared" si="56"/>
        <v>0</v>
      </c>
      <c r="K250" s="108">
        <v>365820592.1</v>
      </c>
      <c r="L250" s="86">
        <f t="shared" si="45"/>
        <v>851332634.88</v>
      </c>
      <c r="M250" s="79"/>
      <c r="N250" s="90"/>
      <c r="O250" s="87">
        <v>27</v>
      </c>
      <c r="P250" s="90"/>
      <c r="Q250" s="85" t="s">
        <v>621</v>
      </c>
      <c r="R250" s="85">
        <v>352094468.75</v>
      </c>
      <c r="S250" s="89">
        <v>0</v>
      </c>
      <c r="T250" s="85">
        <v>54594670.6</v>
      </c>
      <c r="U250" s="85">
        <v>12200674.1805</v>
      </c>
      <c r="V250" s="85">
        <v>0</v>
      </c>
      <c r="W250" s="85">
        <f t="shared" si="54"/>
        <v>12200674.1805</v>
      </c>
      <c r="X250" s="85">
        <v>224069251.34</v>
      </c>
      <c r="Y250" s="86">
        <f t="shared" si="50"/>
        <v>642959064.8705</v>
      </c>
    </row>
    <row r="251" ht="24.95" customHeight="1" spans="1:25">
      <c r="A251" s="83"/>
      <c r="B251" s="90"/>
      <c r="C251" s="80">
        <v>10</v>
      </c>
      <c r="D251" s="85" t="s">
        <v>622</v>
      </c>
      <c r="E251" s="85">
        <v>305856155.41</v>
      </c>
      <c r="F251" s="85">
        <v>0</v>
      </c>
      <c r="G251" s="85">
        <v>47425101.89</v>
      </c>
      <c r="H251" s="85">
        <v>10598437.719</v>
      </c>
      <c r="I251" s="85">
        <v>10598437.719</v>
      </c>
      <c r="J251" s="85">
        <f t="shared" si="56"/>
        <v>0</v>
      </c>
      <c r="K251" s="108">
        <v>318416371.22</v>
      </c>
      <c r="L251" s="86">
        <f t="shared" si="45"/>
        <v>671697628.52</v>
      </c>
      <c r="M251" s="79"/>
      <c r="N251" s="90"/>
      <c r="O251" s="87">
        <v>28</v>
      </c>
      <c r="P251" s="90"/>
      <c r="Q251" s="85" t="s">
        <v>623</v>
      </c>
      <c r="R251" s="85">
        <v>353223408.58</v>
      </c>
      <c r="S251" s="89">
        <v>0</v>
      </c>
      <c r="T251" s="85">
        <v>54769720.49</v>
      </c>
      <c r="U251" s="85">
        <v>12239793.872</v>
      </c>
      <c r="V251" s="85">
        <v>0</v>
      </c>
      <c r="W251" s="85">
        <f t="shared" si="54"/>
        <v>12239793.872</v>
      </c>
      <c r="X251" s="85">
        <v>230313258.12</v>
      </c>
      <c r="Y251" s="86">
        <f t="shared" si="50"/>
        <v>650546181.062</v>
      </c>
    </row>
    <row r="252" ht="24.95" customHeight="1" spans="1:25">
      <c r="A252" s="83"/>
      <c r="B252" s="90"/>
      <c r="C252" s="80">
        <v>11</v>
      </c>
      <c r="D252" s="85" t="s">
        <v>624</v>
      </c>
      <c r="E252" s="85">
        <v>524815052.61</v>
      </c>
      <c r="F252" s="85">
        <v>0</v>
      </c>
      <c r="G252" s="85">
        <v>81376185.84</v>
      </c>
      <c r="H252" s="85">
        <v>18185737.1535</v>
      </c>
      <c r="I252" s="85">
        <v>18185737.1535</v>
      </c>
      <c r="J252" s="85">
        <f t="shared" si="56"/>
        <v>0</v>
      </c>
      <c r="K252" s="108">
        <v>430089484.1</v>
      </c>
      <c r="L252" s="86">
        <f t="shared" si="45"/>
        <v>1036280722.55</v>
      </c>
      <c r="M252" s="79"/>
      <c r="N252" s="90"/>
      <c r="O252" s="87">
        <v>29</v>
      </c>
      <c r="P252" s="90"/>
      <c r="Q252" s="85" t="s">
        <v>625</v>
      </c>
      <c r="R252" s="85">
        <v>311269507.62</v>
      </c>
      <c r="S252" s="89">
        <v>0</v>
      </c>
      <c r="T252" s="85">
        <v>48264479.41</v>
      </c>
      <c r="U252" s="85">
        <v>10786019.6107</v>
      </c>
      <c r="V252" s="85">
        <v>0</v>
      </c>
      <c r="W252" s="85">
        <f t="shared" si="54"/>
        <v>10786019.6107</v>
      </c>
      <c r="X252" s="85">
        <v>213443771.37</v>
      </c>
      <c r="Y252" s="86">
        <f t="shared" si="50"/>
        <v>583763778.0107</v>
      </c>
    </row>
    <row r="253" ht="24.95" customHeight="1" spans="1:25">
      <c r="A253" s="83"/>
      <c r="B253" s="90"/>
      <c r="C253" s="80">
        <v>12</v>
      </c>
      <c r="D253" s="85" t="s">
        <v>626</v>
      </c>
      <c r="E253" s="85">
        <v>540118183.71</v>
      </c>
      <c r="F253" s="85">
        <v>0</v>
      </c>
      <c r="G253" s="85">
        <v>83749041.64</v>
      </c>
      <c r="H253" s="85">
        <v>18716016.7605</v>
      </c>
      <c r="I253" s="85">
        <v>18716016.7605</v>
      </c>
      <c r="J253" s="85">
        <f t="shared" si="56"/>
        <v>0</v>
      </c>
      <c r="K253" s="108">
        <v>431410075.24</v>
      </c>
      <c r="L253" s="86">
        <f t="shared" si="45"/>
        <v>1055277300.59</v>
      </c>
      <c r="M253" s="79"/>
      <c r="N253" s="92"/>
      <c r="O253" s="87">
        <v>30</v>
      </c>
      <c r="P253" s="92"/>
      <c r="Q253" s="85" t="s">
        <v>627</v>
      </c>
      <c r="R253" s="85">
        <v>346310632.71</v>
      </c>
      <c r="S253" s="89">
        <v>0</v>
      </c>
      <c r="T253" s="85">
        <v>53697847.02</v>
      </c>
      <c r="U253" s="85">
        <v>12000254.3918</v>
      </c>
      <c r="V253" s="85">
        <v>0</v>
      </c>
      <c r="W253" s="85">
        <f t="shared" si="54"/>
        <v>12000254.3918</v>
      </c>
      <c r="X253" s="85">
        <v>233305239.77</v>
      </c>
      <c r="Y253" s="86">
        <f t="shared" si="50"/>
        <v>645313973.8918</v>
      </c>
    </row>
    <row r="254" ht="24.95" customHeight="1" spans="1:25">
      <c r="A254" s="83"/>
      <c r="B254" s="90"/>
      <c r="C254" s="80">
        <v>13</v>
      </c>
      <c r="D254" s="85" t="s">
        <v>628</v>
      </c>
      <c r="E254" s="85">
        <v>423348558.8</v>
      </c>
      <c r="F254" s="85">
        <v>0</v>
      </c>
      <c r="G254" s="85">
        <v>65643107.65</v>
      </c>
      <c r="H254" s="85">
        <v>14669749.9935</v>
      </c>
      <c r="I254" s="85">
        <v>14669749.9935</v>
      </c>
      <c r="J254" s="85">
        <f t="shared" si="56"/>
        <v>0</v>
      </c>
      <c r="K254" s="108">
        <v>360304114.35</v>
      </c>
      <c r="L254" s="86">
        <f t="shared" si="45"/>
        <v>849295780.8</v>
      </c>
      <c r="M254" s="79"/>
      <c r="N254" s="80"/>
      <c r="O254" s="94" t="s">
        <v>629</v>
      </c>
      <c r="P254" s="98"/>
      <c r="Q254" s="95"/>
      <c r="R254" s="95">
        <f t="shared" ref="R254:Y254" si="57">SUM(R224:R253)</f>
        <v>9869246465.72</v>
      </c>
      <c r="S254" s="89">
        <v>0</v>
      </c>
      <c r="T254" s="95">
        <f t="shared" si="57"/>
        <v>1530294587.65</v>
      </c>
      <c r="U254" s="95">
        <f t="shared" si="57"/>
        <v>341986231.6006</v>
      </c>
      <c r="V254" s="95">
        <f t="shared" si="57"/>
        <v>0</v>
      </c>
      <c r="W254" s="95">
        <f t="shared" si="57"/>
        <v>341986231.6006</v>
      </c>
      <c r="X254" s="95">
        <f t="shared" si="57"/>
        <v>6526009578.27</v>
      </c>
      <c r="Y254" s="95">
        <f t="shared" si="57"/>
        <v>18267536863.2406</v>
      </c>
    </row>
    <row r="255" ht="24.95" customHeight="1" spans="1:25">
      <c r="A255" s="83"/>
      <c r="B255" s="90"/>
      <c r="C255" s="80">
        <v>14</v>
      </c>
      <c r="D255" s="85" t="s">
        <v>630</v>
      </c>
      <c r="E255" s="85">
        <v>403737026.34</v>
      </c>
      <c r="F255" s="85">
        <v>0</v>
      </c>
      <c r="G255" s="85">
        <v>62602204.57</v>
      </c>
      <c r="H255" s="85">
        <v>13990176.9275</v>
      </c>
      <c r="I255" s="85">
        <v>13990176.9275</v>
      </c>
      <c r="J255" s="85">
        <f t="shared" si="56"/>
        <v>0</v>
      </c>
      <c r="K255" s="108">
        <v>349610474.84</v>
      </c>
      <c r="L255" s="86">
        <f t="shared" si="45"/>
        <v>815949705.75</v>
      </c>
      <c r="M255" s="79"/>
      <c r="N255" s="84">
        <v>30</v>
      </c>
      <c r="O255" s="87">
        <v>1</v>
      </c>
      <c r="P255" s="84" t="s">
        <v>117</v>
      </c>
      <c r="Q255" s="85" t="s">
        <v>631</v>
      </c>
      <c r="R255" s="112">
        <v>340835497.67</v>
      </c>
      <c r="S255" s="89">
        <v>0</v>
      </c>
      <c r="T255" s="85">
        <v>52848889.65</v>
      </c>
      <c r="U255" s="85">
        <v>11810531.6195</v>
      </c>
      <c r="V255" s="85">
        <v>0</v>
      </c>
      <c r="W255" s="85">
        <f t="shared" ref="W255:W286" si="58">U255-V255</f>
        <v>11810531.6195</v>
      </c>
      <c r="X255" s="85">
        <v>382192372.48</v>
      </c>
      <c r="Y255" s="86">
        <f t="shared" si="50"/>
        <v>787687291.4195</v>
      </c>
    </row>
    <row r="256" ht="24.95" customHeight="1" spans="1:25">
      <c r="A256" s="83"/>
      <c r="B256" s="90"/>
      <c r="C256" s="80">
        <v>15</v>
      </c>
      <c r="D256" s="85" t="s">
        <v>632</v>
      </c>
      <c r="E256" s="85">
        <v>440645744.7</v>
      </c>
      <c r="F256" s="85">
        <v>0</v>
      </c>
      <c r="G256" s="85">
        <v>68325155.37</v>
      </c>
      <c r="H256" s="85">
        <v>15269127.0023</v>
      </c>
      <c r="I256" s="85">
        <v>15269127.0023</v>
      </c>
      <c r="J256" s="85">
        <f t="shared" si="56"/>
        <v>0</v>
      </c>
      <c r="K256" s="108">
        <v>342760070.4</v>
      </c>
      <c r="L256" s="86">
        <f t="shared" si="45"/>
        <v>851730970.47</v>
      </c>
      <c r="M256" s="79"/>
      <c r="N256" s="90"/>
      <c r="O256" s="87">
        <v>2</v>
      </c>
      <c r="P256" s="90"/>
      <c r="Q256" s="85" t="s">
        <v>633</v>
      </c>
      <c r="R256" s="112">
        <v>395811690.69</v>
      </c>
      <c r="S256" s="89">
        <v>0</v>
      </c>
      <c r="T256" s="85">
        <v>61373326.74</v>
      </c>
      <c r="U256" s="85">
        <v>13715550.5228</v>
      </c>
      <c r="V256" s="85">
        <v>0</v>
      </c>
      <c r="W256" s="85">
        <f t="shared" si="58"/>
        <v>13715550.5228</v>
      </c>
      <c r="X256" s="85">
        <v>410784559.66</v>
      </c>
      <c r="Y256" s="86">
        <f t="shared" si="50"/>
        <v>881685127.6128</v>
      </c>
    </row>
    <row r="257" ht="24.95" customHeight="1" spans="1:25">
      <c r="A257" s="83"/>
      <c r="B257" s="90"/>
      <c r="C257" s="80">
        <v>16</v>
      </c>
      <c r="D257" s="85" t="s">
        <v>634</v>
      </c>
      <c r="E257" s="85">
        <v>386537855.1</v>
      </c>
      <c r="F257" s="85">
        <v>0</v>
      </c>
      <c r="G257" s="85">
        <v>59935354.7</v>
      </c>
      <c r="H257" s="85">
        <v>13394196.2941</v>
      </c>
      <c r="I257" s="85">
        <v>13394196.2941</v>
      </c>
      <c r="J257" s="85">
        <f t="shared" si="56"/>
        <v>0</v>
      </c>
      <c r="K257" s="108">
        <v>349809026.55</v>
      </c>
      <c r="L257" s="86">
        <f t="shared" si="45"/>
        <v>796282236.35</v>
      </c>
      <c r="M257" s="79"/>
      <c r="N257" s="90"/>
      <c r="O257" s="87">
        <v>3</v>
      </c>
      <c r="P257" s="90"/>
      <c r="Q257" s="85" t="s">
        <v>635</v>
      </c>
      <c r="R257" s="112">
        <v>394271693.99</v>
      </c>
      <c r="S257" s="89">
        <v>0</v>
      </c>
      <c r="T257" s="85">
        <v>61134539.65</v>
      </c>
      <c r="U257" s="85">
        <v>13662187.0093</v>
      </c>
      <c r="V257" s="85">
        <v>0</v>
      </c>
      <c r="W257" s="85">
        <f t="shared" si="58"/>
        <v>13662187.0093</v>
      </c>
      <c r="X257" s="85">
        <v>395353461.52</v>
      </c>
      <c r="Y257" s="86">
        <f t="shared" si="50"/>
        <v>864421882.1693</v>
      </c>
    </row>
    <row r="258" ht="24.95" customHeight="1" spans="1:25">
      <c r="A258" s="83"/>
      <c r="B258" s="90"/>
      <c r="C258" s="80">
        <v>17</v>
      </c>
      <c r="D258" s="85" t="s">
        <v>636</v>
      </c>
      <c r="E258" s="85">
        <v>317013528.05</v>
      </c>
      <c r="F258" s="85">
        <v>0</v>
      </c>
      <c r="G258" s="85">
        <v>49155129.31</v>
      </c>
      <c r="H258" s="85">
        <v>10985059.7207</v>
      </c>
      <c r="I258" s="85">
        <v>10985059.7207</v>
      </c>
      <c r="J258" s="85">
        <f t="shared" si="56"/>
        <v>0</v>
      </c>
      <c r="K258" s="108">
        <v>328695497.02</v>
      </c>
      <c r="L258" s="86">
        <f t="shared" si="45"/>
        <v>694864154.38</v>
      </c>
      <c r="M258" s="79"/>
      <c r="N258" s="90"/>
      <c r="O258" s="87">
        <v>4</v>
      </c>
      <c r="P258" s="90"/>
      <c r="Q258" s="85" t="s">
        <v>637</v>
      </c>
      <c r="R258" s="112">
        <v>422415731.89</v>
      </c>
      <c r="S258" s="89">
        <v>0</v>
      </c>
      <c r="T258" s="85">
        <v>65498466.42</v>
      </c>
      <c r="U258" s="85">
        <v>14637425.9494</v>
      </c>
      <c r="V258" s="85">
        <v>0</v>
      </c>
      <c r="W258" s="85">
        <f t="shared" si="58"/>
        <v>14637425.9494</v>
      </c>
      <c r="X258" s="85">
        <v>373531294.98</v>
      </c>
      <c r="Y258" s="86">
        <f t="shared" si="50"/>
        <v>876082919.2394</v>
      </c>
    </row>
    <row r="259" ht="24.95" customHeight="1" spans="1:25">
      <c r="A259" s="83"/>
      <c r="B259" s="92"/>
      <c r="C259" s="80">
        <v>18</v>
      </c>
      <c r="D259" s="85" t="s">
        <v>638</v>
      </c>
      <c r="E259" s="85">
        <v>394491353.37</v>
      </c>
      <c r="F259" s="85">
        <v>0</v>
      </c>
      <c r="G259" s="85">
        <v>61168599.35</v>
      </c>
      <c r="H259" s="85">
        <v>13669798.5816</v>
      </c>
      <c r="I259" s="85">
        <v>13669798.5816</v>
      </c>
      <c r="J259" s="85">
        <f t="shared" si="56"/>
        <v>0</v>
      </c>
      <c r="K259" s="108">
        <v>337372873.52</v>
      </c>
      <c r="L259" s="86">
        <f t="shared" si="45"/>
        <v>793032826.24</v>
      </c>
      <c r="M259" s="79"/>
      <c r="N259" s="90"/>
      <c r="O259" s="87">
        <v>5</v>
      </c>
      <c r="P259" s="90"/>
      <c r="Q259" s="85" t="s">
        <v>639</v>
      </c>
      <c r="R259" s="112">
        <v>428583134.88</v>
      </c>
      <c r="S259" s="89">
        <v>0</v>
      </c>
      <c r="T259" s="85">
        <v>66454764.7</v>
      </c>
      <c r="U259" s="85">
        <v>14851136.9875</v>
      </c>
      <c r="V259" s="85">
        <v>0</v>
      </c>
      <c r="W259" s="85">
        <f t="shared" si="58"/>
        <v>14851136.9875</v>
      </c>
      <c r="X259" s="85">
        <v>436794092.87</v>
      </c>
      <c r="Y259" s="86">
        <f t="shared" si="50"/>
        <v>946683129.4375</v>
      </c>
    </row>
    <row r="260" ht="24.95" customHeight="1" spans="1:25">
      <c r="A260" s="80"/>
      <c r="B260" s="93" t="s">
        <v>604</v>
      </c>
      <c r="C260" s="94"/>
      <c r="D260" s="95"/>
      <c r="E260" s="95">
        <f t="shared" ref="E260:L260" si="59">SUM(E242:E259)</f>
        <v>7194847417.7</v>
      </c>
      <c r="F260" s="85">
        <v>0</v>
      </c>
      <c r="G260" s="95">
        <f t="shared" si="59"/>
        <v>1115610609.23</v>
      </c>
      <c r="H260" s="95">
        <f t="shared" si="59"/>
        <v>249313740.8077</v>
      </c>
      <c r="I260" s="95">
        <f t="shared" si="59"/>
        <v>249313740.8077</v>
      </c>
      <c r="J260" s="95">
        <f t="shared" si="59"/>
        <v>0</v>
      </c>
      <c r="K260" s="95">
        <f t="shared" si="59"/>
        <v>6459331169.53</v>
      </c>
      <c r="L260" s="95">
        <f t="shared" si="59"/>
        <v>14769789196.46</v>
      </c>
      <c r="M260" s="79"/>
      <c r="N260" s="90"/>
      <c r="O260" s="87">
        <v>6</v>
      </c>
      <c r="P260" s="90"/>
      <c r="Q260" s="85" t="s">
        <v>640</v>
      </c>
      <c r="R260" s="112">
        <v>440496223.94</v>
      </c>
      <c r="S260" s="89">
        <v>0</v>
      </c>
      <c r="T260" s="85">
        <v>68301971.15</v>
      </c>
      <c r="U260" s="85">
        <v>15263945.8528</v>
      </c>
      <c r="V260" s="85">
        <v>0</v>
      </c>
      <c r="W260" s="85">
        <f t="shared" si="58"/>
        <v>15263945.8528</v>
      </c>
      <c r="X260" s="85">
        <v>446137136.23</v>
      </c>
      <c r="Y260" s="86">
        <f t="shared" si="50"/>
        <v>970199277.1728</v>
      </c>
    </row>
    <row r="261" ht="24.95" customHeight="1" spans="1:25">
      <c r="A261" s="83">
        <v>13</v>
      </c>
      <c r="B261" s="84" t="s">
        <v>641</v>
      </c>
      <c r="C261" s="80">
        <v>1</v>
      </c>
      <c r="D261" s="85" t="s">
        <v>642</v>
      </c>
      <c r="E261" s="85">
        <v>463535734.26</v>
      </c>
      <c r="F261" s="85">
        <v>0</v>
      </c>
      <c r="G261" s="85">
        <v>71874405.79</v>
      </c>
      <c r="H261" s="85">
        <v>16062304.2015</v>
      </c>
      <c r="I261" s="85">
        <v>0</v>
      </c>
      <c r="J261" s="85">
        <f t="shared" ref="J261:J276" si="60">H261-I261</f>
        <v>16062304.2015</v>
      </c>
      <c r="K261" s="108">
        <v>333601819.34</v>
      </c>
      <c r="L261" s="86">
        <f t="shared" si="45"/>
        <v>885074263.5915</v>
      </c>
      <c r="M261" s="79"/>
      <c r="N261" s="90"/>
      <c r="O261" s="87">
        <v>7</v>
      </c>
      <c r="P261" s="90"/>
      <c r="Q261" s="85" t="s">
        <v>643</v>
      </c>
      <c r="R261" s="112">
        <v>477559726.76</v>
      </c>
      <c r="S261" s="89">
        <v>0</v>
      </c>
      <c r="T261" s="85">
        <v>74048922.34</v>
      </c>
      <c r="U261" s="85">
        <v>16548259.473</v>
      </c>
      <c r="V261" s="85">
        <v>0</v>
      </c>
      <c r="W261" s="85">
        <f t="shared" si="58"/>
        <v>16548259.473</v>
      </c>
      <c r="X261" s="85">
        <v>454880820.13</v>
      </c>
      <c r="Y261" s="86">
        <f t="shared" si="50"/>
        <v>1023037728.703</v>
      </c>
    </row>
    <row r="262" ht="24.95" customHeight="1" spans="1:25">
      <c r="A262" s="83"/>
      <c r="B262" s="90"/>
      <c r="C262" s="80">
        <v>2</v>
      </c>
      <c r="D262" s="85" t="s">
        <v>644</v>
      </c>
      <c r="E262" s="85">
        <v>352719371.03</v>
      </c>
      <c r="F262" s="85">
        <v>0</v>
      </c>
      <c r="G262" s="85">
        <v>54691566</v>
      </c>
      <c r="H262" s="85">
        <v>12222328.1109</v>
      </c>
      <c r="I262" s="85">
        <v>0</v>
      </c>
      <c r="J262" s="85">
        <f t="shared" si="60"/>
        <v>12222328.1109</v>
      </c>
      <c r="K262" s="108">
        <v>274174107.01</v>
      </c>
      <c r="L262" s="86">
        <f t="shared" si="45"/>
        <v>693807372.1509</v>
      </c>
      <c r="M262" s="79"/>
      <c r="N262" s="90"/>
      <c r="O262" s="87">
        <v>8</v>
      </c>
      <c r="P262" s="90"/>
      <c r="Q262" s="85" t="s">
        <v>645</v>
      </c>
      <c r="R262" s="112">
        <v>351466433.06</v>
      </c>
      <c r="S262" s="89">
        <v>0</v>
      </c>
      <c r="T262" s="85">
        <v>54497289.34</v>
      </c>
      <c r="U262" s="85">
        <v>12178911.6721</v>
      </c>
      <c r="V262" s="85">
        <v>0</v>
      </c>
      <c r="W262" s="85">
        <f t="shared" si="58"/>
        <v>12178911.6721</v>
      </c>
      <c r="X262" s="85">
        <v>389105009.55</v>
      </c>
      <c r="Y262" s="86">
        <f t="shared" si="50"/>
        <v>807247643.6221</v>
      </c>
    </row>
    <row r="263" ht="24.95" customHeight="1" spans="1:25">
      <c r="A263" s="83"/>
      <c r="B263" s="90"/>
      <c r="C263" s="80">
        <v>3</v>
      </c>
      <c r="D263" s="85" t="s">
        <v>646</v>
      </c>
      <c r="E263" s="85">
        <v>336312960.84</v>
      </c>
      <c r="F263" s="85">
        <v>0</v>
      </c>
      <c r="G263" s="85">
        <v>52147639.19</v>
      </c>
      <c r="H263" s="85">
        <v>11653818.0008</v>
      </c>
      <c r="I263" s="85">
        <v>0</v>
      </c>
      <c r="J263" s="85">
        <f t="shared" si="60"/>
        <v>11653818.0008</v>
      </c>
      <c r="K263" s="108">
        <v>251484388.04</v>
      </c>
      <c r="L263" s="86">
        <f t="shared" si="45"/>
        <v>651598806.0708</v>
      </c>
      <c r="M263" s="79"/>
      <c r="N263" s="90"/>
      <c r="O263" s="87">
        <v>9</v>
      </c>
      <c r="P263" s="90"/>
      <c r="Q263" s="85" t="s">
        <v>647</v>
      </c>
      <c r="R263" s="112">
        <v>417116482.4</v>
      </c>
      <c r="S263" s="89">
        <v>0</v>
      </c>
      <c r="T263" s="85">
        <v>64676781.32</v>
      </c>
      <c r="U263" s="85">
        <v>14453797.9115</v>
      </c>
      <c r="V263" s="85">
        <v>0</v>
      </c>
      <c r="W263" s="85">
        <f t="shared" si="58"/>
        <v>14453797.9115</v>
      </c>
      <c r="X263" s="85">
        <v>431042390.61</v>
      </c>
      <c r="Y263" s="86">
        <f t="shared" si="50"/>
        <v>927289452.2415</v>
      </c>
    </row>
    <row r="264" ht="24.95" customHeight="1" spans="1:25">
      <c r="A264" s="83"/>
      <c r="B264" s="90"/>
      <c r="C264" s="80">
        <v>4</v>
      </c>
      <c r="D264" s="85" t="s">
        <v>648</v>
      </c>
      <c r="E264" s="85">
        <v>347261390.05</v>
      </c>
      <c r="F264" s="85">
        <v>0</v>
      </c>
      <c r="G264" s="85">
        <v>53845268.49</v>
      </c>
      <c r="H264" s="85">
        <v>12033199.7561</v>
      </c>
      <c r="I264" s="85">
        <v>0</v>
      </c>
      <c r="J264" s="85">
        <f t="shared" si="60"/>
        <v>12033199.7561</v>
      </c>
      <c r="K264" s="108">
        <v>270381621.17</v>
      </c>
      <c r="L264" s="86">
        <f t="shared" ref="L264:L327" si="61">E264+F264+G264+J264+K264</f>
        <v>683521479.4661</v>
      </c>
      <c r="M264" s="79"/>
      <c r="N264" s="90"/>
      <c r="O264" s="87">
        <v>10</v>
      </c>
      <c r="P264" s="90"/>
      <c r="Q264" s="85" t="s">
        <v>649</v>
      </c>
      <c r="R264" s="112">
        <v>436701789.68</v>
      </c>
      <c r="S264" s="89">
        <v>0</v>
      </c>
      <c r="T264" s="85">
        <v>67713618</v>
      </c>
      <c r="U264" s="85">
        <v>15132462.2305</v>
      </c>
      <c r="V264" s="85">
        <v>0</v>
      </c>
      <c r="W264" s="85">
        <f t="shared" si="58"/>
        <v>15132462.2305</v>
      </c>
      <c r="X264" s="85">
        <v>437168970.35</v>
      </c>
      <c r="Y264" s="86">
        <f t="shared" si="50"/>
        <v>956716840.2605</v>
      </c>
    </row>
    <row r="265" ht="24.95" customHeight="1" spans="1:25">
      <c r="A265" s="83"/>
      <c r="B265" s="90"/>
      <c r="C265" s="80">
        <v>5</v>
      </c>
      <c r="D265" s="85" t="s">
        <v>650</v>
      </c>
      <c r="E265" s="85">
        <v>367817483.21</v>
      </c>
      <c r="F265" s="85">
        <v>0</v>
      </c>
      <c r="G265" s="85">
        <v>57032632.2</v>
      </c>
      <c r="H265" s="85">
        <v>12745503.4624</v>
      </c>
      <c r="I265" s="85">
        <v>0</v>
      </c>
      <c r="J265" s="85">
        <f t="shared" si="60"/>
        <v>12745503.4624</v>
      </c>
      <c r="K265" s="108">
        <v>280502572.35</v>
      </c>
      <c r="L265" s="86">
        <f t="shared" si="61"/>
        <v>718098191.2224</v>
      </c>
      <c r="M265" s="79"/>
      <c r="N265" s="90"/>
      <c r="O265" s="87">
        <v>11</v>
      </c>
      <c r="P265" s="90"/>
      <c r="Q265" s="85" t="s">
        <v>651</v>
      </c>
      <c r="R265" s="112">
        <v>315838362.98</v>
      </c>
      <c r="S265" s="89">
        <v>0</v>
      </c>
      <c r="T265" s="85">
        <v>48972911.87</v>
      </c>
      <c r="U265" s="85">
        <v>10944338.2455</v>
      </c>
      <c r="V265" s="85">
        <v>0</v>
      </c>
      <c r="W265" s="85">
        <f t="shared" si="58"/>
        <v>10944338.2455</v>
      </c>
      <c r="X265" s="85">
        <v>370637107.45</v>
      </c>
      <c r="Y265" s="86">
        <f t="shared" si="50"/>
        <v>746392720.5455</v>
      </c>
    </row>
    <row r="266" ht="24.95" customHeight="1" spans="1:25">
      <c r="A266" s="83"/>
      <c r="B266" s="90"/>
      <c r="C266" s="80">
        <v>6</v>
      </c>
      <c r="D266" s="85" t="s">
        <v>652</v>
      </c>
      <c r="E266" s="85">
        <v>374956182.21</v>
      </c>
      <c r="F266" s="85">
        <v>0</v>
      </c>
      <c r="G266" s="85">
        <v>58139536.61</v>
      </c>
      <c r="H266" s="85">
        <v>12992871.5648</v>
      </c>
      <c r="I266" s="85">
        <v>0</v>
      </c>
      <c r="J266" s="85">
        <f t="shared" si="60"/>
        <v>12992871.5648</v>
      </c>
      <c r="K266" s="108">
        <v>285916440.35</v>
      </c>
      <c r="L266" s="86">
        <f t="shared" si="61"/>
        <v>732005030.7348</v>
      </c>
      <c r="M266" s="79"/>
      <c r="N266" s="90"/>
      <c r="O266" s="87">
        <v>12</v>
      </c>
      <c r="P266" s="90"/>
      <c r="Q266" s="85" t="s">
        <v>653</v>
      </c>
      <c r="R266" s="112">
        <v>327030545.17</v>
      </c>
      <c r="S266" s="89">
        <v>0</v>
      </c>
      <c r="T266" s="85">
        <v>51072889.62</v>
      </c>
      <c r="U266" s="85">
        <v>11413635.7796</v>
      </c>
      <c r="V266" s="85">
        <v>0</v>
      </c>
      <c r="W266" s="85">
        <f t="shared" si="58"/>
        <v>11413635.7796</v>
      </c>
      <c r="X266" s="85">
        <v>369938101.71</v>
      </c>
      <c r="Y266" s="86">
        <f t="shared" si="50"/>
        <v>759455172.2796</v>
      </c>
    </row>
    <row r="267" ht="24.95" customHeight="1" spans="1:25">
      <c r="A267" s="83"/>
      <c r="B267" s="90"/>
      <c r="C267" s="80">
        <v>7</v>
      </c>
      <c r="D267" s="85" t="s">
        <v>654</v>
      </c>
      <c r="E267" s="85">
        <v>308966222.45</v>
      </c>
      <c r="F267" s="85">
        <v>0</v>
      </c>
      <c r="G267" s="85">
        <v>47907339.19</v>
      </c>
      <c r="H267" s="85">
        <v>10706206.8492</v>
      </c>
      <c r="I267" s="85">
        <v>0</v>
      </c>
      <c r="J267" s="85">
        <f t="shared" si="60"/>
        <v>10706206.8492</v>
      </c>
      <c r="K267" s="108">
        <v>254056299.47</v>
      </c>
      <c r="L267" s="86">
        <f t="shared" si="61"/>
        <v>621636067.9592</v>
      </c>
      <c r="M267" s="79"/>
      <c r="N267" s="90"/>
      <c r="O267" s="87">
        <v>13</v>
      </c>
      <c r="P267" s="90"/>
      <c r="Q267" s="85" t="s">
        <v>655</v>
      </c>
      <c r="R267" s="112">
        <v>329381636.36</v>
      </c>
      <c r="S267" s="89">
        <v>0</v>
      </c>
      <c r="T267" s="85">
        <v>50066916.31</v>
      </c>
      <c r="U267" s="85">
        <v>11188823.4942</v>
      </c>
      <c r="V267" s="85">
        <v>0</v>
      </c>
      <c r="W267" s="85">
        <f t="shared" si="58"/>
        <v>11188823.4942</v>
      </c>
      <c r="X267" s="85">
        <v>370741569.36</v>
      </c>
      <c r="Y267" s="86">
        <f t="shared" si="50"/>
        <v>761378945.5242</v>
      </c>
    </row>
    <row r="268" ht="24.95" customHeight="1" spans="1:25">
      <c r="A268" s="83"/>
      <c r="B268" s="90"/>
      <c r="C268" s="80">
        <v>8</v>
      </c>
      <c r="D268" s="85" t="s">
        <v>656</v>
      </c>
      <c r="E268" s="85">
        <v>380621669.93</v>
      </c>
      <c r="F268" s="85">
        <v>0</v>
      </c>
      <c r="G268" s="85">
        <v>59018009.48</v>
      </c>
      <c r="H268" s="85">
        <v>13189190.3822</v>
      </c>
      <c r="I268" s="85">
        <v>0</v>
      </c>
      <c r="J268" s="85">
        <f t="shared" si="60"/>
        <v>13189190.3822</v>
      </c>
      <c r="K268" s="108">
        <v>278219598.12</v>
      </c>
      <c r="L268" s="86">
        <f t="shared" si="61"/>
        <v>731048467.9122</v>
      </c>
      <c r="M268" s="79"/>
      <c r="N268" s="90"/>
      <c r="O268" s="87">
        <v>14</v>
      </c>
      <c r="P268" s="90"/>
      <c r="Q268" s="85" t="s">
        <v>657</v>
      </c>
      <c r="R268" s="112">
        <v>322893866.83</v>
      </c>
      <c r="S268" s="89">
        <v>0</v>
      </c>
      <c r="T268" s="85">
        <v>74362586.38</v>
      </c>
      <c r="U268" s="85">
        <v>16618356.2921</v>
      </c>
      <c r="V268" s="85">
        <v>0</v>
      </c>
      <c r="W268" s="85">
        <f t="shared" si="58"/>
        <v>16618356.2921</v>
      </c>
      <c r="X268" s="85">
        <v>385117676.32</v>
      </c>
      <c r="Y268" s="86">
        <f t="shared" si="50"/>
        <v>798992485.8221</v>
      </c>
    </row>
    <row r="269" ht="24.95" customHeight="1" spans="1:25">
      <c r="A269" s="83"/>
      <c r="B269" s="90"/>
      <c r="C269" s="80">
        <v>9</v>
      </c>
      <c r="D269" s="85" t="s">
        <v>658</v>
      </c>
      <c r="E269" s="85">
        <v>407250057.87</v>
      </c>
      <c r="F269" s="85">
        <v>0</v>
      </c>
      <c r="G269" s="85">
        <v>63146924.29</v>
      </c>
      <c r="H269" s="85">
        <v>14111909.4647</v>
      </c>
      <c r="I269" s="85">
        <v>0</v>
      </c>
      <c r="J269" s="85">
        <f t="shared" si="60"/>
        <v>14111909.4647</v>
      </c>
      <c r="K269" s="108">
        <v>301294196.24</v>
      </c>
      <c r="L269" s="86">
        <f t="shared" si="61"/>
        <v>785803087.8647</v>
      </c>
      <c r="M269" s="79"/>
      <c r="N269" s="90"/>
      <c r="O269" s="87">
        <v>15</v>
      </c>
      <c r="P269" s="90"/>
      <c r="Q269" s="85" t="s">
        <v>659</v>
      </c>
      <c r="R269" s="112">
        <v>385795424.88</v>
      </c>
      <c r="S269" s="89">
        <v>0</v>
      </c>
      <c r="T269" s="85">
        <v>50708336.75</v>
      </c>
      <c r="U269" s="85">
        <v>11332166.4578</v>
      </c>
      <c r="V269" s="85">
        <v>0</v>
      </c>
      <c r="W269" s="85">
        <f t="shared" si="58"/>
        <v>11332166.4578</v>
      </c>
      <c r="X269" s="85">
        <v>376285088.66</v>
      </c>
      <c r="Y269" s="86">
        <f t="shared" si="50"/>
        <v>824121016.7478</v>
      </c>
    </row>
    <row r="270" ht="24.95" customHeight="1" spans="1:25">
      <c r="A270" s="83"/>
      <c r="B270" s="90"/>
      <c r="C270" s="80">
        <v>10</v>
      </c>
      <c r="D270" s="85" t="s">
        <v>660</v>
      </c>
      <c r="E270" s="85">
        <v>355618733.24</v>
      </c>
      <c r="F270" s="85">
        <v>0</v>
      </c>
      <c r="G270" s="85">
        <v>55141132.06</v>
      </c>
      <c r="H270" s="85">
        <v>12322795.959</v>
      </c>
      <c r="I270" s="85">
        <v>0</v>
      </c>
      <c r="J270" s="85">
        <f t="shared" si="60"/>
        <v>12322795.959</v>
      </c>
      <c r="K270" s="108">
        <v>273863684.75</v>
      </c>
      <c r="L270" s="86">
        <f t="shared" si="61"/>
        <v>696946346.009</v>
      </c>
      <c r="M270" s="79"/>
      <c r="N270" s="90"/>
      <c r="O270" s="87">
        <v>16</v>
      </c>
      <c r="P270" s="90"/>
      <c r="Q270" s="85" t="s">
        <v>661</v>
      </c>
      <c r="R270" s="112">
        <v>343172137.85</v>
      </c>
      <c r="S270" s="89">
        <v>0</v>
      </c>
      <c r="T270" s="85">
        <v>53211201.79</v>
      </c>
      <c r="U270" s="85">
        <v>11891500.1893</v>
      </c>
      <c r="V270" s="85">
        <v>0</v>
      </c>
      <c r="W270" s="85">
        <f t="shared" si="58"/>
        <v>11891500.1893</v>
      </c>
      <c r="X270" s="85">
        <v>377887949.21</v>
      </c>
      <c r="Y270" s="86">
        <f t="shared" si="50"/>
        <v>786162789.0393</v>
      </c>
    </row>
    <row r="271" ht="24.95" customHeight="1" spans="1:25">
      <c r="A271" s="83"/>
      <c r="B271" s="90"/>
      <c r="C271" s="80">
        <v>11</v>
      </c>
      <c r="D271" s="85" t="s">
        <v>662</v>
      </c>
      <c r="E271" s="85">
        <v>381104107.89</v>
      </c>
      <c r="F271" s="85">
        <v>0</v>
      </c>
      <c r="G271" s="85">
        <v>59092814.8</v>
      </c>
      <c r="H271" s="85">
        <v>13205907.6806</v>
      </c>
      <c r="I271" s="85">
        <v>0</v>
      </c>
      <c r="J271" s="85">
        <f t="shared" si="60"/>
        <v>13205907.6806</v>
      </c>
      <c r="K271" s="108">
        <v>281672767.98</v>
      </c>
      <c r="L271" s="86">
        <f t="shared" si="61"/>
        <v>735075598.3506</v>
      </c>
      <c r="M271" s="79"/>
      <c r="N271" s="90"/>
      <c r="O271" s="87">
        <v>17</v>
      </c>
      <c r="P271" s="90"/>
      <c r="Q271" s="85" t="s">
        <v>663</v>
      </c>
      <c r="R271" s="112">
        <v>448360186.1</v>
      </c>
      <c r="S271" s="89">
        <v>0</v>
      </c>
      <c r="T271" s="85">
        <v>69521332.6</v>
      </c>
      <c r="U271" s="85">
        <v>15536445.561</v>
      </c>
      <c r="V271" s="85">
        <v>0</v>
      </c>
      <c r="W271" s="85">
        <f t="shared" si="58"/>
        <v>15536445.561</v>
      </c>
      <c r="X271" s="85">
        <v>427664048.07</v>
      </c>
      <c r="Y271" s="86">
        <f t="shared" si="50"/>
        <v>961082012.331</v>
      </c>
    </row>
    <row r="272" ht="24.95" customHeight="1" spans="1:25">
      <c r="A272" s="83"/>
      <c r="B272" s="90"/>
      <c r="C272" s="80">
        <v>12</v>
      </c>
      <c r="D272" s="85" t="s">
        <v>664</v>
      </c>
      <c r="E272" s="85">
        <v>267443728.01</v>
      </c>
      <c r="F272" s="85">
        <v>0</v>
      </c>
      <c r="G272" s="85">
        <v>41468990.66</v>
      </c>
      <c r="H272" s="85">
        <v>9267381.56</v>
      </c>
      <c r="I272" s="85">
        <v>0</v>
      </c>
      <c r="J272" s="85">
        <f t="shared" si="60"/>
        <v>9267381.56</v>
      </c>
      <c r="K272" s="108">
        <v>235403551.65</v>
      </c>
      <c r="L272" s="86">
        <f t="shared" si="61"/>
        <v>553583651.88</v>
      </c>
      <c r="M272" s="79"/>
      <c r="N272" s="90"/>
      <c r="O272" s="87">
        <v>18</v>
      </c>
      <c r="P272" s="90"/>
      <c r="Q272" s="85" t="s">
        <v>665</v>
      </c>
      <c r="R272" s="112">
        <v>387685927.16</v>
      </c>
      <c r="S272" s="89">
        <v>0</v>
      </c>
      <c r="T272" s="85">
        <v>60113371.18</v>
      </c>
      <c r="U272" s="85">
        <v>13433978.9503</v>
      </c>
      <c r="V272" s="85">
        <v>0</v>
      </c>
      <c r="W272" s="85">
        <f t="shared" si="58"/>
        <v>13433978.9503</v>
      </c>
      <c r="X272" s="85">
        <v>380147215.78</v>
      </c>
      <c r="Y272" s="86">
        <f t="shared" si="50"/>
        <v>841380493.0703</v>
      </c>
    </row>
    <row r="273" ht="24.95" customHeight="1" spans="1:25">
      <c r="A273" s="83"/>
      <c r="B273" s="90"/>
      <c r="C273" s="80">
        <v>13</v>
      </c>
      <c r="D273" s="85" t="s">
        <v>666</v>
      </c>
      <c r="E273" s="85">
        <v>338966878.31</v>
      </c>
      <c r="F273" s="85">
        <v>0</v>
      </c>
      <c r="G273" s="85">
        <v>52559147.35</v>
      </c>
      <c r="H273" s="85">
        <v>11745780.7698</v>
      </c>
      <c r="I273" s="85">
        <v>0</v>
      </c>
      <c r="J273" s="85">
        <f t="shared" si="60"/>
        <v>11745780.7698</v>
      </c>
      <c r="K273" s="108">
        <v>267119594.38</v>
      </c>
      <c r="L273" s="86">
        <f t="shared" si="61"/>
        <v>670391400.8098</v>
      </c>
      <c r="M273" s="79"/>
      <c r="N273" s="90"/>
      <c r="O273" s="87">
        <v>19</v>
      </c>
      <c r="P273" s="90"/>
      <c r="Q273" s="85" t="s">
        <v>667</v>
      </c>
      <c r="R273" s="112">
        <v>355901349.5</v>
      </c>
      <c r="S273" s="89">
        <v>0</v>
      </c>
      <c r="T273" s="85">
        <v>55184953.66</v>
      </c>
      <c r="U273" s="85">
        <v>12332589.0948</v>
      </c>
      <c r="V273" s="85">
        <v>0</v>
      </c>
      <c r="W273" s="85">
        <f t="shared" si="58"/>
        <v>12332589.0948</v>
      </c>
      <c r="X273" s="85">
        <v>370637477.88</v>
      </c>
      <c r="Y273" s="86">
        <f t="shared" si="50"/>
        <v>794056370.1348</v>
      </c>
    </row>
    <row r="274" ht="24.95" customHeight="1" spans="1:25">
      <c r="A274" s="83"/>
      <c r="B274" s="90"/>
      <c r="C274" s="80">
        <v>14</v>
      </c>
      <c r="D274" s="85" t="s">
        <v>668</v>
      </c>
      <c r="E274" s="85">
        <v>330776469.06</v>
      </c>
      <c r="F274" s="85">
        <v>0</v>
      </c>
      <c r="G274" s="85">
        <v>51289168.03</v>
      </c>
      <c r="H274" s="85">
        <v>11461969.1126</v>
      </c>
      <c r="I274" s="85">
        <v>0</v>
      </c>
      <c r="J274" s="85">
        <f t="shared" si="60"/>
        <v>11461969.1126</v>
      </c>
      <c r="K274" s="108">
        <v>261416789.18</v>
      </c>
      <c r="L274" s="86">
        <f t="shared" si="61"/>
        <v>654944395.3826</v>
      </c>
      <c r="M274" s="79"/>
      <c r="N274" s="90"/>
      <c r="O274" s="87">
        <v>20</v>
      </c>
      <c r="P274" s="90"/>
      <c r="Q274" s="85" t="s">
        <v>669</v>
      </c>
      <c r="R274" s="112">
        <v>321358624.83</v>
      </c>
      <c r="S274" s="89">
        <v>0</v>
      </c>
      <c r="T274" s="85">
        <v>49828866.47</v>
      </c>
      <c r="U274" s="85">
        <v>11135624.7388</v>
      </c>
      <c r="V274" s="85">
        <v>0</v>
      </c>
      <c r="W274" s="85">
        <f t="shared" si="58"/>
        <v>11135624.7388</v>
      </c>
      <c r="X274" s="85">
        <v>406946140.21</v>
      </c>
      <c r="Y274" s="86">
        <f t="shared" si="50"/>
        <v>789269256.2488</v>
      </c>
    </row>
    <row r="275" ht="24.95" customHeight="1" spans="1:25">
      <c r="A275" s="83"/>
      <c r="B275" s="90"/>
      <c r="C275" s="80">
        <v>15</v>
      </c>
      <c r="D275" s="85" t="s">
        <v>670</v>
      </c>
      <c r="E275" s="85">
        <v>354762224.9</v>
      </c>
      <c r="F275" s="85">
        <v>0</v>
      </c>
      <c r="G275" s="85">
        <v>55008324.55</v>
      </c>
      <c r="H275" s="85">
        <v>12293116.4837</v>
      </c>
      <c r="I275" s="85">
        <v>0</v>
      </c>
      <c r="J275" s="85">
        <f t="shared" si="60"/>
        <v>12293116.4837</v>
      </c>
      <c r="K275" s="108">
        <v>273545483.41</v>
      </c>
      <c r="L275" s="86">
        <f t="shared" si="61"/>
        <v>695609149.3437</v>
      </c>
      <c r="M275" s="79"/>
      <c r="N275" s="90"/>
      <c r="O275" s="87">
        <v>21</v>
      </c>
      <c r="P275" s="90"/>
      <c r="Q275" s="85" t="s">
        <v>671</v>
      </c>
      <c r="R275" s="112">
        <v>396876009.01</v>
      </c>
      <c r="S275" s="89">
        <v>0</v>
      </c>
      <c r="T275" s="85">
        <v>61538356.62</v>
      </c>
      <c r="U275" s="85">
        <v>13752430.9687</v>
      </c>
      <c r="V275" s="85">
        <v>0</v>
      </c>
      <c r="W275" s="85">
        <f t="shared" si="58"/>
        <v>13752430.9687</v>
      </c>
      <c r="X275" s="85">
        <v>387298411.25</v>
      </c>
      <c r="Y275" s="86">
        <f t="shared" si="50"/>
        <v>859465207.8487</v>
      </c>
    </row>
    <row r="276" ht="24.95" customHeight="1" spans="1:25">
      <c r="A276" s="83"/>
      <c r="B276" s="92"/>
      <c r="C276" s="80">
        <v>16</v>
      </c>
      <c r="D276" s="85" t="s">
        <v>672</v>
      </c>
      <c r="E276" s="85">
        <v>344856552.87</v>
      </c>
      <c r="F276" s="85">
        <v>0</v>
      </c>
      <c r="G276" s="85">
        <v>53472381.93</v>
      </c>
      <c r="H276" s="85">
        <v>11949868.044</v>
      </c>
      <c r="I276" s="85">
        <v>0</v>
      </c>
      <c r="J276" s="85">
        <f t="shared" si="60"/>
        <v>11949868.044</v>
      </c>
      <c r="K276" s="108">
        <v>268994352.22</v>
      </c>
      <c r="L276" s="86">
        <f t="shared" si="61"/>
        <v>679273155.064</v>
      </c>
      <c r="M276" s="79"/>
      <c r="N276" s="90"/>
      <c r="O276" s="87">
        <v>22</v>
      </c>
      <c r="P276" s="90"/>
      <c r="Q276" s="85" t="s">
        <v>673</v>
      </c>
      <c r="R276" s="112">
        <v>367612209.13</v>
      </c>
      <c r="S276" s="89">
        <v>0</v>
      </c>
      <c r="T276" s="85">
        <v>57000803.04</v>
      </c>
      <c r="U276" s="85">
        <v>12738390.3652</v>
      </c>
      <c r="V276" s="85">
        <v>0</v>
      </c>
      <c r="W276" s="85">
        <f t="shared" si="58"/>
        <v>12738390.3652</v>
      </c>
      <c r="X276" s="85">
        <v>406102665.87</v>
      </c>
      <c r="Y276" s="86">
        <f t="shared" si="50"/>
        <v>843454068.4052</v>
      </c>
    </row>
    <row r="277" ht="24.95" customHeight="1" spans="1:25">
      <c r="A277" s="80"/>
      <c r="B277" s="93" t="s">
        <v>674</v>
      </c>
      <c r="C277" s="94"/>
      <c r="D277" s="95"/>
      <c r="E277" s="95">
        <f t="shared" ref="E277:L277" si="62">SUM(E261:E276)</f>
        <v>5712969766.13</v>
      </c>
      <c r="F277" s="85">
        <v>0</v>
      </c>
      <c r="G277" s="95">
        <f t="shared" si="62"/>
        <v>885835280.62</v>
      </c>
      <c r="H277" s="95">
        <f t="shared" si="62"/>
        <v>197964151.4023</v>
      </c>
      <c r="I277" s="95">
        <f t="shared" si="62"/>
        <v>0</v>
      </c>
      <c r="J277" s="95">
        <f t="shared" si="62"/>
        <v>197964151.4023</v>
      </c>
      <c r="K277" s="95">
        <f t="shared" si="62"/>
        <v>4391647265.66</v>
      </c>
      <c r="L277" s="95">
        <f t="shared" si="62"/>
        <v>11188416463.8123</v>
      </c>
      <c r="M277" s="79"/>
      <c r="N277" s="90"/>
      <c r="O277" s="87">
        <v>23</v>
      </c>
      <c r="P277" s="90"/>
      <c r="Q277" s="85" t="s">
        <v>675</v>
      </c>
      <c r="R277" s="112">
        <v>380570985.49</v>
      </c>
      <c r="S277" s="89">
        <v>0</v>
      </c>
      <c r="T277" s="85">
        <v>59010150.5</v>
      </c>
      <c r="U277" s="85">
        <v>13187434.0797</v>
      </c>
      <c r="V277" s="85">
        <v>0</v>
      </c>
      <c r="W277" s="85">
        <f t="shared" si="58"/>
        <v>13187434.0797</v>
      </c>
      <c r="X277" s="85">
        <v>369835491.96</v>
      </c>
      <c r="Y277" s="86">
        <f t="shared" si="50"/>
        <v>822604062.0297</v>
      </c>
    </row>
    <row r="278" ht="24.95" customHeight="1" spans="1:25">
      <c r="A278" s="83">
        <v>14</v>
      </c>
      <c r="B278" s="84" t="s">
        <v>101</v>
      </c>
      <c r="C278" s="80">
        <v>1</v>
      </c>
      <c r="D278" s="85" t="s">
        <v>676</v>
      </c>
      <c r="E278" s="85">
        <v>431992219.45</v>
      </c>
      <c r="F278" s="85">
        <v>0</v>
      </c>
      <c r="G278" s="85">
        <v>66983366.73</v>
      </c>
      <c r="H278" s="85">
        <v>14969267.5853</v>
      </c>
      <c r="I278" s="85">
        <v>0</v>
      </c>
      <c r="J278" s="85">
        <f t="shared" ref="J278:J294" si="63">H278-I278</f>
        <v>14969267.5853</v>
      </c>
      <c r="K278" s="108">
        <v>260714534.46</v>
      </c>
      <c r="L278" s="86">
        <f t="shared" si="61"/>
        <v>774659388.2253</v>
      </c>
      <c r="M278" s="79"/>
      <c r="N278" s="90"/>
      <c r="O278" s="87">
        <v>24</v>
      </c>
      <c r="P278" s="90"/>
      <c r="Q278" s="85" t="s">
        <v>677</v>
      </c>
      <c r="R278" s="112">
        <v>325796517.81</v>
      </c>
      <c r="S278" s="89">
        <v>0</v>
      </c>
      <c r="T278" s="85">
        <v>50516992.32</v>
      </c>
      <c r="U278" s="85">
        <v>11289405.3038</v>
      </c>
      <c r="V278" s="85">
        <v>0</v>
      </c>
      <c r="W278" s="85">
        <f t="shared" si="58"/>
        <v>11289405.3038</v>
      </c>
      <c r="X278" s="85">
        <v>356636618.84</v>
      </c>
      <c r="Y278" s="86">
        <f t="shared" si="50"/>
        <v>744239534.2738</v>
      </c>
    </row>
    <row r="279" ht="24.95" customHeight="1" spans="1:25">
      <c r="A279" s="83"/>
      <c r="B279" s="90"/>
      <c r="C279" s="80">
        <v>2</v>
      </c>
      <c r="D279" s="85" t="s">
        <v>678</v>
      </c>
      <c r="E279" s="85">
        <v>363984490.92</v>
      </c>
      <c r="F279" s="85">
        <v>0</v>
      </c>
      <c r="G279" s="85">
        <v>56438300.37</v>
      </c>
      <c r="H279" s="85">
        <v>12612683.7385</v>
      </c>
      <c r="I279" s="85">
        <v>0</v>
      </c>
      <c r="J279" s="85">
        <f t="shared" si="63"/>
        <v>12612683.7385</v>
      </c>
      <c r="K279" s="108">
        <v>236854619.86</v>
      </c>
      <c r="L279" s="86">
        <f t="shared" si="61"/>
        <v>669890094.8885</v>
      </c>
      <c r="M279" s="79"/>
      <c r="N279" s="90"/>
      <c r="O279" s="87">
        <v>25</v>
      </c>
      <c r="P279" s="90"/>
      <c r="Q279" s="85" t="s">
        <v>679</v>
      </c>
      <c r="R279" s="112">
        <v>298135900.67</v>
      </c>
      <c r="S279" s="89">
        <v>0</v>
      </c>
      <c r="T279" s="85">
        <v>46228023.26</v>
      </c>
      <c r="U279" s="85">
        <v>10330917.7178</v>
      </c>
      <c r="V279" s="85">
        <v>0</v>
      </c>
      <c r="W279" s="85">
        <f t="shared" si="58"/>
        <v>10330917.7178</v>
      </c>
      <c r="X279" s="85">
        <v>362776534.14</v>
      </c>
      <c r="Y279" s="86">
        <f t="shared" si="50"/>
        <v>717471375.7878</v>
      </c>
    </row>
    <row r="280" ht="24.95" customHeight="1" spans="1:25">
      <c r="A280" s="83"/>
      <c r="B280" s="90"/>
      <c r="C280" s="80">
        <v>3</v>
      </c>
      <c r="D280" s="85" t="s">
        <v>680</v>
      </c>
      <c r="E280" s="85">
        <v>492691586.88</v>
      </c>
      <c r="F280" s="85">
        <v>0</v>
      </c>
      <c r="G280" s="85">
        <v>76395221.4</v>
      </c>
      <c r="H280" s="85">
        <v>17072604.2485</v>
      </c>
      <c r="I280" s="85">
        <v>0</v>
      </c>
      <c r="J280" s="85">
        <f t="shared" si="63"/>
        <v>17072604.2485</v>
      </c>
      <c r="K280" s="108">
        <v>290702880.95</v>
      </c>
      <c r="L280" s="86">
        <f t="shared" si="61"/>
        <v>876862293.4785</v>
      </c>
      <c r="M280" s="79"/>
      <c r="N280" s="90"/>
      <c r="O280" s="87">
        <v>26</v>
      </c>
      <c r="P280" s="90"/>
      <c r="Q280" s="85" t="s">
        <v>681</v>
      </c>
      <c r="R280" s="112">
        <v>395196117.53</v>
      </c>
      <c r="S280" s="89">
        <v>0</v>
      </c>
      <c r="T280" s="85">
        <v>61277877.88</v>
      </c>
      <c r="U280" s="85">
        <v>13694219.8625</v>
      </c>
      <c r="V280" s="85">
        <v>0</v>
      </c>
      <c r="W280" s="85">
        <f t="shared" si="58"/>
        <v>13694219.8625</v>
      </c>
      <c r="X280" s="85">
        <v>407586247.22</v>
      </c>
      <c r="Y280" s="86">
        <f t="shared" si="50"/>
        <v>877754462.4925</v>
      </c>
    </row>
    <row r="281" ht="24.95" customHeight="1" spans="1:25">
      <c r="A281" s="83"/>
      <c r="B281" s="90"/>
      <c r="C281" s="80">
        <v>4</v>
      </c>
      <c r="D281" s="85" t="s">
        <v>682</v>
      </c>
      <c r="E281" s="85">
        <v>463148190.31</v>
      </c>
      <c r="F281" s="85">
        <v>0</v>
      </c>
      <c r="G281" s="85">
        <v>71814314.43</v>
      </c>
      <c r="H281" s="85">
        <v>16048875.1422</v>
      </c>
      <c r="I281" s="85">
        <v>0</v>
      </c>
      <c r="J281" s="85">
        <f t="shared" si="63"/>
        <v>16048875.1422</v>
      </c>
      <c r="K281" s="108">
        <v>278020390.45</v>
      </c>
      <c r="L281" s="86">
        <f t="shared" si="61"/>
        <v>829031770.3322</v>
      </c>
      <c r="M281" s="79"/>
      <c r="N281" s="90"/>
      <c r="O281" s="87">
        <v>27</v>
      </c>
      <c r="P281" s="90"/>
      <c r="Q281" s="85" t="s">
        <v>683</v>
      </c>
      <c r="R281" s="112">
        <v>430577215.68</v>
      </c>
      <c r="S281" s="89">
        <v>0</v>
      </c>
      <c r="T281" s="85">
        <v>66763960.65</v>
      </c>
      <c r="U281" s="85">
        <v>14920235.2901</v>
      </c>
      <c r="V281" s="85">
        <v>0</v>
      </c>
      <c r="W281" s="85">
        <f t="shared" si="58"/>
        <v>14920235.2901</v>
      </c>
      <c r="X281" s="85">
        <v>430676773.93</v>
      </c>
      <c r="Y281" s="86">
        <f t="shared" si="50"/>
        <v>942938185.5501</v>
      </c>
    </row>
    <row r="282" ht="24.95" customHeight="1" spans="1:25">
      <c r="A282" s="83"/>
      <c r="B282" s="90"/>
      <c r="C282" s="80">
        <v>5</v>
      </c>
      <c r="D282" s="85" t="s">
        <v>684</v>
      </c>
      <c r="E282" s="85">
        <v>447810962.63</v>
      </c>
      <c r="F282" s="85">
        <v>0</v>
      </c>
      <c r="G282" s="85">
        <v>69436171.73</v>
      </c>
      <c r="H282" s="85">
        <v>15517414.0307</v>
      </c>
      <c r="I282" s="85">
        <v>0</v>
      </c>
      <c r="J282" s="85">
        <f t="shared" si="63"/>
        <v>15517414.0307</v>
      </c>
      <c r="K282" s="108">
        <v>260932719.08</v>
      </c>
      <c r="L282" s="86">
        <f t="shared" si="61"/>
        <v>793697267.4707</v>
      </c>
      <c r="M282" s="79"/>
      <c r="N282" s="90"/>
      <c r="O282" s="87">
        <v>28</v>
      </c>
      <c r="P282" s="90"/>
      <c r="Q282" s="85" t="s">
        <v>685</v>
      </c>
      <c r="R282" s="112">
        <v>329781211.53</v>
      </c>
      <c r="S282" s="89">
        <v>0</v>
      </c>
      <c r="T282" s="85">
        <v>51134846.5</v>
      </c>
      <c r="U282" s="85">
        <v>11427481.741</v>
      </c>
      <c r="V282" s="85">
        <v>0</v>
      </c>
      <c r="W282" s="85">
        <f t="shared" si="58"/>
        <v>11427481.741</v>
      </c>
      <c r="X282" s="85">
        <v>371178679.47</v>
      </c>
      <c r="Y282" s="86">
        <f t="shared" si="50"/>
        <v>763522219.241</v>
      </c>
    </row>
    <row r="283" ht="24.95" customHeight="1" spans="1:25">
      <c r="A283" s="83"/>
      <c r="B283" s="90"/>
      <c r="C283" s="80">
        <v>6</v>
      </c>
      <c r="D283" s="85" t="s">
        <v>686</v>
      </c>
      <c r="E283" s="85">
        <v>430556036.2</v>
      </c>
      <c r="F283" s="85">
        <v>0</v>
      </c>
      <c r="G283" s="85">
        <v>66760676.63</v>
      </c>
      <c r="H283" s="85">
        <v>14919501.385</v>
      </c>
      <c r="I283" s="85">
        <v>0</v>
      </c>
      <c r="J283" s="85">
        <f t="shared" si="63"/>
        <v>14919501.385</v>
      </c>
      <c r="K283" s="108">
        <v>250188330.34</v>
      </c>
      <c r="L283" s="86">
        <f t="shared" si="61"/>
        <v>762424544.555</v>
      </c>
      <c r="M283" s="79"/>
      <c r="N283" s="90"/>
      <c r="O283" s="87">
        <v>29</v>
      </c>
      <c r="P283" s="90"/>
      <c r="Q283" s="85" t="s">
        <v>687</v>
      </c>
      <c r="R283" s="112">
        <v>396600125.41</v>
      </c>
      <c r="S283" s="89">
        <v>0</v>
      </c>
      <c r="T283" s="85">
        <v>61495578.97</v>
      </c>
      <c r="U283" s="85">
        <v>13742871.1312</v>
      </c>
      <c r="V283" s="85">
        <v>0</v>
      </c>
      <c r="W283" s="85">
        <f t="shared" si="58"/>
        <v>13742871.1312</v>
      </c>
      <c r="X283" s="85">
        <v>388287835.91</v>
      </c>
      <c r="Y283" s="86">
        <f t="shared" si="50"/>
        <v>860126411.4212</v>
      </c>
    </row>
    <row r="284" ht="24.95" customHeight="1" spans="1:25">
      <c r="A284" s="83"/>
      <c r="B284" s="90"/>
      <c r="C284" s="80">
        <v>7</v>
      </c>
      <c r="D284" s="85" t="s">
        <v>688</v>
      </c>
      <c r="E284" s="85">
        <v>434726365.5</v>
      </c>
      <c r="F284" s="85">
        <v>0</v>
      </c>
      <c r="G284" s="85">
        <v>67407314.89</v>
      </c>
      <c r="H284" s="85">
        <v>15064010.4118</v>
      </c>
      <c r="I284" s="85">
        <v>0</v>
      </c>
      <c r="J284" s="85">
        <f t="shared" si="63"/>
        <v>15064010.4118</v>
      </c>
      <c r="K284" s="108">
        <v>264831518.99</v>
      </c>
      <c r="L284" s="86">
        <f t="shared" si="61"/>
        <v>782029209.7918</v>
      </c>
      <c r="M284" s="79"/>
      <c r="N284" s="90"/>
      <c r="O284" s="87">
        <v>30</v>
      </c>
      <c r="P284" s="90"/>
      <c r="Q284" s="85" t="s">
        <v>689</v>
      </c>
      <c r="R284" s="112">
        <v>334862836.99</v>
      </c>
      <c r="S284" s="89">
        <v>0</v>
      </c>
      <c r="T284" s="85">
        <v>51922787.5</v>
      </c>
      <c r="U284" s="85">
        <v>11603568.7348</v>
      </c>
      <c r="V284" s="85">
        <v>0</v>
      </c>
      <c r="W284" s="85">
        <f t="shared" si="58"/>
        <v>11603568.7348</v>
      </c>
      <c r="X284" s="85">
        <v>378366918.17</v>
      </c>
      <c r="Y284" s="86">
        <f t="shared" ref="Y284:Y347" si="64">R284+S284+T284+W284+X284</f>
        <v>776756111.3948</v>
      </c>
    </row>
    <row r="285" ht="24.95" customHeight="1" spans="1:25">
      <c r="A285" s="83"/>
      <c r="B285" s="90"/>
      <c r="C285" s="80">
        <v>8</v>
      </c>
      <c r="D285" s="85" t="s">
        <v>690</v>
      </c>
      <c r="E285" s="85">
        <v>470511856.53</v>
      </c>
      <c r="F285" s="85">
        <v>0</v>
      </c>
      <c r="G285" s="85">
        <v>72956101.56</v>
      </c>
      <c r="H285" s="85">
        <v>16304038.7427</v>
      </c>
      <c r="I285" s="85">
        <v>0</v>
      </c>
      <c r="J285" s="85">
        <f t="shared" si="63"/>
        <v>16304038.7427</v>
      </c>
      <c r="K285" s="108">
        <v>283420922.89</v>
      </c>
      <c r="L285" s="86">
        <f t="shared" si="61"/>
        <v>843192919.7227</v>
      </c>
      <c r="M285" s="79"/>
      <c r="N285" s="90"/>
      <c r="O285" s="87">
        <v>31</v>
      </c>
      <c r="P285" s="90"/>
      <c r="Q285" s="85" t="s">
        <v>691</v>
      </c>
      <c r="R285" s="112">
        <v>336324662.88</v>
      </c>
      <c r="S285" s="89">
        <v>0</v>
      </c>
      <c r="T285" s="85">
        <v>52149453.67</v>
      </c>
      <c r="U285" s="85">
        <v>11654223.4965</v>
      </c>
      <c r="V285" s="85">
        <v>0</v>
      </c>
      <c r="W285" s="85">
        <f t="shared" si="58"/>
        <v>11654223.4965</v>
      </c>
      <c r="X285" s="85">
        <v>382956574.31</v>
      </c>
      <c r="Y285" s="86">
        <f t="shared" si="64"/>
        <v>783084914.3565</v>
      </c>
    </row>
    <row r="286" ht="24.95" customHeight="1" spans="1:25">
      <c r="A286" s="83"/>
      <c r="B286" s="90"/>
      <c r="C286" s="80">
        <v>9</v>
      </c>
      <c r="D286" s="85" t="s">
        <v>692</v>
      </c>
      <c r="E286" s="85">
        <v>428131134.14</v>
      </c>
      <c r="F286" s="85">
        <v>0</v>
      </c>
      <c r="G286" s="85">
        <v>66384678.88</v>
      </c>
      <c r="H286" s="85">
        <v>14835474.3904</v>
      </c>
      <c r="I286" s="85">
        <v>0</v>
      </c>
      <c r="J286" s="85">
        <f t="shared" si="63"/>
        <v>14835474.3904</v>
      </c>
      <c r="K286" s="108">
        <v>241894351.24</v>
      </c>
      <c r="L286" s="86">
        <f t="shared" si="61"/>
        <v>751245638.6504</v>
      </c>
      <c r="M286" s="79"/>
      <c r="N286" s="90"/>
      <c r="O286" s="87">
        <v>32</v>
      </c>
      <c r="P286" s="90"/>
      <c r="Q286" s="85" t="s">
        <v>693</v>
      </c>
      <c r="R286" s="112">
        <v>334691493.02</v>
      </c>
      <c r="S286" s="89">
        <v>0</v>
      </c>
      <c r="T286" s="85">
        <v>51896219.46</v>
      </c>
      <c r="U286" s="85">
        <v>11597631.3739</v>
      </c>
      <c r="V286" s="85">
        <v>0</v>
      </c>
      <c r="W286" s="85">
        <f t="shared" si="58"/>
        <v>11597631.3739</v>
      </c>
      <c r="X286" s="85">
        <v>373320519</v>
      </c>
      <c r="Y286" s="86">
        <f t="shared" si="64"/>
        <v>771505862.8539</v>
      </c>
    </row>
    <row r="287" ht="24.95" customHeight="1" spans="1:25">
      <c r="A287" s="83"/>
      <c r="B287" s="90"/>
      <c r="C287" s="80">
        <v>10</v>
      </c>
      <c r="D287" s="85" t="s">
        <v>694</v>
      </c>
      <c r="E287" s="85">
        <v>400374326.29</v>
      </c>
      <c r="F287" s="85">
        <v>0</v>
      </c>
      <c r="G287" s="85">
        <v>62080794.79</v>
      </c>
      <c r="H287" s="85">
        <v>13873653.6325</v>
      </c>
      <c r="I287" s="85">
        <v>0</v>
      </c>
      <c r="J287" s="85">
        <f t="shared" si="63"/>
        <v>13873653.6325</v>
      </c>
      <c r="K287" s="108">
        <v>242297011.15</v>
      </c>
      <c r="L287" s="86">
        <f t="shared" si="61"/>
        <v>718625785.8625</v>
      </c>
      <c r="M287" s="79"/>
      <c r="N287" s="92"/>
      <c r="O287" s="87">
        <v>33</v>
      </c>
      <c r="P287" s="92"/>
      <c r="Q287" s="85" t="s">
        <v>695</v>
      </c>
      <c r="R287" s="112">
        <v>479582623.35</v>
      </c>
      <c r="S287" s="89">
        <v>0</v>
      </c>
      <c r="T287" s="85">
        <v>59820235.79</v>
      </c>
      <c r="U287" s="85">
        <v>13368469.8199</v>
      </c>
      <c r="V287" s="85">
        <v>0</v>
      </c>
      <c r="W287" s="85">
        <f t="shared" ref="W287:W318" si="65">U287-V287</f>
        <v>13368469.8199</v>
      </c>
      <c r="X287" s="85">
        <v>435471279.14</v>
      </c>
      <c r="Y287" s="86">
        <f t="shared" si="64"/>
        <v>988242608.0999</v>
      </c>
    </row>
    <row r="288" ht="24.95" customHeight="1" spans="1:25">
      <c r="A288" s="83"/>
      <c r="B288" s="90"/>
      <c r="C288" s="80">
        <v>11</v>
      </c>
      <c r="D288" s="85" t="s">
        <v>696</v>
      </c>
      <c r="E288" s="85">
        <v>419165006.56</v>
      </c>
      <c r="F288" s="85">
        <v>0</v>
      </c>
      <c r="G288" s="85">
        <v>64994419.09</v>
      </c>
      <c r="H288" s="85">
        <v>14524782.7694</v>
      </c>
      <c r="I288" s="85">
        <v>0</v>
      </c>
      <c r="J288" s="85">
        <f t="shared" si="63"/>
        <v>14524782.7694</v>
      </c>
      <c r="K288" s="108">
        <v>242429996.34</v>
      </c>
      <c r="L288" s="86">
        <f t="shared" si="61"/>
        <v>741114204.7594</v>
      </c>
      <c r="M288" s="79"/>
      <c r="N288" s="80"/>
      <c r="O288" s="94" t="s">
        <v>697</v>
      </c>
      <c r="P288" s="98"/>
      <c r="Q288" s="95"/>
      <c r="R288" s="95">
        <f>SUM(R255:R287)</f>
        <v>12449284375.12</v>
      </c>
      <c r="S288" s="89">
        <v>0</v>
      </c>
      <c r="T288" s="95">
        <f t="shared" ref="T288:V288" si="66">SUM(T255:T287)</f>
        <v>1930347222.1</v>
      </c>
      <c r="U288" s="95">
        <f t="shared" si="66"/>
        <v>431388947.9169</v>
      </c>
      <c r="V288" s="95">
        <f t="shared" si="66"/>
        <v>0</v>
      </c>
      <c r="W288" s="95">
        <f t="shared" si="65"/>
        <v>431388947.9169</v>
      </c>
      <c r="X288" s="95">
        <f>SUM(X255:X287)</f>
        <v>13043487032.24</v>
      </c>
      <c r="Y288" s="95">
        <f>SUM(Y255:Y287)</f>
        <v>27854507577.3769</v>
      </c>
    </row>
    <row r="289" ht="24.95" customHeight="1" spans="1:25">
      <c r="A289" s="83"/>
      <c r="B289" s="90"/>
      <c r="C289" s="80">
        <v>12</v>
      </c>
      <c r="D289" s="85" t="s">
        <v>698</v>
      </c>
      <c r="E289" s="85">
        <v>406979836.57</v>
      </c>
      <c r="F289" s="85">
        <v>0</v>
      </c>
      <c r="G289" s="85">
        <v>63105024.62</v>
      </c>
      <c r="H289" s="85">
        <v>14102545.8357</v>
      </c>
      <c r="I289" s="85">
        <v>0</v>
      </c>
      <c r="J289" s="85">
        <f t="shared" si="63"/>
        <v>14102545.8357</v>
      </c>
      <c r="K289" s="108">
        <v>241659867.6</v>
      </c>
      <c r="L289" s="86">
        <f t="shared" si="61"/>
        <v>725847274.6257</v>
      </c>
      <c r="M289" s="79"/>
      <c r="N289" s="84">
        <v>31</v>
      </c>
      <c r="O289" s="87">
        <v>1</v>
      </c>
      <c r="P289" s="84" t="s">
        <v>118</v>
      </c>
      <c r="Q289" s="85" t="s">
        <v>699</v>
      </c>
      <c r="R289" s="113">
        <v>455079166.69</v>
      </c>
      <c r="S289" s="89">
        <v>0</v>
      </c>
      <c r="T289" s="85">
        <v>70563156.79</v>
      </c>
      <c r="U289" s="85">
        <v>15769269.7042</v>
      </c>
      <c r="V289" s="85">
        <f t="shared" ref="V289:V305" si="67">U289/2</f>
        <v>7884634.8521</v>
      </c>
      <c r="W289" s="85">
        <f t="shared" si="65"/>
        <v>7884634.8521</v>
      </c>
      <c r="X289" s="85">
        <v>280398047.12</v>
      </c>
      <c r="Y289" s="86">
        <f t="shared" si="64"/>
        <v>813925005.4521</v>
      </c>
    </row>
    <row r="290" ht="24.95" customHeight="1" spans="1:25">
      <c r="A290" s="83"/>
      <c r="B290" s="90"/>
      <c r="C290" s="80">
        <v>13</v>
      </c>
      <c r="D290" s="85" t="s">
        <v>700</v>
      </c>
      <c r="E290" s="85">
        <v>527092128.57</v>
      </c>
      <c r="F290" s="85">
        <v>0</v>
      </c>
      <c r="G290" s="85">
        <v>81729262.14</v>
      </c>
      <c r="H290" s="85">
        <v>18264641.7214</v>
      </c>
      <c r="I290" s="85">
        <v>0</v>
      </c>
      <c r="J290" s="85">
        <f t="shared" si="63"/>
        <v>18264641.7214</v>
      </c>
      <c r="K290" s="108">
        <v>302017364.99</v>
      </c>
      <c r="L290" s="86">
        <f t="shared" si="61"/>
        <v>929103397.4214</v>
      </c>
      <c r="M290" s="79"/>
      <c r="N290" s="90"/>
      <c r="O290" s="87">
        <v>2</v>
      </c>
      <c r="P290" s="90"/>
      <c r="Q290" s="85" t="s">
        <v>294</v>
      </c>
      <c r="R290" s="113">
        <v>459062834.3</v>
      </c>
      <c r="S290" s="89">
        <v>0</v>
      </c>
      <c r="T290" s="85">
        <v>71180851.87</v>
      </c>
      <c r="U290" s="85">
        <v>15907310.5849</v>
      </c>
      <c r="V290" s="85">
        <f t="shared" si="67"/>
        <v>7953655.29245</v>
      </c>
      <c r="W290" s="85">
        <f t="shared" si="65"/>
        <v>7953655.29245</v>
      </c>
      <c r="X290" s="85">
        <v>284692098.29</v>
      </c>
      <c r="Y290" s="86">
        <f t="shared" si="64"/>
        <v>822889439.75245</v>
      </c>
    </row>
    <row r="291" ht="24.95" customHeight="1" spans="1:25">
      <c r="A291" s="83"/>
      <c r="B291" s="90"/>
      <c r="C291" s="80">
        <v>14</v>
      </c>
      <c r="D291" s="85" t="s">
        <v>701</v>
      </c>
      <c r="E291" s="85">
        <v>361659340.96</v>
      </c>
      <c r="F291" s="85">
        <v>0</v>
      </c>
      <c r="G291" s="85">
        <v>56077769.86</v>
      </c>
      <c r="H291" s="85">
        <v>12532113.3247</v>
      </c>
      <c r="I291" s="85">
        <v>0</v>
      </c>
      <c r="J291" s="85">
        <f t="shared" si="63"/>
        <v>12532113.3247</v>
      </c>
      <c r="K291" s="108">
        <v>234211215</v>
      </c>
      <c r="L291" s="86">
        <f t="shared" si="61"/>
        <v>664480439.1447</v>
      </c>
      <c r="M291" s="79"/>
      <c r="N291" s="90"/>
      <c r="O291" s="87">
        <v>3</v>
      </c>
      <c r="P291" s="90"/>
      <c r="Q291" s="85" t="s">
        <v>702</v>
      </c>
      <c r="R291" s="113">
        <v>457062418.19</v>
      </c>
      <c r="S291" s="89">
        <v>0</v>
      </c>
      <c r="T291" s="85">
        <v>70870673.58</v>
      </c>
      <c r="U291" s="85">
        <v>15837992.753</v>
      </c>
      <c r="V291" s="85">
        <f t="shared" si="67"/>
        <v>7918996.3765</v>
      </c>
      <c r="W291" s="85">
        <f t="shared" si="65"/>
        <v>7918996.3765</v>
      </c>
      <c r="X291" s="85">
        <v>281578614.85</v>
      </c>
      <c r="Y291" s="86">
        <f t="shared" si="64"/>
        <v>817430702.9965</v>
      </c>
    </row>
    <row r="292" ht="24.95" customHeight="1" spans="1:25">
      <c r="A292" s="83"/>
      <c r="B292" s="90"/>
      <c r="C292" s="80">
        <v>15</v>
      </c>
      <c r="D292" s="85" t="s">
        <v>703</v>
      </c>
      <c r="E292" s="85">
        <v>400298403.58</v>
      </c>
      <c r="F292" s="85">
        <v>0</v>
      </c>
      <c r="G292" s="85">
        <v>62069022.45</v>
      </c>
      <c r="H292" s="85">
        <v>13871022.7808</v>
      </c>
      <c r="I292" s="85">
        <v>0</v>
      </c>
      <c r="J292" s="85">
        <f t="shared" si="63"/>
        <v>13871022.7808</v>
      </c>
      <c r="K292" s="108">
        <v>253428872.07</v>
      </c>
      <c r="L292" s="86">
        <f t="shared" si="61"/>
        <v>729667320.8808</v>
      </c>
      <c r="M292" s="79"/>
      <c r="N292" s="90"/>
      <c r="O292" s="87">
        <v>4</v>
      </c>
      <c r="P292" s="90"/>
      <c r="Q292" s="85" t="s">
        <v>704</v>
      </c>
      <c r="R292" s="113">
        <v>346998367.56</v>
      </c>
      <c r="S292" s="89">
        <v>0</v>
      </c>
      <c r="T292" s="85">
        <v>53804485.04</v>
      </c>
      <c r="U292" s="85">
        <v>12024085.5781</v>
      </c>
      <c r="V292" s="85">
        <f t="shared" si="67"/>
        <v>6012042.78905</v>
      </c>
      <c r="W292" s="85">
        <f t="shared" si="65"/>
        <v>6012042.78905</v>
      </c>
      <c r="X292" s="85">
        <v>247183235.33</v>
      </c>
      <c r="Y292" s="86">
        <f t="shared" si="64"/>
        <v>653998130.71905</v>
      </c>
    </row>
    <row r="293" ht="24.95" customHeight="1" spans="1:25">
      <c r="A293" s="83"/>
      <c r="B293" s="90"/>
      <c r="C293" s="80">
        <v>16</v>
      </c>
      <c r="D293" s="85" t="s">
        <v>705</v>
      </c>
      <c r="E293" s="85">
        <v>454533499.81</v>
      </c>
      <c r="F293" s="85">
        <v>0</v>
      </c>
      <c r="G293" s="85">
        <v>70478547.38</v>
      </c>
      <c r="H293" s="85">
        <v>15750361.4158</v>
      </c>
      <c r="I293" s="85">
        <v>0</v>
      </c>
      <c r="J293" s="85">
        <f t="shared" si="63"/>
        <v>15750361.4158</v>
      </c>
      <c r="K293" s="108">
        <v>274001200.06</v>
      </c>
      <c r="L293" s="86">
        <f t="shared" si="61"/>
        <v>814763608.6658</v>
      </c>
      <c r="M293" s="79"/>
      <c r="N293" s="90"/>
      <c r="O293" s="87">
        <v>5</v>
      </c>
      <c r="P293" s="90"/>
      <c r="Q293" s="85" t="s">
        <v>706</v>
      </c>
      <c r="R293" s="113">
        <v>603729802.28</v>
      </c>
      <c r="S293" s="89">
        <v>0</v>
      </c>
      <c r="T293" s="85">
        <v>93612460.89</v>
      </c>
      <c r="U293" s="85">
        <v>20920267.8951</v>
      </c>
      <c r="V293" s="85">
        <f t="shared" si="67"/>
        <v>10460133.94755</v>
      </c>
      <c r="W293" s="85">
        <f t="shared" si="65"/>
        <v>10460133.94755</v>
      </c>
      <c r="X293" s="85">
        <v>374500074.49</v>
      </c>
      <c r="Y293" s="86">
        <f t="shared" si="64"/>
        <v>1082302471.60755</v>
      </c>
    </row>
    <row r="294" ht="24.95" customHeight="1" spans="1:25">
      <c r="A294" s="83"/>
      <c r="B294" s="92"/>
      <c r="C294" s="80">
        <v>17</v>
      </c>
      <c r="D294" s="85" t="s">
        <v>707</v>
      </c>
      <c r="E294" s="85">
        <v>376416557.29</v>
      </c>
      <c r="F294" s="85">
        <v>0</v>
      </c>
      <c r="G294" s="85">
        <v>58365977.82</v>
      </c>
      <c r="H294" s="85">
        <v>13043476.0534</v>
      </c>
      <c r="I294" s="85">
        <v>0</v>
      </c>
      <c r="J294" s="85">
        <f t="shared" si="63"/>
        <v>13043476.0534</v>
      </c>
      <c r="K294" s="108">
        <v>233430714.15</v>
      </c>
      <c r="L294" s="86">
        <f t="shared" si="61"/>
        <v>681256725.3134</v>
      </c>
      <c r="M294" s="79"/>
      <c r="N294" s="90"/>
      <c r="O294" s="87">
        <v>6</v>
      </c>
      <c r="P294" s="90"/>
      <c r="Q294" s="85" t="s">
        <v>708</v>
      </c>
      <c r="R294" s="113">
        <v>522072675.29</v>
      </c>
      <c r="S294" s="89">
        <v>0</v>
      </c>
      <c r="T294" s="85">
        <v>80950961.37</v>
      </c>
      <c r="U294" s="85">
        <v>18090709.0996</v>
      </c>
      <c r="V294" s="85">
        <f t="shared" si="67"/>
        <v>9045354.5498</v>
      </c>
      <c r="W294" s="85">
        <f t="shared" si="65"/>
        <v>9045354.5498</v>
      </c>
      <c r="X294" s="85">
        <v>329091001.96</v>
      </c>
      <c r="Y294" s="86">
        <f t="shared" si="64"/>
        <v>941159993.1698</v>
      </c>
    </row>
    <row r="295" ht="24.95" customHeight="1" spans="1:25">
      <c r="A295" s="80"/>
      <c r="B295" s="93" t="s">
        <v>709</v>
      </c>
      <c r="C295" s="94"/>
      <c r="D295" s="95"/>
      <c r="E295" s="95">
        <f t="shared" ref="E295:L295" si="68">SUM(E278:E294)</f>
        <v>7310071942.19</v>
      </c>
      <c r="F295" s="85">
        <v>0</v>
      </c>
      <c r="G295" s="95">
        <f t="shared" si="68"/>
        <v>1133476964.77</v>
      </c>
      <c r="H295" s="95">
        <f t="shared" si="68"/>
        <v>253306467.2088</v>
      </c>
      <c r="I295" s="95">
        <f t="shared" si="68"/>
        <v>0</v>
      </c>
      <c r="J295" s="95">
        <f t="shared" si="68"/>
        <v>253306467.2088</v>
      </c>
      <c r="K295" s="95">
        <f t="shared" si="68"/>
        <v>4391036509.62</v>
      </c>
      <c r="L295" s="95">
        <f t="shared" si="68"/>
        <v>13087891883.7888</v>
      </c>
      <c r="M295" s="79"/>
      <c r="N295" s="90"/>
      <c r="O295" s="87">
        <v>7</v>
      </c>
      <c r="P295" s="90"/>
      <c r="Q295" s="85" t="s">
        <v>710</v>
      </c>
      <c r="R295" s="113">
        <v>458298104.61</v>
      </c>
      <c r="S295" s="89">
        <v>0</v>
      </c>
      <c r="T295" s="85">
        <v>71062275.27</v>
      </c>
      <c r="U295" s="85">
        <v>15880811.3964</v>
      </c>
      <c r="V295" s="85">
        <f t="shared" si="67"/>
        <v>7940405.6982</v>
      </c>
      <c r="W295" s="85">
        <f t="shared" si="65"/>
        <v>7940405.6982</v>
      </c>
      <c r="X295" s="85">
        <v>276927466.94</v>
      </c>
      <c r="Y295" s="86">
        <f t="shared" si="64"/>
        <v>814228252.5182</v>
      </c>
    </row>
    <row r="296" ht="24.95" customHeight="1" spans="1:25">
      <c r="A296" s="83">
        <v>15</v>
      </c>
      <c r="B296" s="84" t="s">
        <v>711</v>
      </c>
      <c r="C296" s="80">
        <v>1</v>
      </c>
      <c r="D296" s="85" t="s">
        <v>712</v>
      </c>
      <c r="E296" s="85">
        <v>600579245.88</v>
      </c>
      <c r="F296" s="85">
        <v>0</v>
      </c>
      <c r="G296" s="85">
        <v>93123945.44</v>
      </c>
      <c r="H296" s="85">
        <v>20811095.7397</v>
      </c>
      <c r="I296" s="85">
        <f t="shared" ref="I296:I306" si="69">H296/2</f>
        <v>10405547.86985</v>
      </c>
      <c r="J296" s="85">
        <f t="shared" ref="J296:J306" si="70">H296-I296</f>
        <v>10405547.86985</v>
      </c>
      <c r="K296" s="108">
        <v>335135089.48</v>
      </c>
      <c r="L296" s="86">
        <f t="shared" si="61"/>
        <v>1039243828.66985</v>
      </c>
      <c r="M296" s="79"/>
      <c r="N296" s="90"/>
      <c r="O296" s="87">
        <v>8</v>
      </c>
      <c r="P296" s="90"/>
      <c r="Q296" s="85" t="s">
        <v>713</v>
      </c>
      <c r="R296" s="113">
        <v>404751155.77</v>
      </c>
      <c r="S296" s="89">
        <v>0</v>
      </c>
      <c r="T296" s="85">
        <v>62759452.32</v>
      </c>
      <c r="U296" s="85">
        <v>14025318.2426</v>
      </c>
      <c r="V296" s="85">
        <f t="shared" si="67"/>
        <v>7012659.1213</v>
      </c>
      <c r="W296" s="85">
        <f t="shared" si="65"/>
        <v>7012659.1213</v>
      </c>
      <c r="X296" s="85">
        <v>260452861.03</v>
      </c>
      <c r="Y296" s="86">
        <f t="shared" si="64"/>
        <v>734976128.2413</v>
      </c>
    </row>
    <row r="297" ht="24.95" customHeight="1" spans="1:25">
      <c r="A297" s="83"/>
      <c r="B297" s="90"/>
      <c r="C297" s="80">
        <v>2</v>
      </c>
      <c r="D297" s="85" t="s">
        <v>714</v>
      </c>
      <c r="E297" s="85">
        <v>436160163.97</v>
      </c>
      <c r="F297" s="85">
        <v>0</v>
      </c>
      <c r="G297" s="85">
        <v>67629635.21</v>
      </c>
      <c r="H297" s="85">
        <v>15113693.9754</v>
      </c>
      <c r="I297" s="85">
        <f t="shared" si="69"/>
        <v>7556846.9877</v>
      </c>
      <c r="J297" s="85">
        <f t="shared" si="70"/>
        <v>7556846.9877</v>
      </c>
      <c r="K297" s="108">
        <v>288718441.11</v>
      </c>
      <c r="L297" s="86">
        <f t="shared" si="61"/>
        <v>800065087.2777</v>
      </c>
      <c r="M297" s="79"/>
      <c r="N297" s="90"/>
      <c r="O297" s="87">
        <v>9</v>
      </c>
      <c r="P297" s="90"/>
      <c r="Q297" s="85" t="s">
        <v>715</v>
      </c>
      <c r="R297" s="113">
        <v>415143434.47</v>
      </c>
      <c r="S297" s="89">
        <v>0</v>
      </c>
      <c r="T297" s="85">
        <v>64370846.66</v>
      </c>
      <c r="U297" s="85">
        <v>14385428.4339</v>
      </c>
      <c r="V297" s="85">
        <f t="shared" si="67"/>
        <v>7192714.21695</v>
      </c>
      <c r="W297" s="85">
        <f t="shared" si="65"/>
        <v>7192714.21695</v>
      </c>
      <c r="X297" s="85">
        <v>267572199.32</v>
      </c>
      <c r="Y297" s="86">
        <f t="shared" si="64"/>
        <v>754279194.66695</v>
      </c>
    </row>
    <row r="298" ht="24.95" customHeight="1" spans="1:25">
      <c r="A298" s="83"/>
      <c r="B298" s="90"/>
      <c r="C298" s="80">
        <v>3</v>
      </c>
      <c r="D298" s="85" t="s">
        <v>716</v>
      </c>
      <c r="E298" s="85">
        <v>438985622.25</v>
      </c>
      <c r="F298" s="85">
        <v>0</v>
      </c>
      <c r="G298" s="85">
        <v>68067741.96</v>
      </c>
      <c r="H298" s="85">
        <v>15211600.9262</v>
      </c>
      <c r="I298" s="85">
        <f t="shared" si="69"/>
        <v>7605800.4631</v>
      </c>
      <c r="J298" s="85">
        <f t="shared" si="70"/>
        <v>7605800.4631</v>
      </c>
      <c r="K298" s="108">
        <v>284864093.07</v>
      </c>
      <c r="L298" s="86">
        <f t="shared" si="61"/>
        <v>799523257.7431</v>
      </c>
      <c r="M298" s="79"/>
      <c r="N298" s="90"/>
      <c r="O298" s="87">
        <v>10</v>
      </c>
      <c r="P298" s="90"/>
      <c r="Q298" s="85" t="s">
        <v>717</v>
      </c>
      <c r="R298" s="113">
        <v>393823711.46</v>
      </c>
      <c r="S298" s="89">
        <v>0</v>
      </c>
      <c r="T298" s="85">
        <v>61065076.88</v>
      </c>
      <c r="U298" s="85">
        <v>13646663.6502</v>
      </c>
      <c r="V298" s="85">
        <f t="shared" si="67"/>
        <v>6823331.8251</v>
      </c>
      <c r="W298" s="85">
        <f t="shared" si="65"/>
        <v>6823331.8251</v>
      </c>
      <c r="X298" s="85">
        <v>254852295.15</v>
      </c>
      <c r="Y298" s="86">
        <f t="shared" si="64"/>
        <v>716564415.3151</v>
      </c>
    </row>
    <row r="299" ht="24.95" customHeight="1" spans="1:25">
      <c r="A299" s="83"/>
      <c r="B299" s="90"/>
      <c r="C299" s="80">
        <v>4</v>
      </c>
      <c r="D299" s="85" t="s">
        <v>718</v>
      </c>
      <c r="E299" s="85">
        <v>478334071.46</v>
      </c>
      <c r="F299" s="85">
        <v>0</v>
      </c>
      <c r="G299" s="85">
        <v>74168989.82</v>
      </c>
      <c r="H299" s="85">
        <v>16575091.8385</v>
      </c>
      <c r="I299" s="85">
        <f t="shared" si="69"/>
        <v>8287545.91925</v>
      </c>
      <c r="J299" s="85">
        <f t="shared" si="70"/>
        <v>8287545.91925</v>
      </c>
      <c r="K299" s="108">
        <v>286733294.43</v>
      </c>
      <c r="L299" s="86">
        <f t="shared" si="61"/>
        <v>847523901.62925</v>
      </c>
      <c r="M299" s="79"/>
      <c r="N299" s="90"/>
      <c r="O299" s="87">
        <v>11</v>
      </c>
      <c r="P299" s="90"/>
      <c r="Q299" s="85" t="s">
        <v>719</v>
      </c>
      <c r="R299" s="113">
        <v>544118533.31</v>
      </c>
      <c r="S299" s="89">
        <v>0</v>
      </c>
      <c r="T299" s="85">
        <v>84369323.38</v>
      </c>
      <c r="U299" s="85">
        <v>18854635.7006</v>
      </c>
      <c r="V299" s="85">
        <f t="shared" si="67"/>
        <v>9427317.8503</v>
      </c>
      <c r="W299" s="85">
        <f t="shared" si="65"/>
        <v>9427317.8503</v>
      </c>
      <c r="X299" s="85">
        <v>324725457.35</v>
      </c>
      <c r="Y299" s="86">
        <f t="shared" si="64"/>
        <v>962640631.8903</v>
      </c>
    </row>
    <row r="300" ht="24.95" customHeight="1" spans="1:25">
      <c r="A300" s="83"/>
      <c r="B300" s="90"/>
      <c r="C300" s="80">
        <v>5</v>
      </c>
      <c r="D300" s="85" t="s">
        <v>720</v>
      </c>
      <c r="E300" s="85">
        <v>465245348.3</v>
      </c>
      <c r="F300" s="85">
        <v>0</v>
      </c>
      <c r="G300" s="85">
        <v>72139493.21</v>
      </c>
      <c r="H300" s="85">
        <v>16121545.2453</v>
      </c>
      <c r="I300" s="85">
        <f t="shared" si="69"/>
        <v>8060772.62265</v>
      </c>
      <c r="J300" s="85">
        <f t="shared" si="70"/>
        <v>8060772.62265</v>
      </c>
      <c r="K300" s="108">
        <v>297437676.48</v>
      </c>
      <c r="L300" s="86">
        <f t="shared" si="61"/>
        <v>842883290.61265</v>
      </c>
      <c r="M300" s="79"/>
      <c r="N300" s="90"/>
      <c r="O300" s="87">
        <v>12</v>
      </c>
      <c r="P300" s="90"/>
      <c r="Q300" s="85" t="s">
        <v>721</v>
      </c>
      <c r="R300" s="113">
        <v>366329073.27</v>
      </c>
      <c r="S300" s="89">
        <v>0</v>
      </c>
      <c r="T300" s="85">
        <v>56801844</v>
      </c>
      <c r="U300" s="85">
        <v>12693927.518</v>
      </c>
      <c r="V300" s="85">
        <f t="shared" si="67"/>
        <v>6346963.759</v>
      </c>
      <c r="W300" s="85">
        <f t="shared" si="65"/>
        <v>6346963.759</v>
      </c>
      <c r="X300" s="85">
        <v>251557670.31</v>
      </c>
      <c r="Y300" s="86">
        <f t="shared" si="64"/>
        <v>681035551.339</v>
      </c>
    </row>
    <row r="301" ht="24.95" customHeight="1" spans="1:25">
      <c r="A301" s="83"/>
      <c r="B301" s="90"/>
      <c r="C301" s="80">
        <v>6</v>
      </c>
      <c r="D301" s="85" t="s">
        <v>102</v>
      </c>
      <c r="E301" s="85">
        <v>506593084.63</v>
      </c>
      <c r="F301" s="85">
        <v>0</v>
      </c>
      <c r="G301" s="85">
        <v>78550744.3</v>
      </c>
      <c r="H301" s="85">
        <v>17554314.8679</v>
      </c>
      <c r="I301" s="85">
        <f t="shared" si="69"/>
        <v>8777157.43395</v>
      </c>
      <c r="J301" s="85">
        <f t="shared" si="70"/>
        <v>8777157.43395</v>
      </c>
      <c r="K301" s="108">
        <v>309259282.33</v>
      </c>
      <c r="L301" s="86">
        <f t="shared" si="61"/>
        <v>903180268.69395</v>
      </c>
      <c r="M301" s="79"/>
      <c r="N301" s="90"/>
      <c r="O301" s="87">
        <v>13</v>
      </c>
      <c r="P301" s="90"/>
      <c r="Q301" s="85" t="s">
        <v>722</v>
      </c>
      <c r="R301" s="113">
        <v>489056401.43</v>
      </c>
      <c r="S301" s="89">
        <v>0</v>
      </c>
      <c r="T301" s="85">
        <v>75831560.88</v>
      </c>
      <c r="U301" s="85">
        <v>16946638.8693</v>
      </c>
      <c r="V301" s="85">
        <f t="shared" si="67"/>
        <v>8473319.43465</v>
      </c>
      <c r="W301" s="85">
        <f t="shared" si="65"/>
        <v>8473319.43465</v>
      </c>
      <c r="X301" s="85">
        <v>286479804.55</v>
      </c>
      <c r="Y301" s="86">
        <f t="shared" si="64"/>
        <v>859841086.29465</v>
      </c>
    </row>
    <row r="302" ht="24.95" customHeight="1" spans="1:25">
      <c r="A302" s="83"/>
      <c r="B302" s="90"/>
      <c r="C302" s="80">
        <v>7</v>
      </c>
      <c r="D302" s="85" t="s">
        <v>723</v>
      </c>
      <c r="E302" s="85">
        <v>397215791.22</v>
      </c>
      <c r="F302" s="85">
        <v>0</v>
      </c>
      <c r="G302" s="85">
        <v>61591042.19</v>
      </c>
      <c r="H302" s="85">
        <v>13764205.0021</v>
      </c>
      <c r="I302" s="85">
        <f t="shared" si="69"/>
        <v>6882102.50105</v>
      </c>
      <c r="J302" s="85">
        <f t="shared" si="70"/>
        <v>6882102.50105</v>
      </c>
      <c r="K302" s="108">
        <v>265476037.15</v>
      </c>
      <c r="L302" s="86">
        <f t="shared" si="61"/>
        <v>731164973.06105</v>
      </c>
      <c r="M302" s="79"/>
      <c r="N302" s="90"/>
      <c r="O302" s="87">
        <v>14</v>
      </c>
      <c r="P302" s="90"/>
      <c r="Q302" s="85" t="s">
        <v>724</v>
      </c>
      <c r="R302" s="113">
        <v>488349064.15</v>
      </c>
      <c r="S302" s="89">
        <v>0</v>
      </c>
      <c r="T302" s="85">
        <v>75721883.36</v>
      </c>
      <c r="U302" s="85">
        <v>16922128.4253</v>
      </c>
      <c r="V302" s="85">
        <f t="shared" si="67"/>
        <v>8461064.21265</v>
      </c>
      <c r="W302" s="85">
        <f t="shared" si="65"/>
        <v>8461064.21265</v>
      </c>
      <c r="X302" s="85">
        <v>288422351.51</v>
      </c>
      <c r="Y302" s="86">
        <f t="shared" si="64"/>
        <v>860954363.23265</v>
      </c>
    </row>
    <row r="303" ht="24.95" customHeight="1" spans="1:25">
      <c r="A303" s="83"/>
      <c r="B303" s="90"/>
      <c r="C303" s="80">
        <v>8</v>
      </c>
      <c r="D303" s="85" t="s">
        <v>725</v>
      </c>
      <c r="E303" s="85">
        <v>426087103.81</v>
      </c>
      <c r="F303" s="85">
        <v>0</v>
      </c>
      <c r="G303" s="85">
        <v>66067737.91</v>
      </c>
      <c r="H303" s="85">
        <v>14764645.2516</v>
      </c>
      <c r="I303" s="85">
        <f t="shared" si="69"/>
        <v>7382322.6258</v>
      </c>
      <c r="J303" s="85">
        <f t="shared" si="70"/>
        <v>7382322.6258</v>
      </c>
      <c r="K303" s="108">
        <v>282328113.57</v>
      </c>
      <c r="L303" s="86">
        <f t="shared" si="61"/>
        <v>781865277.9158</v>
      </c>
      <c r="M303" s="79"/>
      <c r="N303" s="90"/>
      <c r="O303" s="87">
        <v>15</v>
      </c>
      <c r="P303" s="90"/>
      <c r="Q303" s="85" t="s">
        <v>726</v>
      </c>
      <c r="R303" s="113">
        <v>385930676.4</v>
      </c>
      <c r="S303" s="89">
        <v>0</v>
      </c>
      <c r="T303" s="85">
        <v>59841207.47</v>
      </c>
      <c r="U303" s="85">
        <v>13373156.516</v>
      </c>
      <c r="V303" s="85">
        <f t="shared" si="67"/>
        <v>6686578.258</v>
      </c>
      <c r="W303" s="85">
        <f t="shared" si="65"/>
        <v>6686578.258</v>
      </c>
      <c r="X303" s="85">
        <v>264206451.48</v>
      </c>
      <c r="Y303" s="86">
        <f t="shared" si="64"/>
        <v>716664913.608</v>
      </c>
    </row>
    <row r="304" ht="24.95" customHeight="1" spans="1:25">
      <c r="A304" s="83"/>
      <c r="B304" s="90"/>
      <c r="C304" s="80">
        <v>9</v>
      </c>
      <c r="D304" s="85" t="s">
        <v>727</v>
      </c>
      <c r="E304" s="85">
        <v>388456168.47</v>
      </c>
      <c r="F304" s="85">
        <v>0</v>
      </c>
      <c r="G304" s="85">
        <v>60232802.39</v>
      </c>
      <c r="H304" s="85">
        <v>13460669.1258</v>
      </c>
      <c r="I304" s="85">
        <f t="shared" si="69"/>
        <v>6730334.5629</v>
      </c>
      <c r="J304" s="85">
        <f t="shared" si="70"/>
        <v>6730334.5629</v>
      </c>
      <c r="K304" s="108">
        <v>261171613.87</v>
      </c>
      <c r="L304" s="86">
        <f t="shared" si="61"/>
        <v>716590919.2929</v>
      </c>
      <c r="M304" s="79"/>
      <c r="N304" s="90"/>
      <c r="O304" s="87">
        <v>16</v>
      </c>
      <c r="P304" s="90"/>
      <c r="Q304" s="85" t="s">
        <v>728</v>
      </c>
      <c r="R304" s="113">
        <v>491745777.37</v>
      </c>
      <c r="S304" s="89">
        <v>0</v>
      </c>
      <c r="T304" s="85">
        <v>76248567.12</v>
      </c>
      <c r="U304" s="85">
        <v>17039830.3347</v>
      </c>
      <c r="V304" s="85">
        <f t="shared" si="67"/>
        <v>8519915.16735</v>
      </c>
      <c r="W304" s="85">
        <f t="shared" si="65"/>
        <v>8519915.16735</v>
      </c>
      <c r="X304" s="85">
        <v>292529704.81</v>
      </c>
      <c r="Y304" s="86">
        <f t="shared" si="64"/>
        <v>869043964.46735</v>
      </c>
    </row>
    <row r="305" ht="24.95" customHeight="1" spans="1:25">
      <c r="A305" s="83"/>
      <c r="B305" s="90"/>
      <c r="C305" s="80">
        <v>10</v>
      </c>
      <c r="D305" s="85" t="s">
        <v>729</v>
      </c>
      <c r="E305" s="85">
        <v>368401499.68</v>
      </c>
      <c r="F305" s="85">
        <v>0</v>
      </c>
      <c r="G305" s="85">
        <v>57123187.98</v>
      </c>
      <c r="H305" s="85">
        <v>12765740.6297</v>
      </c>
      <c r="I305" s="85">
        <f t="shared" si="69"/>
        <v>6382870.31485</v>
      </c>
      <c r="J305" s="85">
        <f t="shared" si="70"/>
        <v>6382870.31485</v>
      </c>
      <c r="K305" s="108">
        <v>266111328.53</v>
      </c>
      <c r="L305" s="86">
        <f t="shared" si="61"/>
        <v>698018886.50485</v>
      </c>
      <c r="M305" s="79"/>
      <c r="N305" s="92"/>
      <c r="O305" s="87">
        <v>17</v>
      </c>
      <c r="P305" s="92"/>
      <c r="Q305" s="85" t="s">
        <v>730</v>
      </c>
      <c r="R305" s="113">
        <v>522482077.48</v>
      </c>
      <c r="S305" s="89">
        <v>0</v>
      </c>
      <c r="T305" s="85">
        <v>81014441.98</v>
      </c>
      <c r="U305" s="85">
        <v>18104895.5845</v>
      </c>
      <c r="V305" s="85">
        <f t="shared" si="67"/>
        <v>9052447.79225</v>
      </c>
      <c r="W305" s="85">
        <f t="shared" si="65"/>
        <v>9052447.79225</v>
      </c>
      <c r="X305" s="85">
        <v>275377578.22</v>
      </c>
      <c r="Y305" s="86">
        <f t="shared" si="64"/>
        <v>887926545.47225</v>
      </c>
    </row>
    <row r="306" ht="24.95" customHeight="1" spans="1:25">
      <c r="A306" s="83"/>
      <c r="B306" s="92"/>
      <c r="C306" s="80">
        <v>11</v>
      </c>
      <c r="D306" s="85" t="s">
        <v>731</v>
      </c>
      <c r="E306" s="85">
        <v>502808300.68</v>
      </c>
      <c r="F306" s="85">
        <v>0</v>
      </c>
      <c r="G306" s="85">
        <v>77963887.5</v>
      </c>
      <c r="H306" s="85">
        <v>17423165.6453</v>
      </c>
      <c r="I306" s="85">
        <f t="shared" si="69"/>
        <v>8711582.82265</v>
      </c>
      <c r="J306" s="85">
        <f t="shared" si="70"/>
        <v>8711582.82265</v>
      </c>
      <c r="K306" s="108">
        <v>304535529.7</v>
      </c>
      <c r="L306" s="86">
        <f t="shared" si="61"/>
        <v>894019300.70265</v>
      </c>
      <c r="M306" s="79"/>
      <c r="N306" s="80"/>
      <c r="O306" s="94" t="s">
        <v>732</v>
      </c>
      <c r="P306" s="98"/>
      <c r="Q306" s="95"/>
      <c r="R306" s="95">
        <f t="shared" ref="R306:V306" si="71">SUM(R289:R305)</f>
        <v>7804033274.03</v>
      </c>
      <c r="S306" s="89">
        <v>0</v>
      </c>
      <c r="T306" s="95">
        <f t="shared" si="71"/>
        <v>1210069068.86</v>
      </c>
      <c r="U306" s="95">
        <f t="shared" si="71"/>
        <v>270423070.2864</v>
      </c>
      <c r="V306" s="95">
        <f t="shared" si="71"/>
        <v>135211535.1432</v>
      </c>
      <c r="W306" s="95">
        <f t="shared" si="65"/>
        <v>135211535.1432</v>
      </c>
      <c r="X306" s="95">
        <f>SUM(X289:X305)</f>
        <v>4840546912.71</v>
      </c>
      <c r="Y306" s="95">
        <f>SUM(Y289:Y305)</f>
        <v>13989860790.7432</v>
      </c>
    </row>
    <row r="307" ht="24.95" customHeight="1" spans="1:25">
      <c r="A307" s="80"/>
      <c r="B307" s="93" t="s">
        <v>733</v>
      </c>
      <c r="C307" s="94"/>
      <c r="D307" s="95"/>
      <c r="E307" s="95">
        <f t="shared" ref="E307:L307" si="72">SUM(E296:E306)</f>
        <v>5008866400.35</v>
      </c>
      <c r="F307" s="85">
        <v>0</v>
      </c>
      <c r="G307" s="95">
        <f t="shared" si="72"/>
        <v>776659207.91</v>
      </c>
      <c r="H307" s="95">
        <f t="shared" si="72"/>
        <v>173565768.2475</v>
      </c>
      <c r="I307" s="95">
        <f t="shared" si="72"/>
        <v>86782884.12375</v>
      </c>
      <c r="J307" s="95">
        <f t="shared" si="72"/>
        <v>86782884.12375</v>
      </c>
      <c r="K307" s="95">
        <f t="shared" si="72"/>
        <v>3181770499.72</v>
      </c>
      <c r="L307" s="95">
        <f t="shared" si="72"/>
        <v>9054078992.10375</v>
      </c>
      <c r="M307" s="79"/>
      <c r="N307" s="84">
        <v>32</v>
      </c>
      <c r="O307" s="87">
        <v>1</v>
      </c>
      <c r="P307" s="84" t="s">
        <v>119</v>
      </c>
      <c r="Q307" s="85" t="s">
        <v>734</v>
      </c>
      <c r="R307" s="85">
        <v>347636884.54</v>
      </c>
      <c r="S307" s="89">
        <v>0</v>
      </c>
      <c r="T307" s="85">
        <v>53903491.49</v>
      </c>
      <c r="U307" s="85">
        <v>12046211.2808</v>
      </c>
      <c r="V307" s="85">
        <v>12046211.2808</v>
      </c>
      <c r="W307" s="85">
        <f t="shared" si="65"/>
        <v>0</v>
      </c>
      <c r="X307" s="85">
        <v>739288243.1</v>
      </c>
      <c r="Y307" s="86">
        <f t="shared" si="64"/>
        <v>1140828619.13</v>
      </c>
    </row>
    <row r="308" ht="24.95" customHeight="1" spans="1:25">
      <c r="A308" s="83">
        <v>16</v>
      </c>
      <c r="B308" s="84" t="s">
        <v>735</v>
      </c>
      <c r="C308" s="80">
        <v>1</v>
      </c>
      <c r="D308" s="85" t="s">
        <v>736</v>
      </c>
      <c r="E308" s="85">
        <v>393043325.48</v>
      </c>
      <c r="F308" s="85">
        <v>0</v>
      </c>
      <c r="G308" s="85">
        <v>60944072.66</v>
      </c>
      <c r="H308" s="85">
        <v>13619621.944</v>
      </c>
      <c r="I308" s="85">
        <v>13619621.944</v>
      </c>
      <c r="J308" s="85">
        <f t="shared" ref="J308:J334" si="73">H308-I308</f>
        <v>0</v>
      </c>
      <c r="K308" s="108">
        <v>282776473.98</v>
      </c>
      <c r="L308" s="86">
        <f t="shared" si="61"/>
        <v>736763872.12</v>
      </c>
      <c r="M308" s="79"/>
      <c r="N308" s="90"/>
      <c r="O308" s="87">
        <v>2</v>
      </c>
      <c r="P308" s="90"/>
      <c r="Q308" s="85" t="s">
        <v>737</v>
      </c>
      <c r="R308" s="85">
        <v>434345288.87</v>
      </c>
      <c r="S308" s="89">
        <v>0</v>
      </c>
      <c r="T308" s="85">
        <v>67348226.33</v>
      </c>
      <c r="U308" s="85">
        <v>15050805.456</v>
      </c>
      <c r="V308" s="85">
        <v>15050805.456</v>
      </c>
      <c r="W308" s="85">
        <f t="shared" si="65"/>
        <v>0</v>
      </c>
      <c r="X308" s="85">
        <v>769914844.44</v>
      </c>
      <c r="Y308" s="86">
        <f t="shared" si="64"/>
        <v>1271608359.64</v>
      </c>
    </row>
    <row r="309" ht="24.95" customHeight="1" spans="1:25">
      <c r="A309" s="83"/>
      <c r="B309" s="90"/>
      <c r="C309" s="80">
        <v>2</v>
      </c>
      <c r="D309" s="85" t="s">
        <v>738</v>
      </c>
      <c r="E309" s="85">
        <v>369873581.17</v>
      </c>
      <c r="F309" s="85">
        <v>0</v>
      </c>
      <c r="G309" s="85">
        <v>57351444.34</v>
      </c>
      <c r="H309" s="85">
        <v>12816750.7653</v>
      </c>
      <c r="I309" s="85">
        <v>12816750.7653</v>
      </c>
      <c r="J309" s="85">
        <f t="shared" si="73"/>
        <v>0</v>
      </c>
      <c r="K309" s="108">
        <v>273608274.66</v>
      </c>
      <c r="L309" s="86">
        <f t="shared" si="61"/>
        <v>700833300.17</v>
      </c>
      <c r="M309" s="79"/>
      <c r="N309" s="90"/>
      <c r="O309" s="87">
        <v>3</v>
      </c>
      <c r="P309" s="90"/>
      <c r="Q309" s="85" t="s">
        <v>739</v>
      </c>
      <c r="R309" s="85">
        <v>400123118.27</v>
      </c>
      <c r="S309" s="89">
        <v>0</v>
      </c>
      <c r="T309" s="85">
        <v>62041843.26</v>
      </c>
      <c r="U309" s="85">
        <v>13864948.8457</v>
      </c>
      <c r="V309" s="85">
        <v>13864948.8457</v>
      </c>
      <c r="W309" s="85">
        <f t="shared" si="65"/>
        <v>0</v>
      </c>
      <c r="X309" s="85">
        <v>735309429.81</v>
      </c>
      <c r="Y309" s="86">
        <f t="shared" si="64"/>
        <v>1197474391.34</v>
      </c>
    </row>
    <row r="310" ht="24.95" customHeight="1" spans="1:25">
      <c r="A310" s="83"/>
      <c r="B310" s="90"/>
      <c r="C310" s="80">
        <v>3</v>
      </c>
      <c r="D310" s="85" t="s">
        <v>740</v>
      </c>
      <c r="E310" s="85">
        <v>339799004.12</v>
      </c>
      <c r="F310" s="85">
        <v>0</v>
      </c>
      <c r="G310" s="85">
        <v>52688174.19</v>
      </c>
      <c r="H310" s="85">
        <v>11774615.3491</v>
      </c>
      <c r="I310" s="85">
        <v>11774615.3491</v>
      </c>
      <c r="J310" s="85">
        <f t="shared" si="73"/>
        <v>0</v>
      </c>
      <c r="K310" s="108">
        <v>258801725.37</v>
      </c>
      <c r="L310" s="86">
        <f t="shared" si="61"/>
        <v>651288903.68</v>
      </c>
      <c r="M310" s="79"/>
      <c r="N310" s="90"/>
      <c r="O310" s="87">
        <v>4</v>
      </c>
      <c r="P310" s="90"/>
      <c r="Q310" s="85" t="s">
        <v>741</v>
      </c>
      <c r="R310" s="85">
        <v>427123411.83</v>
      </c>
      <c r="S310" s="89">
        <v>0</v>
      </c>
      <c r="T310" s="85">
        <v>66228424.6</v>
      </c>
      <c r="U310" s="85">
        <v>14800555.0929</v>
      </c>
      <c r="V310" s="85">
        <v>14800555.0929</v>
      </c>
      <c r="W310" s="85">
        <f t="shared" si="65"/>
        <v>0</v>
      </c>
      <c r="X310" s="85">
        <v>755684317.37</v>
      </c>
      <c r="Y310" s="86">
        <f t="shared" si="64"/>
        <v>1249036153.8</v>
      </c>
    </row>
    <row r="311" ht="24.95" customHeight="1" spans="1:25">
      <c r="A311" s="83"/>
      <c r="B311" s="90"/>
      <c r="C311" s="80">
        <v>4</v>
      </c>
      <c r="D311" s="85" t="s">
        <v>742</v>
      </c>
      <c r="E311" s="85">
        <v>361402453.42</v>
      </c>
      <c r="F311" s="85">
        <v>0</v>
      </c>
      <c r="G311" s="85">
        <v>56037937.68</v>
      </c>
      <c r="H311" s="85">
        <v>12523211.7331</v>
      </c>
      <c r="I311" s="85">
        <v>12523211.7331</v>
      </c>
      <c r="J311" s="85">
        <f t="shared" si="73"/>
        <v>0</v>
      </c>
      <c r="K311" s="108">
        <v>271641649.6</v>
      </c>
      <c r="L311" s="86">
        <f t="shared" si="61"/>
        <v>689082040.7</v>
      </c>
      <c r="M311" s="79"/>
      <c r="N311" s="90"/>
      <c r="O311" s="87">
        <v>5</v>
      </c>
      <c r="P311" s="90"/>
      <c r="Q311" s="85" t="s">
        <v>743</v>
      </c>
      <c r="R311" s="85">
        <v>396477384.63</v>
      </c>
      <c r="S311" s="89">
        <v>0</v>
      </c>
      <c r="T311" s="85">
        <v>61476547.16</v>
      </c>
      <c r="U311" s="85">
        <v>13738617.9539</v>
      </c>
      <c r="V311" s="85">
        <v>13738617.9539</v>
      </c>
      <c r="W311" s="85">
        <f t="shared" si="65"/>
        <v>0</v>
      </c>
      <c r="X311" s="85">
        <v>759051917.37</v>
      </c>
      <c r="Y311" s="86">
        <f t="shared" si="64"/>
        <v>1217005849.16</v>
      </c>
    </row>
    <row r="312" ht="24.95" customHeight="1" spans="1:25">
      <c r="A312" s="83"/>
      <c r="B312" s="90"/>
      <c r="C312" s="80">
        <v>5</v>
      </c>
      <c r="D312" s="85" t="s">
        <v>744</v>
      </c>
      <c r="E312" s="85">
        <v>387534130.99</v>
      </c>
      <c r="F312" s="85">
        <v>0</v>
      </c>
      <c r="G312" s="85">
        <v>60089834.14</v>
      </c>
      <c r="H312" s="85">
        <v>13428718.9537</v>
      </c>
      <c r="I312" s="85">
        <v>13428718.9537</v>
      </c>
      <c r="J312" s="85">
        <f t="shared" si="73"/>
        <v>0</v>
      </c>
      <c r="K312" s="108">
        <v>268979352.7</v>
      </c>
      <c r="L312" s="86">
        <f t="shared" si="61"/>
        <v>716603317.83</v>
      </c>
      <c r="M312" s="79"/>
      <c r="N312" s="90"/>
      <c r="O312" s="87">
        <v>6</v>
      </c>
      <c r="P312" s="90"/>
      <c r="Q312" s="85" t="s">
        <v>745</v>
      </c>
      <c r="R312" s="85">
        <v>396411133.93</v>
      </c>
      <c r="S312" s="89">
        <v>0</v>
      </c>
      <c r="T312" s="85">
        <v>61466274.54</v>
      </c>
      <c r="U312" s="85">
        <v>13736322.2539</v>
      </c>
      <c r="V312" s="85">
        <v>13736322.2539</v>
      </c>
      <c r="W312" s="85">
        <f t="shared" si="65"/>
        <v>0</v>
      </c>
      <c r="X312" s="85">
        <v>757295327.42</v>
      </c>
      <c r="Y312" s="86">
        <f t="shared" si="64"/>
        <v>1215172735.89</v>
      </c>
    </row>
    <row r="313" ht="24.95" customHeight="1" spans="1:25">
      <c r="A313" s="83"/>
      <c r="B313" s="90"/>
      <c r="C313" s="80">
        <v>6</v>
      </c>
      <c r="D313" s="85" t="s">
        <v>746</v>
      </c>
      <c r="E313" s="85">
        <v>388831778.65</v>
      </c>
      <c r="F313" s="85">
        <v>0</v>
      </c>
      <c r="G313" s="85">
        <v>60291043.34</v>
      </c>
      <c r="H313" s="85">
        <v>13473684.6596</v>
      </c>
      <c r="I313" s="85">
        <v>13473684.6596</v>
      </c>
      <c r="J313" s="85">
        <f t="shared" si="73"/>
        <v>0</v>
      </c>
      <c r="K313" s="108">
        <v>269524999.47</v>
      </c>
      <c r="L313" s="86">
        <f t="shared" si="61"/>
        <v>718647821.46</v>
      </c>
      <c r="M313" s="79"/>
      <c r="N313" s="90"/>
      <c r="O313" s="87">
        <v>7</v>
      </c>
      <c r="P313" s="90"/>
      <c r="Q313" s="85" t="s">
        <v>747</v>
      </c>
      <c r="R313" s="85">
        <v>429618962.04</v>
      </c>
      <c r="S313" s="89">
        <v>0</v>
      </c>
      <c r="T313" s="85">
        <v>66615376.83</v>
      </c>
      <c r="U313" s="85">
        <v>14887030.1663</v>
      </c>
      <c r="V313" s="85">
        <v>14887030.1663</v>
      </c>
      <c r="W313" s="85">
        <f t="shared" si="65"/>
        <v>0</v>
      </c>
      <c r="X313" s="85">
        <v>770043754.88</v>
      </c>
      <c r="Y313" s="86">
        <f t="shared" si="64"/>
        <v>1266278093.75</v>
      </c>
    </row>
    <row r="314" ht="24.95" customHeight="1" spans="1:25">
      <c r="A314" s="83"/>
      <c r="B314" s="90"/>
      <c r="C314" s="80">
        <v>7</v>
      </c>
      <c r="D314" s="85" t="s">
        <v>748</v>
      </c>
      <c r="E314" s="85">
        <v>348024949.7</v>
      </c>
      <c r="F314" s="85">
        <v>0</v>
      </c>
      <c r="G314" s="85">
        <v>53963663.66</v>
      </c>
      <c r="H314" s="85">
        <v>12059658.4008</v>
      </c>
      <c r="I314" s="85">
        <v>12059658.4008</v>
      </c>
      <c r="J314" s="85">
        <f t="shared" si="73"/>
        <v>0</v>
      </c>
      <c r="K314" s="108">
        <v>255028131.58</v>
      </c>
      <c r="L314" s="86">
        <f t="shared" si="61"/>
        <v>657016744.94</v>
      </c>
      <c r="M314" s="79"/>
      <c r="N314" s="90"/>
      <c r="O314" s="87">
        <v>8</v>
      </c>
      <c r="P314" s="90"/>
      <c r="Q314" s="85" t="s">
        <v>749</v>
      </c>
      <c r="R314" s="85">
        <v>416219506.92</v>
      </c>
      <c r="S314" s="89">
        <v>0</v>
      </c>
      <c r="T314" s="85">
        <v>64537699.1</v>
      </c>
      <c r="U314" s="85">
        <v>14422716.1806</v>
      </c>
      <c r="V314" s="85">
        <v>14422716.1806</v>
      </c>
      <c r="W314" s="85">
        <f t="shared" si="65"/>
        <v>0</v>
      </c>
      <c r="X314" s="85">
        <v>748229367.42</v>
      </c>
      <c r="Y314" s="86">
        <f t="shared" si="64"/>
        <v>1228986573.44</v>
      </c>
    </row>
    <row r="315" ht="24.95" customHeight="1" spans="1:25">
      <c r="A315" s="83"/>
      <c r="B315" s="90"/>
      <c r="C315" s="80">
        <v>8</v>
      </c>
      <c r="D315" s="85" t="s">
        <v>750</v>
      </c>
      <c r="E315" s="85">
        <v>368630501.01</v>
      </c>
      <c r="F315" s="85">
        <v>0</v>
      </c>
      <c r="G315" s="85">
        <v>57158696.21</v>
      </c>
      <c r="H315" s="85">
        <v>12773675.9167</v>
      </c>
      <c r="I315" s="85">
        <v>12773675.9167</v>
      </c>
      <c r="J315" s="85">
        <f t="shared" si="73"/>
        <v>0</v>
      </c>
      <c r="K315" s="108">
        <v>265612123.13</v>
      </c>
      <c r="L315" s="86">
        <f t="shared" si="61"/>
        <v>691401320.35</v>
      </c>
      <c r="M315" s="79"/>
      <c r="N315" s="90"/>
      <c r="O315" s="87">
        <v>9</v>
      </c>
      <c r="P315" s="90"/>
      <c r="Q315" s="85" t="s">
        <v>751</v>
      </c>
      <c r="R315" s="85">
        <v>397001287.24</v>
      </c>
      <c r="S315" s="89">
        <v>0</v>
      </c>
      <c r="T315" s="85">
        <v>61557781.87</v>
      </c>
      <c r="U315" s="85">
        <v>13756772.0732</v>
      </c>
      <c r="V315" s="85">
        <v>13756772.0732</v>
      </c>
      <c r="W315" s="85">
        <f t="shared" si="65"/>
        <v>0</v>
      </c>
      <c r="X315" s="85">
        <v>752310420.02</v>
      </c>
      <c r="Y315" s="86">
        <f t="shared" si="64"/>
        <v>1210869489.13</v>
      </c>
    </row>
    <row r="316" ht="24.95" customHeight="1" spans="1:25">
      <c r="A316" s="83"/>
      <c r="B316" s="90"/>
      <c r="C316" s="80">
        <v>9</v>
      </c>
      <c r="D316" s="85" t="s">
        <v>752</v>
      </c>
      <c r="E316" s="85">
        <v>414739127.48</v>
      </c>
      <c r="F316" s="85">
        <v>0</v>
      </c>
      <c r="G316" s="85">
        <v>64308156.08</v>
      </c>
      <c r="H316" s="85">
        <v>14371418.5066</v>
      </c>
      <c r="I316" s="85">
        <v>14371418.5066</v>
      </c>
      <c r="J316" s="85">
        <f t="shared" si="73"/>
        <v>0</v>
      </c>
      <c r="K316" s="108">
        <v>283918887.18</v>
      </c>
      <c r="L316" s="86">
        <f t="shared" si="61"/>
        <v>762966170.74</v>
      </c>
      <c r="M316" s="79"/>
      <c r="N316" s="90"/>
      <c r="O316" s="87">
        <v>10</v>
      </c>
      <c r="P316" s="90"/>
      <c r="Q316" s="85" t="s">
        <v>753</v>
      </c>
      <c r="R316" s="85">
        <v>465547905.4</v>
      </c>
      <c r="S316" s="89">
        <v>0</v>
      </c>
      <c r="T316" s="85">
        <v>72186406.77</v>
      </c>
      <c r="U316" s="85">
        <v>16132029.3652</v>
      </c>
      <c r="V316" s="85">
        <v>16132029.3652</v>
      </c>
      <c r="W316" s="85">
        <f t="shared" si="65"/>
        <v>0</v>
      </c>
      <c r="X316" s="85">
        <v>769925586.97</v>
      </c>
      <c r="Y316" s="86">
        <f t="shared" si="64"/>
        <v>1307659899.14</v>
      </c>
    </row>
    <row r="317" ht="24.95" customHeight="1" spans="1:25">
      <c r="A317" s="83"/>
      <c r="B317" s="90"/>
      <c r="C317" s="80">
        <v>10</v>
      </c>
      <c r="D317" s="85" t="s">
        <v>754</v>
      </c>
      <c r="E317" s="85">
        <v>366571343.43</v>
      </c>
      <c r="F317" s="85">
        <v>0</v>
      </c>
      <c r="G317" s="85">
        <v>56839409.65</v>
      </c>
      <c r="H317" s="85">
        <v>12702322.5925</v>
      </c>
      <c r="I317" s="85">
        <v>12702322.5925</v>
      </c>
      <c r="J317" s="85">
        <f t="shared" si="73"/>
        <v>0</v>
      </c>
      <c r="K317" s="108">
        <v>271224913.27</v>
      </c>
      <c r="L317" s="86">
        <f t="shared" si="61"/>
        <v>694635666.35</v>
      </c>
      <c r="M317" s="79"/>
      <c r="N317" s="90"/>
      <c r="O317" s="87">
        <v>11</v>
      </c>
      <c r="P317" s="90"/>
      <c r="Q317" s="85" t="s">
        <v>755</v>
      </c>
      <c r="R317" s="85">
        <v>414617100.16</v>
      </c>
      <c r="S317" s="89">
        <v>0</v>
      </c>
      <c r="T317" s="85">
        <v>64289234.9</v>
      </c>
      <c r="U317" s="85">
        <v>14367190.0519</v>
      </c>
      <c r="V317" s="85">
        <v>14367190.0519</v>
      </c>
      <c r="W317" s="85">
        <f t="shared" si="65"/>
        <v>0</v>
      </c>
      <c r="X317" s="85">
        <v>762285050.44</v>
      </c>
      <c r="Y317" s="86">
        <f t="shared" si="64"/>
        <v>1241191385.5</v>
      </c>
    </row>
    <row r="318" ht="24.95" customHeight="1" spans="1:25">
      <c r="A318" s="83"/>
      <c r="B318" s="90"/>
      <c r="C318" s="80">
        <v>11</v>
      </c>
      <c r="D318" s="85" t="s">
        <v>756</v>
      </c>
      <c r="E318" s="85">
        <v>452150367.31</v>
      </c>
      <c r="F318" s="85">
        <v>0</v>
      </c>
      <c r="G318" s="85">
        <v>70109026.29</v>
      </c>
      <c r="H318" s="85">
        <v>15667781.8078</v>
      </c>
      <c r="I318" s="85">
        <v>15667781.8078</v>
      </c>
      <c r="J318" s="85">
        <f t="shared" si="73"/>
        <v>0</v>
      </c>
      <c r="K318" s="108">
        <v>298298698.47</v>
      </c>
      <c r="L318" s="86">
        <f t="shared" si="61"/>
        <v>820558092.07</v>
      </c>
      <c r="M318" s="79"/>
      <c r="N318" s="90"/>
      <c r="O318" s="87">
        <v>12</v>
      </c>
      <c r="P318" s="90"/>
      <c r="Q318" s="85" t="s">
        <v>757</v>
      </c>
      <c r="R318" s="85">
        <v>396824132.64</v>
      </c>
      <c r="S318" s="89">
        <v>0</v>
      </c>
      <c r="T318" s="85">
        <v>61530312.83</v>
      </c>
      <c r="U318" s="85">
        <v>13750633.364</v>
      </c>
      <c r="V318" s="85">
        <v>13750633.364</v>
      </c>
      <c r="W318" s="85">
        <f t="shared" si="65"/>
        <v>0</v>
      </c>
      <c r="X318" s="85">
        <v>747800406.82</v>
      </c>
      <c r="Y318" s="86">
        <f t="shared" si="64"/>
        <v>1206154852.29</v>
      </c>
    </row>
    <row r="319" ht="24.95" customHeight="1" spans="1:25">
      <c r="A319" s="83"/>
      <c r="B319" s="90"/>
      <c r="C319" s="80">
        <v>12</v>
      </c>
      <c r="D319" s="85" t="s">
        <v>758</v>
      </c>
      <c r="E319" s="85">
        <v>384009219.33</v>
      </c>
      <c r="F319" s="85">
        <v>0</v>
      </c>
      <c r="G319" s="85">
        <v>59543272.32</v>
      </c>
      <c r="H319" s="85">
        <v>13306574.7496</v>
      </c>
      <c r="I319" s="85">
        <v>13306574.7496</v>
      </c>
      <c r="J319" s="85">
        <f t="shared" si="73"/>
        <v>0</v>
      </c>
      <c r="K319" s="108">
        <v>269544632.38</v>
      </c>
      <c r="L319" s="86">
        <f t="shared" si="61"/>
        <v>713097124.03</v>
      </c>
      <c r="M319" s="79"/>
      <c r="N319" s="90"/>
      <c r="O319" s="87">
        <v>13</v>
      </c>
      <c r="P319" s="90"/>
      <c r="Q319" s="85" t="s">
        <v>759</v>
      </c>
      <c r="R319" s="85">
        <v>471099218.95</v>
      </c>
      <c r="S319" s="89">
        <v>0</v>
      </c>
      <c r="T319" s="85">
        <v>73047176.15</v>
      </c>
      <c r="U319" s="85">
        <v>16324391.8529</v>
      </c>
      <c r="V319" s="85">
        <v>16324391.8529</v>
      </c>
      <c r="W319" s="85">
        <f t="shared" ref="W319:W350" si="74">U319-V319</f>
        <v>0</v>
      </c>
      <c r="X319" s="85">
        <v>786507247.82</v>
      </c>
      <c r="Y319" s="86">
        <f t="shared" si="64"/>
        <v>1330653642.92</v>
      </c>
    </row>
    <row r="320" ht="24.95" customHeight="1" spans="1:25">
      <c r="A320" s="83"/>
      <c r="B320" s="90"/>
      <c r="C320" s="80">
        <v>13</v>
      </c>
      <c r="D320" s="85" t="s">
        <v>760</v>
      </c>
      <c r="E320" s="85">
        <v>346903986.19</v>
      </c>
      <c r="F320" s="85">
        <v>0</v>
      </c>
      <c r="G320" s="85">
        <v>53789850.56</v>
      </c>
      <c r="H320" s="85">
        <v>12020815.1025</v>
      </c>
      <c r="I320" s="85">
        <v>12020815.1025</v>
      </c>
      <c r="J320" s="85">
        <f t="shared" si="73"/>
        <v>0</v>
      </c>
      <c r="K320" s="108">
        <v>264054084.89</v>
      </c>
      <c r="L320" s="86">
        <f t="shared" si="61"/>
        <v>664747921.64</v>
      </c>
      <c r="M320" s="79"/>
      <c r="N320" s="90"/>
      <c r="O320" s="87">
        <v>14</v>
      </c>
      <c r="P320" s="90"/>
      <c r="Q320" s="85" t="s">
        <v>761</v>
      </c>
      <c r="R320" s="85">
        <v>576912088.01</v>
      </c>
      <c r="S320" s="89">
        <v>0</v>
      </c>
      <c r="T320" s="85">
        <v>89454189.73</v>
      </c>
      <c r="U320" s="85">
        <v>19990988.3321</v>
      </c>
      <c r="V320" s="85">
        <v>19990988.3321</v>
      </c>
      <c r="W320" s="85">
        <f t="shared" si="74"/>
        <v>0</v>
      </c>
      <c r="X320" s="85">
        <v>849692625.36</v>
      </c>
      <c r="Y320" s="86">
        <f t="shared" si="64"/>
        <v>1516058903.1</v>
      </c>
    </row>
    <row r="321" ht="24.95" customHeight="1" spans="1:25">
      <c r="A321" s="83"/>
      <c r="B321" s="90"/>
      <c r="C321" s="80">
        <v>14</v>
      </c>
      <c r="D321" s="85" t="s">
        <v>762</v>
      </c>
      <c r="E321" s="85">
        <v>337594083.1</v>
      </c>
      <c r="F321" s="85">
        <v>0</v>
      </c>
      <c r="G321" s="85">
        <v>52346286.01</v>
      </c>
      <c r="H321" s="85">
        <v>11698211.0734</v>
      </c>
      <c r="I321" s="85">
        <v>11698211.0734</v>
      </c>
      <c r="J321" s="85">
        <f t="shared" si="73"/>
        <v>0</v>
      </c>
      <c r="K321" s="108">
        <v>257890832.36</v>
      </c>
      <c r="L321" s="86">
        <f t="shared" si="61"/>
        <v>647831201.47</v>
      </c>
      <c r="M321" s="79"/>
      <c r="N321" s="90"/>
      <c r="O321" s="87">
        <v>15</v>
      </c>
      <c r="P321" s="90"/>
      <c r="Q321" s="85" t="s">
        <v>763</v>
      </c>
      <c r="R321" s="85">
        <v>465766099.8</v>
      </c>
      <c r="S321" s="89">
        <v>0</v>
      </c>
      <c r="T321" s="85">
        <v>72220239.32</v>
      </c>
      <c r="U321" s="85">
        <v>16139590.1736</v>
      </c>
      <c r="V321" s="85">
        <v>16139590.1736</v>
      </c>
      <c r="W321" s="85">
        <f t="shared" si="74"/>
        <v>0</v>
      </c>
      <c r="X321" s="85">
        <v>782347663.58</v>
      </c>
      <c r="Y321" s="86">
        <f t="shared" si="64"/>
        <v>1320334002.7</v>
      </c>
    </row>
    <row r="322" ht="24.95" customHeight="1" spans="1:25">
      <c r="A322" s="83"/>
      <c r="B322" s="90"/>
      <c r="C322" s="80">
        <v>15</v>
      </c>
      <c r="D322" s="85" t="s">
        <v>764</v>
      </c>
      <c r="E322" s="85">
        <v>300742813.98</v>
      </c>
      <c r="F322" s="85">
        <v>0</v>
      </c>
      <c r="G322" s="85">
        <v>46632243.11</v>
      </c>
      <c r="H322" s="85">
        <v>10421251.7126</v>
      </c>
      <c r="I322" s="85">
        <v>10421251.7126</v>
      </c>
      <c r="J322" s="85">
        <f t="shared" si="73"/>
        <v>0</v>
      </c>
      <c r="K322" s="108">
        <v>239991543.83</v>
      </c>
      <c r="L322" s="86">
        <f t="shared" si="61"/>
        <v>587366600.92</v>
      </c>
      <c r="M322" s="79"/>
      <c r="N322" s="90"/>
      <c r="O322" s="87">
        <v>16</v>
      </c>
      <c r="P322" s="90"/>
      <c r="Q322" s="85" t="s">
        <v>765</v>
      </c>
      <c r="R322" s="85">
        <v>469998833.31</v>
      </c>
      <c r="S322" s="89">
        <v>0</v>
      </c>
      <c r="T322" s="85">
        <v>72876553.78</v>
      </c>
      <c r="U322" s="85">
        <v>16286261.6127</v>
      </c>
      <c r="V322" s="85">
        <v>16286261.6127</v>
      </c>
      <c r="W322" s="85">
        <f t="shared" si="74"/>
        <v>0</v>
      </c>
      <c r="X322" s="85">
        <v>782726245.38</v>
      </c>
      <c r="Y322" s="86">
        <f t="shared" si="64"/>
        <v>1325601632.47</v>
      </c>
    </row>
    <row r="323" ht="24.95" customHeight="1" spans="1:25">
      <c r="A323" s="83"/>
      <c r="B323" s="90"/>
      <c r="C323" s="80">
        <v>16</v>
      </c>
      <c r="D323" s="85" t="s">
        <v>766</v>
      </c>
      <c r="E323" s="85">
        <v>326001282.51</v>
      </c>
      <c r="F323" s="85">
        <v>0</v>
      </c>
      <c r="G323" s="85">
        <v>50548742.49</v>
      </c>
      <c r="H323" s="85">
        <v>11296500.7502</v>
      </c>
      <c r="I323" s="85">
        <v>11296500.7502</v>
      </c>
      <c r="J323" s="85">
        <f t="shared" si="73"/>
        <v>0</v>
      </c>
      <c r="K323" s="108">
        <v>254053894.64</v>
      </c>
      <c r="L323" s="86">
        <f t="shared" si="61"/>
        <v>630603919.64</v>
      </c>
      <c r="M323" s="79"/>
      <c r="N323" s="90"/>
      <c r="O323" s="87">
        <v>17</v>
      </c>
      <c r="P323" s="90"/>
      <c r="Q323" s="85" t="s">
        <v>767</v>
      </c>
      <c r="R323" s="85">
        <v>322910192.26</v>
      </c>
      <c r="S323" s="89">
        <v>0</v>
      </c>
      <c r="T323" s="85">
        <v>50069447.68</v>
      </c>
      <c r="U323" s="85">
        <v>11189389.1982</v>
      </c>
      <c r="V323" s="85">
        <v>11189389.1982</v>
      </c>
      <c r="W323" s="85">
        <f t="shared" si="74"/>
        <v>0</v>
      </c>
      <c r="X323" s="85">
        <v>705184764.23</v>
      </c>
      <c r="Y323" s="86">
        <f t="shared" si="64"/>
        <v>1078164404.17</v>
      </c>
    </row>
    <row r="324" ht="24.95" customHeight="1" spans="1:25">
      <c r="A324" s="83"/>
      <c r="B324" s="90"/>
      <c r="C324" s="80">
        <v>17</v>
      </c>
      <c r="D324" s="85" t="s">
        <v>768</v>
      </c>
      <c r="E324" s="85">
        <v>382713811.91</v>
      </c>
      <c r="F324" s="85">
        <v>0</v>
      </c>
      <c r="G324" s="85">
        <v>59342410.49</v>
      </c>
      <c r="H324" s="85">
        <v>13261686.672</v>
      </c>
      <c r="I324" s="85">
        <v>13261686.672</v>
      </c>
      <c r="J324" s="85">
        <f t="shared" si="73"/>
        <v>0</v>
      </c>
      <c r="K324" s="108">
        <v>263275436.21</v>
      </c>
      <c r="L324" s="86">
        <f t="shared" si="61"/>
        <v>705331658.61</v>
      </c>
      <c r="M324" s="79"/>
      <c r="N324" s="90"/>
      <c r="O324" s="87">
        <v>18</v>
      </c>
      <c r="P324" s="90"/>
      <c r="Q324" s="85" t="s">
        <v>769</v>
      </c>
      <c r="R324" s="85">
        <v>397342370.88</v>
      </c>
      <c r="S324" s="89">
        <v>0</v>
      </c>
      <c r="T324" s="85">
        <v>61610669.23</v>
      </c>
      <c r="U324" s="85">
        <v>13768591.2033</v>
      </c>
      <c r="V324" s="85">
        <v>13768591.2033</v>
      </c>
      <c r="W324" s="85">
        <f t="shared" si="74"/>
        <v>0</v>
      </c>
      <c r="X324" s="85">
        <v>759765369.97</v>
      </c>
      <c r="Y324" s="86">
        <f t="shared" si="64"/>
        <v>1218718410.08</v>
      </c>
    </row>
    <row r="325" ht="24.95" customHeight="1" spans="1:25">
      <c r="A325" s="83"/>
      <c r="B325" s="90"/>
      <c r="C325" s="80">
        <v>18</v>
      </c>
      <c r="D325" s="85" t="s">
        <v>770</v>
      </c>
      <c r="E325" s="85">
        <v>414242667.21</v>
      </c>
      <c r="F325" s="85">
        <v>0</v>
      </c>
      <c r="G325" s="85">
        <v>64231176.49</v>
      </c>
      <c r="H325" s="85">
        <v>14354215.3111</v>
      </c>
      <c r="I325" s="85">
        <v>14354215.3111</v>
      </c>
      <c r="J325" s="85">
        <f t="shared" si="73"/>
        <v>0</v>
      </c>
      <c r="K325" s="108">
        <v>277918624.85</v>
      </c>
      <c r="L325" s="86">
        <f t="shared" si="61"/>
        <v>756392468.55</v>
      </c>
      <c r="M325" s="79"/>
      <c r="N325" s="90"/>
      <c r="O325" s="87">
        <v>19</v>
      </c>
      <c r="P325" s="90"/>
      <c r="Q325" s="85" t="s">
        <v>771</v>
      </c>
      <c r="R325" s="85">
        <v>314933005.96</v>
      </c>
      <c r="S325" s="89">
        <v>0</v>
      </c>
      <c r="T325" s="85">
        <v>48832530.04</v>
      </c>
      <c r="U325" s="85">
        <v>10912966.0801</v>
      </c>
      <c r="V325" s="85">
        <v>10912966.0801</v>
      </c>
      <c r="W325" s="85">
        <f t="shared" si="74"/>
        <v>0</v>
      </c>
      <c r="X325" s="85">
        <v>714698576.88</v>
      </c>
      <c r="Y325" s="86">
        <f t="shared" si="64"/>
        <v>1078464112.88</v>
      </c>
    </row>
    <row r="326" ht="24.95" customHeight="1" spans="1:25">
      <c r="A326" s="83"/>
      <c r="B326" s="90"/>
      <c r="C326" s="80">
        <v>19</v>
      </c>
      <c r="D326" s="85" t="s">
        <v>772</v>
      </c>
      <c r="E326" s="85">
        <v>362937191.63</v>
      </c>
      <c r="F326" s="85">
        <v>0</v>
      </c>
      <c r="G326" s="85">
        <v>56275909.41</v>
      </c>
      <c r="H326" s="85">
        <v>12576393.031</v>
      </c>
      <c r="I326" s="85">
        <v>12576393.031</v>
      </c>
      <c r="J326" s="85">
        <f t="shared" si="73"/>
        <v>0</v>
      </c>
      <c r="K326" s="108">
        <v>259285509.95</v>
      </c>
      <c r="L326" s="86">
        <f t="shared" si="61"/>
        <v>678498610.99</v>
      </c>
      <c r="M326" s="79"/>
      <c r="N326" s="90"/>
      <c r="O326" s="87">
        <v>20</v>
      </c>
      <c r="P326" s="90"/>
      <c r="Q326" s="85" t="s">
        <v>773</v>
      </c>
      <c r="R326" s="85">
        <v>340653395.24</v>
      </c>
      <c r="S326" s="89">
        <v>0</v>
      </c>
      <c r="T326" s="85">
        <v>52820653.41</v>
      </c>
      <c r="U326" s="85">
        <v>11804221.4594</v>
      </c>
      <c r="V326" s="85">
        <v>11804221.4594</v>
      </c>
      <c r="W326" s="85">
        <f t="shared" si="74"/>
        <v>0</v>
      </c>
      <c r="X326" s="85">
        <v>733644336.64</v>
      </c>
      <c r="Y326" s="86">
        <f t="shared" si="64"/>
        <v>1127118385.29</v>
      </c>
    </row>
    <row r="327" ht="24.95" customHeight="1" spans="1:25">
      <c r="A327" s="83"/>
      <c r="B327" s="90"/>
      <c r="C327" s="80">
        <v>20</v>
      </c>
      <c r="D327" s="85" t="s">
        <v>774</v>
      </c>
      <c r="E327" s="85">
        <v>322431679.08</v>
      </c>
      <c r="F327" s="85">
        <v>0</v>
      </c>
      <c r="G327" s="85">
        <v>49995250.91</v>
      </c>
      <c r="H327" s="85">
        <v>11172807.8999</v>
      </c>
      <c r="I327" s="85">
        <v>11172807.8999</v>
      </c>
      <c r="J327" s="85">
        <f t="shared" si="73"/>
        <v>0</v>
      </c>
      <c r="K327" s="108">
        <v>247064948.52</v>
      </c>
      <c r="L327" s="86">
        <f t="shared" si="61"/>
        <v>619491878.51</v>
      </c>
      <c r="M327" s="79"/>
      <c r="N327" s="90"/>
      <c r="O327" s="87">
        <v>21</v>
      </c>
      <c r="P327" s="90"/>
      <c r="Q327" s="85" t="s">
        <v>775</v>
      </c>
      <c r="R327" s="85">
        <v>351832954.3</v>
      </c>
      <c r="S327" s="89">
        <v>0</v>
      </c>
      <c r="T327" s="85">
        <v>54554120.99</v>
      </c>
      <c r="U327" s="85">
        <v>12191612.2585</v>
      </c>
      <c r="V327" s="85">
        <v>12191612.2585</v>
      </c>
      <c r="W327" s="85">
        <f t="shared" si="74"/>
        <v>0</v>
      </c>
      <c r="X327" s="85">
        <v>722966996.15</v>
      </c>
      <c r="Y327" s="86">
        <f t="shared" si="64"/>
        <v>1129354071.44</v>
      </c>
    </row>
    <row r="328" ht="24.95" customHeight="1" spans="1:25">
      <c r="A328" s="83"/>
      <c r="B328" s="90"/>
      <c r="C328" s="80">
        <v>21</v>
      </c>
      <c r="D328" s="85" t="s">
        <v>776</v>
      </c>
      <c r="E328" s="85">
        <v>354630541.04</v>
      </c>
      <c r="F328" s="85">
        <v>0</v>
      </c>
      <c r="G328" s="85">
        <v>54987906.06</v>
      </c>
      <c r="H328" s="85">
        <v>12288553.4132</v>
      </c>
      <c r="I328" s="85">
        <v>12288553.4132</v>
      </c>
      <c r="J328" s="85">
        <f t="shared" si="73"/>
        <v>0</v>
      </c>
      <c r="K328" s="108">
        <v>263167640.41</v>
      </c>
      <c r="L328" s="86">
        <f t="shared" ref="L328:L386" si="75">E328+F328+G328+J328+K328</f>
        <v>672786087.51</v>
      </c>
      <c r="M328" s="79"/>
      <c r="N328" s="90"/>
      <c r="O328" s="87">
        <v>22</v>
      </c>
      <c r="P328" s="90"/>
      <c r="Q328" s="85" t="s">
        <v>777</v>
      </c>
      <c r="R328" s="85">
        <v>653399478.51</v>
      </c>
      <c r="S328" s="89">
        <v>0</v>
      </c>
      <c r="T328" s="85">
        <v>101314086.04</v>
      </c>
      <c r="U328" s="85">
        <v>22641406.9364</v>
      </c>
      <c r="V328" s="85">
        <v>22641406.9364</v>
      </c>
      <c r="W328" s="85">
        <f t="shared" si="74"/>
        <v>0</v>
      </c>
      <c r="X328" s="85">
        <v>877966240.73</v>
      </c>
      <c r="Y328" s="86">
        <f t="shared" si="64"/>
        <v>1632679805.28</v>
      </c>
    </row>
    <row r="329" ht="24.95" customHeight="1" spans="1:25">
      <c r="A329" s="83"/>
      <c r="B329" s="90"/>
      <c r="C329" s="80">
        <v>22</v>
      </c>
      <c r="D329" s="85" t="s">
        <v>778</v>
      </c>
      <c r="E329" s="85">
        <v>344978601.25</v>
      </c>
      <c r="F329" s="85">
        <v>0</v>
      </c>
      <c r="G329" s="85">
        <v>53491306.37</v>
      </c>
      <c r="H329" s="85">
        <v>11954097.2287</v>
      </c>
      <c r="I329" s="85">
        <v>11954097.2287</v>
      </c>
      <c r="J329" s="85">
        <f t="shared" si="73"/>
        <v>0</v>
      </c>
      <c r="K329" s="108">
        <v>254753641.24</v>
      </c>
      <c r="L329" s="86">
        <f t="shared" si="75"/>
        <v>653223548.86</v>
      </c>
      <c r="M329" s="79"/>
      <c r="N329" s="92"/>
      <c r="O329" s="87">
        <v>23</v>
      </c>
      <c r="P329" s="92"/>
      <c r="Q329" s="85" t="s">
        <v>779</v>
      </c>
      <c r="R329" s="85">
        <v>386738120.88</v>
      </c>
      <c r="S329" s="89">
        <v>0</v>
      </c>
      <c r="T329" s="85">
        <v>59966407.28</v>
      </c>
      <c r="U329" s="85">
        <v>13401135.8452</v>
      </c>
      <c r="V329" s="85">
        <v>13401135.8452</v>
      </c>
      <c r="W329" s="85">
        <f t="shared" si="74"/>
        <v>0</v>
      </c>
      <c r="X329" s="85">
        <v>721155582.22</v>
      </c>
      <c r="Y329" s="86">
        <f t="shared" si="64"/>
        <v>1167860110.38</v>
      </c>
    </row>
    <row r="330" ht="24.95" customHeight="1" spans="1:25">
      <c r="A330" s="83"/>
      <c r="B330" s="90"/>
      <c r="C330" s="80">
        <v>23</v>
      </c>
      <c r="D330" s="85" t="s">
        <v>780</v>
      </c>
      <c r="E330" s="85">
        <v>333683331.61</v>
      </c>
      <c r="F330" s="85">
        <v>0</v>
      </c>
      <c r="G330" s="85">
        <v>51739897.08</v>
      </c>
      <c r="H330" s="85">
        <v>11562696.8605</v>
      </c>
      <c r="I330" s="85">
        <v>11562696.8605</v>
      </c>
      <c r="J330" s="85">
        <f t="shared" si="73"/>
        <v>0</v>
      </c>
      <c r="K330" s="108">
        <v>251723134.63</v>
      </c>
      <c r="L330" s="86">
        <f t="shared" si="75"/>
        <v>637146363.32</v>
      </c>
      <c r="M330" s="79"/>
      <c r="N330" s="80"/>
      <c r="O330" s="94" t="s">
        <v>781</v>
      </c>
      <c r="P330" s="98"/>
      <c r="Q330" s="95"/>
      <c r="R330" s="95">
        <f t="shared" ref="R330:V330" si="76">SUM(R307:R329)</f>
        <v>9673531874.57</v>
      </c>
      <c r="S330" s="89">
        <v>0</v>
      </c>
      <c r="T330" s="95">
        <f t="shared" si="76"/>
        <v>1499947693.33</v>
      </c>
      <c r="U330" s="95">
        <f t="shared" si="76"/>
        <v>335204387.0368</v>
      </c>
      <c r="V330" s="95">
        <f t="shared" si="76"/>
        <v>335204387.0368</v>
      </c>
      <c r="W330" s="95">
        <f t="shared" si="74"/>
        <v>0</v>
      </c>
      <c r="X330" s="95">
        <f>SUM(X307:X329)</f>
        <v>17503794315.02</v>
      </c>
      <c r="Y330" s="95">
        <f>SUM(Y307:Y329)</f>
        <v>28677273882.92</v>
      </c>
    </row>
    <row r="331" ht="24.95" customHeight="1" spans="1:25">
      <c r="A331" s="83"/>
      <c r="B331" s="90"/>
      <c r="C331" s="80">
        <v>24</v>
      </c>
      <c r="D331" s="85" t="s">
        <v>782</v>
      </c>
      <c r="E331" s="85">
        <v>345191013.13</v>
      </c>
      <c r="F331" s="85">
        <v>0</v>
      </c>
      <c r="G331" s="85">
        <v>53524242.29</v>
      </c>
      <c r="H331" s="85">
        <v>11961457.6627</v>
      </c>
      <c r="I331" s="85">
        <v>11961457.6627</v>
      </c>
      <c r="J331" s="85">
        <f t="shared" si="73"/>
        <v>0</v>
      </c>
      <c r="K331" s="108">
        <v>253823485.75</v>
      </c>
      <c r="L331" s="86">
        <f t="shared" si="75"/>
        <v>652538741.17</v>
      </c>
      <c r="M331" s="79"/>
      <c r="N331" s="84">
        <v>33</v>
      </c>
      <c r="O331" s="87">
        <v>1</v>
      </c>
      <c r="P331" s="114" t="s">
        <v>120</v>
      </c>
      <c r="Q331" s="85" t="s">
        <v>783</v>
      </c>
      <c r="R331" s="85">
        <v>362339986.79</v>
      </c>
      <c r="S331" s="89">
        <v>0</v>
      </c>
      <c r="T331" s="85">
        <v>56183308.69</v>
      </c>
      <c r="U331" s="85">
        <v>12555698.8644</v>
      </c>
      <c r="V331" s="85">
        <v>0</v>
      </c>
      <c r="W331" s="85">
        <f t="shared" si="74"/>
        <v>12555698.8644</v>
      </c>
      <c r="X331" s="85">
        <v>225279221.48</v>
      </c>
      <c r="Y331" s="86">
        <f t="shared" si="64"/>
        <v>656358215.8244</v>
      </c>
    </row>
    <row r="332" ht="24.95" customHeight="1" spans="1:25">
      <c r="A332" s="83"/>
      <c r="B332" s="90"/>
      <c r="C332" s="80">
        <v>25</v>
      </c>
      <c r="D332" s="85" t="s">
        <v>784</v>
      </c>
      <c r="E332" s="85">
        <v>348352230.06</v>
      </c>
      <c r="F332" s="85">
        <v>0</v>
      </c>
      <c r="G332" s="85">
        <v>54014410.74</v>
      </c>
      <c r="H332" s="85">
        <v>12070999.2238</v>
      </c>
      <c r="I332" s="85">
        <v>12070999.2238</v>
      </c>
      <c r="J332" s="85">
        <f t="shared" si="73"/>
        <v>0</v>
      </c>
      <c r="K332" s="108">
        <v>257424458.1</v>
      </c>
      <c r="L332" s="86">
        <f t="shared" si="75"/>
        <v>659791098.9</v>
      </c>
      <c r="M332" s="79"/>
      <c r="N332" s="90"/>
      <c r="O332" s="87">
        <v>2</v>
      </c>
      <c r="P332" s="115"/>
      <c r="Q332" s="85" t="s">
        <v>785</v>
      </c>
      <c r="R332" s="85">
        <v>412464316.73</v>
      </c>
      <c r="S332" s="89">
        <v>0</v>
      </c>
      <c r="T332" s="85">
        <v>63955431.01</v>
      </c>
      <c r="U332" s="85">
        <v>14292592.4322</v>
      </c>
      <c r="V332" s="85">
        <v>0</v>
      </c>
      <c r="W332" s="85">
        <f t="shared" si="74"/>
        <v>14292592.4322</v>
      </c>
      <c r="X332" s="85">
        <v>251349876.02</v>
      </c>
      <c r="Y332" s="86">
        <f t="shared" si="64"/>
        <v>742062216.1922</v>
      </c>
    </row>
    <row r="333" ht="24.95" customHeight="1" spans="1:25">
      <c r="A333" s="83"/>
      <c r="B333" s="90"/>
      <c r="C333" s="80">
        <v>26</v>
      </c>
      <c r="D333" s="85" t="s">
        <v>786</v>
      </c>
      <c r="E333" s="85">
        <v>370587558.67</v>
      </c>
      <c r="F333" s="85">
        <v>0</v>
      </c>
      <c r="G333" s="85">
        <v>57462151.47</v>
      </c>
      <c r="H333" s="85">
        <v>12841491.3041</v>
      </c>
      <c r="I333" s="85">
        <v>12841491.3041</v>
      </c>
      <c r="J333" s="85">
        <f t="shared" si="73"/>
        <v>0</v>
      </c>
      <c r="K333" s="108">
        <v>275272626.94</v>
      </c>
      <c r="L333" s="86">
        <f t="shared" si="75"/>
        <v>703322337.08</v>
      </c>
      <c r="M333" s="79"/>
      <c r="N333" s="90"/>
      <c r="O333" s="87">
        <v>3</v>
      </c>
      <c r="P333" s="115"/>
      <c r="Q333" s="85" t="s">
        <v>787</v>
      </c>
      <c r="R333" s="85">
        <v>444498865.02</v>
      </c>
      <c r="S333" s="89">
        <v>0</v>
      </c>
      <c r="T333" s="85">
        <v>68922608.2</v>
      </c>
      <c r="U333" s="85">
        <v>15402644.1965</v>
      </c>
      <c r="V333" s="85">
        <v>0</v>
      </c>
      <c r="W333" s="85">
        <f t="shared" si="74"/>
        <v>15402644.1965</v>
      </c>
      <c r="X333" s="85">
        <v>258439950.16</v>
      </c>
      <c r="Y333" s="86">
        <f t="shared" si="64"/>
        <v>787264067.5765</v>
      </c>
    </row>
    <row r="334" ht="24.95" customHeight="1" spans="1:25">
      <c r="A334" s="83"/>
      <c r="B334" s="92"/>
      <c r="C334" s="80">
        <v>27</v>
      </c>
      <c r="D334" s="85" t="s">
        <v>788</v>
      </c>
      <c r="E334" s="85">
        <v>331521941.01</v>
      </c>
      <c r="F334" s="85">
        <v>0</v>
      </c>
      <c r="G334" s="85">
        <v>51404758.59</v>
      </c>
      <c r="H334" s="85">
        <v>11487800.9886</v>
      </c>
      <c r="I334" s="85">
        <v>11487800.9886</v>
      </c>
      <c r="J334" s="85">
        <f t="shared" si="73"/>
        <v>0</v>
      </c>
      <c r="K334" s="108">
        <v>247071616.3</v>
      </c>
      <c r="L334" s="86">
        <f t="shared" si="75"/>
        <v>629998315.9</v>
      </c>
      <c r="M334" s="79"/>
      <c r="N334" s="90"/>
      <c r="O334" s="87">
        <v>4</v>
      </c>
      <c r="P334" s="115"/>
      <c r="Q334" s="85" t="s">
        <v>789</v>
      </c>
      <c r="R334" s="85">
        <v>482620116.55</v>
      </c>
      <c r="S334" s="89">
        <v>0</v>
      </c>
      <c r="T334" s="85">
        <v>74833570.61</v>
      </c>
      <c r="U334" s="85">
        <v>16723610.6148</v>
      </c>
      <c r="V334" s="85">
        <v>0</v>
      </c>
      <c r="W334" s="85">
        <f t="shared" si="74"/>
        <v>16723610.6148</v>
      </c>
      <c r="X334" s="85">
        <v>278339943.51</v>
      </c>
      <c r="Y334" s="86">
        <f t="shared" si="64"/>
        <v>852517241.2848</v>
      </c>
    </row>
    <row r="335" ht="24.95" customHeight="1" spans="1:25">
      <c r="A335" s="80"/>
      <c r="B335" s="93" t="s">
        <v>790</v>
      </c>
      <c r="C335" s="94"/>
      <c r="D335" s="95"/>
      <c r="E335" s="95">
        <f t="shared" ref="E335:M335" si="77">SUM(E308:E334)</f>
        <v>9797122514.47</v>
      </c>
      <c r="F335" s="85">
        <v>0</v>
      </c>
      <c r="G335" s="95">
        <f t="shared" si="77"/>
        <v>1519111272.63</v>
      </c>
      <c r="H335" s="95">
        <f t="shared" si="77"/>
        <v>339487013.6131</v>
      </c>
      <c r="I335" s="95">
        <f t="shared" si="77"/>
        <v>339487013.6131</v>
      </c>
      <c r="J335" s="95">
        <f t="shared" si="77"/>
        <v>0</v>
      </c>
      <c r="K335" s="95">
        <f t="shared" si="77"/>
        <v>7135731340.41</v>
      </c>
      <c r="L335" s="95">
        <f t="shared" si="77"/>
        <v>18451965127.51</v>
      </c>
      <c r="M335" s="95">
        <f t="shared" si="77"/>
        <v>0</v>
      </c>
      <c r="N335" s="90"/>
      <c r="O335" s="87">
        <v>5</v>
      </c>
      <c r="P335" s="115"/>
      <c r="Q335" s="85" t="s">
        <v>791</v>
      </c>
      <c r="R335" s="85">
        <v>454003115.85</v>
      </c>
      <c r="S335" s="89">
        <v>0</v>
      </c>
      <c r="T335" s="85">
        <v>70396307.7</v>
      </c>
      <c r="U335" s="85">
        <v>15731982.7065</v>
      </c>
      <c r="V335" s="85">
        <v>0</v>
      </c>
      <c r="W335" s="85">
        <f t="shared" si="74"/>
        <v>15731982.7065</v>
      </c>
      <c r="X335" s="85">
        <v>253902154.54</v>
      </c>
      <c r="Y335" s="86">
        <f t="shared" si="64"/>
        <v>794033560.7965</v>
      </c>
    </row>
    <row r="336" ht="24.95" customHeight="1" spans="1:25">
      <c r="A336" s="83">
        <v>17</v>
      </c>
      <c r="B336" s="84" t="s">
        <v>792</v>
      </c>
      <c r="C336" s="80">
        <v>1</v>
      </c>
      <c r="D336" s="85" t="s">
        <v>793</v>
      </c>
      <c r="E336" s="85">
        <v>346201128.16</v>
      </c>
      <c r="F336" s="85">
        <v>0</v>
      </c>
      <c r="G336" s="85">
        <v>53680867.58</v>
      </c>
      <c r="H336" s="85">
        <v>11996459.8723</v>
      </c>
      <c r="I336" s="85">
        <v>0</v>
      </c>
      <c r="J336" s="85">
        <f t="shared" ref="J336:J362" si="78">H336-I336</f>
        <v>11996459.8723</v>
      </c>
      <c r="K336" s="108">
        <v>233253315.22</v>
      </c>
      <c r="L336" s="86">
        <f t="shared" si="75"/>
        <v>645131770.8323</v>
      </c>
      <c r="M336" s="79"/>
      <c r="N336" s="90"/>
      <c r="O336" s="87">
        <v>6</v>
      </c>
      <c r="P336" s="115"/>
      <c r="Q336" s="85" t="s">
        <v>794</v>
      </c>
      <c r="R336" s="85">
        <v>411378211.93</v>
      </c>
      <c r="S336" s="89">
        <v>0</v>
      </c>
      <c r="T336" s="85">
        <v>63787022.99</v>
      </c>
      <c r="U336" s="85">
        <v>14254957.0476</v>
      </c>
      <c r="V336" s="85">
        <v>0</v>
      </c>
      <c r="W336" s="85">
        <f t="shared" si="74"/>
        <v>14254957.0476</v>
      </c>
      <c r="X336" s="85">
        <v>221766412.02</v>
      </c>
      <c r="Y336" s="86">
        <f t="shared" si="64"/>
        <v>711186603.9876</v>
      </c>
    </row>
    <row r="337" ht="24.95" customHeight="1" spans="1:25">
      <c r="A337" s="83"/>
      <c r="B337" s="90"/>
      <c r="C337" s="80">
        <v>2</v>
      </c>
      <c r="D337" s="85" t="s">
        <v>795</v>
      </c>
      <c r="E337" s="85">
        <v>409455963.48</v>
      </c>
      <c r="F337" s="85">
        <v>0</v>
      </c>
      <c r="G337" s="85">
        <v>63488965.14</v>
      </c>
      <c r="H337" s="85">
        <v>14188347.8586</v>
      </c>
      <c r="I337" s="85">
        <v>0</v>
      </c>
      <c r="J337" s="85">
        <f t="shared" si="78"/>
        <v>14188347.8586</v>
      </c>
      <c r="K337" s="108">
        <v>261443212.92</v>
      </c>
      <c r="L337" s="86">
        <f t="shared" si="75"/>
        <v>748576489.3986</v>
      </c>
      <c r="M337" s="79"/>
      <c r="N337" s="90"/>
      <c r="O337" s="87">
        <v>7</v>
      </c>
      <c r="P337" s="115"/>
      <c r="Q337" s="85" t="s">
        <v>796</v>
      </c>
      <c r="R337" s="85">
        <v>469852618.99</v>
      </c>
      <c r="S337" s="89">
        <v>0</v>
      </c>
      <c r="T337" s="85">
        <v>72853882.24</v>
      </c>
      <c r="U337" s="85">
        <v>16281195.0368</v>
      </c>
      <c r="V337" s="85">
        <v>0</v>
      </c>
      <c r="W337" s="85">
        <f t="shared" si="74"/>
        <v>16281195.0368</v>
      </c>
      <c r="X337" s="85">
        <v>272076303.83</v>
      </c>
      <c r="Y337" s="86">
        <f t="shared" si="64"/>
        <v>831064000.0968</v>
      </c>
    </row>
    <row r="338" ht="24.95" customHeight="1" spans="1:25">
      <c r="A338" s="83"/>
      <c r="B338" s="90"/>
      <c r="C338" s="80">
        <v>3</v>
      </c>
      <c r="D338" s="85" t="s">
        <v>797</v>
      </c>
      <c r="E338" s="85">
        <v>508146017.39</v>
      </c>
      <c r="F338" s="85">
        <v>0</v>
      </c>
      <c r="G338" s="85">
        <v>78791537.21</v>
      </c>
      <c r="H338" s="85">
        <v>17608126.6381</v>
      </c>
      <c r="I338" s="85">
        <v>0</v>
      </c>
      <c r="J338" s="85">
        <f t="shared" si="78"/>
        <v>17608126.6381</v>
      </c>
      <c r="K338" s="108">
        <v>300439361.55</v>
      </c>
      <c r="L338" s="86">
        <f t="shared" si="75"/>
        <v>904985042.7881</v>
      </c>
      <c r="M338" s="79"/>
      <c r="N338" s="90"/>
      <c r="O338" s="87">
        <v>8</v>
      </c>
      <c r="P338" s="115"/>
      <c r="Q338" s="85" t="s">
        <v>798</v>
      </c>
      <c r="R338" s="85">
        <v>400930277.2</v>
      </c>
      <c r="S338" s="89">
        <v>0</v>
      </c>
      <c r="T338" s="85">
        <v>62166998.8</v>
      </c>
      <c r="U338" s="85">
        <v>13892918.2801</v>
      </c>
      <c r="V338" s="85">
        <v>0</v>
      </c>
      <c r="W338" s="85">
        <f t="shared" si="74"/>
        <v>13892918.2801</v>
      </c>
      <c r="X338" s="85">
        <v>242119814.51</v>
      </c>
      <c r="Y338" s="86">
        <f t="shared" si="64"/>
        <v>719110008.7901</v>
      </c>
    </row>
    <row r="339" ht="24.95" customHeight="1" spans="1:25">
      <c r="A339" s="83"/>
      <c r="B339" s="90"/>
      <c r="C339" s="80">
        <v>4</v>
      </c>
      <c r="D339" s="85" t="s">
        <v>799</v>
      </c>
      <c r="E339" s="85">
        <v>384353060.74</v>
      </c>
      <c r="F339" s="85">
        <v>0</v>
      </c>
      <c r="G339" s="85">
        <v>59596587.3</v>
      </c>
      <c r="H339" s="85">
        <v>13318489.4411</v>
      </c>
      <c r="I339" s="85">
        <v>0</v>
      </c>
      <c r="J339" s="85">
        <f t="shared" si="78"/>
        <v>13318489.4411</v>
      </c>
      <c r="K339" s="108">
        <v>237079139.97</v>
      </c>
      <c r="L339" s="86">
        <f t="shared" si="75"/>
        <v>694347277.4511</v>
      </c>
      <c r="M339" s="79"/>
      <c r="N339" s="90"/>
      <c r="O339" s="87">
        <v>9</v>
      </c>
      <c r="P339" s="115"/>
      <c r="Q339" s="85" t="s">
        <v>800</v>
      </c>
      <c r="R339" s="85">
        <v>453823210.43</v>
      </c>
      <c r="S339" s="89">
        <v>0</v>
      </c>
      <c r="T339" s="85">
        <v>70368412.13</v>
      </c>
      <c r="U339" s="85">
        <v>15725748.6766</v>
      </c>
      <c r="V339" s="85">
        <v>0</v>
      </c>
      <c r="W339" s="85">
        <f t="shared" si="74"/>
        <v>15725748.6766</v>
      </c>
      <c r="X339" s="85">
        <v>240495098.46</v>
      </c>
      <c r="Y339" s="86">
        <f t="shared" si="64"/>
        <v>780412469.6966</v>
      </c>
    </row>
    <row r="340" ht="24.95" customHeight="1" spans="1:25">
      <c r="A340" s="83"/>
      <c r="B340" s="90"/>
      <c r="C340" s="80">
        <v>5</v>
      </c>
      <c r="D340" s="85" t="s">
        <v>801</v>
      </c>
      <c r="E340" s="85">
        <v>323533335.74</v>
      </c>
      <c r="F340" s="85">
        <v>0</v>
      </c>
      <c r="G340" s="85">
        <v>51139070.73</v>
      </c>
      <c r="H340" s="85">
        <v>11428425.7614</v>
      </c>
      <c r="I340" s="85">
        <v>0</v>
      </c>
      <c r="J340" s="85">
        <f t="shared" si="78"/>
        <v>11428425.7614</v>
      </c>
      <c r="K340" s="108">
        <v>220425244.82</v>
      </c>
      <c r="L340" s="86">
        <f t="shared" si="75"/>
        <v>606526077.0514</v>
      </c>
      <c r="M340" s="79"/>
      <c r="N340" s="90"/>
      <c r="O340" s="87">
        <v>10</v>
      </c>
      <c r="P340" s="115"/>
      <c r="Q340" s="85" t="s">
        <v>802</v>
      </c>
      <c r="R340" s="85">
        <v>409739177.18</v>
      </c>
      <c r="S340" s="89">
        <v>0</v>
      </c>
      <c r="T340" s="85">
        <v>63532879.37</v>
      </c>
      <c r="U340" s="85">
        <v>14198161.6964</v>
      </c>
      <c r="V340" s="85">
        <v>0</v>
      </c>
      <c r="W340" s="85">
        <f t="shared" si="74"/>
        <v>14198161.6964</v>
      </c>
      <c r="X340" s="85">
        <v>232551177.88</v>
      </c>
      <c r="Y340" s="86">
        <f t="shared" si="64"/>
        <v>720021396.1264</v>
      </c>
    </row>
    <row r="341" ht="24.95" customHeight="1" spans="1:25">
      <c r="A341" s="83"/>
      <c r="B341" s="90"/>
      <c r="C341" s="80">
        <v>6</v>
      </c>
      <c r="D341" s="85" t="s">
        <v>803</v>
      </c>
      <c r="E341" s="85">
        <v>454151981.23</v>
      </c>
      <c r="F341" s="85">
        <v>0</v>
      </c>
      <c r="G341" s="85">
        <v>50166070.36</v>
      </c>
      <c r="H341" s="85">
        <v>11210982.1829</v>
      </c>
      <c r="I341" s="85">
        <v>0</v>
      </c>
      <c r="J341" s="85">
        <f t="shared" si="78"/>
        <v>11210982.1829</v>
      </c>
      <c r="K341" s="108">
        <v>275535198.31</v>
      </c>
      <c r="L341" s="86">
        <f t="shared" si="75"/>
        <v>791064232.0829</v>
      </c>
      <c r="M341" s="79"/>
      <c r="N341" s="90"/>
      <c r="O341" s="87">
        <v>11</v>
      </c>
      <c r="P341" s="115"/>
      <c r="Q341" s="85" t="s">
        <v>804</v>
      </c>
      <c r="R341" s="85">
        <v>379954055.49</v>
      </c>
      <c r="S341" s="89">
        <v>0</v>
      </c>
      <c r="T341" s="85">
        <v>58914491.26</v>
      </c>
      <c r="U341" s="85">
        <v>13166056.4027</v>
      </c>
      <c r="V341" s="85">
        <v>0</v>
      </c>
      <c r="W341" s="85">
        <f t="shared" si="74"/>
        <v>13166056.4027</v>
      </c>
      <c r="X341" s="85">
        <v>235974342.72</v>
      </c>
      <c r="Y341" s="86">
        <f t="shared" si="64"/>
        <v>688008945.8727</v>
      </c>
    </row>
    <row r="342" ht="24.95" customHeight="1" spans="1:25">
      <c r="A342" s="83"/>
      <c r="B342" s="90"/>
      <c r="C342" s="80">
        <v>7</v>
      </c>
      <c r="D342" s="85" t="s">
        <v>805</v>
      </c>
      <c r="E342" s="85">
        <v>329808454.65</v>
      </c>
      <c r="F342" s="85">
        <v>0</v>
      </c>
      <c r="G342" s="85">
        <v>70419390.3</v>
      </c>
      <c r="H342" s="85">
        <v>15737141.1459</v>
      </c>
      <c r="I342" s="85">
        <v>0</v>
      </c>
      <c r="J342" s="85">
        <f t="shared" si="78"/>
        <v>15737141.1459</v>
      </c>
      <c r="K342" s="108">
        <v>214136415.74</v>
      </c>
      <c r="L342" s="86">
        <f t="shared" si="75"/>
        <v>630101401.8359</v>
      </c>
      <c r="M342" s="79"/>
      <c r="N342" s="90"/>
      <c r="O342" s="87">
        <v>12</v>
      </c>
      <c r="P342" s="115"/>
      <c r="Q342" s="85" t="s">
        <v>806</v>
      </c>
      <c r="R342" s="85">
        <v>452381531.78</v>
      </c>
      <c r="S342" s="89">
        <v>0</v>
      </c>
      <c r="T342" s="85">
        <v>70144869.93</v>
      </c>
      <c r="U342" s="85">
        <v>15675792.0514</v>
      </c>
      <c r="V342" s="85">
        <v>0</v>
      </c>
      <c r="W342" s="85">
        <f t="shared" si="74"/>
        <v>15675792.0514</v>
      </c>
      <c r="X342" s="85">
        <v>241629362.15</v>
      </c>
      <c r="Y342" s="86">
        <f t="shared" si="64"/>
        <v>779831555.9114</v>
      </c>
    </row>
    <row r="343" ht="24.95" customHeight="1" spans="1:25">
      <c r="A343" s="83"/>
      <c r="B343" s="90"/>
      <c r="C343" s="80">
        <v>8</v>
      </c>
      <c r="D343" s="85" t="s">
        <v>807</v>
      </c>
      <c r="E343" s="85">
        <v>381155680.76</v>
      </c>
      <c r="F343" s="85">
        <v>0</v>
      </c>
      <c r="G343" s="85">
        <v>59100811.53</v>
      </c>
      <c r="H343" s="85">
        <v>13207694.7688</v>
      </c>
      <c r="I343" s="85">
        <v>0</v>
      </c>
      <c r="J343" s="85">
        <f t="shared" si="78"/>
        <v>13207694.7688</v>
      </c>
      <c r="K343" s="108">
        <v>240747901.43</v>
      </c>
      <c r="L343" s="86">
        <f t="shared" si="75"/>
        <v>694212088.4888</v>
      </c>
      <c r="M343" s="79"/>
      <c r="N343" s="90"/>
      <c r="O343" s="87">
        <v>13</v>
      </c>
      <c r="P343" s="115"/>
      <c r="Q343" s="85" t="s">
        <v>808</v>
      </c>
      <c r="R343" s="85">
        <v>474639514.51</v>
      </c>
      <c r="S343" s="89">
        <v>0</v>
      </c>
      <c r="T343" s="85">
        <v>73596123.34</v>
      </c>
      <c r="U343" s="85">
        <v>16447069.1355</v>
      </c>
      <c r="V343" s="85">
        <v>0</v>
      </c>
      <c r="W343" s="85">
        <f t="shared" si="74"/>
        <v>16447069.1355</v>
      </c>
      <c r="X343" s="85">
        <v>263275202.91</v>
      </c>
      <c r="Y343" s="86">
        <f t="shared" si="64"/>
        <v>827957909.8955</v>
      </c>
    </row>
    <row r="344" ht="24.95" customHeight="1" spans="1:25">
      <c r="A344" s="83"/>
      <c r="B344" s="90"/>
      <c r="C344" s="80">
        <v>9</v>
      </c>
      <c r="D344" s="85" t="s">
        <v>809</v>
      </c>
      <c r="E344" s="85">
        <v>333867081.19</v>
      </c>
      <c r="F344" s="85">
        <v>0</v>
      </c>
      <c r="G344" s="85">
        <v>51768388.71</v>
      </c>
      <c r="H344" s="85">
        <v>11569064.0971</v>
      </c>
      <c r="I344" s="85">
        <v>0</v>
      </c>
      <c r="J344" s="85">
        <f t="shared" si="78"/>
        <v>11569064.0971</v>
      </c>
      <c r="K344" s="108">
        <v>224051777</v>
      </c>
      <c r="L344" s="86">
        <f t="shared" si="75"/>
        <v>621256310.9971</v>
      </c>
      <c r="M344" s="79"/>
      <c r="N344" s="90"/>
      <c r="O344" s="87">
        <v>14</v>
      </c>
      <c r="P344" s="115"/>
      <c r="Q344" s="85" t="s">
        <v>810</v>
      </c>
      <c r="R344" s="85">
        <v>427675347.39</v>
      </c>
      <c r="S344" s="89">
        <v>0</v>
      </c>
      <c r="T344" s="85">
        <v>66314006</v>
      </c>
      <c r="U344" s="85">
        <v>14819680.6018</v>
      </c>
      <c r="V344" s="85">
        <v>0</v>
      </c>
      <c r="W344" s="85">
        <f t="shared" si="74"/>
        <v>14819680.6018</v>
      </c>
      <c r="X344" s="85">
        <v>244314255.43</v>
      </c>
      <c r="Y344" s="86">
        <f t="shared" si="64"/>
        <v>753123289.4218</v>
      </c>
    </row>
    <row r="345" ht="24.95" customHeight="1" spans="1:25">
      <c r="A345" s="83"/>
      <c r="B345" s="90"/>
      <c r="C345" s="80">
        <v>10</v>
      </c>
      <c r="D345" s="85" t="s">
        <v>811</v>
      </c>
      <c r="E345" s="85">
        <v>352712398.19</v>
      </c>
      <c r="F345" s="85">
        <v>0</v>
      </c>
      <c r="G345" s="85">
        <v>54690484.81</v>
      </c>
      <c r="H345" s="85">
        <v>12222086.4901</v>
      </c>
      <c r="I345" s="85">
        <v>0</v>
      </c>
      <c r="J345" s="85">
        <f t="shared" si="78"/>
        <v>12222086.4901</v>
      </c>
      <c r="K345" s="108">
        <v>226962263.54</v>
      </c>
      <c r="L345" s="86">
        <f t="shared" si="75"/>
        <v>646587233.0301</v>
      </c>
      <c r="M345" s="79"/>
      <c r="N345" s="90"/>
      <c r="O345" s="87">
        <v>15</v>
      </c>
      <c r="P345" s="115"/>
      <c r="Q345" s="85" t="s">
        <v>812</v>
      </c>
      <c r="R345" s="85">
        <v>382957074.45</v>
      </c>
      <c r="S345" s="89">
        <v>0</v>
      </c>
      <c r="T345" s="85">
        <v>59380130.02</v>
      </c>
      <c r="U345" s="85">
        <v>13270116.1342</v>
      </c>
      <c r="V345" s="85">
        <v>0</v>
      </c>
      <c r="W345" s="85">
        <f t="shared" si="74"/>
        <v>13270116.1342</v>
      </c>
      <c r="X345" s="85">
        <v>225038810.92</v>
      </c>
      <c r="Y345" s="86">
        <f t="shared" si="64"/>
        <v>680646131.5242</v>
      </c>
    </row>
    <row r="346" ht="24.95" customHeight="1" spans="1:25">
      <c r="A346" s="83"/>
      <c r="B346" s="90"/>
      <c r="C346" s="80">
        <v>11</v>
      </c>
      <c r="D346" s="85" t="s">
        <v>813</v>
      </c>
      <c r="E346" s="85">
        <v>490643411.1</v>
      </c>
      <c r="F346" s="85">
        <v>0</v>
      </c>
      <c r="G346" s="85">
        <v>76077637.65</v>
      </c>
      <c r="H346" s="85">
        <v>17001631.4624</v>
      </c>
      <c r="I346" s="85">
        <v>0</v>
      </c>
      <c r="J346" s="85">
        <f t="shared" si="78"/>
        <v>17001631.4624</v>
      </c>
      <c r="K346" s="108">
        <v>285329057.78</v>
      </c>
      <c r="L346" s="86">
        <f t="shared" si="75"/>
        <v>869051737.9924</v>
      </c>
      <c r="M346" s="79"/>
      <c r="N346" s="90"/>
      <c r="O346" s="87">
        <v>16</v>
      </c>
      <c r="P346" s="115"/>
      <c r="Q346" s="85" t="s">
        <v>814</v>
      </c>
      <c r="R346" s="85">
        <v>425556412.57</v>
      </c>
      <c r="S346" s="89">
        <v>0</v>
      </c>
      <c r="T346" s="85">
        <v>65985450.58</v>
      </c>
      <c r="U346" s="85">
        <v>14746255.8943</v>
      </c>
      <c r="V346" s="85">
        <v>0</v>
      </c>
      <c r="W346" s="85">
        <f t="shared" si="74"/>
        <v>14746255.8943</v>
      </c>
      <c r="X346" s="85">
        <v>272627507.08</v>
      </c>
      <c r="Y346" s="86">
        <f t="shared" si="64"/>
        <v>778915626.1243</v>
      </c>
    </row>
    <row r="347" ht="24.95" customHeight="1" spans="1:25">
      <c r="A347" s="83"/>
      <c r="B347" s="90"/>
      <c r="C347" s="80">
        <v>12</v>
      </c>
      <c r="D347" s="85" t="s">
        <v>815</v>
      </c>
      <c r="E347" s="85">
        <v>362763852.38</v>
      </c>
      <c r="F347" s="85">
        <v>0</v>
      </c>
      <c r="G347" s="85">
        <v>56249031.96</v>
      </c>
      <c r="H347" s="85">
        <v>12570386.5303</v>
      </c>
      <c r="I347" s="85">
        <v>0</v>
      </c>
      <c r="J347" s="85">
        <f t="shared" si="78"/>
        <v>12570386.5303</v>
      </c>
      <c r="K347" s="108">
        <v>230480999.92</v>
      </c>
      <c r="L347" s="86">
        <f t="shared" si="75"/>
        <v>662064270.7903</v>
      </c>
      <c r="M347" s="79"/>
      <c r="N347" s="90"/>
      <c r="O347" s="87">
        <v>17</v>
      </c>
      <c r="P347" s="115"/>
      <c r="Q347" s="85" t="s">
        <v>816</v>
      </c>
      <c r="R347" s="85">
        <v>422118555.74</v>
      </c>
      <c r="S347" s="89">
        <v>0</v>
      </c>
      <c r="T347" s="85">
        <v>65452387.22</v>
      </c>
      <c r="U347" s="85">
        <v>14627128.2887</v>
      </c>
      <c r="V347" s="85">
        <v>0</v>
      </c>
      <c r="W347" s="85">
        <f t="shared" si="74"/>
        <v>14627128.2887</v>
      </c>
      <c r="X347" s="85">
        <v>258576269.24</v>
      </c>
      <c r="Y347" s="86">
        <f t="shared" si="64"/>
        <v>760774340.4887</v>
      </c>
    </row>
    <row r="348" ht="24.95" customHeight="1" spans="1:25">
      <c r="A348" s="83"/>
      <c r="B348" s="90"/>
      <c r="C348" s="80">
        <v>13</v>
      </c>
      <c r="D348" s="85" t="s">
        <v>817</v>
      </c>
      <c r="E348" s="85">
        <v>306231822.85</v>
      </c>
      <c r="F348" s="85">
        <v>0</v>
      </c>
      <c r="G348" s="85">
        <v>47483351.71</v>
      </c>
      <c r="H348" s="85">
        <v>10611455.2369</v>
      </c>
      <c r="I348" s="85">
        <v>0</v>
      </c>
      <c r="J348" s="85">
        <f t="shared" si="78"/>
        <v>10611455.2369</v>
      </c>
      <c r="K348" s="108">
        <v>223483904.29</v>
      </c>
      <c r="L348" s="86">
        <f t="shared" si="75"/>
        <v>587810534.0869</v>
      </c>
      <c r="M348" s="79"/>
      <c r="N348" s="90"/>
      <c r="O348" s="87">
        <v>18</v>
      </c>
      <c r="P348" s="115"/>
      <c r="Q348" s="85" t="s">
        <v>818</v>
      </c>
      <c r="R348" s="85">
        <v>472653116.76</v>
      </c>
      <c r="S348" s="89">
        <v>0</v>
      </c>
      <c r="T348" s="85">
        <v>73288118.7</v>
      </c>
      <c r="U348" s="85">
        <v>16378237.0637</v>
      </c>
      <c r="V348" s="85">
        <v>0</v>
      </c>
      <c r="W348" s="85">
        <f t="shared" si="74"/>
        <v>16378237.0637</v>
      </c>
      <c r="X348" s="85">
        <v>269695535.46</v>
      </c>
      <c r="Y348" s="86">
        <f t="shared" ref="Y348:Y410" si="79">R348+S348+T348+W348+X348</f>
        <v>832015007.9837</v>
      </c>
    </row>
    <row r="349" ht="24.95" customHeight="1" spans="1:25">
      <c r="A349" s="83"/>
      <c r="B349" s="90"/>
      <c r="C349" s="80">
        <v>14</v>
      </c>
      <c r="D349" s="85" t="s">
        <v>819</v>
      </c>
      <c r="E349" s="85">
        <v>420905868.51</v>
      </c>
      <c r="F349" s="85">
        <v>0</v>
      </c>
      <c r="G349" s="85">
        <v>65264351.71</v>
      </c>
      <c r="H349" s="85">
        <v>14585106.6067</v>
      </c>
      <c r="I349" s="85">
        <v>0</v>
      </c>
      <c r="J349" s="85">
        <f t="shared" si="78"/>
        <v>14585106.6067</v>
      </c>
      <c r="K349" s="108">
        <v>269219698.1</v>
      </c>
      <c r="L349" s="86">
        <f t="shared" si="75"/>
        <v>769975024.9267</v>
      </c>
      <c r="M349" s="79"/>
      <c r="N349" s="90"/>
      <c r="O349" s="87">
        <v>19</v>
      </c>
      <c r="P349" s="115"/>
      <c r="Q349" s="85" t="s">
        <v>820</v>
      </c>
      <c r="R349" s="85">
        <v>435767125.68</v>
      </c>
      <c r="S349" s="89">
        <v>0</v>
      </c>
      <c r="T349" s="85">
        <v>67568691.92</v>
      </c>
      <c r="U349" s="85">
        <v>15100074.5279</v>
      </c>
      <c r="V349" s="85">
        <v>0</v>
      </c>
      <c r="W349" s="85">
        <f t="shared" si="74"/>
        <v>15100074.5279</v>
      </c>
      <c r="X349" s="85">
        <v>228548656.92</v>
      </c>
      <c r="Y349" s="86">
        <f t="shared" si="79"/>
        <v>746984549.0479</v>
      </c>
    </row>
    <row r="350" ht="24.95" customHeight="1" spans="1:25">
      <c r="A350" s="83"/>
      <c r="B350" s="90"/>
      <c r="C350" s="80">
        <v>15</v>
      </c>
      <c r="D350" s="85" t="s">
        <v>821</v>
      </c>
      <c r="E350" s="85">
        <v>473411348.78</v>
      </c>
      <c r="F350" s="85">
        <v>0</v>
      </c>
      <c r="G350" s="85">
        <v>73405687.79</v>
      </c>
      <c r="H350" s="85">
        <v>16404511.0972</v>
      </c>
      <c r="I350" s="85">
        <v>0</v>
      </c>
      <c r="J350" s="85">
        <f t="shared" si="78"/>
        <v>16404511.0972</v>
      </c>
      <c r="K350" s="108">
        <v>284764518.96</v>
      </c>
      <c r="L350" s="86">
        <f t="shared" si="75"/>
        <v>847986066.6272</v>
      </c>
      <c r="M350" s="79"/>
      <c r="N350" s="90"/>
      <c r="O350" s="87">
        <v>20</v>
      </c>
      <c r="P350" s="115"/>
      <c r="Q350" s="85" t="s">
        <v>822</v>
      </c>
      <c r="R350" s="85">
        <v>396554442.6</v>
      </c>
      <c r="S350" s="89">
        <v>0</v>
      </c>
      <c r="T350" s="85">
        <v>61488495.53</v>
      </c>
      <c r="U350" s="85">
        <v>13741288.144</v>
      </c>
      <c r="V350" s="85">
        <v>0</v>
      </c>
      <c r="W350" s="85">
        <f t="shared" si="74"/>
        <v>13741288.144</v>
      </c>
      <c r="X350" s="85">
        <v>211700284.82</v>
      </c>
      <c r="Y350" s="86">
        <f t="shared" si="79"/>
        <v>683484511.094</v>
      </c>
    </row>
    <row r="351" ht="24.95" customHeight="1" spans="1:25">
      <c r="A351" s="83"/>
      <c r="B351" s="90"/>
      <c r="C351" s="80">
        <v>16</v>
      </c>
      <c r="D351" s="85" t="s">
        <v>823</v>
      </c>
      <c r="E351" s="85">
        <v>346964932.09</v>
      </c>
      <c r="F351" s="85">
        <v>0</v>
      </c>
      <c r="G351" s="85">
        <v>53799300.64</v>
      </c>
      <c r="H351" s="85">
        <v>12022926.9818</v>
      </c>
      <c r="I351" s="85">
        <v>0</v>
      </c>
      <c r="J351" s="85">
        <f t="shared" si="78"/>
        <v>12022926.9818</v>
      </c>
      <c r="K351" s="108">
        <v>231754916.58</v>
      </c>
      <c r="L351" s="86">
        <f t="shared" si="75"/>
        <v>644542076.2918</v>
      </c>
      <c r="M351" s="79"/>
      <c r="N351" s="90"/>
      <c r="O351" s="87">
        <v>21</v>
      </c>
      <c r="P351" s="115"/>
      <c r="Q351" s="85" t="s">
        <v>824</v>
      </c>
      <c r="R351" s="85">
        <v>408786616.71</v>
      </c>
      <c r="S351" s="89">
        <v>0</v>
      </c>
      <c r="T351" s="85">
        <v>63385178.31</v>
      </c>
      <c r="U351" s="85">
        <v>14165153.8508</v>
      </c>
      <c r="V351" s="85">
        <v>0</v>
      </c>
      <c r="W351" s="85">
        <f t="shared" ref="W351:W382" si="80">U351-V351</f>
        <v>14165153.8508</v>
      </c>
      <c r="X351" s="85">
        <v>252910507.28</v>
      </c>
      <c r="Y351" s="86">
        <f t="shared" si="79"/>
        <v>739247456.1508</v>
      </c>
    </row>
    <row r="352" ht="24.95" customHeight="1" spans="1:25">
      <c r="A352" s="83"/>
      <c r="B352" s="90"/>
      <c r="C352" s="80">
        <v>17</v>
      </c>
      <c r="D352" s="85" t="s">
        <v>825</v>
      </c>
      <c r="E352" s="85">
        <v>367154669.25</v>
      </c>
      <c r="F352" s="85">
        <v>0</v>
      </c>
      <c r="G352" s="85">
        <v>56929858.34</v>
      </c>
      <c r="H352" s="85">
        <v>12722535.8277</v>
      </c>
      <c r="I352" s="85">
        <v>0</v>
      </c>
      <c r="J352" s="85">
        <f t="shared" si="78"/>
        <v>12722535.8277</v>
      </c>
      <c r="K352" s="108">
        <v>244178474.92</v>
      </c>
      <c r="L352" s="86">
        <f t="shared" si="75"/>
        <v>680985538.3377</v>
      </c>
      <c r="M352" s="79"/>
      <c r="N352" s="90"/>
      <c r="O352" s="87">
        <v>22</v>
      </c>
      <c r="P352" s="115"/>
      <c r="Q352" s="85" t="s">
        <v>826</v>
      </c>
      <c r="R352" s="85">
        <v>393316244.57</v>
      </c>
      <c r="S352" s="89">
        <v>0</v>
      </c>
      <c r="T352" s="85">
        <v>60986390.64</v>
      </c>
      <c r="U352" s="85">
        <v>13629079.0564</v>
      </c>
      <c r="V352" s="85">
        <v>0</v>
      </c>
      <c r="W352" s="85">
        <f t="shared" si="80"/>
        <v>13629079.0564</v>
      </c>
      <c r="X352" s="85">
        <v>246497583.38</v>
      </c>
      <c r="Y352" s="86">
        <f t="shared" si="79"/>
        <v>714429297.6464</v>
      </c>
    </row>
    <row r="353" ht="24.95" customHeight="1" spans="1:25">
      <c r="A353" s="83"/>
      <c r="B353" s="90"/>
      <c r="C353" s="80">
        <v>18</v>
      </c>
      <c r="D353" s="85" t="s">
        <v>827</v>
      </c>
      <c r="E353" s="85">
        <v>382935901.54</v>
      </c>
      <c r="F353" s="85">
        <v>0</v>
      </c>
      <c r="G353" s="85">
        <v>59376847.01</v>
      </c>
      <c r="H353" s="85">
        <v>13269382.4565</v>
      </c>
      <c r="I353" s="85">
        <v>0</v>
      </c>
      <c r="J353" s="85">
        <f t="shared" si="78"/>
        <v>13269382.4565</v>
      </c>
      <c r="K353" s="108">
        <v>255302186.32</v>
      </c>
      <c r="L353" s="86">
        <f t="shared" si="75"/>
        <v>710884317.3265</v>
      </c>
      <c r="M353" s="79"/>
      <c r="N353" s="92"/>
      <c r="O353" s="87">
        <v>23</v>
      </c>
      <c r="P353" s="116"/>
      <c r="Q353" s="85" t="s">
        <v>828</v>
      </c>
      <c r="R353" s="85">
        <v>368733892.71</v>
      </c>
      <c r="S353" s="89">
        <v>0</v>
      </c>
      <c r="T353" s="85">
        <v>57174727.8</v>
      </c>
      <c r="U353" s="85">
        <v>12777258.6154</v>
      </c>
      <c r="V353" s="85">
        <v>0</v>
      </c>
      <c r="W353" s="85">
        <f t="shared" si="80"/>
        <v>12777258.6154</v>
      </c>
      <c r="X353" s="85">
        <v>228977617.52</v>
      </c>
      <c r="Y353" s="86">
        <f t="shared" si="79"/>
        <v>667663496.6454</v>
      </c>
    </row>
    <row r="354" ht="24.95" customHeight="1" spans="1:25">
      <c r="A354" s="83"/>
      <c r="B354" s="90"/>
      <c r="C354" s="80">
        <v>19</v>
      </c>
      <c r="D354" s="85" t="s">
        <v>829</v>
      </c>
      <c r="E354" s="85">
        <v>395628921.38</v>
      </c>
      <c r="F354" s="85">
        <v>0</v>
      </c>
      <c r="G354" s="85">
        <v>61344987.1</v>
      </c>
      <c r="H354" s="85">
        <v>13709217.2545</v>
      </c>
      <c r="I354" s="85">
        <v>0</v>
      </c>
      <c r="J354" s="85">
        <f t="shared" si="78"/>
        <v>13709217.2545</v>
      </c>
      <c r="K354" s="108">
        <v>248408441.3</v>
      </c>
      <c r="L354" s="86">
        <f t="shared" si="75"/>
        <v>719091567.0345</v>
      </c>
      <c r="M354" s="79"/>
      <c r="N354" s="80"/>
      <c r="O354" s="94" t="s">
        <v>830</v>
      </c>
      <c r="P354" s="98"/>
      <c r="Q354" s="95"/>
      <c r="R354" s="95">
        <f t="shared" ref="R354:V354" si="81">SUM(R331:R353)</f>
        <v>9742743827.63</v>
      </c>
      <c r="S354" s="89">
        <v>0</v>
      </c>
      <c r="T354" s="95">
        <f t="shared" si="81"/>
        <v>1510679482.99</v>
      </c>
      <c r="U354" s="95">
        <f t="shared" si="81"/>
        <v>337602699.3187</v>
      </c>
      <c r="V354" s="95">
        <f t="shared" si="81"/>
        <v>0</v>
      </c>
      <c r="W354" s="95">
        <f t="shared" si="80"/>
        <v>337602699.3187</v>
      </c>
      <c r="X354" s="95">
        <f>SUM(X331:X353)</f>
        <v>5656085888.24</v>
      </c>
      <c r="Y354" s="95">
        <f>SUM(Y331:Y353)</f>
        <v>17247111898.1787</v>
      </c>
    </row>
    <row r="355" ht="24.95" customHeight="1" spans="1:25">
      <c r="A355" s="83"/>
      <c r="B355" s="90"/>
      <c r="C355" s="80">
        <v>20</v>
      </c>
      <c r="D355" s="85" t="s">
        <v>831</v>
      </c>
      <c r="E355" s="85">
        <v>399049800.17</v>
      </c>
      <c r="F355" s="85">
        <v>0</v>
      </c>
      <c r="G355" s="85">
        <v>61875417.9</v>
      </c>
      <c r="H355" s="85">
        <v>13827756.5422</v>
      </c>
      <c r="I355" s="85">
        <v>0</v>
      </c>
      <c r="J355" s="85">
        <f t="shared" si="78"/>
        <v>13827756.5422</v>
      </c>
      <c r="K355" s="108">
        <v>250928121.78</v>
      </c>
      <c r="L355" s="86">
        <f t="shared" si="75"/>
        <v>725681096.3922</v>
      </c>
      <c r="M355" s="79"/>
      <c r="N355" s="84">
        <v>34</v>
      </c>
      <c r="O355" s="87">
        <v>1</v>
      </c>
      <c r="P355" s="84" t="s">
        <v>121</v>
      </c>
      <c r="Q355" s="85" t="s">
        <v>832</v>
      </c>
      <c r="R355" s="85">
        <v>365995115.5</v>
      </c>
      <c r="S355" s="89">
        <v>0</v>
      </c>
      <c r="T355" s="85">
        <v>56750061.55</v>
      </c>
      <c r="U355" s="85">
        <v>12682355.3114</v>
      </c>
      <c r="V355" s="85">
        <f t="shared" ref="V355:V370" si="82">U355/2</f>
        <v>6341177.6557</v>
      </c>
      <c r="W355" s="85">
        <f t="shared" si="80"/>
        <v>6341177.6557</v>
      </c>
      <c r="X355" s="85">
        <v>236946218.01</v>
      </c>
      <c r="Y355" s="86">
        <f t="shared" si="79"/>
        <v>666032572.7157</v>
      </c>
    </row>
    <row r="356" ht="24.95" customHeight="1" spans="1:25">
      <c r="A356" s="83"/>
      <c r="B356" s="90"/>
      <c r="C356" s="80">
        <v>21</v>
      </c>
      <c r="D356" s="85" t="s">
        <v>833</v>
      </c>
      <c r="E356" s="85">
        <v>373829648.9</v>
      </c>
      <c r="F356" s="85">
        <v>0</v>
      </c>
      <c r="G356" s="85">
        <v>57964859.87</v>
      </c>
      <c r="H356" s="85">
        <v>12953835.263</v>
      </c>
      <c r="I356" s="85">
        <v>0</v>
      </c>
      <c r="J356" s="85">
        <f t="shared" si="78"/>
        <v>12953835.263</v>
      </c>
      <c r="K356" s="108">
        <v>244148469.9</v>
      </c>
      <c r="L356" s="86">
        <f t="shared" si="75"/>
        <v>688896813.933</v>
      </c>
      <c r="M356" s="79"/>
      <c r="N356" s="90"/>
      <c r="O356" s="87">
        <v>2</v>
      </c>
      <c r="P356" s="90"/>
      <c r="Q356" s="85" t="s">
        <v>834</v>
      </c>
      <c r="R356" s="85">
        <v>626301927.11</v>
      </c>
      <c r="S356" s="89">
        <v>0</v>
      </c>
      <c r="T356" s="85">
        <v>97112424.2</v>
      </c>
      <c r="U356" s="85">
        <v>21702430.5393</v>
      </c>
      <c r="V356" s="85">
        <f t="shared" si="82"/>
        <v>10851215.26965</v>
      </c>
      <c r="W356" s="85">
        <f t="shared" si="80"/>
        <v>10851215.26965</v>
      </c>
      <c r="X356" s="85">
        <v>282144144.13</v>
      </c>
      <c r="Y356" s="86">
        <f t="shared" si="79"/>
        <v>1016409710.70965</v>
      </c>
    </row>
    <row r="357" ht="24.95" customHeight="1" spans="1:25">
      <c r="A357" s="83"/>
      <c r="B357" s="90"/>
      <c r="C357" s="80">
        <v>22</v>
      </c>
      <c r="D357" s="85" t="s">
        <v>835</v>
      </c>
      <c r="E357" s="85">
        <v>342898654.34</v>
      </c>
      <c r="F357" s="85">
        <v>0</v>
      </c>
      <c r="G357" s="85">
        <v>53168796.29</v>
      </c>
      <c r="H357" s="85">
        <v>11882023.5188</v>
      </c>
      <c r="I357" s="85">
        <v>0</v>
      </c>
      <c r="J357" s="85">
        <f t="shared" si="78"/>
        <v>11882023.5188</v>
      </c>
      <c r="K357" s="108">
        <v>231928278.9</v>
      </c>
      <c r="L357" s="86">
        <f t="shared" si="75"/>
        <v>639877753.0488</v>
      </c>
      <c r="M357" s="79"/>
      <c r="N357" s="90"/>
      <c r="O357" s="87">
        <v>3</v>
      </c>
      <c r="P357" s="90"/>
      <c r="Q357" s="85" t="s">
        <v>836</v>
      </c>
      <c r="R357" s="85">
        <v>430154217.96</v>
      </c>
      <c r="S357" s="89">
        <v>0</v>
      </c>
      <c r="T357" s="85">
        <v>66698371.95</v>
      </c>
      <c r="U357" s="85">
        <v>14905577.6972</v>
      </c>
      <c r="V357" s="85">
        <f t="shared" si="82"/>
        <v>7452788.8486</v>
      </c>
      <c r="W357" s="85">
        <f t="shared" si="80"/>
        <v>7452788.8486</v>
      </c>
      <c r="X357" s="85">
        <v>254426918.04</v>
      </c>
      <c r="Y357" s="86">
        <f t="shared" si="79"/>
        <v>758732296.7986</v>
      </c>
    </row>
    <row r="358" ht="24.95" customHeight="1" spans="1:25">
      <c r="A358" s="83"/>
      <c r="B358" s="90"/>
      <c r="C358" s="80">
        <v>23</v>
      </c>
      <c r="D358" s="85" t="s">
        <v>837</v>
      </c>
      <c r="E358" s="85">
        <v>420811571.64</v>
      </c>
      <c r="F358" s="85">
        <v>0</v>
      </c>
      <c r="G358" s="85">
        <v>65249730.34</v>
      </c>
      <c r="H358" s="85">
        <v>14581839.0594</v>
      </c>
      <c r="I358" s="85">
        <v>0</v>
      </c>
      <c r="J358" s="85">
        <f t="shared" si="78"/>
        <v>14581839.0594</v>
      </c>
      <c r="K358" s="108">
        <v>255487772.9</v>
      </c>
      <c r="L358" s="86">
        <f t="shared" si="75"/>
        <v>756130913.9394</v>
      </c>
      <c r="M358" s="79"/>
      <c r="N358" s="90"/>
      <c r="O358" s="87">
        <v>4</v>
      </c>
      <c r="P358" s="90"/>
      <c r="Q358" s="85" t="s">
        <v>838</v>
      </c>
      <c r="R358" s="85">
        <v>513606708.7</v>
      </c>
      <c r="S358" s="89">
        <v>0</v>
      </c>
      <c r="T358" s="85">
        <v>79638254.98</v>
      </c>
      <c r="U358" s="85">
        <v>17797348.9105</v>
      </c>
      <c r="V358" s="85">
        <f t="shared" si="82"/>
        <v>8898674.45525</v>
      </c>
      <c r="W358" s="85">
        <f t="shared" si="80"/>
        <v>8898674.45525</v>
      </c>
      <c r="X358" s="85">
        <v>237264789.78</v>
      </c>
      <c r="Y358" s="86">
        <f t="shared" si="79"/>
        <v>839408427.91525</v>
      </c>
    </row>
    <row r="359" ht="24.95" customHeight="1" spans="1:25">
      <c r="A359" s="83"/>
      <c r="B359" s="90"/>
      <c r="C359" s="80">
        <v>24</v>
      </c>
      <c r="D359" s="85" t="s">
        <v>839</v>
      </c>
      <c r="E359" s="85">
        <v>311193715.83</v>
      </c>
      <c r="F359" s="85">
        <v>0</v>
      </c>
      <c r="G359" s="85">
        <v>48252727.37</v>
      </c>
      <c r="H359" s="85">
        <v>10783393.2961</v>
      </c>
      <c r="I359" s="85">
        <v>0</v>
      </c>
      <c r="J359" s="85">
        <f t="shared" si="78"/>
        <v>10783393.2961</v>
      </c>
      <c r="K359" s="108">
        <v>213182552.58</v>
      </c>
      <c r="L359" s="86">
        <f t="shared" si="75"/>
        <v>583412389.0761</v>
      </c>
      <c r="M359" s="79"/>
      <c r="N359" s="90"/>
      <c r="O359" s="87">
        <v>5</v>
      </c>
      <c r="P359" s="90"/>
      <c r="Q359" s="85" t="s">
        <v>840</v>
      </c>
      <c r="R359" s="85">
        <v>554872679.51</v>
      </c>
      <c r="S359" s="89">
        <v>0</v>
      </c>
      <c r="T359" s="85">
        <v>86036827.76</v>
      </c>
      <c r="U359" s="85">
        <v>19227285.2181</v>
      </c>
      <c r="V359" s="85">
        <f t="shared" si="82"/>
        <v>9613642.60905</v>
      </c>
      <c r="W359" s="85">
        <f t="shared" si="80"/>
        <v>9613642.60905</v>
      </c>
      <c r="X359" s="85">
        <v>295410806.37</v>
      </c>
      <c r="Y359" s="86">
        <f t="shared" si="79"/>
        <v>945933956.24905</v>
      </c>
    </row>
    <row r="360" ht="24.95" customHeight="1" spans="1:25">
      <c r="A360" s="83"/>
      <c r="B360" s="90"/>
      <c r="C360" s="80">
        <v>25</v>
      </c>
      <c r="D360" s="85" t="s">
        <v>841</v>
      </c>
      <c r="E360" s="85">
        <v>390585274.09</v>
      </c>
      <c r="F360" s="85">
        <v>0</v>
      </c>
      <c r="G360" s="85">
        <v>60562934.87</v>
      </c>
      <c r="H360" s="85">
        <v>13534446.269</v>
      </c>
      <c r="I360" s="85">
        <v>0</v>
      </c>
      <c r="J360" s="85">
        <f t="shared" si="78"/>
        <v>13534446.269</v>
      </c>
      <c r="K360" s="108">
        <v>232826577.21</v>
      </c>
      <c r="L360" s="86">
        <f t="shared" si="75"/>
        <v>697509232.439</v>
      </c>
      <c r="M360" s="79"/>
      <c r="N360" s="90"/>
      <c r="O360" s="87">
        <v>6</v>
      </c>
      <c r="P360" s="90"/>
      <c r="Q360" s="85" t="s">
        <v>842</v>
      </c>
      <c r="R360" s="85">
        <v>384388310.14</v>
      </c>
      <c r="S360" s="89">
        <v>0</v>
      </c>
      <c r="T360" s="85">
        <v>59602052.96</v>
      </c>
      <c r="U360" s="85">
        <v>13319710.8931</v>
      </c>
      <c r="V360" s="85">
        <f t="shared" si="82"/>
        <v>6659855.44655</v>
      </c>
      <c r="W360" s="85">
        <f t="shared" si="80"/>
        <v>6659855.44655</v>
      </c>
      <c r="X360" s="85">
        <v>235884188.61</v>
      </c>
      <c r="Y360" s="86">
        <f t="shared" si="79"/>
        <v>686534407.15655</v>
      </c>
    </row>
    <row r="361" ht="24.95" customHeight="1" spans="1:25">
      <c r="A361" s="83"/>
      <c r="B361" s="90"/>
      <c r="C361" s="80">
        <v>26</v>
      </c>
      <c r="D361" s="85" t="s">
        <v>843</v>
      </c>
      <c r="E361" s="85">
        <v>355235327.24</v>
      </c>
      <c r="F361" s="85">
        <v>0</v>
      </c>
      <c r="G361" s="85">
        <v>55081682.34</v>
      </c>
      <c r="H361" s="85">
        <v>12309510.286</v>
      </c>
      <c r="I361" s="85">
        <v>0</v>
      </c>
      <c r="J361" s="85">
        <f t="shared" si="78"/>
        <v>12309510.286</v>
      </c>
      <c r="K361" s="108">
        <v>233162929.74</v>
      </c>
      <c r="L361" s="86">
        <f t="shared" si="75"/>
        <v>655789449.606</v>
      </c>
      <c r="M361" s="79"/>
      <c r="N361" s="90"/>
      <c r="O361" s="87">
        <v>7</v>
      </c>
      <c r="P361" s="90"/>
      <c r="Q361" s="85" t="s">
        <v>844</v>
      </c>
      <c r="R361" s="85">
        <v>369715479.92</v>
      </c>
      <c r="S361" s="89">
        <v>0</v>
      </c>
      <c r="T361" s="85">
        <v>57326929.66</v>
      </c>
      <c r="U361" s="85">
        <v>12811272.2874</v>
      </c>
      <c r="V361" s="85">
        <f t="shared" si="82"/>
        <v>6405636.1437</v>
      </c>
      <c r="W361" s="85">
        <f t="shared" si="80"/>
        <v>6405636.1437</v>
      </c>
      <c r="X361" s="85">
        <v>256550976.82</v>
      </c>
      <c r="Y361" s="86">
        <f t="shared" si="79"/>
        <v>689999022.5437</v>
      </c>
    </row>
    <row r="362" ht="24.95" customHeight="1" spans="1:25">
      <c r="A362" s="83"/>
      <c r="B362" s="92"/>
      <c r="C362" s="80">
        <v>27</v>
      </c>
      <c r="D362" s="85" t="s">
        <v>845</v>
      </c>
      <c r="E362" s="85">
        <v>329169810.11</v>
      </c>
      <c r="F362" s="85">
        <v>0</v>
      </c>
      <c r="G362" s="85">
        <v>51040044.5</v>
      </c>
      <c r="H362" s="85">
        <v>11406295.6385</v>
      </c>
      <c r="I362" s="85">
        <v>0</v>
      </c>
      <c r="J362" s="85">
        <f t="shared" si="78"/>
        <v>11406295.6385</v>
      </c>
      <c r="K362" s="108">
        <v>219828107.93</v>
      </c>
      <c r="L362" s="86">
        <f t="shared" si="75"/>
        <v>611444258.1785</v>
      </c>
      <c r="M362" s="79"/>
      <c r="N362" s="90"/>
      <c r="O362" s="87">
        <v>8</v>
      </c>
      <c r="P362" s="90"/>
      <c r="Q362" s="85" t="s">
        <v>846</v>
      </c>
      <c r="R362" s="85">
        <v>573848986.72</v>
      </c>
      <c r="S362" s="89">
        <v>0</v>
      </c>
      <c r="T362" s="85">
        <v>88979234.79</v>
      </c>
      <c r="U362" s="85">
        <v>19884846.6455</v>
      </c>
      <c r="V362" s="85">
        <f t="shared" si="82"/>
        <v>9942423.32275</v>
      </c>
      <c r="W362" s="85">
        <f t="shared" si="80"/>
        <v>9942423.32275</v>
      </c>
      <c r="X362" s="85">
        <v>277294814.95</v>
      </c>
      <c r="Y362" s="86">
        <f t="shared" si="79"/>
        <v>950065459.78275</v>
      </c>
    </row>
    <row r="363" ht="24.95" customHeight="1" spans="1:25">
      <c r="A363" s="80"/>
      <c r="B363" s="93" t="s">
        <v>847</v>
      </c>
      <c r="C363" s="94"/>
      <c r="D363" s="95"/>
      <c r="E363" s="95">
        <f t="shared" ref="E363:L363" si="83">SUM(E336:E362)</f>
        <v>10292799631.73</v>
      </c>
      <c r="F363" s="85">
        <v>0</v>
      </c>
      <c r="G363" s="95">
        <f t="shared" si="83"/>
        <v>1595969421.06</v>
      </c>
      <c r="H363" s="95">
        <f t="shared" si="83"/>
        <v>356663071.5833</v>
      </c>
      <c r="I363" s="95">
        <f t="shared" si="83"/>
        <v>0</v>
      </c>
      <c r="J363" s="95">
        <f t="shared" si="83"/>
        <v>356663071.5833</v>
      </c>
      <c r="K363" s="95">
        <f t="shared" si="83"/>
        <v>6588488839.61</v>
      </c>
      <c r="L363" s="95">
        <f t="shared" si="83"/>
        <v>18833920963.9833</v>
      </c>
      <c r="M363" s="79"/>
      <c r="N363" s="90"/>
      <c r="O363" s="87">
        <v>9</v>
      </c>
      <c r="P363" s="90"/>
      <c r="Q363" s="85" t="s">
        <v>848</v>
      </c>
      <c r="R363" s="85">
        <v>408488246.8</v>
      </c>
      <c r="S363" s="89">
        <v>0</v>
      </c>
      <c r="T363" s="85">
        <v>63338914.01</v>
      </c>
      <c r="U363" s="85">
        <v>14154814.8242</v>
      </c>
      <c r="V363" s="85">
        <f t="shared" si="82"/>
        <v>7077407.4121</v>
      </c>
      <c r="W363" s="85">
        <f t="shared" si="80"/>
        <v>7077407.4121</v>
      </c>
      <c r="X363" s="85">
        <v>238653910.89</v>
      </c>
      <c r="Y363" s="86">
        <f t="shared" si="79"/>
        <v>717558479.1121</v>
      </c>
    </row>
    <row r="364" ht="24.95" customHeight="1" spans="1:25">
      <c r="A364" s="83">
        <v>18</v>
      </c>
      <c r="B364" s="84" t="s">
        <v>849</v>
      </c>
      <c r="C364" s="80">
        <v>1</v>
      </c>
      <c r="D364" s="85" t="s">
        <v>850</v>
      </c>
      <c r="E364" s="85">
        <v>616300784.7</v>
      </c>
      <c r="F364" s="85">
        <v>0</v>
      </c>
      <c r="G364" s="85">
        <v>95561678.24</v>
      </c>
      <c r="H364" s="85">
        <v>21355873.8882</v>
      </c>
      <c r="I364" s="85">
        <f t="shared" ref="I364:I386" si="84">H364/2</f>
        <v>10677936.9441</v>
      </c>
      <c r="J364" s="85">
        <f>H364-I364</f>
        <v>10677936.9441</v>
      </c>
      <c r="K364" s="108">
        <v>284201866.81</v>
      </c>
      <c r="L364" s="86">
        <f t="shared" si="75"/>
        <v>1006742266.6941</v>
      </c>
      <c r="M364" s="79"/>
      <c r="N364" s="90"/>
      <c r="O364" s="87">
        <v>10</v>
      </c>
      <c r="P364" s="90"/>
      <c r="Q364" s="85" t="s">
        <v>851</v>
      </c>
      <c r="R364" s="85">
        <v>377156264.98</v>
      </c>
      <c r="S364" s="89">
        <v>0</v>
      </c>
      <c r="T364" s="85">
        <v>58480674.59</v>
      </c>
      <c r="U364" s="85">
        <v>13069108.1871</v>
      </c>
      <c r="V364" s="85">
        <f t="shared" si="82"/>
        <v>6534554.09355</v>
      </c>
      <c r="W364" s="85">
        <f t="shared" si="80"/>
        <v>6534554.09355</v>
      </c>
      <c r="X364" s="85">
        <v>240527927.87</v>
      </c>
      <c r="Y364" s="86">
        <f t="shared" si="79"/>
        <v>682699421.53355</v>
      </c>
    </row>
    <row r="365" ht="24.95" customHeight="1" spans="1:25">
      <c r="A365" s="83"/>
      <c r="B365" s="90"/>
      <c r="C365" s="80">
        <v>2</v>
      </c>
      <c r="D365" s="85" t="s">
        <v>852</v>
      </c>
      <c r="E365" s="85">
        <v>626670870.93</v>
      </c>
      <c r="F365" s="85">
        <v>0</v>
      </c>
      <c r="G365" s="85">
        <v>97169631.48</v>
      </c>
      <c r="H365" s="85">
        <v>21715215.0723</v>
      </c>
      <c r="I365" s="85">
        <f t="shared" si="84"/>
        <v>10857607.53615</v>
      </c>
      <c r="J365" s="85">
        <f t="shared" ref="J365:J386" si="85">H365-I365</f>
        <v>10857607.53615</v>
      </c>
      <c r="K365" s="108">
        <v>327130154.26</v>
      </c>
      <c r="L365" s="86">
        <f t="shared" si="75"/>
        <v>1061828264.20615</v>
      </c>
      <c r="M365" s="79"/>
      <c r="N365" s="90"/>
      <c r="O365" s="87">
        <v>11</v>
      </c>
      <c r="P365" s="90"/>
      <c r="Q365" s="85" t="s">
        <v>853</v>
      </c>
      <c r="R365" s="85">
        <v>562837092.09</v>
      </c>
      <c r="S365" s="89">
        <v>0</v>
      </c>
      <c r="T365" s="85">
        <v>87271764.74</v>
      </c>
      <c r="U365" s="85">
        <v>19503265.7049</v>
      </c>
      <c r="V365" s="85">
        <f t="shared" si="82"/>
        <v>9751632.85245</v>
      </c>
      <c r="W365" s="85">
        <f t="shared" si="80"/>
        <v>9751632.85245</v>
      </c>
      <c r="X365" s="85">
        <v>287886585.58</v>
      </c>
      <c r="Y365" s="86">
        <f t="shared" si="79"/>
        <v>947747075.26245</v>
      </c>
    </row>
    <row r="366" ht="24.95" customHeight="1" spans="1:25">
      <c r="A366" s="83"/>
      <c r="B366" s="90"/>
      <c r="C366" s="80">
        <v>3</v>
      </c>
      <c r="D366" s="85" t="s">
        <v>854</v>
      </c>
      <c r="E366" s="85">
        <v>518620190.34</v>
      </c>
      <c r="F366" s="85">
        <v>0</v>
      </c>
      <c r="G366" s="85">
        <v>80415629.81</v>
      </c>
      <c r="H366" s="85">
        <v>17971074.6046</v>
      </c>
      <c r="I366" s="85">
        <f t="shared" si="84"/>
        <v>8985537.3023</v>
      </c>
      <c r="J366" s="85">
        <f t="shared" si="85"/>
        <v>8985537.3023</v>
      </c>
      <c r="K366" s="108">
        <v>296820272.53</v>
      </c>
      <c r="L366" s="86">
        <f t="shared" si="75"/>
        <v>904841629.9823</v>
      </c>
      <c r="M366" s="79"/>
      <c r="N366" s="90"/>
      <c r="O366" s="87">
        <v>12</v>
      </c>
      <c r="P366" s="90"/>
      <c r="Q366" s="85" t="s">
        <v>855</v>
      </c>
      <c r="R366" s="85">
        <v>445503754.76</v>
      </c>
      <c r="S366" s="89">
        <v>0</v>
      </c>
      <c r="T366" s="85">
        <v>69078423.27</v>
      </c>
      <c r="U366" s="85">
        <v>15437465.3409</v>
      </c>
      <c r="V366" s="85">
        <f t="shared" si="82"/>
        <v>7718732.67045</v>
      </c>
      <c r="W366" s="85">
        <f t="shared" si="80"/>
        <v>7718732.67045</v>
      </c>
      <c r="X366" s="85">
        <v>254885513.22</v>
      </c>
      <c r="Y366" s="86">
        <f t="shared" si="79"/>
        <v>777186423.92045</v>
      </c>
    </row>
    <row r="367" ht="24.95" customHeight="1" spans="1:25">
      <c r="A367" s="83"/>
      <c r="B367" s="90"/>
      <c r="C367" s="80">
        <v>4</v>
      </c>
      <c r="D367" s="85" t="s">
        <v>856</v>
      </c>
      <c r="E367" s="85">
        <v>656480701.84</v>
      </c>
      <c r="F367" s="85">
        <v>0</v>
      </c>
      <c r="G367" s="85">
        <v>61918884.52</v>
      </c>
      <c r="H367" s="85">
        <v>13837470.3501</v>
      </c>
      <c r="I367" s="85">
        <f t="shared" si="84"/>
        <v>6918735.17505</v>
      </c>
      <c r="J367" s="85">
        <f t="shared" si="85"/>
        <v>6918735.17505</v>
      </c>
      <c r="K367" s="108">
        <v>350089177.51</v>
      </c>
      <c r="L367" s="86">
        <f t="shared" si="75"/>
        <v>1075407499.04505</v>
      </c>
      <c r="M367" s="79"/>
      <c r="N367" s="90"/>
      <c r="O367" s="87">
        <v>13</v>
      </c>
      <c r="P367" s="90"/>
      <c r="Q367" s="85" t="s">
        <v>857</v>
      </c>
      <c r="R367" s="85">
        <v>382904533.51</v>
      </c>
      <c r="S367" s="89">
        <v>0</v>
      </c>
      <c r="T367" s="85">
        <v>59371983.19</v>
      </c>
      <c r="U367" s="85">
        <v>13268295.5009</v>
      </c>
      <c r="V367" s="85">
        <f t="shared" si="82"/>
        <v>6634147.75045</v>
      </c>
      <c r="W367" s="85">
        <f t="shared" si="80"/>
        <v>6634147.75045</v>
      </c>
      <c r="X367" s="85">
        <v>246336306.27</v>
      </c>
      <c r="Y367" s="86">
        <f t="shared" si="79"/>
        <v>695246970.72045</v>
      </c>
    </row>
    <row r="368" ht="24.95" customHeight="1" spans="1:25">
      <c r="A368" s="83"/>
      <c r="B368" s="90"/>
      <c r="C368" s="80">
        <v>5</v>
      </c>
      <c r="D368" s="85" t="s">
        <v>858</v>
      </c>
      <c r="E368" s="85">
        <v>439782852.4</v>
      </c>
      <c r="F368" s="85">
        <v>0</v>
      </c>
      <c r="G368" s="85">
        <v>101791850.92</v>
      </c>
      <c r="H368" s="85">
        <v>22748176.5828</v>
      </c>
      <c r="I368" s="85">
        <f t="shared" si="84"/>
        <v>11374088.2914</v>
      </c>
      <c r="J368" s="85">
        <f t="shared" si="85"/>
        <v>11374088.2914</v>
      </c>
      <c r="K368" s="108">
        <v>262554914.75</v>
      </c>
      <c r="L368" s="86">
        <f t="shared" si="75"/>
        <v>815503706.3614</v>
      </c>
      <c r="M368" s="79"/>
      <c r="N368" s="90"/>
      <c r="O368" s="87">
        <v>14</v>
      </c>
      <c r="P368" s="90"/>
      <c r="Q368" s="85" t="s">
        <v>859</v>
      </c>
      <c r="R368" s="85">
        <v>548456363.13</v>
      </c>
      <c r="S368" s="89">
        <v>0</v>
      </c>
      <c r="T368" s="85">
        <v>85041933.75</v>
      </c>
      <c r="U368" s="85">
        <v>19004948.9064</v>
      </c>
      <c r="V368" s="85">
        <f t="shared" si="82"/>
        <v>9502474.4532</v>
      </c>
      <c r="W368" s="85">
        <f t="shared" si="80"/>
        <v>9502474.4532</v>
      </c>
      <c r="X368" s="85">
        <v>294224311.72</v>
      </c>
      <c r="Y368" s="86">
        <f t="shared" si="79"/>
        <v>937225083.0532</v>
      </c>
    </row>
    <row r="369" ht="24.95" customHeight="1" spans="1:25">
      <c r="A369" s="83"/>
      <c r="B369" s="90"/>
      <c r="C369" s="80">
        <v>6</v>
      </c>
      <c r="D369" s="85" t="s">
        <v>860</v>
      </c>
      <c r="E369" s="85">
        <v>383489782.29</v>
      </c>
      <c r="F369" s="85">
        <v>0</v>
      </c>
      <c r="G369" s="85">
        <v>68191357.98</v>
      </c>
      <c r="H369" s="85">
        <v>15239226.3114</v>
      </c>
      <c r="I369" s="85">
        <f t="shared" si="84"/>
        <v>7619613.1557</v>
      </c>
      <c r="J369" s="85">
        <f t="shared" si="85"/>
        <v>7619613.1557</v>
      </c>
      <c r="K369" s="108">
        <v>248275120.18</v>
      </c>
      <c r="L369" s="86">
        <f t="shared" si="75"/>
        <v>707575873.6057</v>
      </c>
      <c r="M369" s="79"/>
      <c r="N369" s="90"/>
      <c r="O369" s="87">
        <v>15</v>
      </c>
      <c r="P369" s="90"/>
      <c r="Q369" s="85" t="s">
        <v>861</v>
      </c>
      <c r="R369" s="85">
        <v>363579014.74</v>
      </c>
      <c r="S369" s="89">
        <v>0</v>
      </c>
      <c r="T369" s="85">
        <v>56375428.5</v>
      </c>
      <c r="U369" s="85">
        <v>12598633.297</v>
      </c>
      <c r="V369" s="85">
        <f t="shared" si="82"/>
        <v>6299316.6485</v>
      </c>
      <c r="W369" s="85">
        <f t="shared" si="80"/>
        <v>6299316.6485</v>
      </c>
      <c r="X369" s="85">
        <v>237868223.99</v>
      </c>
      <c r="Y369" s="86">
        <f t="shared" si="79"/>
        <v>664121983.8785</v>
      </c>
    </row>
    <row r="370" ht="24.95" customHeight="1" spans="1:25">
      <c r="A370" s="83"/>
      <c r="B370" s="90"/>
      <c r="C370" s="80">
        <v>7</v>
      </c>
      <c r="D370" s="85" t="s">
        <v>862</v>
      </c>
      <c r="E370" s="85">
        <v>510974990.94</v>
      </c>
      <c r="F370" s="85">
        <v>0</v>
      </c>
      <c r="G370" s="85">
        <v>59462730.04</v>
      </c>
      <c r="H370" s="85">
        <v>13288575.3699</v>
      </c>
      <c r="I370" s="85">
        <f t="shared" si="84"/>
        <v>6644287.68495</v>
      </c>
      <c r="J370" s="85">
        <f t="shared" si="85"/>
        <v>6644287.68495</v>
      </c>
      <c r="K370" s="108">
        <v>293970907.31</v>
      </c>
      <c r="L370" s="86">
        <f t="shared" si="75"/>
        <v>871052915.97495</v>
      </c>
      <c r="M370" s="79"/>
      <c r="N370" s="92"/>
      <c r="O370" s="87">
        <v>16</v>
      </c>
      <c r="P370" s="92"/>
      <c r="Q370" s="85" t="s">
        <v>863</v>
      </c>
      <c r="R370" s="85">
        <v>394410398.17</v>
      </c>
      <c r="S370" s="89">
        <v>0</v>
      </c>
      <c r="T370" s="85">
        <v>61156046.69</v>
      </c>
      <c r="U370" s="85">
        <v>13666993.3457</v>
      </c>
      <c r="V370" s="85">
        <f t="shared" si="82"/>
        <v>6833496.67285</v>
      </c>
      <c r="W370" s="85">
        <f t="shared" si="80"/>
        <v>6833496.67285</v>
      </c>
      <c r="X370" s="85">
        <v>251927240.91</v>
      </c>
      <c r="Y370" s="86">
        <f t="shared" si="79"/>
        <v>714327182.44285</v>
      </c>
    </row>
    <row r="371" ht="24.95" customHeight="1" spans="1:25">
      <c r="A371" s="83"/>
      <c r="B371" s="90"/>
      <c r="C371" s="80">
        <v>8</v>
      </c>
      <c r="D371" s="85" t="s">
        <v>864</v>
      </c>
      <c r="E371" s="85">
        <v>563658567.79</v>
      </c>
      <c r="F371" s="85">
        <v>0</v>
      </c>
      <c r="G371" s="85">
        <v>79230189.03</v>
      </c>
      <c r="H371" s="85">
        <v>17706155.3992</v>
      </c>
      <c r="I371" s="85">
        <f t="shared" si="84"/>
        <v>8853077.6996</v>
      </c>
      <c r="J371" s="85">
        <f t="shared" si="85"/>
        <v>8853077.6996</v>
      </c>
      <c r="K371" s="108">
        <v>281205439.97</v>
      </c>
      <c r="L371" s="86">
        <f t="shared" si="75"/>
        <v>932947274.4896</v>
      </c>
      <c r="M371" s="79"/>
      <c r="N371" s="80"/>
      <c r="O371" s="94" t="s">
        <v>865</v>
      </c>
      <c r="P371" s="98"/>
      <c r="Q371" s="95"/>
      <c r="R371" s="95">
        <f t="shared" ref="R371:V371" si="86">SUM(R355:R370)</f>
        <v>7302219093.74</v>
      </c>
      <c r="S371" s="89">
        <v>0</v>
      </c>
      <c r="T371" s="95">
        <f t="shared" si="86"/>
        <v>1132259326.59</v>
      </c>
      <c r="U371" s="95">
        <f t="shared" si="86"/>
        <v>253034352.6096</v>
      </c>
      <c r="V371" s="95">
        <f t="shared" si="86"/>
        <v>126517176.3048</v>
      </c>
      <c r="W371" s="95">
        <f t="shared" si="80"/>
        <v>126517176.3048</v>
      </c>
      <c r="X371" s="95">
        <f>SUM(X355:X370)</f>
        <v>4128232877.16</v>
      </c>
      <c r="Y371" s="95">
        <f>SUM(Y355:Y370)</f>
        <v>12689228473.7948</v>
      </c>
    </row>
    <row r="372" ht="24.95" customHeight="1" spans="1:25">
      <c r="A372" s="83"/>
      <c r="B372" s="90"/>
      <c r="C372" s="80">
        <v>9</v>
      </c>
      <c r="D372" s="85" t="s">
        <v>866</v>
      </c>
      <c r="E372" s="85">
        <v>532488752.23</v>
      </c>
      <c r="F372" s="85">
        <v>0</v>
      </c>
      <c r="G372" s="85">
        <v>87399140.2</v>
      </c>
      <c r="H372" s="85">
        <v>19531731.2398</v>
      </c>
      <c r="I372" s="85">
        <f t="shared" si="84"/>
        <v>9765865.6199</v>
      </c>
      <c r="J372" s="85">
        <f t="shared" si="85"/>
        <v>9765865.6199</v>
      </c>
      <c r="K372" s="108">
        <v>323219870.94</v>
      </c>
      <c r="L372" s="86">
        <f t="shared" si="75"/>
        <v>952873628.9899</v>
      </c>
      <c r="M372" s="79"/>
      <c r="N372" s="84">
        <v>35</v>
      </c>
      <c r="O372" s="87">
        <v>1</v>
      </c>
      <c r="P372" s="82"/>
      <c r="Q372" s="85" t="s">
        <v>867</v>
      </c>
      <c r="R372" s="85">
        <v>407599692.51</v>
      </c>
      <c r="S372" s="89">
        <v>0</v>
      </c>
      <c r="T372" s="85">
        <v>63201137.55</v>
      </c>
      <c r="U372" s="85">
        <v>14124024.9016</v>
      </c>
      <c r="V372" s="85">
        <v>0</v>
      </c>
      <c r="W372" s="85">
        <f t="shared" si="80"/>
        <v>14124024.9016</v>
      </c>
      <c r="X372" s="85">
        <v>235794042.51</v>
      </c>
      <c r="Y372" s="86">
        <f t="shared" si="79"/>
        <v>720718897.4716</v>
      </c>
    </row>
    <row r="373" ht="24.95" customHeight="1" spans="1:25">
      <c r="A373" s="83"/>
      <c r="B373" s="90"/>
      <c r="C373" s="80">
        <v>10</v>
      </c>
      <c r="D373" s="85" t="s">
        <v>868</v>
      </c>
      <c r="E373" s="85">
        <v>568515039.12</v>
      </c>
      <c r="F373" s="85">
        <v>0</v>
      </c>
      <c r="G373" s="85">
        <v>82566045.78</v>
      </c>
      <c r="H373" s="85">
        <v>18451643.9404</v>
      </c>
      <c r="I373" s="85">
        <f t="shared" si="84"/>
        <v>9225821.9702</v>
      </c>
      <c r="J373" s="85">
        <f t="shared" si="85"/>
        <v>9225821.9702</v>
      </c>
      <c r="K373" s="108">
        <v>339776712.83</v>
      </c>
      <c r="L373" s="86">
        <f t="shared" si="75"/>
        <v>1000083619.7002</v>
      </c>
      <c r="M373" s="79"/>
      <c r="N373" s="90"/>
      <c r="O373" s="87">
        <v>2</v>
      </c>
      <c r="P373" s="84" t="s">
        <v>122</v>
      </c>
      <c r="Q373" s="85" t="s">
        <v>869</v>
      </c>
      <c r="R373" s="85">
        <v>451049413.48</v>
      </c>
      <c r="S373" s="89">
        <v>0</v>
      </c>
      <c r="T373" s="85">
        <v>69938315.82</v>
      </c>
      <c r="U373" s="85">
        <v>15629631.879</v>
      </c>
      <c r="V373" s="85">
        <v>0</v>
      </c>
      <c r="W373" s="85">
        <f t="shared" si="80"/>
        <v>15629631.879</v>
      </c>
      <c r="X373" s="85">
        <v>224437329.19</v>
      </c>
      <c r="Y373" s="86">
        <f t="shared" si="79"/>
        <v>761054690.369</v>
      </c>
    </row>
    <row r="374" ht="24.95" customHeight="1" spans="1:25">
      <c r="A374" s="83"/>
      <c r="B374" s="90"/>
      <c r="C374" s="80">
        <v>11</v>
      </c>
      <c r="D374" s="85" t="s">
        <v>870</v>
      </c>
      <c r="E374" s="85">
        <v>491295952.27</v>
      </c>
      <c r="F374" s="85">
        <v>0</v>
      </c>
      <c r="G374" s="85">
        <v>88152169.51</v>
      </c>
      <c r="H374" s="85">
        <v>19700016.2587</v>
      </c>
      <c r="I374" s="85">
        <f t="shared" si="84"/>
        <v>9850008.12935</v>
      </c>
      <c r="J374" s="85">
        <f t="shared" si="85"/>
        <v>9850008.12935</v>
      </c>
      <c r="K374" s="108">
        <v>279971529.99</v>
      </c>
      <c r="L374" s="86">
        <f t="shared" si="75"/>
        <v>869269659.89935</v>
      </c>
      <c r="M374" s="79"/>
      <c r="N374" s="90"/>
      <c r="O374" s="87">
        <v>3</v>
      </c>
      <c r="P374" s="90"/>
      <c r="Q374" s="85" t="s">
        <v>871</v>
      </c>
      <c r="R374" s="85">
        <v>377659119.76</v>
      </c>
      <c r="S374" s="89">
        <v>0</v>
      </c>
      <c r="T374" s="85">
        <v>58558645.68</v>
      </c>
      <c r="U374" s="85">
        <v>13086532.9633</v>
      </c>
      <c r="V374" s="85">
        <v>0</v>
      </c>
      <c r="W374" s="85">
        <f t="shared" si="80"/>
        <v>13086532.9633</v>
      </c>
      <c r="X374" s="85">
        <v>216617503.43</v>
      </c>
      <c r="Y374" s="86">
        <f t="shared" si="79"/>
        <v>665921801.8333</v>
      </c>
    </row>
    <row r="375" ht="24.95" customHeight="1" spans="1:25">
      <c r="A375" s="83"/>
      <c r="B375" s="90"/>
      <c r="C375" s="80">
        <v>12</v>
      </c>
      <c r="D375" s="85" t="s">
        <v>872</v>
      </c>
      <c r="E375" s="85">
        <v>399330127.15</v>
      </c>
      <c r="F375" s="85">
        <v>0</v>
      </c>
      <c r="G375" s="85">
        <v>76178818.65</v>
      </c>
      <c r="H375" s="85">
        <v>17024243.1275</v>
      </c>
      <c r="I375" s="85">
        <f t="shared" si="84"/>
        <v>8512121.56375</v>
      </c>
      <c r="J375" s="85">
        <f t="shared" si="85"/>
        <v>8512121.56375</v>
      </c>
      <c r="K375" s="108">
        <v>231787549.13</v>
      </c>
      <c r="L375" s="86">
        <f t="shared" si="75"/>
        <v>715808616.49375</v>
      </c>
      <c r="M375" s="79"/>
      <c r="N375" s="90"/>
      <c r="O375" s="87">
        <v>4</v>
      </c>
      <c r="P375" s="90"/>
      <c r="Q375" s="85" t="s">
        <v>873</v>
      </c>
      <c r="R375" s="85">
        <v>422840526.59</v>
      </c>
      <c r="S375" s="89">
        <v>0</v>
      </c>
      <c r="T375" s="85">
        <v>65564333.76</v>
      </c>
      <c r="U375" s="85">
        <v>14652145.8107</v>
      </c>
      <c r="V375" s="85">
        <v>0</v>
      </c>
      <c r="W375" s="85">
        <f t="shared" si="80"/>
        <v>14652145.8107</v>
      </c>
      <c r="X375" s="85">
        <v>234724604.48</v>
      </c>
      <c r="Y375" s="86">
        <f t="shared" si="79"/>
        <v>737781610.6407</v>
      </c>
    </row>
    <row r="376" ht="24.95" customHeight="1" spans="1:25">
      <c r="A376" s="83"/>
      <c r="B376" s="90"/>
      <c r="C376" s="80">
        <v>13</v>
      </c>
      <c r="D376" s="85" t="s">
        <v>874</v>
      </c>
      <c r="E376" s="85">
        <v>425642943.17</v>
      </c>
      <c r="F376" s="85">
        <v>0</v>
      </c>
      <c r="G376" s="85">
        <v>65998867.74</v>
      </c>
      <c r="H376" s="85">
        <v>14749254.3274</v>
      </c>
      <c r="I376" s="85">
        <f t="shared" si="84"/>
        <v>7374627.1637</v>
      </c>
      <c r="J376" s="85">
        <f t="shared" si="85"/>
        <v>7374627.1637</v>
      </c>
      <c r="K376" s="108">
        <v>273168911.31</v>
      </c>
      <c r="L376" s="86">
        <f t="shared" si="75"/>
        <v>772185349.3837</v>
      </c>
      <c r="M376" s="79"/>
      <c r="N376" s="90"/>
      <c r="O376" s="87">
        <v>5</v>
      </c>
      <c r="P376" s="90"/>
      <c r="Q376" s="85" t="s">
        <v>875</v>
      </c>
      <c r="R376" s="85">
        <v>593066186.03</v>
      </c>
      <c r="S376" s="89">
        <v>0</v>
      </c>
      <c r="T376" s="85">
        <v>91958993.81</v>
      </c>
      <c r="U376" s="85">
        <v>20550755.395</v>
      </c>
      <c r="V376" s="85">
        <v>0</v>
      </c>
      <c r="W376" s="85">
        <f t="shared" si="80"/>
        <v>20550755.395</v>
      </c>
      <c r="X376" s="85">
        <v>295425492.61</v>
      </c>
      <c r="Y376" s="86">
        <f t="shared" si="79"/>
        <v>1001001427.845</v>
      </c>
    </row>
    <row r="377" ht="24.95" customHeight="1" spans="1:25">
      <c r="A377" s="83"/>
      <c r="B377" s="90"/>
      <c r="C377" s="80">
        <v>14</v>
      </c>
      <c r="D377" s="85" t="s">
        <v>876</v>
      </c>
      <c r="E377" s="85">
        <v>438272522.35</v>
      </c>
      <c r="F377" s="85">
        <v>0</v>
      </c>
      <c r="G377" s="85">
        <v>67957170.91</v>
      </c>
      <c r="H377" s="85">
        <v>15186890.7979</v>
      </c>
      <c r="I377" s="85">
        <f t="shared" si="84"/>
        <v>7593445.39895</v>
      </c>
      <c r="J377" s="85">
        <f t="shared" si="85"/>
        <v>7593445.39895</v>
      </c>
      <c r="K377" s="108">
        <v>253694915.1</v>
      </c>
      <c r="L377" s="86">
        <f t="shared" si="75"/>
        <v>767518053.75895</v>
      </c>
      <c r="M377" s="79"/>
      <c r="N377" s="90"/>
      <c r="O377" s="87">
        <v>6</v>
      </c>
      <c r="P377" s="90"/>
      <c r="Q377" s="85" t="s">
        <v>877</v>
      </c>
      <c r="R377" s="85">
        <v>491498692.49</v>
      </c>
      <c r="S377" s="89">
        <v>0</v>
      </c>
      <c r="T377" s="85">
        <v>76210254.91</v>
      </c>
      <c r="U377" s="85">
        <v>17031268.4221</v>
      </c>
      <c r="V377" s="85">
        <v>0</v>
      </c>
      <c r="W377" s="85">
        <f t="shared" si="80"/>
        <v>17031268.4221</v>
      </c>
      <c r="X377" s="85">
        <v>242281423.31</v>
      </c>
      <c r="Y377" s="86">
        <f t="shared" si="79"/>
        <v>827021639.1321</v>
      </c>
    </row>
    <row r="378" ht="24.95" customHeight="1" spans="1:25">
      <c r="A378" s="83"/>
      <c r="B378" s="90"/>
      <c r="C378" s="80">
        <v>15</v>
      </c>
      <c r="D378" s="85" t="s">
        <v>878</v>
      </c>
      <c r="E378" s="85">
        <v>507343348.83</v>
      </c>
      <c r="F378" s="85">
        <v>0</v>
      </c>
      <c r="G378" s="85">
        <v>78667077.93</v>
      </c>
      <c r="H378" s="85">
        <v>17580312.8027</v>
      </c>
      <c r="I378" s="85">
        <f t="shared" si="84"/>
        <v>8790156.40135</v>
      </c>
      <c r="J378" s="85">
        <f t="shared" si="85"/>
        <v>8790156.40135</v>
      </c>
      <c r="K378" s="108">
        <v>295197038.21</v>
      </c>
      <c r="L378" s="86">
        <f t="shared" si="75"/>
        <v>889997621.37135</v>
      </c>
      <c r="M378" s="79"/>
      <c r="N378" s="90"/>
      <c r="O378" s="87">
        <v>7</v>
      </c>
      <c r="P378" s="90"/>
      <c r="Q378" s="85" t="s">
        <v>879</v>
      </c>
      <c r="R378" s="85">
        <v>452508188.38</v>
      </c>
      <c r="S378" s="89">
        <v>0</v>
      </c>
      <c r="T378" s="85">
        <v>70164508.91</v>
      </c>
      <c r="U378" s="85">
        <v>15680180.9187</v>
      </c>
      <c r="V378" s="85">
        <v>0</v>
      </c>
      <c r="W378" s="85">
        <f t="shared" si="80"/>
        <v>15680180.9187</v>
      </c>
      <c r="X378" s="85">
        <v>232203071.84</v>
      </c>
      <c r="Y378" s="86">
        <f t="shared" si="79"/>
        <v>770555950.0487</v>
      </c>
    </row>
    <row r="379" ht="24.95" customHeight="1" spans="1:25">
      <c r="A379" s="83"/>
      <c r="B379" s="90"/>
      <c r="C379" s="80">
        <v>16</v>
      </c>
      <c r="D379" s="85" t="s">
        <v>880</v>
      </c>
      <c r="E379" s="85">
        <v>393512524.6</v>
      </c>
      <c r="F379" s="85">
        <v>0</v>
      </c>
      <c r="G379" s="85">
        <v>61016825.21</v>
      </c>
      <c r="H379" s="85">
        <v>13635880.4943</v>
      </c>
      <c r="I379" s="85">
        <f t="shared" si="84"/>
        <v>6817940.24715</v>
      </c>
      <c r="J379" s="85">
        <f t="shared" si="85"/>
        <v>6817940.24715</v>
      </c>
      <c r="K379" s="108">
        <v>242205587.02</v>
      </c>
      <c r="L379" s="86">
        <f t="shared" si="75"/>
        <v>703552877.07715</v>
      </c>
      <c r="M379" s="79"/>
      <c r="N379" s="90"/>
      <c r="O379" s="87">
        <v>8</v>
      </c>
      <c r="P379" s="90"/>
      <c r="Q379" s="85" t="s">
        <v>881</v>
      </c>
      <c r="R379" s="85">
        <v>393136800.2</v>
      </c>
      <c r="S379" s="89">
        <v>0</v>
      </c>
      <c r="T379" s="85">
        <v>60958566.56</v>
      </c>
      <c r="U379" s="85">
        <v>13622861.0027</v>
      </c>
      <c r="V379" s="85">
        <v>0</v>
      </c>
      <c r="W379" s="85">
        <f t="shared" si="80"/>
        <v>13622861.0027</v>
      </c>
      <c r="X379" s="85">
        <v>222357722.28</v>
      </c>
      <c r="Y379" s="86">
        <f t="shared" si="79"/>
        <v>690075950.0427</v>
      </c>
    </row>
    <row r="380" ht="24.95" customHeight="1" spans="1:25">
      <c r="A380" s="83"/>
      <c r="B380" s="90"/>
      <c r="C380" s="80">
        <v>17</v>
      </c>
      <c r="D380" s="85" t="s">
        <v>882</v>
      </c>
      <c r="E380" s="85">
        <v>547542393.31</v>
      </c>
      <c r="F380" s="85">
        <v>0</v>
      </c>
      <c r="G380" s="85">
        <v>84900216.44</v>
      </c>
      <c r="H380" s="85">
        <v>18973278.2925</v>
      </c>
      <c r="I380" s="85">
        <f t="shared" si="84"/>
        <v>9486639.14625</v>
      </c>
      <c r="J380" s="85">
        <f t="shared" si="85"/>
        <v>9486639.14625</v>
      </c>
      <c r="K380" s="108">
        <v>313391190.84</v>
      </c>
      <c r="L380" s="86">
        <f t="shared" si="75"/>
        <v>955320439.73625</v>
      </c>
      <c r="M380" s="79"/>
      <c r="N380" s="90"/>
      <c r="O380" s="87">
        <v>9</v>
      </c>
      <c r="P380" s="90"/>
      <c r="Q380" s="85" t="s">
        <v>883</v>
      </c>
      <c r="R380" s="85">
        <v>518484534.16</v>
      </c>
      <c r="S380" s="89">
        <v>0</v>
      </c>
      <c r="T380" s="85">
        <v>80394595.39</v>
      </c>
      <c r="U380" s="85">
        <v>17966373.8867</v>
      </c>
      <c r="V380" s="85">
        <v>0</v>
      </c>
      <c r="W380" s="85">
        <f t="shared" si="80"/>
        <v>17966373.8867</v>
      </c>
      <c r="X380" s="85">
        <v>268874016.95</v>
      </c>
      <c r="Y380" s="86">
        <f t="shared" si="79"/>
        <v>885719520.3867</v>
      </c>
    </row>
    <row r="381" ht="24.95" customHeight="1" spans="1:25">
      <c r="A381" s="83"/>
      <c r="B381" s="90"/>
      <c r="C381" s="80">
        <v>18</v>
      </c>
      <c r="D381" s="85" t="s">
        <v>884</v>
      </c>
      <c r="E381" s="85">
        <v>368284744.35</v>
      </c>
      <c r="F381" s="85">
        <v>0</v>
      </c>
      <c r="G381" s="85">
        <v>57105084.26</v>
      </c>
      <c r="H381" s="85">
        <v>12761694.8581</v>
      </c>
      <c r="I381" s="85">
        <f t="shared" si="84"/>
        <v>6380847.42905</v>
      </c>
      <c r="J381" s="85">
        <f t="shared" si="85"/>
        <v>6380847.42905</v>
      </c>
      <c r="K381" s="108">
        <v>244897518.51</v>
      </c>
      <c r="L381" s="86">
        <f t="shared" si="75"/>
        <v>676668194.54905</v>
      </c>
      <c r="M381" s="79"/>
      <c r="N381" s="90"/>
      <c r="O381" s="87">
        <v>10</v>
      </c>
      <c r="P381" s="90"/>
      <c r="Q381" s="85" t="s">
        <v>885</v>
      </c>
      <c r="R381" s="85">
        <v>365663598.25</v>
      </c>
      <c r="S381" s="89">
        <v>0</v>
      </c>
      <c r="T381" s="85">
        <v>56698657.52</v>
      </c>
      <c r="U381" s="85">
        <v>12670867.673</v>
      </c>
      <c r="V381" s="85">
        <v>0</v>
      </c>
      <c r="W381" s="85">
        <f t="shared" si="80"/>
        <v>12670867.673</v>
      </c>
      <c r="X381" s="85">
        <v>223647567.54</v>
      </c>
      <c r="Y381" s="86">
        <f t="shared" si="79"/>
        <v>658680690.983</v>
      </c>
    </row>
    <row r="382" ht="24.95" customHeight="1" spans="1:25">
      <c r="A382" s="83"/>
      <c r="B382" s="90"/>
      <c r="C382" s="80">
        <v>19</v>
      </c>
      <c r="D382" s="85" t="s">
        <v>886</v>
      </c>
      <c r="E382" s="85">
        <v>485951250.43</v>
      </c>
      <c r="F382" s="85">
        <v>0</v>
      </c>
      <c r="G382" s="85">
        <v>75350085.84</v>
      </c>
      <c r="H382" s="85">
        <v>16839040.0882</v>
      </c>
      <c r="I382" s="85">
        <f t="shared" si="84"/>
        <v>8419520.0441</v>
      </c>
      <c r="J382" s="85">
        <f t="shared" si="85"/>
        <v>8419520.0441</v>
      </c>
      <c r="K382" s="108">
        <v>296984744.47</v>
      </c>
      <c r="L382" s="86">
        <f t="shared" si="75"/>
        <v>866705600.7841</v>
      </c>
      <c r="M382" s="79"/>
      <c r="N382" s="90"/>
      <c r="O382" s="87">
        <v>11</v>
      </c>
      <c r="P382" s="90"/>
      <c r="Q382" s="85" t="s">
        <v>887</v>
      </c>
      <c r="R382" s="85">
        <v>350247589.12</v>
      </c>
      <c r="S382" s="89">
        <v>0</v>
      </c>
      <c r="T382" s="85">
        <v>54308299.2</v>
      </c>
      <c r="U382" s="85">
        <v>12136676.6497</v>
      </c>
      <c r="V382" s="85">
        <v>0</v>
      </c>
      <c r="W382" s="85">
        <f t="shared" si="80"/>
        <v>12136676.6497</v>
      </c>
      <c r="X382" s="85">
        <v>206835127.37</v>
      </c>
      <c r="Y382" s="86">
        <f t="shared" si="79"/>
        <v>623527692.3397</v>
      </c>
    </row>
    <row r="383" ht="24.95" customHeight="1" spans="1:25">
      <c r="A383" s="83"/>
      <c r="B383" s="90"/>
      <c r="C383" s="80">
        <v>20</v>
      </c>
      <c r="D383" s="85" t="s">
        <v>888</v>
      </c>
      <c r="E383" s="85">
        <v>407434680.95</v>
      </c>
      <c r="F383" s="85">
        <v>0</v>
      </c>
      <c r="G383" s="85">
        <v>63175551.37</v>
      </c>
      <c r="H383" s="85">
        <v>14118306.9696</v>
      </c>
      <c r="I383" s="85">
        <f t="shared" si="84"/>
        <v>7059153.4848</v>
      </c>
      <c r="J383" s="85">
        <f t="shared" si="85"/>
        <v>7059153.4848</v>
      </c>
      <c r="K383" s="108">
        <v>246036227.39</v>
      </c>
      <c r="L383" s="86">
        <f t="shared" si="75"/>
        <v>723705613.1948</v>
      </c>
      <c r="M383" s="79"/>
      <c r="N383" s="90"/>
      <c r="O383" s="87">
        <v>12</v>
      </c>
      <c r="P383" s="90"/>
      <c r="Q383" s="85" t="s">
        <v>889</v>
      </c>
      <c r="R383" s="85">
        <v>375518977.72</v>
      </c>
      <c r="S383" s="89">
        <v>0</v>
      </c>
      <c r="T383" s="85">
        <v>58226801.93</v>
      </c>
      <c r="U383" s="85">
        <v>13012373.3894</v>
      </c>
      <c r="V383" s="85">
        <v>0</v>
      </c>
      <c r="W383" s="85">
        <f t="shared" ref="W383:W412" si="87">U383-V383</f>
        <v>13012373.3894</v>
      </c>
      <c r="X383" s="85">
        <v>216546750.86</v>
      </c>
      <c r="Y383" s="86">
        <f t="shared" si="79"/>
        <v>663304903.8994</v>
      </c>
    </row>
    <row r="384" ht="24.95" customHeight="1" spans="1:25">
      <c r="A384" s="83"/>
      <c r="B384" s="90"/>
      <c r="C384" s="80">
        <v>21</v>
      </c>
      <c r="D384" s="85" t="s">
        <v>890</v>
      </c>
      <c r="E384" s="85">
        <v>519330587.22</v>
      </c>
      <c r="F384" s="85">
        <v>0</v>
      </c>
      <c r="G384" s="85">
        <v>80525781.74</v>
      </c>
      <c r="H384" s="85">
        <v>17995691.0689</v>
      </c>
      <c r="I384" s="85">
        <f t="shared" si="84"/>
        <v>8997845.53445</v>
      </c>
      <c r="J384" s="85">
        <f t="shared" si="85"/>
        <v>8997845.53445</v>
      </c>
      <c r="K384" s="108">
        <v>299355140.73</v>
      </c>
      <c r="L384" s="86">
        <f t="shared" si="75"/>
        <v>908209355.22445</v>
      </c>
      <c r="M384" s="79"/>
      <c r="N384" s="90"/>
      <c r="O384" s="87">
        <v>13</v>
      </c>
      <c r="P384" s="90"/>
      <c r="Q384" s="85" t="s">
        <v>891</v>
      </c>
      <c r="R384" s="85">
        <v>408421302.08</v>
      </c>
      <c r="S384" s="89">
        <v>0</v>
      </c>
      <c r="T384" s="85">
        <v>63328533.77</v>
      </c>
      <c r="U384" s="85">
        <v>14152495.0754</v>
      </c>
      <c r="V384" s="85">
        <v>0</v>
      </c>
      <c r="W384" s="85">
        <f t="shared" si="87"/>
        <v>14152495.0754</v>
      </c>
      <c r="X384" s="85">
        <v>239813232.92</v>
      </c>
      <c r="Y384" s="86">
        <f t="shared" si="79"/>
        <v>725715563.8454</v>
      </c>
    </row>
    <row r="385" ht="24.95" customHeight="1" spans="1:25">
      <c r="A385" s="83"/>
      <c r="B385" s="90"/>
      <c r="C385" s="80">
        <v>22</v>
      </c>
      <c r="D385" s="85" t="s">
        <v>892</v>
      </c>
      <c r="E385" s="85">
        <v>581026227.13</v>
      </c>
      <c r="F385" s="85">
        <v>0</v>
      </c>
      <c r="G385" s="85">
        <v>90092115.31</v>
      </c>
      <c r="H385" s="85">
        <v>20133550.2731</v>
      </c>
      <c r="I385" s="85">
        <f t="shared" si="84"/>
        <v>10066775.13655</v>
      </c>
      <c r="J385" s="85">
        <f t="shared" si="85"/>
        <v>10066775.13655</v>
      </c>
      <c r="K385" s="108">
        <v>307912126.76</v>
      </c>
      <c r="L385" s="86">
        <f t="shared" si="75"/>
        <v>989097244.33655</v>
      </c>
      <c r="M385" s="79"/>
      <c r="N385" s="90"/>
      <c r="O385" s="87">
        <v>14</v>
      </c>
      <c r="P385" s="90"/>
      <c r="Q385" s="85" t="s">
        <v>893</v>
      </c>
      <c r="R385" s="85">
        <v>449421181.49</v>
      </c>
      <c r="S385" s="89">
        <v>0</v>
      </c>
      <c r="T385" s="85">
        <v>69685847.24</v>
      </c>
      <c r="U385" s="85">
        <v>15573210.8619</v>
      </c>
      <c r="V385" s="85">
        <v>0</v>
      </c>
      <c r="W385" s="85">
        <f t="shared" si="87"/>
        <v>15573210.8619</v>
      </c>
      <c r="X385" s="85">
        <v>260277394.66</v>
      </c>
      <c r="Y385" s="86">
        <f t="shared" si="79"/>
        <v>794957634.2519</v>
      </c>
    </row>
    <row r="386" ht="24.95" customHeight="1" spans="1:25">
      <c r="A386" s="83"/>
      <c r="B386" s="92"/>
      <c r="C386" s="80">
        <v>23</v>
      </c>
      <c r="D386" s="85" t="s">
        <v>894</v>
      </c>
      <c r="E386" s="85">
        <v>593277977.11</v>
      </c>
      <c r="F386" s="85">
        <v>0</v>
      </c>
      <c r="G386" s="85">
        <v>91991833.47</v>
      </c>
      <c r="H386" s="85">
        <v>20558094.3175</v>
      </c>
      <c r="I386" s="85">
        <f t="shared" si="84"/>
        <v>10279047.15875</v>
      </c>
      <c r="J386" s="85">
        <f t="shared" si="85"/>
        <v>10279047.15875</v>
      </c>
      <c r="K386" s="108">
        <v>341928183.6</v>
      </c>
      <c r="L386" s="86">
        <f t="shared" si="75"/>
        <v>1037477041.33875</v>
      </c>
      <c r="M386" s="79"/>
      <c r="N386" s="90"/>
      <c r="O386" s="87">
        <v>15</v>
      </c>
      <c r="P386" s="90"/>
      <c r="Q386" s="85" t="s">
        <v>895</v>
      </c>
      <c r="R386" s="85">
        <v>416833650.9</v>
      </c>
      <c r="S386" s="89">
        <v>0</v>
      </c>
      <c r="T386" s="85">
        <v>64632926.35</v>
      </c>
      <c r="U386" s="85">
        <v>14443997.3174</v>
      </c>
      <c r="V386" s="85">
        <v>0</v>
      </c>
      <c r="W386" s="85">
        <f t="shared" si="87"/>
        <v>14443997.3174</v>
      </c>
      <c r="X386" s="85">
        <v>212613130.31</v>
      </c>
      <c r="Y386" s="86">
        <f t="shared" si="79"/>
        <v>708523704.8774</v>
      </c>
    </row>
    <row r="387" ht="24.95" customHeight="1" spans="1:25">
      <c r="A387" s="80"/>
      <c r="B387" s="93" t="s">
        <v>896</v>
      </c>
      <c r="C387" s="94"/>
      <c r="D387" s="95"/>
      <c r="E387" s="95">
        <f t="shared" ref="E387:L387" si="88">SUM(E364:E386)</f>
        <v>11575227811.45</v>
      </c>
      <c r="F387" s="85">
        <v>0</v>
      </c>
      <c r="G387" s="95">
        <f t="shared" si="88"/>
        <v>1794818736.38</v>
      </c>
      <c r="H387" s="95">
        <f t="shared" si="88"/>
        <v>401101396.4351</v>
      </c>
      <c r="I387" s="95">
        <f t="shared" si="88"/>
        <v>200550698.21755</v>
      </c>
      <c r="J387" s="95">
        <f t="shared" si="88"/>
        <v>200550698.21755</v>
      </c>
      <c r="K387" s="95">
        <f t="shared" si="88"/>
        <v>6633775100.15</v>
      </c>
      <c r="L387" s="95">
        <f t="shared" si="88"/>
        <v>20204372346.1975</v>
      </c>
      <c r="M387" s="117"/>
      <c r="N387" s="90"/>
      <c r="O387" s="87">
        <v>16</v>
      </c>
      <c r="P387" s="90"/>
      <c r="Q387" s="85" t="s">
        <v>897</v>
      </c>
      <c r="R387" s="85">
        <v>434412106.68</v>
      </c>
      <c r="S387" s="89">
        <v>0</v>
      </c>
      <c r="T387" s="85">
        <v>67358586.9</v>
      </c>
      <c r="U387" s="85">
        <v>15053120.8074</v>
      </c>
      <c r="V387" s="85">
        <v>0</v>
      </c>
      <c r="W387" s="85">
        <f t="shared" si="87"/>
        <v>15053120.8074</v>
      </c>
      <c r="X387" s="85">
        <v>230622437.23</v>
      </c>
      <c r="Y387" s="86">
        <f t="shared" si="79"/>
        <v>747446251.6174</v>
      </c>
    </row>
    <row r="388" ht="24.95" customHeight="1" spans="1:25">
      <c r="A388" s="83">
        <v>19</v>
      </c>
      <c r="B388" s="84" t="s">
        <v>106</v>
      </c>
      <c r="C388" s="80">
        <v>1</v>
      </c>
      <c r="D388" s="85" t="s">
        <v>898</v>
      </c>
      <c r="E388" s="85">
        <v>380718415.04</v>
      </c>
      <c r="F388" s="85">
        <v>0</v>
      </c>
      <c r="G388" s="85">
        <v>59033010.47</v>
      </c>
      <c r="H388" s="85">
        <v>13192542.7654</v>
      </c>
      <c r="I388" s="85">
        <v>0</v>
      </c>
      <c r="J388" s="85">
        <f t="shared" ref="J388:J412" si="89">H388-I388</f>
        <v>13192542.7654</v>
      </c>
      <c r="K388" s="108">
        <v>262355414.12</v>
      </c>
      <c r="L388" s="86">
        <f t="shared" ref="L388:L412" si="90">E388+F388+G388+J388+K388</f>
        <v>715299382.3954</v>
      </c>
      <c r="M388" s="79"/>
      <c r="N388" s="92"/>
      <c r="O388" s="87">
        <v>17</v>
      </c>
      <c r="P388" s="92"/>
      <c r="Q388" s="85" t="s">
        <v>899</v>
      </c>
      <c r="R388" s="85">
        <v>433379791.55</v>
      </c>
      <c r="S388" s="89">
        <v>0</v>
      </c>
      <c r="T388" s="85">
        <v>67198519.32</v>
      </c>
      <c r="U388" s="85">
        <v>15017349.3262</v>
      </c>
      <c r="V388" s="85">
        <v>0</v>
      </c>
      <c r="W388" s="85">
        <f t="shared" si="87"/>
        <v>15017349.3262</v>
      </c>
      <c r="X388" s="85">
        <v>225164117.36</v>
      </c>
      <c r="Y388" s="86">
        <f t="shared" si="79"/>
        <v>740759777.5562</v>
      </c>
    </row>
    <row r="389" ht="24.95" customHeight="1" spans="1:25">
      <c r="A389" s="83"/>
      <c r="B389" s="90"/>
      <c r="C389" s="80">
        <v>2</v>
      </c>
      <c r="D389" s="85" t="s">
        <v>900</v>
      </c>
      <c r="E389" s="85">
        <v>389955711.66</v>
      </c>
      <c r="F389" s="85">
        <v>0</v>
      </c>
      <c r="G389" s="85">
        <v>60465316.89</v>
      </c>
      <c r="H389" s="85">
        <v>13512630.8564</v>
      </c>
      <c r="I389" s="85">
        <v>0</v>
      </c>
      <c r="J389" s="85">
        <f t="shared" si="89"/>
        <v>13512630.8564</v>
      </c>
      <c r="K389" s="108">
        <v>268288257.77</v>
      </c>
      <c r="L389" s="86">
        <f t="shared" si="90"/>
        <v>732221917.1764</v>
      </c>
      <c r="M389" s="79"/>
      <c r="N389" s="80"/>
      <c r="O389" s="94" t="s">
        <v>901</v>
      </c>
      <c r="P389" s="98"/>
      <c r="Q389" s="95"/>
      <c r="R389" s="95">
        <f t="shared" ref="R389:V389" si="91">SUM(R372:R388)</f>
        <v>7341741351.39</v>
      </c>
      <c r="S389" s="89">
        <v>0</v>
      </c>
      <c r="T389" s="95">
        <f t="shared" si="91"/>
        <v>1138387524.62</v>
      </c>
      <c r="U389" s="95">
        <f t="shared" si="91"/>
        <v>254403866.2802</v>
      </c>
      <c r="V389" s="95">
        <f t="shared" si="91"/>
        <v>0</v>
      </c>
      <c r="W389" s="95">
        <f t="shared" si="87"/>
        <v>254403866.2802</v>
      </c>
      <c r="X389" s="95">
        <f>SUM(X372:X388)</f>
        <v>3988234964.85</v>
      </c>
      <c r="Y389" s="95">
        <f>SUM(Y372:Y388)</f>
        <v>12722767707.1402</v>
      </c>
    </row>
    <row r="390" ht="24.95" customHeight="1" spans="1:25">
      <c r="A390" s="83"/>
      <c r="B390" s="90"/>
      <c r="C390" s="80">
        <v>3</v>
      </c>
      <c r="D390" s="85" t="s">
        <v>902</v>
      </c>
      <c r="E390" s="85">
        <v>355562781.71</v>
      </c>
      <c r="F390" s="85">
        <v>0</v>
      </c>
      <c r="G390" s="85">
        <v>55132456.39</v>
      </c>
      <c r="H390" s="85">
        <v>12320857.1431</v>
      </c>
      <c r="I390" s="85">
        <v>0</v>
      </c>
      <c r="J390" s="85">
        <f t="shared" si="89"/>
        <v>12320857.1431</v>
      </c>
      <c r="K390" s="108">
        <v>258173233.5</v>
      </c>
      <c r="L390" s="86">
        <f t="shared" si="90"/>
        <v>681189328.7431</v>
      </c>
      <c r="M390" s="79"/>
      <c r="N390" s="84">
        <v>36</v>
      </c>
      <c r="O390" s="87">
        <v>1</v>
      </c>
      <c r="P390" s="84" t="s">
        <v>123</v>
      </c>
      <c r="Q390" s="85" t="s">
        <v>903</v>
      </c>
      <c r="R390" s="85">
        <v>407927579.33</v>
      </c>
      <c r="S390" s="89">
        <v>0</v>
      </c>
      <c r="T390" s="85">
        <v>63251978.66</v>
      </c>
      <c r="U390" s="85">
        <v>14135386.7396</v>
      </c>
      <c r="V390" s="85">
        <v>0</v>
      </c>
      <c r="W390" s="85">
        <f t="shared" si="87"/>
        <v>14135386.7396</v>
      </c>
      <c r="X390" s="85">
        <v>244652075.74</v>
      </c>
      <c r="Y390" s="86">
        <f t="shared" si="79"/>
        <v>729967020.4696</v>
      </c>
    </row>
    <row r="391" ht="24.95" customHeight="1" spans="1:25">
      <c r="A391" s="83"/>
      <c r="B391" s="90"/>
      <c r="C391" s="80">
        <v>4</v>
      </c>
      <c r="D391" s="85" t="s">
        <v>904</v>
      </c>
      <c r="E391" s="85">
        <v>385736461.87</v>
      </c>
      <c r="F391" s="85">
        <v>0</v>
      </c>
      <c r="G391" s="85">
        <v>59811093.17</v>
      </c>
      <c r="H391" s="85">
        <v>13366426.651</v>
      </c>
      <c r="I391" s="85">
        <v>0</v>
      </c>
      <c r="J391" s="85">
        <f t="shared" si="89"/>
        <v>13366426.651</v>
      </c>
      <c r="K391" s="108">
        <v>267808918.38</v>
      </c>
      <c r="L391" s="86">
        <f t="shared" si="90"/>
        <v>726722900.071</v>
      </c>
      <c r="M391" s="79"/>
      <c r="N391" s="90"/>
      <c r="O391" s="87">
        <v>2</v>
      </c>
      <c r="P391" s="90"/>
      <c r="Q391" s="85" t="s">
        <v>905</v>
      </c>
      <c r="R391" s="85">
        <v>394975851.58</v>
      </c>
      <c r="S391" s="89">
        <v>0</v>
      </c>
      <c r="T391" s="85">
        <v>61243724.13</v>
      </c>
      <c r="U391" s="85">
        <v>13686587.2712</v>
      </c>
      <c r="V391" s="85">
        <v>0</v>
      </c>
      <c r="W391" s="85">
        <f t="shared" si="87"/>
        <v>13686587.2712</v>
      </c>
      <c r="X391" s="85">
        <v>261182616.94</v>
      </c>
      <c r="Y391" s="86">
        <f t="shared" si="79"/>
        <v>731088779.9212</v>
      </c>
    </row>
    <row r="392" ht="24.95" customHeight="1" spans="1:25">
      <c r="A392" s="83"/>
      <c r="B392" s="90"/>
      <c r="C392" s="80">
        <v>5</v>
      </c>
      <c r="D392" s="85" t="s">
        <v>906</v>
      </c>
      <c r="E392" s="85">
        <v>467525289.9</v>
      </c>
      <c r="F392" s="85">
        <v>0</v>
      </c>
      <c r="G392" s="85">
        <v>72493013.85</v>
      </c>
      <c r="H392" s="85">
        <v>16200549.1124</v>
      </c>
      <c r="I392" s="85">
        <v>0</v>
      </c>
      <c r="J392" s="85">
        <f t="shared" si="89"/>
        <v>16200549.1124</v>
      </c>
      <c r="K392" s="108">
        <v>300495864.15</v>
      </c>
      <c r="L392" s="86">
        <f t="shared" si="90"/>
        <v>856714717.0124</v>
      </c>
      <c r="M392" s="79"/>
      <c r="N392" s="90"/>
      <c r="O392" s="87">
        <v>3</v>
      </c>
      <c r="P392" s="90"/>
      <c r="Q392" s="85" t="s">
        <v>907</v>
      </c>
      <c r="R392" s="85">
        <v>466136200.89</v>
      </c>
      <c r="S392" s="89">
        <v>0</v>
      </c>
      <c r="T392" s="85">
        <v>72277626.04</v>
      </c>
      <c r="U392" s="85">
        <v>16152414.808</v>
      </c>
      <c r="V392" s="85">
        <v>0</v>
      </c>
      <c r="W392" s="85">
        <f t="shared" si="87"/>
        <v>16152414.808</v>
      </c>
      <c r="X392" s="85">
        <v>270342666.75</v>
      </c>
      <c r="Y392" s="86">
        <f t="shared" si="79"/>
        <v>824908908.488</v>
      </c>
    </row>
    <row r="393" ht="24.95" customHeight="1" spans="1:25">
      <c r="A393" s="83"/>
      <c r="B393" s="90"/>
      <c r="C393" s="80">
        <v>6</v>
      </c>
      <c r="D393" s="85" t="s">
        <v>908</v>
      </c>
      <c r="E393" s="85">
        <v>372479698.3</v>
      </c>
      <c r="F393" s="85">
        <v>0</v>
      </c>
      <c r="G393" s="85">
        <v>57755540.74</v>
      </c>
      <c r="H393" s="85">
        <v>12907057.1714</v>
      </c>
      <c r="I393" s="85">
        <v>0</v>
      </c>
      <c r="J393" s="85">
        <f t="shared" si="89"/>
        <v>12907057.1714</v>
      </c>
      <c r="K393" s="108">
        <v>261152990.89</v>
      </c>
      <c r="L393" s="86">
        <f t="shared" si="90"/>
        <v>704295287.1014</v>
      </c>
      <c r="M393" s="79"/>
      <c r="N393" s="90"/>
      <c r="O393" s="87">
        <v>4</v>
      </c>
      <c r="P393" s="90"/>
      <c r="Q393" s="85" t="s">
        <v>909</v>
      </c>
      <c r="R393" s="85">
        <v>514478377.55</v>
      </c>
      <c r="S393" s="89">
        <v>0</v>
      </c>
      <c r="T393" s="85">
        <v>79773413.23</v>
      </c>
      <c r="U393" s="85">
        <v>17827553.7234</v>
      </c>
      <c r="V393" s="85">
        <v>0</v>
      </c>
      <c r="W393" s="85">
        <f t="shared" si="87"/>
        <v>17827553.7234</v>
      </c>
      <c r="X393" s="85">
        <v>287487755.12</v>
      </c>
      <c r="Y393" s="86">
        <f t="shared" si="79"/>
        <v>899567099.6234</v>
      </c>
    </row>
    <row r="394" ht="24.95" customHeight="1" spans="1:25">
      <c r="A394" s="83"/>
      <c r="B394" s="90"/>
      <c r="C394" s="80">
        <v>7</v>
      </c>
      <c r="D394" s="85" t="s">
        <v>910</v>
      </c>
      <c r="E394" s="85">
        <v>601222747.5</v>
      </c>
      <c r="F394" s="85">
        <v>0</v>
      </c>
      <c r="G394" s="85">
        <v>93223724.8</v>
      </c>
      <c r="H394" s="85">
        <v>20833394.1688</v>
      </c>
      <c r="I394" s="85">
        <v>0</v>
      </c>
      <c r="J394" s="85">
        <f t="shared" si="89"/>
        <v>20833394.1688</v>
      </c>
      <c r="K394" s="108">
        <v>352977970.93</v>
      </c>
      <c r="L394" s="86">
        <f t="shared" si="90"/>
        <v>1068257837.3988</v>
      </c>
      <c r="M394" s="79"/>
      <c r="N394" s="90"/>
      <c r="O394" s="87">
        <v>5</v>
      </c>
      <c r="P394" s="90"/>
      <c r="Q394" s="85" t="s">
        <v>911</v>
      </c>
      <c r="R394" s="85">
        <v>447798598.8</v>
      </c>
      <c r="S394" s="89">
        <v>0</v>
      </c>
      <c r="T394" s="85">
        <v>69434254.63</v>
      </c>
      <c r="U394" s="85">
        <v>15516985.603</v>
      </c>
      <c r="V394" s="85">
        <v>0</v>
      </c>
      <c r="W394" s="85">
        <f t="shared" si="87"/>
        <v>15516985.603</v>
      </c>
      <c r="X394" s="85">
        <v>267714820.04</v>
      </c>
      <c r="Y394" s="86">
        <f t="shared" si="79"/>
        <v>800464659.073</v>
      </c>
    </row>
    <row r="395" ht="24.95" customHeight="1" spans="1:25">
      <c r="A395" s="83"/>
      <c r="B395" s="90"/>
      <c r="C395" s="80">
        <v>8</v>
      </c>
      <c r="D395" s="85" t="s">
        <v>912</v>
      </c>
      <c r="E395" s="85">
        <v>409622549.17</v>
      </c>
      <c r="F395" s="85">
        <v>0</v>
      </c>
      <c r="G395" s="85">
        <v>63514795.4</v>
      </c>
      <c r="H395" s="85">
        <v>14194120.337</v>
      </c>
      <c r="I395" s="85">
        <v>0</v>
      </c>
      <c r="J395" s="85">
        <f t="shared" si="89"/>
        <v>14194120.337</v>
      </c>
      <c r="K395" s="108">
        <v>274887509.12</v>
      </c>
      <c r="L395" s="86">
        <f t="shared" si="90"/>
        <v>762218974.027</v>
      </c>
      <c r="M395" s="79"/>
      <c r="N395" s="90"/>
      <c r="O395" s="87">
        <v>6</v>
      </c>
      <c r="P395" s="90"/>
      <c r="Q395" s="85" t="s">
        <v>913</v>
      </c>
      <c r="R395" s="85">
        <v>621794155.36</v>
      </c>
      <c r="S395" s="89">
        <v>0</v>
      </c>
      <c r="T395" s="85">
        <v>96413463.16</v>
      </c>
      <c r="U395" s="85">
        <v>21546228.5557</v>
      </c>
      <c r="V395" s="85">
        <v>0</v>
      </c>
      <c r="W395" s="85">
        <f t="shared" si="87"/>
        <v>21546228.5557</v>
      </c>
      <c r="X395" s="85">
        <v>333882547.99</v>
      </c>
      <c r="Y395" s="86">
        <f t="shared" si="79"/>
        <v>1073636395.0657</v>
      </c>
    </row>
    <row r="396" ht="24.95" customHeight="1" spans="1:25">
      <c r="A396" s="83"/>
      <c r="B396" s="90"/>
      <c r="C396" s="80">
        <v>9</v>
      </c>
      <c r="D396" s="85" t="s">
        <v>914</v>
      </c>
      <c r="E396" s="85">
        <v>440328339.93</v>
      </c>
      <c r="F396" s="85">
        <v>0</v>
      </c>
      <c r="G396" s="85">
        <v>68275939.58</v>
      </c>
      <c r="H396" s="85">
        <v>15258128.3852</v>
      </c>
      <c r="I396" s="85">
        <v>0</v>
      </c>
      <c r="J396" s="85">
        <f t="shared" si="89"/>
        <v>15258128.3852</v>
      </c>
      <c r="K396" s="108">
        <v>281340810.14</v>
      </c>
      <c r="L396" s="86">
        <f t="shared" si="90"/>
        <v>805203218.0352</v>
      </c>
      <c r="M396" s="79"/>
      <c r="N396" s="90"/>
      <c r="O396" s="87">
        <v>7</v>
      </c>
      <c r="P396" s="90"/>
      <c r="Q396" s="85" t="s">
        <v>915</v>
      </c>
      <c r="R396" s="85">
        <v>472225685</v>
      </c>
      <c r="S396" s="89">
        <v>0</v>
      </c>
      <c r="T396" s="85">
        <v>73221842.46</v>
      </c>
      <c r="U396" s="85">
        <v>16363425.8238</v>
      </c>
      <c r="V396" s="85">
        <v>0</v>
      </c>
      <c r="W396" s="85">
        <f t="shared" si="87"/>
        <v>16363425.8238</v>
      </c>
      <c r="X396" s="85">
        <v>296174392.45</v>
      </c>
      <c r="Y396" s="86">
        <f t="shared" si="79"/>
        <v>857985345.7338</v>
      </c>
    </row>
    <row r="397" ht="24.95" customHeight="1" spans="1:25">
      <c r="A397" s="83"/>
      <c r="B397" s="90"/>
      <c r="C397" s="80">
        <v>10</v>
      </c>
      <c r="D397" s="85" t="s">
        <v>916</v>
      </c>
      <c r="E397" s="85">
        <v>443412274.87</v>
      </c>
      <c r="F397" s="85">
        <v>0</v>
      </c>
      <c r="G397" s="85">
        <v>68754124.92</v>
      </c>
      <c r="H397" s="85">
        <v>15364991.9935</v>
      </c>
      <c r="I397" s="85">
        <v>0</v>
      </c>
      <c r="J397" s="85">
        <f t="shared" si="89"/>
        <v>15364991.9935</v>
      </c>
      <c r="K397" s="108">
        <v>289670350.74</v>
      </c>
      <c r="L397" s="86">
        <f t="shared" si="90"/>
        <v>817201742.5235</v>
      </c>
      <c r="M397" s="79"/>
      <c r="N397" s="90"/>
      <c r="O397" s="87">
        <v>8</v>
      </c>
      <c r="P397" s="90"/>
      <c r="Q397" s="85" t="s">
        <v>829</v>
      </c>
      <c r="R397" s="85">
        <v>428437273.96</v>
      </c>
      <c r="S397" s="89">
        <v>0</v>
      </c>
      <c r="T397" s="85">
        <v>66432147.96</v>
      </c>
      <c r="U397" s="85">
        <v>14846082.6578</v>
      </c>
      <c r="V397" s="85">
        <v>0</v>
      </c>
      <c r="W397" s="85">
        <f t="shared" si="87"/>
        <v>14846082.6578</v>
      </c>
      <c r="X397" s="85">
        <v>258113214.94</v>
      </c>
      <c r="Y397" s="86">
        <f t="shared" si="79"/>
        <v>767828719.5178</v>
      </c>
    </row>
    <row r="398" ht="24.95" customHeight="1" spans="1:25">
      <c r="A398" s="83"/>
      <c r="B398" s="90"/>
      <c r="C398" s="80">
        <v>11</v>
      </c>
      <c r="D398" s="85" t="s">
        <v>917</v>
      </c>
      <c r="E398" s="85">
        <v>410981896.73</v>
      </c>
      <c r="F398" s="85">
        <v>0</v>
      </c>
      <c r="G398" s="85">
        <v>63725571.59</v>
      </c>
      <c r="H398" s="85">
        <v>14241224.0495</v>
      </c>
      <c r="I398" s="85">
        <v>0</v>
      </c>
      <c r="J398" s="85">
        <f t="shared" si="89"/>
        <v>14241224.0495</v>
      </c>
      <c r="K398" s="108">
        <v>253851770.34</v>
      </c>
      <c r="L398" s="86">
        <f t="shared" si="90"/>
        <v>742800462.7095</v>
      </c>
      <c r="M398" s="79"/>
      <c r="N398" s="90"/>
      <c r="O398" s="87">
        <v>9</v>
      </c>
      <c r="P398" s="90"/>
      <c r="Q398" s="85" t="s">
        <v>918</v>
      </c>
      <c r="R398" s="85">
        <v>463152808.93</v>
      </c>
      <c r="S398" s="89">
        <v>0</v>
      </c>
      <c r="T398" s="85">
        <v>71815030.58</v>
      </c>
      <c r="U398" s="85">
        <v>16049035.1854</v>
      </c>
      <c r="V398" s="85">
        <v>0</v>
      </c>
      <c r="W398" s="85">
        <f t="shared" si="87"/>
        <v>16049035.1854</v>
      </c>
      <c r="X398" s="85">
        <v>270053359.12</v>
      </c>
      <c r="Y398" s="86">
        <f t="shared" si="79"/>
        <v>821070233.8154</v>
      </c>
    </row>
    <row r="399" ht="24.95" customHeight="1" spans="1:25">
      <c r="A399" s="83"/>
      <c r="B399" s="90"/>
      <c r="C399" s="80">
        <v>12</v>
      </c>
      <c r="D399" s="85" t="s">
        <v>919</v>
      </c>
      <c r="E399" s="85">
        <v>402632351.88</v>
      </c>
      <c r="F399" s="85">
        <v>0</v>
      </c>
      <c r="G399" s="85">
        <v>62430917.2</v>
      </c>
      <c r="H399" s="85">
        <v>13951898.0723</v>
      </c>
      <c r="I399" s="85">
        <v>0</v>
      </c>
      <c r="J399" s="85">
        <f t="shared" si="89"/>
        <v>13951898.0723</v>
      </c>
      <c r="K399" s="108">
        <v>271501757.93</v>
      </c>
      <c r="L399" s="86">
        <f t="shared" si="90"/>
        <v>750516925.0823</v>
      </c>
      <c r="M399" s="79"/>
      <c r="N399" s="90"/>
      <c r="O399" s="87">
        <v>10</v>
      </c>
      <c r="P399" s="90"/>
      <c r="Q399" s="85" t="s">
        <v>920</v>
      </c>
      <c r="R399" s="85">
        <v>611323936.18</v>
      </c>
      <c r="S399" s="89">
        <v>0</v>
      </c>
      <c r="T399" s="85">
        <v>94789983.62</v>
      </c>
      <c r="U399" s="85">
        <v>21183417.594</v>
      </c>
      <c r="V399" s="85">
        <v>0</v>
      </c>
      <c r="W399" s="85">
        <f t="shared" si="87"/>
        <v>21183417.594</v>
      </c>
      <c r="X399" s="85">
        <v>300076155.82</v>
      </c>
      <c r="Y399" s="86">
        <f t="shared" si="79"/>
        <v>1027373493.214</v>
      </c>
    </row>
    <row r="400" ht="24.95" customHeight="1" spans="1:25">
      <c r="A400" s="83"/>
      <c r="B400" s="90"/>
      <c r="C400" s="80">
        <v>13</v>
      </c>
      <c r="D400" s="85" t="s">
        <v>921</v>
      </c>
      <c r="E400" s="85">
        <v>420693882.22</v>
      </c>
      <c r="F400" s="85">
        <v>0</v>
      </c>
      <c r="G400" s="85">
        <v>65231481.78</v>
      </c>
      <c r="H400" s="85">
        <v>14577760.92</v>
      </c>
      <c r="I400" s="85">
        <v>0</v>
      </c>
      <c r="J400" s="85">
        <f t="shared" si="89"/>
        <v>14577760.92</v>
      </c>
      <c r="K400" s="108">
        <v>276031033.61</v>
      </c>
      <c r="L400" s="86">
        <f t="shared" si="90"/>
        <v>776534158.53</v>
      </c>
      <c r="M400" s="79"/>
      <c r="N400" s="90"/>
      <c r="O400" s="87">
        <v>11</v>
      </c>
      <c r="P400" s="90"/>
      <c r="Q400" s="85" t="s">
        <v>922</v>
      </c>
      <c r="R400" s="85">
        <v>381698419.22</v>
      </c>
      <c r="S400" s="89">
        <v>0</v>
      </c>
      <c r="T400" s="85">
        <v>59184966.86</v>
      </c>
      <c r="U400" s="85">
        <v>13226501.5824</v>
      </c>
      <c r="V400" s="85">
        <v>0</v>
      </c>
      <c r="W400" s="85">
        <f t="shared" si="87"/>
        <v>13226501.5824</v>
      </c>
      <c r="X400" s="85">
        <v>242195739.19</v>
      </c>
      <c r="Y400" s="86">
        <f t="shared" si="79"/>
        <v>696305626.8524</v>
      </c>
    </row>
    <row r="401" ht="24.95" customHeight="1" spans="1:25">
      <c r="A401" s="83"/>
      <c r="B401" s="90"/>
      <c r="C401" s="80">
        <v>14</v>
      </c>
      <c r="D401" s="85" t="s">
        <v>923</v>
      </c>
      <c r="E401" s="85">
        <v>375260830.75</v>
      </c>
      <c r="F401" s="85">
        <v>0</v>
      </c>
      <c r="G401" s="85">
        <v>58186774.47</v>
      </c>
      <c r="H401" s="85">
        <v>13003428.1565</v>
      </c>
      <c r="I401" s="85">
        <v>0</v>
      </c>
      <c r="J401" s="85">
        <f t="shared" si="89"/>
        <v>13003428.1565</v>
      </c>
      <c r="K401" s="108">
        <v>258044693.5</v>
      </c>
      <c r="L401" s="86">
        <f t="shared" si="90"/>
        <v>704495726.8765</v>
      </c>
      <c r="M401" s="79"/>
      <c r="N401" s="90"/>
      <c r="O401" s="87">
        <v>12</v>
      </c>
      <c r="P401" s="90"/>
      <c r="Q401" s="85" t="s">
        <v>924</v>
      </c>
      <c r="R401" s="85">
        <v>440867983.14</v>
      </c>
      <c r="S401" s="89">
        <v>0</v>
      </c>
      <c r="T401" s="85">
        <v>68359614.97</v>
      </c>
      <c r="U401" s="85">
        <v>15276827.9434</v>
      </c>
      <c r="V401" s="85">
        <v>0</v>
      </c>
      <c r="W401" s="85">
        <f t="shared" si="87"/>
        <v>15276827.9434</v>
      </c>
      <c r="X401" s="85">
        <v>271655849.23</v>
      </c>
      <c r="Y401" s="86">
        <f t="shared" si="79"/>
        <v>796160275.2834</v>
      </c>
    </row>
    <row r="402" ht="24.95" customHeight="1" spans="1:25">
      <c r="A402" s="83"/>
      <c r="B402" s="90"/>
      <c r="C402" s="80">
        <v>15</v>
      </c>
      <c r="D402" s="85" t="s">
        <v>925</v>
      </c>
      <c r="E402" s="85">
        <v>373302628.96</v>
      </c>
      <c r="F402" s="85">
        <v>0</v>
      </c>
      <c r="G402" s="85">
        <v>57883141.8</v>
      </c>
      <c r="H402" s="85">
        <v>12935573.123</v>
      </c>
      <c r="I402" s="85">
        <v>0</v>
      </c>
      <c r="J402" s="85">
        <f t="shared" si="89"/>
        <v>12935573.123</v>
      </c>
      <c r="K402" s="108">
        <v>241002585.3</v>
      </c>
      <c r="L402" s="86">
        <f t="shared" si="90"/>
        <v>685123929.183</v>
      </c>
      <c r="M402" s="79"/>
      <c r="N402" s="90"/>
      <c r="O402" s="87">
        <v>13</v>
      </c>
      <c r="P402" s="90"/>
      <c r="Q402" s="85" t="s">
        <v>926</v>
      </c>
      <c r="R402" s="85">
        <v>467085135.01</v>
      </c>
      <c r="S402" s="89">
        <v>0</v>
      </c>
      <c r="T402" s="85">
        <v>72424764.8</v>
      </c>
      <c r="U402" s="85">
        <v>16185296.9944</v>
      </c>
      <c r="V402" s="85">
        <v>0</v>
      </c>
      <c r="W402" s="85">
        <f t="shared" si="87"/>
        <v>16185296.9944</v>
      </c>
      <c r="X402" s="85">
        <v>290484922.82</v>
      </c>
      <c r="Y402" s="86">
        <f t="shared" si="79"/>
        <v>846180119.6244</v>
      </c>
    </row>
    <row r="403" ht="24.95" customHeight="1" spans="1:25">
      <c r="A403" s="83"/>
      <c r="B403" s="90"/>
      <c r="C403" s="80">
        <v>16</v>
      </c>
      <c r="D403" s="85" t="s">
        <v>927</v>
      </c>
      <c r="E403" s="85">
        <v>403454604.74</v>
      </c>
      <c r="F403" s="85">
        <v>0</v>
      </c>
      <c r="G403" s="85">
        <v>62558413.16</v>
      </c>
      <c r="H403" s="85">
        <v>13980390.537</v>
      </c>
      <c r="I403" s="85">
        <v>0</v>
      </c>
      <c r="J403" s="85">
        <f t="shared" si="89"/>
        <v>13980390.537</v>
      </c>
      <c r="K403" s="108">
        <v>272312263.8</v>
      </c>
      <c r="L403" s="86">
        <f t="shared" si="90"/>
        <v>752305672.237</v>
      </c>
      <c r="M403" s="79"/>
      <c r="N403" s="92"/>
      <c r="O403" s="87">
        <v>14</v>
      </c>
      <c r="P403" s="92"/>
      <c r="Q403" s="85" t="s">
        <v>928</v>
      </c>
      <c r="R403" s="85">
        <v>515852087.77</v>
      </c>
      <c r="S403" s="89">
        <v>0</v>
      </c>
      <c r="T403" s="85">
        <v>79986416.48</v>
      </c>
      <c r="U403" s="85">
        <v>17875155.1267</v>
      </c>
      <c r="V403" s="85">
        <v>0</v>
      </c>
      <c r="W403" s="85">
        <f t="shared" si="87"/>
        <v>17875155.1267</v>
      </c>
      <c r="X403" s="85">
        <v>300793683.18</v>
      </c>
      <c r="Y403" s="86">
        <f t="shared" si="79"/>
        <v>914507342.5567</v>
      </c>
    </row>
    <row r="404" ht="24.95" customHeight="1" spans="1:25">
      <c r="A404" s="83"/>
      <c r="B404" s="90"/>
      <c r="C404" s="80">
        <v>17</v>
      </c>
      <c r="D404" s="85" t="s">
        <v>929</v>
      </c>
      <c r="E404" s="85">
        <v>460717190.13</v>
      </c>
      <c r="F404" s="85">
        <v>0</v>
      </c>
      <c r="G404" s="85">
        <v>71437371.12</v>
      </c>
      <c r="H404" s="85">
        <v>15964636.8376</v>
      </c>
      <c r="I404" s="85">
        <v>0</v>
      </c>
      <c r="J404" s="85">
        <f t="shared" si="89"/>
        <v>15964636.8376</v>
      </c>
      <c r="K404" s="108">
        <v>302336912.66</v>
      </c>
      <c r="L404" s="86">
        <f t="shared" si="90"/>
        <v>850456110.7476</v>
      </c>
      <c r="M404" s="79"/>
      <c r="N404" s="80"/>
      <c r="O404" s="94" t="s">
        <v>930</v>
      </c>
      <c r="P404" s="98"/>
      <c r="Q404" s="95"/>
      <c r="R404" s="95">
        <f>SUM(R390:R403)</f>
        <v>6633754092.72</v>
      </c>
      <c r="S404" s="89">
        <v>0</v>
      </c>
      <c r="T404" s="95">
        <f t="shared" ref="T404:V404" si="92">SUM(T390:T403)</f>
        <v>1028609227.58</v>
      </c>
      <c r="U404" s="95">
        <f t="shared" si="92"/>
        <v>229870899.6088</v>
      </c>
      <c r="V404" s="95">
        <f t="shared" si="92"/>
        <v>0</v>
      </c>
      <c r="W404" s="95">
        <f t="shared" si="87"/>
        <v>229870899.6088</v>
      </c>
      <c r="X404" s="95">
        <f>SUM(X390:X403)</f>
        <v>3894809799.33</v>
      </c>
      <c r="Y404" s="95">
        <f>SUM(Y390:Y403)</f>
        <v>11787044019.2388</v>
      </c>
    </row>
    <row r="405" ht="24.95" customHeight="1" spans="1:25">
      <c r="A405" s="83"/>
      <c r="B405" s="90"/>
      <c r="C405" s="80">
        <v>18</v>
      </c>
      <c r="D405" s="85" t="s">
        <v>931</v>
      </c>
      <c r="E405" s="85">
        <v>553907225.8</v>
      </c>
      <c r="F405" s="85">
        <v>0</v>
      </c>
      <c r="G405" s="85">
        <v>85887127.52</v>
      </c>
      <c r="H405" s="85">
        <v>19193830.5994</v>
      </c>
      <c r="I405" s="85">
        <v>0</v>
      </c>
      <c r="J405" s="85">
        <f t="shared" si="89"/>
        <v>19193830.5994</v>
      </c>
      <c r="K405" s="108">
        <v>331967791.99</v>
      </c>
      <c r="L405" s="86">
        <f t="shared" si="90"/>
        <v>990955975.9094</v>
      </c>
      <c r="M405" s="79"/>
      <c r="N405" s="84">
        <v>37</v>
      </c>
      <c r="O405" s="87">
        <v>1</v>
      </c>
      <c r="P405" s="84" t="s">
        <v>932</v>
      </c>
      <c r="Q405" s="85" t="s">
        <v>933</v>
      </c>
      <c r="R405" s="85">
        <v>340756806.57</v>
      </c>
      <c r="S405" s="89">
        <v>0</v>
      </c>
      <c r="T405" s="85">
        <v>52836688.05</v>
      </c>
      <c r="U405" s="85">
        <v>11807804.8385</v>
      </c>
      <c r="V405" s="85">
        <v>0</v>
      </c>
      <c r="W405" s="85">
        <f t="shared" si="87"/>
        <v>11807804.8385</v>
      </c>
      <c r="X405" s="85">
        <v>529544750.11</v>
      </c>
      <c r="Y405" s="86">
        <f t="shared" si="79"/>
        <v>934946049.5685</v>
      </c>
    </row>
    <row r="406" ht="24.95" customHeight="1" spans="1:25">
      <c r="A406" s="83"/>
      <c r="B406" s="90"/>
      <c r="C406" s="80">
        <v>19</v>
      </c>
      <c r="D406" s="85" t="s">
        <v>934</v>
      </c>
      <c r="E406" s="85">
        <v>380824900.94</v>
      </c>
      <c r="F406" s="85">
        <v>0</v>
      </c>
      <c r="G406" s="85">
        <v>59049521.84</v>
      </c>
      <c r="H406" s="85">
        <v>13196232.6835</v>
      </c>
      <c r="I406" s="85">
        <v>0</v>
      </c>
      <c r="J406" s="85">
        <f t="shared" si="89"/>
        <v>13196232.6835</v>
      </c>
      <c r="K406" s="108">
        <v>266004172.23</v>
      </c>
      <c r="L406" s="86">
        <f t="shared" si="90"/>
        <v>719074827.6935</v>
      </c>
      <c r="M406" s="79"/>
      <c r="N406" s="90"/>
      <c r="O406" s="87">
        <v>2</v>
      </c>
      <c r="P406" s="90"/>
      <c r="Q406" s="85" t="s">
        <v>935</v>
      </c>
      <c r="R406" s="85">
        <v>869871472.88</v>
      </c>
      <c r="S406" s="89">
        <v>0</v>
      </c>
      <c r="T406" s="85">
        <v>134879558.59</v>
      </c>
      <c r="U406" s="85">
        <v>30142530.9439</v>
      </c>
      <c r="V406" s="85">
        <v>0</v>
      </c>
      <c r="W406" s="85">
        <f t="shared" si="87"/>
        <v>30142530.9439</v>
      </c>
      <c r="X406" s="85">
        <v>796301566.17</v>
      </c>
      <c r="Y406" s="86">
        <f t="shared" si="79"/>
        <v>1831195128.5839</v>
      </c>
    </row>
    <row r="407" ht="24.95" customHeight="1" spans="1:25">
      <c r="A407" s="83"/>
      <c r="B407" s="90"/>
      <c r="C407" s="80">
        <v>20</v>
      </c>
      <c r="D407" s="85" t="s">
        <v>936</v>
      </c>
      <c r="E407" s="85">
        <v>366950155.62</v>
      </c>
      <c r="F407" s="85">
        <v>0</v>
      </c>
      <c r="G407" s="85">
        <v>56898147.09</v>
      </c>
      <c r="H407" s="85">
        <v>12715449.0814</v>
      </c>
      <c r="I407" s="85">
        <v>0</v>
      </c>
      <c r="J407" s="85">
        <f t="shared" si="89"/>
        <v>12715449.0814</v>
      </c>
      <c r="K407" s="108">
        <v>254832304.63</v>
      </c>
      <c r="L407" s="86">
        <f t="shared" si="90"/>
        <v>691396056.4214</v>
      </c>
      <c r="M407" s="79"/>
      <c r="N407" s="90"/>
      <c r="O407" s="87">
        <v>3</v>
      </c>
      <c r="P407" s="90"/>
      <c r="Q407" s="85" t="s">
        <v>937</v>
      </c>
      <c r="R407" s="85">
        <v>489974812.76</v>
      </c>
      <c r="S407" s="89">
        <v>0</v>
      </c>
      <c r="T407" s="85">
        <v>75973966.87</v>
      </c>
      <c r="U407" s="85">
        <v>16978463.389</v>
      </c>
      <c r="V407" s="85">
        <v>0</v>
      </c>
      <c r="W407" s="85">
        <f t="shared" si="87"/>
        <v>16978463.389</v>
      </c>
      <c r="X407" s="85">
        <v>592063349.52</v>
      </c>
      <c r="Y407" s="86">
        <f t="shared" si="79"/>
        <v>1174990592.539</v>
      </c>
    </row>
    <row r="408" ht="24.95" customHeight="1" spans="1:25">
      <c r="A408" s="83"/>
      <c r="B408" s="90"/>
      <c r="C408" s="80">
        <v>21</v>
      </c>
      <c r="D408" s="85" t="s">
        <v>938</v>
      </c>
      <c r="E408" s="85">
        <v>534650168.41</v>
      </c>
      <c r="F408" s="85">
        <v>0</v>
      </c>
      <c r="G408" s="85">
        <v>82901188.24</v>
      </c>
      <c r="H408" s="85">
        <v>18526540.6994</v>
      </c>
      <c r="I408" s="85">
        <v>0</v>
      </c>
      <c r="J408" s="85">
        <f t="shared" si="89"/>
        <v>18526540.6994</v>
      </c>
      <c r="K408" s="108">
        <v>333251710.32</v>
      </c>
      <c r="L408" s="86">
        <f t="shared" si="90"/>
        <v>969329607.6694</v>
      </c>
      <c r="M408" s="79"/>
      <c r="N408" s="90"/>
      <c r="O408" s="87">
        <v>4</v>
      </c>
      <c r="P408" s="90"/>
      <c r="Q408" s="85" t="s">
        <v>939</v>
      </c>
      <c r="R408" s="85">
        <v>419914910.42</v>
      </c>
      <c r="S408" s="89">
        <v>0</v>
      </c>
      <c r="T408" s="85">
        <v>65110696.84</v>
      </c>
      <c r="U408" s="85">
        <v>14550768.2177</v>
      </c>
      <c r="V408" s="85">
        <v>0</v>
      </c>
      <c r="W408" s="85">
        <f t="shared" si="87"/>
        <v>14550768.2177</v>
      </c>
      <c r="X408" s="85">
        <v>566338308.31</v>
      </c>
      <c r="Y408" s="86">
        <f t="shared" si="79"/>
        <v>1065914683.7877</v>
      </c>
    </row>
    <row r="409" ht="24.95" customHeight="1" spans="1:25">
      <c r="A409" s="83"/>
      <c r="B409" s="90"/>
      <c r="C409" s="80">
        <v>22</v>
      </c>
      <c r="D409" s="85" t="s">
        <v>940</v>
      </c>
      <c r="E409" s="85">
        <v>355830459.32</v>
      </c>
      <c r="F409" s="85">
        <v>0</v>
      </c>
      <c r="G409" s="85">
        <v>55173961.65</v>
      </c>
      <c r="H409" s="85">
        <v>12330132.6292</v>
      </c>
      <c r="I409" s="85">
        <v>0</v>
      </c>
      <c r="J409" s="85">
        <f t="shared" si="89"/>
        <v>12330132.6292</v>
      </c>
      <c r="K409" s="108">
        <v>250231165.08</v>
      </c>
      <c r="L409" s="86">
        <f t="shared" si="90"/>
        <v>673565718.6792</v>
      </c>
      <c r="M409" s="79"/>
      <c r="N409" s="90"/>
      <c r="O409" s="87">
        <v>5</v>
      </c>
      <c r="P409" s="90"/>
      <c r="Q409" s="85" t="s">
        <v>941</v>
      </c>
      <c r="R409" s="85">
        <v>398990566.18</v>
      </c>
      <c r="S409" s="89">
        <v>0</v>
      </c>
      <c r="T409" s="85">
        <v>61866233.26</v>
      </c>
      <c r="U409" s="85">
        <v>13825703.9832</v>
      </c>
      <c r="V409" s="85">
        <v>0</v>
      </c>
      <c r="W409" s="85">
        <f t="shared" si="87"/>
        <v>13825703.9832</v>
      </c>
      <c r="X409" s="85">
        <v>543963086.36</v>
      </c>
      <c r="Y409" s="86">
        <f t="shared" si="79"/>
        <v>1018645589.7832</v>
      </c>
    </row>
    <row r="410" ht="24.95" customHeight="1" spans="1:25">
      <c r="A410" s="83"/>
      <c r="B410" s="90"/>
      <c r="C410" s="80">
        <v>23</v>
      </c>
      <c r="D410" s="85" t="s">
        <v>942</v>
      </c>
      <c r="E410" s="85">
        <v>359105824.06</v>
      </c>
      <c r="F410" s="85">
        <v>0</v>
      </c>
      <c r="G410" s="85">
        <v>55681829.5</v>
      </c>
      <c r="H410" s="85">
        <v>12443629.6068</v>
      </c>
      <c r="I410" s="85">
        <v>0</v>
      </c>
      <c r="J410" s="85">
        <f t="shared" si="89"/>
        <v>12443629.6068</v>
      </c>
      <c r="K410" s="108">
        <v>248500875.83</v>
      </c>
      <c r="L410" s="86">
        <f t="shared" si="90"/>
        <v>675732158.9968</v>
      </c>
      <c r="M410" s="79"/>
      <c r="N410" s="92"/>
      <c r="O410" s="87">
        <v>6</v>
      </c>
      <c r="P410" s="92"/>
      <c r="Q410" s="85" t="s">
        <v>943</v>
      </c>
      <c r="R410" s="85">
        <v>410416838.63</v>
      </c>
      <c r="S410" s="89">
        <v>0</v>
      </c>
      <c r="T410" s="85">
        <v>63637955.44</v>
      </c>
      <c r="U410" s="85">
        <v>14221643.8221</v>
      </c>
      <c r="V410" s="85">
        <v>0</v>
      </c>
      <c r="W410" s="85">
        <f t="shared" si="87"/>
        <v>14221643.8221</v>
      </c>
      <c r="X410" s="85">
        <v>539692001.99</v>
      </c>
      <c r="Y410" s="86">
        <f t="shared" si="79"/>
        <v>1027968439.8821</v>
      </c>
    </row>
    <row r="411" ht="24.95" customHeight="1" spans="1:25">
      <c r="A411" s="83"/>
      <c r="B411" s="90"/>
      <c r="C411" s="80">
        <v>24</v>
      </c>
      <c r="D411" s="85" t="s">
        <v>944</v>
      </c>
      <c r="E411" s="85">
        <v>463289721.16</v>
      </c>
      <c r="F411" s="85">
        <v>0</v>
      </c>
      <c r="G411" s="85">
        <v>71836259.77</v>
      </c>
      <c r="H411" s="85">
        <v>16053779.4279</v>
      </c>
      <c r="I411" s="85">
        <v>0</v>
      </c>
      <c r="J411" s="85">
        <f t="shared" si="89"/>
        <v>16053779.4279</v>
      </c>
      <c r="K411" s="108">
        <v>295932879.13</v>
      </c>
      <c r="L411" s="86">
        <f t="shared" si="90"/>
        <v>847112639.4879</v>
      </c>
      <c r="M411" s="79"/>
      <c r="N411" s="80"/>
      <c r="O411" s="94" t="s">
        <v>945</v>
      </c>
      <c r="P411" s="98"/>
      <c r="Q411" s="89"/>
      <c r="R411" s="89">
        <f t="shared" ref="R411:V411" si="93">SUM(R405:R410)</f>
        <v>2929925407.44</v>
      </c>
      <c r="S411" s="89">
        <v>0</v>
      </c>
      <c r="T411" s="89">
        <f t="shared" si="93"/>
        <v>454305099.05</v>
      </c>
      <c r="U411" s="89">
        <f t="shared" si="93"/>
        <v>101526915.1944</v>
      </c>
      <c r="V411" s="89">
        <f t="shared" si="93"/>
        <v>0</v>
      </c>
      <c r="W411" s="95">
        <f t="shared" si="87"/>
        <v>101526915.1944</v>
      </c>
      <c r="X411" s="89">
        <f>SUM(X405:X410)</f>
        <v>3567903062.46</v>
      </c>
      <c r="Y411" s="89">
        <f>SUM(Y405:Y410)</f>
        <v>7053660484.1444</v>
      </c>
    </row>
    <row r="412" ht="24.95" customHeight="1" spans="1:25">
      <c r="A412" s="84"/>
      <c r="B412" s="90"/>
      <c r="C412" s="80">
        <v>25</v>
      </c>
      <c r="D412" s="85" t="s">
        <v>946</v>
      </c>
      <c r="E412" s="85">
        <v>473379366.75</v>
      </c>
      <c r="F412" s="85">
        <v>0</v>
      </c>
      <c r="G412" s="85">
        <v>73400728.75</v>
      </c>
      <c r="H412" s="85">
        <v>16403402.865</v>
      </c>
      <c r="I412" s="85">
        <v>0</v>
      </c>
      <c r="J412" s="85">
        <f t="shared" si="89"/>
        <v>16403402.865</v>
      </c>
      <c r="K412" s="108">
        <v>307489625.89</v>
      </c>
      <c r="L412" s="86">
        <f t="shared" si="90"/>
        <v>870673124.255</v>
      </c>
      <c r="M412" s="79"/>
      <c r="N412" s="93" t="s">
        <v>947</v>
      </c>
      <c r="O412" s="118"/>
      <c r="P412" s="101"/>
      <c r="Q412" s="119"/>
      <c r="R412" s="120">
        <v>322462307106.76</v>
      </c>
      <c r="S412" s="120">
        <f>-55914833.29</f>
        <v>-55914833.29</v>
      </c>
      <c r="T412" s="120">
        <v>50000000000</v>
      </c>
      <c r="U412" s="120">
        <v>11173869213.2</v>
      </c>
      <c r="V412" s="120">
        <v>3954378970.49</v>
      </c>
      <c r="W412" s="121">
        <f t="shared" si="87"/>
        <v>7219490242.71</v>
      </c>
      <c r="X412" s="120">
        <v>259253602480.51</v>
      </c>
      <c r="Y412" s="86">
        <f>R412+S412+T412+W412+X412</f>
        <v>638879484996.69</v>
      </c>
    </row>
    <row r="413" ht="13.5" spans="1:25">
      <c r="A413" s="80"/>
      <c r="B413" s="82"/>
      <c r="C413" s="122"/>
      <c r="D413" s="123"/>
      <c r="E413" s="124">
        <f t="shared" ref="E413:L413" si="94">SUM(E388:E412)</f>
        <v>10581545477.42</v>
      </c>
      <c r="F413" s="124">
        <f t="shared" si="94"/>
        <v>0</v>
      </c>
      <c r="G413" s="124">
        <f t="shared" si="94"/>
        <v>1640741451.69</v>
      </c>
      <c r="H413" s="124">
        <f t="shared" si="94"/>
        <v>366668607.8727</v>
      </c>
      <c r="I413" s="124">
        <f t="shared" si="94"/>
        <v>0</v>
      </c>
      <c r="J413" s="124">
        <f t="shared" si="94"/>
        <v>366668607.8727</v>
      </c>
      <c r="K413" s="124">
        <f t="shared" si="94"/>
        <v>6980442861.98</v>
      </c>
      <c r="L413" s="124">
        <f t="shared" si="94"/>
        <v>19569398398.9627</v>
      </c>
      <c r="M413" s="124">
        <f t="shared" ref="M413" si="95">SUM(M388:M412)</f>
        <v>0</v>
      </c>
      <c r="N413" s="125"/>
      <c r="O413" s="126"/>
      <c r="P413" s="118"/>
      <c r="Q413" s="101"/>
      <c r="R413" s="127"/>
      <c r="S413" s="127"/>
      <c r="T413" s="127"/>
      <c r="U413" s="127"/>
      <c r="V413" s="127"/>
      <c r="W413" s="127"/>
      <c r="X413" s="127"/>
      <c r="Y413" s="127"/>
    </row>
    <row r="414" ht="15" spans="1:25">
      <c r="D414" s="128"/>
      <c r="E414" s="129"/>
      <c r="F414" s="129"/>
      <c r="G414" s="129"/>
      <c r="H414" s="129"/>
      <c r="I414" s="129"/>
      <c r="J414" s="129"/>
      <c r="K414" s="129"/>
      <c r="L414" s="129"/>
      <c r="Q414" s="107"/>
      <c r="R414" s="19"/>
      <c r="S414" s="19"/>
      <c r="T414" s="130"/>
      <c r="U414" s="19"/>
      <c r="V414" s="19"/>
      <c r="W414" s="19"/>
      <c r="X414" s="131"/>
      <c r="Y414" s="107"/>
    </row>
    <row r="415" spans="1:25">
      <c r="C415" s="132"/>
      <c r="D415" s="127"/>
      <c r="E415" s="127"/>
      <c r="F415" s="127"/>
      <c r="G415" s="127"/>
      <c r="H415" s="127"/>
      <c r="I415" s="127"/>
      <c r="J415" s="127"/>
      <c r="K415" s="127"/>
      <c r="L415" s="127"/>
      <c r="R415" s="131"/>
      <c r="S415" s="131"/>
      <c r="U415" s="131"/>
      <c r="V415" s="131"/>
      <c r="W415" s="131"/>
      <c r="X415" s="131"/>
    </row>
    <row r="419" spans="11:19">
      <c r="K419" s="107"/>
    </row>
    <row r="421" spans="11:19">
      <c r="R421" s="19"/>
      <c r="S421" s="19"/>
    </row>
    <row r="422" spans="11:19">
      <c r="R422" s="19"/>
      <c r="S422" s="19"/>
    </row>
    <row r="423" spans="11:19">
      <c r="R423" s="19"/>
      <c r="S423" s="19"/>
    </row>
    <row r="424" spans="11:19">
      <c r="R424" s="19"/>
      <c r="S424" s="19"/>
    </row>
  </sheetData>
  <mergeCells count="118">
    <mergeCell ref="A1:X1"/>
    <mergeCell ref="A2:Y2"/>
    <mergeCell ref="A3:Y3"/>
    <mergeCell ref="B24:C24"/>
    <mergeCell ref="O26:P26"/>
    <mergeCell ref="B46:C46"/>
    <mergeCell ref="O61:P61"/>
    <mergeCell ref="B78:C78"/>
    <mergeCell ref="O83:P83"/>
    <mergeCell ref="B100:C100"/>
    <mergeCell ref="O105:P105"/>
    <mergeCell ref="B121:C121"/>
    <mergeCell ref="O122:P122"/>
    <mergeCell ref="B130:C130"/>
    <mergeCell ref="O143:P143"/>
    <mergeCell ref="B154:C154"/>
    <mergeCell ref="O157:P157"/>
    <mergeCell ref="B182:C182"/>
    <mergeCell ref="O183:P183"/>
    <mergeCell ref="B201:C201"/>
    <mergeCell ref="O204:P204"/>
    <mergeCell ref="O223:P223"/>
    <mergeCell ref="B227:C227"/>
    <mergeCell ref="B241:C241"/>
    <mergeCell ref="O254:P254"/>
    <mergeCell ref="B260:C260"/>
    <mergeCell ref="B277:C277"/>
    <mergeCell ref="O288:P288"/>
    <mergeCell ref="B295:C295"/>
    <mergeCell ref="O306:P306"/>
    <mergeCell ref="B307:C307"/>
    <mergeCell ref="O330:P330"/>
    <mergeCell ref="B335:C335"/>
    <mergeCell ref="O354:P354"/>
    <mergeCell ref="B363:C363"/>
    <mergeCell ref="O371:P371"/>
    <mergeCell ref="B387:C387"/>
    <mergeCell ref="O389:P389"/>
    <mergeCell ref="O404:P404"/>
    <mergeCell ref="O411:P411"/>
    <mergeCell ref="N412:P412"/>
    <mergeCell ref="O413:Q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N7:N25"/>
    <mergeCell ref="N27:N60"/>
    <mergeCell ref="N62:N82"/>
    <mergeCell ref="N84:N104"/>
    <mergeCell ref="N106:N121"/>
    <mergeCell ref="N123:N142"/>
    <mergeCell ref="N144:N156"/>
    <mergeCell ref="N158:N182"/>
    <mergeCell ref="N184:N203"/>
    <mergeCell ref="N205:N222"/>
    <mergeCell ref="N224:N253"/>
    <mergeCell ref="N255:N287"/>
    <mergeCell ref="N289:N305"/>
    <mergeCell ref="N307:N329"/>
    <mergeCell ref="N331:N353"/>
    <mergeCell ref="N355:N370"/>
    <mergeCell ref="N372:N388"/>
    <mergeCell ref="N390:N403"/>
    <mergeCell ref="N405:N410"/>
    <mergeCell ref="P7:P25"/>
    <mergeCell ref="P27:P60"/>
    <mergeCell ref="P62:P82"/>
    <mergeCell ref="P84:P104"/>
    <mergeCell ref="P106:P121"/>
    <mergeCell ref="P123:P142"/>
    <mergeCell ref="P144:P156"/>
    <mergeCell ref="P158:P182"/>
    <mergeCell ref="P184:P203"/>
    <mergeCell ref="P205:P222"/>
    <mergeCell ref="P224:P253"/>
    <mergeCell ref="P255:P287"/>
    <mergeCell ref="P289:P305"/>
    <mergeCell ref="P307:P329"/>
    <mergeCell ref="P331:P353"/>
    <mergeCell ref="P355:P370"/>
    <mergeCell ref="P373:P388"/>
    <mergeCell ref="P390:P403"/>
    <mergeCell ref="P405:P410"/>
  </mergeCells>
  <pageMargins left="0.15748031496063" right="0.15748031496063" top="0.196850393700787" bottom="0.196850393700787" header="0.511811023622047" footer="0.511811023622047"/>
  <pageSetup paperSize="9" scale="62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N47"/>
  <sheetViews>
    <sheetView topLeftCell="D1" workbookViewId="0">
      <selection activeCell="D4" sqref="D4"/>
    </sheetView>
  </sheetViews>
  <sheetFormatPr defaultColWidth="8.85714285714286" defaultRowHeight="18.75"/>
  <cols>
    <col min="1" max="1" width="8.85714285714286" style="32"/>
    <col min="2" max="2" width="19.7142857142857" style="32" customWidth="1"/>
    <col min="3" max="4" width="27" style="32" customWidth="1"/>
    <col min="5" max="5" width="24.8571428571429" style="32" customWidth="1"/>
    <col min="6" max="7" width="25.4285714285714" style="32" customWidth="1"/>
    <col min="8" max="8" width="24.7142857142857" style="32" customWidth="1"/>
    <col min="9" max="9" width="26.2857142857143" style="32" customWidth="1"/>
    <col min="10" max="10" width="27.2857142857143" style="32" customWidth="1"/>
    <col min="11" max="11" width="8.85714285714286" style="32"/>
    <col min="12" max="12" width="23.8571428571429" style="32" customWidth="1"/>
    <col min="13" max="16384" width="8.85714285714286" style="32"/>
  </cols>
  <sheetData>
    <row r="1" ht="30" spans="1:820">
      <c r="A1" s="52" t="s">
        <v>63</v>
      </c>
      <c r="B1" s="53"/>
      <c r="C1" s="53"/>
      <c r="D1" s="53"/>
      <c r="E1" s="53"/>
      <c r="F1" s="53"/>
      <c r="G1" s="53"/>
      <c r="H1" s="53"/>
      <c r="I1" s="53"/>
      <c r="J1" s="54"/>
    </row>
    <row r="2" ht="26.25" customHeight="1" spans="1:820">
      <c r="A2" s="55" t="s">
        <v>64</v>
      </c>
      <c r="B2" s="56"/>
      <c r="C2" s="56"/>
      <c r="D2" s="56"/>
      <c r="E2" s="56"/>
      <c r="F2" s="56"/>
      <c r="G2" s="56"/>
      <c r="H2" s="56"/>
      <c r="I2" s="56"/>
      <c r="J2" s="57"/>
    </row>
    <row r="3" ht="31.5" customHeight="1" spans="1:820">
      <c r="A3" s="58" t="s">
        <v>948</v>
      </c>
      <c r="B3" s="59"/>
      <c r="C3" s="59"/>
      <c r="D3" s="59"/>
      <c r="E3" s="59"/>
      <c r="F3" s="59"/>
      <c r="G3" s="59"/>
      <c r="H3" s="59"/>
      <c r="I3" s="59"/>
      <c r="J3" s="60"/>
      <c r="AEN3" s="32" t="s">
        <v>949</v>
      </c>
    </row>
    <row r="4" ht="61.15" customHeight="1" spans="1:820">
      <c r="A4" s="61" t="s">
        <v>21</v>
      </c>
      <c r="B4" s="61" t="s">
        <v>131</v>
      </c>
      <c r="C4" s="62" t="s">
        <v>49</v>
      </c>
      <c r="D4" s="62" t="s">
        <v>128</v>
      </c>
      <c r="E4" s="63" t="s">
        <v>24</v>
      </c>
      <c r="F4" s="62" t="s">
        <v>950</v>
      </c>
      <c r="G4" s="64" t="s">
        <v>129</v>
      </c>
      <c r="H4" s="63" t="s">
        <v>79</v>
      </c>
      <c r="I4" s="65" t="s">
        <v>951</v>
      </c>
      <c r="J4" s="3" t="s">
        <v>130</v>
      </c>
      <c r="L4" s="47"/>
      <c r="BL4" s="32">
        <v>0</v>
      </c>
    </row>
    <row r="5" spans="1:820">
      <c r="A5" s="61"/>
      <c r="B5" s="61"/>
      <c r="C5" s="200" t="s">
        <v>27</v>
      </c>
      <c r="D5" s="200" t="s">
        <v>27</v>
      </c>
      <c r="E5" s="200" t="s">
        <v>27</v>
      </c>
      <c r="F5" s="200" t="s">
        <v>27</v>
      </c>
      <c r="G5" s="200" t="s">
        <v>27</v>
      </c>
      <c r="H5" s="200" t="s">
        <v>27</v>
      </c>
      <c r="I5" s="200" t="s">
        <v>27</v>
      </c>
      <c r="J5" s="200" t="s">
        <v>27</v>
      </c>
    </row>
    <row r="6" spans="1:820">
      <c r="A6" s="66">
        <v>1</v>
      </c>
      <c r="B6" s="67" t="s">
        <v>88</v>
      </c>
      <c r="C6" s="68">
        <v>6693082181.57689</v>
      </c>
      <c r="D6" s="68">
        <v>0</v>
      </c>
      <c r="E6" s="68">
        <v>1037808456.0688</v>
      </c>
      <c r="F6" s="68">
        <v>231926719.1293</v>
      </c>
      <c r="G6" s="69">
        <f>F6</f>
        <v>231926719.1293</v>
      </c>
      <c r="H6" s="69">
        <f>F6-G6</f>
        <v>0</v>
      </c>
      <c r="I6" s="68">
        <v>3988230874.7011</v>
      </c>
      <c r="J6" s="70">
        <f>C6+D6+E6+H6+I6</f>
        <v>11719121512.3468</v>
      </c>
      <c r="L6" s="71"/>
    </row>
    <row r="7" spans="1:820">
      <c r="A7" s="66">
        <v>2</v>
      </c>
      <c r="B7" s="67" t="s">
        <v>89</v>
      </c>
      <c r="C7" s="68">
        <v>8442362558.25087</v>
      </c>
      <c r="D7" s="68">
        <v>0</v>
      </c>
      <c r="E7" s="68">
        <v>1309046417.5486</v>
      </c>
      <c r="F7" s="68">
        <v>292542269.274</v>
      </c>
      <c r="G7" s="68">
        <v>0</v>
      </c>
      <c r="H7" s="69">
        <f t="shared" ref="H7:H42" si="0">F7-G7</f>
        <v>292542269.274</v>
      </c>
      <c r="I7" s="68">
        <v>6459832516.3523</v>
      </c>
      <c r="J7" s="70">
        <f t="shared" ref="J7:J42" si="1">C7+D7+E7+H7+I7</f>
        <v>16503783761.4258</v>
      </c>
    </row>
    <row r="8" spans="1:820">
      <c r="A8" s="66">
        <v>3</v>
      </c>
      <c r="B8" s="67" t="s">
        <v>90</v>
      </c>
      <c r="C8" s="68">
        <v>11244730831.128</v>
      </c>
      <c r="D8" s="68">
        <v>0</v>
      </c>
      <c r="E8" s="68">
        <v>1743572905.0039</v>
      </c>
      <c r="F8" s="68">
        <v>389649112.0842</v>
      </c>
      <c r="G8" s="68">
        <f>F8</f>
        <v>389649112.0842</v>
      </c>
      <c r="H8" s="69">
        <f t="shared" si="0"/>
        <v>0</v>
      </c>
      <c r="I8" s="68">
        <v>7190214879.0338</v>
      </c>
      <c r="J8" s="70">
        <f t="shared" si="1"/>
        <v>20178518615.1657</v>
      </c>
    </row>
    <row r="9" spans="1:820">
      <c r="A9" s="66">
        <v>4</v>
      </c>
      <c r="B9" s="67" t="s">
        <v>91</v>
      </c>
      <c r="C9" s="68">
        <v>8487985980.57155</v>
      </c>
      <c r="D9" s="68">
        <v>0</v>
      </c>
      <c r="E9" s="68">
        <v>1316120643.1735</v>
      </c>
      <c r="F9" s="68">
        <v>294123198.7125</v>
      </c>
      <c r="G9" s="68">
        <v>0</v>
      </c>
      <c r="H9" s="69">
        <f t="shared" si="0"/>
        <v>294123198.7125</v>
      </c>
      <c r="I9" s="68">
        <v>6065673692.581</v>
      </c>
      <c r="J9" s="70">
        <f t="shared" si="1"/>
        <v>16163903515.0386</v>
      </c>
    </row>
    <row r="10" spans="1:820">
      <c r="A10" s="66">
        <v>5</v>
      </c>
      <c r="B10" s="67" t="s">
        <v>92</v>
      </c>
      <c r="C10" s="68">
        <v>9635543754.53447</v>
      </c>
      <c r="D10" s="68">
        <v>0</v>
      </c>
      <c r="E10" s="68">
        <v>1494057373.866</v>
      </c>
      <c r="F10" s="68">
        <v>333888033.8522</v>
      </c>
      <c r="G10" s="68">
        <v>0</v>
      </c>
      <c r="H10" s="69">
        <f t="shared" si="0"/>
        <v>333888033.8522</v>
      </c>
      <c r="I10" s="68">
        <v>5247166180.3671</v>
      </c>
      <c r="J10" s="70">
        <f t="shared" si="1"/>
        <v>16710655342.6198</v>
      </c>
    </row>
    <row r="11" spans="1:820">
      <c r="A11" s="66">
        <v>6</v>
      </c>
      <c r="B11" s="67" t="s">
        <v>93</v>
      </c>
      <c r="C11" s="68">
        <v>3922019001.11204</v>
      </c>
      <c r="D11" s="68">
        <v>0</v>
      </c>
      <c r="E11" s="68">
        <v>608136038.6431</v>
      </c>
      <c r="F11" s="68">
        <v>135904651.1926</v>
      </c>
      <c r="G11" s="68">
        <f>F11</f>
        <v>135904651.1926</v>
      </c>
      <c r="H11" s="69">
        <f t="shared" si="0"/>
        <v>0</v>
      </c>
      <c r="I11" s="68">
        <v>3223806819.1387</v>
      </c>
      <c r="J11" s="70">
        <f t="shared" si="1"/>
        <v>7753961858.89384</v>
      </c>
    </row>
    <row r="12" spans="1:820">
      <c r="A12" s="66">
        <v>7</v>
      </c>
      <c r="B12" s="67" t="s">
        <v>94</v>
      </c>
      <c r="C12" s="68">
        <v>10484962885.8493</v>
      </c>
      <c r="D12" s="68">
        <v>0</v>
      </c>
      <c r="E12" s="68">
        <v>1625765656.1357</v>
      </c>
      <c r="F12" s="68">
        <v>363321856.2595</v>
      </c>
      <c r="G12" s="69">
        <f>F12/2</f>
        <v>181660928.12975</v>
      </c>
      <c r="H12" s="69">
        <f t="shared" si="0"/>
        <v>181660928.12975</v>
      </c>
      <c r="I12" s="68">
        <v>5778664139.7943</v>
      </c>
      <c r="J12" s="70">
        <f t="shared" si="1"/>
        <v>18071053609.909</v>
      </c>
    </row>
    <row r="13" spans="1:820">
      <c r="A13" s="66">
        <v>8</v>
      </c>
      <c r="B13" s="67" t="s">
        <v>95</v>
      </c>
      <c r="C13" s="68">
        <v>11383527601.2485</v>
      </c>
      <c r="D13" s="68">
        <v>0</v>
      </c>
      <c r="E13" s="68">
        <v>1765094299.4528</v>
      </c>
      <c r="F13" s="68">
        <v>394458657.0208</v>
      </c>
      <c r="G13" s="68">
        <v>0</v>
      </c>
      <c r="H13" s="69">
        <f t="shared" si="0"/>
        <v>394458657.0208</v>
      </c>
      <c r="I13" s="68">
        <v>7484233607.3636</v>
      </c>
      <c r="J13" s="70">
        <f t="shared" si="1"/>
        <v>21027314165.0857</v>
      </c>
    </row>
    <row r="14" spans="1:820">
      <c r="A14" s="66">
        <v>9</v>
      </c>
      <c r="B14" s="67" t="s">
        <v>96</v>
      </c>
      <c r="C14" s="68">
        <v>7338601710.01039</v>
      </c>
      <c r="D14" s="68">
        <v>0</v>
      </c>
      <c r="E14" s="68">
        <v>1137900701.6128</v>
      </c>
      <c r="F14" s="68">
        <v>254295072.3487</v>
      </c>
      <c r="G14" s="68">
        <f>F14</f>
        <v>254295072.3487</v>
      </c>
      <c r="H14" s="69">
        <f t="shared" si="0"/>
        <v>0</v>
      </c>
      <c r="I14" s="68">
        <v>4422405206.6723</v>
      </c>
      <c r="J14" s="70">
        <f t="shared" si="1"/>
        <v>12898907618.2955</v>
      </c>
    </row>
    <row r="15" spans="1:820">
      <c r="A15" s="66">
        <v>10</v>
      </c>
      <c r="B15" s="67" t="s">
        <v>97</v>
      </c>
      <c r="C15" s="68">
        <v>9403365574.69272</v>
      </c>
      <c r="D15" s="68">
        <v>0</v>
      </c>
      <c r="E15" s="68">
        <v>1458056549.1611</v>
      </c>
      <c r="F15" s="68">
        <v>325842663.7157</v>
      </c>
      <c r="G15" s="68">
        <f>F15</f>
        <v>325842663.7157</v>
      </c>
      <c r="H15" s="69">
        <f t="shared" si="0"/>
        <v>0</v>
      </c>
      <c r="I15" s="68">
        <v>9186448033.4303</v>
      </c>
      <c r="J15" s="70">
        <f t="shared" si="1"/>
        <v>20047870157.2841</v>
      </c>
    </row>
    <row r="16" spans="1:820">
      <c r="A16" s="66">
        <v>11</v>
      </c>
      <c r="B16" s="67" t="s">
        <v>98</v>
      </c>
      <c r="C16" s="68">
        <v>5428624591.52612</v>
      </c>
      <c r="D16" s="68">
        <f>-55914833.29</f>
        <v>-55914833.29</v>
      </c>
      <c r="E16" s="68">
        <v>841745604.3521</v>
      </c>
      <c r="F16" s="68">
        <v>188111105.8763</v>
      </c>
      <c r="G16" s="68">
        <v>0</v>
      </c>
      <c r="H16" s="69">
        <f t="shared" si="0"/>
        <v>188111105.8763</v>
      </c>
      <c r="I16" s="68">
        <v>4091158294.7949</v>
      </c>
      <c r="J16" s="70">
        <f t="shared" si="1"/>
        <v>10493724763.2594</v>
      </c>
    </row>
    <row r="17" spans="1:10">
      <c r="A17" s="66">
        <v>12</v>
      </c>
      <c r="B17" s="67" t="s">
        <v>99</v>
      </c>
      <c r="C17" s="68">
        <v>7194847417.70204</v>
      </c>
      <c r="D17" s="68">
        <v>0</v>
      </c>
      <c r="E17" s="68">
        <v>1115610609.2303</v>
      </c>
      <c r="F17" s="68">
        <v>249313740.8077</v>
      </c>
      <c r="G17" s="68">
        <f>F17</f>
        <v>249313740.8077</v>
      </c>
      <c r="H17" s="69">
        <f t="shared" si="0"/>
        <v>0</v>
      </c>
      <c r="I17" s="68">
        <v>6459331169.5343</v>
      </c>
      <c r="J17" s="70">
        <f t="shared" si="1"/>
        <v>14769789196.4666</v>
      </c>
    </row>
    <row r="18" spans="1:10">
      <c r="A18" s="66">
        <v>13</v>
      </c>
      <c r="B18" s="67" t="s">
        <v>100</v>
      </c>
      <c r="C18" s="68">
        <v>5712969766.11612</v>
      </c>
      <c r="D18" s="68">
        <v>0</v>
      </c>
      <c r="E18" s="68">
        <v>885835280.6218</v>
      </c>
      <c r="F18" s="68">
        <v>197964151.4023</v>
      </c>
      <c r="G18" s="68">
        <v>0</v>
      </c>
      <c r="H18" s="69">
        <f t="shared" si="0"/>
        <v>197964151.4023</v>
      </c>
      <c r="I18" s="68">
        <v>4391647265.6725</v>
      </c>
      <c r="J18" s="70">
        <f t="shared" si="1"/>
        <v>11188416463.8127</v>
      </c>
    </row>
    <row r="19" spans="1:10">
      <c r="A19" s="66">
        <v>14</v>
      </c>
      <c r="B19" s="67" t="s">
        <v>101</v>
      </c>
      <c r="C19" s="68">
        <v>7310071942.1966</v>
      </c>
      <c r="D19" s="68">
        <v>0</v>
      </c>
      <c r="E19" s="68">
        <v>1133476964.7627</v>
      </c>
      <c r="F19" s="68">
        <v>253306467.2088</v>
      </c>
      <c r="G19" s="68">
        <v>0</v>
      </c>
      <c r="H19" s="69">
        <f t="shared" si="0"/>
        <v>253306467.2088</v>
      </c>
      <c r="I19" s="68">
        <v>4391036509.6191</v>
      </c>
      <c r="J19" s="70">
        <f t="shared" si="1"/>
        <v>13087891883.7872</v>
      </c>
    </row>
    <row r="20" spans="1:10">
      <c r="A20" s="66">
        <v>15</v>
      </c>
      <c r="B20" s="67" t="s">
        <v>102</v>
      </c>
      <c r="C20" s="68">
        <v>5008866400.34146</v>
      </c>
      <c r="D20" s="68">
        <v>0</v>
      </c>
      <c r="E20" s="68">
        <v>776659207.9058</v>
      </c>
      <c r="F20" s="68">
        <v>173565768.2475</v>
      </c>
      <c r="G20" s="68">
        <f>F20/2</f>
        <v>86782884.12375</v>
      </c>
      <c r="H20" s="69">
        <f t="shared" si="0"/>
        <v>86782884.12375</v>
      </c>
      <c r="I20" s="68">
        <v>3181770499.7314</v>
      </c>
      <c r="J20" s="70">
        <f t="shared" si="1"/>
        <v>9054078992.10241</v>
      </c>
    </row>
    <row r="21" spans="1:10">
      <c r="A21" s="66">
        <v>16</v>
      </c>
      <c r="B21" s="67" t="s">
        <v>103</v>
      </c>
      <c r="C21" s="68">
        <v>9797122514.46738</v>
      </c>
      <c r="D21" s="68">
        <v>0</v>
      </c>
      <c r="E21" s="68">
        <v>1519111272.6276</v>
      </c>
      <c r="F21" s="68">
        <v>339487013.6131</v>
      </c>
      <c r="G21" s="68">
        <f>F21</f>
        <v>339487013.6131</v>
      </c>
      <c r="H21" s="69">
        <f t="shared" si="0"/>
        <v>0</v>
      </c>
      <c r="I21" s="68">
        <v>7135731340.4138</v>
      </c>
      <c r="J21" s="70">
        <f t="shared" si="1"/>
        <v>18451965127.5088</v>
      </c>
    </row>
    <row r="22" spans="1:10">
      <c r="A22" s="66">
        <v>17</v>
      </c>
      <c r="B22" s="67" t="s">
        <v>104</v>
      </c>
      <c r="C22" s="68">
        <v>10292799631.7254</v>
      </c>
      <c r="D22" s="68">
        <v>0</v>
      </c>
      <c r="E22" s="68">
        <v>1595969421.0583</v>
      </c>
      <c r="F22" s="68">
        <v>356663071.5833</v>
      </c>
      <c r="G22" s="68">
        <v>0</v>
      </c>
      <c r="H22" s="69">
        <f t="shared" si="0"/>
        <v>356663071.5833</v>
      </c>
      <c r="I22" s="68">
        <v>6588488839.6176</v>
      </c>
      <c r="J22" s="70">
        <f t="shared" si="1"/>
        <v>18833920963.9846</v>
      </c>
    </row>
    <row r="23" spans="1:10">
      <c r="A23" s="66">
        <v>18</v>
      </c>
      <c r="B23" s="67" t="s">
        <v>105</v>
      </c>
      <c r="C23" s="68">
        <v>11575227811.4514</v>
      </c>
      <c r="D23" s="68">
        <v>0</v>
      </c>
      <c r="E23" s="68">
        <v>1794818736.3831</v>
      </c>
      <c r="F23" s="68">
        <v>401101396.4351</v>
      </c>
      <c r="G23" s="68">
        <f>F23/2</f>
        <v>200550698.21755</v>
      </c>
      <c r="H23" s="69">
        <f t="shared" si="0"/>
        <v>200550698.21755</v>
      </c>
      <c r="I23" s="68">
        <v>6633775100.1496</v>
      </c>
      <c r="J23" s="70">
        <f t="shared" si="1"/>
        <v>20204372346.2017</v>
      </c>
    </row>
    <row r="24" spans="1:10">
      <c r="A24" s="66">
        <v>19</v>
      </c>
      <c r="B24" s="67" t="s">
        <v>106</v>
      </c>
      <c r="C24" s="68">
        <v>18428754739.1678</v>
      </c>
      <c r="D24" s="68">
        <v>0</v>
      </c>
      <c r="E24" s="68">
        <v>2857505254.57</v>
      </c>
      <c r="F24" s="68">
        <v>638587799.8124</v>
      </c>
      <c r="G24" s="68">
        <v>0</v>
      </c>
      <c r="H24" s="69">
        <f t="shared" si="0"/>
        <v>638587799.8124</v>
      </c>
      <c r="I24" s="68">
        <v>12181394464.8814</v>
      </c>
      <c r="J24" s="70">
        <f t="shared" si="1"/>
        <v>34106242258.4316</v>
      </c>
    </row>
    <row r="25" spans="1:10">
      <c r="A25" s="66">
        <v>20</v>
      </c>
      <c r="B25" s="67" t="s">
        <v>107</v>
      </c>
      <c r="C25" s="68">
        <v>14030124666.7159</v>
      </c>
      <c r="D25" s="68">
        <v>0</v>
      </c>
      <c r="E25" s="68">
        <v>2175467389.1342</v>
      </c>
      <c r="F25" s="68">
        <v>486167761.6754</v>
      </c>
      <c r="G25" s="68">
        <v>0</v>
      </c>
      <c r="H25" s="69">
        <f t="shared" si="0"/>
        <v>486167761.6754</v>
      </c>
      <c r="I25" s="68">
        <v>8606930599.7823</v>
      </c>
      <c r="J25" s="70">
        <f t="shared" si="1"/>
        <v>25298690417.3078</v>
      </c>
    </row>
    <row r="26" spans="1:10">
      <c r="A26" s="66">
        <v>21</v>
      </c>
      <c r="B26" s="67" t="s">
        <v>108</v>
      </c>
      <c r="C26" s="68">
        <v>8854514646.15728</v>
      </c>
      <c r="D26" s="68">
        <v>0</v>
      </c>
      <c r="E26" s="68">
        <v>1372953435.3338</v>
      </c>
      <c r="F26" s="68">
        <v>306824042.4446</v>
      </c>
      <c r="G26" s="69">
        <f>F26/2</f>
        <v>153412021.2223</v>
      </c>
      <c r="H26" s="69">
        <f t="shared" si="0"/>
        <v>153412021.2223</v>
      </c>
      <c r="I26" s="68">
        <v>5358853518.6249</v>
      </c>
      <c r="J26" s="70">
        <f t="shared" si="1"/>
        <v>15739733621.3383</v>
      </c>
    </row>
    <row r="27" spans="1:10">
      <c r="A27" s="66">
        <v>22</v>
      </c>
      <c r="B27" s="67" t="s">
        <v>109</v>
      </c>
      <c r="C27" s="68">
        <v>9151789466.85078</v>
      </c>
      <c r="D27" s="68">
        <v>0</v>
      </c>
      <c r="E27" s="68">
        <v>1419047942.2177</v>
      </c>
      <c r="F27" s="68">
        <v>317125122.2719</v>
      </c>
      <c r="G27" s="69">
        <f>F27/2</f>
        <v>158562561.13595</v>
      </c>
      <c r="H27" s="69">
        <f t="shared" si="0"/>
        <v>158562561.13595</v>
      </c>
      <c r="I27" s="68">
        <v>5712035917.1232</v>
      </c>
      <c r="J27" s="70">
        <f t="shared" si="1"/>
        <v>16441435887.3276</v>
      </c>
    </row>
    <row r="28" spans="1:10">
      <c r="A28" s="66">
        <v>23</v>
      </c>
      <c r="B28" s="67" t="s">
        <v>110</v>
      </c>
      <c r="C28" s="68">
        <v>6475849651.25398</v>
      </c>
      <c r="D28" s="68">
        <v>0</v>
      </c>
      <c r="E28" s="68">
        <v>1004125057.1824</v>
      </c>
      <c r="F28" s="68">
        <v>224399241.2528</v>
      </c>
      <c r="G28" s="69">
        <f>F28/2</f>
        <v>112199620.6264</v>
      </c>
      <c r="H28" s="69">
        <f t="shared" si="0"/>
        <v>112199620.6264</v>
      </c>
      <c r="I28" s="68">
        <v>4822141234.3431</v>
      </c>
      <c r="J28" s="70">
        <f t="shared" si="1"/>
        <v>12414315563.4059</v>
      </c>
    </row>
    <row r="29" spans="1:10">
      <c r="A29" s="66">
        <v>24</v>
      </c>
      <c r="B29" s="67" t="s">
        <v>111</v>
      </c>
      <c r="C29" s="68">
        <v>11031585195.7259</v>
      </c>
      <c r="D29" s="68">
        <v>0</v>
      </c>
      <c r="E29" s="68">
        <v>1710523207.3021</v>
      </c>
      <c r="F29" s="68">
        <v>382263252.091</v>
      </c>
      <c r="G29" s="68">
        <v>0</v>
      </c>
      <c r="H29" s="69">
        <f t="shared" si="0"/>
        <v>382263252.091</v>
      </c>
      <c r="I29" s="68">
        <v>37698122601.9085</v>
      </c>
      <c r="J29" s="70">
        <f t="shared" si="1"/>
        <v>50822494257.0275</v>
      </c>
    </row>
    <row r="30" spans="1:10">
      <c r="A30" s="66">
        <v>25</v>
      </c>
      <c r="B30" s="67" t="s">
        <v>112</v>
      </c>
      <c r="C30" s="68">
        <v>5777574029.92757</v>
      </c>
      <c r="D30" s="68">
        <v>0</v>
      </c>
      <c r="E30" s="68">
        <v>895852616.3518</v>
      </c>
      <c r="F30" s="68">
        <v>200202799.3881</v>
      </c>
      <c r="G30" s="68">
        <f>F30/2</f>
        <v>100101399.69405</v>
      </c>
      <c r="H30" s="69">
        <f t="shared" si="0"/>
        <v>100101399.69405</v>
      </c>
      <c r="I30" s="68">
        <v>3424779331.6834</v>
      </c>
      <c r="J30" s="70">
        <f t="shared" si="1"/>
        <v>10198307377.6568</v>
      </c>
    </row>
    <row r="31" spans="1:10">
      <c r="A31" s="66">
        <v>26</v>
      </c>
      <c r="B31" s="67" t="s">
        <v>113</v>
      </c>
      <c r="C31" s="68">
        <v>10693843863.8967</v>
      </c>
      <c r="D31" s="68">
        <v>0</v>
      </c>
      <c r="E31" s="68">
        <v>1658154089.3643</v>
      </c>
      <c r="F31" s="68">
        <v>370559938.5976</v>
      </c>
      <c r="G31" s="69">
        <f>F31/2</f>
        <v>185279969.2988</v>
      </c>
      <c r="H31" s="69">
        <f t="shared" si="0"/>
        <v>185279969.2988</v>
      </c>
      <c r="I31" s="68">
        <v>5988792029.2203</v>
      </c>
      <c r="J31" s="70">
        <f t="shared" si="1"/>
        <v>18526069951.7801</v>
      </c>
    </row>
    <row r="32" spans="1:10">
      <c r="A32" s="66">
        <v>27</v>
      </c>
      <c r="B32" s="67" t="s">
        <v>114</v>
      </c>
      <c r="C32" s="68">
        <v>7628949547.45816</v>
      </c>
      <c r="D32" s="68">
        <v>0</v>
      </c>
      <c r="E32" s="68">
        <v>1182921132.0711</v>
      </c>
      <c r="F32" s="68">
        <v>264356120.3858</v>
      </c>
      <c r="G32" s="68">
        <v>0</v>
      </c>
      <c r="H32" s="69">
        <f t="shared" si="0"/>
        <v>264356120.3858</v>
      </c>
      <c r="I32" s="68">
        <v>5019753343.0244</v>
      </c>
      <c r="J32" s="70">
        <f t="shared" si="1"/>
        <v>14095980142.9395</v>
      </c>
    </row>
    <row r="33" spans="1:11">
      <c r="A33" s="66">
        <v>28</v>
      </c>
      <c r="B33" s="67" t="s">
        <v>115</v>
      </c>
      <c r="C33" s="68">
        <v>7286129382.73864</v>
      </c>
      <c r="D33" s="68">
        <v>0</v>
      </c>
      <c r="E33" s="68">
        <v>1129764506.1388</v>
      </c>
      <c r="F33" s="68">
        <v>252476816.6665</v>
      </c>
      <c r="G33" s="68">
        <f>F33</f>
        <v>252476816.6665</v>
      </c>
      <c r="H33" s="69">
        <f t="shared" si="0"/>
        <v>0</v>
      </c>
      <c r="I33" s="68">
        <v>5372080040.6454</v>
      </c>
      <c r="J33" s="70">
        <f t="shared" si="1"/>
        <v>13787973929.5228</v>
      </c>
    </row>
    <row r="34" spans="1:11">
      <c r="A34" s="66">
        <v>29</v>
      </c>
      <c r="B34" s="67" t="s">
        <v>116</v>
      </c>
      <c r="C34" s="68">
        <v>9869246465.71282</v>
      </c>
      <c r="D34" s="68">
        <v>0</v>
      </c>
      <c r="E34" s="68">
        <v>1530294587.6472</v>
      </c>
      <c r="F34" s="68">
        <v>341986231.6006</v>
      </c>
      <c r="G34" s="68">
        <v>0</v>
      </c>
      <c r="H34" s="69">
        <f t="shared" si="0"/>
        <v>341986231.6006</v>
      </c>
      <c r="I34" s="68">
        <v>6526009578.275</v>
      </c>
      <c r="J34" s="70">
        <f t="shared" si="1"/>
        <v>18267536863.2356</v>
      </c>
    </row>
    <row r="35" spans="1:11">
      <c r="A35" s="66">
        <v>30</v>
      </c>
      <c r="B35" s="67" t="s">
        <v>117</v>
      </c>
      <c r="C35" s="68">
        <v>12449284375.1265</v>
      </c>
      <c r="D35" s="68">
        <v>0</v>
      </c>
      <c r="E35" s="68">
        <v>1930347222.1027</v>
      </c>
      <c r="F35" s="68">
        <v>431388947.9169</v>
      </c>
      <c r="G35" s="68">
        <v>0</v>
      </c>
      <c r="H35" s="69">
        <f t="shared" si="0"/>
        <v>431388947.9169</v>
      </c>
      <c r="I35" s="68">
        <v>13043487032.2373</v>
      </c>
      <c r="J35" s="70">
        <f t="shared" si="1"/>
        <v>27854507577.3834</v>
      </c>
    </row>
    <row r="36" spans="1:11">
      <c r="A36" s="66">
        <v>31</v>
      </c>
      <c r="B36" s="67" t="s">
        <v>118</v>
      </c>
      <c r="C36" s="68">
        <v>7804033274.03175</v>
      </c>
      <c r="D36" s="68">
        <v>0</v>
      </c>
      <c r="E36" s="68">
        <v>1210069068.8552</v>
      </c>
      <c r="F36" s="68">
        <v>270423070.2864</v>
      </c>
      <c r="G36" s="69">
        <f>F36/2</f>
        <v>135211535.1432</v>
      </c>
      <c r="H36" s="69">
        <f t="shared" si="0"/>
        <v>135211535.1432</v>
      </c>
      <c r="I36" s="68">
        <v>4840546912.7076</v>
      </c>
      <c r="J36" s="70">
        <f t="shared" si="1"/>
        <v>13989860790.7377</v>
      </c>
    </row>
    <row r="37" spans="1:11">
      <c r="A37" s="66">
        <v>32</v>
      </c>
      <c r="B37" s="67" t="s">
        <v>119</v>
      </c>
      <c r="C37" s="68">
        <v>9673531874.57097</v>
      </c>
      <c r="D37" s="68">
        <v>0</v>
      </c>
      <c r="E37" s="68">
        <v>1499947693.3233</v>
      </c>
      <c r="F37" s="68">
        <v>335204387.0368</v>
      </c>
      <c r="G37" s="68">
        <f>F37</f>
        <v>335204387.0368</v>
      </c>
      <c r="H37" s="69">
        <f t="shared" si="0"/>
        <v>0</v>
      </c>
      <c r="I37" s="68">
        <v>17503794315.0212</v>
      </c>
      <c r="J37" s="70">
        <f t="shared" si="1"/>
        <v>28677273882.9155</v>
      </c>
    </row>
    <row r="38" spans="1:11">
      <c r="A38" s="66">
        <v>33</v>
      </c>
      <c r="B38" s="67" t="s">
        <v>120</v>
      </c>
      <c r="C38" s="68">
        <v>9742743827.62913</v>
      </c>
      <c r="D38" s="68">
        <v>0</v>
      </c>
      <c r="E38" s="68">
        <v>1510679482.9826</v>
      </c>
      <c r="F38" s="68">
        <v>337602699.3187</v>
      </c>
      <c r="G38" s="68">
        <v>0</v>
      </c>
      <c r="H38" s="69">
        <f t="shared" si="0"/>
        <v>337602699.3187</v>
      </c>
      <c r="I38" s="68">
        <v>5656085888.2494</v>
      </c>
      <c r="J38" s="70">
        <f t="shared" si="1"/>
        <v>17247111898.1798</v>
      </c>
    </row>
    <row r="39" spans="1:11">
      <c r="A39" s="66">
        <v>34</v>
      </c>
      <c r="B39" s="67" t="s">
        <v>121</v>
      </c>
      <c r="C39" s="68">
        <v>7302219093.75505</v>
      </c>
      <c r="D39" s="68">
        <v>0</v>
      </c>
      <c r="E39" s="68">
        <v>1132259326.5665</v>
      </c>
      <c r="F39" s="68">
        <v>253034352.6096</v>
      </c>
      <c r="G39" s="69">
        <f>F39/2</f>
        <v>126517176.3048</v>
      </c>
      <c r="H39" s="69">
        <f t="shared" si="0"/>
        <v>126517176.3048</v>
      </c>
      <c r="I39" s="68">
        <v>4128232877.1604</v>
      </c>
      <c r="J39" s="70">
        <f t="shared" si="1"/>
        <v>12689228473.7867</v>
      </c>
    </row>
    <row r="40" spans="1:11">
      <c r="A40" s="66">
        <v>35</v>
      </c>
      <c r="B40" s="67" t="s">
        <v>122</v>
      </c>
      <c r="C40" s="68">
        <v>7341741351.39398</v>
      </c>
      <c r="D40" s="68">
        <v>0</v>
      </c>
      <c r="E40" s="68">
        <v>1138387524.6175</v>
      </c>
      <c r="F40" s="68">
        <v>254403866.2802</v>
      </c>
      <c r="G40" s="68">
        <v>0</v>
      </c>
      <c r="H40" s="69">
        <f t="shared" si="0"/>
        <v>254403866.2802</v>
      </c>
      <c r="I40" s="68">
        <v>3988234964.8445</v>
      </c>
      <c r="J40" s="70">
        <f t="shared" si="1"/>
        <v>12722767707.1362</v>
      </c>
    </row>
    <row r="41" spans="1:11">
      <c r="A41" s="66">
        <v>36</v>
      </c>
      <c r="B41" s="67" t="s">
        <v>123</v>
      </c>
      <c r="C41" s="68">
        <v>6633754092.71417</v>
      </c>
      <c r="D41" s="68">
        <v>0</v>
      </c>
      <c r="E41" s="68">
        <v>1028609227.5767</v>
      </c>
      <c r="F41" s="68">
        <v>229870899.6088</v>
      </c>
      <c r="G41" s="68">
        <v>0</v>
      </c>
      <c r="H41" s="69">
        <f t="shared" si="0"/>
        <v>229870899.6088</v>
      </c>
      <c r="I41" s="68">
        <v>3894809799.3446</v>
      </c>
      <c r="J41" s="70">
        <f t="shared" si="1"/>
        <v>11787044019.2443</v>
      </c>
    </row>
    <row r="42" spans="1:11">
      <c r="A42" s="66">
        <v>37</v>
      </c>
      <c r="B42" s="67" t="s">
        <v>932</v>
      </c>
      <c r="C42" s="68">
        <v>2929925407.43</v>
      </c>
      <c r="D42" s="68">
        <v>0</v>
      </c>
      <c r="E42" s="68">
        <v>454305099.0547</v>
      </c>
      <c r="F42" s="68">
        <v>101526915.1944</v>
      </c>
      <c r="G42" s="68">
        <v>0</v>
      </c>
      <c r="H42" s="69">
        <f t="shared" si="0"/>
        <v>101526915.1944</v>
      </c>
      <c r="I42" s="68">
        <v>3567903062.4608</v>
      </c>
      <c r="J42" s="70">
        <f t="shared" si="1"/>
        <v>7053660484.1399</v>
      </c>
    </row>
    <row r="43" spans="1:11">
      <c r="A43" s="20"/>
      <c r="B43" s="20"/>
      <c r="C43" s="49">
        <f t="shared" ref="C43:J43" si="2">SUM(C6:C42)</f>
        <v>322462307106.758</v>
      </c>
      <c r="D43" s="49">
        <f t="shared" si="2"/>
        <v>-55914833.29</v>
      </c>
      <c r="E43" s="49">
        <f t="shared" si="2"/>
        <v>50000000000.0006</v>
      </c>
      <c r="F43" s="49">
        <f t="shared" si="2"/>
        <v>11173869213.2021</v>
      </c>
      <c r="G43" s="49">
        <f t="shared" si="2"/>
        <v>3954378970.49115</v>
      </c>
      <c r="H43" s="49">
        <f t="shared" si="2"/>
        <v>7219490242.71095</v>
      </c>
      <c r="I43" s="49">
        <f t="shared" si="2"/>
        <v>259253602480.505</v>
      </c>
      <c r="J43" s="49">
        <f t="shared" si="2"/>
        <v>638879484996.685</v>
      </c>
      <c r="K43" s="48"/>
    </row>
    <row r="45" spans="1:11">
      <c r="E45" s="72"/>
      <c r="G45" s="47"/>
      <c r="H45" s="47"/>
      <c r="J45" s="48"/>
    </row>
    <row r="46" spans="1:11">
      <c r="C46" s="47"/>
      <c r="D46" s="47"/>
      <c r="E46" s="72"/>
      <c r="J46" s="48"/>
    </row>
    <row r="47" spans="1:11">
      <c r="E47" s="47"/>
      <c r="K47" s="48"/>
    </row>
  </sheetData>
  <mergeCells count="3">
    <mergeCell ref="A1:J1"/>
    <mergeCell ref="A2:J2"/>
    <mergeCell ref="A3:J3"/>
  </mergeCells>
  <pageMargins left="0.31496062992126" right="0.31496062992126" top="0.354330708661417" bottom="0.354330708661417" header="0.31496062992126" footer="0.31496062992126"/>
  <pageSetup paperSize="9" scale="6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zoomScale="96" zoomScaleNormal="96" workbookViewId="0">
      <selection activeCell="C41" sqref="C41"/>
    </sheetView>
  </sheetViews>
  <sheetFormatPr defaultColWidth="8.85714285714286" defaultRowHeight="18.75"/>
  <cols>
    <col min="1" max="1" width="8.85714285714286" style="32"/>
    <col min="2" max="2" width="20.1428571428571" style="32" customWidth="1"/>
    <col min="3" max="3" width="26.2857142857143" style="32" customWidth="1"/>
    <col min="4" max="4" width="23.2857142857143" style="32" customWidth="1"/>
    <col min="5" max="6" width="24.8571428571429" style="32" customWidth="1"/>
    <col min="7" max="7" width="19.5714285714286" style="32" customWidth="1"/>
    <col min="8" max="8" width="23" style="32" customWidth="1"/>
    <col min="9" max="9" width="21.7142857142857" style="32" customWidth="1"/>
    <col min="10" max="10" width="22.7142857142857" style="32" customWidth="1"/>
    <col min="11" max="16384" width="8.85714285714286" style="32"/>
  </cols>
  <sheetData>
    <row r="1" ht="20.25" spans="1:10">
      <c r="A1" s="2" t="s">
        <v>124</v>
      </c>
      <c r="B1" s="2"/>
      <c r="C1" s="2"/>
      <c r="D1" s="2"/>
      <c r="E1" s="2"/>
      <c r="F1" s="33"/>
    </row>
    <row r="2" ht="20.25" spans="1:10">
      <c r="A2" s="2" t="s">
        <v>64</v>
      </c>
      <c r="B2" s="2"/>
      <c r="C2" s="2"/>
      <c r="D2" s="2"/>
      <c r="E2" s="2"/>
      <c r="F2" s="33"/>
    </row>
    <row r="3" ht="45.75" customHeight="1" spans="1:10">
      <c r="A3" s="34" t="s">
        <v>952</v>
      </c>
      <c r="B3" s="34"/>
      <c r="C3" s="34"/>
      <c r="D3" s="34"/>
      <c r="E3" s="34"/>
      <c r="F3" s="35"/>
    </row>
    <row r="4" ht="99" customHeight="1" spans="1:10">
      <c r="A4" s="36" t="s">
        <v>953</v>
      </c>
      <c r="B4" s="37" t="s">
        <v>126</v>
      </c>
      <c r="C4" s="8" t="s">
        <v>954</v>
      </c>
      <c r="D4" s="8" t="s">
        <v>955</v>
      </c>
      <c r="E4" s="37" t="s">
        <v>950</v>
      </c>
      <c r="F4" s="38"/>
      <c r="G4" s="39"/>
      <c r="H4" s="40"/>
      <c r="I4" s="40"/>
    </row>
    <row r="5" spans="1:10">
      <c r="A5" s="41"/>
      <c r="B5" s="41"/>
      <c r="C5" s="200" t="s">
        <v>27</v>
      </c>
      <c r="D5" s="200" t="s">
        <v>27</v>
      </c>
      <c r="E5" s="200" t="s">
        <v>27</v>
      </c>
      <c r="F5" s="42"/>
    </row>
    <row r="6" spans="1:10">
      <c r="A6" s="43">
        <v>1</v>
      </c>
      <c r="B6" s="44" t="s">
        <v>88</v>
      </c>
      <c r="C6" s="45">
        <v>286656114.851696</v>
      </c>
      <c r="D6" s="45">
        <v>44448003.4618</v>
      </c>
      <c r="E6" s="46">
        <f>C6+D6</f>
        <v>331104118.313496</v>
      </c>
      <c r="F6" s="47"/>
      <c r="G6" s="48"/>
      <c r="H6" s="48"/>
      <c r="I6" s="48"/>
      <c r="J6" s="48"/>
    </row>
    <row r="7" spans="1:10">
      <c r="A7" s="43">
        <v>2</v>
      </c>
      <c r="B7" s="44" t="s">
        <v>89</v>
      </c>
      <c r="C7" s="45">
        <v>304952810.986681</v>
      </c>
      <c r="D7" s="45">
        <v>47285032.1209</v>
      </c>
      <c r="E7" s="46">
        <f t="shared" ref="E7:E41" si="0">C7+D7</f>
        <v>352237843.107581</v>
      </c>
      <c r="F7" s="47"/>
      <c r="G7" s="48"/>
      <c r="H7" s="48"/>
      <c r="I7" s="48"/>
      <c r="J7" s="48"/>
    </row>
    <row r="8" spans="1:10">
      <c r="A8" s="43">
        <v>3</v>
      </c>
      <c r="B8" s="44" t="s">
        <v>90</v>
      </c>
      <c r="C8" s="45">
        <v>307786713.493255</v>
      </c>
      <c r="D8" s="45">
        <v>47724448.2084</v>
      </c>
      <c r="E8" s="46">
        <f t="shared" si="0"/>
        <v>355511161.701655</v>
      </c>
      <c r="F8" s="47"/>
      <c r="G8" s="48"/>
      <c r="H8" s="48"/>
      <c r="I8" s="48"/>
      <c r="J8" s="48"/>
    </row>
    <row r="9" spans="1:10">
      <c r="A9" s="43">
        <v>4</v>
      </c>
      <c r="B9" s="44" t="s">
        <v>91</v>
      </c>
      <c r="C9" s="45">
        <v>304381517.797072</v>
      </c>
      <c r="D9" s="45">
        <v>47196449.1801</v>
      </c>
      <c r="E9" s="46">
        <f t="shared" si="0"/>
        <v>351577966.977172</v>
      </c>
      <c r="F9" s="47"/>
      <c r="G9" s="48"/>
      <c r="H9" s="48"/>
      <c r="I9" s="48"/>
      <c r="J9" s="48"/>
    </row>
    <row r="10" spans="1:10">
      <c r="A10" s="43">
        <v>5</v>
      </c>
      <c r="B10" s="44" t="s">
        <v>92</v>
      </c>
      <c r="C10" s="45">
        <v>366181163.886993</v>
      </c>
      <c r="D10" s="45">
        <v>56778909.6302</v>
      </c>
      <c r="E10" s="46">
        <f t="shared" si="0"/>
        <v>422960073.517193</v>
      </c>
      <c r="F10" s="47"/>
      <c r="G10" s="48"/>
      <c r="H10" s="48"/>
      <c r="I10" s="48"/>
      <c r="J10" s="48"/>
    </row>
    <row r="11" spans="1:10">
      <c r="A11" s="43">
        <v>6</v>
      </c>
      <c r="B11" s="44" t="s">
        <v>93</v>
      </c>
      <c r="C11" s="45">
        <v>270869980.781846</v>
      </c>
      <c r="D11" s="45">
        <v>42000254.7293</v>
      </c>
      <c r="E11" s="46">
        <f t="shared" si="0"/>
        <v>312870235.511146</v>
      </c>
      <c r="F11" s="47"/>
      <c r="G11" s="48"/>
      <c r="H11" s="48"/>
      <c r="I11" s="48"/>
      <c r="J11" s="48"/>
    </row>
    <row r="12" ht="30" customHeight="1" spans="1:10">
      <c r="A12" s="43">
        <v>7</v>
      </c>
      <c r="B12" s="44" t="s">
        <v>94</v>
      </c>
      <c r="C12" s="45">
        <v>343318512.57113</v>
      </c>
      <c r="D12" s="45">
        <v>53233898.196</v>
      </c>
      <c r="E12" s="46">
        <f t="shared" si="0"/>
        <v>396552410.76713</v>
      </c>
      <c r="F12" s="47"/>
      <c r="G12" s="48"/>
      <c r="H12" s="48"/>
      <c r="I12" s="48"/>
      <c r="J12" s="48"/>
    </row>
    <row r="13" spans="1:10">
      <c r="A13" s="43">
        <v>8</v>
      </c>
      <c r="B13" s="44" t="s">
        <v>95</v>
      </c>
      <c r="C13" s="45">
        <v>380347709.574161</v>
      </c>
      <c r="D13" s="45">
        <v>58975530.0374</v>
      </c>
      <c r="E13" s="46">
        <f t="shared" si="0"/>
        <v>439323239.611561</v>
      </c>
      <c r="F13" s="47"/>
      <c r="G13" s="48"/>
      <c r="H13" s="48"/>
      <c r="I13" s="48"/>
      <c r="J13" s="48"/>
    </row>
    <row r="14" spans="1:10">
      <c r="A14" s="43">
        <v>9</v>
      </c>
      <c r="B14" s="44" t="s">
        <v>96</v>
      </c>
      <c r="C14" s="45">
        <v>307839203.860196</v>
      </c>
      <c r="D14" s="45">
        <v>47732587.201</v>
      </c>
      <c r="E14" s="46">
        <f t="shared" si="0"/>
        <v>355571791.061196</v>
      </c>
      <c r="F14" s="47"/>
      <c r="G14" s="48"/>
      <c r="H14" s="48"/>
      <c r="I14" s="48"/>
      <c r="J14" s="48"/>
    </row>
    <row r="15" spans="1:10">
      <c r="A15" s="43">
        <v>10</v>
      </c>
      <c r="B15" s="44" t="s">
        <v>97</v>
      </c>
      <c r="C15" s="45">
        <v>310831699.349072</v>
      </c>
      <c r="D15" s="45">
        <v>48196594.2218</v>
      </c>
      <c r="E15" s="46">
        <f t="shared" si="0"/>
        <v>359028293.570872</v>
      </c>
      <c r="F15" s="47"/>
      <c r="G15" s="48"/>
      <c r="H15" s="48"/>
      <c r="I15" s="48"/>
      <c r="J15" s="48"/>
    </row>
    <row r="16" spans="1:10">
      <c r="A16" s="43">
        <v>11</v>
      </c>
      <c r="B16" s="44" t="s">
        <v>98</v>
      </c>
      <c r="C16" s="45">
        <v>273877471.826563</v>
      </c>
      <c r="D16" s="45">
        <v>42466586.9143</v>
      </c>
      <c r="E16" s="46">
        <f t="shared" si="0"/>
        <v>316344058.740863</v>
      </c>
      <c r="F16" s="47"/>
      <c r="G16" s="48"/>
      <c r="H16" s="48"/>
      <c r="I16" s="48"/>
      <c r="J16" s="48"/>
    </row>
    <row r="17" spans="1:10">
      <c r="A17" s="43">
        <v>12</v>
      </c>
      <c r="B17" s="44" t="s">
        <v>99</v>
      </c>
      <c r="C17" s="45">
        <v>286245852.239724</v>
      </c>
      <c r="D17" s="45">
        <v>44384389.4203</v>
      </c>
      <c r="E17" s="46">
        <f t="shared" si="0"/>
        <v>330630241.660024</v>
      </c>
      <c r="F17" s="47"/>
      <c r="G17" s="48"/>
      <c r="H17" s="48"/>
      <c r="I17" s="48"/>
      <c r="J17" s="48"/>
    </row>
    <row r="18" spans="1:10">
      <c r="A18" s="43">
        <v>13</v>
      </c>
      <c r="B18" s="44" t="s">
        <v>100</v>
      </c>
      <c r="C18" s="45">
        <v>273722924.365297</v>
      </c>
      <c r="D18" s="45">
        <v>42442623.2668</v>
      </c>
      <c r="E18" s="46">
        <f t="shared" si="0"/>
        <v>316165547.632097</v>
      </c>
      <c r="F18" s="47"/>
      <c r="G18" s="48"/>
      <c r="H18" s="48"/>
      <c r="I18" s="48"/>
      <c r="J18" s="48"/>
    </row>
    <row r="19" spans="1:10">
      <c r="A19" s="43">
        <v>14</v>
      </c>
      <c r="B19" s="44" t="s">
        <v>101</v>
      </c>
      <c r="C19" s="45">
        <v>307865772.461937</v>
      </c>
      <c r="D19" s="45">
        <v>47736706.8456</v>
      </c>
      <c r="E19" s="46">
        <f t="shared" si="0"/>
        <v>355602479.307537</v>
      </c>
      <c r="F19" s="47"/>
      <c r="G19" s="48"/>
      <c r="H19" s="48"/>
      <c r="I19" s="48"/>
      <c r="J19" s="48"/>
    </row>
    <row r="20" spans="1:10">
      <c r="A20" s="43">
        <v>15</v>
      </c>
      <c r="B20" s="44" t="s">
        <v>102</v>
      </c>
      <c r="C20" s="45">
        <v>288350107.539448</v>
      </c>
      <c r="D20" s="45">
        <v>44710668.6866</v>
      </c>
      <c r="E20" s="46">
        <f t="shared" si="0"/>
        <v>333060776.226048</v>
      </c>
      <c r="F20" s="47"/>
      <c r="G20" s="48"/>
      <c r="H20" s="48"/>
      <c r="I20" s="48"/>
      <c r="J20" s="48"/>
    </row>
    <row r="21" spans="1:10">
      <c r="A21" s="43">
        <v>16</v>
      </c>
      <c r="B21" s="44" t="s">
        <v>103</v>
      </c>
      <c r="C21" s="45">
        <v>318287881.9512</v>
      </c>
      <c r="D21" s="45">
        <v>49352726.65</v>
      </c>
      <c r="E21" s="46">
        <f t="shared" si="0"/>
        <v>367640608.6012</v>
      </c>
      <c r="F21" s="47"/>
      <c r="G21" s="48"/>
      <c r="H21" s="48"/>
      <c r="I21" s="48"/>
      <c r="J21" s="48"/>
    </row>
    <row r="22" spans="1:10">
      <c r="A22" s="43">
        <v>17</v>
      </c>
      <c r="B22" s="44" t="s">
        <v>104</v>
      </c>
      <c r="C22" s="45">
        <v>342348142.762234</v>
      </c>
      <c r="D22" s="45">
        <v>53083435.6787</v>
      </c>
      <c r="E22" s="46">
        <f t="shared" si="0"/>
        <v>395431578.440934</v>
      </c>
      <c r="F22" s="47"/>
      <c r="G22" s="48"/>
      <c r="H22" s="48"/>
      <c r="I22" s="48"/>
      <c r="J22" s="48"/>
    </row>
    <row r="23" spans="1:10">
      <c r="A23" s="43">
        <v>18</v>
      </c>
      <c r="B23" s="44" t="s">
        <v>105</v>
      </c>
      <c r="C23" s="45">
        <v>401100667.909569</v>
      </c>
      <c r="D23" s="45">
        <v>62193419.0555</v>
      </c>
      <c r="E23" s="46">
        <f t="shared" si="0"/>
        <v>463294086.965069</v>
      </c>
      <c r="F23" s="47"/>
      <c r="G23" s="48"/>
      <c r="H23" s="48"/>
      <c r="I23" s="48"/>
      <c r="J23" s="48"/>
    </row>
    <row r="24" spans="1:10">
      <c r="A24" s="43">
        <v>19</v>
      </c>
      <c r="B24" s="44" t="s">
        <v>106</v>
      </c>
      <c r="C24" s="45">
        <v>485577012.992944</v>
      </c>
      <c r="D24" s="45">
        <v>75292057.7524</v>
      </c>
      <c r="E24" s="46">
        <f t="shared" si="0"/>
        <v>560869070.745344</v>
      </c>
      <c r="F24" s="47"/>
      <c r="G24" s="48"/>
      <c r="H24" s="48"/>
      <c r="I24" s="48"/>
      <c r="J24" s="48"/>
    </row>
    <row r="25" spans="1:10">
      <c r="A25" s="43">
        <v>20</v>
      </c>
      <c r="B25" s="44" t="s">
        <v>107</v>
      </c>
      <c r="C25" s="45">
        <v>376308365.570536</v>
      </c>
      <c r="D25" s="45">
        <v>58349201.9497</v>
      </c>
      <c r="E25" s="46">
        <f t="shared" si="0"/>
        <v>434657567.520236</v>
      </c>
      <c r="F25" s="47"/>
      <c r="G25" s="48"/>
      <c r="H25" s="48"/>
      <c r="I25" s="48"/>
      <c r="J25" s="48"/>
    </row>
    <row r="26" spans="1:10">
      <c r="A26" s="43">
        <v>21</v>
      </c>
      <c r="B26" s="44" t="s">
        <v>108</v>
      </c>
      <c r="C26" s="45">
        <v>323250763.446466</v>
      </c>
      <c r="D26" s="45">
        <v>50122255.5819</v>
      </c>
      <c r="E26" s="46">
        <f t="shared" si="0"/>
        <v>373373019.028366</v>
      </c>
      <c r="F26" s="47"/>
      <c r="G26" s="48"/>
      <c r="H26" s="48"/>
      <c r="I26" s="48"/>
      <c r="J26" s="48"/>
    </row>
    <row r="27" spans="1:10">
      <c r="A27" s="43">
        <v>22</v>
      </c>
      <c r="B27" s="44" t="s">
        <v>109</v>
      </c>
      <c r="C27" s="45">
        <v>338345963.0244</v>
      </c>
      <c r="D27" s="45">
        <v>52462870.1662</v>
      </c>
      <c r="E27" s="46">
        <f t="shared" si="0"/>
        <v>390808833.1906</v>
      </c>
      <c r="F27" s="47"/>
      <c r="G27" s="48"/>
      <c r="H27" s="48"/>
      <c r="I27" s="48"/>
      <c r="J27" s="48"/>
    </row>
    <row r="28" spans="1:10">
      <c r="A28" s="43">
        <v>23</v>
      </c>
      <c r="B28" s="44" t="s">
        <v>110</v>
      </c>
      <c r="C28" s="45">
        <v>272502561.782813</v>
      </c>
      <c r="D28" s="45">
        <v>42253397.6495</v>
      </c>
      <c r="E28" s="46">
        <f t="shared" si="0"/>
        <v>314755959.432313</v>
      </c>
      <c r="F28" s="47"/>
      <c r="G28" s="48"/>
      <c r="H28" s="48"/>
      <c r="I28" s="48"/>
      <c r="J28" s="48"/>
    </row>
    <row r="29" spans="1:10">
      <c r="A29" s="43">
        <v>24</v>
      </c>
      <c r="B29" s="44" t="s">
        <v>111</v>
      </c>
      <c r="C29" s="45">
        <v>410101288.271159</v>
      </c>
      <c r="D29" s="45">
        <v>63589027.1875</v>
      </c>
      <c r="E29" s="46">
        <f t="shared" si="0"/>
        <v>473690315.458659</v>
      </c>
      <c r="F29" s="47"/>
      <c r="G29" s="48"/>
      <c r="H29" s="48"/>
      <c r="I29" s="48"/>
      <c r="J29" s="48"/>
    </row>
    <row r="30" spans="1:10">
      <c r="A30" s="43">
        <v>25</v>
      </c>
      <c r="B30" s="44" t="s">
        <v>112</v>
      </c>
      <c r="C30" s="45">
        <v>282313239.548171</v>
      </c>
      <c r="D30" s="45">
        <v>43774610.757</v>
      </c>
      <c r="E30" s="46">
        <f t="shared" si="0"/>
        <v>326087850.305171</v>
      </c>
      <c r="F30" s="47"/>
      <c r="G30" s="48"/>
      <c r="H30" s="48"/>
      <c r="I30" s="48"/>
      <c r="J30" s="48"/>
    </row>
    <row r="31" spans="1:10">
      <c r="A31" s="43">
        <v>26</v>
      </c>
      <c r="B31" s="44" t="s">
        <v>113</v>
      </c>
      <c r="C31" s="45">
        <v>362618786.480187</v>
      </c>
      <c r="D31" s="45">
        <v>56226538.4959</v>
      </c>
      <c r="E31" s="46">
        <f t="shared" si="0"/>
        <v>418845324.976087</v>
      </c>
      <c r="F31" s="47"/>
      <c r="G31" s="48"/>
      <c r="H31" s="48"/>
      <c r="I31" s="48"/>
      <c r="J31" s="48"/>
    </row>
    <row r="32" spans="1:10">
      <c r="A32" s="43">
        <v>27</v>
      </c>
      <c r="B32" s="44" t="s">
        <v>114</v>
      </c>
      <c r="C32" s="45">
        <v>284409980.476426</v>
      </c>
      <c r="D32" s="45">
        <v>44099724.8684</v>
      </c>
      <c r="E32" s="46">
        <f t="shared" si="0"/>
        <v>328509705.344826</v>
      </c>
      <c r="F32" s="47"/>
      <c r="G32" s="48"/>
      <c r="H32" s="48"/>
      <c r="I32" s="48"/>
      <c r="J32" s="48"/>
    </row>
    <row r="33" spans="1:10">
      <c r="A33" s="43">
        <v>28</v>
      </c>
      <c r="B33" s="44" t="s">
        <v>115</v>
      </c>
      <c r="C33" s="45">
        <v>284973428.499788</v>
      </c>
      <c r="D33" s="45">
        <v>44187091.3622</v>
      </c>
      <c r="E33" s="46">
        <f t="shared" si="0"/>
        <v>329160519.861988</v>
      </c>
      <c r="F33" s="47"/>
      <c r="G33" s="48"/>
      <c r="H33" s="48"/>
      <c r="I33" s="48"/>
      <c r="J33" s="48"/>
    </row>
    <row r="34" spans="1:10">
      <c r="A34" s="43">
        <v>29</v>
      </c>
      <c r="B34" s="44" t="s">
        <v>116</v>
      </c>
      <c r="C34" s="45">
        <v>279196180.217757</v>
      </c>
      <c r="D34" s="45">
        <v>43291289.2553</v>
      </c>
      <c r="E34" s="46">
        <f t="shared" si="0"/>
        <v>322487469.473057</v>
      </c>
      <c r="F34" s="47"/>
      <c r="G34" s="48"/>
      <c r="H34" s="48"/>
      <c r="I34" s="48"/>
      <c r="J34" s="48"/>
    </row>
    <row r="35" spans="1:10">
      <c r="A35" s="43">
        <v>30</v>
      </c>
      <c r="B35" s="44" t="s">
        <v>117</v>
      </c>
      <c r="C35" s="45">
        <v>343356445.178318</v>
      </c>
      <c r="D35" s="45">
        <v>53239779.9078</v>
      </c>
      <c r="E35" s="46">
        <f t="shared" si="0"/>
        <v>396596225.086118</v>
      </c>
      <c r="F35" s="47"/>
      <c r="G35" s="48"/>
      <c r="H35" s="48"/>
      <c r="I35" s="48"/>
      <c r="J35" s="48"/>
    </row>
    <row r="36" spans="1:10">
      <c r="A36" s="43">
        <v>31</v>
      </c>
      <c r="B36" s="44" t="s">
        <v>118</v>
      </c>
      <c r="C36" s="45">
        <v>319676165.390678</v>
      </c>
      <c r="D36" s="45">
        <v>49567989.5519</v>
      </c>
      <c r="E36" s="46">
        <f t="shared" si="0"/>
        <v>369244154.942578</v>
      </c>
      <c r="F36" s="47"/>
      <c r="G36" s="48"/>
      <c r="H36" s="48"/>
      <c r="I36" s="48"/>
      <c r="J36" s="48"/>
    </row>
    <row r="37" spans="1:10">
      <c r="A37" s="43">
        <v>32</v>
      </c>
      <c r="B37" s="44" t="s">
        <v>119</v>
      </c>
      <c r="C37" s="45">
        <v>330149835.995915</v>
      </c>
      <c r="D37" s="45">
        <v>51192004.2622</v>
      </c>
      <c r="E37" s="46">
        <f t="shared" si="0"/>
        <v>381341840.258115</v>
      </c>
      <c r="F37" s="47"/>
      <c r="G37" s="48"/>
      <c r="H37" s="48"/>
      <c r="I37" s="48"/>
      <c r="J37" s="48"/>
    </row>
    <row r="38" spans="1:10">
      <c r="A38" s="43">
        <v>33</v>
      </c>
      <c r="B38" s="44" t="s">
        <v>120</v>
      </c>
      <c r="C38" s="45">
        <v>337383160.488224</v>
      </c>
      <c r="D38" s="45">
        <v>52313581.0066</v>
      </c>
      <c r="E38" s="46">
        <f t="shared" si="0"/>
        <v>389696741.494824</v>
      </c>
      <c r="F38" s="47"/>
      <c r="G38" s="48"/>
      <c r="H38" s="48"/>
      <c r="I38" s="48"/>
      <c r="J38" s="48"/>
    </row>
    <row r="39" spans="1:10">
      <c r="A39" s="43">
        <v>34</v>
      </c>
      <c r="B39" s="44" t="s">
        <v>121</v>
      </c>
      <c r="C39" s="45">
        <v>294886978.443967</v>
      </c>
      <c r="D39" s="45">
        <v>45724255.5091</v>
      </c>
      <c r="E39" s="46">
        <f t="shared" si="0"/>
        <v>340611233.953067</v>
      </c>
      <c r="F39" s="47"/>
      <c r="G39" s="48"/>
      <c r="H39" s="48"/>
      <c r="I39" s="48"/>
      <c r="J39" s="48"/>
    </row>
    <row r="40" spans="1:10">
      <c r="A40" s="43">
        <v>35</v>
      </c>
      <c r="B40" s="44" t="s">
        <v>122</v>
      </c>
      <c r="C40" s="45">
        <v>303990620.284951</v>
      </c>
      <c r="D40" s="45">
        <v>47135837.8305</v>
      </c>
      <c r="E40" s="46">
        <f t="shared" si="0"/>
        <v>351126458.115451</v>
      </c>
      <c r="F40" s="47"/>
      <c r="G40" s="48"/>
      <c r="H40" s="48"/>
      <c r="I40" s="48"/>
      <c r="J40" s="48"/>
    </row>
    <row r="41" spans="1:10">
      <c r="A41" s="43">
        <v>36</v>
      </c>
      <c r="B41" s="44" t="s">
        <v>123</v>
      </c>
      <c r="C41" s="45">
        <v>304638031.542525</v>
      </c>
      <c r="D41" s="45">
        <v>47236223.4017</v>
      </c>
      <c r="E41" s="46">
        <f t="shared" si="0"/>
        <v>351874254.944225</v>
      </c>
      <c r="F41" s="47"/>
      <c r="G41" s="48"/>
      <c r="H41" s="48"/>
      <c r="I41" s="48"/>
      <c r="J41" s="48"/>
    </row>
    <row r="42" spans="1:10">
      <c r="A42" s="21" t="s">
        <v>26</v>
      </c>
      <c r="B42" s="22"/>
      <c r="C42" s="49">
        <f>SUM(C6:C41)</f>
        <v>11608643055.8433</v>
      </c>
      <c r="D42" s="49">
        <f t="shared" ref="D42:E42" si="1">SUM(D6:D41)</f>
        <v>1800000000.0005</v>
      </c>
      <c r="E42" s="49">
        <f t="shared" si="1"/>
        <v>13408643055.8438</v>
      </c>
      <c r="F42" s="50"/>
    </row>
    <row r="44" spans="1:10">
      <c r="E44" s="48"/>
    </row>
    <row r="47" spans="1:10">
      <c r="C47" s="51"/>
    </row>
    <row r="49" spans="3:3">
      <c r="C49" s="48"/>
    </row>
  </sheetData>
  <mergeCells count="4">
    <mergeCell ref="A1:E1"/>
    <mergeCell ref="A2:E2"/>
    <mergeCell ref="A3:E3"/>
    <mergeCell ref="A42:B42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E44" sqref="E44"/>
    </sheetView>
  </sheetViews>
  <sheetFormatPr defaultColWidth="9" defaultRowHeight="12.75" outlineLevelCol="4"/>
  <cols>
    <col min="1" max="1" width="5" customWidth="1"/>
    <col min="2" max="2" width="25.4285714285714" customWidth="1"/>
    <col min="3" max="4" width="22" customWidth="1"/>
    <col min="5" max="5" width="25" customWidth="1"/>
  </cols>
  <sheetData>
    <row r="1" ht="20.25" spans="1:5">
      <c r="A1" s="2" t="s">
        <v>17</v>
      </c>
      <c r="B1" s="2"/>
      <c r="C1" s="2"/>
      <c r="D1" s="2"/>
      <c r="E1" s="2"/>
    </row>
    <row r="2" ht="20.25" spans="1:5">
      <c r="A2" s="2" t="s">
        <v>64</v>
      </c>
      <c r="B2" s="2"/>
      <c r="C2" s="2"/>
      <c r="D2" s="2"/>
      <c r="E2" s="2"/>
    </row>
    <row r="3" ht="35.45" customHeight="1" spans="1:5">
      <c r="A3" s="24" t="s">
        <v>956</v>
      </c>
      <c r="B3" s="24"/>
      <c r="C3" s="24"/>
      <c r="D3" s="24"/>
      <c r="E3" s="24"/>
    </row>
    <row r="4" ht="99" spans="1:5">
      <c r="A4" s="25" t="s">
        <v>953</v>
      </c>
      <c r="B4" s="25" t="s">
        <v>957</v>
      </c>
      <c r="C4" s="26" t="s">
        <v>954</v>
      </c>
      <c r="D4" s="8" t="s">
        <v>958</v>
      </c>
      <c r="E4" s="4" t="s">
        <v>950</v>
      </c>
    </row>
    <row r="5" ht="15.75" spans="1:5">
      <c r="A5" s="27"/>
      <c r="B5" s="27"/>
      <c r="C5" s="200" t="s">
        <v>27</v>
      </c>
      <c r="D5" s="200" t="s">
        <v>27</v>
      </c>
      <c r="E5" s="200" t="s">
        <v>27</v>
      </c>
    </row>
    <row r="6" ht="18.75" spans="1:5">
      <c r="A6" s="28">
        <v>1</v>
      </c>
      <c r="B6" s="29" t="s">
        <v>959</v>
      </c>
      <c r="C6" s="30">
        <v>200792465.4473</v>
      </c>
      <c r="D6" s="30">
        <v>31134253.682</v>
      </c>
      <c r="E6" s="31">
        <f>SUM(C6:D6)</f>
        <v>231926719.1293</v>
      </c>
    </row>
    <row r="7" ht="18.75" spans="1:5">
      <c r="A7" s="28">
        <v>2</v>
      </c>
      <c r="B7" s="29" t="s">
        <v>960</v>
      </c>
      <c r="C7" s="30">
        <v>253270876.7477</v>
      </c>
      <c r="D7" s="30">
        <v>39271392.5263</v>
      </c>
      <c r="E7" s="31">
        <f t="shared" ref="E7:E42" si="0">SUM(C7:D7)</f>
        <v>292542269.274</v>
      </c>
    </row>
    <row r="8" ht="18.75" spans="1:5">
      <c r="A8" s="28">
        <v>3</v>
      </c>
      <c r="B8" s="29" t="s">
        <v>961</v>
      </c>
      <c r="C8" s="30">
        <v>337341924.934</v>
      </c>
      <c r="D8" s="30">
        <v>52307187.1502</v>
      </c>
      <c r="E8" s="31">
        <f t="shared" si="0"/>
        <v>389649112.0842</v>
      </c>
    </row>
    <row r="9" ht="18.75" spans="1:5">
      <c r="A9" s="28">
        <v>4</v>
      </c>
      <c r="B9" s="29" t="s">
        <v>962</v>
      </c>
      <c r="C9" s="30">
        <v>254639579.4172</v>
      </c>
      <c r="D9" s="30">
        <v>39483619.2953</v>
      </c>
      <c r="E9" s="31">
        <f t="shared" si="0"/>
        <v>294123198.7125</v>
      </c>
    </row>
    <row r="10" ht="18.75" spans="1:5">
      <c r="A10" s="28">
        <v>5</v>
      </c>
      <c r="B10" s="29" t="s">
        <v>963</v>
      </c>
      <c r="C10" s="30">
        <v>289066312.6361</v>
      </c>
      <c r="D10" s="30">
        <v>44821721.2161</v>
      </c>
      <c r="E10" s="31">
        <f t="shared" si="0"/>
        <v>333888033.8522</v>
      </c>
    </row>
    <row r="11" ht="18.75" spans="1:5">
      <c r="A11" s="28">
        <v>6</v>
      </c>
      <c r="B11" s="29" t="s">
        <v>964</v>
      </c>
      <c r="C11" s="30">
        <v>117660570.0333</v>
      </c>
      <c r="D11" s="30">
        <v>18244081.1593</v>
      </c>
      <c r="E11" s="31">
        <f t="shared" si="0"/>
        <v>135904651.1926</v>
      </c>
    </row>
    <row r="12" ht="18.75" spans="1:5">
      <c r="A12" s="28">
        <v>7</v>
      </c>
      <c r="B12" s="29" t="s">
        <v>965</v>
      </c>
      <c r="C12" s="30">
        <v>314548886.5755</v>
      </c>
      <c r="D12" s="30">
        <v>48772969.684</v>
      </c>
      <c r="E12" s="31">
        <f t="shared" si="0"/>
        <v>363321856.2595</v>
      </c>
    </row>
    <row r="13" ht="18.75" spans="1:5">
      <c r="A13" s="28">
        <v>8</v>
      </c>
      <c r="B13" s="29" t="s">
        <v>966</v>
      </c>
      <c r="C13" s="30">
        <v>341505828.0376</v>
      </c>
      <c r="D13" s="30">
        <v>52952828.9832</v>
      </c>
      <c r="E13" s="31">
        <f t="shared" si="0"/>
        <v>394458657.0208</v>
      </c>
    </row>
    <row r="14" ht="37.5" spans="1:5">
      <c r="A14" s="28">
        <v>9</v>
      </c>
      <c r="B14" s="29" t="s">
        <v>967</v>
      </c>
      <c r="C14" s="30">
        <v>220158051.3004</v>
      </c>
      <c r="D14" s="30">
        <v>34137021.0483</v>
      </c>
      <c r="E14" s="31">
        <f t="shared" si="0"/>
        <v>254295072.3487</v>
      </c>
    </row>
    <row r="15" ht="18.75" spans="1:5">
      <c r="A15" s="28">
        <v>10</v>
      </c>
      <c r="B15" s="29" t="s">
        <v>968</v>
      </c>
      <c r="C15" s="30">
        <v>282100967.2409</v>
      </c>
      <c r="D15" s="30">
        <v>43741696.4748</v>
      </c>
      <c r="E15" s="31">
        <f t="shared" si="0"/>
        <v>325842663.7157</v>
      </c>
    </row>
    <row r="16" ht="18.75" spans="1:5">
      <c r="A16" s="28">
        <v>11</v>
      </c>
      <c r="B16" s="29" t="s">
        <v>969</v>
      </c>
      <c r="C16" s="30">
        <v>162858737.7457</v>
      </c>
      <c r="D16" s="30">
        <v>25252368.1306</v>
      </c>
      <c r="E16" s="31">
        <f t="shared" si="0"/>
        <v>188111105.8763</v>
      </c>
    </row>
    <row r="17" ht="18.75" spans="1:5">
      <c r="A17" s="28">
        <v>12</v>
      </c>
      <c r="B17" s="29" t="s">
        <v>970</v>
      </c>
      <c r="C17" s="30">
        <v>215845422.5309</v>
      </c>
      <c r="D17" s="30">
        <v>33468318.2768</v>
      </c>
      <c r="E17" s="31">
        <f t="shared" si="0"/>
        <v>249313740.8077</v>
      </c>
    </row>
    <row r="18" ht="18.75" spans="1:5">
      <c r="A18" s="28">
        <v>13</v>
      </c>
      <c r="B18" s="29" t="s">
        <v>971</v>
      </c>
      <c r="C18" s="30">
        <v>171389092.9836</v>
      </c>
      <c r="D18" s="30">
        <v>26575058.4187</v>
      </c>
      <c r="E18" s="31">
        <f t="shared" si="0"/>
        <v>197964151.4023</v>
      </c>
    </row>
    <row r="19" ht="18.75" spans="1:5">
      <c r="A19" s="28">
        <v>14</v>
      </c>
      <c r="B19" s="29" t="s">
        <v>972</v>
      </c>
      <c r="C19" s="30">
        <v>219302158.2658</v>
      </c>
      <c r="D19" s="30">
        <v>34004308.943</v>
      </c>
      <c r="E19" s="31">
        <f t="shared" si="0"/>
        <v>253306467.2088</v>
      </c>
    </row>
    <row r="20" ht="18.75" spans="1:5">
      <c r="A20" s="28">
        <v>15</v>
      </c>
      <c r="B20" s="29" t="s">
        <v>973</v>
      </c>
      <c r="C20" s="30">
        <v>150265992.0102</v>
      </c>
      <c r="D20" s="30">
        <v>23299776.2373</v>
      </c>
      <c r="E20" s="31">
        <f t="shared" si="0"/>
        <v>173565768.2475</v>
      </c>
    </row>
    <row r="21" ht="18.75" spans="1:5">
      <c r="A21" s="28">
        <v>16</v>
      </c>
      <c r="B21" s="29" t="s">
        <v>974</v>
      </c>
      <c r="C21" s="30">
        <v>293913675.4343</v>
      </c>
      <c r="D21" s="30">
        <v>45573338.1788</v>
      </c>
      <c r="E21" s="31">
        <f t="shared" si="0"/>
        <v>339487013.6131</v>
      </c>
    </row>
    <row r="22" ht="18.75" spans="1:5">
      <c r="A22" s="28">
        <v>17</v>
      </c>
      <c r="B22" s="29" t="s">
        <v>975</v>
      </c>
      <c r="C22" s="30">
        <v>308783988.9517</v>
      </c>
      <c r="D22" s="30">
        <v>47879082.6316</v>
      </c>
      <c r="E22" s="31">
        <f t="shared" si="0"/>
        <v>356663071.5833</v>
      </c>
    </row>
    <row r="23" ht="18.75" spans="1:5">
      <c r="A23" s="28">
        <v>18</v>
      </c>
      <c r="B23" s="29" t="s">
        <v>976</v>
      </c>
      <c r="C23" s="30">
        <v>347256834.3436</v>
      </c>
      <c r="D23" s="30">
        <v>53844562.0915</v>
      </c>
      <c r="E23" s="31">
        <f t="shared" si="0"/>
        <v>401101396.4351</v>
      </c>
    </row>
    <row r="24" ht="18.75" spans="1:5">
      <c r="A24" s="28">
        <v>19</v>
      </c>
      <c r="B24" s="29" t="s">
        <v>977</v>
      </c>
      <c r="C24" s="30">
        <v>552862642.175</v>
      </c>
      <c r="D24" s="30">
        <v>85725157.6374</v>
      </c>
      <c r="E24" s="31">
        <f t="shared" si="0"/>
        <v>638587799.8124</v>
      </c>
    </row>
    <row r="25" ht="18.75" spans="1:5">
      <c r="A25" s="28">
        <v>20</v>
      </c>
      <c r="B25" s="29" t="s">
        <v>978</v>
      </c>
      <c r="C25" s="30">
        <v>420903740.0014</v>
      </c>
      <c r="D25" s="30">
        <v>65264021.674</v>
      </c>
      <c r="E25" s="31">
        <f t="shared" si="0"/>
        <v>486167761.6754</v>
      </c>
    </row>
    <row r="26" ht="18.75" spans="1:5">
      <c r="A26" s="28">
        <v>21</v>
      </c>
      <c r="B26" s="29" t="s">
        <v>979</v>
      </c>
      <c r="C26" s="30">
        <v>265635439.3847</v>
      </c>
      <c r="D26" s="30">
        <v>41188603.0599</v>
      </c>
      <c r="E26" s="31">
        <f t="shared" si="0"/>
        <v>306824042.4446</v>
      </c>
    </row>
    <row r="27" ht="18.75" spans="1:5">
      <c r="A27" s="28">
        <v>22</v>
      </c>
      <c r="B27" s="29" t="s">
        <v>980</v>
      </c>
      <c r="C27" s="30">
        <v>274553684.0056</v>
      </c>
      <c r="D27" s="30">
        <v>42571438.2663</v>
      </c>
      <c r="E27" s="31">
        <f t="shared" si="0"/>
        <v>317125122.2719</v>
      </c>
    </row>
    <row r="28" ht="18.75" spans="1:5">
      <c r="A28" s="28">
        <v>23</v>
      </c>
      <c r="B28" s="29" t="s">
        <v>981</v>
      </c>
      <c r="C28" s="30">
        <v>194275489.5375</v>
      </c>
      <c r="D28" s="30">
        <v>30123751.7153</v>
      </c>
      <c r="E28" s="31">
        <f t="shared" si="0"/>
        <v>224399241.2528</v>
      </c>
    </row>
    <row r="29" ht="18.75" spans="1:5">
      <c r="A29" s="28">
        <v>24</v>
      </c>
      <c r="B29" s="29" t="s">
        <v>982</v>
      </c>
      <c r="C29" s="30">
        <v>330947555.872</v>
      </c>
      <c r="D29" s="30">
        <v>51315696.219</v>
      </c>
      <c r="E29" s="31">
        <f t="shared" si="0"/>
        <v>382263252.091</v>
      </c>
    </row>
    <row r="30" ht="37.5" spans="1:5">
      <c r="A30" s="28">
        <v>25</v>
      </c>
      <c r="B30" s="29" t="s">
        <v>983</v>
      </c>
      <c r="C30" s="30">
        <v>173327220.8977</v>
      </c>
      <c r="D30" s="30">
        <v>26875578.4904</v>
      </c>
      <c r="E30" s="31">
        <f t="shared" si="0"/>
        <v>200202799.3881</v>
      </c>
    </row>
    <row r="31" ht="18.75" spans="1:5">
      <c r="A31" s="28">
        <v>26</v>
      </c>
      <c r="B31" s="29" t="s">
        <v>984</v>
      </c>
      <c r="C31" s="30">
        <v>320815315.9167</v>
      </c>
      <c r="D31" s="30">
        <v>49744622.6809</v>
      </c>
      <c r="E31" s="31">
        <f t="shared" si="0"/>
        <v>370559938.5976</v>
      </c>
    </row>
    <row r="32" ht="18.75" spans="1:5">
      <c r="A32" s="28">
        <v>27</v>
      </c>
      <c r="B32" s="29" t="s">
        <v>985</v>
      </c>
      <c r="C32" s="30">
        <v>228868486.4238</v>
      </c>
      <c r="D32" s="30">
        <v>35487633.962</v>
      </c>
      <c r="E32" s="31">
        <f t="shared" si="0"/>
        <v>264356120.3858</v>
      </c>
    </row>
    <row r="33" ht="18.75" spans="1:5">
      <c r="A33" s="28">
        <v>28</v>
      </c>
      <c r="B33" s="29" t="s">
        <v>986</v>
      </c>
      <c r="C33" s="30">
        <v>218583881.4821</v>
      </c>
      <c r="D33" s="30">
        <v>33892935.1844</v>
      </c>
      <c r="E33" s="31">
        <f t="shared" si="0"/>
        <v>252476816.6665</v>
      </c>
    </row>
    <row r="34" ht="18.75" spans="1:5">
      <c r="A34" s="28">
        <v>29</v>
      </c>
      <c r="B34" s="29" t="s">
        <v>987</v>
      </c>
      <c r="C34" s="30">
        <v>296077393.9713</v>
      </c>
      <c r="D34" s="30">
        <v>45908837.6293</v>
      </c>
      <c r="E34" s="31">
        <f t="shared" si="0"/>
        <v>341986231.6006</v>
      </c>
    </row>
    <row r="35" ht="18.75" spans="1:5">
      <c r="A35" s="28">
        <v>30</v>
      </c>
      <c r="B35" s="29" t="s">
        <v>988</v>
      </c>
      <c r="C35" s="30">
        <v>373478531.2539</v>
      </c>
      <c r="D35" s="30">
        <v>57910416.663</v>
      </c>
      <c r="E35" s="31">
        <f t="shared" si="0"/>
        <v>431388947.9169</v>
      </c>
    </row>
    <row r="36" ht="18.75" spans="1:5">
      <c r="A36" s="28">
        <v>31</v>
      </c>
      <c r="B36" s="29" t="s">
        <v>989</v>
      </c>
      <c r="C36" s="30">
        <v>234120998.2209</v>
      </c>
      <c r="D36" s="30">
        <v>36302072.0655</v>
      </c>
      <c r="E36" s="31">
        <f t="shared" si="0"/>
        <v>270423070.2864</v>
      </c>
    </row>
    <row r="37" ht="18.75" spans="1:5">
      <c r="A37" s="28">
        <v>32</v>
      </c>
      <c r="B37" s="29" t="s">
        <v>990</v>
      </c>
      <c r="C37" s="30">
        <v>290205956.2371</v>
      </c>
      <c r="D37" s="30">
        <v>44998430.7997</v>
      </c>
      <c r="E37" s="31">
        <f t="shared" si="0"/>
        <v>335204387.0368</v>
      </c>
    </row>
    <row r="38" ht="18.75" spans="1:5">
      <c r="A38" s="28">
        <v>33</v>
      </c>
      <c r="B38" s="29" t="s">
        <v>991</v>
      </c>
      <c r="C38" s="30">
        <v>292282314.829</v>
      </c>
      <c r="D38" s="30">
        <v>45320384.4897</v>
      </c>
      <c r="E38" s="31">
        <f t="shared" si="0"/>
        <v>337602699.3187</v>
      </c>
    </row>
    <row r="39" ht="18.75" spans="1:5">
      <c r="A39" s="28">
        <v>34</v>
      </c>
      <c r="B39" s="29" t="s">
        <v>992</v>
      </c>
      <c r="C39" s="30">
        <v>219066572.8126</v>
      </c>
      <c r="D39" s="30">
        <v>33967779.797</v>
      </c>
      <c r="E39" s="31">
        <f t="shared" si="0"/>
        <v>253034352.6096</v>
      </c>
    </row>
    <row r="40" ht="18.75" spans="1:5">
      <c r="A40" s="28">
        <v>35</v>
      </c>
      <c r="B40" s="29" t="s">
        <v>993</v>
      </c>
      <c r="C40" s="30">
        <v>220252240.5417</v>
      </c>
      <c r="D40" s="30">
        <v>34151625.7385</v>
      </c>
      <c r="E40" s="31">
        <f t="shared" si="0"/>
        <v>254403866.2802</v>
      </c>
    </row>
    <row r="41" ht="18.75" spans="1:5">
      <c r="A41" s="28">
        <v>36</v>
      </c>
      <c r="B41" s="29" t="s">
        <v>994</v>
      </c>
      <c r="C41" s="30">
        <v>199012622.7815</v>
      </c>
      <c r="D41" s="30">
        <v>30858276.8273</v>
      </c>
      <c r="E41" s="31">
        <f t="shared" si="0"/>
        <v>229870899.6088</v>
      </c>
    </row>
    <row r="42" ht="18.75" spans="1:5">
      <c r="A42" s="28">
        <v>37</v>
      </c>
      <c r="B42" s="29" t="s">
        <v>995</v>
      </c>
      <c r="C42" s="30">
        <v>87897762.2228</v>
      </c>
      <c r="D42" s="30">
        <v>13629152.9716</v>
      </c>
      <c r="E42" s="31">
        <f t="shared" si="0"/>
        <v>101526915.1944</v>
      </c>
    </row>
    <row r="43" ht="18.75" spans="1:5">
      <c r="A43" s="3" t="s">
        <v>46</v>
      </c>
      <c r="B43" s="3"/>
      <c r="C43" s="23">
        <f>SUM(C6:C42)</f>
        <v>9673869213.2031</v>
      </c>
      <c r="D43" s="23">
        <f>SUM(D6:D42)</f>
        <v>1499999999.999</v>
      </c>
      <c r="E43" s="23">
        <f>SUM(E6:E42)</f>
        <v>11173869213.2021</v>
      </c>
    </row>
  </sheetData>
  <mergeCells count="4">
    <mergeCell ref="A1:E1"/>
    <mergeCell ref="A2:E2"/>
    <mergeCell ref="A3:E3"/>
    <mergeCell ref="A43:B4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0"/>
  <sheetViews>
    <sheetView workbookViewId="0">
      <selection activeCell="G4" sqref="G4"/>
    </sheetView>
  </sheetViews>
  <sheetFormatPr defaultColWidth="9.14285714285714" defaultRowHeight="12.75"/>
  <cols>
    <col min="1" max="1" width="5.85714285714286" style="1" customWidth="1"/>
    <col min="2" max="2" width="16" style="1" customWidth="1"/>
    <col min="3" max="3" width="22.2857142857143" style="1" customWidth="1"/>
    <col min="4" max="5" width="22.7142857142857" style="1" customWidth="1"/>
    <col min="6" max="6" width="23.2857142857143" style="1" customWidth="1"/>
    <col min="7" max="8" width="17.4285714285714" style="1" customWidth="1"/>
    <col min="9" max="10" width="14.4285714285714" style="1" customWidth="1"/>
    <col min="11" max="12" width="13.2857142857143" style="1" customWidth="1"/>
    <col min="13" max="14" width="15.2857142857143" style="1" customWidth="1"/>
    <col min="15" max="15" width="14.4285714285714" style="1" customWidth="1"/>
    <col min="16" max="16" width="14" style="1" customWidth="1"/>
    <col min="17" max="17" width="12.8571428571429" style="1" customWidth="1"/>
    <col min="18" max="16384" width="9.14285714285714" style="1"/>
  </cols>
  <sheetData>
    <row r="1" ht="20.25" spans="1:17">
      <c r="A1" s="2" t="s">
        <v>17</v>
      </c>
      <c r="B1" s="2"/>
      <c r="C1" s="2"/>
      <c r="D1" s="2"/>
      <c r="E1" s="2"/>
      <c r="F1" s="2"/>
    </row>
    <row r="2" ht="18.75" spans="1:17">
      <c r="A2" s="3" t="s">
        <v>64</v>
      </c>
      <c r="B2" s="3"/>
      <c r="C2" s="3"/>
      <c r="D2" s="3"/>
      <c r="E2" s="3"/>
      <c r="F2" s="3"/>
    </row>
    <row r="3" ht="38.45" customHeight="1" spans="1:17">
      <c r="A3" s="4" t="s">
        <v>996</v>
      </c>
      <c r="B3" s="4"/>
      <c r="C3" s="4"/>
      <c r="D3" s="4"/>
      <c r="E3" s="4"/>
      <c r="F3" s="4"/>
    </row>
    <row r="4" ht="82.5" spans="1:17">
      <c r="A4" s="5" t="s">
        <v>997</v>
      </c>
      <c r="B4" s="5" t="s">
        <v>957</v>
      </c>
      <c r="C4" s="6" t="s">
        <v>998</v>
      </c>
      <c r="D4" s="7" t="s">
        <v>954</v>
      </c>
      <c r="E4" s="8" t="s">
        <v>955</v>
      </c>
      <c r="F4" s="9" t="s">
        <v>999</v>
      </c>
    </row>
    <row r="5" ht="15.75" spans="1:17">
      <c r="A5" s="10"/>
      <c r="B5" s="10"/>
      <c r="C5" s="11"/>
      <c r="D5" s="200" t="s">
        <v>27</v>
      </c>
      <c r="E5" s="200" t="s">
        <v>27</v>
      </c>
      <c r="F5" s="200" t="s">
        <v>27</v>
      </c>
      <c r="P5" s="13"/>
      <c r="Q5" s="13"/>
    </row>
    <row r="6" ht="18.75" spans="1:17">
      <c r="A6" s="14">
        <v>1</v>
      </c>
      <c r="B6" s="15" t="s">
        <v>88</v>
      </c>
      <c r="C6" s="15" t="s">
        <v>132</v>
      </c>
      <c r="D6" s="16">
        <v>10286762.3113</v>
      </c>
      <c r="E6" s="16">
        <v>1595033.293</v>
      </c>
      <c r="F6" s="17">
        <f>D6+E6</f>
        <v>11881795.6043</v>
      </c>
      <c r="G6" s="18"/>
      <c r="H6" s="18"/>
      <c r="I6" s="19"/>
      <c r="J6" s="19"/>
      <c r="K6" s="19"/>
      <c r="L6" s="19"/>
      <c r="M6" s="18"/>
      <c r="N6" s="18"/>
      <c r="O6" s="19"/>
      <c r="P6" s="19"/>
      <c r="Q6" s="19"/>
    </row>
    <row r="7" ht="18.75" spans="1:17">
      <c r="A7" s="14">
        <v>2</v>
      </c>
      <c r="B7" s="15" t="s">
        <v>88</v>
      </c>
      <c r="C7" s="15" t="s">
        <v>134</v>
      </c>
      <c r="D7" s="16">
        <v>17162122.8515</v>
      </c>
      <c r="E7" s="16">
        <v>2661105.263</v>
      </c>
      <c r="F7" s="17">
        <f t="shared" ref="F7:F70" si="0">D7+E7</f>
        <v>19823228.1145</v>
      </c>
      <c r="G7" s="18"/>
      <c r="H7" s="18"/>
      <c r="I7" s="19"/>
      <c r="J7" s="19"/>
      <c r="K7" s="19"/>
      <c r="L7" s="19"/>
      <c r="M7" s="18"/>
      <c r="N7" s="18"/>
      <c r="O7" s="19"/>
      <c r="P7" s="19"/>
      <c r="Q7" s="19"/>
    </row>
    <row r="8" ht="18.75" spans="1:17">
      <c r="A8" s="14">
        <v>3</v>
      </c>
      <c r="B8" s="15" t="s">
        <v>88</v>
      </c>
      <c r="C8" s="15" t="s">
        <v>136</v>
      </c>
      <c r="D8" s="16">
        <v>12075442.9733</v>
      </c>
      <c r="E8" s="16">
        <v>1872380.5399</v>
      </c>
      <c r="F8" s="17">
        <f t="shared" si="0"/>
        <v>13947823.5132</v>
      </c>
      <c r="G8" s="18"/>
      <c r="H8" s="18"/>
      <c r="I8" s="19"/>
      <c r="J8" s="19"/>
      <c r="K8" s="19"/>
      <c r="L8" s="19"/>
      <c r="M8" s="18"/>
      <c r="N8" s="18"/>
      <c r="O8" s="19"/>
      <c r="P8" s="19"/>
      <c r="Q8" s="19"/>
    </row>
    <row r="9" ht="18.75" spans="1:17">
      <c r="A9" s="14">
        <v>4</v>
      </c>
      <c r="B9" s="15" t="s">
        <v>88</v>
      </c>
      <c r="C9" s="15" t="s">
        <v>138</v>
      </c>
      <c r="D9" s="16">
        <v>12303568.5486</v>
      </c>
      <c r="E9" s="16">
        <v>1907752.9803</v>
      </c>
      <c r="F9" s="17">
        <f t="shared" si="0"/>
        <v>14211321.5289</v>
      </c>
      <c r="G9" s="18"/>
      <c r="H9" s="18"/>
      <c r="I9" s="19"/>
      <c r="J9" s="19"/>
      <c r="K9" s="19"/>
      <c r="L9" s="19"/>
      <c r="M9" s="18"/>
      <c r="N9" s="18"/>
      <c r="O9" s="19"/>
      <c r="P9" s="19"/>
      <c r="Q9" s="19"/>
    </row>
    <row r="10" ht="18.75" spans="1:17">
      <c r="A10" s="14">
        <v>5</v>
      </c>
      <c r="B10" s="15" t="s">
        <v>88</v>
      </c>
      <c r="C10" s="15" t="s">
        <v>140</v>
      </c>
      <c r="D10" s="16">
        <v>11198657.0463</v>
      </c>
      <c r="E10" s="16">
        <v>1736428.8476</v>
      </c>
      <c r="F10" s="17">
        <f t="shared" si="0"/>
        <v>12935085.8939</v>
      </c>
      <c r="G10" s="18"/>
      <c r="H10" s="18"/>
      <c r="I10" s="19"/>
      <c r="J10" s="19"/>
      <c r="K10" s="19"/>
      <c r="L10" s="19"/>
      <c r="M10" s="18"/>
      <c r="N10" s="18"/>
      <c r="O10" s="19"/>
      <c r="P10" s="19"/>
      <c r="Q10" s="19"/>
    </row>
    <row r="11" ht="37.5" spans="1:17">
      <c r="A11" s="14">
        <v>6</v>
      </c>
      <c r="B11" s="15" t="s">
        <v>88</v>
      </c>
      <c r="C11" s="15" t="s">
        <v>142</v>
      </c>
      <c r="D11" s="16">
        <v>11565318.1037</v>
      </c>
      <c r="E11" s="16">
        <v>1793282.168</v>
      </c>
      <c r="F11" s="17">
        <f t="shared" si="0"/>
        <v>13358600.2717</v>
      </c>
      <c r="G11" s="18"/>
      <c r="H11" s="18"/>
      <c r="I11" s="19"/>
      <c r="J11" s="19"/>
      <c r="K11" s="19"/>
      <c r="L11" s="19"/>
      <c r="M11" s="18"/>
      <c r="N11" s="18"/>
      <c r="O11" s="19"/>
      <c r="P11" s="19"/>
      <c r="Q11" s="19"/>
    </row>
    <row r="12" ht="37.5" spans="1:17">
      <c r="A12" s="14">
        <v>7</v>
      </c>
      <c r="B12" s="15" t="s">
        <v>88</v>
      </c>
      <c r="C12" s="15" t="s">
        <v>143</v>
      </c>
      <c r="D12" s="16">
        <v>11221456.2784</v>
      </c>
      <c r="E12" s="16">
        <v>1739964.0254</v>
      </c>
      <c r="F12" s="17">
        <f t="shared" si="0"/>
        <v>12961420.3038</v>
      </c>
      <c r="G12" s="18"/>
      <c r="H12" s="18"/>
      <c r="I12" s="19"/>
      <c r="J12" s="19"/>
      <c r="K12" s="19"/>
      <c r="L12" s="19"/>
      <c r="M12" s="18"/>
      <c r="N12" s="18"/>
      <c r="O12" s="19"/>
      <c r="P12" s="19"/>
      <c r="Q12" s="19"/>
    </row>
    <row r="13" ht="18.75" spans="1:17">
      <c r="A13" s="14">
        <v>8</v>
      </c>
      <c r="B13" s="15" t="s">
        <v>88</v>
      </c>
      <c r="C13" s="15" t="s">
        <v>145</v>
      </c>
      <c r="D13" s="16">
        <v>10941619.5954</v>
      </c>
      <c r="E13" s="16">
        <v>1696573.4218</v>
      </c>
      <c r="F13" s="17">
        <f t="shared" si="0"/>
        <v>12638193.0172</v>
      </c>
      <c r="G13" s="18"/>
      <c r="H13" s="18"/>
      <c r="I13" s="19"/>
      <c r="J13" s="19"/>
      <c r="K13" s="19"/>
      <c r="L13" s="19"/>
      <c r="M13" s="18"/>
      <c r="N13" s="18"/>
      <c r="O13" s="19"/>
      <c r="P13" s="19"/>
      <c r="Q13" s="19"/>
    </row>
    <row r="14" ht="18.75" spans="1:17">
      <c r="A14" s="14">
        <v>9</v>
      </c>
      <c r="B14" s="15" t="s">
        <v>88</v>
      </c>
      <c r="C14" s="15" t="s">
        <v>147</v>
      </c>
      <c r="D14" s="16">
        <v>11804449.3977</v>
      </c>
      <c r="E14" s="16">
        <v>1830361.1209</v>
      </c>
      <c r="F14" s="17">
        <f t="shared" si="0"/>
        <v>13634810.5186</v>
      </c>
      <c r="G14" s="18"/>
      <c r="H14" s="18"/>
      <c r="I14" s="19"/>
      <c r="J14" s="19"/>
      <c r="K14" s="19"/>
      <c r="L14" s="19"/>
      <c r="M14" s="18"/>
      <c r="N14" s="18"/>
      <c r="O14" s="19"/>
      <c r="P14" s="19"/>
      <c r="Q14" s="19"/>
    </row>
    <row r="15" ht="18.75" spans="1:17">
      <c r="A15" s="14">
        <v>10</v>
      </c>
      <c r="B15" s="15" t="s">
        <v>88</v>
      </c>
      <c r="C15" s="15" t="s">
        <v>149</v>
      </c>
      <c r="D15" s="16">
        <v>11979127.6087</v>
      </c>
      <c r="E15" s="16">
        <v>1857446.1797</v>
      </c>
      <c r="F15" s="17">
        <f t="shared" si="0"/>
        <v>13836573.7884</v>
      </c>
      <c r="G15" s="18"/>
      <c r="H15" s="18"/>
      <c r="I15" s="19"/>
      <c r="J15" s="19"/>
      <c r="K15" s="19"/>
      <c r="L15" s="19"/>
      <c r="M15" s="18"/>
      <c r="N15" s="18"/>
      <c r="O15" s="19"/>
      <c r="P15" s="19"/>
      <c r="Q15" s="19"/>
    </row>
    <row r="16" ht="18.75" spans="1:17">
      <c r="A16" s="14">
        <v>11</v>
      </c>
      <c r="B16" s="15" t="s">
        <v>88</v>
      </c>
      <c r="C16" s="15" t="s">
        <v>151</v>
      </c>
      <c r="D16" s="16">
        <v>13100134.2335</v>
      </c>
      <c r="E16" s="16">
        <v>2031265.972</v>
      </c>
      <c r="F16" s="17">
        <f t="shared" si="0"/>
        <v>15131400.2055</v>
      </c>
      <c r="G16" s="18"/>
      <c r="H16" s="18"/>
      <c r="I16" s="19"/>
      <c r="J16" s="19"/>
      <c r="K16" s="19"/>
      <c r="L16" s="19"/>
      <c r="M16" s="18"/>
      <c r="N16" s="18"/>
      <c r="O16" s="19"/>
      <c r="P16" s="19"/>
      <c r="Q16" s="19"/>
    </row>
    <row r="17" ht="18.75" spans="1:17">
      <c r="A17" s="14">
        <v>12</v>
      </c>
      <c r="B17" s="15" t="s">
        <v>88</v>
      </c>
      <c r="C17" s="15" t="s">
        <v>153</v>
      </c>
      <c r="D17" s="16">
        <v>12613100.4756</v>
      </c>
      <c r="E17" s="16">
        <v>1955748.0359</v>
      </c>
      <c r="F17" s="17">
        <f t="shared" si="0"/>
        <v>14568848.5115</v>
      </c>
      <c r="G17" s="18"/>
      <c r="H17" s="18"/>
      <c r="I17" s="19"/>
      <c r="J17" s="19"/>
      <c r="K17" s="19"/>
      <c r="L17" s="19"/>
      <c r="M17" s="18"/>
      <c r="N17" s="18"/>
      <c r="O17" s="19"/>
      <c r="P17" s="19"/>
      <c r="Q17" s="19"/>
    </row>
    <row r="18" ht="18.75" spans="1:17">
      <c r="A18" s="14">
        <v>13</v>
      </c>
      <c r="B18" s="15" t="s">
        <v>88</v>
      </c>
      <c r="C18" s="15" t="s">
        <v>155</v>
      </c>
      <c r="D18" s="16">
        <v>9631641.7382</v>
      </c>
      <c r="E18" s="16">
        <v>1493452.3394</v>
      </c>
      <c r="F18" s="17">
        <f t="shared" si="0"/>
        <v>11125094.0776</v>
      </c>
      <c r="G18" s="18"/>
      <c r="H18" s="18"/>
      <c r="I18" s="19"/>
      <c r="J18" s="19"/>
      <c r="K18" s="19"/>
      <c r="L18" s="19"/>
      <c r="M18" s="18"/>
      <c r="N18" s="18"/>
      <c r="O18" s="19"/>
      <c r="P18" s="19"/>
      <c r="Q18" s="19"/>
    </row>
    <row r="19" ht="18.75" spans="1:17">
      <c r="A19" s="14">
        <v>14</v>
      </c>
      <c r="B19" s="15" t="s">
        <v>88</v>
      </c>
      <c r="C19" s="15" t="s">
        <v>157</v>
      </c>
      <c r="D19" s="16">
        <v>9100585.8531</v>
      </c>
      <c r="E19" s="16">
        <v>1411108.4695</v>
      </c>
      <c r="F19" s="17">
        <f t="shared" si="0"/>
        <v>10511694.3226</v>
      </c>
      <c r="G19" s="18"/>
      <c r="H19" s="18"/>
      <c r="I19" s="19"/>
      <c r="J19" s="19"/>
      <c r="K19" s="19"/>
      <c r="L19" s="19"/>
      <c r="M19" s="18"/>
      <c r="N19" s="18"/>
      <c r="O19" s="19"/>
      <c r="P19" s="19"/>
      <c r="Q19" s="19"/>
    </row>
    <row r="20" ht="18.75" spans="1:17">
      <c r="A20" s="14">
        <v>15</v>
      </c>
      <c r="B20" s="15" t="s">
        <v>88</v>
      </c>
      <c r="C20" s="15" t="s">
        <v>159</v>
      </c>
      <c r="D20" s="16">
        <v>9476375.5654</v>
      </c>
      <c r="E20" s="16">
        <v>1469377.2507</v>
      </c>
      <c r="F20" s="17">
        <f t="shared" si="0"/>
        <v>10945752.8161</v>
      </c>
      <c r="G20" s="18"/>
      <c r="H20" s="18"/>
      <c r="I20" s="19"/>
      <c r="J20" s="19"/>
      <c r="K20" s="19"/>
      <c r="L20" s="19"/>
      <c r="M20" s="18"/>
      <c r="N20" s="18"/>
      <c r="O20" s="19"/>
      <c r="P20" s="19"/>
      <c r="Q20" s="19"/>
    </row>
    <row r="21" ht="37.5" spans="1:17">
      <c r="A21" s="14">
        <v>16</v>
      </c>
      <c r="B21" s="15" t="s">
        <v>88</v>
      </c>
      <c r="C21" s="15" t="s">
        <v>161</v>
      </c>
      <c r="D21" s="16">
        <v>14126220.0594</v>
      </c>
      <c r="E21" s="16">
        <v>2190367.6411</v>
      </c>
      <c r="F21" s="17">
        <f t="shared" si="0"/>
        <v>16316587.7005</v>
      </c>
      <c r="G21" s="18"/>
      <c r="H21" s="18"/>
      <c r="I21" s="19"/>
      <c r="J21" s="19"/>
      <c r="K21" s="19"/>
      <c r="L21" s="19"/>
      <c r="M21" s="18"/>
      <c r="N21" s="18"/>
      <c r="O21" s="19"/>
      <c r="P21" s="19"/>
      <c r="Q21" s="19"/>
    </row>
    <row r="22" ht="37.5" spans="1:17">
      <c r="A22" s="14">
        <v>17</v>
      </c>
      <c r="B22" s="15" t="s">
        <v>88</v>
      </c>
      <c r="C22" s="15" t="s">
        <v>163</v>
      </c>
      <c r="D22" s="16">
        <v>12205882.8072</v>
      </c>
      <c r="E22" s="16">
        <v>1892606.1338</v>
      </c>
      <c r="F22" s="17">
        <f t="shared" si="0"/>
        <v>14098488.941</v>
      </c>
      <c r="G22" s="18"/>
      <c r="H22" s="18"/>
      <c r="I22" s="19"/>
      <c r="J22" s="19"/>
      <c r="K22" s="19"/>
      <c r="L22" s="19"/>
      <c r="M22" s="18"/>
      <c r="N22" s="18"/>
      <c r="O22" s="19"/>
      <c r="P22" s="19"/>
      <c r="Q22" s="19"/>
    </row>
    <row r="23" ht="18.75" spans="1:17">
      <c r="A23" s="14">
        <v>18</v>
      </c>
      <c r="B23" s="15" t="s">
        <v>89</v>
      </c>
      <c r="C23" s="15" t="s">
        <v>168</v>
      </c>
      <c r="D23" s="16">
        <v>12517531.1035</v>
      </c>
      <c r="E23" s="16">
        <v>1940929.347</v>
      </c>
      <c r="F23" s="17">
        <f t="shared" si="0"/>
        <v>14458460.4505</v>
      </c>
      <c r="G23" s="18"/>
      <c r="H23" s="18"/>
      <c r="I23" s="19"/>
      <c r="J23" s="19"/>
      <c r="K23" s="19"/>
      <c r="L23" s="19"/>
      <c r="M23" s="18"/>
      <c r="N23" s="18"/>
      <c r="O23" s="19"/>
      <c r="P23" s="19"/>
      <c r="Q23" s="19"/>
    </row>
    <row r="24" ht="18.75" spans="1:17">
      <c r="A24" s="14">
        <v>19</v>
      </c>
      <c r="B24" s="15" t="s">
        <v>89</v>
      </c>
      <c r="C24" s="15" t="s">
        <v>170</v>
      </c>
      <c r="D24" s="16">
        <v>15292009.1871</v>
      </c>
      <c r="E24" s="16">
        <v>2371131.2687</v>
      </c>
      <c r="F24" s="17">
        <f t="shared" si="0"/>
        <v>17663140.4558</v>
      </c>
      <c r="G24" s="18"/>
      <c r="H24" s="18"/>
      <c r="I24" s="19"/>
      <c r="J24" s="19"/>
      <c r="K24" s="19"/>
      <c r="L24" s="19"/>
      <c r="M24" s="18"/>
      <c r="N24" s="18"/>
      <c r="O24" s="19"/>
      <c r="P24" s="19"/>
      <c r="Q24" s="19"/>
    </row>
    <row r="25" ht="18.75" spans="1:17">
      <c r="A25" s="14">
        <v>20</v>
      </c>
      <c r="B25" s="15" t="s">
        <v>89</v>
      </c>
      <c r="C25" s="15" t="s">
        <v>172</v>
      </c>
      <c r="D25" s="16">
        <v>13021150.2037</v>
      </c>
      <c r="E25" s="16">
        <v>2019018.9546</v>
      </c>
      <c r="F25" s="17">
        <f t="shared" si="0"/>
        <v>15040169.1583</v>
      </c>
      <c r="G25" s="18"/>
      <c r="H25" s="18"/>
      <c r="I25" s="19"/>
      <c r="J25" s="19"/>
      <c r="K25" s="19"/>
      <c r="L25" s="19"/>
      <c r="M25" s="18"/>
      <c r="N25" s="18"/>
      <c r="O25" s="19"/>
      <c r="P25" s="19"/>
      <c r="Q25" s="19"/>
    </row>
    <row r="26" ht="18.75" spans="1:17">
      <c r="A26" s="14">
        <v>21</v>
      </c>
      <c r="B26" s="15" t="s">
        <v>89</v>
      </c>
      <c r="C26" s="15" t="s">
        <v>174</v>
      </c>
      <c r="D26" s="16">
        <v>11400204.6196</v>
      </c>
      <c r="E26" s="16">
        <v>1767680.1859</v>
      </c>
      <c r="F26" s="17">
        <f t="shared" si="0"/>
        <v>13167884.8055</v>
      </c>
      <c r="G26" s="18"/>
      <c r="H26" s="18"/>
      <c r="I26" s="19"/>
      <c r="J26" s="19"/>
      <c r="K26" s="19"/>
      <c r="L26" s="19"/>
      <c r="M26" s="18"/>
      <c r="N26" s="18"/>
      <c r="O26" s="19"/>
      <c r="P26" s="19"/>
      <c r="Q26" s="19"/>
    </row>
    <row r="27" ht="18.75" spans="1:17">
      <c r="A27" s="14">
        <v>22</v>
      </c>
      <c r="B27" s="15" t="s">
        <v>89</v>
      </c>
      <c r="C27" s="15" t="s">
        <v>176</v>
      </c>
      <c r="D27" s="16">
        <v>11280910.9944</v>
      </c>
      <c r="E27" s="16">
        <v>1749182.8883</v>
      </c>
      <c r="F27" s="17">
        <f t="shared" si="0"/>
        <v>13030093.8827</v>
      </c>
      <c r="G27" s="18"/>
      <c r="H27" s="18"/>
      <c r="I27" s="19"/>
      <c r="J27" s="19"/>
      <c r="K27" s="19"/>
      <c r="L27" s="19"/>
      <c r="M27" s="18"/>
      <c r="N27" s="18"/>
      <c r="O27" s="19"/>
      <c r="P27" s="19"/>
      <c r="Q27" s="19"/>
    </row>
    <row r="28" ht="18.75" spans="1:17">
      <c r="A28" s="14">
        <v>23</v>
      </c>
      <c r="B28" s="15" t="s">
        <v>89</v>
      </c>
      <c r="C28" s="15" t="s">
        <v>178</v>
      </c>
      <c r="D28" s="16">
        <v>12060919.4421</v>
      </c>
      <c r="E28" s="16">
        <v>1870128.5664</v>
      </c>
      <c r="F28" s="17">
        <f t="shared" si="0"/>
        <v>13931048.0085</v>
      </c>
      <c r="G28" s="18"/>
      <c r="H28" s="18"/>
      <c r="I28" s="19"/>
      <c r="J28" s="19"/>
      <c r="K28" s="19"/>
      <c r="L28" s="19"/>
      <c r="M28" s="18"/>
      <c r="N28" s="18"/>
      <c r="O28" s="19"/>
      <c r="P28" s="19"/>
      <c r="Q28" s="19"/>
    </row>
    <row r="29" ht="18.75" spans="1:17">
      <c r="A29" s="14">
        <v>24</v>
      </c>
      <c r="B29" s="15" t="s">
        <v>89</v>
      </c>
      <c r="C29" s="15" t="s">
        <v>180</v>
      </c>
      <c r="D29" s="16">
        <v>13137233.0051</v>
      </c>
      <c r="E29" s="16">
        <v>2037018.3918</v>
      </c>
      <c r="F29" s="17">
        <f t="shared" si="0"/>
        <v>15174251.3969</v>
      </c>
      <c r="G29" s="18"/>
      <c r="H29" s="18"/>
      <c r="I29" s="19"/>
      <c r="J29" s="19"/>
      <c r="K29" s="19"/>
      <c r="L29" s="19"/>
      <c r="M29" s="18"/>
      <c r="N29" s="18"/>
      <c r="O29" s="19"/>
      <c r="P29" s="19"/>
      <c r="Q29" s="19"/>
    </row>
    <row r="30" ht="18.75" spans="1:17">
      <c r="A30" s="14">
        <v>25</v>
      </c>
      <c r="B30" s="15" t="s">
        <v>89</v>
      </c>
      <c r="C30" s="15" t="s">
        <v>182</v>
      </c>
      <c r="D30" s="16">
        <v>13742641.6223</v>
      </c>
      <c r="E30" s="16">
        <v>2130891.1645</v>
      </c>
      <c r="F30" s="17">
        <f t="shared" si="0"/>
        <v>15873532.7868</v>
      </c>
      <c r="G30" s="18"/>
      <c r="H30" s="18"/>
      <c r="I30" s="19"/>
      <c r="J30" s="19"/>
      <c r="K30" s="19"/>
      <c r="L30" s="19"/>
      <c r="M30" s="18"/>
      <c r="N30" s="18"/>
      <c r="O30" s="19"/>
      <c r="P30" s="19"/>
      <c r="Q30" s="19"/>
    </row>
    <row r="31" ht="18.75" spans="1:17">
      <c r="A31" s="14">
        <v>26</v>
      </c>
      <c r="B31" s="15" t="s">
        <v>89</v>
      </c>
      <c r="C31" s="15" t="s">
        <v>184</v>
      </c>
      <c r="D31" s="16">
        <v>11948543.1295</v>
      </c>
      <c r="E31" s="16">
        <v>1852703.8457</v>
      </c>
      <c r="F31" s="17">
        <f t="shared" si="0"/>
        <v>13801246.9752</v>
      </c>
      <c r="G31" s="18"/>
      <c r="H31" s="18"/>
      <c r="I31" s="19"/>
      <c r="J31" s="19"/>
      <c r="K31" s="19"/>
      <c r="L31" s="19"/>
      <c r="M31" s="18"/>
      <c r="N31" s="18"/>
      <c r="O31" s="19"/>
      <c r="P31" s="19"/>
      <c r="Q31" s="19"/>
    </row>
    <row r="32" ht="18.75" spans="1:17">
      <c r="A32" s="14">
        <v>27</v>
      </c>
      <c r="B32" s="15" t="s">
        <v>89</v>
      </c>
      <c r="C32" s="15" t="s">
        <v>186</v>
      </c>
      <c r="D32" s="16">
        <v>10698349.0301</v>
      </c>
      <c r="E32" s="16">
        <v>1658852.6464</v>
      </c>
      <c r="F32" s="17">
        <f t="shared" si="0"/>
        <v>12357201.6765</v>
      </c>
      <c r="G32" s="18"/>
      <c r="H32" s="18"/>
      <c r="I32" s="19"/>
      <c r="J32" s="19"/>
      <c r="K32" s="19"/>
      <c r="L32" s="19"/>
      <c r="M32" s="18"/>
      <c r="N32" s="18"/>
      <c r="O32" s="19"/>
      <c r="P32" s="19"/>
      <c r="Q32" s="19"/>
    </row>
    <row r="33" ht="18.75" spans="1:17">
      <c r="A33" s="14">
        <v>28</v>
      </c>
      <c r="B33" s="15" t="s">
        <v>89</v>
      </c>
      <c r="C33" s="15" t="s">
        <v>188</v>
      </c>
      <c r="D33" s="16">
        <v>10871914.7588</v>
      </c>
      <c r="E33" s="16">
        <v>1685765.2072</v>
      </c>
      <c r="F33" s="17">
        <f t="shared" si="0"/>
        <v>12557679.966</v>
      </c>
      <c r="G33" s="18"/>
      <c r="H33" s="18"/>
      <c r="I33" s="19"/>
      <c r="J33" s="19"/>
      <c r="K33" s="19"/>
      <c r="L33" s="19"/>
      <c r="M33" s="18"/>
      <c r="N33" s="18"/>
      <c r="O33" s="19"/>
      <c r="P33" s="19"/>
      <c r="Q33" s="19"/>
    </row>
    <row r="34" ht="18.75" spans="1:17">
      <c r="A34" s="14">
        <v>29</v>
      </c>
      <c r="B34" s="15" t="s">
        <v>89</v>
      </c>
      <c r="C34" s="15" t="s">
        <v>190</v>
      </c>
      <c r="D34" s="16">
        <v>10644304.445</v>
      </c>
      <c r="E34" s="16">
        <v>1650472.6615</v>
      </c>
      <c r="F34" s="17">
        <f t="shared" si="0"/>
        <v>12294777.1065</v>
      </c>
      <c r="G34" s="18"/>
      <c r="H34" s="18"/>
      <c r="I34" s="19"/>
      <c r="J34" s="19"/>
      <c r="K34" s="19"/>
      <c r="L34" s="19"/>
      <c r="M34" s="18"/>
      <c r="N34" s="18"/>
      <c r="O34" s="19"/>
      <c r="P34" s="19"/>
      <c r="Q34" s="19"/>
    </row>
    <row r="35" ht="18.75" spans="1:17">
      <c r="A35" s="14">
        <v>30</v>
      </c>
      <c r="B35" s="15" t="s">
        <v>89</v>
      </c>
      <c r="C35" s="15" t="s">
        <v>192</v>
      </c>
      <c r="D35" s="16">
        <v>12342299.8436</v>
      </c>
      <c r="E35" s="16">
        <v>1913758.5342</v>
      </c>
      <c r="F35" s="17">
        <f t="shared" si="0"/>
        <v>14256058.3778</v>
      </c>
      <c r="G35" s="18"/>
      <c r="H35" s="18"/>
      <c r="I35" s="19"/>
      <c r="J35" s="19"/>
      <c r="K35" s="19"/>
      <c r="L35" s="19"/>
      <c r="M35" s="18"/>
      <c r="N35" s="18"/>
      <c r="O35" s="19"/>
      <c r="P35" s="19"/>
      <c r="Q35" s="19"/>
    </row>
    <row r="36" ht="18.75" spans="1:17">
      <c r="A36" s="14">
        <v>31</v>
      </c>
      <c r="B36" s="15" t="s">
        <v>89</v>
      </c>
      <c r="C36" s="15" t="s">
        <v>194</v>
      </c>
      <c r="D36" s="16">
        <v>11965128.7471</v>
      </c>
      <c r="E36" s="16">
        <v>1855275.5599</v>
      </c>
      <c r="F36" s="17">
        <f t="shared" si="0"/>
        <v>13820404.307</v>
      </c>
      <c r="G36" s="18"/>
      <c r="H36" s="18"/>
      <c r="I36" s="19"/>
      <c r="J36" s="19"/>
      <c r="K36" s="19"/>
      <c r="L36" s="19"/>
      <c r="M36" s="18"/>
      <c r="N36" s="18"/>
      <c r="O36" s="19"/>
      <c r="P36" s="19"/>
      <c r="Q36" s="19"/>
    </row>
    <row r="37" ht="18.75" spans="1:17">
      <c r="A37" s="14">
        <v>32</v>
      </c>
      <c r="B37" s="15" t="s">
        <v>89</v>
      </c>
      <c r="C37" s="15" t="s">
        <v>196</v>
      </c>
      <c r="D37" s="16">
        <v>11417611.7439</v>
      </c>
      <c r="E37" s="16">
        <v>1770379.2803</v>
      </c>
      <c r="F37" s="17">
        <f t="shared" si="0"/>
        <v>13187991.0242</v>
      </c>
      <c r="G37" s="18"/>
      <c r="H37" s="18"/>
      <c r="I37" s="19"/>
      <c r="J37" s="19"/>
      <c r="K37" s="19"/>
      <c r="L37" s="19"/>
      <c r="M37" s="18"/>
      <c r="N37" s="18"/>
      <c r="O37" s="19"/>
      <c r="P37" s="19"/>
      <c r="Q37" s="19"/>
    </row>
    <row r="38" ht="18.75" spans="1:17">
      <c r="A38" s="14">
        <v>33</v>
      </c>
      <c r="B38" s="15" t="s">
        <v>89</v>
      </c>
      <c r="C38" s="15" t="s">
        <v>198</v>
      </c>
      <c r="D38" s="16">
        <v>10636932.2788</v>
      </c>
      <c r="E38" s="16">
        <v>1649329.5564</v>
      </c>
      <c r="F38" s="17">
        <f t="shared" si="0"/>
        <v>12286261.8352</v>
      </c>
      <c r="G38" s="18"/>
      <c r="H38" s="18"/>
      <c r="I38" s="19"/>
      <c r="J38" s="19"/>
      <c r="K38" s="19"/>
      <c r="L38" s="19"/>
      <c r="M38" s="18"/>
      <c r="N38" s="18"/>
      <c r="O38" s="19"/>
      <c r="P38" s="19"/>
      <c r="Q38" s="19"/>
    </row>
    <row r="39" ht="18.75" spans="1:17">
      <c r="A39" s="14">
        <v>34</v>
      </c>
      <c r="B39" s="15" t="s">
        <v>89</v>
      </c>
      <c r="C39" s="15" t="s">
        <v>200</v>
      </c>
      <c r="D39" s="16">
        <v>10108883.205</v>
      </c>
      <c r="E39" s="16">
        <v>1567451.9133</v>
      </c>
      <c r="F39" s="17">
        <f t="shared" si="0"/>
        <v>11676335.1183</v>
      </c>
      <c r="G39" s="18"/>
      <c r="H39" s="18"/>
      <c r="I39" s="19"/>
      <c r="J39" s="19"/>
      <c r="K39" s="19"/>
      <c r="L39" s="19"/>
      <c r="M39" s="18"/>
      <c r="N39" s="18"/>
      <c r="O39" s="19"/>
      <c r="P39" s="19"/>
      <c r="Q39" s="19"/>
    </row>
    <row r="40" ht="18.75" spans="1:17">
      <c r="A40" s="14">
        <v>35</v>
      </c>
      <c r="B40" s="15" t="s">
        <v>89</v>
      </c>
      <c r="C40" s="15" t="s">
        <v>202</v>
      </c>
      <c r="D40" s="16">
        <v>11451700.478</v>
      </c>
      <c r="E40" s="16">
        <v>1775664.9732</v>
      </c>
      <c r="F40" s="17">
        <f t="shared" si="0"/>
        <v>13227365.4512</v>
      </c>
      <c r="G40" s="18"/>
      <c r="H40" s="18"/>
      <c r="I40" s="19"/>
      <c r="J40" s="19"/>
      <c r="K40" s="19"/>
      <c r="L40" s="19"/>
      <c r="M40" s="18"/>
      <c r="N40" s="18"/>
      <c r="O40" s="19"/>
      <c r="P40" s="19"/>
      <c r="Q40" s="19"/>
    </row>
    <row r="41" ht="18.75" spans="1:17">
      <c r="A41" s="14">
        <v>36</v>
      </c>
      <c r="B41" s="15" t="s">
        <v>89</v>
      </c>
      <c r="C41" s="15" t="s">
        <v>204</v>
      </c>
      <c r="D41" s="16">
        <v>14414460.4635</v>
      </c>
      <c r="E41" s="16">
        <v>2235061.2995</v>
      </c>
      <c r="F41" s="17">
        <f t="shared" si="0"/>
        <v>16649521.763</v>
      </c>
      <c r="G41" s="18"/>
      <c r="H41" s="18"/>
      <c r="I41" s="19"/>
      <c r="J41" s="19"/>
      <c r="K41" s="19"/>
      <c r="L41" s="19"/>
      <c r="M41" s="18"/>
      <c r="N41" s="18"/>
      <c r="O41" s="19"/>
      <c r="P41" s="19"/>
      <c r="Q41" s="19"/>
    </row>
    <row r="42" ht="18.75" spans="1:17">
      <c r="A42" s="14">
        <v>37</v>
      </c>
      <c r="B42" s="15" t="s">
        <v>89</v>
      </c>
      <c r="C42" s="15" t="s">
        <v>206</v>
      </c>
      <c r="D42" s="16">
        <v>12350033.8688</v>
      </c>
      <c r="E42" s="16">
        <v>1914957.748</v>
      </c>
      <c r="F42" s="17">
        <f t="shared" si="0"/>
        <v>14264991.6168</v>
      </c>
      <c r="G42" s="18"/>
      <c r="H42" s="18"/>
      <c r="I42" s="19"/>
      <c r="J42" s="19"/>
      <c r="K42" s="19"/>
      <c r="L42" s="19"/>
      <c r="M42" s="18"/>
      <c r="N42" s="18"/>
      <c r="O42" s="19"/>
      <c r="P42" s="19"/>
      <c r="Q42" s="19"/>
    </row>
    <row r="43" ht="18.75" spans="1:17">
      <c r="A43" s="14">
        <v>38</v>
      </c>
      <c r="B43" s="15" t="s">
        <v>89</v>
      </c>
      <c r="C43" s="15" t="s">
        <v>208</v>
      </c>
      <c r="D43" s="16">
        <v>11968114.5778</v>
      </c>
      <c r="E43" s="16">
        <v>1855738.5335</v>
      </c>
      <c r="F43" s="17">
        <f t="shared" si="0"/>
        <v>13823853.1113</v>
      </c>
      <c r="G43" s="18"/>
      <c r="H43" s="18"/>
      <c r="I43" s="19"/>
      <c r="J43" s="19"/>
      <c r="K43" s="19"/>
      <c r="L43" s="19"/>
      <c r="M43" s="18"/>
      <c r="N43" s="18"/>
      <c r="O43" s="19"/>
      <c r="P43" s="19"/>
      <c r="Q43" s="19"/>
    </row>
    <row r="44" ht="37.5" spans="1:17">
      <c r="A44" s="14">
        <v>39</v>
      </c>
      <c r="B44" s="15" t="s">
        <v>90</v>
      </c>
      <c r="C44" s="15" t="s">
        <v>213</v>
      </c>
      <c r="D44" s="16">
        <v>11492219.2865</v>
      </c>
      <c r="E44" s="16">
        <v>1781947.6933</v>
      </c>
      <c r="F44" s="17">
        <f t="shared" si="0"/>
        <v>13274166.9798</v>
      </c>
      <c r="G44" s="18"/>
      <c r="H44" s="18"/>
      <c r="I44" s="19"/>
      <c r="J44" s="19"/>
      <c r="K44" s="19"/>
      <c r="L44" s="19"/>
      <c r="M44" s="18"/>
      <c r="N44" s="18"/>
      <c r="O44" s="19"/>
      <c r="P44" s="19"/>
      <c r="Q44" s="19"/>
    </row>
    <row r="45" ht="37.5" spans="1:17">
      <c r="A45" s="14">
        <v>40</v>
      </c>
      <c r="B45" s="15" t="s">
        <v>90</v>
      </c>
      <c r="C45" s="15" t="s">
        <v>214</v>
      </c>
      <c r="D45" s="16">
        <v>8973107.3455</v>
      </c>
      <c r="E45" s="16">
        <v>1391342.0496</v>
      </c>
      <c r="F45" s="17">
        <f t="shared" si="0"/>
        <v>10364449.3951</v>
      </c>
      <c r="G45" s="18"/>
      <c r="H45" s="18"/>
      <c r="I45" s="19"/>
      <c r="J45" s="19"/>
      <c r="K45" s="19"/>
      <c r="L45" s="19"/>
      <c r="M45" s="18"/>
      <c r="N45" s="18"/>
      <c r="O45" s="19"/>
      <c r="P45" s="19"/>
      <c r="Q45" s="19"/>
    </row>
    <row r="46" ht="37.5" spans="1:17">
      <c r="A46" s="14">
        <v>41</v>
      </c>
      <c r="B46" s="15" t="s">
        <v>90</v>
      </c>
      <c r="C46" s="15" t="s">
        <v>216</v>
      </c>
      <c r="D46" s="16">
        <v>11847043.745</v>
      </c>
      <c r="E46" s="16">
        <v>1836965.6676</v>
      </c>
      <c r="F46" s="17">
        <f t="shared" si="0"/>
        <v>13684009.4126</v>
      </c>
      <c r="G46" s="18"/>
      <c r="H46" s="18"/>
      <c r="I46" s="19"/>
      <c r="J46" s="19"/>
      <c r="K46" s="19"/>
      <c r="L46" s="19"/>
      <c r="M46" s="18"/>
      <c r="N46" s="18"/>
      <c r="O46" s="19"/>
      <c r="P46" s="19"/>
      <c r="Q46" s="19"/>
    </row>
    <row r="47" ht="37.5" spans="1:17">
      <c r="A47" s="14">
        <v>42</v>
      </c>
      <c r="B47" s="15" t="s">
        <v>90</v>
      </c>
      <c r="C47" s="15" t="s">
        <v>218</v>
      </c>
      <c r="D47" s="16">
        <v>9082104.6556</v>
      </c>
      <c r="E47" s="16">
        <v>1408242.8326</v>
      </c>
      <c r="F47" s="17">
        <f t="shared" si="0"/>
        <v>10490347.4882</v>
      </c>
      <c r="G47" s="18"/>
      <c r="H47" s="18"/>
      <c r="I47" s="19"/>
      <c r="J47" s="19"/>
      <c r="K47" s="19"/>
      <c r="L47" s="19"/>
      <c r="M47" s="18"/>
      <c r="N47" s="18"/>
      <c r="O47" s="19"/>
      <c r="P47" s="19"/>
      <c r="Q47" s="19"/>
    </row>
    <row r="48" ht="37.5" spans="1:17">
      <c r="A48" s="14">
        <v>43</v>
      </c>
      <c r="B48" s="15" t="s">
        <v>90</v>
      </c>
      <c r="C48" s="15" t="s">
        <v>220</v>
      </c>
      <c r="D48" s="16">
        <v>12204857.3277</v>
      </c>
      <c r="E48" s="16">
        <v>1892447.1262</v>
      </c>
      <c r="F48" s="17">
        <f t="shared" si="0"/>
        <v>14097304.4539</v>
      </c>
      <c r="G48" s="18"/>
      <c r="H48" s="18"/>
      <c r="I48" s="19"/>
      <c r="J48" s="19"/>
      <c r="K48" s="19"/>
      <c r="L48" s="19"/>
      <c r="M48" s="18"/>
      <c r="N48" s="18"/>
      <c r="O48" s="19"/>
      <c r="P48" s="19"/>
      <c r="Q48" s="19"/>
    </row>
    <row r="49" ht="37.5" spans="1:17">
      <c r="A49" s="14">
        <v>44</v>
      </c>
      <c r="B49" s="15" t="s">
        <v>90</v>
      </c>
      <c r="C49" s="15" t="s">
        <v>222</v>
      </c>
      <c r="D49" s="16">
        <v>10637908.0013</v>
      </c>
      <c r="E49" s="16">
        <v>1649480.8489</v>
      </c>
      <c r="F49" s="17">
        <f t="shared" si="0"/>
        <v>12287388.8502</v>
      </c>
      <c r="G49" s="18"/>
      <c r="H49" s="18"/>
      <c r="I49" s="19"/>
      <c r="J49" s="19"/>
      <c r="K49" s="19"/>
      <c r="L49" s="19"/>
      <c r="M49" s="18"/>
      <c r="N49" s="18"/>
      <c r="O49" s="19"/>
      <c r="P49" s="19"/>
      <c r="Q49" s="19"/>
    </row>
    <row r="50" ht="37.5" spans="1:17">
      <c r="A50" s="14">
        <v>45</v>
      </c>
      <c r="B50" s="15" t="s">
        <v>90</v>
      </c>
      <c r="C50" s="15" t="s">
        <v>224</v>
      </c>
      <c r="D50" s="16">
        <v>12065240.4243</v>
      </c>
      <c r="E50" s="16">
        <v>1870798.5644</v>
      </c>
      <c r="F50" s="17">
        <f t="shared" si="0"/>
        <v>13936038.9887</v>
      </c>
      <c r="G50" s="18"/>
      <c r="H50" s="18"/>
      <c r="I50" s="19"/>
      <c r="J50" s="19"/>
      <c r="K50" s="19"/>
      <c r="L50" s="19"/>
      <c r="M50" s="18"/>
      <c r="N50" s="18"/>
      <c r="O50" s="19"/>
      <c r="P50" s="19"/>
      <c r="Q50" s="19"/>
    </row>
    <row r="51" ht="37.5" spans="1:17">
      <c r="A51" s="14">
        <v>46</v>
      </c>
      <c r="B51" s="15" t="s">
        <v>90</v>
      </c>
      <c r="C51" s="15" t="s">
        <v>226</v>
      </c>
      <c r="D51" s="16">
        <v>9667262.5281</v>
      </c>
      <c r="E51" s="16">
        <v>1498975.588</v>
      </c>
      <c r="F51" s="17">
        <f t="shared" si="0"/>
        <v>11166238.1161</v>
      </c>
      <c r="G51" s="18"/>
      <c r="H51" s="18"/>
      <c r="I51" s="19"/>
      <c r="J51" s="19"/>
      <c r="K51" s="19"/>
      <c r="L51" s="19"/>
      <c r="M51" s="18"/>
      <c r="N51" s="18"/>
      <c r="O51" s="19"/>
      <c r="P51" s="19"/>
      <c r="Q51" s="19"/>
    </row>
    <row r="52" ht="37.5" spans="1:17">
      <c r="A52" s="14">
        <v>47</v>
      </c>
      <c r="B52" s="15" t="s">
        <v>90</v>
      </c>
      <c r="C52" s="15" t="s">
        <v>228</v>
      </c>
      <c r="D52" s="16">
        <v>11219192.6583</v>
      </c>
      <c r="E52" s="16">
        <v>1739613.0355</v>
      </c>
      <c r="F52" s="17">
        <f t="shared" si="0"/>
        <v>12958805.6938</v>
      </c>
      <c r="G52" s="18"/>
      <c r="H52" s="18"/>
      <c r="I52" s="19"/>
      <c r="J52" s="19"/>
      <c r="K52" s="19"/>
      <c r="L52" s="19"/>
      <c r="M52" s="18"/>
      <c r="N52" s="18"/>
      <c r="O52" s="19"/>
      <c r="P52" s="19"/>
      <c r="Q52" s="19"/>
    </row>
    <row r="53" ht="37.5" spans="1:17">
      <c r="A53" s="14">
        <v>48</v>
      </c>
      <c r="B53" s="15" t="s">
        <v>90</v>
      </c>
      <c r="C53" s="15" t="s">
        <v>230</v>
      </c>
      <c r="D53" s="16">
        <v>12205962.2212</v>
      </c>
      <c r="E53" s="16">
        <v>1892618.4475</v>
      </c>
      <c r="F53" s="17">
        <f t="shared" si="0"/>
        <v>14098580.6687</v>
      </c>
      <c r="G53" s="18"/>
      <c r="H53" s="18"/>
      <c r="I53" s="19"/>
      <c r="J53" s="19"/>
      <c r="K53" s="19"/>
      <c r="L53" s="19"/>
      <c r="M53" s="18"/>
      <c r="N53" s="18"/>
      <c r="O53" s="19"/>
      <c r="P53" s="19"/>
      <c r="Q53" s="19"/>
    </row>
    <row r="54" ht="37.5" spans="1:17">
      <c r="A54" s="14">
        <v>49</v>
      </c>
      <c r="B54" s="15" t="s">
        <v>90</v>
      </c>
      <c r="C54" s="15" t="s">
        <v>232</v>
      </c>
      <c r="D54" s="16">
        <v>9394046.5168</v>
      </c>
      <c r="E54" s="16">
        <v>1456611.5651</v>
      </c>
      <c r="F54" s="17">
        <f t="shared" si="0"/>
        <v>10850658.0819</v>
      </c>
      <c r="G54" s="18"/>
      <c r="H54" s="18"/>
      <c r="I54" s="19"/>
      <c r="J54" s="19"/>
      <c r="K54" s="19"/>
      <c r="L54" s="19"/>
      <c r="M54" s="18"/>
      <c r="N54" s="18"/>
      <c r="O54" s="19"/>
      <c r="P54" s="19"/>
      <c r="Q54" s="19"/>
    </row>
    <row r="55" ht="37.5" spans="1:17">
      <c r="A55" s="14">
        <v>50</v>
      </c>
      <c r="B55" s="15" t="s">
        <v>90</v>
      </c>
      <c r="C55" s="15" t="s">
        <v>234</v>
      </c>
      <c r="D55" s="16">
        <v>11111468.9799</v>
      </c>
      <c r="E55" s="16">
        <v>1722909.7378</v>
      </c>
      <c r="F55" s="17">
        <f t="shared" si="0"/>
        <v>12834378.7177</v>
      </c>
      <c r="G55" s="18"/>
      <c r="H55" s="18"/>
      <c r="I55" s="19"/>
      <c r="J55" s="19"/>
      <c r="K55" s="19"/>
      <c r="L55" s="19"/>
      <c r="M55" s="18"/>
      <c r="N55" s="18"/>
      <c r="O55" s="19"/>
      <c r="P55" s="19"/>
      <c r="Q55" s="19"/>
    </row>
    <row r="56" ht="37.5" spans="1:17">
      <c r="A56" s="14">
        <v>51</v>
      </c>
      <c r="B56" s="15" t="s">
        <v>90</v>
      </c>
      <c r="C56" s="15" t="s">
        <v>236</v>
      </c>
      <c r="D56" s="16">
        <v>11114601.7821</v>
      </c>
      <c r="E56" s="16">
        <v>1723395.5004</v>
      </c>
      <c r="F56" s="17">
        <f t="shared" si="0"/>
        <v>12837997.2825</v>
      </c>
      <c r="G56" s="18"/>
      <c r="H56" s="18"/>
      <c r="I56" s="19"/>
      <c r="J56" s="19"/>
      <c r="K56" s="19"/>
      <c r="L56" s="19"/>
      <c r="M56" s="18"/>
      <c r="N56" s="18"/>
      <c r="O56" s="19"/>
      <c r="P56" s="19"/>
      <c r="Q56" s="19"/>
    </row>
    <row r="57" ht="37.5" spans="1:17">
      <c r="A57" s="14">
        <v>52</v>
      </c>
      <c r="B57" s="15" t="s">
        <v>90</v>
      </c>
      <c r="C57" s="15" t="s">
        <v>238</v>
      </c>
      <c r="D57" s="16">
        <v>11463058.3214</v>
      </c>
      <c r="E57" s="16">
        <v>1777426.085</v>
      </c>
      <c r="F57" s="17">
        <f t="shared" si="0"/>
        <v>13240484.4064</v>
      </c>
      <c r="G57" s="18"/>
      <c r="H57" s="18"/>
      <c r="I57" s="19"/>
      <c r="J57" s="19"/>
      <c r="K57" s="19"/>
      <c r="L57" s="19"/>
      <c r="M57" s="18"/>
      <c r="N57" s="18"/>
      <c r="O57" s="19"/>
      <c r="P57" s="19"/>
      <c r="Q57" s="19"/>
    </row>
    <row r="58" ht="37.5" spans="1:17">
      <c r="A58" s="14">
        <v>53</v>
      </c>
      <c r="B58" s="15" t="s">
        <v>90</v>
      </c>
      <c r="C58" s="15" t="s">
        <v>240</v>
      </c>
      <c r="D58" s="16">
        <v>10472627.1435</v>
      </c>
      <c r="E58" s="16">
        <v>1623852.9144</v>
      </c>
      <c r="F58" s="17">
        <f t="shared" si="0"/>
        <v>12096480.0579</v>
      </c>
      <c r="G58" s="18"/>
      <c r="H58" s="18"/>
      <c r="I58" s="19"/>
      <c r="J58" s="19"/>
      <c r="K58" s="19"/>
      <c r="L58" s="19"/>
      <c r="M58" s="18"/>
      <c r="N58" s="18"/>
      <c r="O58" s="19"/>
      <c r="P58" s="19"/>
      <c r="Q58" s="19"/>
    </row>
    <row r="59" ht="37.5" spans="1:17">
      <c r="A59" s="14">
        <v>54</v>
      </c>
      <c r="B59" s="15" t="s">
        <v>90</v>
      </c>
      <c r="C59" s="15" t="s">
        <v>242</v>
      </c>
      <c r="D59" s="16">
        <v>10693079.8804</v>
      </c>
      <c r="E59" s="16">
        <v>1658035.6285</v>
      </c>
      <c r="F59" s="17">
        <f t="shared" si="0"/>
        <v>12351115.5089</v>
      </c>
      <c r="G59" s="18"/>
      <c r="H59" s="18"/>
      <c r="I59" s="19"/>
      <c r="J59" s="19"/>
      <c r="K59" s="19"/>
      <c r="L59" s="19"/>
      <c r="M59" s="18"/>
      <c r="N59" s="18"/>
      <c r="O59" s="19"/>
      <c r="P59" s="19"/>
      <c r="Q59" s="19"/>
    </row>
    <row r="60" ht="37.5" spans="1:17">
      <c r="A60" s="14">
        <v>55</v>
      </c>
      <c r="B60" s="15" t="s">
        <v>90</v>
      </c>
      <c r="C60" s="15" t="s">
        <v>244</v>
      </c>
      <c r="D60" s="16">
        <v>9981354.4427</v>
      </c>
      <c r="E60" s="16">
        <v>1547677.701</v>
      </c>
      <c r="F60" s="17">
        <f t="shared" si="0"/>
        <v>11529032.1437</v>
      </c>
      <c r="G60" s="18"/>
      <c r="H60" s="18"/>
      <c r="I60" s="19"/>
      <c r="J60" s="19"/>
      <c r="K60" s="19"/>
      <c r="L60" s="19"/>
      <c r="M60" s="18"/>
      <c r="N60" s="18"/>
      <c r="O60" s="19"/>
      <c r="P60" s="19"/>
      <c r="Q60" s="19"/>
    </row>
    <row r="61" ht="37.5" spans="1:17">
      <c r="A61" s="14">
        <v>56</v>
      </c>
      <c r="B61" s="15" t="s">
        <v>90</v>
      </c>
      <c r="C61" s="15" t="s">
        <v>246</v>
      </c>
      <c r="D61" s="16">
        <v>12400880.6629</v>
      </c>
      <c r="E61" s="16">
        <v>1922841.8934</v>
      </c>
      <c r="F61" s="17">
        <f t="shared" si="0"/>
        <v>14323722.5563</v>
      </c>
      <c r="G61" s="18"/>
      <c r="H61" s="18"/>
      <c r="I61" s="19"/>
      <c r="J61" s="19"/>
      <c r="K61" s="19"/>
      <c r="L61" s="19"/>
      <c r="M61" s="18"/>
      <c r="N61" s="18"/>
      <c r="O61" s="19"/>
      <c r="P61" s="19"/>
      <c r="Q61" s="19"/>
    </row>
    <row r="62" ht="37.5" spans="1:17">
      <c r="A62" s="14">
        <v>57</v>
      </c>
      <c r="B62" s="15" t="s">
        <v>90</v>
      </c>
      <c r="C62" s="15" t="s">
        <v>248</v>
      </c>
      <c r="D62" s="16">
        <v>10347616.7557</v>
      </c>
      <c r="E62" s="16">
        <v>1604469.1934</v>
      </c>
      <c r="F62" s="17">
        <f t="shared" si="0"/>
        <v>11952085.9491</v>
      </c>
      <c r="G62" s="18"/>
      <c r="H62" s="18"/>
      <c r="I62" s="19"/>
      <c r="J62" s="19"/>
      <c r="K62" s="19"/>
      <c r="L62" s="19"/>
      <c r="M62" s="18"/>
      <c r="N62" s="18"/>
      <c r="O62" s="19"/>
      <c r="P62" s="19"/>
      <c r="Q62" s="19"/>
    </row>
    <row r="63" ht="37.5" spans="1:17">
      <c r="A63" s="14">
        <v>58</v>
      </c>
      <c r="B63" s="15" t="s">
        <v>90</v>
      </c>
      <c r="C63" s="15" t="s">
        <v>250</v>
      </c>
      <c r="D63" s="16">
        <v>10887418.1114</v>
      </c>
      <c r="E63" s="16">
        <v>1688169.1087</v>
      </c>
      <c r="F63" s="17">
        <f t="shared" si="0"/>
        <v>12575587.2201</v>
      </c>
      <c r="G63" s="18"/>
      <c r="H63" s="18"/>
      <c r="I63" s="19"/>
      <c r="J63" s="19"/>
      <c r="K63" s="19"/>
      <c r="L63" s="19"/>
      <c r="M63" s="18"/>
      <c r="N63" s="18"/>
      <c r="O63" s="19"/>
      <c r="P63" s="19"/>
      <c r="Q63" s="19"/>
    </row>
    <row r="64" ht="37.5" spans="1:17">
      <c r="A64" s="14">
        <v>59</v>
      </c>
      <c r="B64" s="15" t="s">
        <v>90</v>
      </c>
      <c r="C64" s="15" t="s">
        <v>252</v>
      </c>
      <c r="D64" s="16">
        <v>11324496.1671</v>
      </c>
      <c r="E64" s="16">
        <v>1755941.0693</v>
      </c>
      <c r="F64" s="17">
        <f t="shared" si="0"/>
        <v>13080437.2364</v>
      </c>
      <c r="G64" s="18"/>
      <c r="H64" s="18"/>
      <c r="I64" s="19"/>
      <c r="J64" s="19"/>
      <c r="K64" s="19"/>
      <c r="L64" s="19"/>
      <c r="M64" s="18"/>
      <c r="N64" s="18"/>
      <c r="O64" s="19"/>
      <c r="P64" s="19"/>
      <c r="Q64" s="19"/>
    </row>
    <row r="65" ht="37.5" spans="1:17">
      <c r="A65" s="14">
        <v>60</v>
      </c>
      <c r="B65" s="15" t="s">
        <v>90</v>
      </c>
      <c r="C65" s="15" t="s">
        <v>254</v>
      </c>
      <c r="D65" s="16">
        <v>9733700.8532</v>
      </c>
      <c r="E65" s="16">
        <v>1509277.3076</v>
      </c>
      <c r="F65" s="17">
        <f t="shared" si="0"/>
        <v>11242978.1608</v>
      </c>
      <c r="G65" s="18"/>
      <c r="H65" s="18"/>
      <c r="I65" s="19"/>
      <c r="J65" s="19"/>
      <c r="K65" s="19"/>
      <c r="L65" s="19"/>
      <c r="M65" s="18"/>
      <c r="N65" s="18"/>
      <c r="O65" s="19"/>
      <c r="P65" s="19"/>
      <c r="Q65" s="19"/>
    </row>
    <row r="66" ht="37.5" spans="1:17">
      <c r="A66" s="14">
        <v>61</v>
      </c>
      <c r="B66" s="15" t="s">
        <v>90</v>
      </c>
      <c r="C66" s="15" t="s">
        <v>256</v>
      </c>
      <c r="D66" s="16">
        <v>10163877.2107</v>
      </c>
      <c r="E66" s="16">
        <v>1575979.1124</v>
      </c>
      <c r="F66" s="17">
        <f t="shared" si="0"/>
        <v>11739856.3231</v>
      </c>
      <c r="G66" s="18"/>
      <c r="H66" s="18"/>
      <c r="I66" s="19"/>
      <c r="J66" s="19"/>
      <c r="K66" s="19"/>
      <c r="L66" s="19"/>
      <c r="M66" s="18"/>
      <c r="N66" s="18"/>
      <c r="O66" s="19"/>
      <c r="P66" s="19"/>
      <c r="Q66" s="19"/>
    </row>
    <row r="67" ht="37.5" spans="1:17">
      <c r="A67" s="14">
        <v>62</v>
      </c>
      <c r="B67" s="15" t="s">
        <v>90</v>
      </c>
      <c r="C67" s="15" t="s">
        <v>258</v>
      </c>
      <c r="D67" s="16">
        <v>10410668.8072</v>
      </c>
      <c r="E67" s="16">
        <v>1614245.8479</v>
      </c>
      <c r="F67" s="17">
        <f t="shared" si="0"/>
        <v>12024914.6551</v>
      </c>
      <c r="G67" s="18"/>
      <c r="H67" s="18"/>
      <c r="I67" s="19"/>
      <c r="J67" s="19"/>
      <c r="K67" s="19"/>
      <c r="L67" s="19"/>
      <c r="M67" s="18"/>
      <c r="N67" s="18"/>
      <c r="O67" s="19"/>
      <c r="P67" s="19"/>
      <c r="Q67" s="19"/>
    </row>
    <row r="68" ht="37.5" spans="1:17">
      <c r="A68" s="14">
        <v>63</v>
      </c>
      <c r="B68" s="15" t="s">
        <v>90</v>
      </c>
      <c r="C68" s="15" t="s">
        <v>260</v>
      </c>
      <c r="D68" s="16">
        <v>12266074.0902</v>
      </c>
      <c r="E68" s="16">
        <v>1901939.2065</v>
      </c>
      <c r="F68" s="17">
        <f t="shared" si="0"/>
        <v>14168013.2967</v>
      </c>
      <c r="G68" s="18"/>
      <c r="H68" s="18"/>
      <c r="I68" s="19"/>
      <c r="J68" s="19"/>
      <c r="K68" s="19"/>
      <c r="L68" s="19"/>
      <c r="M68" s="18"/>
      <c r="N68" s="18"/>
      <c r="O68" s="19"/>
      <c r="P68" s="19"/>
      <c r="Q68" s="19"/>
    </row>
    <row r="69" ht="37.5" spans="1:17">
      <c r="A69" s="14">
        <v>64</v>
      </c>
      <c r="B69" s="15" t="s">
        <v>90</v>
      </c>
      <c r="C69" s="15" t="s">
        <v>262</v>
      </c>
      <c r="D69" s="16">
        <v>9137080.8737</v>
      </c>
      <c r="E69" s="16">
        <v>1416767.2736</v>
      </c>
      <c r="F69" s="17">
        <f t="shared" si="0"/>
        <v>10553848.1473</v>
      </c>
      <c r="G69" s="18"/>
      <c r="H69" s="18"/>
      <c r="I69" s="19"/>
      <c r="J69" s="19"/>
      <c r="K69" s="19"/>
      <c r="L69" s="19"/>
      <c r="M69" s="18"/>
      <c r="N69" s="18"/>
      <c r="O69" s="19"/>
      <c r="P69" s="19"/>
      <c r="Q69" s="19"/>
    </row>
    <row r="70" ht="37.5" spans="1:17">
      <c r="A70" s="14">
        <v>65</v>
      </c>
      <c r="B70" s="15" t="s">
        <v>90</v>
      </c>
      <c r="C70" s="15" t="s">
        <v>264</v>
      </c>
      <c r="D70" s="16">
        <v>11211272.8487</v>
      </c>
      <c r="E70" s="16">
        <v>1738385.0146</v>
      </c>
      <c r="F70" s="17">
        <f t="shared" si="0"/>
        <v>12949657.8633</v>
      </c>
      <c r="G70" s="18"/>
      <c r="H70" s="18"/>
      <c r="I70" s="19"/>
      <c r="J70" s="19"/>
      <c r="K70" s="19"/>
      <c r="L70" s="19"/>
      <c r="M70" s="18"/>
      <c r="N70" s="18"/>
      <c r="O70" s="19"/>
      <c r="P70" s="19"/>
      <c r="Q70" s="19"/>
    </row>
    <row r="71" ht="37.5" spans="1:17">
      <c r="A71" s="14">
        <v>66</v>
      </c>
      <c r="B71" s="15" t="s">
        <v>90</v>
      </c>
      <c r="C71" s="15" t="s">
        <v>266</v>
      </c>
      <c r="D71" s="16">
        <v>9140334.6999</v>
      </c>
      <c r="E71" s="16">
        <v>1417271.8018</v>
      </c>
      <c r="F71" s="17">
        <f t="shared" ref="F71:F134" si="1">D71+E71</f>
        <v>10557606.5017</v>
      </c>
      <c r="G71" s="18"/>
      <c r="H71" s="18"/>
      <c r="I71" s="19"/>
      <c r="J71" s="19"/>
      <c r="K71" s="19"/>
      <c r="L71" s="19"/>
      <c r="M71" s="18"/>
      <c r="N71" s="18"/>
      <c r="O71" s="19"/>
      <c r="P71" s="19"/>
      <c r="Q71" s="19"/>
    </row>
    <row r="72" ht="37.5" spans="1:17">
      <c r="A72" s="14">
        <v>67</v>
      </c>
      <c r="B72" s="15" t="s">
        <v>90</v>
      </c>
      <c r="C72" s="15" t="s">
        <v>268</v>
      </c>
      <c r="D72" s="16">
        <v>11920463.8117</v>
      </c>
      <c r="E72" s="16">
        <v>1848349.9542</v>
      </c>
      <c r="F72" s="17">
        <f t="shared" si="1"/>
        <v>13768813.7659</v>
      </c>
      <c r="G72" s="18"/>
      <c r="H72" s="18"/>
      <c r="I72" s="19"/>
      <c r="J72" s="19"/>
      <c r="K72" s="19"/>
      <c r="L72" s="19"/>
      <c r="M72" s="18"/>
      <c r="N72" s="18"/>
      <c r="O72" s="19"/>
      <c r="P72" s="19"/>
      <c r="Q72" s="19"/>
    </row>
    <row r="73" ht="37.5" spans="1:17">
      <c r="A73" s="14">
        <v>68</v>
      </c>
      <c r="B73" s="15" t="s">
        <v>90</v>
      </c>
      <c r="C73" s="15" t="s">
        <v>270</v>
      </c>
      <c r="D73" s="16">
        <v>9863596.9726</v>
      </c>
      <c r="E73" s="16">
        <v>1529418.5949</v>
      </c>
      <c r="F73" s="17">
        <f t="shared" si="1"/>
        <v>11393015.5675</v>
      </c>
      <c r="G73" s="18"/>
      <c r="H73" s="18"/>
      <c r="I73" s="19"/>
      <c r="J73" s="19"/>
      <c r="K73" s="19"/>
      <c r="L73" s="19"/>
      <c r="M73" s="18"/>
      <c r="N73" s="18"/>
      <c r="O73" s="19"/>
      <c r="P73" s="19"/>
      <c r="Q73" s="19"/>
    </row>
    <row r="74" ht="37.5" spans="1:17">
      <c r="A74" s="14">
        <v>69</v>
      </c>
      <c r="B74" s="15" t="s">
        <v>90</v>
      </c>
      <c r="C74" s="15" t="s">
        <v>272</v>
      </c>
      <c r="D74" s="16">
        <v>14909307.8087</v>
      </c>
      <c r="E74" s="16">
        <v>2311790.7861</v>
      </c>
      <c r="F74" s="17">
        <f t="shared" si="1"/>
        <v>17221098.5948</v>
      </c>
      <c r="G74" s="18"/>
      <c r="H74" s="18"/>
      <c r="I74" s="19"/>
      <c r="J74" s="19"/>
      <c r="K74" s="19"/>
      <c r="L74" s="19"/>
      <c r="M74" s="18"/>
      <c r="N74" s="18"/>
      <c r="O74" s="19"/>
      <c r="P74" s="19"/>
      <c r="Q74" s="19"/>
    </row>
    <row r="75" ht="18.75" spans="1:17">
      <c r="A75" s="14">
        <v>70</v>
      </c>
      <c r="B75" s="15" t="s">
        <v>91</v>
      </c>
      <c r="C75" s="15" t="s">
        <v>277</v>
      </c>
      <c r="D75" s="16">
        <v>16769657.1629</v>
      </c>
      <c r="E75" s="16">
        <v>2600250.757</v>
      </c>
      <c r="F75" s="17">
        <f t="shared" si="1"/>
        <v>19369907.9199</v>
      </c>
      <c r="G75" s="18"/>
      <c r="H75" s="18"/>
      <c r="I75" s="19"/>
      <c r="J75" s="19"/>
      <c r="K75" s="19"/>
      <c r="L75" s="19"/>
      <c r="M75" s="18"/>
      <c r="N75" s="18"/>
      <c r="O75" s="19"/>
      <c r="P75" s="19"/>
      <c r="Q75" s="19"/>
    </row>
    <row r="76" ht="18.75" spans="1:17">
      <c r="A76" s="14">
        <v>71</v>
      </c>
      <c r="B76" s="15" t="s">
        <v>91</v>
      </c>
      <c r="C76" s="15" t="s">
        <v>279</v>
      </c>
      <c r="D76" s="16">
        <v>11028680.9821</v>
      </c>
      <c r="E76" s="16">
        <v>1710072.889</v>
      </c>
      <c r="F76" s="17">
        <f t="shared" si="1"/>
        <v>12738753.8711</v>
      </c>
      <c r="G76" s="18"/>
      <c r="H76" s="18"/>
      <c r="I76" s="19"/>
      <c r="J76" s="19"/>
      <c r="K76" s="19"/>
      <c r="L76" s="19"/>
      <c r="M76" s="18"/>
      <c r="N76" s="18"/>
      <c r="O76" s="19"/>
      <c r="P76" s="19"/>
      <c r="Q76" s="19"/>
    </row>
    <row r="77" ht="18.75" spans="1:17">
      <c r="A77" s="14">
        <v>72</v>
      </c>
      <c r="B77" s="15" t="s">
        <v>91</v>
      </c>
      <c r="C77" s="15" t="s">
        <v>281</v>
      </c>
      <c r="D77" s="16">
        <v>11345393.9076</v>
      </c>
      <c r="E77" s="16">
        <v>1759181.4078</v>
      </c>
      <c r="F77" s="17">
        <f t="shared" si="1"/>
        <v>13104575.3154</v>
      </c>
      <c r="G77" s="18"/>
      <c r="H77" s="18"/>
      <c r="I77" s="19"/>
      <c r="J77" s="19"/>
      <c r="K77" s="19"/>
      <c r="L77" s="19"/>
      <c r="M77" s="18"/>
      <c r="N77" s="18"/>
      <c r="O77" s="19"/>
      <c r="P77" s="19"/>
      <c r="Q77" s="19"/>
    </row>
    <row r="78" ht="18.75" spans="1:17">
      <c r="A78" s="14">
        <v>73</v>
      </c>
      <c r="B78" s="15" t="s">
        <v>91</v>
      </c>
      <c r="C78" s="15" t="s">
        <v>283</v>
      </c>
      <c r="D78" s="16">
        <v>13713121.8725</v>
      </c>
      <c r="E78" s="16">
        <v>2126313.9242</v>
      </c>
      <c r="F78" s="17">
        <f t="shared" si="1"/>
        <v>15839435.7967</v>
      </c>
      <c r="G78" s="18"/>
      <c r="H78" s="18"/>
      <c r="I78" s="19"/>
      <c r="J78" s="19"/>
      <c r="K78" s="19"/>
      <c r="L78" s="19"/>
      <c r="M78" s="18"/>
      <c r="N78" s="18"/>
      <c r="O78" s="19"/>
      <c r="P78" s="19"/>
      <c r="Q78" s="19"/>
    </row>
    <row r="79" ht="18.75" spans="1:17">
      <c r="A79" s="14">
        <v>74</v>
      </c>
      <c r="B79" s="15" t="s">
        <v>91</v>
      </c>
      <c r="C79" s="15" t="s">
        <v>285</v>
      </c>
      <c r="D79" s="16">
        <v>10414669.9244</v>
      </c>
      <c r="E79" s="16">
        <v>1614866.2487</v>
      </c>
      <c r="F79" s="17">
        <f t="shared" si="1"/>
        <v>12029536.1731</v>
      </c>
      <c r="G79" s="18"/>
      <c r="H79" s="18"/>
      <c r="I79" s="19"/>
      <c r="J79" s="19"/>
      <c r="K79" s="19"/>
      <c r="L79" s="19"/>
      <c r="M79" s="18"/>
      <c r="N79" s="18"/>
      <c r="O79" s="19"/>
      <c r="P79" s="19"/>
      <c r="Q79" s="19"/>
    </row>
    <row r="80" ht="18.75" spans="1:17">
      <c r="A80" s="14">
        <v>75</v>
      </c>
      <c r="B80" s="15" t="s">
        <v>91</v>
      </c>
      <c r="C80" s="15" t="s">
        <v>287</v>
      </c>
      <c r="D80" s="16">
        <v>11989607.4313</v>
      </c>
      <c r="E80" s="16">
        <v>1859071.1483</v>
      </c>
      <c r="F80" s="17">
        <f t="shared" si="1"/>
        <v>13848678.5796</v>
      </c>
      <c r="G80" s="18"/>
      <c r="H80" s="18"/>
      <c r="I80" s="19"/>
      <c r="J80" s="19"/>
      <c r="K80" s="19"/>
      <c r="L80" s="19"/>
      <c r="M80" s="18"/>
      <c r="N80" s="18"/>
      <c r="O80" s="19"/>
      <c r="P80" s="19"/>
      <c r="Q80" s="19"/>
    </row>
    <row r="81" ht="18.75" spans="1:17">
      <c r="A81" s="14">
        <v>76</v>
      </c>
      <c r="B81" s="15" t="s">
        <v>91</v>
      </c>
      <c r="C81" s="15" t="s">
        <v>289</v>
      </c>
      <c r="D81" s="16">
        <v>11111661.3817</v>
      </c>
      <c r="E81" s="16">
        <v>1722939.5711</v>
      </c>
      <c r="F81" s="17">
        <f t="shared" si="1"/>
        <v>12834600.9528</v>
      </c>
      <c r="G81" s="18"/>
      <c r="H81" s="18"/>
      <c r="I81" s="19"/>
      <c r="J81" s="19"/>
      <c r="K81" s="19"/>
      <c r="L81" s="19"/>
      <c r="M81" s="18"/>
      <c r="N81" s="18"/>
      <c r="O81" s="19"/>
      <c r="P81" s="19"/>
      <c r="Q81" s="19"/>
    </row>
    <row r="82" ht="18.75" spans="1:17">
      <c r="A82" s="14">
        <v>77</v>
      </c>
      <c r="B82" s="15" t="s">
        <v>91</v>
      </c>
      <c r="C82" s="15" t="s">
        <v>291</v>
      </c>
      <c r="D82" s="16">
        <v>9935205.9391</v>
      </c>
      <c r="E82" s="16">
        <v>1540522.0579</v>
      </c>
      <c r="F82" s="17">
        <f t="shared" si="1"/>
        <v>11475727.997</v>
      </c>
      <c r="G82" s="18"/>
      <c r="H82" s="18"/>
      <c r="I82" s="19"/>
      <c r="J82" s="19"/>
      <c r="K82" s="19"/>
      <c r="L82" s="19"/>
      <c r="M82" s="18"/>
      <c r="N82" s="18"/>
      <c r="O82" s="19"/>
      <c r="P82" s="19"/>
      <c r="Q82" s="19"/>
    </row>
    <row r="83" ht="18.75" spans="1:17">
      <c r="A83" s="14">
        <v>78</v>
      </c>
      <c r="B83" s="15" t="s">
        <v>91</v>
      </c>
      <c r="C83" s="15" t="s">
        <v>293</v>
      </c>
      <c r="D83" s="16">
        <v>11034908.5821</v>
      </c>
      <c r="E83" s="16">
        <v>1711038.5212</v>
      </c>
      <c r="F83" s="17">
        <f t="shared" si="1"/>
        <v>12745947.1033</v>
      </c>
      <c r="G83" s="18"/>
      <c r="H83" s="18"/>
      <c r="I83" s="19"/>
      <c r="J83" s="19"/>
      <c r="K83" s="19"/>
      <c r="L83" s="19"/>
      <c r="M83" s="18"/>
      <c r="N83" s="18"/>
      <c r="O83" s="19"/>
      <c r="P83" s="19"/>
      <c r="Q83" s="19"/>
    </row>
    <row r="84" ht="18.75" spans="1:17">
      <c r="A84" s="14">
        <v>79</v>
      </c>
      <c r="B84" s="15" t="s">
        <v>91</v>
      </c>
      <c r="C84" s="15" t="s">
        <v>295</v>
      </c>
      <c r="D84" s="16">
        <v>17457623.1682</v>
      </c>
      <c r="E84" s="16">
        <v>2706924.6209</v>
      </c>
      <c r="F84" s="17">
        <f t="shared" si="1"/>
        <v>20164547.7891</v>
      </c>
      <c r="G84" s="18"/>
      <c r="H84" s="18"/>
      <c r="I84" s="19"/>
      <c r="J84" s="19"/>
      <c r="K84" s="19"/>
      <c r="L84" s="19"/>
      <c r="M84" s="18"/>
      <c r="N84" s="18"/>
      <c r="O84" s="19"/>
      <c r="P84" s="19"/>
      <c r="Q84" s="19"/>
    </row>
    <row r="85" ht="18.75" spans="1:17">
      <c r="A85" s="14">
        <v>80</v>
      </c>
      <c r="B85" s="15" t="s">
        <v>91</v>
      </c>
      <c r="C85" s="15" t="s">
        <v>297</v>
      </c>
      <c r="D85" s="16">
        <v>12133069.1843</v>
      </c>
      <c r="E85" s="16">
        <v>1881315.8805</v>
      </c>
      <c r="F85" s="17">
        <f t="shared" si="1"/>
        <v>14014385.0648</v>
      </c>
      <c r="G85" s="18"/>
      <c r="H85" s="18"/>
      <c r="I85" s="19"/>
      <c r="J85" s="19"/>
      <c r="K85" s="19"/>
      <c r="L85" s="19"/>
      <c r="M85" s="18"/>
      <c r="N85" s="18"/>
      <c r="O85" s="19"/>
      <c r="P85" s="19"/>
      <c r="Q85" s="19"/>
    </row>
    <row r="86" ht="18.75" spans="1:17">
      <c r="A86" s="14">
        <v>81</v>
      </c>
      <c r="B86" s="15" t="s">
        <v>91</v>
      </c>
      <c r="C86" s="15" t="s">
        <v>299</v>
      </c>
      <c r="D86" s="16">
        <v>14833895.252</v>
      </c>
      <c r="E86" s="16">
        <v>2300097.5502</v>
      </c>
      <c r="F86" s="17">
        <f t="shared" si="1"/>
        <v>17133992.8022</v>
      </c>
      <c r="G86" s="18"/>
      <c r="H86" s="18"/>
      <c r="I86" s="19"/>
      <c r="J86" s="19"/>
      <c r="K86" s="19"/>
      <c r="L86" s="19"/>
      <c r="M86" s="18"/>
      <c r="N86" s="18"/>
      <c r="O86" s="19"/>
      <c r="P86" s="19"/>
      <c r="Q86" s="19"/>
    </row>
    <row r="87" ht="18.75" spans="1:17">
      <c r="A87" s="14">
        <v>82</v>
      </c>
      <c r="B87" s="15" t="s">
        <v>91</v>
      </c>
      <c r="C87" s="15" t="s">
        <v>301</v>
      </c>
      <c r="D87" s="16">
        <v>10899126.7573</v>
      </c>
      <c r="E87" s="16">
        <v>1689984.6148</v>
      </c>
      <c r="F87" s="17">
        <f t="shared" si="1"/>
        <v>12589111.3721</v>
      </c>
      <c r="G87" s="18"/>
      <c r="H87" s="18"/>
      <c r="I87" s="19"/>
      <c r="J87" s="19"/>
      <c r="K87" s="19"/>
      <c r="L87" s="19"/>
      <c r="M87" s="18"/>
      <c r="N87" s="18"/>
      <c r="O87" s="19"/>
      <c r="P87" s="19"/>
      <c r="Q87" s="19"/>
    </row>
    <row r="88" ht="18.75" spans="1:17">
      <c r="A88" s="14">
        <v>83</v>
      </c>
      <c r="B88" s="15" t="s">
        <v>91</v>
      </c>
      <c r="C88" s="15" t="s">
        <v>303</v>
      </c>
      <c r="D88" s="16">
        <v>10806549.0343</v>
      </c>
      <c r="E88" s="16">
        <v>1675629.8017</v>
      </c>
      <c r="F88" s="17">
        <f t="shared" si="1"/>
        <v>12482178.836</v>
      </c>
      <c r="G88" s="18"/>
      <c r="H88" s="18"/>
      <c r="I88" s="19"/>
      <c r="J88" s="19"/>
      <c r="K88" s="19"/>
      <c r="L88" s="19"/>
      <c r="M88" s="18"/>
      <c r="N88" s="18"/>
      <c r="O88" s="19"/>
      <c r="P88" s="19"/>
      <c r="Q88" s="19"/>
    </row>
    <row r="89" ht="18.75" spans="1:17">
      <c r="A89" s="14">
        <v>84</v>
      </c>
      <c r="B89" s="15" t="s">
        <v>91</v>
      </c>
      <c r="C89" s="15" t="s">
        <v>305</v>
      </c>
      <c r="D89" s="16">
        <v>12970225.1633</v>
      </c>
      <c r="E89" s="16">
        <v>2011122.6766</v>
      </c>
      <c r="F89" s="17">
        <f t="shared" si="1"/>
        <v>14981347.8399</v>
      </c>
      <c r="G89" s="18"/>
      <c r="H89" s="18"/>
      <c r="I89" s="19"/>
      <c r="J89" s="19"/>
      <c r="K89" s="19"/>
      <c r="L89" s="19"/>
      <c r="M89" s="18"/>
      <c r="N89" s="18"/>
      <c r="O89" s="19"/>
      <c r="P89" s="19"/>
      <c r="Q89" s="19"/>
    </row>
    <row r="90" ht="18.75" spans="1:17">
      <c r="A90" s="14">
        <v>85</v>
      </c>
      <c r="B90" s="15" t="s">
        <v>91</v>
      </c>
      <c r="C90" s="15" t="s">
        <v>307</v>
      </c>
      <c r="D90" s="16">
        <v>12393417.1667</v>
      </c>
      <c r="E90" s="16">
        <v>1921684.6269</v>
      </c>
      <c r="F90" s="17">
        <f t="shared" si="1"/>
        <v>14315101.7936</v>
      </c>
      <c r="G90" s="18"/>
      <c r="H90" s="18"/>
      <c r="I90" s="19"/>
      <c r="J90" s="19"/>
      <c r="K90" s="19"/>
      <c r="L90" s="19"/>
      <c r="M90" s="18"/>
      <c r="N90" s="18"/>
      <c r="O90" s="19"/>
      <c r="P90" s="19"/>
      <c r="Q90" s="19"/>
    </row>
    <row r="91" ht="18.75" spans="1:17">
      <c r="A91" s="14">
        <v>86</v>
      </c>
      <c r="B91" s="15" t="s">
        <v>91</v>
      </c>
      <c r="C91" s="15" t="s">
        <v>308</v>
      </c>
      <c r="D91" s="16">
        <v>10382260.3325</v>
      </c>
      <c r="E91" s="16">
        <v>1609840.9184</v>
      </c>
      <c r="F91" s="17">
        <f t="shared" si="1"/>
        <v>11992101.2509</v>
      </c>
      <c r="G91" s="18"/>
      <c r="H91" s="18"/>
      <c r="I91" s="19"/>
      <c r="J91" s="19"/>
      <c r="K91" s="19"/>
      <c r="L91" s="19"/>
      <c r="M91" s="18"/>
      <c r="N91" s="18"/>
      <c r="O91" s="19"/>
      <c r="P91" s="19"/>
      <c r="Q91" s="19"/>
    </row>
    <row r="92" ht="18.75" spans="1:17">
      <c r="A92" s="14">
        <v>87</v>
      </c>
      <c r="B92" s="15" t="s">
        <v>91</v>
      </c>
      <c r="C92" s="15" t="s">
        <v>310</v>
      </c>
      <c r="D92" s="16">
        <v>10757912.6209</v>
      </c>
      <c r="E92" s="16">
        <v>1668088.3911</v>
      </c>
      <c r="F92" s="17">
        <f t="shared" si="1"/>
        <v>12426001.012</v>
      </c>
      <c r="G92" s="18"/>
      <c r="H92" s="18"/>
      <c r="I92" s="19"/>
      <c r="J92" s="19"/>
      <c r="K92" s="19"/>
      <c r="L92" s="19"/>
      <c r="M92" s="18"/>
      <c r="N92" s="18"/>
      <c r="O92" s="19"/>
      <c r="P92" s="19"/>
      <c r="Q92" s="19"/>
    </row>
    <row r="93" ht="18.75" spans="1:17">
      <c r="A93" s="14">
        <v>88</v>
      </c>
      <c r="B93" s="15" t="s">
        <v>91</v>
      </c>
      <c r="C93" s="15" t="s">
        <v>312</v>
      </c>
      <c r="D93" s="16">
        <v>11617632.1937</v>
      </c>
      <c r="E93" s="16">
        <v>1801393.8277</v>
      </c>
      <c r="F93" s="17">
        <f t="shared" si="1"/>
        <v>13419026.0214</v>
      </c>
      <c r="G93" s="18"/>
      <c r="H93" s="18"/>
      <c r="I93" s="19"/>
      <c r="J93" s="19"/>
      <c r="K93" s="19"/>
      <c r="L93" s="19"/>
      <c r="M93" s="18"/>
      <c r="N93" s="18"/>
      <c r="O93" s="19"/>
      <c r="P93" s="19"/>
      <c r="Q93" s="19"/>
    </row>
    <row r="94" ht="18.75" spans="1:17">
      <c r="A94" s="14">
        <v>89</v>
      </c>
      <c r="B94" s="15" t="s">
        <v>91</v>
      </c>
      <c r="C94" s="15" t="s">
        <v>314</v>
      </c>
      <c r="D94" s="16">
        <v>11756750.0307</v>
      </c>
      <c r="E94" s="16">
        <v>1822965.0058</v>
      </c>
      <c r="F94" s="17">
        <f t="shared" si="1"/>
        <v>13579715.0365</v>
      </c>
      <c r="G94" s="18"/>
      <c r="H94" s="18"/>
      <c r="I94" s="19"/>
      <c r="J94" s="19"/>
      <c r="K94" s="19"/>
      <c r="L94" s="19"/>
      <c r="M94" s="18"/>
      <c r="N94" s="18"/>
      <c r="O94" s="19"/>
      <c r="P94" s="19"/>
      <c r="Q94" s="19"/>
    </row>
    <row r="95" ht="18.75" spans="1:17">
      <c r="A95" s="14">
        <v>90</v>
      </c>
      <c r="B95" s="15" t="s">
        <v>91</v>
      </c>
      <c r="C95" s="15" t="s">
        <v>316</v>
      </c>
      <c r="D95" s="16">
        <v>11288211.3296</v>
      </c>
      <c r="E95" s="16">
        <v>1750314.8555</v>
      </c>
      <c r="F95" s="17">
        <f t="shared" si="1"/>
        <v>13038526.1851</v>
      </c>
      <c r="G95" s="18"/>
      <c r="H95" s="18"/>
      <c r="I95" s="19"/>
      <c r="J95" s="19"/>
      <c r="K95" s="19"/>
      <c r="L95" s="19"/>
      <c r="M95" s="18"/>
      <c r="N95" s="18"/>
      <c r="O95" s="19"/>
      <c r="P95" s="19"/>
      <c r="Q95" s="19"/>
    </row>
    <row r="96" ht="18.75" spans="1:17">
      <c r="A96" s="14">
        <v>91</v>
      </c>
      <c r="B96" s="15" t="s">
        <v>92</v>
      </c>
      <c r="C96" s="15" t="s">
        <v>321</v>
      </c>
      <c r="D96" s="16">
        <v>19033144.6704</v>
      </c>
      <c r="E96" s="16">
        <v>2951220.073</v>
      </c>
      <c r="F96" s="17">
        <f t="shared" si="1"/>
        <v>21984364.7434</v>
      </c>
      <c r="G96" s="18"/>
      <c r="H96" s="18"/>
      <c r="I96" s="19"/>
      <c r="J96" s="19"/>
      <c r="K96" s="19"/>
      <c r="L96" s="19"/>
      <c r="M96" s="18"/>
      <c r="N96" s="18"/>
      <c r="O96" s="19"/>
      <c r="P96" s="19"/>
      <c r="Q96" s="19"/>
    </row>
    <row r="97" ht="18.75" spans="1:17">
      <c r="A97" s="14">
        <v>92</v>
      </c>
      <c r="B97" s="15" t="s">
        <v>92</v>
      </c>
      <c r="C97" s="15" t="s">
        <v>92</v>
      </c>
      <c r="D97" s="16">
        <v>22984526.7865</v>
      </c>
      <c r="E97" s="16">
        <v>3563909.0647</v>
      </c>
      <c r="F97" s="17">
        <f t="shared" si="1"/>
        <v>26548435.8512</v>
      </c>
      <c r="G97" s="18"/>
      <c r="H97" s="18"/>
      <c r="I97" s="19"/>
      <c r="J97" s="19"/>
      <c r="K97" s="19"/>
      <c r="L97" s="19"/>
      <c r="M97" s="18"/>
      <c r="N97" s="18"/>
      <c r="O97" s="19"/>
      <c r="P97" s="19"/>
      <c r="Q97" s="19"/>
    </row>
    <row r="98" ht="18.75" spans="1:17">
      <c r="A98" s="14">
        <v>93</v>
      </c>
      <c r="B98" s="15" t="s">
        <v>92</v>
      </c>
      <c r="C98" s="15" t="s">
        <v>324</v>
      </c>
      <c r="D98" s="16">
        <v>10052201.5754</v>
      </c>
      <c r="E98" s="16">
        <v>1558663.0366</v>
      </c>
      <c r="F98" s="17">
        <f t="shared" si="1"/>
        <v>11610864.612</v>
      </c>
      <c r="G98" s="18"/>
      <c r="H98" s="18"/>
      <c r="I98" s="19"/>
      <c r="J98" s="19"/>
      <c r="K98" s="19"/>
      <c r="L98" s="19"/>
      <c r="M98" s="18"/>
      <c r="N98" s="18"/>
      <c r="O98" s="19"/>
      <c r="P98" s="19"/>
      <c r="Q98" s="19"/>
    </row>
    <row r="99" ht="18.75" spans="1:17">
      <c r="A99" s="14">
        <v>94</v>
      </c>
      <c r="B99" s="15" t="s">
        <v>92</v>
      </c>
      <c r="C99" s="15" t="s">
        <v>326</v>
      </c>
      <c r="D99" s="16">
        <v>11880059.869</v>
      </c>
      <c r="E99" s="16">
        <v>1842085.0449</v>
      </c>
      <c r="F99" s="17">
        <f t="shared" si="1"/>
        <v>13722144.9139</v>
      </c>
      <c r="G99" s="18"/>
      <c r="H99" s="18"/>
      <c r="I99" s="19"/>
      <c r="J99" s="19"/>
      <c r="K99" s="19"/>
      <c r="L99" s="19"/>
      <c r="M99" s="18"/>
      <c r="N99" s="18"/>
      <c r="O99" s="19"/>
      <c r="P99" s="19"/>
      <c r="Q99" s="19"/>
    </row>
    <row r="100" ht="18.75" spans="1:17">
      <c r="A100" s="14">
        <v>95</v>
      </c>
      <c r="B100" s="15" t="s">
        <v>92</v>
      </c>
      <c r="C100" s="15" t="s">
        <v>328</v>
      </c>
      <c r="D100" s="16">
        <v>15070345.1995</v>
      </c>
      <c r="E100" s="16">
        <v>2336760.7419</v>
      </c>
      <c r="F100" s="17">
        <f t="shared" si="1"/>
        <v>17407105.9414</v>
      </c>
      <c r="G100" s="18"/>
      <c r="H100" s="18"/>
      <c r="I100" s="19"/>
      <c r="J100" s="19"/>
      <c r="K100" s="19"/>
      <c r="L100" s="19"/>
      <c r="M100" s="18"/>
      <c r="N100" s="18"/>
      <c r="O100" s="19"/>
      <c r="P100" s="19"/>
      <c r="Q100" s="19"/>
    </row>
    <row r="101" ht="18.75" spans="1:17">
      <c r="A101" s="14">
        <v>96</v>
      </c>
      <c r="B101" s="15" t="s">
        <v>92</v>
      </c>
      <c r="C101" s="15" t="s">
        <v>330</v>
      </c>
      <c r="D101" s="16">
        <v>9979352.9509</v>
      </c>
      <c r="E101" s="16">
        <v>1547367.356</v>
      </c>
      <c r="F101" s="17">
        <f t="shared" si="1"/>
        <v>11526720.3069</v>
      </c>
      <c r="G101" s="18"/>
      <c r="H101" s="18"/>
      <c r="I101" s="19"/>
      <c r="J101" s="19"/>
      <c r="K101" s="19"/>
      <c r="L101" s="19"/>
      <c r="M101" s="18"/>
      <c r="N101" s="18"/>
      <c r="O101" s="19"/>
      <c r="P101" s="19"/>
      <c r="Q101" s="19"/>
    </row>
    <row r="102" ht="18.75" spans="1:17">
      <c r="A102" s="14">
        <v>97</v>
      </c>
      <c r="B102" s="15" t="s">
        <v>92</v>
      </c>
      <c r="C102" s="15" t="s">
        <v>332</v>
      </c>
      <c r="D102" s="16">
        <v>15920779.4761</v>
      </c>
      <c r="E102" s="16">
        <v>2468626.4294</v>
      </c>
      <c r="F102" s="17">
        <f t="shared" si="1"/>
        <v>18389405.9055</v>
      </c>
      <c r="G102" s="18"/>
      <c r="H102" s="18"/>
      <c r="I102" s="19"/>
      <c r="J102" s="19"/>
      <c r="K102" s="19"/>
      <c r="L102" s="19"/>
      <c r="M102" s="18"/>
      <c r="N102" s="18"/>
      <c r="O102" s="19"/>
      <c r="P102" s="19"/>
      <c r="Q102" s="19"/>
    </row>
    <row r="103" ht="18.75" spans="1:17">
      <c r="A103" s="14">
        <v>98</v>
      </c>
      <c r="B103" s="15" t="s">
        <v>92</v>
      </c>
      <c r="C103" s="15" t="s">
        <v>334</v>
      </c>
      <c r="D103" s="16">
        <v>16071562.8837</v>
      </c>
      <c r="E103" s="16">
        <v>2492006.4345</v>
      </c>
      <c r="F103" s="17">
        <f t="shared" si="1"/>
        <v>18563569.3182</v>
      </c>
      <c r="G103" s="18"/>
      <c r="H103" s="18"/>
      <c r="I103" s="19"/>
      <c r="J103" s="19"/>
      <c r="K103" s="19"/>
      <c r="L103" s="19"/>
      <c r="M103" s="18"/>
      <c r="N103" s="18"/>
      <c r="O103" s="19"/>
      <c r="P103" s="19"/>
      <c r="Q103" s="19"/>
    </row>
    <row r="104" ht="18.75" spans="1:17">
      <c r="A104" s="14">
        <v>99</v>
      </c>
      <c r="B104" s="15" t="s">
        <v>92</v>
      </c>
      <c r="C104" s="15" t="s">
        <v>336</v>
      </c>
      <c r="D104" s="16">
        <v>11304565.623</v>
      </c>
      <c r="E104" s="16">
        <v>1752850.7013</v>
      </c>
      <c r="F104" s="17">
        <f t="shared" si="1"/>
        <v>13057416.3243</v>
      </c>
      <c r="G104" s="18"/>
      <c r="H104" s="18"/>
      <c r="I104" s="19"/>
      <c r="J104" s="19"/>
      <c r="K104" s="19"/>
      <c r="L104" s="19"/>
      <c r="M104" s="18"/>
      <c r="N104" s="18"/>
      <c r="O104" s="19"/>
      <c r="P104" s="19"/>
      <c r="Q104" s="19"/>
    </row>
    <row r="105" ht="18.75" spans="1:17">
      <c r="A105" s="14">
        <v>100</v>
      </c>
      <c r="B105" s="15" t="s">
        <v>92</v>
      </c>
      <c r="C105" s="15" t="s">
        <v>337</v>
      </c>
      <c r="D105" s="16">
        <v>12947026.8423</v>
      </c>
      <c r="E105" s="16">
        <v>2007525.6172</v>
      </c>
      <c r="F105" s="17">
        <f t="shared" si="1"/>
        <v>14954552.4595</v>
      </c>
      <c r="G105" s="18"/>
      <c r="H105" s="18"/>
      <c r="I105" s="19"/>
      <c r="J105" s="19"/>
      <c r="K105" s="19"/>
      <c r="L105" s="19"/>
      <c r="M105" s="18"/>
      <c r="N105" s="18"/>
      <c r="O105" s="19"/>
      <c r="P105" s="19"/>
      <c r="Q105" s="19"/>
    </row>
    <row r="106" ht="18.75" spans="1:17">
      <c r="A106" s="14">
        <v>101</v>
      </c>
      <c r="B106" s="15" t="s">
        <v>92</v>
      </c>
      <c r="C106" s="15" t="s">
        <v>339</v>
      </c>
      <c r="D106" s="16">
        <v>10017999.9961</v>
      </c>
      <c r="E106" s="16">
        <v>1553359.8463</v>
      </c>
      <c r="F106" s="17">
        <f t="shared" si="1"/>
        <v>11571359.8424</v>
      </c>
      <c r="G106" s="18"/>
      <c r="H106" s="18"/>
      <c r="I106" s="19"/>
      <c r="J106" s="19"/>
      <c r="K106" s="19"/>
      <c r="L106" s="19"/>
      <c r="M106" s="18"/>
      <c r="N106" s="18"/>
      <c r="O106" s="19"/>
      <c r="P106" s="19"/>
      <c r="Q106" s="19"/>
    </row>
    <row r="107" ht="18.75" spans="1:17">
      <c r="A107" s="14">
        <v>102</v>
      </c>
      <c r="B107" s="15" t="s">
        <v>92</v>
      </c>
      <c r="C107" s="15" t="s">
        <v>341</v>
      </c>
      <c r="D107" s="16">
        <v>15513916.9141</v>
      </c>
      <c r="E107" s="16">
        <v>2405539.589</v>
      </c>
      <c r="F107" s="17">
        <f t="shared" si="1"/>
        <v>17919456.5031</v>
      </c>
      <c r="G107" s="18"/>
      <c r="H107" s="18"/>
      <c r="I107" s="19"/>
      <c r="J107" s="19"/>
      <c r="K107" s="19"/>
      <c r="L107" s="19"/>
      <c r="M107" s="18"/>
      <c r="N107" s="18"/>
      <c r="O107" s="19"/>
      <c r="P107" s="19"/>
      <c r="Q107" s="19"/>
    </row>
    <row r="108" ht="18.75" spans="1:17">
      <c r="A108" s="14">
        <v>103</v>
      </c>
      <c r="B108" s="15" t="s">
        <v>92</v>
      </c>
      <c r="C108" s="15" t="s">
        <v>343</v>
      </c>
      <c r="D108" s="16">
        <v>12759456.2823</v>
      </c>
      <c r="E108" s="16">
        <v>1978441.511</v>
      </c>
      <c r="F108" s="17">
        <f t="shared" si="1"/>
        <v>14737897.7933</v>
      </c>
      <c r="G108" s="18"/>
      <c r="H108" s="18"/>
      <c r="I108" s="19"/>
      <c r="J108" s="19"/>
      <c r="K108" s="19"/>
      <c r="L108" s="19"/>
      <c r="M108" s="18"/>
      <c r="N108" s="18"/>
      <c r="O108" s="19"/>
      <c r="P108" s="19"/>
      <c r="Q108" s="19"/>
    </row>
    <row r="109" ht="18.75" spans="1:17">
      <c r="A109" s="14">
        <v>104</v>
      </c>
      <c r="B109" s="15" t="s">
        <v>92</v>
      </c>
      <c r="C109" s="15" t="s">
        <v>345</v>
      </c>
      <c r="D109" s="16">
        <v>14899032.9119</v>
      </c>
      <c r="E109" s="16">
        <v>2310197.5926</v>
      </c>
      <c r="F109" s="17">
        <f t="shared" si="1"/>
        <v>17209230.5045</v>
      </c>
      <c r="G109" s="18"/>
      <c r="H109" s="18"/>
      <c r="I109" s="19"/>
      <c r="J109" s="19"/>
      <c r="K109" s="19"/>
      <c r="L109" s="19"/>
      <c r="M109" s="18"/>
      <c r="N109" s="18"/>
      <c r="O109" s="19"/>
      <c r="P109" s="19"/>
      <c r="Q109" s="19"/>
    </row>
    <row r="110" ht="18.75" spans="1:17">
      <c r="A110" s="14">
        <v>105</v>
      </c>
      <c r="B110" s="15" t="s">
        <v>92</v>
      </c>
      <c r="C110" s="15" t="s">
        <v>347</v>
      </c>
      <c r="D110" s="16">
        <v>19092781.1386</v>
      </c>
      <c r="E110" s="16">
        <v>2960467.1178</v>
      </c>
      <c r="F110" s="17">
        <f t="shared" si="1"/>
        <v>22053248.2564</v>
      </c>
      <c r="G110" s="18"/>
      <c r="H110" s="18"/>
      <c r="I110" s="19"/>
      <c r="J110" s="19"/>
      <c r="K110" s="19"/>
      <c r="L110" s="19"/>
      <c r="M110" s="18"/>
      <c r="N110" s="18"/>
      <c r="O110" s="19"/>
      <c r="P110" s="19"/>
      <c r="Q110" s="19"/>
    </row>
    <row r="111" ht="18.75" spans="1:17">
      <c r="A111" s="14">
        <v>106</v>
      </c>
      <c r="B111" s="15" t="s">
        <v>92</v>
      </c>
      <c r="C111" s="15" t="s">
        <v>349</v>
      </c>
      <c r="D111" s="16">
        <v>14313478.8615</v>
      </c>
      <c r="E111" s="16">
        <v>2219403.4072</v>
      </c>
      <c r="F111" s="17">
        <f t="shared" si="1"/>
        <v>16532882.2687</v>
      </c>
      <c r="G111" s="18"/>
      <c r="H111" s="18"/>
      <c r="I111" s="19"/>
      <c r="J111" s="19"/>
      <c r="K111" s="19"/>
      <c r="L111" s="19"/>
      <c r="M111" s="18"/>
      <c r="N111" s="18"/>
      <c r="O111" s="19"/>
      <c r="P111" s="19"/>
      <c r="Q111" s="19"/>
    </row>
    <row r="112" ht="37.5" spans="1:17">
      <c r="A112" s="14">
        <v>107</v>
      </c>
      <c r="B112" s="15" t="s">
        <v>92</v>
      </c>
      <c r="C112" s="15" t="s">
        <v>351</v>
      </c>
      <c r="D112" s="16">
        <v>14078403.9703</v>
      </c>
      <c r="E112" s="16">
        <v>2182953.4274</v>
      </c>
      <c r="F112" s="17">
        <f t="shared" si="1"/>
        <v>16261357.3977</v>
      </c>
      <c r="G112" s="18"/>
      <c r="H112" s="18"/>
      <c r="I112" s="19"/>
      <c r="J112" s="19"/>
      <c r="K112" s="19"/>
      <c r="L112" s="19"/>
      <c r="M112" s="18"/>
      <c r="N112" s="18"/>
      <c r="O112" s="19"/>
      <c r="P112" s="19"/>
      <c r="Q112" s="19"/>
    </row>
    <row r="113" ht="18.75" spans="1:17">
      <c r="A113" s="14">
        <v>108</v>
      </c>
      <c r="B113" s="15" t="s">
        <v>92</v>
      </c>
      <c r="C113" s="15" t="s">
        <v>353</v>
      </c>
      <c r="D113" s="16">
        <v>19798596.3209</v>
      </c>
      <c r="E113" s="16">
        <v>3069908.6195</v>
      </c>
      <c r="F113" s="17">
        <f t="shared" si="1"/>
        <v>22868504.9404</v>
      </c>
      <c r="G113" s="18"/>
      <c r="H113" s="18"/>
      <c r="I113" s="19"/>
      <c r="J113" s="19"/>
      <c r="K113" s="19"/>
      <c r="L113" s="19"/>
      <c r="M113" s="18"/>
      <c r="N113" s="18"/>
      <c r="O113" s="19"/>
      <c r="P113" s="19"/>
      <c r="Q113" s="19"/>
    </row>
    <row r="114" ht="18.75" spans="1:17">
      <c r="A114" s="14">
        <v>109</v>
      </c>
      <c r="B114" s="15" t="s">
        <v>92</v>
      </c>
      <c r="C114" s="15" t="s">
        <v>355</v>
      </c>
      <c r="D114" s="16">
        <v>11019066.9544</v>
      </c>
      <c r="E114" s="16">
        <v>1708582.1678</v>
      </c>
      <c r="F114" s="17">
        <f t="shared" si="1"/>
        <v>12727649.1222</v>
      </c>
      <c r="G114" s="18"/>
      <c r="H114" s="18"/>
      <c r="I114" s="19"/>
      <c r="J114" s="19"/>
      <c r="K114" s="19"/>
      <c r="L114" s="19"/>
      <c r="M114" s="18"/>
      <c r="N114" s="18"/>
      <c r="O114" s="19"/>
      <c r="P114" s="19"/>
      <c r="Q114" s="19"/>
    </row>
    <row r="115" ht="18.75" spans="1:17">
      <c r="A115" s="14">
        <v>110</v>
      </c>
      <c r="B115" s="15" t="s">
        <v>92</v>
      </c>
      <c r="C115" s="15" t="s">
        <v>357</v>
      </c>
      <c r="D115" s="16">
        <v>12330013.4092</v>
      </c>
      <c r="E115" s="16">
        <v>1911853.438</v>
      </c>
      <c r="F115" s="17">
        <f t="shared" si="1"/>
        <v>14241866.8472</v>
      </c>
      <c r="G115" s="18"/>
      <c r="H115" s="18"/>
      <c r="I115" s="19"/>
      <c r="J115" s="19"/>
      <c r="K115" s="19"/>
      <c r="L115" s="19"/>
      <c r="M115" s="18"/>
      <c r="N115" s="18"/>
      <c r="O115" s="19"/>
      <c r="P115" s="19"/>
      <c r="Q115" s="19"/>
    </row>
    <row r="116" ht="18.75" spans="1:17">
      <c r="A116" s="14">
        <v>111</v>
      </c>
      <c r="B116" s="15" t="s">
        <v>93</v>
      </c>
      <c r="C116" s="15" t="s">
        <v>362</v>
      </c>
      <c r="D116" s="16">
        <v>14001645.7926</v>
      </c>
      <c r="E116" s="16">
        <v>2171051.5437</v>
      </c>
      <c r="F116" s="17">
        <f t="shared" si="1"/>
        <v>16172697.3363</v>
      </c>
      <c r="G116" s="18"/>
      <c r="H116" s="18"/>
      <c r="I116" s="19"/>
      <c r="J116" s="19"/>
      <c r="K116" s="19"/>
      <c r="L116" s="19"/>
      <c r="M116" s="18"/>
      <c r="N116" s="18"/>
      <c r="O116" s="19"/>
      <c r="P116" s="19"/>
      <c r="Q116" s="19"/>
    </row>
    <row r="117" ht="18.75" spans="1:17">
      <c r="A117" s="14">
        <v>112</v>
      </c>
      <c r="B117" s="15" t="s">
        <v>93</v>
      </c>
      <c r="C117" s="15" t="s">
        <v>364</v>
      </c>
      <c r="D117" s="16">
        <v>16073961.9645</v>
      </c>
      <c r="E117" s="16">
        <v>2492378.4285</v>
      </c>
      <c r="F117" s="17">
        <f t="shared" si="1"/>
        <v>18566340.393</v>
      </c>
      <c r="G117" s="18"/>
      <c r="H117" s="18"/>
      <c r="I117" s="19"/>
      <c r="J117" s="19"/>
      <c r="K117" s="19"/>
      <c r="L117" s="19"/>
      <c r="M117" s="18"/>
      <c r="N117" s="18"/>
      <c r="O117" s="19"/>
      <c r="P117" s="19"/>
      <c r="Q117" s="19"/>
    </row>
    <row r="118" ht="37.5" spans="1:17">
      <c r="A118" s="14">
        <v>113</v>
      </c>
      <c r="B118" s="15" t="s">
        <v>93</v>
      </c>
      <c r="C118" s="15" t="s">
        <v>366</v>
      </c>
      <c r="D118" s="16">
        <v>10697238.7611</v>
      </c>
      <c r="E118" s="16">
        <v>1658680.4915</v>
      </c>
      <c r="F118" s="17">
        <f t="shared" si="1"/>
        <v>12355919.2526</v>
      </c>
      <c r="G118" s="18"/>
      <c r="H118" s="18"/>
      <c r="I118" s="19"/>
      <c r="J118" s="19"/>
      <c r="K118" s="19"/>
      <c r="L118" s="19"/>
      <c r="M118" s="18"/>
      <c r="N118" s="18"/>
      <c r="O118" s="19"/>
      <c r="P118" s="19"/>
      <c r="Q118" s="19"/>
    </row>
    <row r="119" ht="18.75" spans="1:17">
      <c r="A119" s="14">
        <v>114</v>
      </c>
      <c r="B119" s="15" t="s">
        <v>93</v>
      </c>
      <c r="C119" s="15" t="s">
        <v>368</v>
      </c>
      <c r="D119" s="16">
        <v>13190178.6651</v>
      </c>
      <c r="E119" s="16">
        <v>2045227.9808</v>
      </c>
      <c r="F119" s="17">
        <f t="shared" si="1"/>
        <v>15235406.6459</v>
      </c>
      <c r="G119" s="18"/>
      <c r="H119" s="18"/>
      <c r="I119" s="19"/>
      <c r="J119" s="19"/>
      <c r="K119" s="19"/>
      <c r="L119" s="19"/>
      <c r="M119" s="18"/>
      <c r="N119" s="18"/>
      <c r="O119" s="19"/>
      <c r="P119" s="19"/>
      <c r="Q119" s="19"/>
    </row>
    <row r="120" ht="18.75" spans="1:17">
      <c r="A120" s="14">
        <v>115</v>
      </c>
      <c r="B120" s="15" t="s">
        <v>93</v>
      </c>
      <c r="C120" s="15" t="s">
        <v>370</v>
      </c>
      <c r="D120" s="16">
        <v>13861727.8032</v>
      </c>
      <c r="E120" s="16">
        <v>2149356.2965</v>
      </c>
      <c r="F120" s="17">
        <f t="shared" si="1"/>
        <v>16011084.0997</v>
      </c>
      <c r="G120" s="18"/>
      <c r="H120" s="18"/>
      <c r="I120" s="19"/>
      <c r="J120" s="19"/>
      <c r="K120" s="19"/>
      <c r="L120" s="19"/>
      <c r="M120" s="18"/>
      <c r="N120" s="18"/>
      <c r="O120" s="19"/>
      <c r="P120" s="19"/>
      <c r="Q120" s="19"/>
    </row>
    <row r="121" ht="18.75" spans="1:17">
      <c r="A121" s="14">
        <v>116</v>
      </c>
      <c r="B121" s="15" t="s">
        <v>93</v>
      </c>
      <c r="C121" s="15" t="s">
        <v>372</v>
      </c>
      <c r="D121" s="16">
        <v>13628230.2464</v>
      </c>
      <c r="E121" s="16">
        <v>2113150.8933</v>
      </c>
      <c r="F121" s="17">
        <f t="shared" si="1"/>
        <v>15741381.1397</v>
      </c>
      <c r="G121" s="18"/>
      <c r="H121" s="18"/>
      <c r="I121" s="19"/>
      <c r="J121" s="19"/>
      <c r="K121" s="19"/>
      <c r="L121" s="19"/>
      <c r="M121" s="18"/>
      <c r="N121" s="18"/>
      <c r="O121" s="19"/>
      <c r="P121" s="19"/>
      <c r="Q121" s="19"/>
    </row>
    <row r="122" ht="18.75" spans="1:17">
      <c r="A122" s="14">
        <v>117</v>
      </c>
      <c r="B122" s="15" t="s">
        <v>93</v>
      </c>
      <c r="C122" s="15" t="s">
        <v>374</v>
      </c>
      <c r="D122" s="16">
        <v>18828332.2888</v>
      </c>
      <c r="E122" s="16">
        <v>2919462.5037</v>
      </c>
      <c r="F122" s="17">
        <f t="shared" si="1"/>
        <v>21747794.7925</v>
      </c>
      <c r="G122" s="18"/>
      <c r="H122" s="18"/>
      <c r="I122" s="19"/>
      <c r="J122" s="19"/>
      <c r="K122" s="19"/>
      <c r="L122" s="19"/>
      <c r="M122" s="18"/>
      <c r="N122" s="18"/>
      <c r="O122" s="19"/>
      <c r="P122" s="19"/>
      <c r="Q122" s="19"/>
    </row>
    <row r="123" ht="18.75" spans="1:17">
      <c r="A123" s="14">
        <v>118</v>
      </c>
      <c r="B123" s="15" t="s">
        <v>93</v>
      </c>
      <c r="C123" s="15" t="s">
        <v>376</v>
      </c>
      <c r="D123" s="16">
        <v>17379254.5116</v>
      </c>
      <c r="E123" s="16">
        <v>2694773.0213</v>
      </c>
      <c r="F123" s="17">
        <f t="shared" si="1"/>
        <v>20074027.5329</v>
      </c>
      <c r="G123" s="18"/>
      <c r="H123" s="18"/>
      <c r="I123" s="19"/>
      <c r="J123" s="19"/>
      <c r="K123" s="19"/>
      <c r="L123" s="19"/>
      <c r="M123" s="18"/>
      <c r="N123" s="18"/>
      <c r="O123" s="19"/>
      <c r="P123" s="19"/>
      <c r="Q123" s="19"/>
    </row>
    <row r="124" ht="18.75" spans="1:17">
      <c r="A124" s="14">
        <v>119</v>
      </c>
      <c r="B124" s="15" t="s">
        <v>94</v>
      </c>
      <c r="C124" s="15" t="s">
        <v>381</v>
      </c>
      <c r="D124" s="16">
        <v>13848111.1842</v>
      </c>
      <c r="E124" s="16">
        <v>2147244.946</v>
      </c>
      <c r="F124" s="17">
        <f t="shared" si="1"/>
        <v>15995356.1302</v>
      </c>
      <c r="G124" s="18"/>
      <c r="H124" s="18"/>
      <c r="I124" s="19"/>
      <c r="J124" s="19"/>
      <c r="K124" s="19"/>
      <c r="L124" s="19"/>
      <c r="M124" s="18"/>
      <c r="N124" s="18"/>
      <c r="O124" s="19"/>
      <c r="P124" s="19"/>
      <c r="Q124" s="19"/>
    </row>
    <row r="125" ht="18.75" spans="1:17">
      <c r="A125" s="14">
        <v>120</v>
      </c>
      <c r="B125" s="15" t="s">
        <v>94</v>
      </c>
      <c r="C125" s="15" t="s">
        <v>383</v>
      </c>
      <c r="D125" s="16">
        <v>12218862.7924</v>
      </c>
      <c r="E125" s="16">
        <v>1894618.7699</v>
      </c>
      <c r="F125" s="17">
        <f t="shared" si="1"/>
        <v>14113481.5623</v>
      </c>
      <c r="G125" s="18"/>
      <c r="H125" s="18"/>
      <c r="I125" s="19"/>
      <c r="J125" s="19"/>
      <c r="K125" s="19"/>
      <c r="L125" s="19"/>
      <c r="M125" s="18"/>
      <c r="N125" s="18"/>
      <c r="O125" s="19"/>
      <c r="P125" s="19"/>
      <c r="Q125" s="19"/>
    </row>
    <row r="126" ht="18.75" spans="1:17">
      <c r="A126" s="14">
        <v>121</v>
      </c>
      <c r="B126" s="15" t="s">
        <v>94</v>
      </c>
      <c r="C126" s="15" t="s">
        <v>385</v>
      </c>
      <c r="D126" s="16">
        <v>11831491.9375</v>
      </c>
      <c r="E126" s="16">
        <v>1834554.2528</v>
      </c>
      <c r="F126" s="17">
        <f t="shared" si="1"/>
        <v>13666046.1903</v>
      </c>
      <c r="G126" s="18"/>
      <c r="H126" s="18"/>
      <c r="I126" s="19"/>
      <c r="J126" s="19"/>
      <c r="K126" s="19"/>
      <c r="L126" s="19"/>
      <c r="M126" s="18"/>
      <c r="N126" s="18"/>
      <c r="O126" s="19"/>
      <c r="P126" s="19"/>
      <c r="Q126" s="19"/>
    </row>
    <row r="127" ht="18.75" spans="1:17">
      <c r="A127" s="14">
        <v>122</v>
      </c>
      <c r="B127" s="15" t="s">
        <v>94</v>
      </c>
      <c r="C127" s="15" t="s">
        <v>387</v>
      </c>
      <c r="D127" s="16">
        <v>14026079.0402</v>
      </c>
      <c r="E127" s="16">
        <v>2174840.0869</v>
      </c>
      <c r="F127" s="17">
        <f t="shared" si="1"/>
        <v>16200919.1271</v>
      </c>
      <c r="G127" s="18"/>
      <c r="H127" s="18"/>
      <c r="I127" s="19"/>
      <c r="J127" s="19"/>
      <c r="K127" s="19"/>
      <c r="L127" s="19"/>
      <c r="M127" s="18"/>
      <c r="N127" s="18"/>
      <c r="O127" s="19"/>
      <c r="P127" s="19"/>
      <c r="Q127" s="19"/>
    </row>
    <row r="128" ht="18.75" spans="1:17">
      <c r="A128" s="14">
        <v>123</v>
      </c>
      <c r="B128" s="15" t="s">
        <v>94</v>
      </c>
      <c r="C128" s="15" t="s">
        <v>389</v>
      </c>
      <c r="D128" s="16">
        <v>18203666.7996</v>
      </c>
      <c r="E128" s="16">
        <v>2822603.8204</v>
      </c>
      <c r="F128" s="17">
        <f t="shared" si="1"/>
        <v>21026270.62</v>
      </c>
      <c r="G128" s="18"/>
      <c r="H128" s="18"/>
      <c r="I128" s="19"/>
      <c r="J128" s="19"/>
      <c r="K128" s="19"/>
      <c r="L128" s="19"/>
      <c r="M128" s="18"/>
      <c r="N128" s="18"/>
      <c r="O128" s="19"/>
      <c r="P128" s="19"/>
      <c r="Q128" s="19"/>
    </row>
    <row r="129" ht="18.75" spans="1:17">
      <c r="A129" s="14">
        <v>124</v>
      </c>
      <c r="B129" s="15" t="s">
        <v>94</v>
      </c>
      <c r="C129" s="15" t="s">
        <v>391</v>
      </c>
      <c r="D129" s="16">
        <v>14872623.9329</v>
      </c>
      <c r="E129" s="16">
        <v>2306102.6987</v>
      </c>
      <c r="F129" s="17">
        <f t="shared" si="1"/>
        <v>17178726.6316</v>
      </c>
      <c r="G129" s="18"/>
      <c r="H129" s="18"/>
      <c r="I129" s="19"/>
      <c r="J129" s="19"/>
      <c r="K129" s="19"/>
      <c r="L129" s="19"/>
      <c r="M129" s="18"/>
      <c r="N129" s="18"/>
      <c r="O129" s="19"/>
      <c r="P129" s="19"/>
      <c r="Q129" s="19"/>
    </row>
    <row r="130" ht="18.75" spans="1:17">
      <c r="A130" s="14">
        <v>125</v>
      </c>
      <c r="B130" s="15" t="s">
        <v>94</v>
      </c>
      <c r="C130" s="15" t="s">
        <v>393</v>
      </c>
      <c r="D130" s="16">
        <v>14108072.137</v>
      </c>
      <c r="E130" s="16">
        <v>2187553.6809</v>
      </c>
      <c r="F130" s="17">
        <f t="shared" si="1"/>
        <v>16295625.8179</v>
      </c>
      <c r="G130" s="18"/>
      <c r="H130" s="18"/>
      <c r="I130" s="19"/>
      <c r="J130" s="19"/>
      <c r="K130" s="19"/>
      <c r="L130" s="19"/>
      <c r="M130" s="18"/>
      <c r="N130" s="18"/>
      <c r="O130" s="19"/>
      <c r="P130" s="19"/>
      <c r="Q130" s="19"/>
    </row>
    <row r="131" ht="18.75" spans="1:17">
      <c r="A131" s="14">
        <v>126</v>
      </c>
      <c r="B131" s="15" t="s">
        <v>94</v>
      </c>
      <c r="C131" s="15" t="s">
        <v>395</v>
      </c>
      <c r="D131" s="16">
        <v>12123807.0884</v>
      </c>
      <c r="E131" s="16">
        <v>1879879.7288</v>
      </c>
      <c r="F131" s="17">
        <f t="shared" si="1"/>
        <v>14003686.8172</v>
      </c>
      <c r="G131" s="18"/>
      <c r="H131" s="18"/>
      <c r="I131" s="19"/>
      <c r="J131" s="19"/>
      <c r="K131" s="19"/>
      <c r="L131" s="19"/>
      <c r="M131" s="18"/>
      <c r="N131" s="18"/>
      <c r="O131" s="19"/>
      <c r="P131" s="19"/>
      <c r="Q131" s="19"/>
    </row>
    <row r="132" ht="18.75" spans="1:17">
      <c r="A132" s="14">
        <v>127</v>
      </c>
      <c r="B132" s="15" t="s">
        <v>94</v>
      </c>
      <c r="C132" s="15" t="s">
        <v>397</v>
      </c>
      <c r="D132" s="16">
        <v>15315495.3071</v>
      </c>
      <c r="E132" s="16">
        <v>2374772.9532</v>
      </c>
      <c r="F132" s="17">
        <f t="shared" si="1"/>
        <v>17690268.2603</v>
      </c>
      <c r="G132" s="18"/>
      <c r="H132" s="18"/>
      <c r="I132" s="19"/>
      <c r="J132" s="19"/>
      <c r="K132" s="19"/>
      <c r="L132" s="19"/>
      <c r="M132" s="18"/>
      <c r="N132" s="18"/>
      <c r="O132" s="19"/>
      <c r="P132" s="19"/>
      <c r="Q132" s="19"/>
    </row>
    <row r="133" ht="18.75" spans="1:17">
      <c r="A133" s="14">
        <v>128</v>
      </c>
      <c r="B133" s="15" t="s">
        <v>94</v>
      </c>
      <c r="C133" s="15" t="s">
        <v>399</v>
      </c>
      <c r="D133" s="16">
        <v>14490194.7947</v>
      </c>
      <c r="E133" s="16">
        <v>2246804.4288</v>
      </c>
      <c r="F133" s="17">
        <f t="shared" si="1"/>
        <v>16736999.2235</v>
      </c>
      <c r="G133" s="18"/>
      <c r="H133" s="18"/>
      <c r="I133" s="19"/>
      <c r="J133" s="19"/>
      <c r="K133" s="19"/>
      <c r="L133" s="19"/>
      <c r="M133" s="18"/>
      <c r="N133" s="18"/>
      <c r="O133" s="19"/>
      <c r="P133" s="19"/>
      <c r="Q133" s="19"/>
    </row>
    <row r="134" ht="18.75" spans="1:17">
      <c r="A134" s="14">
        <v>129</v>
      </c>
      <c r="B134" s="15" t="s">
        <v>94</v>
      </c>
      <c r="C134" s="15" t="s">
        <v>401</v>
      </c>
      <c r="D134" s="16">
        <v>16590305.9698</v>
      </c>
      <c r="E134" s="16">
        <v>2572441.1201</v>
      </c>
      <c r="F134" s="17">
        <f t="shared" si="1"/>
        <v>19162747.0899</v>
      </c>
      <c r="G134" s="18"/>
      <c r="H134" s="18"/>
      <c r="I134" s="19"/>
      <c r="J134" s="19"/>
      <c r="K134" s="19"/>
      <c r="L134" s="19"/>
      <c r="M134" s="18"/>
      <c r="N134" s="18"/>
      <c r="O134" s="19"/>
      <c r="P134" s="19"/>
      <c r="Q134" s="19"/>
    </row>
    <row r="135" ht="18.75" spans="1:17">
      <c r="A135" s="14">
        <v>130</v>
      </c>
      <c r="B135" s="15" t="s">
        <v>94</v>
      </c>
      <c r="C135" s="15" t="s">
        <v>403</v>
      </c>
      <c r="D135" s="16">
        <v>12740377.7992</v>
      </c>
      <c r="E135" s="16">
        <v>1975483.2609</v>
      </c>
      <c r="F135" s="17">
        <f t="shared" ref="F135:F198" si="2">D135+E135</f>
        <v>14715861.0601</v>
      </c>
      <c r="G135" s="18"/>
      <c r="H135" s="18"/>
      <c r="I135" s="19"/>
      <c r="J135" s="19"/>
      <c r="K135" s="19"/>
      <c r="L135" s="19"/>
      <c r="M135" s="18"/>
      <c r="N135" s="18"/>
      <c r="O135" s="19"/>
      <c r="P135" s="19"/>
      <c r="Q135" s="19"/>
    </row>
    <row r="136" ht="18.75" spans="1:17">
      <c r="A136" s="14">
        <v>131</v>
      </c>
      <c r="B136" s="15" t="s">
        <v>94</v>
      </c>
      <c r="C136" s="15" t="s">
        <v>405</v>
      </c>
      <c r="D136" s="16">
        <v>15304188.2724</v>
      </c>
      <c r="E136" s="16">
        <v>2373019.7197</v>
      </c>
      <c r="F136" s="17">
        <f t="shared" si="2"/>
        <v>17677207.9921</v>
      </c>
      <c r="G136" s="18"/>
      <c r="H136" s="18"/>
      <c r="I136" s="19"/>
      <c r="J136" s="19"/>
      <c r="K136" s="19"/>
      <c r="L136" s="19"/>
      <c r="M136" s="18"/>
      <c r="N136" s="18"/>
      <c r="O136" s="19"/>
      <c r="P136" s="19"/>
      <c r="Q136" s="19"/>
    </row>
    <row r="137" ht="18.75" spans="1:17">
      <c r="A137" s="14">
        <v>132</v>
      </c>
      <c r="B137" s="15" t="s">
        <v>94</v>
      </c>
      <c r="C137" s="15" t="s">
        <v>407</v>
      </c>
      <c r="D137" s="16">
        <v>11305265.115</v>
      </c>
      <c r="E137" s="16">
        <v>1752959.1623</v>
      </c>
      <c r="F137" s="17">
        <f t="shared" si="2"/>
        <v>13058224.2773</v>
      </c>
      <c r="G137" s="18"/>
      <c r="H137" s="18"/>
      <c r="I137" s="19"/>
      <c r="J137" s="19"/>
      <c r="K137" s="19"/>
      <c r="L137" s="19"/>
      <c r="M137" s="18"/>
      <c r="N137" s="18"/>
      <c r="O137" s="19"/>
      <c r="P137" s="19"/>
      <c r="Q137" s="19"/>
    </row>
    <row r="138" ht="18.75" spans="1:17">
      <c r="A138" s="14">
        <v>133</v>
      </c>
      <c r="B138" s="15" t="s">
        <v>94</v>
      </c>
      <c r="C138" s="15" t="s">
        <v>409</v>
      </c>
      <c r="D138" s="16">
        <v>11876420.2205</v>
      </c>
      <c r="E138" s="16">
        <v>1841520.6923</v>
      </c>
      <c r="F138" s="17">
        <f t="shared" si="2"/>
        <v>13717940.9128</v>
      </c>
      <c r="G138" s="18"/>
      <c r="H138" s="18"/>
      <c r="I138" s="19"/>
      <c r="J138" s="19"/>
      <c r="K138" s="19"/>
      <c r="L138" s="19"/>
      <c r="M138" s="18"/>
      <c r="N138" s="18"/>
      <c r="O138" s="19"/>
      <c r="P138" s="19"/>
      <c r="Q138" s="19"/>
    </row>
    <row r="139" ht="18.75" spans="1:17">
      <c r="A139" s="14">
        <v>134</v>
      </c>
      <c r="B139" s="15" t="s">
        <v>94</v>
      </c>
      <c r="C139" s="15" t="s">
        <v>411</v>
      </c>
      <c r="D139" s="16">
        <v>10832743.6066</v>
      </c>
      <c r="E139" s="16">
        <v>1679691.4504</v>
      </c>
      <c r="F139" s="17">
        <f t="shared" si="2"/>
        <v>12512435.057</v>
      </c>
      <c r="G139" s="18"/>
      <c r="H139" s="18"/>
      <c r="I139" s="19"/>
      <c r="J139" s="19"/>
      <c r="K139" s="19"/>
      <c r="L139" s="19"/>
      <c r="M139" s="18"/>
      <c r="N139" s="18"/>
      <c r="O139" s="19"/>
      <c r="P139" s="19"/>
      <c r="Q139" s="19"/>
    </row>
    <row r="140" ht="18.75" spans="1:17">
      <c r="A140" s="14">
        <v>135</v>
      </c>
      <c r="B140" s="15" t="s">
        <v>94</v>
      </c>
      <c r="C140" s="15" t="s">
        <v>413</v>
      </c>
      <c r="D140" s="16">
        <v>13706729.9319</v>
      </c>
      <c r="E140" s="16">
        <v>2125322.8098</v>
      </c>
      <c r="F140" s="17">
        <f t="shared" si="2"/>
        <v>15832052.7417</v>
      </c>
      <c r="G140" s="18"/>
      <c r="H140" s="18"/>
      <c r="I140" s="19"/>
      <c r="J140" s="19"/>
      <c r="K140" s="19"/>
      <c r="L140" s="19"/>
      <c r="M140" s="18"/>
      <c r="N140" s="18"/>
      <c r="O140" s="19"/>
      <c r="P140" s="19"/>
      <c r="Q140" s="19"/>
    </row>
    <row r="141" ht="18.75" spans="1:17">
      <c r="A141" s="14">
        <v>136</v>
      </c>
      <c r="B141" s="15" t="s">
        <v>94</v>
      </c>
      <c r="C141" s="15" t="s">
        <v>415</v>
      </c>
      <c r="D141" s="16">
        <v>12844598.7631</v>
      </c>
      <c r="E141" s="16">
        <v>1991643.4386</v>
      </c>
      <c r="F141" s="17">
        <f t="shared" si="2"/>
        <v>14836242.2017</v>
      </c>
      <c r="G141" s="18"/>
      <c r="H141" s="18"/>
      <c r="I141" s="19"/>
      <c r="J141" s="19"/>
      <c r="K141" s="19"/>
      <c r="L141" s="19"/>
      <c r="M141" s="18"/>
      <c r="N141" s="18"/>
      <c r="O141" s="19"/>
      <c r="P141" s="19"/>
      <c r="Q141" s="19"/>
    </row>
    <row r="142" ht="18.75" spans="1:17">
      <c r="A142" s="14">
        <v>137</v>
      </c>
      <c r="B142" s="15" t="s">
        <v>94</v>
      </c>
      <c r="C142" s="15" t="s">
        <v>417</v>
      </c>
      <c r="D142" s="16">
        <v>15043389.489</v>
      </c>
      <c r="E142" s="16">
        <v>2332581.0734</v>
      </c>
      <c r="F142" s="17">
        <f t="shared" si="2"/>
        <v>17375970.5624</v>
      </c>
      <c r="G142" s="18"/>
      <c r="H142" s="18"/>
      <c r="I142" s="19"/>
      <c r="J142" s="19"/>
      <c r="K142" s="19"/>
      <c r="L142" s="19"/>
      <c r="M142" s="18"/>
      <c r="N142" s="18"/>
      <c r="O142" s="19"/>
      <c r="P142" s="19"/>
      <c r="Q142" s="19"/>
    </row>
    <row r="143" ht="18.75" spans="1:17">
      <c r="A143" s="14">
        <v>138</v>
      </c>
      <c r="B143" s="15" t="s">
        <v>94</v>
      </c>
      <c r="C143" s="15" t="s">
        <v>419</v>
      </c>
      <c r="D143" s="16">
        <v>10426238.5466</v>
      </c>
      <c r="E143" s="16">
        <v>1616660.0432</v>
      </c>
      <c r="F143" s="17">
        <f t="shared" si="2"/>
        <v>12042898.5898</v>
      </c>
      <c r="G143" s="18"/>
      <c r="H143" s="18"/>
      <c r="I143" s="19"/>
      <c r="J143" s="19"/>
      <c r="K143" s="19"/>
      <c r="L143" s="19"/>
      <c r="M143" s="18"/>
      <c r="N143" s="18"/>
      <c r="O143" s="19"/>
      <c r="P143" s="19"/>
      <c r="Q143" s="19"/>
    </row>
    <row r="144" ht="18.75" spans="1:17">
      <c r="A144" s="14">
        <v>139</v>
      </c>
      <c r="B144" s="15" t="s">
        <v>94</v>
      </c>
      <c r="C144" s="15" t="s">
        <v>421</v>
      </c>
      <c r="D144" s="16">
        <v>14256039.285</v>
      </c>
      <c r="E144" s="16">
        <v>2210497.0055</v>
      </c>
      <c r="F144" s="17">
        <f t="shared" si="2"/>
        <v>16466536.2905</v>
      </c>
      <c r="G144" s="18"/>
      <c r="H144" s="18"/>
      <c r="I144" s="19"/>
      <c r="J144" s="19"/>
      <c r="K144" s="19"/>
      <c r="L144" s="19"/>
      <c r="M144" s="18"/>
      <c r="N144" s="18"/>
      <c r="O144" s="19"/>
      <c r="P144" s="19"/>
      <c r="Q144" s="19"/>
    </row>
    <row r="145" ht="18.75" spans="1:17">
      <c r="A145" s="14">
        <v>140</v>
      </c>
      <c r="B145" s="15" t="s">
        <v>94</v>
      </c>
      <c r="C145" s="15" t="s">
        <v>423</v>
      </c>
      <c r="D145" s="16">
        <v>13881363.9353</v>
      </c>
      <c r="E145" s="16">
        <v>2152401.0139</v>
      </c>
      <c r="F145" s="17">
        <f t="shared" si="2"/>
        <v>16033764.9492</v>
      </c>
      <c r="G145" s="18"/>
      <c r="H145" s="18"/>
      <c r="I145" s="19"/>
      <c r="J145" s="19"/>
      <c r="K145" s="19"/>
      <c r="L145" s="19"/>
      <c r="M145" s="18"/>
      <c r="N145" s="18"/>
      <c r="O145" s="19"/>
      <c r="P145" s="19"/>
      <c r="Q145" s="19"/>
    </row>
    <row r="146" ht="18.75" spans="1:17">
      <c r="A146" s="14">
        <v>141</v>
      </c>
      <c r="B146" s="15" t="s">
        <v>94</v>
      </c>
      <c r="C146" s="15" t="s">
        <v>425</v>
      </c>
      <c r="D146" s="16">
        <v>14702820.6271</v>
      </c>
      <c r="E146" s="16">
        <v>2279773.5275</v>
      </c>
      <c r="F146" s="17">
        <f t="shared" si="2"/>
        <v>16982594.1546</v>
      </c>
      <c r="G146" s="18"/>
      <c r="H146" s="18"/>
      <c r="I146" s="19"/>
      <c r="J146" s="19"/>
      <c r="K146" s="19"/>
      <c r="L146" s="19"/>
      <c r="M146" s="18"/>
      <c r="N146" s="18"/>
      <c r="O146" s="19"/>
      <c r="P146" s="19"/>
      <c r="Q146" s="19"/>
    </row>
    <row r="147" ht="18.75" spans="1:17">
      <c r="A147" s="14">
        <v>142</v>
      </c>
      <c r="B147" s="15" t="s">
        <v>95</v>
      </c>
      <c r="C147" s="15" t="s">
        <v>429</v>
      </c>
      <c r="D147" s="16">
        <v>12347424.8558</v>
      </c>
      <c r="E147" s="16">
        <v>1914553.2026</v>
      </c>
      <c r="F147" s="17">
        <f t="shared" si="2"/>
        <v>14261978.0584</v>
      </c>
      <c r="G147" s="18"/>
      <c r="H147" s="18"/>
      <c r="I147" s="19"/>
      <c r="J147" s="19"/>
      <c r="K147" s="19"/>
      <c r="L147" s="19"/>
      <c r="M147" s="18"/>
      <c r="N147" s="18"/>
      <c r="O147" s="19"/>
      <c r="P147" s="19"/>
      <c r="Q147" s="19"/>
    </row>
    <row r="148" ht="18.75" spans="1:17">
      <c r="A148" s="14">
        <v>143</v>
      </c>
      <c r="B148" s="15" t="s">
        <v>95</v>
      </c>
      <c r="C148" s="15" t="s">
        <v>431</v>
      </c>
      <c r="D148" s="16">
        <v>11939508.7612</v>
      </c>
      <c r="E148" s="16">
        <v>1851303.0047</v>
      </c>
      <c r="F148" s="17">
        <f t="shared" si="2"/>
        <v>13790811.7659</v>
      </c>
      <c r="G148" s="18"/>
      <c r="H148" s="18"/>
      <c r="I148" s="19"/>
      <c r="J148" s="19"/>
      <c r="K148" s="19"/>
      <c r="L148" s="19"/>
      <c r="M148" s="18"/>
      <c r="N148" s="18"/>
      <c r="O148" s="19"/>
      <c r="P148" s="19"/>
      <c r="Q148" s="19"/>
    </row>
    <row r="149" ht="18.75" spans="1:17">
      <c r="A149" s="14">
        <v>144</v>
      </c>
      <c r="B149" s="15" t="s">
        <v>95</v>
      </c>
      <c r="C149" s="15" t="s">
        <v>433</v>
      </c>
      <c r="D149" s="16">
        <v>16750613.5576</v>
      </c>
      <c r="E149" s="16">
        <v>2597297.9149</v>
      </c>
      <c r="F149" s="17">
        <f t="shared" si="2"/>
        <v>19347911.4725</v>
      </c>
      <c r="G149" s="18"/>
      <c r="H149" s="18"/>
      <c r="I149" s="19"/>
      <c r="J149" s="19"/>
      <c r="K149" s="19"/>
      <c r="L149" s="19"/>
      <c r="M149" s="18"/>
      <c r="N149" s="18"/>
      <c r="O149" s="19"/>
      <c r="P149" s="19"/>
      <c r="Q149" s="19"/>
    </row>
    <row r="150" ht="18.75" spans="1:17">
      <c r="A150" s="14">
        <v>145</v>
      </c>
      <c r="B150" s="15" t="s">
        <v>95</v>
      </c>
      <c r="C150" s="15" t="s">
        <v>435</v>
      </c>
      <c r="D150" s="16">
        <v>9648859.8967</v>
      </c>
      <c r="E150" s="16">
        <v>1496122.1334</v>
      </c>
      <c r="F150" s="17">
        <f t="shared" si="2"/>
        <v>11144982.0301</v>
      </c>
      <c r="G150" s="18"/>
      <c r="H150" s="18"/>
      <c r="I150" s="19"/>
      <c r="J150" s="19"/>
      <c r="K150" s="19"/>
      <c r="L150" s="19"/>
      <c r="M150" s="18"/>
      <c r="N150" s="18"/>
      <c r="O150" s="19"/>
      <c r="P150" s="19"/>
      <c r="Q150" s="19"/>
    </row>
    <row r="151" ht="18.75" spans="1:17">
      <c r="A151" s="14">
        <v>146</v>
      </c>
      <c r="B151" s="15" t="s">
        <v>95</v>
      </c>
      <c r="C151" s="15" t="s">
        <v>437</v>
      </c>
      <c r="D151" s="16">
        <v>13354806.0034</v>
      </c>
      <c r="E151" s="16">
        <v>2070754.5826</v>
      </c>
      <c r="F151" s="17">
        <f t="shared" si="2"/>
        <v>15425560.586</v>
      </c>
      <c r="G151" s="18"/>
      <c r="H151" s="18"/>
      <c r="I151" s="19"/>
      <c r="J151" s="19"/>
      <c r="K151" s="19"/>
      <c r="L151" s="19"/>
      <c r="M151" s="18"/>
      <c r="N151" s="18"/>
      <c r="O151" s="19"/>
      <c r="P151" s="19"/>
      <c r="Q151" s="19"/>
    </row>
    <row r="152" ht="18.75" spans="1:17">
      <c r="A152" s="14">
        <v>147</v>
      </c>
      <c r="B152" s="15" t="s">
        <v>95</v>
      </c>
      <c r="C152" s="15" t="s">
        <v>439</v>
      </c>
      <c r="D152" s="16">
        <v>9620741.1523</v>
      </c>
      <c r="E152" s="16">
        <v>1491762.1285</v>
      </c>
      <c r="F152" s="17">
        <f t="shared" si="2"/>
        <v>11112503.2808</v>
      </c>
      <c r="G152" s="18"/>
      <c r="H152" s="18"/>
      <c r="I152" s="19"/>
      <c r="J152" s="19"/>
      <c r="K152" s="19"/>
      <c r="L152" s="19"/>
      <c r="M152" s="18"/>
      <c r="N152" s="18"/>
      <c r="O152" s="19"/>
      <c r="P152" s="19"/>
      <c r="Q152" s="19"/>
    </row>
    <row r="153" ht="18.75" spans="1:17">
      <c r="A153" s="14">
        <v>148</v>
      </c>
      <c r="B153" s="15" t="s">
        <v>95</v>
      </c>
      <c r="C153" s="15" t="s">
        <v>441</v>
      </c>
      <c r="D153" s="16">
        <v>16127483.4967</v>
      </c>
      <c r="E153" s="16">
        <v>2500677.3104</v>
      </c>
      <c r="F153" s="17">
        <f t="shared" si="2"/>
        <v>18628160.8071</v>
      </c>
      <c r="G153" s="18"/>
      <c r="H153" s="18"/>
      <c r="I153" s="19"/>
      <c r="J153" s="19"/>
      <c r="K153" s="19"/>
      <c r="L153" s="19"/>
      <c r="M153" s="18"/>
      <c r="N153" s="18"/>
      <c r="O153" s="19"/>
      <c r="P153" s="19"/>
      <c r="Q153" s="19"/>
    </row>
    <row r="154" ht="18.75" spans="1:17">
      <c r="A154" s="14">
        <v>149</v>
      </c>
      <c r="B154" s="15" t="s">
        <v>95</v>
      </c>
      <c r="C154" s="15" t="s">
        <v>443</v>
      </c>
      <c r="D154" s="16">
        <v>10672612.7223</v>
      </c>
      <c r="E154" s="16">
        <v>1654862.0547</v>
      </c>
      <c r="F154" s="17">
        <f t="shared" si="2"/>
        <v>12327474.777</v>
      </c>
      <c r="G154" s="18"/>
      <c r="H154" s="18"/>
      <c r="I154" s="19"/>
      <c r="J154" s="19"/>
      <c r="K154" s="19"/>
      <c r="L154" s="19"/>
      <c r="M154" s="18"/>
      <c r="N154" s="18"/>
      <c r="O154" s="19"/>
      <c r="P154" s="19"/>
      <c r="Q154" s="19"/>
    </row>
    <row r="155" ht="18.75" spans="1:17">
      <c r="A155" s="14">
        <v>150</v>
      </c>
      <c r="B155" s="15" t="s">
        <v>95</v>
      </c>
      <c r="C155" s="15" t="s">
        <v>445</v>
      </c>
      <c r="D155" s="16">
        <v>12675345.9609</v>
      </c>
      <c r="E155" s="16">
        <v>1965399.6268</v>
      </c>
      <c r="F155" s="17">
        <f t="shared" si="2"/>
        <v>14640745.5877</v>
      </c>
      <c r="G155" s="18"/>
      <c r="H155" s="18"/>
      <c r="I155" s="19"/>
      <c r="J155" s="19"/>
      <c r="K155" s="19"/>
      <c r="L155" s="19"/>
      <c r="M155" s="18"/>
      <c r="N155" s="18"/>
      <c r="O155" s="19"/>
      <c r="P155" s="19"/>
      <c r="Q155" s="19"/>
    </row>
    <row r="156" ht="18.75" spans="1:17">
      <c r="A156" s="14">
        <v>151</v>
      </c>
      <c r="B156" s="15" t="s">
        <v>95</v>
      </c>
      <c r="C156" s="15" t="s">
        <v>447</v>
      </c>
      <c r="D156" s="16">
        <v>10803983.9255</v>
      </c>
      <c r="E156" s="16">
        <v>1675232.0639</v>
      </c>
      <c r="F156" s="17">
        <f t="shared" si="2"/>
        <v>12479215.9894</v>
      </c>
      <c r="G156" s="18"/>
      <c r="H156" s="18"/>
      <c r="I156" s="19"/>
      <c r="J156" s="19"/>
      <c r="K156" s="19"/>
      <c r="L156" s="19"/>
      <c r="M156" s="18"/>
      <c r="N156" s="18"/>
      <c r="O156" s="19"/>
      <c r="P156" s="19"/>
      <c r="Q156" s="19"/>
    </row>
    <row r="157" ht="18.75" spans="1:17">
      <c r="A157" s="14">
        <v>152</v>
      </c>
      <c r="B157" s="15" t="s">
        <v>95</v>
      </c>
      <c r="C157" s="15" t="s">
        <v>449</v>
      </c>
      <c r="D157" s="16">
        <v>15566353.7813</v>
      </c>
      <c r="E157" s="16">
        <v>2413670.2861</v>
      </c>
      <c r="F157" s="17">
        <f t="shared" si="2"/>
        <v>17980024.0674</v>
      </c>
      <c r="G157" s="18"/>
      <c r="H157" s="18"/>
      <c r="I157" s="19"/>
      <c r="J157" s="19"/>
      <c r="K157" s="19"/>
      <c r="L157" s="19"/>
      <c r="M157" s="18"/>
      <c r="N157" s="18"/>
      <c r="O157" s="19"/>
      <c r="P157" s="19"/>
      <c r="Q157" s="19"/>
    </row>
    <row r="158" ht="18.75" spans="1:17">
      <c r="A158" s="14">
        <v>153</v>
      </c>
      <c r="B158" s="15" t="s">
        <v>95</v>
      </c>
      <c r="C158" s="15" t="s">
        <v>451</v>
      </c>
      <c r="D158" s="16">
        <v>11024340.3385</v>
      </c>
      <c r="E158" s="16">
        <v>1709399.8423</v>
      </c>
      <c r="F158" s="17">
        <f t="shared" si="2"/>
        <v>12733740.1808</v>
      </c>
      <c r="G158" s="18"/>
      <c r="H158" s="18"/>
      <c r="I158" s="19"/>
      <c r="J158" s="19"/>
      <c r="K158" s="19"/>
      <c r="L158" s="19"/>
      <c r="M158" s="18"/>
      <c r="N158" s="18"/>
      <c r="O158" s="19"/>
      <c r="P158" s="19"/>
      <c r="Q158" s="19"/>
    </row>
    <row r="159" ht="18.75" spans="1:17">
      <c r="A159" s="14">
        <v>154</v>
      </c>
      <c r="B159" s="15" t="s">
        <v>95</v>
      </c>
      <c r="C159" s="15" t="s">
        <v>453</v>
      </c>
      <c r="D159" s="16">
        <v>12719520.9753</v>
      </c>
      <c r="E159" s="16">
        <v>1972249.2668</v>
      </c>
      <c r="F159" s="17">
        <f t="shared" si="2"/>
        <v>14691770.2421</v>
      </c>
      <c r="G159" s="18"/>
      <c r="H159" s="18"/>
      <c r="I159" s="19"/>
      <c r="J159" s="19"/>
      <c r="K159" s="19"/>
      <c r="L159" s="19"/>
      <c r="M159" s="18"/>
      <c r="N159" s="18"/>
      <c r="O159" s="19"/>
      <c r="P159" s="19"/>
      <c r="Q159" s="19"/>
    </row>
    <row r="160" ht="18.75" spans="1:17">
      <c r="A160" s="14">
        <v>155</v>
      </c>
      <c r="B160" s="15" t="s">
        <v>95</v>
      </c>
      <c r="C160" s="15" t="s">
        <v>455</v>
      </c>
      <c r="D160" s="16">
        <v>11243393.8163</v>
      </c>
      <c r="E160" s="16">
        <v>1743365.5917</v>
      </c>
      <c r="F160" s="17">
        <f t="shared" si="2"/>
        <v>12986759.408</v>
      </c>
      <c r="G160" s="18"/>
      <c r="H160" s="18"/>
      <c r="I160" s="19"/>
      <c r="J160" s="19"/>
      <c r="K160" s="19"/>
      <c r="L160" s="19"/>
      <c r="M160" s="18"/>
      <c r="N160" s="18"/>
      <c r="O160" s="19"/>
      <c r="P160" s="19"/>
      <c r="Q160" s="19"/>
    </row>
    <row r="161" ht="18.75" spans="1:17">
      <c r="A161" s="14">
        <v>156</v>
      </c>
      <c r="B161" s="15" t="s">
        <v>95</v>
      </c>
      <c r="C161" s="15" t="s">
        <v>457</v>
      </c>
      <c r="D161" s="16">
        <v>10347065.4042</v>
      </c>
      <c r="E161" s="16">
        <v>1604383.7025</v>
      </c>
      <c r="F161" s="17">
        <f t="shared" si="2"/>
        <v>11951449.1067</v>
      </c>
      <c r="G161" s="18"/>
      <c r="H161" s="18"/>
      <c r="I161" s="19"/>
      <c r="J161" s="19"/>
      <c r="K161" s="19"/>
      <c r="L161" s="19"/>
      <c r="M161" s="18"/>
      <c r="N161" s="18"/>
      <c r="O161" s="19"/>
      <c r="P161" s="19"/>
      <c r="Q161" s="19"/>
    </row>
    <row r="162" ht="18.75" spans="1:17">
      <c r="A162" s="14">
        <v>157</v>
      </c>
      <c r="B162" s="15" t="s">
        <v>95</v>
      </c>
      <c r="C162" s="15" t="s">
        <v>459</v>
      </c>
      <c r="D162" s="16">
        <v>15161346.9413</v>
      </c>
      <c r="E162" s="16">
        <v>2350871.1882</v>
      </c>
      <c r="F162" s="17">
        <f t="shared" si="2"/>
        <v>17512218.1295</v>
      </c>
      <c r="G162" s="18"/>
      <c r="H162" s="18"/>
      <c r="I162" s="19"/>
      <c r="J162" s="19"/>
      <c r="K162" s="19"/>
      <c r="L162" s="19"/>
      <c r="M162" s="18"/>
      <c r="N162" s="18"/>
      <c r="O162" s="19"/>
      <c r="P162" s="19"/>
      <c r="Q162" s="19"/>
    </row>
    <row r="163" ht="18.75" spans="1:17">
      <c r="A163" s="14">
        <v>158</v>
      </c>
      <c r="B163" s="15" t="s">
        <v>95</v>
      </c>
      <c r="C163" s="15" t="s">
        <v>461</v>
      </c>
      <c r="D163" s="16">
        <v>15625309.2392</v>
      </c>
      <c r="E163" s="16">
        <v>2422811.7356</v>
      </c>
      <c r="F163" s="17">
        <f t="shared" si="2"/>
        <v>18048120.9748</v>
      </c>
      <c r="G163" s="18"/>
      <c r="H163" s="18"/>
      <c r="I163" s="19"/>
      <c r="J163" s="19"/>
      <c r="K163" s="19"/>
      <c r="L163" s="19"/>
      <c r="M163" s="18"/>
      <c r="N163" s="18"/>
      <c r="O163" s="19"/>
      <c r="P163" s="19"/>
      <c r="Q163" s="19"/>
    </row>
    <row r="164" ht="18.75" spans="1:17">
      <c r="A164" s="14">
        <v>159</v>
      </c>
      <c r="B164" s="15" t="s">
        <v>95</v>
      </c>
      <c r="C164" s="15" t="s">
        <v>463</v>
      </c>
      <c r="D164" s="16">
        <v>8700179.834</v>
      </c>
      <c r="E164" s="16">
        <v>1349022.7605</v>
      </c>
      <c r="F164" s="17">
        <f t="shared" si="2"/>
        <v>10049202.5945</v>
      </c>
      <c r="G164" s="18"/>
      <c r="H164" s="18"/>
      <c r="I164" s="19"/>
      <c r="J164" s="19"/>
      <c r="K164" s="19"/>
      <c r="L164" s="19"/>
      <c r="M164" s="18"/>
      <c r="N164" s="18"/>
      <c r="O164" s="19"/>
      <c r="P164" s="19"/>
      <c r="Q164" s="19"/>
    </row>
    <row r="165" ht="18.75" spans="1:17">
      <c r="A165" s="14">
        <v>160</v>
      </c>
      <c r="B165" s="15" t="s">
        <v>95</v>
      </c>
      <c r="C165" s="15" t="s">
        <v>465</v>
      </c>
      <c r="D165" s="16">
        <v>11720834.5035</v>
      </c>
      <c r="E165" s="16">
        <v>1817396.0561</v>
      </c>
      <c r="F165" s="17">
        <f t="shared" si="2"/>
        <v>13538230.5596</v>
      </c>
      <c r="G165" s="18"/>
      <c r="H165" s="18"/>
      <c r="I165" s="19"/>
      <c r="J165" s="19"/>
      <c r="K165" s="19"/>
      <c r="L165" s="19"/>
      <c r="M165" s="18"/>
      <c r="N165" s="18"/>
      <c r="O165" s="19"/>
      <c r="P165" s="19"/>
      <c r="Q165" s="19"/>
    </row>
    <row r="166" ht="18.75" spans="1:17">
      <c r="A166" s="14">
        <v>161</v>
      </c>
      <c r="B166" s="15" t="s">
        <v>95</v>
      </c>
      <c r="C166" s="15" t="s">
        <v>467</v>
      </c>
      <c r="D166" s="16">
        <v>13870337.4951</v>
      </c>
      <c r="E166" s="16">
        <v>2150691.2885</v>
      </c>
      <c r="F166" s="17">
        <f t="shared" si="2"/>
        <v>16021028.7836</v>
      </c>
      <c r="G166" s="18"/>
      <c r="H166" s="18"/>
      <c r="I166" s="19"/>
      <c r="J166" s="19"/>
      <c r="K166" s="19"/>
      <c r="L166" s="19"/>
      <c r="M166" s="18"/>
      <c r="N166" s="18"/>
      <c r="O166" s="19"/>
      <c r="P166" s="19"/>
      <c r="Q166" s="19"/>
    </row>
    <row r="167" ht="37.5" spans="1:17">
      <c r="A167" s="14">
        <v>162</v>
      </c>
      <c r="B167" s="15" t="s">
        <v>95</v>
      </c>
      <c r="C167" s="15" t="s">
        <v>469</v>
      </c>
      <c r="D167" s="16">
        <v>20198525.8012</v>
      </c>
      <c r="E167" s="16">
        <v>3131920.4378</v>
      </c>
      <c r="F167" s="17">
        <f t="shared" si="2"/>
        <v>23330446.239</v>
      </c>
      <c r="G167" s="18"/>
      <c r="H167" s="18"/>
      <c r="I167" s="19"/>
      <c r="J167" s="19"/>
      <c r="K167" s="19"/>
      <c r="L167" s="19"/>
      <c r="M167" s="18"/>
      <c r="N167" s="18"/>
      <c r="O167" s="19"/>
      <c r="P167" s="19"/>
      <c r="Q167" s="19"/>
    </row>
    <row r="168" ht="18.75" spans="1:17">
      <c r="A168" s="14">
        <v>163</v>
      </c>
      <c r="B168" s="15" t="s">
        <v>95</v>
      </c>
      <c r="C168" s="15" t="s">
        <v>471</v>
      </c>
      <c r="D168" s="16">
        <v>12613153.1703</v>
      </c>
      <c r="E168" s="16">
        <v>1955756.2066</v>
      </c>
      <c r="F168" s="17">
        <f t="shared" si="2"/>
        <v>14568909.3769</v>
      </c>
      <c r="G168" s="18"/>
      <c r="H168" s="18"/>
      <c r="I168" s="19"/>
      <c r="J168" s="19"/>
      <c r="K168" s="19"/>
      <c r="L168" s="19"/>
      <c r="M168" s="18"/>
      <c r="N168" s="18"/>
      <c r="O168" s="19"/>
      <c r="P168" s="19"/>
      <c r="Q168" s="19"/>
    </row>
    <row r="169" ht="18.75" spans="1:17">
      <c r="A169" s="14">
        <v>164</v>
      </c>
      <c r="B169" s="15" t="s">
        <v>95</v>
      </c>
      <c r="C169" s="15" t="s">
        <v>473</v>
      </c>
      <c r="D169" s="16">
        <v>11745611.3873</v>
      </c>
      <c r="E169" s="16">
        <v>1821237.8824</v>
      </c>
      <c r="F169" s="17">
        <f t="shared" si="2"/>
        <v>13566849.2697</v>
      </c>
      <c r="G169" s="18"/>
      <c r="H169" s="18"/>
      <c r="I169" s="19"/>
      <c r="J169" s="19"/>
      <c r="K169" s="19"/>
      <c r="L169" s="19"/>
      <c r="M169" s="18"/>
      <c r="N169" s="18"/>
      <c r="O169" s="19"/>
      <c r="P169" s="19"/>
      <c r="Q169" s="19"/>
    </row>
    <row r="170" ht="18.75" spans="1:17">
      <c r="A170" s="14">
        <v>165</v>
      </c>
      <c r="B170" s="15" t="s">
        <v>95</v>
      </c>
      <c r="C170" s="15" t="s">
        <v>475</v>
      </c>
      <c r="D170" s="16">
        <v>11464830.3574</v>
      </c>
      <c r="E170" s="16">
        <v>1777700.8513</v>
      </c>
      <c r="F170" s="17">
        <f t="shared" si="2"/>
        <v>13242531.2087</v>
      </c>
      <c r="G170" s="18"/>
      <c r="H170" s="18"/>
      <c r="I170" s="19"/>
      <c r="J170" s="19"/>
      <c r="K170" s="19"/>
      <c r="L170" s="19"/>
      <c r="M170" s="18"/>
      <c r="N170" s="18"/>
      <c r="O170" s="19"/>
      <c r="P170" s="19"/>
      <c r="Q170" s="19"/>
    </row>
    <row r="171" ht="18.75" spans="1:17">
      <c r="A171" s="14">
        <v>166</v>
      </c>
      <c r="B171" s="15" t="s">
        <v>95</v>
      </c>
      <c r="C171" s="15" t="s">
        <v>477</v>
      </c>
      <c r="D171" s="16">
        <v>13111968.7524</v>
      </c>
      <c r="E171" s="16">
        <v>2033100.9956</v>
      </c>
      <c r="F171" s="17">
        <f t="shared" si="2"/>
        <v>15145069.748</v>
      </c>
      <c r="G171" s="18"/>
      <c r="H171" s="18"/>
      <c r="I171" s="19"/>
      <c r="J171" s="19"/>
      <c r="K171" s="19"/>
      <c r="L171" s="19"/>
      <c r="M171" s="18"/>
      <c r="N171" s="18"/>
      <c r="O171" s="19"/>
      <c r="P171" s="19"/>
      <c r="Q171" s="19"/>
    </row>
    <row r="172" ht="18.75" spans="1:17">
      <c r="A172" s="14">
        <v>167</v>
      </c>
      <c r="B172" s="15" t="s">
        <v>95</v>
      </c>
      <c r="C172" s="15" t="s">
        <v>479</v>
      </c>
      <c r="D172" s="16">
        <v>11397566.1696</v>
      </c>
      <c r="E172" s="16">
        <v>1767271.0761</v>
      </c>
      <c r="F172" s="17">
        <f t="shared" si="2"/>
        <v>13164837.2457</v>
      </c>
      <c r="G172" s="18"/>
      <c r="H172" s="18"/>
      <c r="I172" s="19"/>
      <c r="J172" s="19"/>
      <c r="K172" s="19"/>
      <c r="L172" s="19"/>
      <c r="M172" s="18"/>
      <c r="N172" s="18"/>
      <c r="O172" s="19"/>
      <c r="P172" s="19"/>
      <c r="Q172" s="19"/>
    </row>
    <row r="173" ht="18.75" spans="1:17">
      <c r="A173" s="14">
        <v>168</v>
      </c>
      <c r="B173" s="15" t="s">
        <v>95</v>
      </c>
      <c r="C173" s="15" t="s">
        <v>481</v>
      </c>
      <c r="D173" s="16">
        <v>11054109.7383</v>
      </c>
      <c r="E173" s="16">
        <v>1714015.7926</v>
      </c>
      <c r="F173" s="17">
        <f t="shared" si="2"/>
        <v>12768125.5309</v>
      </c>
      <c r="G173" s="18"/>
      <c r="H173" s="18"/>
      <c r="I173" s="19"/>
      <c r="J173" s="19"/>
      <c r="K173" s="19"/>
      <c r="L173" s="19"/>
      <c r="M173" s="18"/>
      <c r="N173" s="18"/>
      <c r="O173" s="19"/>
      <c r="P173" s="19"/>
      <c r="Q173" s="19"/>
    </row>
    <row r="174" ht="37.5" spans="1:17">
      <c r="A174" s="14">
        <v>169</v>
      </c>
      <c r="B174" s="15" t="s">
        <v>96</v>
      </c>
      <c r="C174" s="15" t="s">
        <v>486</v>
      </c>
      <c r="D174" s="16">
        <v>11718824.4781</v>
      </c>
      <c r="E174" s="16">
        <v>1817084.3878</v>
      </c>
      <c r="F174" s="17">
        <f t="shared" si="2"/>
        <v>13535908.8659</v>
      </c>
      <c r="G174" s="18"/>
      <c r="H174" s="18"/>
      <c r="I174" s="19"/>
      <c r="J174" s="19"/>
      <c r="K174" s="19"/>
      <c r="L174" s="19"/>
      <c r="M174" s="18"/>
      <c r="N174" s="18"/>
      <c r="O174" s="19"/>
      <c r="P174" s="19"/>
      <c r="Q174" s="19"/>
    </row>
    <row r="175" ht="37.5" spans="1:17">
      <c r="A175" s="14">
        <v>170</v>
      </c>
      <c r="B175" s="15" t="s">
        <v>96</v>
      </c>
      <c r="C175" s="15" t="s">
        <v>488</v>
      </c>
      <c r="D175" s="16">
        <v>14730420.2027</v>
      </c>
      <c r="E175" s="16">
        <v>2284053.0316</v>
      </c>
      <c r="F175" s="17">
        <f t="shared" si="2"/>
        <v>17014473.2343</v>
      </c>
      <c r="G175" s="18"/>
      <c r="H175" s="18"/>
      <c r="I175" s="19"/>
      <c r="J175" s="19"/>
      <c r="K175" s="19"/>
      <c r="L175" s="19"/>
      <c r="M175" s="18"/>
      <c r="N175" s="18"/>
      <c r="O175" s="19"/>
      <c r="P175" s="19"/>
      <c r="Q175" s="19"/>
    </row>
    <row r="176" ht="37.5" spans="1:17">
      <c r="A176" s="14">
        <v>171</v>
      </c>
      <c r="B176" s="15" t="s">
        <v>96</v>
      </c>
      <c r="C176" s="15" t="s">
        <v>490</v>
      </c>
      <c r="D176" s="16">
        <v>14101349.7942</v>
      </c>
      <c r="E176" s="16">
        <v>2186511.3353</v>
      </c>
      <c r="F176" s="17">
        <f t="shared" si="2"/>
        <v>16287861.1295</v>
      </c>
      <c r="G176" s="18"/>
      <c r="H176" s="18"/>
      <c r="I176" s="19"/>
      <c r="J176" s="19"/>
      <c r="K176" s="19"/>
      <c r="L176" s="19"/>
      <c r="M176" s="18"/>
      <c r="N176" s="18"/>
      <c r="O176" s="19"/>
      <c r="P176" s="19"/>
      <c r="Q176" s="19"/>
    </row>
    <row r="177" ht="37.5" spans="1:17">
      <c r="A177" s="14">
        <v>172</v>
      </c>
      <c r="B177" s="15" t="s">
        <v>96</v>
      </c>
      <c r="C177" s="15" t="s">
        <v>492</v>
      </c>
      <c r="D177" s="16">
        <v>9098437.8127</v>
      </c>
      <c r="E177" s="16">
        <v>1410775.4011</v>
      </c>
      <c r="F177" s="17">
        <f t="shared" si="2"/>
        <v>10509213.2138</v>
      </c>
      <c r="G177" s="18"/>
      <c r="H177" s="18"/>
      <c r="I177" s="19"/>
      <c r="J177" s="19"/>
      <c r="K177" s="19"/>
      <c r="L177" s="19"/>
      <c r="M177" s="18"/>
      <c r="N177" s="18"/>
      <c r="O177" s="19"/>
      <c r="P177" s="19"/>
      <c r="Q177" s="19"/>
    </row>
    <row r="178" ht="37.5" spans="1:17">
      <c r="A178" s="14">
        <v>173</v>
      </c>
      <c r="B178" s="15" t="s">
        <v>96</v>
      </c>
      <c r="C178" s="15" t="s">
        <v>494</v>
      </c>
      <c r="D178" s="16">
        <v>10868735.3506</v>
      </c>
      <c r="E178" s="16">
        <v>1685272.218</v>
      </c>
      <c r="F178" s="17">
        <f t="shared" si="2"/>
        <v>12554007.5686</v>
      </c>
      <c r="G178" s="18"/>
      <c r="H178" s="18"/>
      <c r="I178" s="19"/>
      <c r="J178" s="19"/>
      <c r="K178" s="19"/>
      <c r="L178" s="19"/>
      <c r="M178" s="18"/>
      <c r="N178" s="18"/>
      <c r="O178" s="19"/>
      <c r="P178" s="19"/>
      <c r="Q178" s="19"/>
    </row>
    <row r="179" ht="37.5" spans="1:17">
      <c r="A179" s="14">
        <v>174</v>
      </c>
      <c r="B179" s="15" t="s">
        <v>96</v>
      </c>
      <c r="C179" s="15" t="s">
        <v>496</v>
      </c>
      <c r="D179" s="16">
        <v>12503673.8449</v>
      </c>
      <c r="E179" s="16">
        <v>1938780.6837</v>
      </c>
      <c r="F179" s="17">
        <f t="shared" si="2"/>
        <v>14442454.5286</v>
      </c>
      <c r="G179" s="18"/>
      <c r="H179" s="18"/>
      <c r="I179" s="19"/>
      <c r="J179" s="19"/>
      <c r="K179" s="19"/>
      <c r="L179" s="19"/>
      <c r="M179" s="18"/>
      <c r="N179" s="18"/>
      <c r="O179" s="19"/>
      <c r="P179" s="19"/>
      <c r="Q179" s="19"/>
    </row>
    <row r="180" ht="37.5" spans="1:17">
      <c r="A180" s="14">
        <v>175</v>
      </c>
      <c r="B180" s="15" t="s">
        <v>96</v>
      </c>
      <c r="C180" s="15" t="s">
        <v>498</v>
      </c>
      <c r="D180" s="16">
        <v>14334802.739</v>
      </c>
      <c r="E180" s="16">
        <v>2222709.8211</v>
      </c>
      <c r="F180" s="17">
        <f t="shared" si="2"/>
        <v>16557512.5601</v>
      </c>
      <c r="G180" s="18"/>
      <c r="H180" s="18"/>
      <c r="I180" s="19"/>
      <c r="J180" s="19"/>
      <c r="K180" s="19"/>
      <c r="L180" s="19"/>
      <c r="M180" s="18"/>
      <c r="N180" s="18"/>
      <c r="O180" s="19"/>
      <c r="P180" s="19"/>
      <c r="Q180" s="19"/>
    </row>
    <row r="181" ht="37.5" spans="1:17">
      <c r="A181" s="14">
        <v>176</v>
      </c>
      <c r="B181" s="15" t="s">
        <v>96</v>
      </c>
      <c r="C181" s="15" t="s">
        <v>500</v>
      </c>
      <c r="D181" s="16">
        <v>11355370.4695</v>
      </c>
      <c r="E181" s="16">
        <v>1760728.3424</v>
      </c>
      <c r="F181" s="17">
        <f t="shared" si="2"/>
        <v>13116098.8119</v>
      </c>
      <c r="G181" s="18"/>
      <c r="H181" s="18"/>
      <c r="I181" s="19"/>
      <c r="J181" s="19"/>
      <c r="K181" s="19"/>
      <c r="L181" s="19"/>
      <c r="M181" s="18"/>
      <c r="N181" s="18"/>
      <c r="O181" s="19"/>
      <c r="P181" s="19"/>
      <c r="Q181" s="19"/>
    </row>
    <row r="182" ht="37.5" spans="1:17">
      <c r="A182" s="14">
        <v>177</v>
      </c>
      <c r="B182" s="15" t="s">
        <v>96</v>
      </c>
      <c r="C182" s="15" t="s">
        <v>502</v>
      </c>
      <c r="D182" s="16">
        <v>12103425.2546</v>
      </c>
      <c r="E182" s="16">
        <v>1876719.3852</v>
      </c>
      <c r="F182" s="17">
        <f t="shared" si="2"/>
        <v>13980144.6398</v>
      </c>
      <c r="G182" s="18"/>
      <c r="H182" s="18"/>
      <c r="I182" s="19"/>
      <c r="J182" s="19"/>
      <c r="K182" s="19"/>
      <c r="L182" s="19"/>
      <c r="M182" s="18"/>
      <c r="N182" s="18"/>
      <c r="O182" s="19"/>
      <c r="P182" s="19"/>
      <c r="Q182" s="19"/>
    </row>
    <row r="183" ht="37.5" spans="1:17">
      <c r="A183" s="14">
        <v>178</v>
      </c>
      <c r="B183" s="15" t="s">
        <v>96</v>
      </c>
      <c r="C183" s="15" t="s">
        <v>504</v>
      </c>
      <c r="D183" s="16">
        <v>9477453.6613</v>
      </c>
      <c r="E183" s="16">
        <v>1469544.4169</v>
      </c>
      <c r="F183" s="17">
        <f t="shared" si="2"/>
        <v>10946998.0782</v>
      </c>
      <c r="G183" s="18"/>
      <c r="H183" s="18"/>
      <c r="I183" s="19"/>
      <c r="J183" s="19"/>
      <c r="K183" s="19"/>
      <c r="L183" s="19"/>
      <c r="M183" s="18"/>
      <c r="N183" s="18"/>
      <c r="O183" s="19"/>
      <c r="P183" s="19"/>
      <c r="Q183" s="19"/>
    </row>
    <row r="184" ht="37.5" spans="1:17">
      <c r="A184" s="14">
        <v>179</v>
      </c>
      <c r="B184" s="15" t="s">
        <v>96</v>
      </c>
      <c r="C184" s="15" t="s">
        <v>506</v>
      </c>
      <c r="D184" s="16">
        <v>12931851.8843</v>
      </c>
      <c r="E184" s="16">
        <v>2005172.6356</v>
      </c>
      <c r="F184" s="17">
        <f t="shared" si="2"/>
        <v>14937024.5199</v>
      </c>
      <c r="G184" s="18"/>
      <c r="H184" s="18"/>
      <c r="I184" s="19"/>
      <c r="J184" s="19"/>
      <c r="K184" s="19"/>
      <c r="L184" s="19"/>
      <c r="M184" s="18"/>
      <c r="N184" s="18"/>
      <c r="O184" s="19"/>
      <c r="P184" s="19"/>
      <c r="Q184" s="19"/>
    </row>
    <row r="185" ht="37.5" spans="1:17">
      <c r="A185" s="14">
        <v>180</v>
      </c>
      <c r="B185" s="15" t="s">
        <v>96</v>
      </c>
      <c r="C185" s="15" t="s">
        <v>508</v>
      </c>
      <c r="D185" s="16">
        <v>11159927.198</v>
      </c>
      <c r="E185" s="16">
        <v>1730423.518</v>
      </c>
      <c r="F185" s="17">
        <f t="shared" si="2"/>
        <v>12890350.716</v>
      </c>
      <c r="G185" s="18"/>
      <c r="H185" s="18"/>
      <c r="I185" s="19"/>
      <c r="J185" s="19"/>
      <c r="K185" s="19"/>
      <c r="L185" s="19"/>
      <c r="M185" s="18"/>
      <c r="N185" s="18"/>
      <c r="O185" s="19"/>
      <c r="P185" s="19"/>
      <c r="Q185" s="19"/>
    </row>
    <row r="186" ht="37.5" spans="1:17">
      <c r="A186" s="14">
        <v>181</v>
      </c>
      <c r="B186" s="15" t="s">
        <v>96</v>
      </c>
      <c r="C186" s="15" t="s">
        <v>510</v>
      </c>
      <c r="D186" s="16">
        <v>12299926.022</v>
      </c>
      <c r="E186" s="16">
        <v>1907188.1815</v>
      </c>
      <c r="F186" s="17">
        <f t="shared" si="2"/>
        <v>14207114.2035</v>
      </c>
      <c r="G186" s="18"/>
      <c r="H186" s="18"/>
      <c r="I186" s="19"/>
      <c r="J186" s="19"/>
      <c r="K186" s="19"/>
      <c r="L186" s="19"/>
      <c r="M186" s="18"/>
      <c r="N186" s="18"/>
      <c r="O186" s="19"/>
      <c r="P186" s="19"/>
      <c r="Q186" s="19"/>
    </row>
    <row r="187" ht="37.5" spans="1:17">
      <c r="A187" s="14">
        <v>182</v>
      </c>
      <c r="B187" s="15" t="s">
        <v>96</v>
      </c>
      <c r="C187" s="15" t="s">
        <v>512</v>
      </c>
      <c r="D187" s="16">
        <v>11644787.9121</v>
      </c>
      <c r="E187" s="16">
        <v>1805604.5087</v>
      </c>
      <c r="F187" s="17">
        <f t="shared" si="2"/>
        <v>13450392.4208</v>
      </c>
      <c r="G187" s="18"/>
      <c r="H187" s="18"/>
      <c r="I187" s="19"/>
      <c r="J187" s="19"/>
      <c r="K187" s="19"/>
      <c r="L187" s="19"/>
      <c r="M187" s="18"/>
      <c r="N187" s="18"/>
      <c r="O187" s="19"/>
      <c r="P187" s="19"/>
      <c r="Q187" s="19"/>
    </row>
    <row r="188" ht="37.5" spans="1:17">
      <c r="A188" s="14">
        <v>183</v>
      </c>
      <c r="B188" s="15" t="s">
        <v>96</v>
      </c>
      <c r="C188" s="15" t="s">
        <v>514</v>
      </c>
      <c r="D188" s="16">
        <v>13208626.9785</v>
      </c>
      <c r="E188" s="16">
        <v>2048088.5188</v>
      </c>
      <c r="F188" s="17">
        <f t="shared" si="2"/>
        <v>15256715.4973</v>
      </c>
      <c r="G188" s="18"/>
      <c r="H188" s="18"/>
      <c r="I188" s="19"/>
      <c r="J188" s="19"/>
      <c r="K188" s="19"/>
      <c r="L188" s="19"/>
      <c r="M188" s="18"/>
      <c r="N188" s="18"/>
      <c r="O188" s="19"/>
      <c r="P188" s="19"/>
      <c r="Q188" s="19"/>
    </row>
    <row r="189" ht="37.5" spans="1:17">
      <c r="A189" s="14">
        <v>184</v>
      </c>
      <c r="B189" s="15" t="s">
        <v>96</v>
      </c>
      <c r="C189" s="15" t="s">
        <v>516</v>
      </c>
      <c r="D189" s="16">
        <v>12413843.4293</v>
      </c>
      <c r="E189" s="16">
        <v>1924851.8595</v>
      </c>
      <c r="F189" s="17">
        <f t="shared" si="2"/>
        <v>14338695.2888</v>
      </c>
      <c r="G189" s="18"/>
      <c r="H189" s="18"/>
      <c r="I189" s="19"/>
      <c r="J189" s="19"/>
      <c r="K189" s="19"/>
      <c r="L189" s="19"/>
      <c r="M189" s="18"/>
      <c r="N189" s="18"/>
      <c r="O189" s="19"/>
      <c r="P189" s="19"/>
      <c r="Q189" s="19"/>
    </row>
    <row r="190" ht="37.5" spans="1:17">
      <c r="A190" s="14">
        <v>185</v>
      </c>
      <c r="B190" s="15" t="s">
        <v>96</v>
      </c>
      <c r="C190" s="15" t="s">
        <v>518</v>
      </c>
      <c r="D190" s="16">
        <v>12462781.6134</v>
      </c>
      <c r="E190" s="16">
        <v>1932440.0618</v>
      </c>
      <c r="F190" s="17">
        <f t="shared" si="2"/>
        <v>14395221.6752</v>
      </c>
      <c r="G190" s="18"/>
      <c r="H190" s="18"/>
      <c r="I190" s="19"/>
      <c r="J190" s="19"/>
      <c r="K190" s="19"/>
      <c r="L190" s="19"/>
      <c r="M190" s="18"/>
      <c r="N190" s="18"/>
      <c r="O190" s="19"/>
      <c r="P190" s="19"/>
      <c r="Q190" s="19"/>
    </row>
    <row r="191" ht="37.5" spans="1:17">
      <c r="A191" s="14">
        <v>186</v>
      </c>
      <c r="B191" s="15" t="s">
        <v>96</v>
      </c>
      <c r="C191" s="15" t="s">
        <v>520</v>
      </c>
      <c r="D191" s="16">
        <v>13743812.6552</v>
      </c>
      <c r="E191" s="16">
        <v>2131072.7413</v>
      </c>
      <c r="F191" s="17">
        <f t="shared" si="2"/>
        <v>15874885.3965</v>
      </c>
      <c r="G191" s="18"/>
      <c r="H191" s="18"/>
      <c r="I191" s="19"/>
      <c r="J191" s="19"/>
      <c r="K191" s="19"/>
      <c r="L191" s="19"/>
      <c r="M191" s="18"/>
      <c r="N191" s="18"/>
      <c r="O191" s="19"/>
      <c r="P191" s="19"/>
      <c r="Q191" s="19"/>
    </row>
    <row r="192" ht="37.5" spans="1:17">
      <c r="A192" s="14">
        <v>187</v>
      </c>
      <c r="B192" s="15" t="s">
        <v>97</v>
      </c>
      <c r="C192" s="15" t="s">
        <v>525</v>
      </c>
      <c r="D192" s="16">
        <v>9624258.5597</v>
      </c>
      <c r="E192" s="16">
        <v>1492307.5267</v>
      </c>
      <c r="F192" s="17">
        <f t="shared" si="2"/>
        <v>11116566.0864</v>
      </c>
      <c r="G192" s="18"/>
      <c r="H192" s="18"/>
      <c r="I192" s="19"/>
      <c r="J192" s="19"/>
      <c r="K192" s="19"/>
      <c r="L192" s="19"/>
      <c r="M192" s="18"/>
      <c r="N192" s="18"/>
      <c r="O192" s="19"/>
      <c r="P192" s="19"/>
      <c r="Q192" s="19"/>
    </row>
    <row r="193" ht="37.5" spans="1:17">
      <c r="A193" s="14">
        <v>188</v>
      </c>
      <c r="B193" s="15" t="s">
        <v>97</v>
      </c>
      <c r="C193" s="15" t="s">
        <v>527</v>
      </c>
      <c r="D193" s="16">
        <v>10490059.9677</v>
      </c>
      <c r="E193" s="16">
        <v>1626555.9937</v>
      </c>
      <c r="F193" s="17">
        <f t="shared" si="2"/>
        <v>12116615.9614</v>
      </c>
      <c r="G193" s="18"/>
      <c r="H193" s="18"/>
      <c r="I193" s="19"/>
      <c r="J193" s="19"/>
      <c r="K193" s="19"/>
      <c r="L193" s="19"/>
      <c r="M193" s="18"/>
      <c r="N193" s="18"/>
      <c r="O193" s="19"/>
      <c r="P193" s="19"/>
      <c r="Q193" s="19"/>
    </row>
    <row r="194" ht="18.75" spans="1:17">
      <c r="A194" s="14">
        <v>189</v>
      </c>
      <c r="B194" s="15" t="s">
        <v>97</v>
      </c>
      <c r="C194" s="15" t="s">
        <v>529</v>
      </c>
      <c r="D194" s="16">
        <v>8967272.5953</v>
      </c>
      <c r="E194" s="16">
        <v>1390437.3314</v>
      </c>
      <c r="F194" s="17">
        <f t="shared" si="2"/>
        <v>10357709.9267</v>
      </c>
      <c r="G194" s="18"/>
      <c r="H194" s="18"/>
      <c r="I194" s="19"/>
      <c r="J194" s="19"/>
      <c r="K194" s="19"/>
      <c r="L194" s="19"/>
      <c r="M194" s="18"/>
      <c r="N194" s="18"/>
      <c r="O194" s="19"/>
      <c r="P194" s="19"/>
      <c r="Q194" s="19"/>
    </row>
    <row r="195" ht="18.75" spans="1:17">
      <c r="A195" s="14">
        <v>190</v>
      </c>
      <c r="B195" s="15" t="s">
        <v>97</v>
      </c>
      <c r="C195" s="15" t="s">
        <v>531</v>
      </c>
      <c r="D195" s="16">
        <v>12887592.1781</v>
      </c>
      <c r="E195" s="16">
        <v>1998309.8635</v>
      </c>
      <c r="F195" s="17">
        <f t="shared" si="2"/>
        <v>14885902.0416</v>
      </c>
      <c r="G195" s="18"/>
      <c r="H195" s="18"/>
      <c r="I195" s="19"/>
      <c r="J195" s="19"/>
      <c r="K195" s="19"/>
      <c r="L195" s="19"/>
      <c r="M195" s="18"/>
      <c r="N195" s="18"/>
      <c r="O195" s="19"/>
      <c r="P195" s="19"/>
      <c r="Q195" s="19"/>
    </row>
    <row r="196" ht="18.75" spans="1:17">
      <c r="A196" s="14">
        <v>191</v>
      </c>
      <c r="B196" s="15" t="s">
        <v>97</v>
      </c>
      <c r="C196" s="15" t="s">
        <v>533</v>
      </c>
      <c r="D196" s="16">
        <v>11725706.3002</v>
      </c>
      <c r="E196" s="16">
        <v>1818151.4617</v>
      </c>
      <c r="F196" s="17">
        <f t="shared" si="2"/>
        <v>13543857.7619</v>
      </c>
      <c r="G196" s="18"/>
      <c r="H196" s="18"/>
      <c r="I196" s="19"/>
      <c r="J196" s="19"/>
      <c r="K196" s="19"/>
      <c r="L196" s="19"/>
      <c r="M196" s="18"/>
      <c r="N196" s="18"/>
      <c r="O196" s="19"/>
      <c r="P196" s="19"/>
      <c r="Q196" s="19"/>
    </row>
    <row r="197" ht="18.75" spans="1:17">
      <c r="A197" s="14">
        <v>192</v>
      </c>
      <c r="B197" s="15" t="s">
        <v>97</v>
      </c>
      <c r="C197" s="15" t="s">
        <v>535</v>
      </c>
      <c r="D197" s="16">
        <v>12011118.5042</v>
      </c>
      <c r="E197" s="16">
        <v>1862406.5882</v>
      </c>
      <c r="F197" s="17">
        <f t="shared" si="2"/>
        <v>13873525.0924</v>
      </c>
      <c r="G197" s="18"/>
      <c r="H197" s="18"/>
      <c r="I197" s="19"/>
      <c r="J197" s="19"/>
      <c r="K197" s="19"/>
      <c r="L197" s="19"/>
      <c r="M197" s="18"/>
      <c r="N197" s="18"/>
      <c r="O197" s="19"/>
      <c r="P197" s="19"/>
      <c r="Q197" s="19"/>
    </row>
    <row r="198" ht="37.5" spans="1:17">
      <c r="A198" s="14">
        <v>193</v>
      </c>
      <c r="B198" s="15" t="s">
        <v>97</v>
      </c>
      <c r="C198" s="15" t="s">
        <v>537</v>
      </c>
      <c r="D198" s="16">
        <v>12734001.9488</v>
      </c>
      <c r="E198" s="16">
        <v>1974494.6414</v>
      </c>
      <c r="F198" s="17">
        <f t="shared" si="2"/>
        <v>14708496.5902</v>
      </c>
      <c r="G198" s="18"/>
      <c r="H198" s="18"/>
      <c r="I198" s="19"/>
      <c r="J198" s="19"/>
      <c r="K198" s="19"/>
      <c r="L198" s="19"/>
      <c r="M198" s="18"/>
      <c r="N198" s="18"/>
      <c r="O198" s="19"/>
      <c r="P198" s="19"/>
      <c r="Q198" s="19"/>
    </row>
    <row r="199" ht="18.75" spans="1:17">
      <c r="A199" s="14">
        <v>194</v>
      </c>
      <c r="B199" s="15" t="s">
        <v>97</v>
      </c>
      <c r="C199" s="15" t="s">
        <v>539</v>
      </c>
      <c r="D199" s="16">
        <v>11976515.1288</v>
      </c>
      <c r="E199" s="16">
        <v>1857041.0967</v>
      </c>
      <c r="F199" s="17">
        <f t="shared" ref="F199:F262" si="3">D199+E199</f>
        <v>13833556.2255</v>
      </c>
      <c r="G199" s="18"/>
      <c r="H199" s="18"/>
      <c r="I199" s="19"/>
      <c r="J199" s="19"/>
      <c r="K199" s="19"/>
      <c r="L199" s="19"/>
      <c r="M199" s="18"/>
      <c r="N199" s="18"/>
      <c r="O199" s="19"/>
      <c r="P199" s="19"/>
      <c r="Q199" s="19"/>
    </row>
    <row r="200" ht="18.75" spans="1:17">
      <c r="A200" s="14">
        <v>195</v>
      </c>
      <c r="B200" s="15" t="s">
        <v>97</v>
      </c>
      <c r="C200" s="15" t="s">
        <v>541</v>
      </c>
      <c r="D200" s="16">
        <v>11269018.1431</v>
      </c>
      <c r="E200" s="16">
        <v>1747338.8199</v>
      </c>
      <c r="F200" s="17">
        <f t="shared" si="3"/>
        <v>13016356.963</v>
      </c>
      <c r="G200" s="18"/>
      <c r="H200" s="18"/>
      <c r="I200" s="19"/>
      <c r="J200" s="19"/>
      <c r="K200" s="19"/>
      <c r="L200" s="19"/>
      <c r="M200" s="18"/>
      <c r="N200" s="18"/>
      <c r="O200" s="19"/>
      <c r="P200" s="19"/>
      <c r="Q200" s="19"/>
    </row>
    <row r="201" ht="18.75" spans="1:17">
      <c r="A201" s="14">
        <v>196</v>
      </c>
      <c r="B201" s="15" t="s">
        <v>97</v>
      </c>
      <c r="C201" s="15" t="s">
        <v>543</v>
      </c>
      <c r="D201" s="16">
        <v>12601277.4788</v>
      </c>
      <c r="E201" s="16">
        <v>1953914.7989</v>
      </c>
      <c r="F201" s="17">
        <f t="shared" si="3"/>
        <v>14555192.2777</v>
      </c>
      <c r="G201" s="18"/>
      <c r="H201" s="18"/>
      <c r="I201" s="19"/>
      <c r="J201" s="19"/>
      <c r="K201" s="19"/>
      <c r="L201" s="19"/>
      <c r="M201" s="18"/>
      <c r="N201" s="18"/>
      <c r="O201" s="19"/>
      <c r="P201" s="19"/>
      <c r="Q201" s="19"/>
    </row>
    <row r="202" ht="18.75" spans="1:17">
      <c r="A202" s="14">
        <v>197</v>
      </c>
      <c r="B202" s="15" t="s">
        <v>97</v>
      </c>
      <c r="C202" s="15" t="s">
        <v>545</v>
      </c>
      <c r="D202" s="16">
        <v>10588956.9348</v>
      </c>
      <c r="E202" s="16">
        <v>1641890.6491</v>
      </c>
      <c r="F202" s="17">
        <f t="shared" si="3"/>
        <v>12230847.5839</v>
      </c>
      <c r="G202" s="18"/>
      <c r="H202" s="18"/>
      <c r="I202" s="19"/>
      <c r="J202" s="19"/>
      <c r="K202" s="19"/>
      <c r="L202" s="19"/>
      <c r="M202" s="18"/>
      <c r="N202" s="18"/>
      <c r="O202" s="19"/>
      <c r="P202" s="19"/>
      <c r="Q202" s="19"/>
    </row>
    <row r="203" ht="18.75" spans="1:17">
      <c r="A203" s="14">
        <v>198</v>
      </c>
      <c r="B203" s="15" t="s">
        <v>97</v>
      </c>
      <c r="C203" s="15" t="s">
        <v>547</v>
      </c>
      <c r="D203" s="16">
        <v>10920907.655</v>
      </c>
      <c r="E203" s="16">
        <v>1693361.8929</v>
      </c>
      <c r="F203" s="17">
        <f t="shared" si="3"/>
        <v>12614269.5479</v>
      </c>
      <c r="G203" s="18"/>
      <c r="H203" s="18"/>
      <c r="I203" s="19"/>
      <c r="J203" s="19"/>
      <c r="K203" s="19"/>
      <c r="L203" s="19"/>
      <c r="M203" s="18"/>
      <c r="N203" s="18"/>
      <c r="O203" s="19"/>
      <c r="P203" s="19"/>
      <c r="Q203" s="19"/>
    </row>
    <row r="204" ht="18.75" spans="1:17">
      <c r="A204" s="14">
        <v>199</v>
      </c>
      <c r="B204" s="15" t="s">
        <v>97</v>
      </c>
      <c r="C204" s="15" t="s">
        <v>549</v>
      </c>
      <c r="D204" s="16">
        <v>10003315.7279</v>
      </c>
      <c r="E204" s="16">
        <v>1551082.9495</v>
      </c>
      <c r="F204" s="17">
        <f t="shared" si="3"/>
        <v>11554398.6774</v>
      </c>
      <c r="G204" s="18"/>
      <c r="H204" s="18"/>
      <c r="I204" s="19"/>
      <c r="J204" s="19"/>
      <c r="K204" s="19"/>
      <c r="L204" s="19"/>
      <c r="M204" s="18"/>
      <c r="N204" s="18"/>
      <c r="O204" s="19"/>
      <c r="P204" s="19"/>
      <c r="Q204" s="19"/>
    </row>
    <row r="205" ht="37.5" spans="1:17">
      <c r="A205" s="14">
        <v>200</v>
      </c>
      <c r="B205" s="15" t="s">
        <v>97</v>
      </c>
      <c r="C205" s="15" t="s">
        <v>551</v>
      </c>
      <c r="D205" s="16">
        <v>9796897.809</v>
      </c>
      <c r="E205" s="16">
        <v>1519076.4305</v>
      </c>
      <c r="F205" s="17">
        <f t="shared" si="3"/>
        <v>11315974.2395</v>
      </c>
      <c r="G205" s="18"/>
      <c r="H205" s="18"/>
      <c r="I205" s="19"/>
      <c r="J205" s="19"/>
      <c r="K205" s="19"/>
      <c r="L205" s="19"/>
      <c r="M205" s="18"/>
      <c r="N205" s="18"/>
      <c r="O205" s="19"/>
      <c r="P205" s="19"/>
      <c r="Q205" s="19"/>
    </row>
    <row r="206" ht="18.75" spans="1:17">
      <c r="A206" s="14">
        <v>201</v>
      </c>
      <c r="B206" s="15" t="s">
        <v>97</v>
      </c>
      <c r="C206" s="15" t="s">
        <v>553</v>
      </c>
      <c r="D206" s="16">
        <v>10630764.1064</v>
      </c>
      <c r="E206" s="16">
        <v>1648373.1388</v>
      </c>
      <c r="F206" s="17">
        <f t="shared" si="3"/>
        <v>12279137.2452</v>
      </c>
      <c r="G206" s="18"/>
      <c r="H206" s="18"/>
      <c r="I206" s="19"/>
      <c r="J206" s="19"/>
      <c r="K206" s="19"/>
      <c r="L206" s="19"/>
      <c r="M206" s="18"/>
      <c r="N206" s="18"/>
      <c r="O206" s="19"/>
      <c r="P206" s="19"/>
      <c r="Q206" s="19"/>
    </row>
    <row r="207" ht="18.75" spans="1:17">
      <c r="A207" s="14">
        <v>202</v>
      </c>
      <c r="B207" s="15" t="s">
        <v>97</v>
      </c>
      <c r="C207" s="15" t="s">
        <v>555</v>
      </c>
      <c r="D207" s="16">
        <v>8779337.7893</v>
      </c>
      <c r="E207" s="16">
        <v>1361296.7463</v>
      </c>
      <c r="F207" s="17">
        <f t="shared" si="3"/>
        <v>10140634.5356</v>
      </c>
      <c r="G207" s="18"/>
      <c r="H207" s="18"/>
      <c r="I207" s="19"/>
      <c r="J207" s="19"/>
      <c r="K207" s="19"/>
      <c r="L207" s="19"/>
      <c r="M207" s="18"/>
      <c r="N207" s="18"/>
      <c r="O207" s="19"/>
      <c r="P207" s="19"/>
      <c r="Q207" s="19"/>
    </row>
    <row r="208" ht="18.75" spans="1:17">
      <c r="A208" s="14">
        <v>203</v>
      </c>
      <c r="B208" s="15" t="s">
        <v>97</v>
      </c>
      <c r="C208" s="15" t="s">
        <v>557</v>
      </c>
      <c r="D208" s="16">
        <v>11058254.656</v>
      </c>
      <c r="E208" s="16">
        <v>1714658.4907</v>
      </c>
      <c r="F208" s="17">
        <f t="shared" si="3"/>
        <v>12772913.1467</v>
      </c>
      <c r="G208" s="18"/>
      <c r="H208" s="18"/>
      <c r="I208" s="19"/>
      <c r="J208" s="19"/>
      <c r="K208" s="19"/>
      <c r="L208" s="19"/>
      <c r="M208" s="18"/>
      <c r="N208" s="18"/>
      <c r="O208" s="19"/>
      <c r="P208" s="19"/>
      <c r="Q208" s="19"/>
    </row>
    <row r="209" ht="18.75" spans="1:17">
      <c r="A209" s="14">
        <v>204</v>
      </c>
      <c r="B209" s="15" t="s">
        <v>97</v>
      </c>
      <c r="C209" s="15" t="s">
        <v>559</v>
      </c>
      <c r="D209" s="16">
        <v>11626609.5097</v>
      </c>
      <c r="E209" s="16">
        <v>1802785.8223</v>
      </c>
      <c r="F209" s="17">
        <f t="shared" si="3"/>
        <v>13429395.332</v>
      </c>
      <c r="G209" s="18"/>
      <c r="H209" s="18"/>
      <c r="I209" s="19"/>
      <c r="J209" s="19"/>
      <c r="K209" s="19"/>
      <c r="L209" s="19"/>
      <c r="M209" s="18"/>
      <c r="N209" s="18"/>
      <c r="O209" s="19"/>
      <c r="P209" s="19"/>
      <c r="Q209" s="19"/>
    </row>
    <row r="210" ht="18.75" spans="1:17">
      <c r="A210" s="14">
        <v>205</v>
      </c>
      <c r="B210" s="15" t="s">
        <v>97</v>
      </c>
      <c r="C210" s="15" t="s">
        <v>561</v>
      </c>
      <c r="D210" s="16">
        <v>15184013.6111</v>
      </c>
      <c r="E210" s="16">
        <v>2354385.8114</v>
      </c>
      <c r="F210" s="17">
        <f t="shared" si="3"/>
        <v>17538399.4225</v>
      </c>
      <c r="G210" s="18"/>
      <c r="H210" s="18"/>
      <c r="I210" s="19"/>
      <c r="J210" s="19"/>
      <c r="K210" s="19"/>
      <c r="L210" s="19"/>
      <c r="M210" s="18"/>
      <c r="N210" s="18"/>
      <c r="O210" s="19"/>
      <c r="P210" s="19"/>
      <c r="Q210" s="19"/>
    </row>
    <row r="211" ht="18.75" spans="1:17">
      <c r="A211" s="14">
        <v>206</v>
      </c>
      <c r="B211" s="15" t="s">
        <v>97</v>
      </c>
      <c r="C211" s="15" t="s">
        <v>563</v>
      </c>
      <c r="D211" s="16">
        <v>12036602.2185</v>
      </c>
      <c r="E211" s="16">
        <v>1866358.0135</v>
      </c>
      <c r="F211" s="17">
        <f t="shared" si="3"/>
        <v>13902960.232</v>
      </c>
      <c r="G211" s="18"/>
      <c r="H211" s="18"/>
      <c r="I211" s="19"/>
      <c r="J211" s="19"/>
      <c r="K211" s="19"/>
      <c r="L211" s="19"/>
      <c r="M211" s="18"/>
      <c r="N211" s="18"/>
      <c r="O211" s="19"/>
      <c r="P211" s="19"/>
      <c r="Q211" s="19"/>
    </row>
    <row r="212" ht="18.75" spans="1:17">
      <c r="A212" s="14">
        <v>207</v>
      </c>
      <c r="B212" s="15" t="s">
        <v>97</v>
      </c>
      <c r="C212" s="15" t="s">
        <v>565</v>
      </c>
      <c r="D212" s="16">
        <v>9546094.4612</v>
      </c>
      <c r="E212" s="16">
        <v>1480187.6453</v>
      </c>
      <c r="F212" s="17">
        <f t="shared" si="3"/>
        <v>11026282.1065</v>
      </c>
      <c r="G212" s="18"/>
      <c r="H212" s="18"/>
      <c r="I212" s="19"/>
      <c r="J212" s="19"/>
      <c r="K212" s="19"/>
      <c r="L212" s="19"/>
      <c r="M212" s="18"/>
      <c r="N212" s="18"/>
      <c r="O212" s="19"/>
      <c r="P212" s="19"/>
      <c r="Q212" s="19"/>
    </row>
    <row r="213" ht="18.75" spans="1:17">
      <c r="A213" s="14">
        <v>208</v>
      </c>
      <c r="B213" s="15" t="s">
        <v>97</v>
      </c>
      <c r="C213" s="15" t="s">
        <v>567</v>
      </c>
      <c r="D213" s="16">
        <v>11216533.8832</v>
      </c>
      <c r="E213" s="16">
        <v>1739200.7742</v>
      </c>
      <c r="F213" s="17">
        <f t="shared" si="3"/>
        <v>12955734.6574</v>
      </c>
      <c r="G213" s="18"/>
      <c r="H213" s="18"/>
      <c r="I213" s="19"/>
      <c r="J213" s="19"/>
      <c r="K213" s="19"/>
      <c r="L213" s="19"/>
      <c r="M213" s="18"/>
      <c r="N213" s="18"/>
      <c r="O213" s="19"/>
      <c r="P213" s="19"/>
      <c r="Q213" s="19"/>
    </row>
    <row r="214" ht="18.75" spans="1:17">
      <c r="A214" s="14">
        <v>209</v>
      </c>
      <c r="B214" s="15" t="s">
        <v>97</v>
      </c>
      <c r="C214" s="15" t="s">
        <v>569</v>
      </c>
      <c r="D214" s="16">
        <v>13938926.4338</v>
      </c>
      <c r="E214" s="16">
        <v>2161326.4755</v>
      </c>
      <c r="F214" s="17">
        <f t="shared" si="3"/>
        <v>16100252.9093</v>
      </c>
      <c r="G214" s="18"/>
      <c r="H214" s="18"/>
      <c r="I214" s="19"/>
      <c r="J214" s="19"/>
      <c r="K214" s="19"/>
      <c r="L214" s="19"/>
      <c r="M214" s="18"/>
      <c r="N214" s="18"/>
      <c r="O214" s="19"/>
      <c r="P214" s="19"/>
      <c r="Q214" s="19"/>
    </row>
    <row r="215" ht="18.75" spans="1:17">
      <c r="A215" s="14">
        <v>210</v>
      </c>
      <c r="B215" s="15" t="s">
        <v>97</v>
      </c>
      <c r="C215" s="15" t="s">
        <v>571</v>
      </c>
      <c r="D215" s="16">
        <v>11470919.6262</v>
      </c>
      <c r="E215" s="16">
        <v>1778645.0344</v>
      </c>
      <c r="F215" s="17">
        <f t="shared" si="3"/>
        <v>13249564.6606</v>
      </c>
      <c r="G215" s="18"/>
      <c r="H215" s="18"/>
      <c r="I215" s="19"/>
      <c r="J215" s="19"/>
      <c r="K215" s="19"/>
      <c r="L215" s="19"/>
      <c r="M215" s="18"/>
      <c r="N215" s="18"/>
      <c r="O215" s="19"/>
      <c r="P215" s="19"/>
      <c r="Q215" s="19"/>
    </row>
    <row r="216" ht="37.5" spans="1:17">
      <c r="A216" s="14">
        <v>211</v>
      </c>
      <c r="B216" s="15" t="s">
        <v>97</v>
      </c>
      <c r="C216" s="15" t="s">
        <v>573</v>
      </c>
      <c r="D216" s="16">
        <v>11016012.0141</v>
      </c>
      <c r="E216" s="16">
        <v>1708108.4783</v>
      </c>
      <c r="F216" s="17">
        <f t="shared" si="3"/>
        <v>12724120.4924</v>
      </c>
      <c r="G216" s="18"/>
      <c r="H216" s="18"/>
      <c r="I216" s="19"/>
      <c r="J216" s="19"/>
      <c r="K216" s="19"/>
      <c r="L216" s="19"/>
      <c r="M216" s="18"/>
      <c r="N216" s="18"/>
      <c r="O216" s="19"/>
      <c r="P216" s="19"/>
      <c r="Q216" s="19"/>
    </row>
    <row r="217" ht="18.75" spans="1:17">
      <c r="A217" s="14">
        <v>212</v>
      </c>
      <c r="B217" s="15" t="s">
        <v>98</v>
      </c>
      <c r="C217" s="15" t="s">
        <v>578</v>
      </c>
      <c r="D217" s="16">
        <v>12509419.4046</v>
      </c>
      <c r="E217" s="16">
        <v>1939671.5723</v>
      </c>
      <c r="F217" s="17">
        <f t="shared" si="3"/>
        <v>14449090.9769</v>
      </c>
      <c r="G217" s="18"/>
      <c r="H217" s="18"/>
      <c r="I217" s="19"/>
      <c r="J217" s="19"/>
      <c r="K217" s="19"/>
      <c r="L217" s="19"/>
      <c r="M217" s="18"/>
      <c r="N217" s="18"/>
      <c r="O217" s="19"/>
      <c r="P217" s="19"/>
      <c r="Q217" s="19"/>
    </row>
    <row r="218" ht="18.75" spans="1:17">
      <c r="A218" s="14">
        <v>213</v>
      </c>
      <c r="B218" s="15" t="s">
        <v>98</v>
      </c>
      <c r="C218" s="15" t="s">
        <v>580</v>
      </c>
      <c r="D218" s="16">
        <v>11746325.1648</v>
      </c>
      <c r="E218" s="16">
        <v>1821348.5586</v>
      </c>
      <c r="F218" s="17">
        <f t="shared" si="3"/>
        <v>13567673.7234</v>
      </c>
      <c r="G218" s="18"/>
      <c r="H218" s="18"/>
      <c r="I218" s="19"/>
      <c r="J218" s="19"/>
      <c r="K218" s="19"/>
      <c r="L218" s="19"/>
      <c r="M218" s="18"/>
      <c r="N218" s="18"/>
      <c r="O218" s="19"/>
      <c r="P218" s="19"/>
      <c r="Q218" s="19"/>
    </row>
    <row r="219" ht="18.75" spans="1:17">
      <c r="A219" s="14">
        <v>214</v>
      </c>
      <c r="B219" s="15" t="s">
        <v>98</v>
      </c>
      <c r="C219" s="15" t="s">
        <v>582</v>
      </c>
      <c r="D219" s="16">
        <v>11847444.7366</v>
      </c>
      <c r="E219" s="16">
        <v>1837027.8441</v>
      </c>
      <c r="F219" s="17">
        <f t="shared" si="3"/>
        <v>13684472.5807</v>
      </c>
      <c r="G219" s="18"/>
      <c r="H219" s="18"/>
      <c r="I219" s="19"/>
      <c r="J219" s="19"/>
      <c r="K219" s="19"/>
      <c r="L219" s="19"/>
      <c r="M219" s="18"/>
      <c r="N219" s="18"/>
      <c r="O219" s="19"/>
      <c r="P219" s="19"/>
      <c r="Q219" s="19"/>
    </row>
    <row r="220" ht="18.75" spans="1:17">
      <c r="A220" s="14">
        <v>215</v>
      </c>
      <c r="B220" s="15" t="s">
        <v>98</v>
      </c>
      <c r="C220" s="15" t="s">
        <v>98</v>
      </c>
      <c r="D220" s="16">
        <v>11424247.2231</v>
      </c>
      <c r="E220" s="16">
        <v>1771408.1571</v>
      </c>
      <c r="F220" s="17">
        <f t="shared" si="3"/>
        <v>13195655.3802</v>
      </c>
      <c r="G220" s="18"/>
      <c r="H220" s="18"/>
      <c r="I220" s="19"/>
      <c r="J220" s="19"/>
      <c r="K220" s="19"/>
      <c r="L220" s="19"/>
      <c r="M220" s="18"/>
      <c r="N220" s="18"/>
      <c r="O220" s="19"/>
      <c r="P220" s="19"/>
      <c r="Q220" s="19"/>
    </row>
    <row r="221" ht="18.75" spans="1:17">
      <c r="A221" s="14">
        <v>216</v>
      </c>
      <c r="B221" s="15" t="s">
        <v>98</v>
      </c>
      <c r="C221" s="15" t="s">
        <v>585</v>
      </c>
      <c r="D221" s="16">
        <v>11387174.9119</v>
      </c>
      <c r="E221" s="16">
        <v>1765659.8401</v>
      </c>
      <c r="F221" s="17">
        <f t="shared" si="3"/>
        <v>13152834.752</v>
      </c>
      <c r="G221" s="18"/>
      <c r="H221" s="18"/>
      <c r="I221" s="19"/>
      <c r="J221" s="19"/>
      <c r="K221" s="19"/>
      <c r="L221" s="19"/>
      <c r="M221" s="18"/>
      <c r="N221" s="18"/>
      <c r="O221" s="19"/>
      <c r="P221" s="19"/>
      <c r="Q221" s="19"/>
    </row>
    <row r="222" ht="18.75" spans="1:17">
      <c r="A222" s="14">
        <v>217</v>
      </c>
      <c r="B222" s="15" t="s">
        <v>98</v>
      </c>
      <c r="C222" s="15" t="s">
        <v>587</v>
      </c>
      <c r="D222" s="16">
        <v>11835738.2307</v>
      </c>
      <c r="E222" s="16">
        <v>1835212.6698</v>
      </c>
      <c r="F222" s="17">
        <f t="shared" si="3"/>
        <v>13670950.9005</v>
      </c>
      <c r="G222" s="18"/>
      <c r="H222" s="18"/>
      <c r="I222" s="19"/>
      <c r="J222" s="19"/>
      <c r="K222" s="19"/>
      <c r="L222" s="19"/>
      <c r="M222" s="18"/>
      <c r="N222" s="18"/>
      <c r="O222" s="19"/>
      <c r="P222" s="19"/>
      <c r="Q222" s="19"/>
    </row>
    <row r="223" ht="18.75" spans="1:17">
      <c r="A223" s="14">
        <v>218</v>
      </c>
      <c r="B223" s="15" t="s">
        <v>98</v>
      </c>
      <c r="C223" s="15" t="s">
        <v>589</v>
      </c>
      <c r="D223" s="16">
        <v>13829158.4784</v>
      </c>
      <c r="E223" s="16">
        <v>2144306.1985</v>
      </c>
      <c r="F223" s="17">
        <f t="shared" si="3"/>
        <v>15973464.6769</v>
      </c>
      <c r="G223" s="18"/>
      <c r="H223" s="18"/>
      <c r="I223" s="19"/>
      <c r="J223" s="19"/>
      <c r="K223" s="19"/>
      <c r="L223" s="19"/>
      <c r="M223" s="18"/>
      <c r="N223" s="18"/>
      <c r="O223" s="19"/>
      <c r="P223" s="19"/>
      <c r="Q223" s="19"/>
    </row>
    <row r="224" ht="18.75" spans="1:17">
      <c r="A224" s="14">
        <v>219</v>
      </c>
      <c r="B224" s="15" t="s">
        <v>98</v>
      </c>
      <c r="C224" s="15" t="s">
        <v>591</v>
      </c>
      <c r="D224" s="16">
        <v>12249500.1349</v>
      </c>
      <c r="E224" s="16">
        <v>1899369.3007</v>
      </c>
      <c r="F224" s="17">
        <f t="shared" si="3"/>
        <v>14148869.4356</v>
      </c>
      <c r="G224" s="18"/>
      <c r="H224" s="18"/>
      <c r="I224" s="19"/>
      <c r="J224" s="19"/>
      <c r="K224" s="19"/>
      <c r="L224" s="19"/>
      <c r="M224" s="18"/>
      <c r="N224" s="18"/>
      <c r="O224" s="19"/>
      <c r="P224" s="19"/>
      <c r="Q224" s="19"/>
    </row>
    <row r="225" ht="18.75" spans="1:17">
      <c r="A225" s="14">
        <v>220</v>
      </c>
      <c r="B225" s="15" t="s">
        <v>98</v>
      </c>
      <c r="C225" s="15" t="s">
        <v>593</v>
      </c>
      <c r="D225" s="16">
        <v>11082862.8573</v>
      </c>
      <c r="E225" s="16">
        <v>1718474.1616</v>
      </c>
      <c r="F225" s="17">
        <f t="shared" si="3"/>
        <v>12801337.0189</v>
      </c>
      <c r="G225" s="18"/>
      <c r="H225" s="18"/>
      <c r="I225" s="19"/>
      <c r="J225" s="19"/>
      <c r="K225" s="19"/>
      <c r="L225" s="19"/>
      <c r="M225" s="18"/>
      <c r="N225" s="18"/>
      <c r="O225" s="19"/>
      <c r="P225" s="19"/>
      <c r="Q225" s="19"/>
    </row>
    <row r="226" ht="18.75" spans="1:17">
      <c r="A226" s="14">
        <v>221</v>
      </c>
      <c r="B226" s="15" t="s">
        <v>98</v>
      </c>
      <c r="C226" s="15" t="s">
        <v>595</v>
      </c>
      <c r="D226" s="16">
        <v>15394048.5654</v>
      </c>
      <c r="E226" s="16">
        <v>2386953.1766</v>
      </c>
      <c r="F226" s="17">
        <f t="shared" si="3"/>
        <v>17781001.742</v>
      </c>
      <c r="G226" s="18"/>
      <c r="H226" s="18"/>
      <c r="I226" s="19"/>
      <c r="J226" s="19"/>
      <c r="K226" s="19"/>
      <c r="L226" s="19"/>
      <c r="M226" s="18"/>
      <c r="N226" s="18"/>
      <c r="O226" s="19"/>
      <c r="P226" s="19"/>
      <c r="Q226" s="19"/>
    </row>
    <row r="227" ht="18.75" spans="1:17">
      <c r="A227" s="14">
        <v>222</v>
      </c>
      <c r="B227" s="15" t="s">
        <v>98</v>
      </c>
      <c r="C227" s="15" t="s">
        <v>597</v>
      </c>
      <c r="D227" s="16">
        <v>11942473.0043</v>
      </c>
      <c r="E227" s="16">
        <v>1851762.631</v>
      </c>
      <c r="F227" s="17">
        <f t="shared" si="3"/>
        <v>13794235.6353</v>
      </c>
      <c r="G227" s="18"/>
      <c r="H227" s="18"/>
      <c r="I227" s="19"/>
      <c r="J227" s="19"/>
      <c r="K227" s="19"/>
      <c r="L227" s="19"/>
      <c r="M227" s="18"/>
      <c r="N227" s="18"/>
      <c r="O227" s="19"/>
      <c r="P227" s="19"/>
      <c r="Q227" s="19"/>
    </row>
    <row r="228" ht="18.75" spans="1:17">
      <c r="A228" s="14">
        <v>223</v>
      </c>
      <c r="B228" s="15" t="s">
        <v>98</v>
      </c>
      <c r="C228" s="15" t="s">
        <v>599</v>
      </c>
      <c r="D228" s="16">
        <v>13177601.5963</v>
      </c>
      <c r="E228" s="16">
        <v>2043277.8197</v>
      </c>
      <c r="F228" s="17">
        <f t="shared" si="3"/>
        <v>15220879.416</v>
      </c>
      <c r="G228" s="18"/>
      <c r="H228" s="18"/>
      <c r="I228" s="19"/>
      <c r="J228" s="19"/>
      <c r="K228" s="19"/>
      <c r="L228" s="19"/>
      <c r="M228" s="18"/>
      <c r="N228" s="18"/>
      <c r="O228" s="19"/>
      <c r="P228" s="19"/>
      <c r="Q228" s="19"/>
    </row>
    <row r="229" ht="18.75" spans="1:17">
      <c r="A229" s="14">
        <v>224</v>
      </c>
      <c r="B229" s="15" t="s">
        <v>98</v>
      </c>
      <c r="C229" s="15" t="s">
        <v>600</v>
      </c>
      <c r="D229" s="16">
        <v>14432743.4374</v>
      </c>
      <c r="E229" s="16">
        <v>2237896.2005</v>
      </c>
      <c r="F229" s="17">
        <f t="shared" si="3"/>
        <v>16670639.6379</v>
      </c>
      <c r="G229" s="18"/>
      <c r="H229" s="18"/>
      <c r="I229" s="19"/>
      <c r="J229" s="19"/>
      <c r="K229" s="19"/>
      <c r="L229" s="19"/>
      <c r="M229" s="18"/>
      <c r="N229" s="18"/>
      <c r="O229" s="19"/>
      <c r="P229" s="19"/>
      <c r="Q229" s="19"/>
    </row>
    <row r="230" ht="18.75" spans="1:17">
      <c r="A230" s="14">
        <v>225</v>
      </c>
      <c r="B230" s="15" t="s">
        <v>99</v>
      </c>
      <c r="C230" s="15" t="s">
        <v>605</v>
      </c>
      <c r="D230" s="16">
        <v>14984255.0213</v>
      </c>
      <c r="E230" s="16">
        <v>2323411.8672</v>
      </c>
      <c r="F230" s="17">
        <f t="shared" si="3"/>
        <v>17307666.8885</v>
      </c>
      <c r="G230" s="18"/>
      <c r="H230" s="18"/>
      <c r="I230" s="19"/>
      <c r="J230" s="19"/>
      <c r="K230" s="19"/>
      <c r="L230" s="19"/>
      <c r="M230" s="18"/>
      <c r="N230" s="18"/>
      <c r="O230" s="19"/>
      <c r="P230" s="19"/>
      <c r="Q230" s="19"/>
    </row>
    <row r="231" ht="18.75" spans="1:17">
      <c r="A231" s="14">
        <v>226</v>
      </c>
      <c r="B231" s="15" t="s">
        <v>99</v>
      </c>
      <c r="C231" s="15" t="s">
        <v>607</v>
      </c>
      <c r="D231" s="16">
        <v>14231781.7197</v>
      </c>
      <c r="E231" s="16">
        <v>2206735.7031</v>
      </c>
      <c r="F231" s="17">
        <f t="shared" si="3"/>
        <v>16438517.4228</v>
      </c>
      <c r="G231" s="18"/>
      <c r="H231" s="18"/>
      <c r="I231" s="19"/>
      <c r="J231" s="19"/>
      <c r="K231" s="19"/>
      <c r="L231" s="19"/>
      <c r="M231" s="18"/>
      <c r="N231" s="18"/>
      <c r="O231" s="19"/>
      <c r="P231" s="19"/>
      <c r="Q231" s="19"/>
    </row>
    <row r="232" ht="18.75" spans="1:17">
      <c r="A232" s="14">
        <v>227</v>
      </c>
      <c r="B232" s="15" t="s">
        <v>99</v>
      </c>
      <c r="C232" s="15" t="s">
        <v>608</v>
      </c>
      <c r="D232" s="16">
        <v>9417430.6325</v>
      </c>
      <c r="E232" s="16">
        <v>1460237.4332</v>
      </c>
      <c r="F232" s="17">
        <f t="shared" si="3"/>
        <v>10877668.0657</v>
      </c>
      <c r="G232" s="18"/>
      <c r="H232" s="18"/>
      <c r="I232" s="19"/>
      <c r="J232" s="19"/>
      <c r="K232" s="19"/>
      <c r="L232" s="19"/>
      <c r="M232" s="18"/>
      <c r="N232" s="18"/>
      <c r="O232" s="19"/>
      <c r="P232" s="19"/>
      <c r="Q232" s="19"/>
    </row>
    <row r="233" ht="37.5" spans="1:17">
      <c r="A233" s="14">
        <v>228</v>
      </c>
      <c r="B233" s="15" t="s">
        <v>99</v>
      </c>
      <c r="C233" s="15" t="s">
        <v>610</v>
      </c>
      <c r="D233" s="16">
        <v>9695522.3059</v>
      </c>
      <c r="E233" s="16">
        <v>1503357.461</v>
      </c>
      <c r="F233" s="17">
        <f t="shared" si="3"/>
        <v>11198879.7669</v>
      </c>
      <c r="G233" s="18"/>
      <c r="H233" s="18"/>
      <c r="I233" s="19"/>
      <c r="J233" s="19"/>
      <c r="K233" s="19"/>
      <c r="L233" s="19"/>
      <c r="M233" s="18"/>
      <c r="N233" s="18"/>
      <c r="O233" s="19"/>
      <c r="P233" s="19"/>
      <c r="Q233" s="19"/>
    </row>
    <row r="234" ht="37.5" spans="1:17">
      <c r="A234" s="14">
        <v>229</v>
      </c>
      <c r="B234" s="15" t="s">
        <v>99</v>
      </c>
      <c r="C234" s="15" t="s">
        <v>612</v>
      </c>
      <c r="D234" s="16">
        <v>11608884.2211</v>
      </c>
      <c r="E234" s="16">
        <v>1800037.3943</v>
      </c>
      <c r="F234" s="17">
        <f t="shared" si="3"/>
        <v>13408921.6154</v>
      </c>
      <c r="G234" s="18"/>
      <c r="H234" s="18"/>
      <c r="I234" s="19"/>
      <c r="J234" s="19"/>
      <c r="K234" s="19"/>
      <c r="L234" s="19"/>
      <c r="M234" s="18"/>
      <c r="N234" s="18"/>
      <c r="O234" s="19"/>
      <c r="P234" s="19"/>
      <c r="Q234" s="19"/>
    </row>
    <row r="235" ht="18.75" spans="1:17">
      <c r="A235" s="14">
        <v>230</v>
      </c>
      <c r="B235" s="15" t="s">
        <v>99</v>
      </c>
      <c r="C235" s="15" t="s">
        <v>614</v>
      </c>
      <c r="D235" s="16">
        <v>9867131.9024</v>
      </c>
      <c r="E235" s="16">
        <v>1529966.7101</v>
      </c>
      <c r="F235" s="17">
        <f t="shared" si="3"/>
        <v>11397098.6125</v>
      </c>
      <c r="G235" s="18"/>
      <c r="H235" s="18"/>
      <c r="I235" s="19"/>
      <c r="J235" s="19"/>
      <c r="K235" s="19"/>
      <c r="L235" s="19"/>
      <c r="M235" s="18"/>
      <c r="N235" s="18"/>
      <c r="O235" s="19"/>
      <c r="P235" s="19"/>
      <c r="Q235" s="19"/>
    </row>
    <row r="236" ht="37.5" spans="1:17">
      <c r="A236" s="14">
        <v>231</v>
      </c>
      <c r="B236" s="15" t="s">
        <v>99</v>
      </c>
      <c r="C236" s="15" t="s">
        <v>616</v>
      </c>
      <c r="D236" s="16">
        <v>9876207.5218</v>
      </c>
      <c r="E236" s="16">
        <v>1531373.9473</v>
      </c>
      <c r="F236" s="17">
        <f t="shared" si="3"/>
        <v>11407581.4691</v>
      </c>
      <c r="G236" s="18"/>
      <c r="H236" s="18"/>
      <c r="I236" s="19"/>
      <c r="J236" s="19"/>
      <c r="K236" s="19"/>
      <c r="L236" s="19"/>
      <c r="M236" s="18"/>
      <c r="N236" s="18"/>
      <c r="O236" s="19"/>
      <c r="P236" s="19"/>
      <c r="Q236" s="19"/>
    </row>
    <row r="237" ht="18.75" spans="1:17">
      <c r="A237" s="14">
        <v>232</v>
      </c>
      <c r="B237" s="15" t="s">
        <v>99</v>
      </c>
      <c r="C237" s="15" t="s">
        <v>618</v>
      </c>
      <c r="D237" s="16">
        <v>11457224.0843</v>
      </c>
      <c r="E237" s="16">
        <v>1776521.4464</v>
      </c>
      <c r="F237" s="17">
        <f t="shared" si="3"/>
        <v>13233745.5307</v>
      </c>
      <c r="G237" s="18"/>
      <c r="H237" s="18"/>
      <c r="I237" s="19"/>
      <c r="J237" s="19"/>
      <c r="K237" s="19"/>
      <c r="L237" s="19"/>
      <c r="M237" s="18"/>
      <c r="N237" s="18"/>
      <c r="O237" s="19"/>
      <c r="P237" s="19"/>
      <c r="Q237" s="19"/>
    </row>
    <row r="238" ht="18.75" spans="1:17">
      <c r="A238" s="14">
        <v>233</v>
      </c>
      <c r="B238" s="15" t="s">
        <v>99</v>
      </c>
      <c r="C238" s="15" t="s">
        <v>620</v>
      </c>
      <c r="D238" s="16">
        <v>12610081.3792</v>
      </c>
      <c r="E238" s="16">
        <v>1955279.9042</v>
      </c>
      <c r="F238" s="17">
        <f t="shared" si="3"/>
        <v>14565361.2834</v>
      </c>
      <c r="G238" s="18"/>
      <c r="H238" s="18"/>
      <c r="I238" s="19"/>
      <c r="J238" s="19"/>
      <c r="K238" s="19"/>
      <c r="L238" s="19"/>
      <c r="M238" s="18"/>
      <c r="N238" s="18"/>
      <c r="O238" s="19"/>
      <c r="P238" s="19"/>
      <c r="Q238" s="19"/>
    </row>
    <row r="239" ht="18.75" spans="1:17">
      <c r="A239" s="14">
        <v>234</v>
      </c>
      <c r="B239" s="15" t="s">
        <v>99</v>
      </c>
      <c r="C239" s="15" t="s">
        <v>622</v>
      </c>
      <c r="D239" s="16">
        <v>9175684.6623</v>
      </c>
      <c r="E239" s="16">
        <v>1422753.0567</v>
      </c>
      <c r="F239" s="17">
        <f t="shared" si="3"/>
        <v>10598437.719</v>
      </c>
      <c r="G239" s="18"/>
      <c r="H239" s="18"/>
      <c r="I239" s="19"/>
      <c r="J239" s="19"/>
      <c r="K239" s="19"/>
      <c r="L239" s="19"/>
      <c r="M239" s="18"/>
      <c r="N239" s="18"/>
      <c r="O239" s="19"/>
      <c r="P239" s="19"/>
      <c r="Q239" s="19"/>
    </row>
    <row r="240" ht="18.75" spans="1:17">
      <c r="A240" s="14">
        <v>235</v>
      </c>
      <c r="B240" s="15" t="s">
        <v>99</v>
      </c>
      <c r="C240" s="15" t="s">
        <v>624</v>
      </c>
      <c r="D240" s="16">
        <v>15744451.5782</v>
      </c>
      <c r="E240" s="16">
        <v>2441285.5753</v>
      </c>
      <c r="F240" s="17">
        <f t="shared" si="3"/>
        <v>18185737.1535</v>
      </c>
      <c r="G240" s="18"/>
      <c r="H240" s="18"/>
      <c r="I240" s="19"/>
      <c r="J240" s="19"/>
      <c r="K240" s="19"/>
      <c r="L240" s="19"/>
      <c r="M240" s="18"/>
      <c r="N240" s="18"/>
      <c r="O240" s="19"/>
      <c r="P240" s="19"/>
      <c r="Q240" s="19"/>
    </row>
    <row r="241" ht="18.75" spans="1:17">
      <c r="A241" s="14">
        <v>236</v>
      </c>
      <c r="B241" s="15" t="s">
        <v>99</v>
      </c>
      <c r="C241" s="15" t="s">
        <v>626</v>
      </c>
      <c r="D241" s="16">
        <v>16203545.5113</v>
      </c>
      <c r="E241" s="16">
        <v>2512471.2492</v>
      </c>
      <c r="F241" s="17">
        <f t="shared" si="3"/>
        <v>18716016.7605</v>
      </c>
      <c r="G241" s="18"/>
      <c r="H241" s="18"/>
      <c r="I241" s="19"/>
      <c r="J241" s="19"/>
      <c r="K241" s="19"/>
      <c r="L241" s="19"/>
      <c r="M241" s="18"/>
      <c r="N241" s="18"/>
      <c r="O241" s="19"/>
      <c r="P241" s="19"/>
      <c r="Q241" s="19"/>
    </row>
    <row r="242" ht="18.75" spans="1:17">
      <c r="A242" s="14">
        <v>237</v>
      </c>
      <c r="B242" s="15" t="s">
        <v>99</v>
      </c>
      <c r="C242" s="15" t="s">
        <v>628</v>
      </c>
      <c r="D242" s="16">
        <v>12700456.7639</v>
      </c>
      <c r="E242" s="16">
        <v>1969293.2296</v>
      </c>
      <c r="F242" s="17">
        <f t="shared" si="3"/>
        <v>14669749.9935</v>
      </c>
      <c r="G242" s="18"/>
      <c r="H242" s="18"/>
      <c r="I242" s="19"/>
      <c r="J242" s="19"/>
      <c r="K242" s="19"/>
      <c r="L242" s="19"/>
      <c r="M242" s="18"/>
      <c r="N242" s="18"/>
      <c r="O242" s="19"/>
      <c r="P242" s="19"/>
      <c r="Q242" s="19"/>
    </row>
    <row r="243" ht="37.5" spans="1:17">
      <c r="A243" s="14">
        <v>238</v>
      </c>
      <c r="B243" s="15" t="s">
        <v>99</v>
      </c>
      <c r="C243" s="15" t="s">
        <v>630</v>
      </c>
      <c r="D243" s="16">
        <v>12112110.7903</v>
      </c>
      <c r="E243" s="16">
        <v>1878066.1372</v>
      </c>
      <c r="F243" s="17">
        <f t="shared" si="3"/>
        <v>13990176.9275</v>
      </c>
      <c r="G243" s="18"/>
      <c r="H243" s="18"/>
      <c r="I243" s="19"/>
      <c r="J243" s="19"/>
      <c r="K243" s="19"/>
      <c r="L243" s="19"/>
      <c r="M243" s="18"/>
      <c r="N243" s="18"/>
      <c r="O243" s="19"/>
      <c r="P243" s="19"/>
      <c r="Q243" s="19"/>
    </row>
    <row r="244" ht="37.5" spans="1:17">
      <c r="A244" s="14">
        <v>239</v>
      </c>
      <c r="B244" s="15" t="s">
        <v>99</v>
      </c>
      <c r="C244" s="15" t="s">
        <v>632</v>
      </c>
      <c r="D244" s="16">
        <v>13219372.3411</v>
      </c>
      <c r="E244" s="16">
        <v>2049754.6612</v>
      </c>
      <c r="F244" s="17">
        <f t="shared" si="3"/>
        <v>15269127.0023</v>
      </c>
      <c r="G244" s="18"/>
      <c r="H244" s="18"/>
      <c r="I244" s="19"/>
      <c r="J244" s="19"/>
      <c r="K244" s="19"/>
      <c r="L244" s="19"/>
      <c r="M244" s="18"/>
      <c r="N244" s="18"/>
      <c r="O244" s="19"/>
      <c r="P244" s="19"/>
      <c r="Q244" s="19"/>
    </row>
    <row r="245" ht="18.75" spans="1:17">
      <c r="A245" s="14">
        <v>240</v>
      </c>
      <c r="B245" s="15" t="s">
        <v>99</v>
      </c>
      <c r="C245" s="15" t="s">
        <v>634</v>
      </c>
      <c r="D245" s="16">
        <v>11596135.653</v>
      </c>
      <c r="E245" s="16">
        <v>1798060.6411</v>
      </c>
      <c r="F245" s="17">
        <f t="shared" si="3"/>
        <v>13394196.2941</v>
      </c>
      <c r="G245" s="18"/>
      <c r="H245" s="18"/>
      <c r="I245" s="19"/>
      <c r="J245" s="19"/>
      <c r="K245" s="19"/>
      <c r="L245" s="19"/>
      <c r="M245" s="18"/>
      <c r="N245" s="18"/>
      <c r="O245" s="19"/>
      <c r="P245" s="19"/>
      <c r="Q245" s="19"/>
    </row>
    <row r="246" ht="18.75" spans="1:17">
      <c r="A246" s="14">
        <v>241</v>
      </c>
      <c r="B246" s="15" t="s">
        <v>99</v>
      </c>
      <c r="C246" s="15" t="s">
        <v>636</v>
      </c>
      <c r="D246" s="16">
        <v>9510405.8415</v>
      </c>
      <c r="E246" s="16">
        <v>1474653.8792</v>
      </c>
      <c r="F246" s="17">
        <f t="shared" si="3"/>
        <v>10985059.7207</v>
      </c>
      <c r="G246" s="18"/>
      <c r="H246" s="18"/>
      <c r="I246" s="19"/>
      <c r="J246" s="19"/>
      <c r="K246" s="19"/>
      <c r="L246" s="19"/>
      <c r="M246" s="18"/>
      <c r="N246" s="18"/>
      <c r="O246" s="19"/>
      <c r="P246" s="19"/>
      <c r="Q246" s="19"/>
    </row>
    <row r="247" ht="18.75" spans="1:17">
      <c r="A247" s="14">
        <v>242</v>
      </c>
      <c r="B247" s="15" t="s">
        <v>99</v>
      </c>
      <c r="C247" s="15" t="s">
        <v>638</v>
      </c>
      <c r="D247" s="16">
        <v>11834740.6011</v>
      </c>
      <c r="E247" s="16">
        <v>1835057.9805</v>
      </c>
      <c r="F247" s="17">
        <f t="shared" si="3"/>
        <v>13669798.5816</v>
      </c>
      <c r="G247" s="18"/>
      <c r="H247" s="18"/>
      <c r="I247" s="19"/>
      <c r="J247" s="19"/>
      <c r="K247" s="19"/>
      <c r="L247" s="19"/>
      <c r="M247" s="18"/>
      <c r="N247" s="18"/>
      <c r="O247" s="19"/>
      <c r="P247" s="19"/>
      <c r="Q247" s="19"/>
    </row>
    <row r="248" ht="18.75" spans="1:17">
      <c r="A248" s="14">
        <v>243</v>
      </c>
      <c r="B248" s="15" t="s">
        <v>100</v>
      </c>
      <c r="C248" s="15" t="s">
        <v>642</v>
      </c>
      <c r="D248" s="16">
        <v>13906072.0278</v>
      </c>
      <c r="E248" s="16">
        <v>2156232.1737</v>
      </c>
      <c r="F248" s="17">
        <f t="shared" si="3"/>
        <v>16062304.2015</v>
      </c>
      <c r="G248" s="18"/>
      <c r="H248" s="18"/>
      <c r="I248" s="19"/>
      <c r="J248" s="19"/>
      <c r="K248" s="19"/>
      <c r="L248" s="19"/>
      <c r="M248" s="18"/>
      <c r="N248" s="18"/>
      <c r="O248" s="19"/>
      <c r="P248" s="19"/>
      <c r="Q248" s="19"/>
    </row>
    <row r="249" ht="18.75" spans="1:17">
      <c r="A249" s="14">
        <v>244</v>
      </c>
      <c r="B249" s="15" t="s">
        <v>100</v>
      </c>
      <c r="C249" s="15" t="s">
        <v>644</v>
      </c>
      <c r="D249" s="16">
        <v>10581581.1309</v>
      </c>
      <c r="E249" s="16">
        <v>1640746.98</v>
      </c>
      <c r="F249" s="17">
        <f t="shared" si="3"/>
        <v>12222328.1109</v>
      </c>
      <c r="G249" s="18"/>
      <c r="H249" s="18"/>
      <c r="I249" s="19"/>
      <c r="J249" s="19"/>
      <c r="K249" s="19"/>
      <c r="L249" s="19"/>
      <c r="M249" s="18"/>
      <c r="N249" s="18"/>
      <c r="O249" s="19"/>
      <c r="P249" s="19"/>
      <c r="Q249" s="19"/>
    </row>
    <row r="250" ht="18.75" spans="1:17">
      <c r="A250" s="14">
        <v>245</v>
      </c>
      <c r="B250" s="15" t="s">
        <v>100</v>
      </c>
      <c r="C250" s="15" t="s">
        <v>646</v>
      </c>
      <c r="D250" s="16">
        <v>10089388.8252</v>
      </c>
      <c r="E250" s="16">
        <v>1564429.1756</v>
      </c>
      <c r="F250" s="17">
        <f t="shared" si="3"/>
        <v>11653818.0008</v>
      </c>
      <c r="G250" s="18"/>
      <c r="H250" s="18"/>
      <c r="I250" s="19"/>
      <c r="J250" s="19"/>
      <c r="K250" s="19"/>
      <c r="L250" s="19"/>
      <c r="M250" s="18"/>
      <c r="N250" s="18"/>
      <c r="O250" s="19"/>
      <c r="P250" s="19"/>
      <c r="Q250" s="19"/>
    </row>
    <row r="251" ht="18.75" spans="1:17">
      <c r="A251" s="14">
        <v>246</v>
      </c>
      <c r="B251" s="15" t="s">
        <v>100</v>
      </c>
      <c r="C251" s="15" t="s">
        <v>648</v>
      </c>
      <c r="D251" s="16">
        <v>10417841.7015</v>
      </c>
      <c r="E251" s="16">
        <v>1615358.0546</v>
      </c>
      <c r="F251" s="17">
        <f t="shared" si="3"/>
        <v>12033199.7561</v>
      </c>
      <c r="G251" s="18"/>
      <c r="H251" s="18"/>
      <c r="I251" s="19"/>
      <c r="J251" s="19"/>
      <c r="K251" s="19"/>
      <c r="L251" s="19"/>
      <c r="M251" s="18"/>
      <c r="N251" s="18"/>
      <c r="O251" s="19"/>
      <c r="P251" s="19"/>
      <c r="Q251" s="19"/>
    </row>
    <row r="252" ht="37.5" spans="1:17">
      <c r="A252" s="14">
        <v>247</v>
      </c>
      <c r="B252" s="15" t="s">
        <v>100</v>
      </c>
      <c r="C252" s="15" t="s">
        <v>650</v>
      </c>
      <c r="D252" s="16">
        <v>11034524.4963</v>
      </c>
      <c r="E252" s="16">
        <v>1710978.9661</v>
      </c>
      <c r="F252" s="17">
        <f t="shared" si="3"/>
        <v>12745503.4624</v>
      </c>
      <c r="G252" s="18"/>
      <c r="H252" s="18"/>
      <c r="I252" s="19"/>
      <c r="J252" s="19"/>
      <c r="K252" s="19"/>
      <c r="L252" s="19"/>
      <c r="M252" s="18"/>
      <c r="N252" s="18"/>
      <c r="O252" s="19"/>
      <c r="P252" s="19"/>
      <c r="Q252" s="19"/>
    </row>
    <row r="253" ht="18.75" spans="1:17">
      <c r="A253" s="14">
        <v>248</v>
      </c>
      <c r="B253" s="15" t="s">
        <v>100</v>
      </c>
      <c r="C253" s="15" t="s">
        <v>652</v>
      </c>
      <c r="D253" s="16">
        <v>11248685.4664</v>
      </c>
      <c r="E253" s="16">
        <v>1744186.0984</v>
      </c>
      <c r="F253" s="17">
        <f t="shared" si="3"/>
        <v>12992871.5648</v>
      </c>
      <c r="G253" s="18"/>
      <c r="H253" s="18"/>
      <c r="I253" s="19"/>
      <c r="J253" s="19"/>
      <c r="K253" s="19"/>
      <c r="L253" s="19"/>
      <c r="M253" s="18"/>
      <c r="N253" s="18"/>
      <c r="O253" s="19"/>
      <c r="P253" s="19"/>
      <c r="Q253" s="19"/>
    </row>
    <row r="254" ht="18.75" spans="1:17">
      <c r="A254" s="14">
        <v>249</v>
      </c>
      <c r="B254" s="15" t="s">
        <v>100</v>
      </c>
      <c r="C254" s="15" t="s">
        <v>654</v>
      </c>
      <c r="D254" s="16">
        <v>9268986.6735</v>
      </c>
      <c r="E254" s="16">
        <v>1437220.1757</v>
      </c>
      <c r="F254" s="17">
        <f t="shared" si="3"/>
        <v>10706206.8492</v>
      </c>
      <c r="G254" s="18"/>
      <c r="H254" s="18"/>
      <c r="I254" s="19"/>
      <c r="J254" s="19"/>
      <c r="K254" s="19"/>
      <c r="L254" s="19"/>
      <c r="M254" s="18"/>
      <c r="N254" s="18"/>
      <c r="O254" s="19"/>
      <c r="P254" s="19"/>
      <c r="Q254" s="19"/>
    </row>
    <row r="255" ht="18.75" spans="1:17">
      <c r="A255" s="14">
        <v>250</v>
      </c>
      <c r="B255" s="15" t="s">
        <v>100</v>
      </c>
      <c r="C255" s="15" t="s">
        <v>656</v>
      </c>
      <c r="D255" s="16">
        <v>11418650.0979</v>
      </c>
      <c r="E255" s="16">
        <v>1770540.2843</v>
      </c>
      <c r="F255" s="17">
        <f t="shared" si="3"/>
        <v>13189190.3822</v>
      </c>
      <c r="G255" s="18"/>
      <c r="H255" s="18"/>
      <c r="I255" s="19"/>
      <c r="J255" s="19"/>
      <c r="K255" s="19"/>
      <c r="L255" s="19"/>
      <c r="M255" s="18"/>
      <c r="N255" s="18"/>
      <c r="O255" s="19"/>
      <c r="P255" s="19"/>
      <c r="Q255" s="19"/>
    </row>
    <row r="256" ht="18.75" spans="1:17">
      <c r="A256" s="14">
        <v>251</v>
      </c>
      <c r="B256" s="15" t="s">
        <v>100</v>
      </c>
      <c r="C256" s="15" t="s">
        <v>658</v>
      </c>
      <c r="D256" s="16">
        <v>12217501.736</v>
      </c>
      <c r="E256" s="16">
        <v>1894407.7287</v>
      </c>
      <c r="F256" s="17">
        <f t="shared" si="3"/>
        <v>14111909.4647</v>
      </c>
      <c r="G256" s="18"/>
      <c r="H256" s="18"/>
      <c r="I256" s="19"/>
      <c r="J256" s="19"/>
      <c r="K256" s="19"/>
      <c r="L256" s="19"/>
      <c r="M256" s="18"/>
      <c r="N256" s="18"/>
      <c r="O256" s="19"/>
      <c r="P256" s="19"/>
      <c r="Q256" s="19"/>
    </row>
    <row r="257" ht="18.75" spans="1:17">
      <c r="A257" s="14">
        <v>252</v>
      </c>
      <c r="B257" s="15" t="s">
        <v>100</v>
      </c>
      <c r="C257" s="15" t="s">
        <v>660</v>
      </c>
      <c r="D257" s="16">
        <v>10668561.9971</v>
      </c>
      <c r="E257" s="16">
        <v>1654233.9619</v>
      </c>
      <c r="F257" s="17">
        <f t="shared" si="3"/>
        <v>12322795.959</v>
      </c>
      <c r="G257" s="18"/>
      <c r="H257" s="18"/>
      <c r="I257" s="19"/>
      <c r="J257" s="19"/>
      <c r="K257" s="19"/>
      <c r="L257" s="19"/>
      <c r="M257" s="18"/>
      <c r="N257" s="18"/>
      <c r="O257" s="19"/>
      <c r="P257" s="19"/>
      <c r="Q257" s="19"/>
    </row>
    <row r="258" ht="18.75" spans="1:17">
      <c r="A258" s="14">
        <v>253</v>
      </c>
      <c r="B258" s="15" t="s">
        <v>100</v>
      </c>
      <c r="C258" s="15" t="s">
        <v>662</v>
      </c>
      <c r="D258" s="16">
        <v>11433123.2366</v>
      </c>
      <c r="E258" s="16">
        <v>1772784.444</v>
      </c>
      <c r="F258" s="17">
        <f t="shared" si="3"/>
        <v>13205907.6806</v>
      </c>
      <c r="G258" s="18"/>
      <c r="H258" s="18"/>
      <c r="I258" s="19"/>
      <c r="J258" s="19"/>
      <c r="K258" s="19"/>
      <c r="L258" s="19"/>
      <c r="M258" s="18"/>
      <c r="N258" s="18"/>
      <c r="O258" s="19"/>
      <c r="P258" s="19"/>
      <c r="Q258" s="19"/>
    </row>
    <row r="259" ht="18.75" spans="1:17">
      <c r="A259" s="14">
        <v>254</v>
      </c>
      <c r="B259" s="15" t="s">
        <v>100</v>
      </c>
      <c r="C259" s="15" t="s">
        <v>664</v>
      </c>
      <c r="D259" s="16">
        <v>8023311.8403</v>
      </c>
      <c r="E259" s="16">
        <v>1244069.7197</v>
      </c>
      <c r="F259" s="17">
        <f t="shared" si="3"/>
        <v>9267381.56</v>
      </c>
      <c r="G259" s="18"/>
      <c r="H259" s="18"/>
      <c r="I259" s="19"/>
      <c r="J259" s="19"/>
      <c r="K259" s="19"/>
      <c r="L259" s="19"/>
      <c r="M259" s="18"/>
      <c r="N259" s="18"/>
      <c r="O259" s="19"/>
      <c r="P259" s="19"/>
      <c r="Q259" s="19"/>
    </row>
    <row r="260" ht="37.5" spans="1:17">
      <c r="A260" s="14">
        <v>255</v>
      </c>
      <c r="B260" s="15" t="s">
        <v>100</v>
      </c>
      <c r="C260" s="15" t="s">
        <v>666</v>
      </c>
      <c r="D260" s="16">
        <v>10169006.3492</v>
      </c>
      <c r="E260" s="16">
        <v>1576774.4206</v>
      </c>
      <c r="F260" s="17">
        <f t="shared" si="3"/>
        <v>11745780.7698</v>
      </c>
      <c r="G260" s="18"/>
      <c r="H260" s="18"/>
      <c r="I260" s="19"/>
      <c r="J260" s="19"/>
      <c r="K260" s="19"/>
      <c r="L260" s="19"/>
      <c r="M260" s="18"/>
      <c r="N260" s="18"/>
      <c r="O260" s="19"/>
      <c r="P260" s="19"/>
      <c r="Q260" s="19"/>
    </row>
    <row r="261" ht="18.75" spans="1:17">
      <c r="A261" s="14">
        <v>256</v>
      </c>
      <c r="B261" s="15" t="s">
        <v>100</v>
      </c>
      <c r="C261" s="15" t="s">
        <v>668</v>
      </c>
      <c r="D261" s="16">
        <v>9923294.0717</v>
      </c>
      <c r="E261" s="16">
        <v>1538675.0409</v>
      </c>
      <c r="F261" s="17">
        <f t="shared" si="3"/>
        <v>11461969.1126</v>
      </c>
      <c r="G261" s="18"/>
      <c r="H261" s="18"/>
      <c r="I261" s="19"/>
      <c r="J261" s="19"/>
      <c r="K261" s="19"/>
      <c r="L261" s="19"/>
      <c r="M261" s="18"/>
      <c r="N261" s="18"/>
      <c r="O261" s="19"/>
      <c r="P261" s="19"/>
      <c r="Q261" s="19"/>
    </row>
    <row r="262" ht="18.75" spans="1:17">
      <c r="A262" s="14">
        <v>257</v>
      </c>
      <c r="B262" s="15" t="s">
        <v>100</v>
      </c>
      <c r="C262" s="15" t="s">
        <v>670</v>
      </c>
      <c r="D262" s="16">
        <v>10642866.7471</v>
      </c>
      <c r="E262" s="16">
        <v>1650249.7366</v>
      </c>
      <c r="F262" s="17">
        <f t="shared" si="3"/>
        <v>12293116.4837</v>
      </c>
      <c r="G262" s="18"/>
      <c r="H262" s="18"/>
      <c r="I262" s="19"/>
      <c r="J262" s="19"/>
      <c r="K262" s="19"/>
      <c r="L262" s="19"/>
      <c r="M262" s="18"/>
      <c r="N262" s="18"/>
      <c r="O262" s="19"/>
      <c r="P262" s="19"/>
      <c r="Q262" s="19"/>
    </row>
    <row r="263" ht="18.75" spans="1:17">
      <c r="A263" s="14">
        <v>258</v>
      </c>
      <c r="B263" s="15" t="s">
        <v>100</v>
      </c>
      <c r="C263" s="15" t="s">
        <v>672</v>
      </c>
      <c r="D263" s="16">
        <v>10345696.5861</v>
      </c>
      <c r="E263" s="16">
        <v>1604171.4579</v>
      </c>
      <c r="F263" s="17">
        <f t="shared" ref="F263:F326" si="4">D263+E263</f>
        <v>11949868.044</v>
      </c>
      <c r="G263" s="18"/>
      <c r="H263" s="18"/>
      <c r="I263" s="19"/>
      <c r="J263" s="19"/>
      <c r="K263" s="19"/>
      <c r="L263" s="19"/>
      <c r="M263" s="18"/>
      <c r="N263" s="18"/>
      <c r="O263" s="19"/>
      <c r="P263" s="19"/>
      <c r="Q263" s="19"/>
    </row>
    <row r="264" ht="18.75" spans="1:17">
      <c r="A264" s="14">
        <v>259</v>
      </c>
      <c r="B264" s="15" t="s">
        <v>101</v>
      </c>
      <c r="C264" s="15" t="s">
        <v>676</v>
      </c>
      <c r="D264" s="16">
        <v>12959766.5835</v>
      </c>
      <c r="E264" s="16">
        <v>2009501.0018</v>
      </c>
      <c r="F264" s="17">
        <f t="shared" si="4"/>
        <v>14969267.5853</v>
      </c>
      <c r="G264" s="18"/>
      <c r="H264" s="18"/>
      <c r="I264" s="19"/>
      <c r="J264" s="19"/>
      <c r="K264" s="19"/>
      <c r="L264" s="19"/>
      <c r="M264" s="18"/>
      <c r="N264" s="18"/>
      <c r="O264" s="19"/>
      <c r="P264" s="19"/>
      <c r="Q264" s="19"/>
    </row>
    <row r="265" ht="18.75" spans="1:17">
      <c r="A265" s="14">
        <v>260</v>
      </c>
      <c r="B265" s="15" t="s">
        <v>101</v>
      </c>
      <c r="C265" s="15" t="s">
        <v>678</v>
      </c>
      <c r="D265" s="16">
        <v>10919534.7275</v>
      </c>
      <c r="E265" s="16">
        <v>1693149.011</v>
      </c>
      <c r="F265" s="17">
        <f t="shared" si="4"/>
        <v>12612683.7385</v>
      </c>
      <c r="G265" s="18"/>
      <c r="H265" s="18"/>
      <c r="I265" s="19"/>
      <c r="J265" s="19"/>
      <c r="K265" s="19"/>
      <c r="L265" s="19"/>
      <c r="M265" s="18"/>
      <c r="N265" s="18"/>
      <c r="O265" s="19"/>
      <c r="P265" s="19"/>
      <c r="Q265" s="19"/>
    </row>
    <row r="266" ht="18.75" spans="1:17">
      <c r="A266" s="14">
        <v>261</v>
      </c>
      <c r="B266" s="15" t="s">
        <v>101</v>
      </c>
      <c r="C266" s="15" t="s">
        <v>680</v>
      </c>
      <c r="D266" s="16">
        <v>14780747.6065</v>
      </c>
      <c r="E266" s="16">
        <v>2291856.642</v>
      </c>
      <c r="F266" s="17">
        <f t="shared" si="4"/>
        <v>17072604.2485</v>
      </c>
      <c r="G266" s="18"/>
      <c r="H266" s="18"/>
      <c r="I266" s="19"/>
      <c r="J266" s="19"/>
      <c r="K266" s="19"/>
      <c r="L266" s="19"/>
      <c r="M266" s="18"/>
      <c r="N266" s="18"/>
      <c r="O266" s="19"/>
      <c r="P266" s="19"/>
      <c r="Q266" s="19"/>
    </row>
    <row r="267" ht="18.75" spans="1:17">
      <c r="A267" s="14">
        <v>262</v>
      </c>
      <c r="B267" s="15" t="s">
        <v>101</v>
      </c>
      <c r="C267" s="15" t="s">
        <v>682</v>
      </c>
      <c r="D267" s="16">
        <v>13894445.7092</v>
      </c>
      <c r="E267" s="16">
        <v>2154429.433</v>
      </c>
      <c r="F267" s="17">
        <f t="shared" si="4"/>
        <v>16048875.1422</v>
      </c>
      <c r="G267" s="18"/>
      <c r="H267" s="18"/>
      <c r="I267" s="19"/>
      <c r="J267" s="19"/>
      <c r="K267" s="19"/>
      <c r="L267" s="19"/>
      <c r="M267" s="18"/>
      <c r="N267" s="18"/>
      <c r="O267" s="19"/>
      <c r="P267" s="19"/>
      <c r="Q267" s="19"/>
    </row>
    <row r="268" ht="18.75" spans="1:17">
      <c r="A268" s="14">
        <v>263</v>
      </c>
      <c r="B268" s="15" t="s">
        <v>101</v>
      </c>
      <c r="C268" s="15" t="s">
        <v>684</v>
      </c>
      <c r="D268" s="16">
        <v>13434328.8789</v>
      </c>
      <c r="E268" s="16">
        <v>2083085.1518</v>
      </c>
      <c r="F268" s="17">
        <f t="shared" si="4"/>
        <v>15517414.0307</v>
      </c>
      <c r="G268" s="18"/>
      <c r="H268" s="18"/>
      <c r="I268" s="19"/>
      <c r="J268" s="19"/>
      <c r="K268" s="19"/>
      <c r="L268" s="19"/>
      <c r="M268" s="18"/>
      <c r="N268" s="18"/>
      <c r="O268" s="19"/>
      <c r="P268" s="19"/>
      <c r="Q268" s="19"/>
    </row>
    <row r="269" ht="18.75" spans="1:17">
      <c r="A269" s="14">
        <v>264</v>
      </c>
      <c r="B269" s="15" t="s">
        <v>101</v>
      </c>
      <c r="C269" s="15" t="s">
        <v>686</v>
      </c>
      <c r="D269" s="16">
        <v>12916681.0861</v>
      </c>
      <c r="E269" s="16">
        <v>2002820.2989</v>
      </c>
      <c r="F269" s="17">
        <f t="shared" si="4"/>
        <v>14919501.385</v>
      </c>
      <c r="G269" s="18"/>
      <c r="H269" s="18"/>
      <c r="I269" s="19"/>
      <c r="J269" s="19"/>
      <c r="K269" s="19"/>
      <c r="L269" s="19"/>
      <c r="M269" s="18"/>
      <c r="N269" s="18"/>
      <c r="O269" s="19"/>
      <c r="P269" s="19"/>
      <c r="Q269" s="19"/>
    </row>
    <row r="270" ht="18.75" spans="1:17">
      <c r="A270" s="14">
        <v>265</v>
      </c>
      <c r="B270" s="15" t="s">
        <v>101</v>
      </c>
      <c r="C270" s="15" t="s">
        <v>688</v>
      </c>
      <c r="D270" s="16">
        <v>13041790.9651</v>
      </c>
      <c r="E270" s="16">
        <v>2022219.4467</v>
      </c>
      <c r="F270" s="17">
        <f t="shared" si="4"/>
        <v>15064010.4118</v>
      </c>
      <c r="G270" s="18"/>
      <c r="H270" s="18"/>
      <c r="I270" s="19"/>
      <c r="J270" s="19"/>
      <c r="K270" s="19"/>
      <c r="L270" s="19"/>
      <c r="M270" s="18"/>
      <c r="N270" s="18"/>
      <c r="O270" s="19"/>
      <c r="P270" s="19"/>
      <c r="Q270" s="19"/>
    </row>
    <row r="271" ht="37.5" spans="1:17">
      <c r="A271" s="14">
        <v>266</v>
      </c>
      <c r="B271" s="15" t="s">
        <v>101</v>
      </c>
      <c r="C271" s="15" t="s">
        <v>690</v>
      </c>
      <c r="D271" s="16">
        <v>14115355.6959</v>
      </c>
      <c r="E271" s="16">
        <v>2188683.0468</v>
      </c>
      <c r="F271" s="17">
        <f t="shared" si="4"/>
        <v>16304038.7427</v>
      </c>
      <c r="G271" s="18"/>
      <c r="H271" s="18"/>
      <c r="I271" s="19"/>
      <c r="J271" s="19"/>
      <c r="K271" s="19"/>
      <c r="L271" s="19"/>
      <c r="M271" s="18"/>
      <c r="N271" s="18"/>
      <c r="O271" s="19"/>
      <c r="P271" s="19"/>
      <c r="Q271" s="19"/>
    </row>
    <row r="272" ht="37.5" spans="1:17">
      <c r="A272" s="14">
        <v>267</v>
      </c>
      <c r="B272" s="15" t="s">
        <v>101</v>
      </c>
      <c r="C272" s="15" t="s">
        <v>692</v>
      </c>
      <c r="D272" s="16">
        <v>12843934.0241</v>
      </c>
      <c r="E272" s="16">
        <v>1991540.3663</v>
      </c>
      <c r="F272" s="17">
        <f t="shared" si="4"/>
        <v>14835474.3904</v>
      </c>
      <c r="G272" s="18"/>
      <c r="H272" s="18"/>
      <c r="I272" s="19"/>
      <c r="J272" s="19"/>
      <c r="K272" s="19"/>
      <c r="L272" s="19"/>
      <c r="M272" s="18"/>
      <c r="N272" s="18"/>
      <c r="O272" s="19"/>
      <c r="P272" s="19"/>
      <c r="Q272" s="19"/>
    </row>
    <row r="273" ht="18.75" spans="1:17">
      <c r="A273" s="14">
        <v>268</v>
      </c>
      <c r="B273" s="15" t="s">
        <v>101</v>
      </c>
      <c r="C273" s="15" t="s">
        <v>694</v>
      </c>
      <c r="D273" s="16">
        <v>12011229.7888</v>
      </c>
      <c r="E273" s="16">
        <v>1862423.8437</v>
      </c>
      <c r="F273" s="17">
        <f t="shared" si="4"/>
        <v>13873653.6325</v>
      </c>
      <c r="G273" s="18"/>
      <c r="H273" s="18"/>
      <c r="I273" s="19"/>
      <c r="J273" s="19"/>
      <c r="K273" s="19"/>
      <c r="L273" s="19"/>
      <c r="M273" s="18"/>
      <c r="N273" s="18"/>
      <c r="O273" s="19"/>
      <c r="P273" s="19"/>
      <c r="Q273" s="19"/>
    </row>
    <row r="274" ht="18.75" spans="1:17">
      <c r="A274" s="14">
        <v>269</v>
      </c>
      <c r="B274" s="15" t="s">
        <v>101</v>
      </c>
      <c r="C274" s="15" t="s">
        <v>696</v>
      </c>
      <c r="D274" s="16">
        <v>12574950.1968</v>
      </c>
      <c r="E274" s="16">
        <v>1949832.5726</v>
      </c>
      <c r="F274" s="17">
        <f t="shared" si="4"/>
        <v>14524782.7694</v>
      </c>
      <c r="G274" s="18"/>
      <c r="H274" s="18"/>
      <c r="I274" s="19"/>
      <c r="J274" s="19"/>
      <c r="K274" s="19"/>
      <c r="L274" s="19"/>
      <c r="M274" s="18"/>
      <c r="N274" s="18"/>
      <c r="O274" s="19"/>
      <c r="P274" s="19"/>
      <c r="Q274" s="19"/>
    </row>
    <row r="275" ht="18.75" spans="1:17">
      <c r="A275" s="14">
        <v>270</v>
      </c>
      <c r="B275" s="15" t="s">
        <v>101</v>
      </c>
      <c r="C275" s="15" t="s">
        <v>698</v>
      </c>
      <c r="D275" s="16">
        <v>12209395.0971</v>
      </c>
      <c r="E275" s="16">
        <v>1893150.7386</v>
      </c>
      <c r="F275" s="17">
        <f t="shared" si="4"/>
        <v>14102545.8357</v>
      </c>
      <c r="G275" s="18"/>
      <c r="H275" s="18"/>
      <c r="I275" s="19"/>
      <c r="J275" s="19"/>
      <c r="K275" s="19"/>
      <c r="L275" s="19"/>
      <c r="M275" s="18"/>
      <c r="N275" s="18"/>
      <c r="O275" s="19"/>
      <c r="P275" s="19"/>
      <c r="Q275" s="19"/>
    </row>
    <row r="276" ht="18.75" spans="1:17">
      <c r="A276" s="14">
        <v>271</v>
      </c>
      <c r="B276" s="15" t="s">
        <v>101</v>
      </c>
      <c r="C276" s="15" t="s">
        <v>700</v>
      </c>
      <c r="D276" s="16">
        <v>15812763.8571</v>
      </c>
      <c r="E276" s="16">
        <v>2451877.8643</v>
      </c>
      <c r="F276" s="17">
        <f t="shared" si="4"/>
        <v>18264641.7214</v>
      </c>
      <c r="G276" s="18"/>
      <c r="H276" s="18"/>
      <c r="I276" s="19"/>
      <c r="J276" s="19"/>
      <c r="K276" s="19"/>
      <c r="L276" s="19"/>
      <c r="M276" s="18"/>
      <c r="N276" s="18"/>
      <c r="O276" s="19"/>
      <c r="P276" s="19"/>
      <c r="Q276" s="19"/>
    </row>
    <row r="277" ht="18.75" spans="1:17">
      <c r="A277" s="14">
        <v>272</v>
      </c>
      <c r="B277" s="15" t="s">
        <v>101</v>
      </c>
      <c r="C277" s="15" t="s">
        <v>701</v>
      </c>
      <c r="D277" s="16">
        <v>10849780.2288</v>
      </c>
      <c r="E277" s="16">
        <v>1682333.0959</v>
      </c>
      <c r="F277" s="17">
        <f t="shared" si="4"/>
        <v>12532113.3247</v>
      </c>
      <c r="G277" s="18"/>
      <c r="H277" s="18"/>
      <c r="I277" s="19"/>
      <c r="J277" s="19"/>
      <c r="K277" s="19"/>
      <c r="L277" s="19"/>
      <c r="M277" s="18"/>
      <c r="N277" s="18"/>
      <c r="O277" s="19"/>
      <c r="P277" s="19"/>
      <c r="Q277" s="19"/>
    </row>
    <row r="278" ht="18.75" spans="1:17">
      <c r="A278" s="14">
        <v>273</v>
      </c>
      <c r="B278" s="15" t="s">
        <v>101</v>
      </c>
      <c r="C278" s="15" t="s">
        <v>703</v>
      </c>
      <c r="D278" s="16">
        <v>12008952.1073</v>
      </c>
      <c r="E278" s="16">
        <v>1862070.6735</v>
      </c>
      <c r="F278" s="17">
        <f t="shared" si="4"/>
        <v>13871022.7808</v>
      </c>
      <c r="G278" s="18"/>
      <c r="H278" s="18"/>
      <c r="I278" s="19"/>
      <c r="J278" s="19"/>
      <c r="K278" s="19"/>
      <c r="L278" s="19"/>
      <c r="M278" s="18"/>
      <c r="N278" s="18"/>
      <c r="O278" s="19"/>
      <c r="P278" s="19"/>
      <c r="Q278" s="19"/>
    </row>
    <row r="279" ht="18.75" spans="1:17">
      <c r="A279" s="14">
        <v>274</v>
      </c>
      <c r="B279" s="15" t="s">
        <v>101</v>
      </c>
      <c r="C279" s="15" t="s">
        <v>705</v>
      </c>
      <c r="D279" s="16">
        <v>13636004.9943</v>
      </c>
      <c r="E279" s="16">
        <v>2114356.4215</v>
      </c>
      <c r="F279" s="17">
        <f t="shared" si="4"/>
        <v>15750361.4158</v>
      </c>
      <c r="G279" s="18"/>
      <c r="H279" s="18"/>
      <c r="I279" s="19"/>
      <c r="J279" s="19"/>
      <c r="K279" s="19"/>
      <c r="L279" s="19"/>
      <c r="M279" s="18"/>
      <c r="N279" s="18"/>
      <c r="O279" s="19"/>
      <c r="P279" s="19"/>
      <c r="Q279" s="19"/>
    </row>
    <row r="280" ht="18.75" spans="1:17">
      <c r="A280" s="14">
        <v>275</v>
      </c>
      <c r="B280" s="15" t="s">
        <v>101</v>
      </c>
      <c r="C280" s="15" t="s">
        <v>707</v>
      </c>
      <c r="D280" s="16">
        <v>11292496.7188</v>
      </c>
      <c r="E280" s="16">
        <v>1750979.3346</v>
      </c>
      <c r="F280" s="17">
        <f t="shared" si="4"/>
        <v>13043476.0534</v>
      </c>
      <c r="G280" s="18"/>
      <c r="H280" s="18"/>
      <c r="I280" s="19"/>
      <c r="J280" s="19"/>
      <c r="K280" s="19"/>
      <c r="L280" s="19"/>
      <c r="M280" s="18"/>
      <c r="N280" s="18"/>
      <c r="O280" s="19"/>
      <c r="P280" s="19"/>
      <c r="Q280" s="19"/>
    </row>
    <row r="281" ht="18.75" spans="1:17">
      <c r="A281" s="14">
        <v>276</v>
      </c>
      <c r="B281" s="15" t="s">
        <v>102</v>
      </c>
      <c r="C281" s="15" t="s">
        <v>712</v>
      </c>
      <c r="D281" s="16">
        <v>18017377.3764</v>
      </c>
      <c r="E281" s="16">
        <v>2793718.3633</v>
      </c>
      <c r="F281" s="17">
        <f t="shared" si="4"/>
        <v>20811095.7397</v>
      </c>
      <c r="G281" s="18"/>
      <c r="H281" s="18"/>
      <c r="I281" s="19"/>
      <c r="J281" s="19"/>
      <c r="K281" s="19"/>
      <c r="L281" s="19"/>
      <c r="M281" s="18"/>
      <c r="N281" s="18"/>
      <c r="O281" s="19"/>
      <c r="P281" s="19"/>
      <c r="Q281" s="19"/>
    </row>
    <row r="282" ht="18.75" spans="1:17">
      <c r="A282" s="14">
        <v>277</v>
      </c>
      <c r="B282" s="15" t="s">
        <v>102</v>
      </c>
      <c r="C282" s="15" t="s">
        <v>714</v>
      </c>
      <c r="D282" s="16">
        <v>13084804.9191</v>
      </c>
      <c r="E282" s="16">
        <v>2028889.0563</v>
      </c>
      <c r="F282" s="17">
        <f t="shared" si="4"/>
        <v>15113693.9754</v>
      </c>
      <c r="G282" s="18"/>
      <c r="H282" s="18"/>
      <c r="I282" s="19"/>
      <c r="J282" s="19"/>
      <c r="K282" s="19"/>
      <c r="L282" s="19"/>
      <c r="M282" s="18"/>
      <c r="N282" s="18"/>
      <c r="O282" s="19"/>
      <c r="P282" s="19"/>
      <c r="Q282" s="19"/>
    </row>
    <row r="283" ht="18.75" spans="1:17">
      <c r="A283" s="14">
        <v>278</v>
      </c>
      <c r="B283" s="15" t="s">
        <v>102</v>
      </c>
      <c r="C283" s="15" t="s">
        <v>716</v>
      </c>
      <c r="D283" s="16">
        <v>13169568.6674</v>
      </c>
      <c r="E283" s="16">
        <v>2042032.2588</v>
      </c>
      <c r="F283" s="17">
        <f t="shared" si="4"/>
        <v>15211600.9262</v>
      </c>
      <c r="G283" s="18"/>
      <c r="H283" s="18"/>
      <c r="I283" s="19"/>
      <c r="J283" s="19"/>
      <c r="K283" s="19"/>
      <c r="L283" s="19"/>
      <c r="M283" s="18"/>
      <c r="N283" s="18"/>
      <c r="O283" s="19"/>
      <c r="P283" s="19"/>
      <c r="Q283" s="19"/>
    </row>
    <row r="284" ht="18.75" spans="1:17">
      <c r="A284" s="14">
        <v>279</v>
      </c>
      <c r="B284" s="15" t="s">
        <v>102</v>
      </c>
      <c r="C284" s="15" t="s">
        <v>718</v>
      </c>
      <c r="D284" s="16">
        <v>14350022.1439</v>
      </c>
      <c r="E284" s="16">
        <v>2225069.6946</v>
      </c>
      <c r="F284" s="17">
        <f t="shared" si="4"/>
        <v>16575091.8385</v>
      </c>
      <c r="G284" s="18"/>
      <c r="H284" s="18"/>
      <c r="I284" s="19"/>
      <c r="J284" s="19"/>
      <c r="K284" s="19"/>
      <c r="L284" s="19"/>
      <c r="M284" s="18"/>
      <c r="N284" s="18"/>
      <c r="O284" s="19"/>
      <c r="P284" s="19"/>
      <c r="Q284" s="19"/>
    </row>
    <row r="285" ht="18.75" spans="1:17">
      <c r="A285" s="14">
        <v>280</v>
      </c>
      <c r="B285" s="15" t="s">
        <v>102</v>
      </c>
      <c r="C285" s="15" t="s">
        <v>720</v>
      </c>
      <c r="D285" s="16">
        <v>13957360.4489</v>
      </c>
      <c r="E285" s="16">
        <v>2164184.7964</v>
      </c>
      <c r="F285" s="17">
        <f t="shared" si="4"/>
        <v>16121545.2453</v>
      </c>
      <c r="G285" s="18"/>
      <c r="H285" s="18"/>
      <c r="I285" s="19"/>
      <c r="J285" s="19"/>
      <c r="K285" s="19"/>
      <c r="L285" s="19"/>
      <c r="M285" s="18"/>
      <c r="N285" s="18"/>
      <c r="O285" s="19"/>
      <c r="P285" s="19"/>
      <c r="Q285" s="19"/>
    </row>
    <row r="286" ht="18.75" spans="1:17">
      <c r="A286" s="14">
        <v>281</v>
      </c>
      <c r="B286" s="15" t="s">
        <v>102</v>
      </c>
      <c r="C286" s="15" t="s">
        <v>102</v>
      </c>
      <c r="D286" s="16">
        <v>15197792.5389</v>
      </c>
      <c r="E286" s="16">
        <v>2356522.329</v>
      </c>
      <c r="F286" s="17">
        <f t="shared" si="4"/>
        <v>17554314.8679</v>
      </c>
      <c r="G286" s="18"/>
      <c r="H286" s="18"/>
      <c r="I286" s="19"/>
      <c r="J286" s="19"/>
      <c r="K286" s="19"/>
      <c r="L286" s="19"/>
      <c r="M286" s="18"/>
      <c r="N286" s="18"/>
      <c r="O286" s="19"/>
      <c r="P286" s="19"/>
      <c r="Q286" s="19"/>
    </row>
    <row r="287" ht="18.75" spans="1:17">
      <c r="A287" s="14">
        <v>282</v>
      </c>
      <c r="B287" s="15" t="s">
        <v>102</v>
      </c>
      <c r="C287" s="15" t="s">
        <v>723</v>
      </c>
      <c r="D287" s="16">
        <v>11916473.7365</v>
      </c>
      <c r="E287" s="16">
        <v>1847731.2656</v>
      </c>
      <c r="F287" s="17">
        <f t="shared" si="4"/>
        <v>13764205.0021</v>
      </c>
      <c r="G287" s="18"/>
      <c r="H287" s="18"/>
      <c r="I287" s="19"/>
      <c r="J287" s="19"/>
      <c r="K287" s="19"/>
      <c r="L287" s="19"/>
      <c r="M287" s="18"/>
      <c r="N287" s="18"/>
      <c r="O287" s="19"/>
      <c r="P287" s="19"/>
      <c r="Q287" s="19"/>
    </row>
    <row r="288" ht="18.75" spans="1:17">
      <c r="A288" s="14">
        <v>283</v>
      </c>
      <c r="B288" s="15" t="s">
        <v>102</v>
      </c>
      <c r="C288" s="15" t="s">
        <v>725</v>
      </c>
      <c r="D288" s="16">
        <v>12782613.1144</v>
      </c>
      <c r="E288" s="16">
        <v>1982032.1372</v>
      </c>
      <c r="F288" s="17">
        <f t="shared" si="4"/>
        <v>14764645.2516</v>
      </c>
      <c r="G288" s="18"/>
      <c r="H288" s="18"/>
      <c r="I288" s="19"/>
      <c r="J288" s="19"/>
      <c r="K288" s="19"/>
      <c r="L288" s="19"/>
      <c r="M288" s="18"/>
      <c r="N288" s="18"/>
      <c r="O288" s="19"/>
      <c r="P288" s="19"/>
      <c r="Q288" s="19"/>
    </row>
    <row r="289" ht="18.75" spans="1:17">
      <c r="A289" s="14">
        <v>284</v>
      </c>
      <c r="B289" s="15" t="s">
        <v>102</v>
      </c>
      <c r="C289" s="15" t="s">
        <v>727</v>
      </c>
      <c r="D289" s="16">
        <v>11653685.054</v>
      </c>
      <c r="E289" s="16">
        <v>1806984.0718</v>
      </c>
      <c r="F289" s="17">
        <f t="shared" si="4"/>
        <v>13460669.1258</v>
      </c>
      <c r="G289" s="18"/>
      <c r="H289" s="18"/>
      <c r="I289" s="19"/>
      <c r="J289" s="19"/>
      <c r="K289" s="19"/>
      <c r="L289" s="19"/>
      <c r="M289" s="18"/>
      <c r="N289" s="18"/>
      <c r="O289" s="19"/>
      <c r="P289" s="19"/>
      <c r="Q289" s="19"/>
    </row>
    <row r="290" ht="18.75" spans="1:17">
      <c r="A290" s="14">
        <v>285</v>
      </c>
      <c r="B290" s="15" t="s">
        <v>102</v>
      </c>
      <c r="C290" s="15" t="s">
        <v>729</v>
      </c>
      <c r="D290" s="16">
        <v>11052044.9904</v>
      </c>
      <c r="E290" s="16">
        <v>1713695.6393</v>
      </c>
      <c r="F290" s="17">
        <f t="shared" si="4"/>
        <v>12765740.6297</v>
      </c>
      <c r="G290" s="18"/>
      <c r="H290" s="18"/>
      <c r="I290" s="19"/>
      <c r="J290" s="19"/>
      <c r="K290" s="19"/>
      <c r="L290" s="19"/>
      <c r="M290" s="18"/>
      <c r="N290" s="18"/>
      <c r="O290" s="19"/>
      <c r="P290" s="19"/>
      <c r="Q290" s="19"/>
    </row>
    <row r="291" ht="18.75" spans="1:17">
      <c r="A291" s="14">
        <v>286</v>
      </c>
      <c r="B291" s="15" t="s">
        <v>102</v>
      </c>
      <c r="C291" s="15" t="s">
        <v>731</v>
      </c>
      <c r="D291" s="16">
        <v>15084249.0203</v>
      </c>
      <c r="E291" s="16">
        <v>2338916.625</v>
      </c>
      <c r="F291" s="17">
        <f t="shared" si="4"/>
        <v>17423165.6453</v>
      </c>
      <c r="G291" s="18"/>
      <c r="H291" s="18"/>
      <c r="I291" s="19"/>
      <c r="J291" s="19"/>
      <c r="K291" s="19"/>
      <c r="L291" s="19"/>
      <c r="M291" s="18"/>
      <c r="N291" s="18"/>
      <c r="O291" s="19"/>
      <c r="P291" s="19"/>
      <c r="Q291" s="19"/>
    </row>
    <row r="292" ht="18.75" spans="1:17">
      <c r="A292" s="14">
        <v>287</v>
      </c>
      <c r="B292" s="15" t="s">
        <v>103</v>
      </c>
      <c r="C292" s="15" t="s">
        <v>736</v>
      </c>
      <c r="D292" s="16">
        <v>11791299.7643</v>
      </c>
      <c r="E292" s="16">
        <v>1828322.1797</v>
      </c>
      <c r="F292" s="17">
        <f t="shared" si="4"/>
        <v>13619621.944</v>
      </c>
      <c r="G292" s="18"/>
      <c r="H292" s="18"/>
      <c r="I292" s="19"/>
      <c r="J292" s="19"/>
      <c r="K292" s="19"/>
      <c r="L292" s="19"/>
      <c r="M292" s="18"/>
      <c r="N292" s="18"/>
      <c r="O292" s="19"/>
      <c r="P292" s="19"/>
      <c r="Q292" s="19"/>
    </row>
    <row r="293" ht="18.75" spans="1:17">
      <c r="A293" s="14">
        <v>288</v>
      </c>
      <c r="B293" s="15" t="s">
        <v>103</v>
      </c>
      <c r="C293" s="15" t="s">
        <v>738</v>
      </c>
      <c r="D293" s="16">
        <v>11096207.435</v>
      </c>
      <c r="E293" s="16">
        <v>1720543.3303</v>
      </c>
      <c r="F293" s="17">
        <f t="shared" si="4"/>
        <v>12816750.7653</v>
      </c>
      <c r="G293" s="18"/>
      <c r="H293" s="18"/>
      <c r="I293" s="19"/>
      <c r="J293" s="19"/>
      <c r="K293" s="19"/>
      <c r="L293" s="19"/>
      <c r="M293" s="18"/>
      <c r="N293" s="18"/>
      <c r="O293" s="19"/>
      <c r="P293" s="19"/>
      <c r="Q293" s="19"/>
    </row>
    <row r="294" ht="18.75" spans="1:17">
      <c r="A294" s="14">
        <v>289</v>
      </c>
      <c r="B294" s="15" t="s">
        <v>103</v>
      </c>
      <c r="C294" s="15" t="s">
        <v>740</v>
      </c>
      <c r="D294" s="16">
        <v>10193970.1235</v>
      </c>
      <c r="E294" s="16">
        <v>1580645.2256</v>
      </c>
      <c r="F294" s="17">
        <f t="shared" si="4"/>
        <v>11774615.3491</v>
      </c>
      <c r="G294" s="18"/>
      <c r="H294" s="18"/>
      <c r="I294" s="19"/>
      <c r="J294" s="19"/>
      <c r="K294" s="19"/>
      <c r="L294" s="19"/>
      <c r="M294" s="18"/>
      <c r="N294" s="18"/>
      <c r="O294" s="19"/>
      <c r="P294" s="19"/>
      <c r="Q294" s="19"/>
    </row>
    <row r="295" ht="37.5" spans="1:17">
      <c r="A295" s="14">
        <v>290</v>
      </c>
      <c r="B295" s="15" t="s">
        <v>103</v>
      </c>
      <c r="C295" s="15" t="s">
        <v>742</v>
      </c>
      <c r="D295" s="16">
        <v>10842073.6026</v>
      </c>
      <c r="E295" s="16">
        <v>1681138.1305</v>
      </c>
      <c r="F295" s="17">
        <f t="shared" si="4"/>
        <v>12523211.7331</v>
      </c>
      <c r="G295" s="18"/>
      <c r="H295" s="18"/>
      <c r="I295" s="19"/>
      <c r="J295" s="19"/>
      <c r="K295" s="19"/>
      <c r="L295" s="19"/>
      <c r="M295" s="18"/>
      <c r="N295" s="18"/>
      <c r="O295" s="19"/>
      <c r="P295" s="19"/>
      <c r="Q295" s="19"/>
    </row>
    <row r="296" ht="18.75" spans="1:17">
      <c r="A296" s="14">
        <v>291</v>
      </c>
      <c r="B296" s="15" t="s">
        <v>103</v>
      </c>
      <c r="C296" s="15" t="s">
        <v>744</v>
      </c>
      <c r="D296" s="16">
        <v>11626023.9296</v>
      </c>
      <c r="E296" s="16">
        <v>1802695.0241</v>
      </c>
      <c r="F296" s="17">
        <f t="shared" si="4"/>
        <v>13428718.9537</v>
      </c>
      <c r="G296" s="18"/>
      <c r="H296" s="18"/>
      <c r="I296" s="19"/>
      <c r="J296" s="19"/>
      <c r="K296" s="19"/>
      <c r="L296" s="19"/>
      <c r="M296" s="18"/>
      <c r="N296" s="18"/>
      <c r="O296" s="19"/>
      <c r="P296" s="19"/>
      <c r="Q296" s="19"/>
    </row>
    <row r="297" ht="18.75" spans="1:17">
      <c r="A297" s="14">
        <v>292</v>
      </c>
      <c r="B297" s="15" t="s">
        <v>103</v>
      </c>
      <c r="C297" s="15" t="s">
        <v>746</v>
      </c>
      <c r="D297" s="16">
        <v>11664953.3595</v>
      </c>
      <c r="E297" s="16">
        <v>1808731.3001</v>
      </c>
      <c r="F297" s="17">
        <f t="shared" si="4"/>
        <v>13473684.6596</v>
      </c>
      <c r="G297" s="18"/>
      <c r="H297" s="18"/>
      <c r="I297" s="19"/>
      <c r="J297" s="19"/>
      <c r="K297" s="19"/>
      <c r="L297" s="19"/>
      <c r="M297" s="18"/>
      <c r="N297" s="18"/>
      <c r="O297" s="19"/>
      <c r="P297" s="19"/>
      <c r="Q297" s="19"/>
    </row>
    <row r="298" ht="18.75" spans="1:17">
      <c r="A298" s="14">
        <v>293</v>
      </c>
      <c r="B298" s="15" t="s">
        <v>103</v>
      </c>
      <c r="C298" s="15" t="s">
        <v>748</v>
      </c>
      <c r="D298" s="16">
        <v>10440748.4909</v>
      </c>
      <c r="E298" s="16">
        <v>1618909.9099</v>
      </c>
      <c r="F298" s="17">
        <f t="shared" si="4"/>
        <v>12059658.4008</v>
      </c>
      <c r="G298" s="18"/>
      <c r="H298" s="18"/>
      <c r="I298" s="19"/>
      <c r="J298" s="19"/>
      <c r="K298" s="19"/>
      <c r="L298" s="19"/>
      <c r="M298" s="18"/>
      <c r="N298" s="18"/>
      <c r="O298" s="19"/>
      <c r="P298" s="19"/>
      <c r="Q298" s="19"/>
    </row>
    <row r="299" ht="18.75" spans="1:17">
      <c r="A299" s="14">
        <v>294</v>
      </c>
      <c r="B299" s="15" t="s">
        <v>103</v>
      </c>
      <c r="C299" s="15" t="s">
        <v>750</v>
      </c>
      <c r="D299" s="16">
        <v>11058915.0304</v>
      </c>
      <c r="E299" s="16">
        <v>1714760.8863</v>
      </c>
      <c r="F299" s="17">
        <f t="shared" si="4"/>
        <v>12773675.9167</v>
      </c>
      <c r="G299" s="18"/>
      <c r="H299" s="18"/>
      <c r="I299" s="19"/>
      <c r="J299" s="19"/>
      <c r="K299" s="19"/>
      <c r="L299" s="19"/>
      <c r="M299" s="18"/>
      <c r="N299" s="18"/>
      <c r="O299" s="19"/>
      <c r="P299" s="19"/>
      <c r="Q299" s="19"/>
    </row>
    <row r="300" ht="18.75" spans="1:17">
      <c r="A300" s="14">
        <v>295</v>
      </c>
      <c r="B300" s="15" t="s">
        <v>103</v>
      </c>
      <c r="C300" s="15" t="s">
        <v>752</v>
      </c>
      <c r="D300" s="16">
        <v>12442173.8243</v>
      </c>
      <c r="E300" s="16">
        <v>1929244.6823</v>
      </c>
      <c r="F300" s="17">
        <f t="shared" si="4"/>
        <v>14371418.5066</v>
      </c>
      <c r="G300" s="18"/>
      <c r="H300" s="18"/>
      <c r="I300" s="19"/>
      <c r="J300" s="19"/>
      <c r="K300" s="19"/>
      <c r="L300" s="19"/>
      <c r="M300" s="18"/>
      <c r="N300" s="18"/>
      <c r="O300" s="19"/>
      <c r="P300" s="19"/>
      <c r="Q300" s="19"/>
    </row>
    <row r="301" ht="18.75" spans="1:17">
      <c r="A301" s="14">
        <v>296</v>
      </c>
      <c r="B301" s="15" t="s">
        <v>103</v>
      </c>
      <c r="C301" s="15" t="s">
        <v>754</v>
      </c>
      <c r="D301" s="16">
        <v>10997140.3029</v>
      </c>
      <c r="E301" s="16">
        <v>1705182.2896</v>
      </c>
      <c r="F301" s="17">
        <f t="shared" si="4"/>
        <v>12702322.5925</v>
      </c>
      <c r="G301" s="18"/>
      <c r="H301" s="18"/>
      <c r="I301" s="19"/>
      <c r="J301" s="19"/>
      <c r="K301" s="19"/>
      <c r="L301" s="19"/>
      <c r="M301" s="18"/>
      <c r="N301" s="18"/>
      <c r="O301" s="19"/>
      <c r="P301" s="19"/>
      <c r="Q301" s="19"/>
    </row>
    <row r="302" ht="18.75" spans="1:17">
      <c r="A302" s="14">
        <v>297</v>
      </c>
      <c r="B302" s="15" t="s">
        <v>103</v>
      </c>
      <c r="C302" s="15" t="s">
        <v>756</v>
      </c>
      <c r="D302" s="16">
        <v>13564511.0192</v>
      </c>
      <c r="E302" s="16">
        <v>2103270.7886</v>
      </c>
      <c r="F302" s="17">
        <f t="shared" si="4"/>
        <v>15667781.8078</v>
      </c>
      <c r="G302" s="18"/>
      <c r="H302" s="18"/>
      <c r="I302" s="19"/>
      <c r="J302" s="19"/>
      <c r="K302" s="19"/>
      <c r="L302" s="19"/>
      <c r="M302" s="18"/>
      <c r="N302" s="18"/>
      <c r="O302" s="19"/>
      <c r="P302" s="19"/>
      <c r="Q302" s="19"/>
    </row>
    <row r="303" ht="18.75" spans="1:17">
      <c r="A303" s="14">
        <v>298</v>
      </c>
      <c r="B303" s="15" t="s">
        <v>103</v>
      </c>
      <c r="C303" s="15" t="s">
        <v>758</v>
      </c>
      <c r="D303" s="16">
        <v>11520276.5799</v>
      </c>
      <c r="E303" s="16">
        <v>1786298.1697</v>
      </c>
      <c r="F303" s="17">
        <f t="shared" si="4"/>
        <v>13306574.7496</v>
      </c>
      <c r="G303" s="18"/>
      <c r="H303" s="18"/>
      <c r="I303" s="19"/>
      <c r="J303" s="19"/>
      <c r="K303" s="19"/>
      <c r="L303" s="19"/>
      <c r="M303" s="18"/>
      <c r="N303" s="18"/>
      <c r="O303" s="19"/>
      <c r="P303" s="19"/>
      <c r="Q303" s="19"/>
    </row>
    <row r="304" ht="18.75" spans="1:17">
      <c r="A304" s="14">
        <v>299</v>
      </c>
      <c r="B304" s="15" t="s">
        <v>103</v>
      </c>
      <c r="C304" s="15" t="s">
        <v>760</v>
      </c>
      <c r="D304" s="16">
        <v>10407119.5858</v>
      </c>
      <c r="E304" s="16">
        <v>1613695.5167</v>
      </c>
      <c r="F304" s="17">
        <f t="shared" si="4"/>
        <v>12020815.1025</v>
      </c>
      <c r="G304" s="18"/>
      <c r="H304" s="18"/>
      <c r="I304" s="19"/>
      <c r="J304" s="19"/>
      <c r="K304" s="19"/>
      <c r="L304" s="19"/>
      <c r="M304" s="18"/>
      <c r="N304" s="18"/>
      <c r="O304" s="19"/>
      <c r="P304" s="19"/>
      <c r="Q304" s="19"/>
    </row>
    <row r="305" ht="18.75" spans="1:17">
      <c r="A305" s="14">
        <v>300</v>
      </c>
      <c r="B305" s="15" t="s">
        <v>103</v>
      </c>
      <c r="C305" s="15" t="s">
        <v>762</v>
      </c>
      <c r="D305" s="16">
        <v>10127822.4931</v>
      </c>
      <c r="E305" s="16">
        <v>1570388.5803</v>
      </c>
      <c r="F305" s="17">
        <f t="shared" si="4"/>
        <v>11698211.0734</v>
      </c>
      <c r="G305" s="18"/>
      <c r="H305" s="18"/>
      <c r="I305" s="19"/>
      <c r="J305" s="19"/>
      <c r="K305" s="19"/>
      <c r="L305" s="19"/>
      <c r="M305" s="18"/>
      <c r="N305" s="18"/>
      <c r="O305" s="19"/>
      <c r="P305" s="19"/>
      <c r="Q305" s="19"/>
    </row>
    <row r="306" ht="18.75" spans="1:17">
      <c r="A306" s="14">
        <v>301</v>
      </c>
      <c r="B306" s="15" t="s">
        <v>103</v>
      </c>
      <c r="C306" s="15" t="s">
        <v>764</v>
      </c>
      <c r="D306" s="16">
        <v>9022284.4193</v>
      </c>
      <c r="E306" s="16">
        <v>1398967.2933</v>
      </c>
      <c r="F306" s="17">
        <f t="shared" si="4"/>
        <v>10421251.7126</v>
      </c>
      <c r="G306" s="18"/>
      <c r="H306" s="18"/>
      <c r="I306" s="19"/>
      <c r="J306" s="19"/>
      <c r="K306" s="19"/>
      <c r="L306" s="19"/>
      <c r="M306" s="18"/>
      <c r="N306" s="18"/>
      <c r="O306" s="19"/>
      <c r="P306" s="19"/>
      <c r="Q306" s="19"/>
    </row>
    <row r="307" ht="18.75" spans="1:17">
      <c r="A307" s="14">
        <v>302</v>
      </c>
      <c r="B307" s="15" t="s">
        <v>103</v>
      </c>
      <c r="C307" s="15" t="s">
        <v>766</v>
      </c>
      <c r="D307" s="16">
        <v>9780038.4754</v>
      </c>
      <c r="E307" s="16">
        <v>1516462.2748</v>
      </c>
      <c r="F307" s="17">
        <f t="shared" si="4"/>
        <v>11296500.7502</v>
      </c>
      <c r="G307" s="18"/>
      <c r="H307" s="18"/>
      <c r="I307" s="19"/>
      <c r="J307" s="19"/>
      <c r="K307" s="19"/>
      <c r="L307" s="19"/>
      <c r="M307" s="18"/>
      <c r="N307" s="18"/>
      <c r="O307" s="19"/>
      <c r="P307" s="19"/>
      <c r="Q307" s="19"/>
    </row>
    <row r="308" ht="18.75" spans="1:17">
      <c r="A308" s="14">
        <v>303</v>
      </c>
      <c r="B308" s="15" t="s">
        <v>103</v>
      </c>
      <c r="C308" s="15" t="s">
        <v>768</v>
      </c>
      <c r="D308" s="16">
        <v>11481414.3573</v>
      </c>
      <c r="E308" s="16">
        <v>1780272.3147</v>
      </c>
      <c r="F308" s="17">
        <f t="shared" si="4"/>
        <v>13261686.672</v>
      </c>
      <c r="G308" s="18"/>
      <c r="H308" s="18"/>
      <c r="I308" s="19"/>
      <c r="J308" s="19"/>
      <c r="K308" s="19"/>
      <c r="L308" s="19"/>
      <c r="M308" s="18"/>
      <c r="N308" s="18"/>
      <c r="O308" s="19"/>
      <c r="P308" s="19"/>
      <c r="Q308" s="19"/>
    </row>
    <row r="309" ht="18.75" spans="1:17">
      <c r="A309" s="14">
        <v>304</v>
      </c>
      <c r="B309" s="15" t="s">
        <v>103</v>
      </c>
      <c r="C309" s="15" t="s">
        <v>770</v>
      </c>
      <c r="D309" s="16">
        <v>12427280.0163</v>
      </c>
      <c r="E309" s="16">
        <v>1926935.2948</v>
      </c>
      <c r="F309" s="17">
        <f t="shared" si="4"/>
        <v>14354215.3111</v>
      </c>
      <c r="G309" s="18"/>
      <c r="H309" s="18"/>
      <c r="I309" s="19"/>
      <c r="J309" s="19"/>
      <c r="K309" s="19"/>
      <c r="L309" s="19"/>
      <c r="M309" s="18"/>
      <c r="N309" s="18"/>
      <c r="O309" s="19"/>
      <c r="P309" s="19"/>
      <c r="Q309" s="19"/>
    </row>
    <row r="310" ht="18.75" spans="1:17">
      <c r="A310" s="14">
        <v>305</v>
      </c>
      <c r="B310" s="15" t="s">
        <v>103</v>
      </c>
      <c r="C310" s="15" t="s">
        <v>772</v>
      </c>
      <c r="D310" s="16">
        <v>10888115.7488</v>
      </c>
      <c r="E310" s="16">
        <v>1688277.2822</v>
      </c>
      <c r="F310" s="17">
        <f t="shared" si="4"/>
        <v>12576393.031</v>
      </c>
      <c r="G310" s="18"/>
      <c r="H310" s="18"/>
      <c r="I310" s="19"/>
      <c r="J310" s="19"/>
      <c r="K310" s="19"/>
      <c r="L310" s="19"/>
      <c r="M310" s="18"/>
      <c r="N310" s="18"/>
      <c r="O310" s="19"/>
      <c r="P310" s="19"/>
      <c r="Q310" s="19"/>
    </row>
    <row r="311" ht="18.75" spans="1:17">
      <c r="A311" s="14">
        <v>306</v>
      </c>
      <c r="B311" s="15" t="s">
        <v>103</v>
      </c>
      <c r="C311" s="15" t="s">
        <v>774</v>
      </c>
      <c r="D311" s="16">
        <v>9672950.3725</v>
      </c>
      <c r="E311" s="16">
        <v>1499857.5274</v>
      </c>
      <c r="F311" s="17">
        <f t="shared" si="4"/>
        <v>11172807.8999</v>
      </c>
      <c r="G311" s="18"/>
      <c r="H311" s="18"/>
      <c r="I311" s="19"/>
      <c r="J311" s="19"/>
      <c r="K311" s="19"/>
      <c r="L311" s="19"/>
      <c r="M311" s="18"/>
      <c r="N311" s="18"/>
      <c r="O311" s="19"/>
      <c r="P311" s="19"/>
      <c r="Q311" s="19"/>
    </row>
    <row r="312" ht="18.75" spans="1:17">
      <c r="A312" s="14">
        <v>307</v>
      </c>
      <c r="B312" s="15" t="s">
        <v>103</v>
      </c>
      <c r="C312" s="15" t="s">
        <v>776</v>
      </c>
      <c r="D312" s="16">
        <v>10638916.2313</v>
      </c>
      <c r="E312" s="16">
        <v>1649637.1819</v>
      </c>
      <c r="F312" s="17">
        <f t="shared" si="4"/>
        <v>12288553.4132</v>
      </c>
      <c r="G312" s="18"/>
      <c r="H312" s="18"/>
      <c r="I312" s="19"/>
      <c r="J312" s="19"/>
      <c r="K312" s="19"/>
      <c r="L312" s="19"/>
      <c r="M312" s="18"/>
      <c r="N312" s="18"/>
      <c r="O312" s="19"/>
      <c r="P312" s="19"/>
      <c r="Q312" s="19"/>
    </row>
    <row r="313" ht="18.75" spans="1:17">
      <c r="A313" s="14">
        <v>308</v>
      </c>
      <c r="B313" s="15" t="s">
        <v>103</v>
      </c>
      <c r="C313" s="15" t="s">
        <v>778</v>
      </c>
      <c r="D313" s="16">
        <v>10349358.0376</v>
      </c>
      <c r="E313" s="16">
        <v>1604739.1911</v>
      </c>
      <c r="F313" s="17">
        <f t="shared" si="4"/>
        <v>11954097.2287</v>
      </c>
      <c r="G313" s="18"/>
      <c r="H313" s="18"/>
      <c r="I313" s="19"/>
      <c r="J313" s="19"/>
      <c r="K313" s="19"/>
      <c r="L313" s="19"/>
      <c r="M313" s="18"/>
      <c r="N313" s="18"/>
      <c r="O313" s="19"/>
      <c r="P313" s="19"/>
      <c r="Q313" s="19"/>
    </row>
    <row r="314" ht="18.75" spans="1:17">
      <c r="A314" s="14">
        <v>309</v>
      </c>
      <c r="B314" s="15" t="s">
        <v>103</v>
      </c>
      <c r="C314" s="15" t="s">
        <v>780</v>
      </c>
      <c r="D314" s="16">
        <v>10010499.9482</v>
      </c>
      <c r="E314" s="16">
        <v>1552196.9123</v>
      </c>
      <c r="F314" s="17">
        <f t="shared" si="4"/>
        <v>11562696.8605</v>
      </c>
      <c r="G314" s="18"/>
      <c r="H314" s="18"/>
      <c r="I314" s="19"/>
      <c r="J314" s="19"/>
      <c r="K314" s="19"/>
      <c r="L314" s="19"/>
      <c r="M314" s="18"/>
      <c r="N314" s="18"/>
      <c r="O314" s="19"/>
      <c r="P314" s="19"/>
      <c r="Q314" s="19"/>
    </row>
    <row r="315" ht="18.75" spans="1:17">
      <c r="A315" s="14">
        <v>310</v>
      </c>
      <c r="B315" s="15" t="s">
        <v>103</v>
      </c>
      <c r="C315" s="15" t="s">
        <v>782</v>
      </c>
      <c r="D315" s="16">
        <v>10355730.3939</v>
      </c>
      <c r="E315" s="16">
        <v>1605727.2688</v>
      </c>
      <c r="F315" s="17">
        <f t="shared" si="4"/>
        <v>11961457.6627</v>
      </c>
      <c r="G315" s="18"/>
      <c r="H315" s="18"/>
      <c r="I315" s="19"/>
      <c r="J315" s="19"/>
      <c r="K315" s="19"/>
      <c r="L315" s="19"/>
      <c r="M315" s="18"/>
      <c r="N315" s="18"/>
      <c r="O315" s="19"/>
      <c r="P315" s="19"/>
      <c r="Q315" s="19"/>
    </row>
    <row r="316" ht="37.5" spans="1:17">
      <c r="A316" s="14">
        <v>311</v>
      </c>
      <c r="B316" s="15" t="s">
        <v>103</v>
      </c>
      <c r="C316" s="15" t="s">
        <v>784</v>
      </c>
      <c r="D316" s="16">
        <v>10450566.9017</v>
      </c>
      <c r="E316" s="16">
        <v>1620432.3221</v>
      </c>
      <c r="F316" s="17">
        <f t="shared" si="4"/>
        <v>12070999.2238</v>
      </c>
      <c r="G316" s="18"/>
      <c r="H316" s="18"/>
      <c r="I316" s="19"/>
      <c r="J316" s="19"/>
      <c r="K316" s="19"/>
      <c r="L316" s="19"/>
      <c r="M316" s="18"/>
      <c r="N316" s="18"/>
      <c r="O316" s="19"/>
      <c r="P316" s="19"/>
      <c r="Q316" s="19"/>
    </row>
    <row r="317" ht="18.75" spans="1:17">
      <c r="A317" s="14">
        <v>312</v>
      </c>
      <c r="B317" s="15" t="s">
        <v>103</v>
      </c>
      <c r="C317" s="15" t="s">
        <v>786</v>
      </c>
      <c r="D317" s="16">
        <v>11117626.7601</v>
      </c>
      <c r="E317" s="16">
        <v>1723864.544</v>
      </c>
      <c r="F317" s="17">
        <f t="shared" si="4"/>
        <v>12841491.3041</v>
      </c>
      <c r="G317" s="18"/>
      <c r="H317" s="18"/>
      <c r="I317" s="19"/>
      <c r="J317" s="19"/>
      <c r="K317" s="19"/>
      <c r="L317" s="19"/>
      <c r="M317" s="18"/>
      <c r="N317" s="18"/>
      <c r="O317" s="19"/>
      <c r="P317" s="19"/>
      <c r="Q317" s="19"/>
    </row>
    <row r="318" ht="18.75" spans="1:17">
      <c r="A318" s="14">
        <v>313</v>
      </c>
      <c r="B318" s="15" t="s">
        <v>103</v>
      </c>
      <c r="C318" s="15" t="s">
        <v>788</v>
      </c>
      <c r="D318" s="16">
        <v>9945658.2309</v>
      </c>
      <c r="E318" s="16">
        <v>1542142.7577</v>
      </c>
      <c r="F318" s="17">
        <f t="shared" si="4"/>
        <v>11487800.9886</v>
      </c>
      <c r="G318" s="18"/>
      <c r="H318" s="18"/>
      <c r="I318" s="19"/>
      <c r="J318" s="19"/>
      <c r="K318" s="19"/>
      <c r="L318" s="19"/>
      <c r="M318" s="18"/>
      <c r="N318" s="18"/>
      <c r="O318" s="19"/>
      <c r="P318" s="19"/>
      <c r="Q318" s="19"/>
    </row>
    <row r="319" ht="18.75" spans="1:17">
      <c r="A319" s="14">
        <v>314</v>
      </c>
      <c r="B319" s="15" t="s">
        <v>104</v>
      </c>
      <c r="C319" s="15" t="s">
        <v>793</v>
      </c>
      <c r="D319" s="16">
        <v>10386033.8448</v>
      </c>
      <c r="E319" s="16">
        <v>1610426.0275</v>
      </c>
      <c r="F319" s="17">
        <f t="shared" si="4"/>
        <v>11996459.8723</v>
      </c>
      <c r="G319" s="18"/>
      <c r="H319" s="18"/>
      <c r="I319" s="19"/>
      <c r="J319" s="19"/>
      <c r="K319" s="19"/>
      <c r="L319" s="19"/>
      <c r="M319" s="18"/>
      <c r="N319" s="18"/>
      <c r="O319" s="19"/>
      <c r="P319" s="19"/>
      <c r="Q319" s="19"/>
    </row>
    <row r="320" ht="18.75" spans="1:17">
      <c r="A320" s="14">
        <v>315</v>
      </c>
      <c r="B320" s="15" t="s">
        <v>104</v>
      </c>
      <c r="C320" s="15" t="s">
        <v>795</v>
      </c>
      <c r="D320" s="16">
        <v>12283678.9045</v>
      </c>
      <c r="E320" s="16">
        <v>1904668.9541</v>
      </c>
      <c r="F320" s="17">
        <f t="shared" si="4"/>
        <v>14188347.8586</v>
      </c>
      <c r="G320" s="18"/>
      <c r="H320" s="18"/>
      <c r="I320" s="19"/>
      <c r="J320" s="19"/>
      <c r="K320" s="19"/>
      <c r="L320" s="19"/>
      <c r="M320" s="18"/>
      <c r="N320" s="18"/>
      <c r="O320" s="19"/>
      <c r="P320" s="19"/>
      <c r="Q320" s="19"/>
    </row>
    <row r="321" ht="18.75" spans="1:17">
      <c r="A321" s="14">
        <v>316</v>
      </c>
      <c r="B321" s="15" t="s">
        <v>104</v>
      </c>
      <c r="C321" s="15" t="s">
        <v>797</v>
      </c>
      <c r="D321" s="16">
        <v>15244380.5218</v>
      </c>
      <c r="E321" s="16">
        <v>2363746.1163</v>
      </c>
      <c r="F321" s="17">
        <f t="shared" si="4"/>
        <v>17608126.6381</v>
      </c>
      <c r="G321" s="18"/>
      <c r="H321" s="18"/>
      <c r="I321" s="19"/>
      <c r="J321" s="19"/>
      <c r="K321" s="19"/>
      <c r="L321" s="19"/>
      <c r="M321" s="18"/>
      <c r="N321" s="18"/>
      <c r="O321" s="19"/>
      <c r="P321" s="19"/>
      <c r="Q321" s="19"/>
    </row>
    <row r="322" ht="18.75" spans="1:17">
      <c r="A322" s="14">
        <v>317</v>
      </c>
      <c r="B322" s="15" t="s">
        <v>104</v>
      </c>
      <c r="C322" s="15" t="s">
        <v>799</v>
      </c>
      <c r="D322" s="16">
        <v>11530591.8221</v>
      </c>
      <c r="E322" s="16">
        <v>1787897.619</v>
      </c>
      <c r="F322" s="17">
        <f t="shared" si="4"/>
        <v>13318489.4411</v>
      </c>
      <c r="G322" s="18"/>
      <c r="H322" s="18"/>
      <c r="I322" s="19"/>
      <c r="J322" s="19"/>
      <c r="K322" s="19"/>
      <c r="L322" s="19"/>
      <c r="M322" s="18"/>
      <c r="N322" s="18"/>
      <c r="O322" s="19"/>
      <c r="P322" s="19"/>
      <c r="Q322" s="19"/>
    </row>
    <row r="323" ht="18.75" spans="1:17">
      <c r="A323" s="14">
        <v>318</v>
      </c>
      <c r="B323" s="15" t="s">
        <v>104</v>
      </c>
      <c r="C323" s="15" t="s">
        <v>801</v>
      </c>
      <c r="D323" s="16">
        <v>9894253.6394</v>
      </c>
      <c r="E323" s="16">
        <v>1534172.122</v>
      </c>
      <c r="F323" s="17">
        <f t="shared" si="4"/>
        <v>11428425.7614</v>
      </c>
      <c r="G323" s="18"/>
      <c r="H323" s="18"/>
      <c r="I323" s="19"/>
      <c r="J323" s="19"/>
      <c r="K323" s="19"/>
      <c r="L323" s="19"/>
      <c r="M323" s="18"/>
      <c r="N323" s="18"/>
      <c r="O323" s="19"/>
      <c r="P323" s="19"/>
      <c r="Q323" s="19"/>
    </row>
    <row r="324" ht="18.75" spans="1:17">
      <c r="A324" s="14">
        <v>319</v>
      </c>
      <c r="B324" s="15" t="s">
        <v>104</v>
      </c>
      <c r="C324" s="15" t="s">
        <v>803</v>
      </c>
      <c r="D324" s="16">
        <v>9706000.0721</v>
      </c>
      <c r="E324" s="16">
        <v>1504982.1108</v>
      </c>
      <c r="F324" s="17">
        <f t="shared" si="4"/>
        <v>11210982.1829</v>
      </c>
      <c r="G324" s="18"/>
      <c r="H324" s="18"/>
      <c r="I324" s="19"/>
      <c r="J324" s="19"/>
      <c r="K324" s="19"/>
      <c r="L324" s="19"/>
      <c r="M324" s="18"/>
      <c r="N324" s="18"/>
      <c r="O324" s="19"/>
      <c r="P324" s="19"/>
      <c r="Q324" s="19"/>
    </row>
    <row r="325" ht="18.75" spans="1:17">
      <c r="A325" s="14">
        <v>320</v>
      </c>
      <c r="B325" s="15" t="s">
        <v>104</v>
      </c>
      <c r="C325" s="15" t="s">
        <v>805</v>
      </c>
      <c r="D325" s="16">
        <v>13624559.4369</v>
      </c>
      <c r="E325" s="16">
        <v>2112581.709</v>
      </c>
      <c r="F325" s="17">
        <f t="shared" si="4"/>
        <v>15737141.1459</v>
      </c>
      <c r="G325" s="18"/>
      <c r="H325" s="18"/>
      <c r="I325" s="19"/>
      <c r="J325" s="19"/>
      <c r="K325" s="19"/>
      <c r="L325" s="19"/>
      <c r="M325" s="18"/>
      <c r="N325" s="18"/>
      <c r="O325" s="19"/>
      <c r="P325" s="19"/>
      <c r="Q325" s="19"/>
    </row>
    <row r="326" ht="18.75" spans="1:17">
      <c r="A326" s="14">
        <v>321</v>
      </c>
      <c r="B326" s="15" t="s">
        <v>104</v>
      </c>
      <c r="C326" s="15" t="s">
        <v>807</v>
      </c>
      <c r="D326" s="16">
        <v>11434670.4229</v>
      </c>
      <c r="E326" s="16">
        <v>1773024.3459</v>
      </c>
      <c r="F326" s="17">
        <f t="shared" si="4"/>
        <v>13207694.7688</v>
      </c>
      <c r="G326" s="18"/>
      <c r="H326" s="18"/>
      <c r="I326" s="19"/>
      <c r="J326" s="19"/>
      <c r="K326" s="19"/>
      <c r="L326" s="19"/>
      <c r="M326" s="18"/>
      <c r="N326" s="18"/>
      <c r="O326" s="19"/>
      <c r="P326" s="19"/>
      <c r="Q326" s="19"/>
    </row>
    <row r="327" ht="18.75" spans="1:17">
      <c r="A327" s="14">
        <v>322</v>
      </c>
      <c r="B327" s="15" t="s">
        <v>104</v>
      </c>
      <c r="C327" s="15" t="s">
        <v>809</v>
      </c>
      <c r="D327" s="16">
        <v>10016012.4357</v>
      </c>
      <c r="E327" s="16">
        <v>1553051.6614</v>
      </c>
      <c r="F327" s="17">
        <f t="shared" ref="F327:F390" si="5">D327+E327</f>
        <v>11569064.0971</v>
      </c>
      <c r="G327" s="18"/>
      <c r="H327" s="18"/>
      <c r="I327" s="19"/>
      <c r="J327" s="19"/>
      <c r="K327" s="19"/>
      <c r="L327" s="19"/>
      <c r="M327" s="18"/>
      <c r="N327" s="18"/>
      <c r="O327" s="19"/>
      <c r="P327" s="19"/>
      <c r="Q327" s="19"/>
    </row>
    <row r="328" ht="18.75" spans="1:17">
      <c r="A328" s="14">
        <v>323</v>
      </c>
      <c r="B328" s="15" t="s">
        <v>104</v>
      </c>
      <c r="C328" s="15" t="s">
        <v>811</v>
      </c>
      <c r="D328" s="16">
        <v>10581371.9457</v>
      </c>
      <c r="E328" s="16">
        <v>1640714.5444</v>
      </c>
      <c r="F328" s="17">
        <f t="shared" si="5"/>
        <v>12222086.4901</v>
      </c>
      <c r="G328" s="18"/>
      <c r="H328" s="18"/>
      <c r="I328" s="19"/>
      <c r="J328" s="19"/>
      <c r="K328" s="19"/>
      <c r="L328" s="19"/>
      <c r="M328" s="18"/>
      <c r="N328" s="18"/>
      <c r="O328" s="19"/>
      <c r="P328" s="19"/>
      <c r="Q328" s="19"/>
    </row>
    <row r="329" ht="18.75" spans="1:17">
      <c r="A329" s="14">
        <v>324</v>
      </c>
      <c r="B329" s="15" t="s">
        <v>104</v>
      </c>
      <c r="C329" s="15" t="s">
        <v>813</v>
      </c>
      <c r="D329" s="16">
        <v>14719302.333</v>
      </c>
      <c r="E329" s="16">
        <v>2282329.1294</v>
      </c>
      <c r="F329" s="17">
        <f t="shared" si="5"/>
        <v>17001631.4624</v>
      </c>
      <c r="G329" s="18"/>
      <c r="H329" s="18"/>
      <c r="I329" s="19"/>
      <c r="J329" s="19"/>
      <c r="K329" s="19"/>
      <c r="L329" s="19"/>
      <c r="M329" s="18"/>
      <c r="N329" s="18"/>
      <c r="O329" s="19"/>
      <c r="P329" s="19"/>
      <c r="Q329" s="19"/>
    </row>
    <row r="330" ht="18.75" spans="1:17">
      <c r="A330" s="14">
        <v>325</v>
      </c>
      <c r="B330" s="15" t="s">
        <v>104</v>
      </c>
      <c r="C330" s="15" t="s">
        <v>815</v>
      </c>
      <c r="D330" s="16">
        <v>10882915.5714</v>
      </c>
      <c r="E330" s="16">
        <v>1687470.9589</v>
      </c>
      <c r="F330" s="17">
        <f t="shared" si="5"/>
        <v>12570386.5303</v>
      </c>
      <c r="G330" s="18"/>
      <c r="H330" s="18"/>
      <c r="I330" s="19"/>
      <c r="J330" s="19"/>
      <c r="K330" s="19"/>
      <c r="L330" s="19"/>
      <c r="M330" s="18"/>
      <c r="N330" s="18"/>
      <c r="O330" s="19"/>
      <c r="P330" s="19"/>
      <c r="Q330" s="19"/>
    </row>
    <row r="331" ht="18.75" spans="1:17">
      <c r="A331" s="14">
        <v>326</v>
      </c>
      <c r="B331" s="15" t="s">
        <v>104</v>
      </c>
      <c r="C331" s="15" t="s">
        <v>817</v>
      </c>
      <c r="D331" s="16">
        <v>9186954.6855</v>
      </c>
      <c r="E331" s="16">
        <v>1424500.5514</v>
      </c>
      <c r="F331" s="17">
        <f t="shared" si="5"/>
        <v>10611455.2369</v>
      </c>
      <c r="G331" s="18"/>
      <c r="H331" s="18"/>
      <c r="I331" s="19"/>
      <c r="J331" s="19"/>
      <c r="K331" s="19"/>
      <c r="L331" s="19"/>
      <c r="M331" s="18"/>
      <c r="N331" s="18"/>
      <c r="O331" s="19"/>
      <c r="P331" s="19"/>
      <c r="Q331" s="19"/>
    </row>
    <row r="332" ht="18.75" spans="1:17">
      <c r="A332" s="14">
        <v>327</v>
      </c>
      <c r="B332" s="15" t="s">
        <v>104</v>
      </c>
      <c r="C332" s="15" t="s">
        <v>819</v>
      </c>
      <c r="D332" s="16">
        <v>12627176.0553</v>
      </c>
      <c r="E332" s="16">
        <v>1957930.5514</v>
      </c>
      <c r="F332" s="17">
        <f t="shared" si="5"/>
        <v>14585106.6067</v>
      </c>
      <c r="G332" s="18"/>
      <c r="H332" s="18"/>
      <c r="I332" s="19"/>
      <c r="J332" s="19"/>
      <c r="K332" s="19"/>
      <c r="L332" s="19"/>
      <c r="M332" s="18"/>
      <c r="N332" s="18"/>
      <c r="O332" s="19"/>
      <c r="P332" s="19"/>
      <c r="Q332" s="19"/>
    </row>
    <row r="333" ht="18.75" spans="1:17">
      <c r="A333" s="14">
        <v>328</v>
      </c>
      <c r="B333" s="15" t="s">
        <v>104</v>
      </c>
      <c r="C333" s="15" t="s">
        <v>821</v>
      </c>
      <c r="D333" s="16">
        <v>14202340.4635</v>
      </c>
      <c r="E333" s="16">
        <v>2202170.6337</v>
      </c>
      <c r="F333" s="17">
        <f t="shared" si="5"/>
        <v>16404511.0972</v>
      </c>
      <c r="G333" s="18"/>
      <c r="H333" s="18"/>
      <c r="I333" s="19"/>
      <c r="J333" s="19"/>
      <c r="K333" s="19"/>
      <c r="L333" s="19"/>
      <c r="M333" s="18"/>
      <c r="N333" s="18"/>
      <c r="O333" s="19"/>
      <c r="P333" s="19"/>
      <c r="Q333" s="19"/>
    </row>
    <row r="334" ht="18.75" spans="1:17">
      <c r="A334" s="14">
        <v>329</v>
      </c>
      <c r="B334" s="15" t="s">
        <v>104</v>
      </c>
      <c r="C334" s="15" t="s">
        <v>823</v>
      </c>
      <c r="D334" s="16">
        <v>10408947.9627</v>
      </c>
      <c r="E334" s="16">
        <v>1613979.0191</v>
      </c>
      <c r="F334" s="17">
        <f t="shared" si="5"/>
        <v>12022926.9818</v>
      </c>
      <c r="G334" s="18"/>
      <c r="H334" s="18"/>
      <c r="I334" s="19"/>
      <c r="J334" s="19"/>
      <c r="K334" s="19"/>
      <c r="L334" s="19"/>
      <c r="M334" s="18"/>
      <c r="N334" s="18"/>
      <c r="O334" s="19"/>
      <c r="P334" s="19"/>
      <c r="Q334" s="19"/>
    </row>
    <row r="335" ht="18.75" spans="1:17">
      <c r="A335" s="14">
        <v>330</v>
      </c>
      <c r="B335" s="15" t="s">
        <v>104</v>
      </c>
      <c r="C335" s="15" t="s">
        <v>825</v>
      </c>
      <c r="D335" s="16">
        <v>11014640.0776</v>
      </c>
      <c r="E335" s="16">
        <v>1707895.7501</v>
      </c>
      <c r="F335" s="17">
        <f t="shared" si="5"/>
        <v>12722535.8277</v>
      </c>
      <c r="G335" s="18"/>
      <c r="H335" s="18"/>
      <c r="I335" s="19"/>
      <c r="J335" s="19"/>
      <c r="K335" s="19"/>
      <c r="L335" s="19"/>
      <c r="M335" s="18"/>
      <c r="N335" s="18"/>
      <c r="O335" s="19"/>
      <c r="P335" s="19"/>
      <c r="Q335" s="19"/>
    </row>
    <row r="336" ht="18.75" spans="1:17">
      <c r="A336" s="14">
        <v>331</v>
      </c>
      <c r="B336" s="15" t="s">
        <v>104</v>
      </c>
      <c r="C336" s="15" t="s">
        <v>827</v>
      </c>
      <c r="D336" s="16">
        <v>11488077.0461</v>
      </c>
      <c r="E336" s="16">
        <v>1781305.4104</v>
      </c>
      <c r="F336" s="17">
        <f t="shared" si="5"/>
        <v>13269382.4565</v>
      </c>
      <c r="G336" s="18"/>
      <c r="H336" s="18"/>
      <c r="I336" s="19"/>
      <c r="J336" s="19"/>
      <c r="K336" s="19"/>
      <c r="L336" s="19"/>
      <c r="M336" s="18"/>
      <c r="N336" s="18"/>
      <c r="O336" s="19"/>
      <c r="P336" s="19"/>
      <c r="Q336" s="19"/>
    </row>
    <row r="337" ht="18.75" spans="1:17">
      <c r="A337" s="14">
        <v>332</v>
      </c>
      <c r="B337" s="15" t="s">
        <v>104</v>
      </c>
      <c r="C337" s="15" t="s">
        <v>829</v>
      </c>
      <c r="D337" s="16">
        <v>11868867.6415</v>
      </c>
      <c r="E337" s="16">
        <v>1840349.613</v>
      </c>
      <c r="F337" s="17">
        <f t="shared" si="5"/>
        <v>13709217.2545</v>
      </c>
      <c r="G337" s="18"/>
      <c r="H337" s="18"/>
      <c r="I337" s="19"/>
      <c r="J337" s="19"/>
      <c r="K337" s="19"/>
      <c r="L337" s="19"/>
      <c r="M337" s="18"/>
      <c r="N337" s="18"/>
      <c r="O337" s="19"/>
      <c r="P337" s="19"/>
      <c r="Q337" s="19"/>
    </row>
    <row r="338" ht="18.75" spans="1:17">
      <c r="A338" s="14">
        <v>333</v>
      </c>
      <c r="B338" s="15" t="s">
        <v>104</v>
      </c>
      <c r="C338" s="15" t="s">
        <v>831</v>
      </c>
      <c r="D338" s="16">
        <v>11971494.0052</v>
      </c>
      <c r="E338" s="16">
        <v>1856262.537</v>
      </c>
      <c r="F338" s="17">
        <f t="shared" si="5"/>
        <v>13827756.5422</v>
      </c>
      <c r="G338" s="18"/>
      <c r="H338" s="18"/>
      <c r="I338" s="19"/>
      <c r="J338" s="19"/>
      <c r="K338" s="19"/>
      <c r="L338" s="19"/>
      <c r="M338" s="18"/>
      <c r="N338" s="18"/>
      <c r="O338" s="19"/>
      <c r="P338" s="19"/>
      <c r="Q338" s="19"/>
    </row>
    <row r="339" ht="18.75" spans="1:17">
      <c r="A339" s="14">
        <v>334</v>
      </c>
      <c r="B339" s="15" t="s">
        <v>104</v>
      </c>
      <c r="C339" s="15" t="s">
        <v>833</v>
      </c>
      <c r="D339" s="16">
        <v>11214889.4669</v>
      </c>
      <c r="E339" s="16">
        <v>1738945.7961</v>
      </c>
      <c r="F339" s="17">
        <f t="shared" si="5"/>
        <v>12953835.263</v>
      </c>
      <c r="G339" s="18"/>
      <c r="H339" s="18"/>
      <c r="I339" s="19"/>
      <c r="J339" s="19"/>
      <c r="K339" s="19"/>
      <c r="L339" s="19"/>
      <c r="M339" s="18"/>
      <c r="N339" s="18"/>
      <c r="O339" s="19"/>
      <c r="P339" s="19"/>
      <c r="Q339" s="19"/>
    </row>
    <row r="340" ht="18.75" spans="1:17">
      <c r="A340" s="14">
        <v>335</v>
      </c>
      <c r="B340" s="15" t="s">
        <v>104</v>
      </c>
      <c r="C340" s="15" t="s">
        <v>835</v>
      </c>
      <c r="D340" s="16">
        <v>10286959.6302</v>
      </c>
      <c r="E340" s="16">
        <v>1595063.8886</v>
      </c>
      <c r="F340" s="17">
        <f t="shared" si="5"/>
        <v>11882023.5188</v>
      </c>
      <c r="G340" s="18"/>
      <c r="H340" s="18"/>
      <c r="I340" s="19"/>
      <c r="J340" s="19"/>
      <c r="K340" s="19"/>
      <c r="L340" s="19"/>
      <c r="M340" s="18"/>
      <c r="N340" s="18"/>
      <c r="O340" s="19"/>
      <c r="P340" s="19"/>
      <c r="Q340" s="19"/>
    </row>
    <row r="341" ht="18.75" spans="1:17">
      <c r="A341" s="14">
        <v>336</v>
      </c>
      <c r="B341" s="15" t="s">
        <v>104</v>
      </c>
      <c r="C341" s="15" t="s">
        <v>837</v>
      </c>
      <c r="D341" s="16">
        <v>12624347.1493</v>
      </c>
      <c r="E341" s="16">
        <v>1957491.9101</v>
      </c>
      <c r="F341" s="17">
        <f t="shared" si="5"/>
        <v>14581839.0594</v>
      </c>
      <c r="G341" s="18"/>
      <c r="H341" s="18"/>
      <c r="I341" s="19"/>
      <c r="J341" s="19"/>
      <c r="K341" s="19"/>
      <c r="L341" s="19"/>
      <c r="M341" s="18"/>
      <c r="N341" s="18"/>
      <c r="O341" s="19"/>
      <c r="P341" s="19"/>
      <c r="Q341" s="19"/>
    </row>
    <row r="342" ht="18.75" spans="1:17">
      <c r="A342" s="14">
        <v>337</v>
      </c>
      <c r="B342" s="15" t="s">
        <v>104</v>
      </c>
      <c r="C342" s="15" t="s">
        <v>839</v>
      </c>
      <c r="D342" s="16">
        <v>9335811.475</v>
      </c>
      <c r="E342" s="16">
        <v>1447581.8211</v>
      </c>
      <c r="F342" s="17">
        <f t="shared" si="5"/>
        <v>10783393.2961</v>
      </c>
      <c r="G342" s="18"/>
      <c r="H342" s="18"/>
      <c r="I342" s="19"/>
      <c r="J342" s="19"/>
      <c r="K342" s="19"/>
      <c r="L342" s="19"/>
      <c r="M342" s="18"/>
      <c r="N342" s="18"/>
      <c r="O342" s="19"/>
      <c r="P342" s="19"/>
      <c r="Q342" s="19"/>
    </row>
    <row r="343" ht="37.5" spans="1:17">
      <c r="A343" s="14">
        <v>338</v>
      </c>
      <c r="B343" s="15" t="s">
        <v>104</v>
      </c>
      <c r="C343" s="15" t="s">
        <v>841</v>
      </c>
      <c r="D343" s="16">
        <v>11717558.2228</v>
      </c>
      <c r="E343" s="16">
        <v>1816888.0462</v>
      </c>
      <c r="F343" s="17">
        <f t="shared" si="5"/>
        <v>13534446.269</v>
      </c>
      <c r="G343" s="18"/>
      <c r="H343" s="18"/>
      <c r="I343" s="19"/>
      <c r="J343" s="19"/>
      <c r="K343" s="19"/>
      <c r="L343" s="19"/>
      <c r="M343" s="18"/>
      <c r="N343" s="18"/>
      <c r="O343" s="19"/>
      <c r="P343" s="19"/>
      <c r="Q343" s="19"/>
    </row>
    <row r="344" ht="18.75" spans="1:17">
      <c r="A344" s="14">
        <v>339</v>
      </c>
      <c r="B344" s="15" t="s">
        <v>104</v>
      </c>
      <c r="C344" s="15" t="s">
        <v>843</v>
      </c>
      <c r="D344" s="16">
        <v>10657059.8164</v>
      </c>
      <c r="E344" s="16">
        <v>1652450.4696</v>
      </c>
      <c r="F344" s="17">
        <f t="shared" si="5"/>
        <v>12309510.286</v>
      </c>
      <c r="G344" s="18"/>
      <c r="H344" s="18"/>
      <c r="I344" s="19"/>
      <c r="J344" s="19"/>
      <c r="K344" s="19"/>
      <c r="L344" s="19"/>
      <c r="M344" s="18"/>
      <c r="N344" s="18"/>
      <c r="O344" s="19"/>
      <c r="P344" s="19"/>
      <c r="Q344" s="19"/>
    </row>
    <row r="345" ht="18.75" spans="1:17">
      <c r="A345" s="14">
        <v>340</v>
      </c>
      <c r="B345" s="15" t="s">
        <v>104</v>
      </c>
      <c r="C345" s="15" t="s">
        <v>845</v>
      </c>
      <c r="D345" s="16">
        <v>9875094.3034</v>
      </c>
      <c r="E345" s="16">
        <v>1531201.3351</v>
      </c>
      <c r="F345" s="17">
        <f t="shared" si="5"/>
        <v>11406295.6385</v>
      </c>
      <c r="G345" s="18"/>
      <c r="H345" s="18"/>
      <c r="I345" s="19"/>
      <c r="J345" s="19"/>
      <c r="K345" s="19"/>
      <c r="L345" s="19"/>
      <c r="M345" s="18"/>
      <c r="N345" s="18"/>
      <c r="O345" s="19"/>
      <c r="P345" s="19"/>
      <c r="Q345" s="19"/>
    </row>
    <row r="346" ht="18.75" spans="1:17">
      <c r="A346" s="14">
        <v>341</v>
      </c>
      <c r="B346" s="15" t="s">
        <v>105</v>
      </c>
      <c r="C346" s="15" t="s">
        <v>850</v>
      </c>
      <c r="D346" s="16">
        <v>18489023.5411</v>
      </c>
      <c r="E346" s="16">
        <v>2866850.3471</v>
      </c>
      <c r="F346" s="17">
        <f t="shared" si="5"/>
        <v>21355873.8882</v>
      </c>
      <c r="G346" s="18"/>
      <c r="H346" s="18"/>
      <c r="I346" s="19"/>
      <c r="J346" s="19"/>
      <c r="K346" s="19"/>
      <c r="L346" s="19"/>
      <c r="M346" s="18"/>
      <c r="N346" s="18"/>
      <c r="O346" s="19"/>
      <c r="P346" s="19"/>
      <c r="Q346" s="19"/>
    </row>
    <row r="347" ht="18.75" spans="1:17">
      <c r="A347" s="14">
        <v>342</v>
      </c>
      <c r="B347" s="15" t="s">
        <v>105</v>
      </c>
      <c r="C347" s="15" t="s">
        <v>852</v>
      </c>
      <c r="D347" s="16">
        <v>18800126.128</v>
      </c>
      <c r="E347" s="16">
        <v>2915088.9443</v>
      </c>
      <c r="F347" s="17">
        <f t="shared" si="5"/>
        <v>21715215.0723</v>
      </c>
      <c r="G347" s="18"/>
      <c r="H347" s="18"/>
      <c r="I347" s="19"/>
      <c r="J347" s="19"/>
      <c r="K347" s="19"/>
      <c r="L347" s="19"/>
      <c r="M347" s="18"/>
      <c r="N347" s="18"/>
      <c r="O347" s="19"/>
      <c r="P347" s="19"/>
      <c r="Q347" s="19"/>
    </row>
    <row r="348" ht="18.75" spans="1:17">
      <c r="A348" s="14">
        <v>343</v>
      </c>
      <c r="B348" s="15" t="s">
        <v>105</v>
      </c>
      <c r="C348" s="15" t="s">
        <v>854</v>
      </c>
      <c r="D348" s="16">
        <v>15558605.7102</v>
      </c>
      <c r="E348" s="16">
        <v>2412468.8944</v>
      </c>
      <c r="F348" s="17">
        <f t="shared" si="5"/>
        <v>17971074.6046</v>
      </c>
      <c r="G348" s="18"/>
      <c r="H348" s="18"/>
      <c r="I348" s="19"/>
      <c r="J348" s="19"/>
      <c r="K348" s="19"/>
      <c r="L348" s="19"/>
      <c r="M348" s="18"/>
      <c r="N348" s="18"/>
      <c r="O348" s="19"/>
      <c r="P348" s="19"/>
      <c r="Q348" s="19"/>
    </row>
    <row r="349" ht="18.75" spans="1:17">
      <c r="A349" s="14">
        <v>344</v>
      </c>
      <c r="B349" s="15" t="s">
        <v>105</v>
      </c>
      <c r="C349" s="15" t="s">
        <v>856</v>
      </c>
      <c r="D349" s="16">
        <v>11979903.8144</v>
      </c>
      <c r="E349" s="16">
        <v>1857566.5357</v>
      </c>
      <c r="F349" s="17">
        <f t="shared" si="5"/>
        <v>13837470.3501</v>
      </c>
      <c r="G349" s="18"/>
      <c r="H349" s="18"/>
      <c r="I349" s="19"/>
      <c r="J349" s="19"/>
      <c r="K349" s="19"/>
      <c r="L349" s="19"/>
      <c r="M349" s="18"/>
      <c r="N349" s="18"/>
      <c r="O349" s="19"/>
      <c r="P349" s="19"/>
      <c r="Q349" s="19"/>
    </row>
    <row r="350" ht="18.75" spans="1:17">
      <c r="A350" s="14">
        <v>345</v>
      </c>
      <c r="B350" s="15" t="s">
        <v>105</v>
      </c>
      <c r="C350" s="15" t="s">
        <v>858</v>
      </c>
      <c r="D350" s="16">
        <v>19694421.0552</v>
      </c>
      <c r="E350" s="16">
        <v>3053755.5276</v>
      </c>
      <c r="F350" s="17">
        <f t="shared" si="5"/>
        <v>22748176.5828</v>
      </c>
      <c r="G350" s="18"/>
      <c r="H350" s="18"/>
      <c r="I350" s="19"/>
      <c r="J350" s="19"/>
      <c r="K350" s="19"/>
      <c r="L350" s="19"/>
      <c r="M350" s="18"/>
      <c r="N350" s="18"/>
      <c r="O350" s="19"/>
      <c r="P350" s="19"/>
      <c r="Q350" s="19"/>
    </row>
    <row r="351" ht="18.75" spans="1:17">
      <c r="A351" s="14">
        <v>346</v>
      </c>
      <c r="B351" s="15" t="s">
        <v>105</v>
      </c>
      <c r="C351" s="15" t="s">
        <v>860</v>
      </c>
      <c r="D351" s="16">
        <v>13193485.5719</v>
      </c>
      <c r="E351" s="16">
        <v>2045740.7395</v>
      </c>
      <c r="F351" s="17">
        <f t="shared" si="5"/>
        <v>15239226.3114</v>
      </c>
      <c r="G351" s="18"/>
      <c r="H351" s="18"/>
      <c r="I351" s="19"/>
      <c r="J351" s="19"/>
      <c r="K351" s="19"/>
      <c r="L351" s="19"/>
      <c r="M351" s="18"/>
      <c r="N351" s="18"/>
      <c r="O351" s="19"/>
      <c r="P351" s="19"/>
      <c r="Q351" s="19"/>
    </row>
    <row r="352" ht="18.75" spans="1:17">
      <c r="A352" s="14">
        <v>347</v>
      </c>
      <c r="B352" s="15" t="s">
        <v>105</v>
      </c>
      <c r="C352" s="15" t="s">
        <v>862</v>
      </c>
      <c r="D352" s="16">
        <v>11504693.4688</v>
      </c>
      <c r="E352" s="16">
        <v>1783881.9011</v>
      </c>
      <c r="F352" s="17">
        <f t="shared" si="5"/>
        <v>13288575.3699</v>
      </c>
      <c r="G352" s="18"/>
      <c r="H352" s="18"/>
      <c r="I352" s="19"/>
      <c r="J352" s="19"/>
      <c r="K352" s="19"/>
      <c r="L352" s="19"/>
      <c r="M352" s="18"/>
      <c r="N352" s="18"/>
      <c r="O352" s="19"/>
      <c r="P352" s="19"/>
      <c r="Q352" s="19"/>
    </row>
    <row r="353" ht="18.75" spans="1:17">
      <c r="A353" s="14">
        <v>348</v>
      </c>
      <c r="B353" s="15" t="s">
        <v>105</v>
      </c>
      <c r="C353" s="15" t="s">
        <v>864</v>
      </c>
      <c r="D353" s="16">
        <v>15329249.7283</v>
      </c>
      <c r="E353" s="16">
        <v>2376905.6709</v>
      </c>
      <c r="F353" s="17">
        <f t="shared" si="5"/>
        <v>17706155.3992</v>
      </c>
      <c r="G353" s="18"/>
      <c r="H353" s="18"/>
      <c r="I353" s="19"/>
      <c r="J353" s="19"/>
      <c r="K353" s="19"/>
      <c r="L353" s="19"/>
      <c r="M353" s="18"/>
      <c r="N353" s="18"/>
      <c r="O353" s="19"/>
      <c r="P353" s="19"/>
      <c r="Q353" s="19"/>
    </row>
    <row r="354" ht="18.75" spans="1:17">
      <c r="A354" s="14">
        <v>349</v>
      </c>
      <c r="B354" s="15" t="s">
        <v>105</v>
      </c>
      <c r="C354" s="15" t="s">
        <v>866</v>
      </c>
      <c r="D354" s="16">
        <v>16909757.0337</v>
      </c>
      <c r="E354" s="16">
        <v>2621974.2061</v>
      </c>
      <c r="F354" s="17">
        <f t="shared" si="5"/>
        <v>19531731.2398</v>
      </c>
      <c r="G354" s="18"/>
      <c r="H354" s="18"/>
      <c r="I354" s="19"/>
      <c r="J354" s="19"/>
      <c r="K354" s="19"/>
      <c r="L354" s="19"/>
      <c r="M354" s="18"/>
      <c r="N354" s="18"/>
      <c r="O354" s="19"/>
      <c r="P354" s="19"/>
      <c r="Q354" s="19"/>
    </row>
    <row r="355" ht="18.75" spans="1:17">
      <c r="A355" s="14">
        <v>350</v>
      </c>
      <c r="B355" s="15" t="s">
        <v>105</v>
      </c>
      <c r="C355" s="15" t="s">
        <v>868</v>
      </c>
      <c r="D355" s="16">
        <v>15974662.5669</v>
      </c>
      <c r="E355" s="16">
        <v>2476981.3735</v>
      </c>
      <c r="F355" s="17">
        <f t="shared" si="5"/>
        <v>18451643.9404</v>
      </c>
      <c r="G355" s="18"/>
      <c r="H355" s="18"/>
      <c r="I355" s="19"/>
      <c r="J355" s="19"/>
      <c r="K355" s="19"/>
      <c r="L355" s="19"/>
      <c r="M355" s="18"/>
      <c r="N355" s="18"/>
      <c r="O355" s="19"/>
      <c r="P355" s="19"/>
      <c r="Q355" s="19"/>
    </row>
    <row r="356" ht="18.75" spans="1:17">
      <c r="A356" s="14">
        <v>351</v>
      </c>
      <c r="B356" s="15" t="s">
        <v>105</v>
      </c>
      <c r="C356" s="15" t="s">
        <v>870</v>
      </c>
      <c r="D356" s="16">
        <v>17055451.1735</v>
      </c>
      <c r="E356" s="16">
        <v>2644565.0852</v>
      </c>
      <c r="F356" s="17">
        <f t="shared" si="5"/>
        <v>19700016.2587</v>
      </c>
      <c r="G356" s="18"/>
      <c r="H356" s="18"/>
      <c r="I356" s="19"/>
      <c r="J356" s="19"/>
      <c r="K356" s="19"/>
      <c r="L356" s="19"/>
      <c r="M356" s="18"/>
      <c r="N356" s="18"/>
      <c r="O356" s="19"/>
      <c r="P356" s="19"/>
      <c r="Q356" s="19"/>
    </row>
    <row r="357" ht="18.75" spans="1:17">
      <c r="A357" s="14">
        <v>352</v>
      </c>
      <c r="B357" s="15" t="s">
        <v>105</v>
      </c>
      <c r="C357" s="15" t="s">
        <v>872</v>
      </c>
      <c r="D357" s="16">
        <v>14738878.5681</v>
      </c>
      <c r="E357" s="16">
        <v>2285364.5594</v>
      </c>
      <c r="F357" s="17">
        <f t="shared" si="5"/>
        <v>17024243.1275</v>
      </c>
      <c r="G357" s="18"/>
      <c r="H357" s="18"/>
      <c r="I357" s="19"/>
      <c r="J357" s="19"/>
      <c r="K357" s="19"/>
      <c r="L357" s="19"/>
      <c r="M357" s="18"/>
      <c r="N357" s="18"/>
      <c r="O357" s="19"/>
      <c r="P357" s="19"/>
      <c r="Q357" s="19"/>
    </row>
    <row r="358" ht="18.75" spans="1:17">
      <c r="A358" s="14">
        <v>353</v>
      </c>
      <c r="B358" s="15" t="s">
        <v>105</v>
      </c>
      <c r="C358" s="15" t="s">
        <v>874</v>
      </c>
      <c r="D358" s="16">
        <v>12769288.2951</v>
      </c>
      <c r="E358" s="16">
        <v>1979966.0323</v>
      </c>
      <c r="F358" s="17">
        <f t="shared" si="5"/>
        <v>14749254.3274</v>
      </c>
      <c r="G358" s="18"/>
      <c r="H358" s="18"/>
      <c r="I358" s="19"/>
      <c r="J358" s="19"/>
      <c r="K358" s="19"/>
      <c r="L358" s="19"/>
      <c r="M358" s="18"/>
      <c r="N358" s="18"/>
      <c r="O358" s="19"/>
      <c r="P358" s="19"/>
      <c r="Q358" s="19"/>
    </row>
    <row r="359" ht="18.75" spans="1:17">
      <c r="A359" s="14">
        <v>354</v>
      </c>
      <c r="B359" s="15" t="s">
        <v>105</v>
      </c>
      <c r="C359" s="15" t="s">
        <v>876</v>
      </c>
      <c r="D359" s="16">
        <v>13148175.6705</v>
      </c>
      <c r="E359" s="16">
        <v>2038715.1274</v>
      </c>
      <c r="F359" s="17">
        <f t="shared" si="5"/>
        <v>15186890.7979</v>
      </c>
      <c r="G359" s="18"/>
      <c r="H359" s="18"/>
      <c r="I359" s="19"/>
      <c r="J359" s="19"/>
      <c r="K359" s="19"/>
      <c r="L359" s="19"/>
      <c r="M359" s="18"/>
      <c r="N359" s="18"/>
      <c r="O359" s="19"/>
      <c r="P359" s="19"/>
      <c r="Q359" s="19"/>
    </row>
    <row r="360" ht="18.75" spans="1:17">
      <c r="A360" s="14">
        <v>355</v>
      </c>
      <c r="B360" s="15" t="s">
        <v>105</v>
      </c>
      <c r="C360" s="15" t="s">
        <v>878</v>
      </c>
      <c r="D360" s="16">
        <v>15220300.4649</v>
      </c>
      <c r="E360" s="16">
        <v>2360012.3378</v>
      </c>
      <c r="F360" s="17">
        <f t="shared" si="5"/>
        <v>17580312.8027</v>
      </c>
      <c r="G360" s="18"/>
      <c r="H360" s="18"/>
      <c r="I360" s="19"/>
      <c r="J360" s="19"/>
      <c r="K360" s="19"/>
      <c r="L360" s="19"/>
      <c r="M360" s="18"/>
      <c r="N360" s="18"/>
      <c r="O360" s="19"/>
      <c r="P360" s="19"/>
      <c r="Q360" s="19"/>
    </row>
    <row r="361" ht="18.75" spans="1:17">
      <c r="A361" s="14">
        <v>356</v>
      </c>
      <c r="B361" s="15" t="s">
        <v>105</v>
      </c>
      <c r="C361" s="15" t="s">
        <v>880</v>
      </c>
      <c r="D361" s="16">
        <v>11805375.738</v>
      </c>
      <c r="E361" s="16">
        <v>1830504.7563</v>
      </c>
      <c r="F361" s="17">
        <f t="shared" si="5"/>
        <v>13635880.4943</v>
      </c>
      <c r="G361" s="18"/>
      <c r="H361" s="18"/>
      <c r="I361" s="19"/>
      <c r="J361" s="19"/>
      <c r="K361" s="19"/>
      <c r="L361" s="19"/>
      <c r="M361" s="18"/>
      <c r="N361" s="18"/>
      <c r="O361" s="19"/>
      <c r="P361" s="19"/>
      <c r="Q361" s="19"/>
    </row>
    <row r="362" ht="18.75" spans="1:17">
      <c r="A362" s="14">
        <v>357</v>
      </c>
      <c r="B362" s="15" t="s">
        <v>105</v>
      </c>
      <c r="C362" s="15" t="s">
        <v>882</v>
      </c>
      <c r="D362" s="16">
        <v>16426271.7994</v>
      </c>
      <c r="E362" s="16">
        <v>2547006.4931</v>
      </c>
      <c r="F362" s="17">
        <f t="shared" si="5"/>
        <v>18973278.2925</v>
      </c>
      <c r="G362" s="18"/>
      <c r="H362" s="18"/>
      <c r="I362" s="19"/>
      <c r="J362" s="19"/>
      <c r="K362" s="19"/>
      <c r="L362" s="19"/>
      <c r="M362" s="18"/>
      <c r="N362" s="18"/>
      <c r="O362" s="19"/>
      <c r="P362" s="19"/>
      <c r="Q362" s="19"/>
    </row>
    <row r="363" ht="18.75" spans="1:17">
      <c r="A363" s="14">
        <v>358</v>
      </c>
      <c r="B363" s="15" t="s">
        <v>105</v>
      </c>
      <c r="C363" s="15" t="s">
        <v>884</v>
      </c>
      <c r="D363" s="16">
        <v>11048542.3304</v>
      </c>
      <c r="E363" s="16">
        <v>1713152.5277</v>
      </c>
      <c r="F363" s="17">
        <f t="shared" si="5"/>
        <v>12761694.8581</v>
      </c>
      <c r="G363" s="18"/>
      <c r="H363" s="18"/>
      <c r="I363" s="19"/>
      <c r="J363" s="19"/>
      <c r="K363" s="19"/>
      <c r="L363" s="19"/>
      <c r="M363" s="18"/>
      <c r="N363" s="18"/>
      <c r="O363" s="19"/>
      <c r="P363" s="19"/>
      <c r="Q363" s="19"/>
    </row>
    <row r="364" ht="18.75" spans="1:17">
      <c r="A364" s="14">
        <v>359</v>
      </c>
      <c r="B364" s="15" t="s">
        <v>105</v>
      </c>
      <c r="C364" s="15" t="s">
        <v>886</v>
      </c>
      <c r="D364" s="16">
        <v>14578537.5129</v>
      </c>
      <c r="E364" s="16">
        <v>2260502.5753</v>
      </c>
      <c r="F364" s="17">
        <f t="shared" si="5"/>
        <v>16839040.0882</v>
      </c>
      <c r="G364" s="18"/>
      <c r="H364" s="18"/>
      <c r="I364" s="19"/>
      <c r="J364" s="19"/>
      <c r="K364" s="19"/>
      <c r="L364" s="19"/>
      <c r="M364" s="18"/>
      <c r="N364" s="18"/>
      <c r="O364" s="19"/>
      <c r="P364" s="19"/>
      <c r="Q364" s="19"/>
    </row>
    <row r="365" ht="18.75" spans="1:17">
      <c r="A365" s="14">
        <v>360</v>
      </c>
      <c r="B365" s="15" t="s">
        <v>105</v>
      </c>
      <c r="C365" s="15" t="s">
        <v>888</v>
      </c>
      <c r="D365" s="16">
        <v>12223040.4285</v>
      </c>
      <c r="E365" s="16">
        <v>1895266.5411</v>
      </c>
      <c r="F365" s="17">
        <f t="shared" si="5"/>
        <v>14118306.9696</v>
      </c>
      <c r="G365" s="18"/>
      <c r="H365" s="18"/>
      <c r="I365" s="19"/>
      <c r="J365" s="19"/>
      <c r="K365" s="19"/>
      <c r="L365" s="19"/>
      <c r="M365" s="18"/>
      <c r="N365" s="18"/>
      <c r="O365" s="19"/>
      <c r="P365" s="19"/>
      <c r="Q365" s="19"/>
    </row>
    <row r="366" ht="18.75" spans="1:17">
      <c r="A366" s="14">
        <v>361</v>
      </c>
      <c r="B366" s="15" t="s">
        <v>105</v>
      </c>
      <c r="C366" s="15" t="s">
        <v>890</v>
      </c>
      <c r="D366" s="16">
        <v>15579917.6167</v>
      </c>
      <c r="E366" s="16">
        <v>2415773.4522</v>
      </c>
      <c r="F366" s="17">
        <f t="shared" si="5"/>
        <v>17995691.0689</v>
      </c>
      <c r="G366" s="18"/>
      <c r="H366" s="18"/>
      <c r="I366" s="19"/>
      <c r="J366" s="19"/>
      <c r="K366" s="19"/>
      <c r="L366" s="19"/>
      <c r="M366" s="18"/>
      <c r="N366" s="18"/>
      <c r="O366" s="19"/>
      <c r="P366" s="19"/>
      <c r="Q366" s="19"/>
    </row>
    <row r="367" ht="18.75" spans="1:17">
      <c r="A367" s="14">
        <v>362</v>
      </c>
      <c r="B367" s="15" t="s">
        <v>105</v>
      </c>
      <c r="C367" s="15" t="s">
        <v>892</v>
      </c>
      <c r="D367" s="16">
        <v>17430786.8137</v>
      </c>
      <c r="E367" s="16">
        <v>2702763.4594</v>
      </c>
      <c r="F367" s="17">
        <f t="shared" si="5"/>
        <v>20133550.2731</v>
      </c>
      <c r="G367" s="18"/>
      <c r="H367" s="18"/>
      <c r="I367" s="19"/>
      <c r="J367" s="19"/>
      <c r="K367" s="19"/>
      <c r="L367" s="19"/>
      <c r="M367" s="18"/>
      <c r="N367" s="18"/>
      <c r="O367" s="19"/>
      <c r="P367" s="19"/>
      <c r="Q367" s="19"/>
    </row>
    <row r="368" ht="18.75" spans="1:17">
      <c r="A368" s="14">
        <v>363</v>
      </c>
      <c r="B368" s="15" t="s">
        <v>105</v>
      </c>
      <c r="C368" s="15" t="s">
        <v>894</v>
      </c>
      <c r="D368" s="16">
        <v>17798339.3134</v>
      </c>
      <c r="E368" s="16">
        <v>2759755.0041</v>
      </c>
      <c r="F368" s="17">
        <f t="shared" si="5"/>
        <v>20558094.3175</v>
      </c>
      <c r="G368" s="18"/>
      <c r="H368" s="18"/>
      <c r="I368" s="19"/>
      <c r="J368" s="19"/>
      <c r="K368" s="19"/>
      <c r="L368" s="19"/>
      <c r="M368" s="18"/>
      <c r="N368" s="18"/>
      <c r="O368" s="19"/>
      <c r="P368" s="19"/>
      <c r="Q368" s="19"/>
    </row>
    <row r="369" ht="18.75" spans="1:17">
      <c r="A369" s="14">
        <v>364</v>
      </c>
      <c r="B369" s="15" t="s">
        <v>106</v>
      </c>
      <c r="C369" s="15" t="s">
        <v>898</v>
      </c>
      <c r="D369" s="16">
        <v>11421552.4513</v>
      </c>
      <c r="E369" s="16">
        <v>1770990.3141</v>
      </c>
      <c r="F369" s="17">
        <f t="shared" si="5"/>
        <v>13192542.7654</v>
      </c>
      <c r="G369" s="18"/>
      <c r="H369" s="18"/>
      <c r="I369" s="19"/>
      <c r="J369" s="19"/>
      <c r="K369" s="19"/>
      <c r="L369" s="19"/>
      <c r="M369" s="18"/>
      <c r="N369" s="18"/>
      <c r="O369" s="19"/>
      <c r="P369" s="19"/>
      <c r="Q369" s="19"/>
    </row>
    <row r="370" ht="18.75" spans="1:17">
      <c r="A370" s="14">
        <v>365</v>
      </c>
      <c r="B370" s="15" t="s">
        <v>106</v>
      </c>
      <c r="C370" s="15" t="s">
        <v>900</v>
      </c>
      <c r="D370" s="16">
        <v>11698671.3498</v>
      </c>
      <c r="E370" s="16">
        <v>1813959.5066</v>
      </c>
      <c r="F370" s="17">
        <f t="shared" si="5"/>
        <v>13512630.8564</v>
      </c>
      <c r="G370" s="18"/>
      <c r="H370" s="18"/>
      <c r="I370" s="19"/>
      <c r="J370" s="19"/>
      <c r="K370" s="19"/>
      <c r="L370" s="19"/>
      <c r="M370" s="18"/>
      <c r="N370" s="18"/>
      <c r="O370" s="19"/>
      <c r="P370" s="19"/>
      <c r="Q370" s="19"/>
    </row>
    <row r="371" ht="18.75" spans="1:17">
      <c r="A371" s="14">
        <v>366</v>
      </c>
      <c r="B371" s="15" t="s">
        <v>106</v>
      </c>
      <c r="C371" s="15" t="s">
        <v>902</v>
      </c>
      <c r="D371" s="16">
        <v>10666883.4513</v>
      </c>
      <c r="E371" s="16">
        <v>1653973.6918</v>
      </c>
      <c r="F371" s="17">
        <f t="shared" si="5"/>
        <v>12320857.1431</v>
      </c>
      <c r="G371" s="18"/>
      <c r="H371" s="18"/>
      <c r="I371" s="19"/>
      <c r="J371" s="19"/>
      <c r="K371" s="19"/>
      <c r="L371" s="19"/>
      <c r="M371" s="18"/>
      <c r="N371" s="18"/>
      <c r="O371" s="19"/>
      <c r="P371" s="19"/>
      <c r="Q371" s="19"/>
    </row>
    <row r="372" ht="18.75" spans="1:17">
      <c r="A372" s="14">
        <v>367</v>
      </c>
      <c r="B372" s="15" t="s">
        <v>106</v>
      </c>
      <c r="C372" s="15" t="s">
        <v>904</v>
      </c>
      <c r="D372" s="16">
        <v>11572093.856</v>
      </c>
      <c r="E372" s="16">
        <v>1794332.795</v>
      </c>
      <c r="F372" s="17">
        <f t="shared" si="5"/>
        <v>13366426.651</v>
      </c>
      <c r="G372" s="18"/>
      <c r="H372" s="18"/>
      <c r="I372" s="19"/>
      <c r="J372" s="19"/>
      <c r="K372" s="19"/>
      <c r="L372" s="19"/>
      <c r="M372" s="18"/>
      <c r="N372" s="18"/>
      <c r="O372" s="19"/>
      <c r="P372" s="19"/>
      <c r="Q372" s="19"/>
    </row>
    <row r="373" ht="18.75" spans="1:17">
      <c r="A373" s="14">
        <v>368</v>
      </c>
      <c r="B373" s="15" t="s">
        <v>106</v>
      </c>
      <c r="C373" s="15" t="s">
        <v>906</v>
      </c>
      <c r="D373" s="16">
        <v>14025758.6969</v>
      </c>
      <c r="E373" s="16">
        <v>2174790.4155</v>
      </c>
      <c r="F373" s="17">
        <f t="shared" si="5"/>
        <v>16200549.1124</v>
      </c>
      <c r="G373" s="18"/>
      <c r="H373" s="18"/>
      <c r="I373" s="19"/>
      <c r="J373" s="19"/>
      <c r="K373" s="19"/>
      <c r="L373" s="19"/>
      <c r="M373" s="18"/>
      <c r="N373" s="18"/>
      <c r="O373" s="19"/>
      <c r="P373" s="19"/>
      <c r="Q373" s="19"/>
    </row>
    <row r="374" ht="18.75" spans="1:17">
      <c r="A374" s="14">
        <v>369</v>
      </c>
      <c r="B374" s="15" t="s">
        <v>106</v>
      </c>
      <c r="C374" s="15" t="s">
        <v>908</v>
      </c>
      <c r="D374" s="16">
        <v>11174390.9492</v>
      </c>
      <c r="E374" s="16">
        <v>1732666.2222</v>
      </c>
      <c r="F374" s="17">
        <f t="shared" si="5"/>
        <v>12907057.1714</v>
      </c>
      <c r="G374" s="18"/>
      <c r="H374" s="18"/>
      <c r="I374" s="19"/>
      <c r="J374" s="19"/>
      <c r="K374" s="19"/>
      <c r="L374" s="19"/>
      <c r="M374" s="18"/>
      <c r="N374" s="18"/>
      <c r="O374" s="19"/>
      <c r="P374" s="19"/>
      <c r="Q374" s="19"/>
    </row>
    <row r="375" ht="18.75" spans="1:17">
      <c r="A375" s="14">
        <v>370</v>
      </c>
      <c r="B375" s="15" t="s">
        <v>106</v>
      </c>
      <c r="C375" s="15" t="s">
        <v>910</v>
      </c>
      <c r="D375" s="16">
        <v>18036682.4249</v>
      </c>
      <c r="E375" s="16">
        <v>2796711.7439</v>
      </c>
      <c r="F375" s="17">
        <f t="shared" si="5"/>
        <v>20833394.1688</v>
      </c>
      <c r="G375" s="18"/>
      <c r="H375" s="18"/>
      <c r="I375" s="19"/>
      <c r="J375" s="19"/>
      <c r="K375" s="19"/>
      <c r="L375" s="19"/>
      <c r="M375" s="18"/>
      <c r="N375" s="18"/>
      <c r="O375" s="19"/>
      <c r="P375" s="19"/>
      <c r="Q375" s="19"/>
    </row>
    <row r="376" ht="18.75" spans="1:17">
      <c r="A376" s="14">
        <v>371</v>
      </c>
      <c r="B376" s="15" t="s">
        <v>106</v>
      </c>
      <c r="C376" s="15" t="s">
        <v>912</v>
      </c>
      <c r="D376" s="16">
        <v>12288676.4751</v>
      </c>
      <c r="E376" s="16">
        <v>1905443.8619</v>
      </c>
      <c r="F376" s="17">
        <f t="shared" si="5"/>
        <v>14194120.337</v>
      </c>
      <c r="G376" s="18"/>
      <c r="H376" s="18"/>
      <c r="I376" s="19"/>
      <c r="J376" s="19"/>
      <c r="K376" s="19"/>
      <c r="L376" s="19"/>
      <c r="M376" s="18"/>
      <c r="N376" s="18"/>
      <c r="O376" s="19"/>
      <c r="P376" s="19"/>
      <c r="Q376" s="19"/>
    </row>
    <row r="377" ht="18.75" spans="1:17">
      <c r="A377" s="14">
        <v>372</v>
      </c>
      <c r="B377" s="15" t="s">
        <v>106</v>
      </c>
      <c r="C377" s="15" t="s">
        <v>914</v>
      </c>
      <c r="D377" s="16">
        <v>13209850.1978</v>
      </c>
      <c r="E377" s="16">
        <v>2048278.1874</v>
      </c>
      <c r="F377" s="17">
        <f t="shared" si="5"/>
        <v>15258128.3852</v>
      </c>
      <c r="G377" s="18"/>
      <c r="H377" s="18"/>
      <c r="I377" s="19"/>
      <c r="J377" s="19"/>
      <c r="K377" s="19"/>
      <c r="L377" s="19"/>
      <c r="M377" s="18"/>
      <c r="N377" s="18"/>
      <c r="O377" s="19"/>
      <c r="P377" s="19"/>
      <c r="Q377" s="19"/>
    </row>
    <row r="378" ht="18.75" spans="1:17">
      <c r="A378" s="14">
        <v>373</v>
      </c>
      <c r="B378" s="15" t="s">
        <v>106</v>
      </c>
      <c r="C378" s="15" t="s">
        <v>916</v>
      </c>
      <c r="D378" s="16">
        <v>13302368.246</v>
      </c>
      <c r="E378" s="16">
        <v>2062623.7475</v>
      </c>
      <c r="F378" s="17">
        <f t="shared" si="5"/>
        <v>15364991.9935</v>
      </c>
      <c r="G378" s="18"/>
      <c r="H378" s="18"/>
      <c r="I378" s="19"/>
      <c r="J378" s="19"/>
      <c r="K378" s="19"/>
      <c r="L378" s="19"/>
      <c r="M378" s="18"/>
      <c r="N378" s="18"/>
      <c r="O378" s="19"/>
      <c r="P378" s="19"/>
      <c r="Q378" s="19"/>
    </row>
    <row r="379" ht="18.75" spans="1:17">
      <c r="A379" s="14">
        <v>374</v>
      </c>
      <c r="B379" s="15" t="s">
        <v>106</v>
      </c>
      <c r="C379" s="15" t="s">
        <v>917</v>
      </c>
      <c r="D379" s="16">
        <v>12329456.9018</v>
      </c>
      <c r="E379" s="16">
        <v>1911767.1477</v>
      </c>
      <c r="F379" s="17">
        <f t="shared" si="5"/>
        <v>14241224.0495</v>
      </c>
      <c r="G379" s="18"/>
      <c r="H379" s="18"/>
      <c r="I379" s="19"/>
      <c r="J379" s="19"/>
      <c r="K379" s="19"/>
      <c r="L379" s="19"/>
      <c r="M379" s="18"/>
      <c r="N379" s="18"/>
      <c r="O379" s="19"/>
      <c r="P379" s="19"/>
      <c r="Q379" s="19"/>
    </row>
    <row r="380" ht="18.75" spans="1:17">
      <c r="A380" s="14">
        <v>375</v>
      </c>
      <c r="B380" s="15" t="s">
        <v>106</v>
      </c>
      <c r="C380" s="15" t="s">
        <v>919</v>
      </c>
      <c r="D380" s="16">
        <v>12078970.5564</v>
      </c>
      <c r="E380" s="16">
        <v>1872927.5159</v>
      </c>
      <c r="F380" s="17">
        <f t="shared" si="5"/>
        <v>13951898.0723</v>
      </c>
      <c r="G380" s="18"/>
      <c r="H380" s="18"/>
      <c r="I380" s="19"/>
      <c r="J380" s="19"/>
      <c r="K380" s="19"/>
      <c r="L380" s="19"/>
      <c r="M380" s="18"/>
      <c r="N380" s="18"/>
      <c r="O380" s="19"/>
      <c r="P380" s="19"/>
      <c r="Q380" s="19"/>
    </row>
    <row r="381" ht="18.75" spans="1:17">
      <c r="A381" s="14">
        <v>376</v>
      </c>
      <c r="B381" s="15" t="s">
        <v>106</v>
      </c>
      <c r="C381" s="15" t="s">
        <v>921</v>
      </c>
      <c r="D381" s="16">
        <v>12620816.4666</v>
      </c>
      <c r="E381" s="16">
        <v>1956944.4534</v>
      </c>
      <c r="F381" s="17">
        <f t="shared" si="5"/>
        <v>14577760.92</v>
      </c>
      <c r="G381" s="18"/>
      <c r="H381" s="18"/>
      <c r="I381" s="19"/>
      <c r="J381" s="19"/>
      <c r="K381" s="19"/>
      <c r="L381" s="19"/>
      <c r="M381" s="18"/>
      <c r="N381" s="18"/>
      <c r="O381" s="19"/>
      <c r="P381" s="19"/>
      <c r="Q381" s="19"/>
    </row>
    <row r="382" ht="18.75" spans="1:17">
      <c r="A382" s="14">
        <v>377</v>
      </c>
      <c r="B382" s="15" t="s">
        <v>106</v>
      </c>
      <c r="C382" s="15" t="s">
        <v>923</v>
      </c>
      <c r="D382" s="16">
        <v>11257824.9225</v>
      </c>
      <c r="E382" s="16">
        <v>1745603.234</v>
      </c>
      <c r="F382" s="17">
        <f t="shared" si="5"/>
        <v>13003428.1565</v>
      </c>
      <c r="G382" s="18"/>
      <c r="H382" s="18"/>
      <c r="I382" s="19"/>
      <c r="J382" s="19"/>
      <c r="K382" s="19"/>
      <c r="L382" s="19"/>
      <c r="M382" s="18"/>
      <c r="N382" s="18"/>
      <c r="O382" s="19"/>
      <c r="P382" s="19"/>
      <c r="Q382" s="19"/>
    </row>
    <row r="383" ht="18.75" spans="1:17">
      <c r="A383" s="14">
        <v>378</v>
      </c>
      <c r="B383" s="15" t="s">
        <v>106</v>
      </c>
      <c r="C383" s="15" t="s">
        <v>925</v>
      </c>
      <c r="D383" s="16">
        <v>11199078.8689</v>
      </c>
      <c r="E383" s="16">
        <v>1736494.2541</v>
      </c>
      <c r="F383" s="17">
        <f t="shared" si="5"/>
        <v>12935573.123</v>
      </c>
      <c r="G383" s="18"/>
      <c r="H383" s="18"/>
      <c r="I383" s="19"/>
      <c r="J383" s="19"/>
      <c r="K383" s="19"/>
      <c r="L383" s="19"/>
      <c r="M383" s="18"/>
      <c r="N383" s="18"/>
      <c r="O383" s="19"/>
      <c r="P383" s="19"/>
      <c r="Q383" s="19"/>
    </row>
    <row r="384" ht="18.75" spans="1:17">
      <c r="A384" s="14">
        <v>379</v>
      </c>
      <c r="B384" s="15" t="s">
        <v>106</v>
      </c>
      <c r="C384" s="15" t="s">
        <v>927</v>
      </c>
      <c r="D384" s="16">
        <v>12103638.1422</v>
      </c>
      <c r="E384" s="16">
        <v>1876752.3948</v>
      </c>
      <c r="F384" s="17">
        <f t="shared" si="5"/>
        <v>13980390.537</v>
      </c>
      <c r="G384" s="18"/>
      <c r="H384" s="18"/>
      <c r="I384" s="19"/>
      <c r="J384" s="19"/>
      <c r="K384" s="19"/>
      <c r="L384" s="19"/>
      <c r="M384" s="18"/>
      <c r="N384" s="18"/>
      <c r="O384" s="19"/>
      <c r="P384" s="19"/>
      <c r="Q384" s="19"/>
    </row>
    <row r="385" ht="18.75" spans="1:17">
      <c r="A385" s="14">
        <v>380</v>
      </c>
      <c r="B385" s="15" t="s">
        <v>106</v>
      </c>
      <c r="C385" s="15" t="s">
        <v>929</v>
      </c>
      <c r="D385" s="16">
        <v>13821515.7039</v>
      </c>
      <c r="E385" s="16">
        <v>2143121.1337</v>
      </c>
      <c r="F385" s="17">
        <f t="shared" si="5"/>
        <v>15964636.8376</v>
      </c>
      <c r="G385" s="18"/>
      <c r="H385" s="18"/>
      <c r="I385" s="19"/>
      <c r="J385" s="19"/>
      <c r="K385" s="19"/>
      <c r="L385" s="19"/>
      <c r="M385" s="18"/>
      <c r="N385" s="18"/>
      <c r="O385" s="19"/>
      <c r="P385" s="19"/>
      <c r="Q385" s="19"/>
    </row>
    <row r="386" ht="18.75" spans="1:17">
      <c r="A386" s="14">
        <v>381</v>
      </c>
      <c r="B386" s="15" t="s">
        <v>106</v>
      </c>
      <c r="C386" s="15" t="s">
        <v>931</v>
      </c>
      <c r="D386" s="16">
        <v>16617216.7739</v>
      </c>
      <c r="E386" s="16">
        <v>2576613.8255</v>
      </c>
      <c r="F386" s="17">
        <f t="shared" si="5"/>
        <v>19193830.5994</v>
      </c>
      <c r="G386" s="18"/>
      <c r="H386" s="18"/>
      <c r="I386" s="19"/>
      <c r="J386" s="19"/>
      <c r="K386" s="19"/>
      <c r="L386" s="19"/>
      <c r="M386" s="18"/>
      <c r="N386" s="18"/>
      <c r="O386" s="19"/>
      <c r="P386" s="19"/>
      <c r="Q386" s="19"/>
    </row>
    <row r="387" ht="18.75" spans="1:17">
      <c r="A387" s="14">
        <v>382</v>
      </c>
      <c r="B387" s="15" t="s">
        <v>106</v>
      </c>
      <c r="C387" s="15" t="s">
        <v>934</v>
      </c>
      <c r="D387" s="16">
        <v>11424747.0282</v>
      </c>
      <c r="E387" s="16">
        <v>1771485.6553</v>
      </c>
      <c r="F387" s="17">
        <f t="shared" si="5"/>
        <v>13196232.6835</v>
      </c>
      <c r="G387" s="18"/>
      <c r="H387" s="18"/>
      <c r="I387" s="19"/>
      <c r="J387" s="19"/>
      <c r="K387" s="19"/>
      <c r="L387" s="19"/>
      <c r="M387" s="18"/>
      <c r="N387" s="18"/>
      <c r="O387" s="19"/>
      <c r="P387" s="19"/>
      <c r="Q387" s="19"/>
    </row>
    <row r="388" ht="18.75" spans="1:17">
      <c r="A388" s="14">
        <v>383</v>
      </c>
      <c r="B388" s="15" t="s">
        <v>106</v>
      </c>
      <c r="C388" s="15" t="s">
        <v>936</v>
      </c>
      <c r="D388" s="16">
        <v>11008504.6687</v>
      </c>
      <c r="E388" s="16">
        <v>1706944.4127</v>
      </c>
      <c r="F388" s="17">
        <f t="shared" si="5"/>
        <v>12715449.0814</v>
      </c>
      <c r="G388" s="18"/>
      <c r="H388" s="18"/>
      <c r="I388" s="19"/>
      <c r="J388" s="19"/>
      <c r="K388" s="19"/>
      <c r="L388" s="19"/>
      <c r="M388" s="18"/>
      <c r="N388" s="18"/>
      <c r="O388" s="19"/>
      <c r="P388" s="19"/>
      <c r="Q388" s="19"/>
    </row>
    <row r="389" ht="37.5" spans="1:17">
      <c r="A389" s="14">
        <v>384</v>
      </c>
      <c r="B389" s="15" t="s">
        <v>106</v>
      </c>
      <c r="C389" s="15" t="s">
        <v>938</v>
      </c>
      <c r="D389" s="16">
        <v>16039505.0523</v>
      </c>
      <c r="E389" s="16">
        <v>2487035.6471</v>
      </c>
      <c r="F389" s="17">
        <f t="shared" si="5"/>
        <v>18526540.6994</v>
      </c>
      <c r="G389" s="18"/>
      <c r="H389" s="18"/>
      <c r="I389" s="19"/>
      <c r="J389" s="19"/>
      <c r="K389" s="19"/>
      <c r="L389" s="19"/>
      <c r="M389" s="18"/>
      <c r="N389" s="18"/>
      <c r="O389" s="19"/>
      <c r="P389" s="19"/>
      <c r="Q389" s="19"/>
    </row>
    <row r="390" ht="18.75" spans="1:17">
      <c r="A390" s="14">
        <v>385</v>
      </c>
      <c r="B390" s="15" t="s">
        <v>106</v>
      </c>
      <c r="C390" s="15" t="s">
        <v>940</v>
      </c>
      <c r="D390" s="16">
        <v>10674913.7797</v>
      </c>
      <c r="E390" s="16">
        <v>1655218.8495</v>
      </c>
      <c r="F390" s="17">
        <f t="shared" si="5"/>
        <v>12330132.6292</v>
      </c>
      <c r="G390" s="18"/>
      <c r="H390" s="18"/>
      <c r="I390" s="19"/>
      <c r="J390" s="19"/>
      <c r="K390" s="19"/>
      <c r="L390" s="19"/>
      <c r="M390" s="18"/>
      <c r="N390" s="18"/>
      <c r="O390" s="19"/>
      <c r="P390" s="19"/>
      <c r="Q390" s="19"/>
    </row>
    <row r="391" ht="18.75" spans="1:17">
      <c r="A391" s="14">
        <v>386</v>
      </c>
      <c r="B391" s="15" t="s">
        <v>106</v>
      </c>
      <c r="C391" s="15" t="s">
        <v>942</v>
      </c>
      <c r="D391" s="16">
        <v>10773174.7219</v>
      </c>
      <c r="E391" s="16">
        <v>1670454.8849</v>
      </c>
      <c r="F391" s="17">
        <f t="shared" ref="F391:F454" si="6">D391+E391</f>
        <v>12443629.6068</v>
      </c>
      <c r="G391" s="18"/>
      <c r="H391" s="18"/>
      <c r="I391" s="19"/>
      <c r="J391" s="19"/>
      <c r="K391" s="19"/>
      <c r="L391" s="19"/>
      <c r="M391" s="18"/>
      <c r="N391" s="18"/>
      <c r="O391" s="19"/>
      <c r="P391" s="19"/>
      <c r="Q391" s="19"/>
    </row>
    <row r="392" ht="18.75" spans="1:17">
      <c r="A392" s="14">
        <v>387</v>
      </c>
      <c r="B392" s="15" t="s">
        <v>106</v>
      </c>
      <c r="C392" s="15" t="s">
        <v>944</v>
      </c>
      <c r="D392" s="16">
        <v>13898691.6349</v>
      </c>
      <c r="E392" s="16">
        <v>2155087.793</v>
      </c>
      <c r="F392" s="17">
        <f t="shared" si="6"/>
        <v>16053779.4279</v>
      </c>
      <c r="G392" s="18"/>
      <c r="H392" s="18"/>
      <c r="I392" s="19"/>
      <c r="J392" s="19"/>
      <c r="K392" s="19"/>
      <c r="L392" s="19"/>
      <c r="M392" s="18"/>
      <c r="N392" s="18"/>
      <c r="O392" s="19"/>
      <c r="P392" s="19"/>
      <c r="Q392" s="19"/>
    </row>
    <row r="393" ht="18.75" spans="1:17">
      <c r="A393" s="14">
        <v>388</v>
      </c>
      <c r="B393" s="15" t="s">
        <v>106</v>
      </c>
      <c r="C393" s="15" t="s">
        <v>946</v>
      </c>
      <c r="D393" s="16">
        <v>14201381.0024</v>
      </c>
      <c r="E393" s="16">
        <v>2202021.8626</v>
      </c>
      <c r="F393" s="17">
        <f t="shared" si="6"/>
        <v>16403402.865</v>
      </c>
      <c r="G393" s="18"/>
      <c r="H393" s="18"/>
      <c r="I393" s="19"/>
      <c r="J393" s="19"/>
      <c r="K393" s="19"/>
      <c r="L393" s="19"/>
      <c r="M393" s="18"/>
      <c r="N393" s="18"/>
      <c r="O393" s="19"/>
      <c r="P393" s="19"/>
      <c r="Q393" s="19"/>
    </row>
    <row r="394" ht="18.75" spans="1:17">
      <c r="A394" s="14">
        <v>389</v>
      </c>
      <c r="B394" s="15" t="s">
        <v>106</v>
      </c>
      <c r="C394" s="15" t="s">
        <v>133</v>
      </c>
      <c r="D394" s="16">
        <v>10889900.5029</v>
      </c>
      <c r="E394" s="16">
        <v>1688554.0206</v>
      </c>
      <c r="F394" s="17">
        <f t="shared" si="6"/>
        <v>12578454.5235</v>
      </c>
      <c r="G394" s="18"/>
      <c r="H394" s="18"/>
      <c r="I394" s="19"/>
      <c r="J394" s="19"/>
      <c r="K394" s="19"/>
      <c r="L394" s="19"/>
      <c r="M394" s="18"/>
      <c r="N394" s="18"/>
      <c r="O394" s="19"/>
      <c r="P394" s="19"/>
      <c r="Q394" s="19"/>
    </row>
    <row r="395" ht="18.75" spans="1:17">
      <c r="A395" s="14">
        <v>390</v>
      </c>
      <c r="B395" s="15" t="s">
        <v>106</v>
      </c>
      <c r="C395" s="15" t="s">
        <v>135</v>
      </c>
      <c r="D395" s="16">
        <v>10664846.5268</v>
      </c>
      <c r="E395" s="16">
        <v>1653657.8527</v>
      </c>
      <c r="F395" s="17">
        <f t="shared" si="6"/>
        <v>12318504.3795</v>
      </c>
      <c r="G395" s="18"/>
      <c r="H395" s="18"/>
      <c r="I395" s="19"/>
      <c r="J395" s="19"/>
      <c r="K395" s="19"/>
      <c r="L395" s="19"/>
      <c r="M395" s="18"/>
      <c r="N395" s="18"/>
      <c r="O395" s="19"/>
      <c r="P395" s="19"/>
      <c r="Q395" s="19"/>
    </row>
    <row r="396" ht="18.75" spans="1:17">
      <c r="A396" s="14">
        <v>391</v>
      </c>
      <c r="B396" s="15" t="s">
        <v>106</v>
      </c>
      <c r="C396" s="15" t="s">
        <v>137</v>
      </c>
      <c r="D396" s="16">
        <v>10674500.5857</v>
      </c>
      <c r="E396" s="16">
        <v>1655154.781</v>
      </c>
      <c r="F396" s="17">
        <f t="shared" si="6"/>
        <v>12329655.3667</v>
      </c>
      <c r="G396" s="18"/>
      <c r="H396" s="18"/>
      <c r="I396" s="19"/>
      <c r="J396" s="19"/>
      <c r="K396" s="19"/>
      <c r="L396" s="19"/>
      <c r="M396" s="18"/>
      <c r="N396" s="18"/>
      <c r="O396" s="19"/>
      <c r="P396" s="19"/>
      <c r="Q396" s="19"/>
    </row>
    <row r="397" ht="18.75" spans="1:17">
      <c r="A397" s="14">
        <v>392</v>
      </c>
      <c r="B397" s="15" t="s">
        <v>106</v>
      </c>
      <c r="C397" s="15" t="s">
        <v>139</v>
      </c>
      <c r="D397" s="16">
        <v>12651054.6416</v>
      </c>
      <c r="E397" s="16">
        <v>1961633.0906</v>
      </c>
      <c r="F397" s="17">
        <f t="shared" si="6"/>
        <v>14612687.7322</v>
      </c>
      <c r="G397" s="18"/>
      <c r="H397" s="18"/>
      <c r="I397" s="19"/>
      <c r="J397" s="19"/>
      <c r="K397" s="19"/>
      <c r="L397" s="19"/>
      <c r="M397" s="18"/>
      <c r="N397" s="18"/>
      <c r="O397" s="19"/>
      <c r="P397" s="19"/>
      <c r="Q397" s="19"/>
    </row>
    <row r="398" ht="18.75" spans="1:17">
      <c r="A398" s="14">
        <v>393</v>
      </c>
      <c r="B398" s="15" t="s">
        <v>106</v>
      </c>
      <c r="C398" s="15" t="s">
        <v>141</v>
      </c>
      <c r="D398" s="16">
        <v>12750023.56</v>
      </c>
      <c r="E398" s="16">
        <v>1976978.9025</v>
      </c>
      <c r="F398" s="17">
        <f t="shared" si="6"/>
        <v>14727002.4625</v>
      </c>
      <c r="G398" s="18"/>
      <c r="H398" s="18"/>
      <c r="I398" s="19"/>
      <c r="J398" s="19"/>
      <c r="K398" s="19"/>
      <c r="L398" s="19"/>
      <c r="M398" s="18"/>
      <c r="N398" s="18"/>
      <c r="O398" s="19"/>
      <c r="P398" s="19"/>
      <c r="Q398" s="19"/>
    </row>
    <row r="399" ht="18.75" spans="1:17">
      <c r="A399" s="14">
        <v>394</v>
      </c>
      <c r="B399" s="15" t="s">
        <v>106</v>
      </c>
      <c r="C399" s="15" t="s">
        <v>112</v>
      </c>
      <c r="D399" s="16">
        <v>22044452.8423</v>
      </c>
      <c r="E399" s="16">
        <v>3418144.1298</v>
      </c>
      <c r="F399" s="17">
        <f t="shared" si="6"/>
        <v>25462596.9721</v>
      </c>
      <c r="G399" s="18"/>
      <c r="H399" s="18"/>
      <c r="I399" s="19"/>
      <c r="J399" s="19"/>
      <c r="K399" s="19"/>
      <c r="L399" s="19"/>
      <c r="M399" s="18"/>
      <c r="N399" s="18"/>
      <c r="O399" s="19"/>
      <c r="P399" s="19"/>
      <c r="Q399" s="19"/>
    </row>
    <row r="400" ht="18.75" spans="1:17">
      <c r="A400" s="14">
        <v>395</v>
      </c>
      <c r="B400" s="15" t="s">
        <v>106</v>
      </c>
      <c r="C400" s="15" t="s">
        <v>144</v>
      </c>
      <c r="D400" s="16">
        <v>11041579.6829</v>
      </c>
      <c r="E400" s="16">
        <v>1712072.9213</v>
      </c>
      <c r="F400" s="17">
        <f t="shared" si="6"/>
        <v>12753652.6042</v>
      </c>
      <c r="G400" s="18"/>
      <c r="H400" s="18"/>
      <c r="I400" s="19"/>
      <c r="J400" s="19"/>
      <c r="K400" s="19"/>
      <c r="L400" s="19"/>
      <c r="M400" s="18"/>
      <c r="N400" s="18"/>
      <c r="O400" s="19"/>
      <c r="P400" s="19"/>
      <c r="Q400" s="19"/>
    </row>
    <row r="401" ht="18.75" spans="1:17">
      <c r="A401" s="14">
        <v>396</v>
      </c>
      <c r="B401" s="15" t="s">
        <v>106</v>
      </c>
      <c r="C401" s="15" t="s">
        <v>146</v>
      </c>
      <c r="D401" s="16">
        <v>10927531.7387</v>
      </c>
      <c r="E401" s="16">
        <v>1694389.0027</v>
      </c>
      <c r="F401" s="17">
        <f t="shared" si="6"/>
        <v>12621920.7414</v>
      </c>
      <c r="G401" s="18"/>
      <c r="H401" s="18"/>
      <c r="I401" s="19"/>
      <c r="J401" s="19"/>
      <c r="K401" s="19"/>
      <c r="L401" s="19"/>
      <c r="M401" s="18"/>
      <c r="N401" s="18"/>
      <c r="O401" s="19"/>
      <c r="P401" s="19"/>
      <c r="Q401" s="19"/>
    </row>
    <row r="402" ht="18.75" spans="1:17">
      <c r="A402" s="14">
        <v>397</v>
      </c>
      <c r="B402" s="15" t="s">
        <v>106</v>
      </c>
      <c r="C402" s="15" t="s">
        <v>148</v>
      </c>
      <c r="D402" s="16">
        <v>13080532.2522</v>
      </c>
      <c r="E402" s="16">
        <v>2028226.5499</v>
      </c>
      <c r="F402" s="17">
        <f t="shared" si="6"/>
        <v>15108758.8021</v>
      </c>
      <c r="G402" s="18"/>
      <c r="H402" s="18"/>
      <c r="I402" s="19"/>
      <c r="J402" s="19"/>
      <c r="K402" s="19"/>
      <c r="L402" s="19"/>
      <c r="M402" s="18"/>
      <c r="N402" s="18"/>
      <c r="O402" s="19"/>
      <c r="P402" s="19"/>
      <c r="Q402" s="19"/>
    </row>
    <row r="403" ht="18.75" spans="1:17">
      <c r="A403" s="14">
        <v>398</v>
      </c>
      <c r="B403" s="15" t="s">
        <v>106</v>
      </c>
      <c r="C403" s="15" t="s">
        <v>150</v>
      </c>
      <c r="D403" s="16">
        <v>10792699.8871</v>
      </c>
      <c r="E403" s="16">
        <v>1673482.3961</v>
      </c>
      <c r="F403" s="17">
        <f t="shared" si="6"/>
        <v>12466182.2832</v>
      </c>
      <c r="G403" s="18"/>
      <c r="H403" s="18"/>
      <c r="I403" s="19"/>
      <c r="J403" s="19"/>
      <c r="K403" s="19"/>
      <c r="L403" s="19"/>
      <c r="M403" s="18"/>
      <c r="N403" s="18"/>
      <c r="O403" s="19"/>
      <c r="P403" s="19"/>
      <c r="Q403" s="19"/>
    </row>
    <row r="404" ht="18.75" spans="1:17">
      <c r="A404" s="14">
        <v>399</v>
      </c>
      <c r="B404" s="15" t="s">
        <v>106</v>
      </c>
      <c r="C404" s="15" t="s">
        <v>152</v>
      </c>
      <c r="D404" s="16">
        <v>13660134.6625</v>
      </c>
      <c r="E404" s="16">
        <v>2118097.8926</v>
      </c>
      <c r="F404" s="17">
        <f t="shared" si="6"/>
        <v>15778232.5551</v>
      </c>
      <c r="G404" s="18"/>
      <c r="H404" s="18"/>
      <c r="I404" s="19"/>
      <c r="J404" s="19"/>
      <c r="K404" s="19"/>
      <c r="L404" s="19"/>
      <c r="M404" s="18"/>
      <c r="N404" s="18"/>
      <c r="O404" s="19"/>
      <c r="P404" s="19"/>
      <c r="Q404" s="19"/>
    </row>
    <row r="405" ht="18.75" spans="1:17">
      <c r="A405" s="14">
        <v>400</v>
      </c>
      <c r="B405" s="15" t="s">
        <v>106</v>
      </c>
      <c r="C405" s="15" t="s">
        <v>154</v>
      </c>
      <c r="D405" s="16">
        <v>11995788.1189</v>
      </c>
      <c r="E405" s="16">
        <v>1860029.5065</v>
      </c>
      <c r="F405" s="17">
        <f t="shared" si="6"/>
        <v>13855817.6254</v>
      </c>
      <c r="G405" s="18"/>
      <c r="H405" s="18"/>
      <c r="I405" s="19"/>
      <c r="J405" s="19"/>
      <c r="K405" s="19"/>
      <c r="L405" s="19"/>
      <c r="M405" s="18"/>
      <c r="N405" s="18"/>
      <c r="O405" s="19"/>
      <c r="P405" s="19"/>
      <c r="Q405" s="19"/>
    </row>
    <row r="406" ht="18.75" spans="1:17">
      <c r="A406" s="14">
        <v>401</v>
      </c>
      <c r="B406" s="15" t="s">
        <v>106</v>
      </c>
      <c r="C406" s="15" t="s">
        <v>156</v>
      </c>
      <c r="D406" s="16">
        <v>12473863.8489</v>
      </c>
      <c r="E406" s="16">
        <v>1934158.4387</v>
      </c>
      <c r="F406" s="17">
        <f t="shared" si="6"/>
        <v>14408022.2876</v>
      </c>
      <c r="G406" s="18"/>
      <c r="H406" s="18"/>
      <c r="I406" s="19"/>
      <c r="J406" s="19"/>
      <c r="K406" s="19"/>
      <c r="L406" s="19"/>
      <c r="M406" s="18"/>
      <c r="N406" s="18"/>
      <c r="O406" s="19"/>
      <c r="P406" s="19"/>
      <c r="Q406" s="19"/>
    </row>
    <row r="407" ht="18.75" spans="1:17">
      <c r="A407" s="14">
        <v>402</v>
      </c>
      <c r="B407" s="15" t="s">
        <v>106</v>
      </c>
      <c r="C407" s="15" t="s">
        <v>158</v>
      </c>
      <c r="D407" s="16">
        <v>9820093.2428</v>
      </c>
      <c r="E407" s="16">
        <v>1522673.0422</v>
      </c>
      <c r="F407" s="17">
        <f t="shared" si="6"/>
        <v>11342766.285</v>
      </c>
      <c r="G407" s="18"/>
      <c r="H407" s="18"/>
      <c r="I407" s="19"/>
      <c r="J407" s="19"/>
      <c r="K407" s="19"/>
      <c r="L407" s="19"/>
      <c r="M407" s="18"/>
      <c r="N407" s="18"/>
      <c r="O407" s="19"/>
      <c r="P407" s="19"/>
      <c r="Q407" s="19"/>
    </row>
    <row r="408" ht="18.75" spans="1:17">
      <c r="A408" s="14">
        <v>403</v>
      </c>
      <c r="B408" s="15" t="s">
        <v>106</v>
      </c>
      <c r="C408" s="15" t="s">
        <v>160</v>
      </c>
      <c r="D408" s="16">
        <v>10827001.541</v>
      </c>
      <c r="E408" s="16">
        <v>1678801.1036</v>
      </c>
      <c r="F408" s="17">
        <f t="shared" si="6"/>
        <v>12505802.6446</v>
      </c>
      <c r="G408" s="18"/>
      <c r="H408" s="18"/>
      <c r="I408" s="19"/>
      <c r="J408" s="19"/>
      <c r="K408" s="19"/>
      <c r="L408" s="19"/>
      <c r="M408" s="18"/>
      <c r="N408" s="18"/>
      <c r="O408" s="19"/>
      <c r="P408" s="19"/>
      <c r="Q408" s="19"/>
    </row>
    <row r="409" ht="18.75" spans="1:17">
      <c r="A409" s="14">
        <v>404</v>
      </c>
      <c r="B409" s="15" t="s">
        <v>106</v>
      </c>
      <c r="C409" s="15" t="s">
        <v>162</v>
      </c>
      <c r="D409" s="16">
        <v>13350077.4116</v>
      </c>
      <c r="E409" s="16">
        <v>2070021.3819</v>
      </c>
      <c r="F409" s="17">
        <f t="shared" si="6"/>
        <v>15420098.7935</v>
      </c>
      <c r="G409" s="18"/>
      <c r="H409" s="18"/>
      <c r="I409" s="19"/>
      <c r="J409" s="19"/>
      <c r="K409" s="19"/>
      <c r="L409" s="19"/>
      <c r="M409" s="18"/>
      <c r="N409" s="18"/>
      <c r="O409" s="19"/>
      <c r="P409" s="19"/>
      <c r="Q409" s="19"/>
    </row>
    <row r="410" ht="18.75" spans="1:17">
      <c r="A410" s="14">
        <v>405</v>
      </c>
      <c r="B410" s="15" t="s">
        <v>106</v>
      </c>
      <c r="C410" s="15" t="s">
        <v>164</v>
      </c>
      <c r="D410" s="16">
        <v>15608532.5375</v>
      </c>
      <c r="E410" s="16">
        <v>2420210.3926</v>
      </c>
      <c r="F410" s="17">
        <f t="shared" si="6"/>
        <v>18028742.9301</v>
      </c>
      <c r="G410" s="18"/>
      <c r="H410" s="18"/>
      <c r="I410" s="19"/>
      <c r="J410" s="19"/>
      <c r="K410" s="19"/>
      <c r="L410" s="19"/>
      <c r="M410" s="18"/>
      <c r="N410" s="18"/>
      <c r="O410" s="19"/>
      <c r="P410" s="19"/>
      <c r="Q410" s="19"/>
    </row>
    <row r="411" ht="18.75" spans="1:17">
      <c r="A411" s="14">
        <v>406</v>
      </c>
      <c r="B411" s="15" t="s">
        <v>106</v>
      </c>
      <c r="C411" s="15" t="s">
        <v>166</v>
      </c>
      <c r="D411" s="16">
        <v>10186159.1082</v>
      </c>
      <c r="E411" s="16">
        <v>1579434.074</v>
      </c>
      <c r="F411" s="17">
        <f t="shared" si="6"/>
        <v>11765593.1822</v>
      </c>
      <c r="G411" s="18"/>
      <c r="H411" s="18"/>
      <c r="I411" s="19"/>
      <c r="J411" s="19"/>
      <c r="K411" s="19"/>
      <c r="L411" s="19"/>
      <c r="M411" s="18"/>
      <c r="N411" s="18"/>
      <c r="O411" s="19"/>
      <c r="P411" s="19"/>
      <c r="Q411" s="19"/>
    </row>
    <row r="412" ht="18.75" spans="1:17">
      <c r="A412" s="14">
        <v>407</v>
      </c>
      <c r="B412" s="15" t="s">
        <v>106</v>
      </c>
      <c r="C412" s="15" t="s">
        <v>169</v>
      </c>
      <c r="D412" s="16">
        <v>11977505.1608</v>
      </c>
      <c r="E412" s="16">
        <v>1857194.608</v>
      </c>
      <c r="F412" s="17">
        <f t="shared" si="6"/>
        <v>13834699.7688</v>
      </c>
      <c r="G412" s="18"/>
      <c r="H412" s="18"/>
      <c r="I412" s="19"/>
      <c r="J412" s="19"/>
      <c r="K412" s="19"/>
      <c r="L412" s="19"/>
      <c r="M412" s="18"/>
      <c r="N412" s="18"/>
      <c r="O412" s="19"/>
      <c r="P412" s="19"/>
      <c r="Q412" s="19"/>
    </row>
    <row r="413" ht="18.75" spans="1:17">
      <c r="A413" s="14">
        <v>408</v>
      </c>
      <c r="B413" s="15" t="s">
        <v>107</v>
      </c>
      <c r="C413" s="15" t="s">
        <v>173</v>
      </c>
      <c r="D413" s="16">
        <v>12170897.969</v>
      </c>
      <c r="E413" s="16">
        <v>1887181.4939</v>
      </c>
      <c r="F413" s="17">
        <f t="shared" si="6"/>
        <v>14058079.4629</v>
      </c>
      <c r="G413" s="18"/>
      <c r="H413" s="18"/>
      <c r="I413" s="19"/>
      <c r="J413" s="19"/>
      <c r="K413" s="19"/>
      <c r="L413" s="19"/>
      <c r="M413" s="18"/>
      <c r="N413" s="18"/>
      <c r="O413" s="19"/>
      <c r="P413" s="19"/>
      <c r="Q413" s="19"/>
    </row>
    <row r="414" ht="18.75" spans="1:17">
      <c r="A414" s="14">
        <v>409</v>
      </c>
      <c r="B414" s="15" t="s">
        <v>107</v>
      </c>
      <c r="C414" s="15" t="s">
        <v>175</v>
      </c>
      <c r="D414" s="16">
        <v>12541396.8172</v>
      </c>
      <c r="E414" s="16">
        <v>1944629.8902</v>
      </c>
      <c r="F414" s="17">
        <f t="shared" si="6"/>
        <v>14486026.7074</v>
      </c>
      <c r="G414" s="18"/>
      <c r="H414" s="18"/>
      <c r="I414" s="19"/>
      <c r="J414" s="19"/>
      <c r="K414" s="19"/>
      <c r="L414" s="19"/>
      <c r="M414" s="18"/>
      <c r="N414" s="18"/>
      <c r="O414" s="19"/>
      <c r="P414" s="19"/>
      <c r="Q414" s="19"/>
    </row>
    <row r="415" ht="18.75" spans="1:17">
      <c r="A415" s="14">
        <v>410</v>
      </c>
      <c r="B415" s="15" t="s">
        <v>107</v>
      </c>
      <c r="C415" s="15" t="s">
        <v>177</v>
      </c>
      <c r="D415" s="16">
        <v>13643854.9189</v>
      </c>
      <c r="E415" s="16">
        <v>2115573.6063</v>
      </c>
      <c r="F415" s="17">
        <f t="shared" si="6"/>
        <v>15759428.5252</v>
      </c>
      <c r="G415" s="18"/>
      <c r="H415" s="18"/>
      <c r="I415" s="19"/>
      <c r="J415" s="19"/>
      <c r="K415" s="19"/>
      <c r="L415" s="19"/>
      <c r="M415" s="18"/>
      <c r="N415" s="18"/>
      <c r="O415" s="19"/>
      <c r="P415" s="19"/>
      <c r="Q415" s="19"/>
    </row>
    <row r="416" ht="18.75" spans="1:17">
      <c r="A416" s="14">
        <v>411</v>
      </c>
      <c r="B416" s="15" t="s">
        <v>107</v>
      </c>
      <c r="C416" s="15" t="s">
        <v>179</v>
      </c>
      <c r="D416" s="16">
        <v>12792470.9087</v>
      </c>
      <c r="E416" s="16">
        <v>1983560.656</v>
      </c>
      <c r="F416" s="17">
        <f t="shared" si="6"/>
        <v>14776031.5647</v>
      </c>
      <c r="G416" s="18"/>
      <c r="H416" s="18"/>
      <c r="I416" s="19"/>
      <c r="J416" s="19"/>
      <c r="K416" s="19"/>
      <c r="L416" s="19"/>
      <c r="M416" s="18"/>
      <c r="N416" s="18"/>
      <c r="O416" s="19"/>
      <c r="P416" s="19"/>
      <c r="Q416" s="19"/>
    </row>
    <row r="417" ht="18.75" spans="1:17">
      <c r="A417" s="14">
        <v>412</v>
      </c>
      <c r="B417" s="15" t="s">
        <v>107</v>
      </c>
      <c r="C417" s="15" t="s">
        <v>181</v>
      </c>
      <c r="D417" s="16">
        <v>11963751.5749</v>
      </c>
      <c r="E417" s="16">
        <v>1855062.0199</v>
      </c>
      <c r="F417" s="17">
        <f t="shared" si="6"/>
        <v>13818813.5948</v>
      </c>
      <c r="G417" s="18"/>
      <c r="H417" s="18"/>
      <c r="I417" s="19"/>
      <c r="J417" s="19"/>
      <c r="K417" s="19"/>
      <c r="L417" s="19"/>
      <c r="M417" s="18"/>
      <c r="N417" s="18"/>
      <c r="O417" s="19"/>
      <c r="P417" s="19"/>
      <c r="Q417" s="19"/>
    </row>
    <row r="418" ht="18.75" spans="1:17">
      <c r="A418" s="14">
        <v>413</v>
      </c>
      <c r="B418" s="15" t="s">
        <v>107</v>
      </c>
      <c r="C418" s="15" t="s">
        <v>183</v>
      </c>
      <c r="D418" s="16">
        <v>11190710.4486</v>
      </c>
      <c r="E418" s="16">
        <v>1735196.6729</v>
      </c>
      <c r="F418" s="17">
        <f t="shared" si="6"/>
        <v>12925907.1215</v>
      </c>
      <c r="G418" s="18"/>
      <c r="H418" s="18"/>
      <c r="I418" s="19"/>
      <c r="J418" s="19"/>
      <c r="K418" s="19"/>
      <c r="L418" s="19"/>
      <c r="M418" s="18"/>
      <c r="N418" s="18"/>
      <c r="O418" s="19"/>
      <c r="P418" s="19"/>
      <c r="Q418" s="19"/>
    </row>
    <row r="419" ht="18.75" spans="1:17">
      <c r="A419" s="14">
        <v>414</v>
      </c>
      <c r="B419" s="15" t="s">
        <v>107</v>
      </c>
      <c r="C419" s="15" t="s">
        <v>185</v>
      </c>
      <c r="D419" s="16">
        <v>11227332.4114</v>
      </c>
      <c r="E419" s="16">
        <v>1740875.1603</v>
      </c>
      <c r="F419" s="17">
        <f t="shared" si="6"/>
        <v>12968207.5717</v>
      </c>
      <c r="G419" s="18"/>
      <c r="H419" s="18"/>
      <c r="I419" s="19"/>
      <c r="J419" s="19"/>
      <c r="K419" s="19"/>
      <c r="L419" s="19"/>
      <c r="M419" s="18"/>
      <c r="N419" s="18"/>
      <c r="O419" s="19"/>
      <c r="P419" s="19"/>
      <c r="Q419" s="19"/>
    </row>
    <row r="420" ht="18.75" spans="1:17">
      <c r="A420" s="14">
        <v>415</v>
      </c>
      <c r="B420" s="15" t="s">
        <v>107</v>
      </c>
      <c r="C420" s="15" t="s">
        <v>187</v>
      </c>
      <c r="D420" s="16">
        <v>12021103.2206</v>
      </c>
      <c r="E420" s="16">
        <v>1863954.7872</v>
      </c>
      <c r="F420" s="17">
        <f t="shared" si="6"/>
        <v>13885058.0078</v>
      </c>
      <c r="G420" s="18"/>
      <c r="H420" s="18"/>
      <c r="I420" s="19"/>
      <c r="J420" s="19"/>
      <c r="K420" s="19"/>
      <c r="L420" s="19"/>
      <c r="M420" s="18"/>
      <c r="N420" s="18"/>
      <c r="O420" s="19"/>
      <c r="P420" s="19"/>
      <c r="Q420" s="19"/>
    </row>
    <row r="421" ht="18.75" spans="1:17">
      <c r="A421" s="14">
        <v>416</v>
      </c>
      <c r="B421" s="15" t="s">
        <v>107</v>
      </c>
      <c r="C421" s="15" t="s">
        <v>189</v>
      </c>
      <c r="D421" s="16">
        <v>11275223.2804</v>
      </c>
      <c r="E421" s="16">
        <v>1748300.9691</v>
      </c>
      <c r="F421" s="17">
        <f t="shared" si="6"/>
        <v>13023524.2495</v>
      </c>
      <c r="G421" s="18"/>
      <c r="H421" s="18"/>
      <c r="I421" s="19"/>
      <c r="J421" s="19"/>
      <c r="K421" s="19"/>
      <c r="L421" s="19"/>
      <c r="M421" s="18"/>
      <c r="N421" s="18"/>
      <c r="O421" s="19"/>
      <c r="P421" s="19"/>
      <c r="Q421" s="19"/>
    </row>
    <row r="422" ht="18.75" spans="1:17">
      <c r="A422" s="14">
        <v>417</v>
      </c>
      <c r="B422" s="15" t="s">
        <v>107</v>
      </c>
      <c r="C422" s="15" t="s">
        <v>191</v>
      </c>
      <c r="D422" s="16">
        <v>13594463.9789</v>
      </c>
      <c r="E422" s="16">
        <v>2107915.2011</v>
      </c>
      <c r="F422" s="17">
        <f t="shared" si="6"/>
        <v>15702379.18</v>
      </c>
      <c r="G422" s="18"/>
      <c r="H422" s="18"/>
      <c r="I422" s="19"/>
      <c r="J422" s="19"/>
      <c r="K422" s="19"/>
      <c r="L422" s="19"/>
      <c r="M422" s="18"/>
      <c r="N422" s="18"/>
      <c r="O422" s="19"/>
      <c r="P422" s="19"/>
      <c r="Q422" s="19"/>
    </row>
    <row r="423" ht="18.75" spans="1:17">
      <c r="A423" s="14">
        <v>418</v>
      </c>
      <c r="B423" s="15" t="s">
        <v>107</v>
      </c>
      <c r="C423" s="15" t="s">
        <v>193</v>
      </c>
      <c r="D423" s="16">
        <v>11219743.678</v>
      </c>
      <c r="E423" s="16">
        <v>1739698.4749</v>
      </c>
      <c r="F423" s="17">
        <f t="shared" si="6"/>
        <v>12959442.1529</v>
      </c>
      <c r="G423" s="18"/>
      <c r="H423" s="18"/>
      <c r="I423" s="19"/>
      <c r="J423" s="19"/>
      <c r="K423" s="19"/>
      <c r="L423" s="19"/>
      <c r="M423" s="18"/>
      <c r="N423" s="18"/>
      <c r="O423" s="19"/>
      <c r="P423" s="19"/>
      <c r="Q423" s="19"/>
    </row>
    <row r="424" ht="18.75" spans="1:17">
      <c r="A424" s="14">
        <v>419</v>
      </c>
      <c r="B424" s="15" t="s">
        <v>107</v>
      </c>
      <c r="C424" s="15" t="s">
        <v>195</v>
      </c>
      <c r="D424" s="16">
        <v>12461454.4197</v>
      </c>
      <c r="E424" s="16">
        <v>1932234.2713</v>
      </c>
      <c r="F424" s="17">
        <f t="shared" si="6"/>
        <v>14393688.691</v>
      </c>
      <c r="G424" s="18"/>
      <c r="H424" s="18"/>
      <c r="I424" s="19"/>
      <c r="J424" s="19"/>
      <c r="K424" s="19"/>
      <c r="L424" s="19"/>
      <c r="M424" s="18"/>
      <c r="N424" s="18"/>
      <c r="O424" s="19"/>
      <c r="P424" s="19"/>
      <c r="Q424" s="19"/>
    </row>
    <row r="425" ht="18.75" spans="1:17">
      <c r="A425" s="14">
        <v>420</v>
      </c>
      <c r="B425" s="15" t="s">
        <v>107</v>
      </c>
      <c r="C425" s="15" t="s">
        <v>197</v>
      </c>
      <c r="D425" s="16">
        <v>13580160.2651</v>
      </c>
      <c r="E425" s="16">
        <v>2105697.3119</v>
      </c>
      <c r="F425" s="17">
        <f t="shared" si="6"/>
        <v>15685857.577</v>
      </c>
      <c r="G425" s="18"/>
      <c r="H425" s="18"/>
      <c r="I425" s="19"/>
      <c r="J425" s="19"/>
      <c r="K425" s="19"/>
      <c r="L425" s="19"/>
      <c r="M425" s="18"/>
      <c r="N425" s="18"/>
      <c r="O425" s="19"/>
      <c r="P425" s="19"/>
      <c r="Q425" s="19"/>
    </row>
    <row r="426" ht="18.75" spans="1:17">
      <c r="A426" s="14">
        <v>421</v>
      </c>
      <c r="B426" s="15" t="s">
        <v>107</v>
      </c>
      <c r="C426" s="15" t="s">
        <v>199</v>
      </c>
      <c r="D426" s="16">
        <v>13548407.049</v>
      </c>
      <c r="E426" s="16">
        <v>2100773.7572</v>
      </c>
      <c r="F426" s="17">
        <f t="shared" si="6"/>
        <v>15649180.8062</v>
      </c>
      <c r="G426" s="18"/>
      <c r="H426" s="18"/>
      <c r="I426" s="19"/>
      <c r="J426" s="19"/>
      <c r="K426" s="19"/>
      <c r="L426" s="19"/>
      <c r="M426" s="18"/>
      <c r="N426" s="18"/>
      <c r="O426" s="19"/>
      <c r="P426" s="19"/>
      <c r="Q426" s="19"/>
    </row>
    <row r="427" ht="18.75" spans="1:17">
      <c r="A427" s="14">
        <v>422</v>
      </c>
      <c r="B427" s="15" t="s">
        <v>107</v>
      </c>
      <c r="C427" s="15" t="s">
        <v>201</v>
      </c>
      <c r="D427" s="16">
        <v>11831219.5115</v>
      </c>
      <c r="E427" s="16">
        <v>1834512.0113</v>
      </c>
      <c r="F427" s="17">
        <f t="shared" si="6"/>
        <v>13665731.5228</v>
      </c>
      <c r="G427" s="18"/>
      <c r="H427" s="18"/>
      <c r="I427" s="19"/>
      <c r="J427" s="19"/>
      <c r="K427" s="19"/>
      <c r="L427" s="19"/>
      <c r="M427" s="18"/>
      <c r="N427" s="18"/>
      <c r="O427" s="19"/>
      <c r="P427" s="19"/>
      <c r="Q427" s="19"/>
    </row>
    <row r="428" ht="18.75" spans="1:17">
      <c r="A428" s="14">
        <v>423</v>
      </c>
      <c r="B428" s="15" t="s">
        <v>107</v>
      </c>
      <c r="C428" s="15" t="s">
        <v>203</v>
      </c>
      <c r="D428" s="16">
        <v>13328759.6963</v>
      </c>
      <c r="E428" s="16">
        <v>2066715.9235</v>
      </c>
      <c r="F428" s="17">
        <f t="shared" si="6"/>
        <v>15395475.6198</v>
      </c>
      <c r="G428" s="18"/>
      <c r="H428" s="18"/>
      <c r="I428" s="19"/>
      <c r="J428" s="19"/>
      <c r="K428" s="19"/>
      <c r="L428" s="19"/>
      <c r="M428" s="18"/>
      <c r="N428" s="18"/>
      <c r="O428" s="19"/>
      <c r="P428" s="19"/>
      <c r="Q428" s="19"/>
    </row>
    <row r="429" ht="18.75" spans="1:17">
      <c r="A429" s="14">
        <v>424</v>
      </c>
      <c r="B429" s="15" t="s">
        <v>107</v>
      </c>
      <c r="C429" s="15" t="s">
        <v>205</v>
      </c>
      <c r="D429" s="16">
        <v>13759094.3863</v>
      </c>
      <c r="E429" s="16">
        <v>2133442.2788</v>
      </c>
      <c r="F429" s="17">
        <f t="shared" si="6"/>
        <v>15892536.6651</v>
      </c>
      <c r="G429" s="18"/>
      <c r="H429" s="18"/>
      <c r="I429" s="19"/>
      <c r="J429" s="19"/>
      <c r="K429" s="19"/>
      <c r="L429" s="19"/>
      <c r="M429" s="18"/>
      <c r="N429" s="18"/>
      <c r="O429" s="19"/>
      <c r="P429" s="19"/>
      <c r="Q429" s="19"/>
    </row>
    <row r="430" ht="18.75" spans="1:17">
      <c r="A430" s="14">
        <v>425</v>
      </c>
      <c r="B430" s="15" t="s">
        <v>107</v>
      </c>
      <c r="C430" s="15" t="s">
        <v>207</v>
      </c>
      <c r="D430" s="16">
        <v>13171236.173</v>
      </c>
      <c r="E430" s="16">
        <v>2042290.8171</v>
      </c>
      <c r="F430" s="17">
        <f t="shared" si="6"/>
        <v>15213526.9901</v>
      </c>
      <c r="G430" s="18"/>
      <c r="H430" s="18"/>
      <c r="I430" s="19"/>
      <c r="J430" s="19"/>
      <c r="K430" s="19"/>
      <c r="L430" s="19"/>
      <c r="M430" s="18"/>
      <c r="N430" s="18"/>
      <c r="O430" s="19"/>
      <c r="P430" s="19"/>
      <c r="Q430" s="19"/>
    </row>
    <row r="431" ht="18.75" spans="1:17">
      <c r="A431" s="14">
        <v>426</v>
      </c>
      <c r="B431" s="15" t="s">
        <v>107</v>
      </c>
      <c r="C431" s="15" t="s">
        <v>209</v>
      </c>
      <c r="D431" s="16">
        <v>14443762.7742</v>
      </c>
      <c r="E431" s="16">
        <v>2239604.8245</v>
      </c>
      <c r="F431" s="17">
        <f t="shared" si="6"/>
        <v>16683367.5987</v>
      </c>
      <c r="G431" s="18"/>
      <c r="H431" s="18"/>
      <c r="I431" s="19"/>
      <c r="J431" s="19"/>
      <c r="K431" s="19"/>
      <c r="L431" s="19"/>
      <c r="M431" s="18"/>
      <c r="N431" s="18"/>
      <c r="O431" s="19"/>
      <c r="P431" s="19"/>
      <c r="Q431" s="19"/>
    </row>
    <row r="432" ht="18.75" spans="1:17">
      <c r="A432" s="14">
        <v>427</v>
      </c>
      <c r="B432" s="15" t="s">
        <v>107</v>
      </c>
      <c r="C432" s="15" t="s">
        <v>211</v>
      </c>
      <c r="D432" s="16">
        <v>11501893.1668</v>
      </c>
      <c r="E432" s="16">
        <v>1783447.695</v>
      </c>
      <c r="F432" s="17">
        <f t="shared" si="6"/>
        <v>13285340.8618</v>
      </c>
      <c r="G432" s="18"/>
      <c r="H432" s="18"/>
      <c r="I432" s="19"/>
      <c r="J432" s="19"/>
      <c r="K432" s="19"/>
      <c r="L432" s="19"/>
      <c r="M432" s="18"/>
      <c r="N432" s="18"/>
      <c r="O432" s="19"/>
      <c r="P432" s="19"/>
      <c r="Q432" s="19"/>
    </row>
    <row r="433" ht="18.75" spans="1:17">
      <c r="A433" s="14">
        <v>428</v>
      </c>
      <c r="B433" s="15" t="s">
        <v>107</v>
      </c>
      <c r="C433" s="15" t="s">
        <v>107</v>
      </c>
      <c r="D433" s="16">
        <v>15841146.702</v>
      </c>
      <c r="E433" s="16">
        <v>2456278.8197</v>
      </c>
      <c r="F433" s="17">
        <f t="shared" si="6"/>
        <v>18297425.5217</v>
      </c>
      <c r="G433" s="18"/>
      <c r="H433" s="18"/>
      <c r="I433" s="19"/>
      <c r="J433" s="19"/>
      <c r="K433" s="19"/>
      <c r="L433" s="19"/>
      <c r="M433" s="18"/>
      <c r="N433" s="18"/>
      <c r="O433" s="19"/>
      <c r="P433" s="19"/>
      <c r="Q433" s="19"/>
    </row>
    <row r="434" ht="18.75" spans="1:17">
      <c r="A434" s="14">
        <v>429</v>
      </c>
      <c r="B434" s="15" t="s">
        <v>107</v>
      </c>
      <c r="C434" s="15" t="s">
        <v>215</v>
      </c>
      <c r="D434" s="16">
        <v>11146511.7042</v>
      </c>
      <c r="E434" s="16">
        <v>1728343.3534</v>
      </c>
      <c r="F434" s="17">
        <f t="shared" si="6"/>
        <v>12874855.0576</v>
      </c>
      <c r="G434" s="18"/>
      <c r="H434" s="18"/>
      <c r="I434" s="19"/>
      <c r="J434" s="19"/>
      <c r="K434" s="19"/>
      <c r="L434" s="19"/>
      <c r="M434" s="18"/>
      <c r="N434" s="18"/>
      <c r="O434" s="19"/>
      <c r="P434" s="19"/>
      <c r="Q434" s="19"/>
    </row>
    <row r="435" ht="18.75" spans="1:17">
      <c r="A435" s="14">
        <v>430</v>
      </c>
      <c r="B435" s="15" t="s">
        <v>107</v>
      </c>
      <c r="C435" s="15" t="s">
        <v>217</v>
      </c>
      <c r="D435" s="16">
        <v>10530498.7549</v>
      </c>
      <c r="E435" s="16">
        <v>1632826.306</v>
      </c>
      <c r="F435" s="17">
        <f t="shared" si="6"/>
        <v>12163325.0609</v>
      </c>
      <c r="G435" s="18"/>
      <c r="H435" s="18"/>
      <c r="I435" s="19"/>
      <c r="J435" s="19"/>
      <c r="K435" s="19"/>
      <c r="L435" s="19"/>
      <c r="M435" s="18"/>
      <c r="N435" s="18"/>
      <c r="O435" s="19"/>
      <c r="P435" s="19"/>
      <c r="Q435" s="19"/>
    </row>
    <row r="436" ht="18.75" spans="1:17">
      <c r="A436" s="14">
        <v>431</v>
      </c>
      <c r="B436" s="15" t="s">
        <v>107</v>
      </c>
      <c r="C436" s="15" t="s">
        <v>219</v>
      </c>
      <c r="D436" s="16">
        <v>12810193.8949</v>
      </c>
      <c r="E436" s="16">
        <v>1986308.727</v>
      </c>
      <c r="F436" s="17">
        <f t="shared" si="6"/>
        <v>14796502.6219</v>
      </c>
      <c r="G436" s="18"/>
      <c r="H436" s="18"/>
      <c r="I436" s="19"/>
      <c r="J436" s="19"/>
      <c r="K436" s="19"/>
      <c r="L436" s="19"/>
      <c r="M436" s="18"/>
      <c r="N436" s="18"/>
      <c r="O436" s="19"/>
      <c r="P436" s="19"/>
      <c r="Q436" s="19"/>
    </row>
    <row r="437" ht="18.75" spans="1:17">
      <c r="A437" s="14">
        <v>432</v>
      </c>
      <c r="B437" s="15" t="s">
        <v>107</v>
      </c>
      <c r="C437" s="15" t="s">
        <v>221</v>
      </c>
      <c r="D437" s="16">
        <v>12747681.2111</v>
      </c>
      <c r="E437" s="16">
        <v>1976615.7052</v>
      </c>
      <c r="F437" s="17">
        <f t="shared" si="6"/>
        <v>14724296.9163</v>
      </c>
      <c r="G437" s="18"/>
      <c r="H437" s="18"/>
      <c r="I437" s="19"/>
      <c r="J437" s="19"/>
      <c r="K437" s="19"/>
      <c r="L437" s="19"/>
      <c r="M437" s="18"/>
      <c r="N437" s="18"/>
      <c r="O437" s="19"/>
      <c r="P437" s="19"/>
      <c r="Q437" s="19"/>
    </row>
    <row r="438" ht="18.75" spans="1:17">
      <c r="A438" s="14">
        <v>433</v>
      </c>
      <c r="B438" s="15" t="s">
        <v>107</v>
      </c>
      <c r="C438" s="15" t="s">
        <v>223</v>
      </c>
      <c r="D438" s="16">
        <v>12092091.7295</v>
      </c>
      <c r="E438" s="16">
        <v>1874962.0441</v>
      </c>
      <c r="F438" s="17">
        <f t="shared" si="6"/>
        <v>13967053.7736</v>
      </c>
      <c r="G438" s="18"/>
      <c r="H438" s="18"/>
      <c r="I438" s="19"/>
      <c r="J438" s="19"/>
      <c r="K438" s="19"/>
      <c r="L438" s="19"/>
      <c r="M438" s="18"/>
      <c r="N438" s="18"/>
      <c r="O438" s="19"/>
      <c r="P438" s="19"/>
      <c r="Q438" s="19"/>
    </row>
    <row r="439" ht="18.75" spans="1:17">
      <c r="A439" s="14">
        <v>434</v>
      </c>
      <c r="B439" s="15" t="s">
        <v>107</v>
      </c>
      <c r="C439" s="15" t="s">
        <v>225</v>
      </c>
      <c r="D439" s="16">
        <v>12346053.143</v>
      </c>
      <c r="E439" s="16">
        <v>1914340.5091</v>
      </c>
      <c r="F439" s="17">
        <f t="shared" si="6"/>
        <v>14260393.6521</v>
      </c>
      <c r="G439" s="18"/>
      <c r="H439" s="18"/>
      <c r="I439" s="19"/>
      <c r="J439" s="19"/>
      <c r="K439" s="19"/>
      <c r="L439" s="19"/>
      <c r="M439" s="18"/>
      <c r="N439" s="18"/>
      <c r="O439" s="19"/>
      <c r="P439" s="19"/>
      <c r="Q439" s="19"/>
    </row>
    <row r="440" ht="18.75" spans="1:17">
      <c r="A440" s="14">
        <v>435</v>
      </c>
      <c r="B440" s="15" t="s">
        <v>107</v>
      </c>
      <c r="C440" s="15" t="s">
        <v>227</v>
      </c>
      <c r="D440" s="16">
        <v>10399260.5841</v>
      </c>
      <c r="E440" s="16">
        <v>1612476.9244</v>
      </c>
      <c r="F440" s="17">
        <f t="shared" si="6"/>
        <v>12011737.5085</v>
      </c>
      <c r="G440" s="18"/>
      <c r="H440" s="18"/>
      <c r="I440" s="19"/>
      <c r="J440" s="19"/>
      <c r="K440" s="19"/>
      <c r="L440" s="19"/>
      <c r="M440" s="18"/>
      <c r="N440" s="18"/>
      <c r="O440" s="19"/>
      <c r="P440" s="19"/>
      <c r="Q440" s="19"/>
    </row>
    <row r="441" ht="18.75" spans="1:17">
      <c r="A441" s="14">
        <v>436</v>
      </c>
      <c r="B441" s="15" t="s">
        <v>107</v>
      </c>
      <c r="C441" s="15" t="s">
        <v>229</v>
      </c>
      <c r="D441" s="16">
        <v>12443373.2239</v>
      </c>
      <c r="E441" s="16">
        <v>1929430.6574</v>
      </c>
      <c r="F441" s="17">
        <f t="shared" si="6"/>
        <v>14372803.8813</v>
      </c>
      <c r="G441" s="18"/>
      <c r="H441" s="18"/>
      <c r="I441" s="19"/>
      <c r="J441" s="19"/>
      <c r="K441" s="19"/>
      <c r="L441" s="19"/>
      <c r="M441" s="18"/>
      <c r="N441" s="18"/>
      <c r="O441" s="19"/>
      <c r="P441" s="19"/>
      <c r="Q441" s="19"/>
    </row>
    <row r="442" ht="18.75" spans="1:17">
      <c r="A442" s="14">
        <v>437</v>
      </c>
      <c r="B442" s="15" t="s">
        <v>107</v>
      </c>
      <c r="C442" s="15" t="s">
        <v>231</v>
      </c>
      <c r="D442" s="16">
        <v>11224671.604</v>
      </c>
      <c r="E442" s="16">
        <v>1740462.5838</v>
      </c>
      <c r="F442" s="17">
        <f t="shared" si="6"/>
        <v>12965134.1878</v>
      </c>
      <c r="G442" s="18"/>
      <c r="H442" s="18"/>
      <c r="I442" s="19"/>
      <c r="J442" s="19"/>
      <c r="K442" s="19"/>
      <c r="L442" s="19"/>
      <c r="M442" s="18"/>
      <c r="N442" s="18"/>
      <c r="O442" s="19"/>
      <c r="P442" s="19"/>
      <c r="Q442" s="19"/>
    </row>
    <row r="443" ht="18.75" spans="1:17">
      <c r="A443" s="14">
        <v>438</v>
      </c>
      <c r="B443" s="15" t="s">
        <v>107</v>
      </c>
      <c r="C443" s="15" t="s">
        <v>233</v>
      </c>
      <c r="D443" s="16">
        <v>11629743.7502</v>
      </c>
      <c r="E443" s="16">
        <v>1803271.8079</v>
      </c>
      <c r="F443" s="17">
        <f t="shared" si="6"/>
        <v>13433015.5581</v>
      </c>
      <c r="G443" s="18"/>
      <c r="H443" s="18"/>
      <c r="I443" s="19"/>
      <c r="J443" s="19"/>
      <c r="K443" s="19"/>
      <c r="L443" s="19"/>
      <c r="M443" s="18"/>
      <c r="N443" s="18"/>
      <c r="O443" s="19"/>
      <c r="P443" s="19"/>
      <c r="Q443" s="19"/>
    </row>
    <row r="444" ht="18.75" spans="1:17">
      <c r="A444" s="14">
        <v>439</v>
      </c>
      <c r="B444" s="15" t="s">
        <v>107</v>
      </c>
      <c r="C444" s="15" t="s">
        <v>235</v>
      </c>
      <c r="D444" s="16">
        <v>12478476.3031</v>
      </c>
      <c r="E444" s="16">
        <v>1934873.6314</v>
      </c>
      <c r="F444" s="17">
        <f t="shared" si="6"/>
        <v>14413349.9345</v>
      </c>
      <c r="G444" s="18"/>
      <c r="H444" s="18"/>
      <c r="I444" s="19"/>
      <c r="J444" s="19"/>
      <c r="K444" s="19"/>
      <c r="L444" s="19"/>
      <c r="M444" s="18"/>
      <c r="N444" s="18"/>
      <c r="O444" s="19"/>
      <c r="P444" s="19"/>
      <c r="Q444" s="19"/>
    </row>
    <row r="445" ht="18.75" spans="1:17">
      <c r="A445" s="14">
        <v>440</v>
      </c>
      <c r="B445" s="15" t="s">
        <v>107</v>
      </c>
      <c r="C445" s="15" t="s">
        <v>237</v>
      </c>
      <c r="D445" s="16">
        <v>12093994.1733</v>
      </c>
      <c r="E445" s="16">
        <v>1875257.0311</v>
      </c>
      <c r="F445" s="17">
        <f t="shared" si="6"/>
        <v>13969251.2044</v>
      </c>
      <c r="G445" s="18"/>
      <c r="H445" s="18"/>
      <c r="I445" s="19"/>
      <c r="J445" s="19"/>
      <c r="K445" s="19"/>
      <c r="L445" s="19"/>
      <c r="M445" s="18"/>
      <c r="N445" s="18"/>
      <c r="O445" s="19"/>
      <c r="P445" s="19"/>
      <c r="Q445" s="19"/>
    </row>
    <row r="446" ht="18.75" spans="1:17">
      <c r="A446" s="14">
        <v>441</v>
      </c>
      <c r="B446" s="15" t="s">
        <v>107</v>
      </c>
      <c r="C446" s="15" t="s">
        <v>239</v>
      </c>
      <c r="D446" s="16">
        <v>11853106.5747</v>
      </c>
      <c r="E446" s="16">
        <v>1837905.7511</v>
      </c>
      <c r="F446" s="17">
        <f t="shared" si="6"/>
        <v>13691012.3258</v>
      </c>
      <c r="G446" s="18"/>
      <c r="H446" s="18"/>
      <c r="I446" s="19"/>
      <c r="J446" s="19"/>
      <c r="K446" s="19"/>
      <c r="L446" s="19"/>
      <c r="M446" s="18"/>
      <c r="N446" s="18"/>
      <c r="O446" s="19"/>
      <c r="P446" s="19"/>
      <c r="Q446" s="19"/>
    </row>
    <row r="447" ht="18.75" spans="1:17">
      <c r="A447" s="14">
        <v>442</v>
      </c>
      <c r="B447" s="15" t="s">
        <v>108</v>
      </c>
      <c r="C447" s="15" t="s">
        <v>243</v>
      </c>
      <c r="D447" s="16">
        <v>9490353.8609</v>
      </c>
      <c r="E447" s="16">
        <v>1471544.6816</v>
      </c>
      <c r="F447" s="17">
        <f t="shared" si="6"/>
        <v>10961898.5425</v>
      </c>
      <c r="G447" s="18"/>
      <c r="H447" s="18"/>
      <c r="I447" s="19"/>
      <c r="J447" s="19"/>
      <c r="K447" s="19"/>
      <c r="L447" s="19"/>
      <c r="M447" s="18"/>
      <c r="N447" s="18"/>
      <c r="O447" s="19"/>
      <c r="P447" s="19"/>
      <c r="Q447" s="19"/>
    </row>
    <row r="448" ht="18.75" spans="1:17">
      <c r="A448" s="14">
        <v>443</v>
      </c>
      <c r="B448" s="15" t="s">
        <v>108</v>
      </c>
      <c r="C448" s="15" t="s">
        <v>245</v>
      </c>
      <c r="D448" s="16">
        <v>15506862.3958</v>
      </c>
      <c r="E448" s="16">
        <v>2404445.7374</v>
      </c>
      <c r="F448" s="17">
        <f t="shared" si="6"/>
        <v>17911308.1332</v>
      </c>
      <c r="G448" s="18"/>
      <c r="H448" s="18"/>
      <c r="I448" s="19"/>
      <c r="J448" s="19"/>
      <c r="K448" s="19"/>
      <c r="L448" s="19"/>
      <c r="M448" s="18"/>
      <c r="N448" s="18"/>
      <c r="O448" s="19"/>
      <c r="P448" s="19"/>
      <c r="Q448" s="19"/>
    </row>
    <row r="449" ht="18.75" spans="1:17">
      <c r="A449" s="14">
        <v>444</v>
      </c>
      <c r="B449" s="15" t="s">
        <v>108</v>
      </c>
      <c r="C449" s="15" t="s">
        <v>247</v>
      </c>
      <c r="D449" s="16">
        <v>13061302.3325</v>
      </c>
      <c r="E449" s="16">
        <v>2025244.8185</v>
      </c>
      <c r="F449" s="17">
        <f t="shared" si="6"/>
        <v>15086547.151</v>
      </c>
      <c r="G449" s="18"/>
      <c r="H449" s="18"/>
      <c r="I449" s="19"/>
      <c r="J449" s="19"/>
      <c r="K449" s="19"/>
      <c r="L449" s="19"/>
      <c r="M449" s="18"/>
      <c r="N449" s="18"/>
      <c r="O449" s="19"/>
      <c r="P449" s="19"/>
      <c r="Q449" s="19"/>
    </row>
    <row r="450" ht="18.75" spans="1:17">
      <c r="A450" s="14">
        <v>445</v>
      </c>
      <c r="B450" s="15" t="s">
        <v>108</v>
      </c>
      <c r="C450" s="15" t="s">
        <v>249</v>
      </c>
      <c r="D450" s="16">
        <v>10784304.6839</v>
      </c>
      <c r="E450" s="16">
        <v>1672180.6621</v>
      </c>
      <c r="F450" s="17">
        <f t="shared" si="6"/>
        <v>12456485.346</v>
      </c>
      <c r="G450" s="18"/>
      <c r="H450" s="18"/>
      <c r="I450" s="19"/>
      <c r="J450" s="19"/>
      <c r="K450" s="19"/>
      <c r="L450" s="19"/>
      <c r="M450" s="18"/>
      <c r="N450" s="18"/>
      <c r="O450" s="19"/>
      <c r="P450" s="19"/>
      <c r="Q450" s="19"/>
    </row>
    <row r="451" ht="18.75" spans="1:17">
      <c r="A451" s="14">
        <v>446</v>
      </c>
      <c r="B451" s="15" t="s">
        <v>108</v>
      </c>
      <c r="C451" s="15" t="s">
        <v>251</v>
      </c>
      <c r="D451" s="16">
        <v>14362591.6036</v>
      </c>
      <c r="E451" s="16">
        <v>2227018.6758</v>
      </c>
      <c r="F451" s="17">
        <f t="shared" si="6"/>
        <v>16589610.2794</v>
      </c>
      <c r="G451" s="18"/>
      <c r="H451" s="18"/>
      <c r="I451" s="19"/>
      <c r="J451" s="19"/>
      <c r="K451" s="19"/>
      <c r="L451" s="19"/>
      <c r="M451" s="18"/>
      <c r="N451" s="18"/>
      <c r="O451" s="19"/>
      <c r="P451" s="19"/>
      <c r="Q451" s="19"/>
    </row>
    <row r="452" ht="18.75" spans="1:17">
      <c r="A452" s="14">
        <v>447</v>
      </c>
      <c r="B452" s="15" t="s">
        <v>108</v>
      </c>
      <c r="C452" s="15" t="s">
        <v>253</v>
      </c>
      <c r="D452" s="16">
        <v>17571761.9979</v>
      </c>
      <c r="E452" s="16">
        <v>2724622.6319</v>
      </c>
      <c r="F452" s="17">
        <f t="shared" si="6"/>
        <v>20296384.6298</v>
      </c>
      <c r="G452" s="18"/>
      <c r="H452" s="18"/>
      <c r="I452" s="19"/>
      <c r="J452" s="19"/>
      <c r="K452" s="19"/>
      <c r="L452" s="19"/>
      <c r="M452" s="18"/>
      <c r="N452" s="18"/>
      <c r="O452" s="19"/>
      <c r="P452" s="19"/>
      <c r="Q452" s="19"/>
    </row>
    <row r="453" ht="18.75" spans="1:17">
      <c r="A453" s="14">
        <v>448</v>
      </c>
      <c r="B453" s="15" t="s">
        <v>108</v>
      </c>
      <c r="C453" s="15" t="s">
        <v>255</v>
      </c>
      <c r="D453" s="16">
        <v>11971155.1835</v>
      </c>
      <c r="E453" s="16">
        <v>1856210.0003</v>
      </c>
      <c r="F453" s="17">
        <f t="shared" si="6"/>
        <v>13827365.1838</v>
      </c>
      <c r="G453" s="18"/>
      <c r="H453" s="18"/>
      <c r="I453" s="19"/>
      <c r="J453" s="19"/>
      <c r="K453" s="19"/>
      <c r="L453" s="19"/>
      <c r="M453" s="18"/>
      <c r="N453" s="18"/>
      <c r="O453" s="19"/>
      <c r="P453" s="19"/>
      <c r="Q453" s="19"/>
    </row>
    <row r="454" ht="18.75" spans="1:17">
      <c r="A454" s="14">
        <v>449</v>
      </c>
      <c r="B454" s="15" t="s">
        <v>108</v>
      </c>
      <c r="C454" s="15" t="s">
        <v>257</v>
      </c>
      <c r="D454" s="16">
        <v>12717613.7621</v>
      </c>
      <c r="E454" s="16">
        <v>1971953.5403</v>
      </c>
      <c r="F454" s="17">
        <f t="shared" si="6"/>
        <v>14689567.3024</v>
      </c>
      <c r="G454" s="18"/>
      <c r="H454" s="18"/>
      <c r="I454" s="19"/>
      <c r="J454" s="19"/>
      <c r="K454" s="19"/>
      <c r="L454" s="19"/>
      <c r="M454" s="18"/>
      <c r="N454" s="18"/>
      <c r="O454" s="19"/>
      <c r="P454" s="19"/>
      <c r="Q454" s="19"/>
    </row>
    <row r="455" ht="37.5" spans="1:17">
      <c r="A455" s="14">
        <v>450</v>
      </c>
      <c r="B455" s="15" t="s">
        <v>108</v>
      </c>
      <c r="C455" s="15" t="s">
        <v>259</v>
      </c>
      <c r="D455" s="16">
        <v>15799268.4212</v>
      </c>
      <c r="E455" s="16">
        <v>2449785.3041</v>
      </c>
      <c r="F455" s="17">
        <f t="shared" ref="F455:F518" si="7">D455+E455</f>
        <v>18249053.7253</v>
      </c>
      <c r="G455" s="18"/>
      <c r="H455" s="18"/>
      <c r="I455" s="19"/>
      <c r="J455" s="19"/>
      <c r="K455" s="19"/>
      <c r="L455" s="19"/>
      <c r="M455" s="18"/>
      <c r="N455" s="18"/>
      <c r="O455" s="19"/>
      <c r="P455" s="19"/>
      <c r="Q455" s="19"/>
    </row>
    <row r="456" ht="18.75" spans="1:17">
      <c r="A456" s="14">
        <v>451</v>
      </c>
      <c r="B456" s="15" t="s">
        <v>108</v>
      </c>
      <c r="C456" s="15" t="s">
        <v>261</v>
      </c>
      <c r="D456" s="16">
        <v>11001146.921</v>
      </c>
      <c r="E456" s="16">
        <v>1705803.5433</v>
      </c>
      <c r="F456" s="17">
        <f t="shared" si="7"/>
        <v>12706950.4643</v>
      </c>
      <c r="G456" s="18"/>
      <c r="H456" s="18"/>
      <c r="I456" s="19"/>
      <c r="J456" s="19"/>
      <c r="K456" s="19"/>
      <c r="L456" s="19"/>
      <c r="M456" s="18"/>
      <c r="N456" s="18"/>
      <c r="O456" s="19"/>
      <c r="P456" s="19"/>
      <c r="Q456" s="19"/>
    </row>
    <row r="457" ht="18.75" spans="1:17">
      <c r="A457" s="14">
        <v>452</v>
      </c>
      <c r="B457" s="15" t="s">
        <v>108</v>
      </c>
      <c r="C457" s="15" t="s">
        <v>263</v>
      </c>
      <c r="D457" s="16">
        <v>11620082.2824</v>
      </c>
      <c r="E457" s="16">
        <v>1801773.7308</v>
      </c>
      <c r="F457" s="17">
        <f t="shared" si="7"/>
        <v>13421856.0132</v>
      </c>
      <c r="G457" s="18"/>
      <c r="H457" s="18"/>
      <c r="I457" s="19"/>
      <c r="J457" s="19"/>
      <c r="K457" s="19"/>
      <c r="L457" s="19"/>
      <c r="M457" s="18"/>
      <c r="N457" s="18"/>
      <c r="O457" s="19"/>
      <c r="P457" s="19"/>
      <c r="Q457" s="19"/>
    </row>
    <row r="458" ht="18.75" spans="1:17">
      <c r="A458" s="14">
        <v>453</v>
      </c>
      <c r="B458" s="15" t="s">
        <v>108</v>
      </c>
      <c r="C458" s="15" t="s">
        <v>265</v>
      </c>
      <c r="D458" s="16">
        <v>12819476.5381</v>
      </c>
      <c r="E458" s="16">
        <v>1987748.0647</v>
      </c>
      <c r="F458" s="17">
        <f t="shared" si="7"/>
        <v>14807224.6028</v>
      </c>
      <c r="G458" s="18"/>
      <c r="H458" s="18"/>
      <c r="I458" s="19"/>
      <c r="J458" s="19"/>
      <c r="K458" s="19"/>
      <c r="L458" s="19"/>
      <c r="M458" s="18"/>
      <c r="N458" s="18"/>
      <c r="O458" s="19"/>
      <c r="P458" s="19"/>
      <c r="Q458" s="19"/>
    </row>
    <row r="459" ht="18.75" spans="1:17">
      <c r="A459" s="14">
        <v>454</v>
      </c>
      <c r="B459" s="15" t="s">
        <v>108</v>
      </c>
      <c r="C459" s="15" t="s">
        <v>267</v>
      </c>
      <c r="D459" s="16">
        <v>10668604.6617</v>
      </c>
      <c r="E459" s="16">
        <v>1654240.5774</v>
      </c>
      <c r="F459" s="17">
        <f t="shared" si="7"/>
        <v>12322845.2391</v>
      </c>
      <c r="G459" s="18"/>
      <c r="H459" s="18"/>
      <c r="I459" s="19"/>
      <c r="J459" s="19"/>
      <c r="K459" s="19"/>
      <c r="L459" s="19"/>
      <c r="M459" s="18"/>
      <c r="N459" s="18"/>
      <c r="O459" s="19"/>
      <c r="P459" s="19"/>
      <c r="Q459" s="19"/>
    </row>
    <row r="460" ht="18.75" spans="1:17">
      <c r="A460" s="14">
        <v>455</v>
      </c>
      <c r="B460" s="15" t="s">
        <v>108</v>
      </c>
      <c r="C460" s="15" t="s">
        <v>269</v>
      </c>
      <c r="D460" s="16">
        <v>12242921.0749</v>
      </c>
      <c r="E460" s="16">
        <v>1898349.1722</v>
      </c>
      <c r="F460" s="17">
        <f t="shared" si="7"/>
        <v>14141270.2471</v>
      </c>
      <c r="G460" s="18"/>
      <c r="H460" s="18"/>
      <c r="I460" s="19"/>
      <c r="J460" s="19"/>
      <c r="K460" s="19"/>
      <c r="L460" s="19"/>
      <c r="M460" s="18"/>
      <c r="N460" s="18"/>
      <c r="O460" s="19"/>
      <c r="P460" s="19"/>
      <c r="Q460" s="19"/>
    </row>
    <row r="461" ht="18.75" spans="1:17">
      <c r="A461" s="14">
        <v>456</v>
      </c>
      <c r="B461" s="15" t="s">
        <v>108</v>
      </c>
      <c r="C461" s="15" t="s">
        <v>271</v>
      </c>
      <c r="D461" s="16">
        <v>14163900.4269</v>
      </c>
      <c r="E461" s="16">
        <v>2196210.2414</v>
      </c>
      <c r="F461" s="17">
        <f t="shared" si="7"/>
        <v>16360110.6683</v>
      </c>
      <c r="G461" s="18"/>
      <c r="H461" s="18"/>
      <c r="I461" s="19"/>
      <c r="J461" s="19"/>
      <c r="K461" s="19"/>
      <c r="L461" s="19"/>
      <c r="M461" s="18"/>
      <c r="N461" s="18"/>
      <c r="O461" s="19"/>
      <c r="P461" s="19"/>
      <c r="Q461" s="19"/>
    </row>
    <row r="462" ht="18.75" spans="1:17">
      <c r="A462" s="14">
        <v>457</v>
      </c>
      <c r="B462" s="15" t="s">
        <v>108</v>
      </c>
      <c r="C462" s="15" t="s">
        <v>273</v>
      </c>
      <c r="D462" s="16">
        <v>11348029.0674</v>
      </c>
      <c r="E462" s="16">
        <v>1759590.0075</v>
      </c>
      <c r="F462" s="17">
        <f t="shared" si="7"/>
        <v>13107619.0749</v>
      </c>
      <c r="G462" s="18"/>
      <c r="H462" s="18"/>
      <c r="I462" s="19"/>
      <c r="J462" s="19"/>
      <c r="K462" s="19"/>
      <c r="L462" s="19"/>
      <c r="M462" s="18"/>
      <c r="N462" s="18"/>
      <c r="O462" s="19"/>
      <c r="P462" s="19"/>
      <c r="Q462" s="19"/>
    </row>
    <row r="463" ht="18.75" spans="1:17">
      <c r="A463" s="14">
        <v>458</v>
      </c>
      <c r="B463" s="15" t="s">
        <v>108</v>
      </c>
      <c r="C463" s="15" t="s">
        <v>275</v>
      </c>
      <c r="D463" s="16">
        <v>11183128.7645</v>
      </c>
      <c r="E463" s="16">
        <v>1734021.0806</v>
      </c>
      <c r="F463" s="17">
        <f t="shared" si="7"/>
        <v>12917149.8451</v>
      </c>
      <c r="G463" s="18"/>
      <c r="H463" s="18"/>
      <c r="I463" s="19"/>
      <c r="J463" s="19"/>
      <c r="K463" s="19"/>
      <c r="L463" s="19"/>
      <c r="M463" s="18"/>
      <c r="N463" s="18"/>
      <c r="O463" s="19"/>
      <c r="P463" s="19"/>
      <c r="Q463" s="19"/>
    </row>
    <row r="464" ht="18.75" spans="1:17">
      <c r="A464" s="14">
        <v>459</v>
      </c>
      <c r="B464" s="15" t="s">
        <v>108</v>
      </c>
      <c r="C464" s="15" t="s">
        <v>278</v>
      </c>
      <c r="D464" s="16">
        <v>11605284.0171</v>
      </c>
      <c r="E464" s="16">
        <v>1799479.1579</v>
      </c>
      <c r="F464" s="17">
        <f t="shared" si="7"/>
        <v>13404763.175</v>
      </c>
      <c r="G464" s="18"/>
      <c r="H464" s="18"/>
      <c r="I464" s="19"/>
      <c r="J464" s="19"/>
      <c r="K464" s="19"/>
      <c r="L464" s="19"/>
      <c r="M464" s="18"/>
      <c r="N464" s="18"/>
      <c r="O464" s="19"/>
      <c r="P464" s="19"/>
      <c r="Q464" s="19"/>
    </row>
    <row r="465" ht="18.75" spans="1:17">
      <c r="A465" s="14">
        <v>460</v>
      </c>
      <c r="B465" s="15" t="s">
        <v>108</v>
      </c>
      <c r="C465" s="15" t="s">
        <v>280</v>
      </c>
      <c r="D465" s="16">
        <v>14040841.1192</v>
      </c>
      <c r="E465" s="16">
        <v>2177129.0488</v>
      </c>
      <c r="F465" s="17">
        <f t="shared" si="7"/>
        <v>16217970.168</v>
      </c>
      <c r="G465" s="18"/>
      <c r="H465" s="18"/>
      <c r="I465" s="19"/>
      <c r="J465" s="19"/>
      <c r="K465" s="19"/>
      <c r="L465" s="19"/>
      <c r="M465" s="18"/>
      <c r="N465" s="18"/>
      <c r="O465" s="19"/>
      <c r="P465" s="19"/>
      <c r="Q465" s="19"/>
    </row>
    <row r="466" ht="18.75" spans="1:17">
      <c r="A466" s="14">
        <v>461</v>
      </c>
      <c r="B466" s="15" t="s">
        <v>108</v>
      </c>
      <c r="C466" s="15" t="s">
        <v>282</v>
      </c>
      <c r="D466" s="16">
        <v>10789415.6983</v>
      </c>
      <c r="E466" s="16">
        <v>1672973.16</v>
      </c>
      <c r="F466" s="17">
        <f t="shared" si="7"/>
        <v>12462388.8583</v>
      </c>
      <c r="G466" s="18"/>
      <c r="H466" s="18"/>
      <c r="I466" s="19"/>
      <c r="J466" s="19"/>
      <c r="K466" s="19"/>
      <c r="L466" s="19"/>
      <c r="M466" s="18"/>
      <c r="N466" s="18"/>
      <c r="O466" s="19"/>
      <c r="P466" s="19"/>
      <c r="Q466" s="19"/>
    </row>
    <row r="467" ht="18.75" spans="1:17">
      <c r="A467" s="14">
        <v>462</v>
      </c>
      <c r="B467" s="15" t="s">
        <v>108</v>
      </c>
      <c r="C467" s="15" t="s">
        <v>284</v>
      </c>
      <c r="D467" s="16">
        <v>12887394.5718</v>
      </c>
      <c r="E467" s="16">
        <v>1998279.2233</v>
      </c>
      <c r="F467" s="17">
        <f t="shared" si="7"/>
        <v>14885673.7951</v>
      </c>
      <c r="G467" s="18"/>
      <c r="H467" s="18"/>
      <c r="I467" s="19"/>
      <c r="J467" s="19"/>
      <c r="K467" s="19"/>
      <c r="L467" s="19"/>
      <c r="M467" s="18"/>
      <c r="N467" s="18"/>
      <c r="O467" s="19"/>
      <c r="P467" s="19"/>
      <c r="Q467" s="19"/>
    </row>
    <row r="468" ht="18.75" spans="1:17">
      <c r="A468" s="14">
        <v>463</v>
      </c>
      <c r="B468" s="15" t="s">
        <v>109</v>
      </c>
      <c r="C468" s="15" t="s">
        <v>288</v>
      </c>
      <c r="D468" s="16">
        <v>13765587.4525</v>
      </c>
      <c r="E468" s="16">
        <v>2134449.0734</v>
      </c>
      <c r="F468" s="17">
        <f t="shared" si="7"/>
        <v>15900036.5259</v>
      </c>
      <c r="G468" s="18"/>
      <c r="H468" s="18"/>
      <c r="I468" s="19"/>
      <c r="J468" s="19"/>
      <c r="K468" s="19"/>
      <c r="L468" s="19"/>
      <c r="M468" s="18"/>
      <c r="N468" s="18"/>
      <c r="O468" s="19"/>
      <c r="P468" s="19"/>
      <c r="Q468" s="19"/>
    </row>
    <row r="469" ht="18.75" spans="1:17">
      <c r="A469" s="14">
        <v>464</v>
      </c>
      <c r="B469" s="15" t="s">
        <v>109</v>
      </c>
      <c r="C469" s="15" t="s">
        <v>290</v>
      </c>
      <c r="D469" s="16">
        <v>12171885.7243</v>
      </c>
      <c r="E469" s="16">
        <v>1887334.6521</v>
      </c>
      <c r="F469" s="17">
        <f t="shared" si="7"/>
        <v>14059220.3764</v>
      </c>
      <c r="G469" s="18"/>
      <c r="H469" s="18"/>
      <c r="I469" s="19"/>
      <c r="J469" s="19"/>
      <c r="K469" s="19"/>
      <c r="L469" s="19"/>
      <c r="M469" s="18"/>
      <c r="N469" s="18"/>
      <c r="O469" s="19"/>
      <c r="P469" s="19"/>
      <c r="Q469" s="19"/>
    </row>
    <row r="470" ht="18.75" spans="1:17">
      <c r="A470" s="14">
        <v>465</v>
      </c>
      <c r="B470" s="15" t="s">
        <v>109</v>
      </c>
      <c r="C470" s="15" t="s">
        <v>292</v>
      </c>
      <c r="D470" s="16">
        <v>15361509.6568</v>
      </c>
      <c r="E470" s="16">
        <v>2381907.7948</v>
      </c>
      <c r="F470" s="17">
        <f t="shared" si="7"/>
        <v>17743417.4516</v>
      </c>
      <c r="G470" s="18"/>
      <c r="H470" s="18"/>
      <c r="I470" s="19"/>
      <c r="J470" s="19"/>
      <c r="K470" s="19"/>
      <c r="L470" s="19"/>
      <c r="M470" s="18"/>
      <c r="N470" s="18"/>
      <c r="O470" s="19"/>
      <c r="P470" s="19"/>
      <c r="Q470" s="19"/>
    </row>
    <row r="471" ht="18.75" spans="1:17">
      <c r="A471" s="14">
        <v>466</v>
      </c>
      <c r="B471" s="15" t="s">
        <v>109</v>
      </c>
      <c r="C471" s="15" t="s">
        <v>294</v>
      </c>
      <c r="D471" s="16">
        <v>12163086.018</v>
      </c>
      <c r="E471" s="16">
        <v>1885970.1971</v>
      </c>
      <c r="F471" s="17">
        <f t="shared" si="7"/>
        <v>14049056.2151</v>
      </c>
      <c r="G471" s="18"/>
      <c r="H471" s="18"/>
      <c r="I471" s="19"/>
      <c r="J471" s="19"/>
      <c r="K471" s="19"/>
      <c r="L471" s="19"/>
      <c r="M471" s="18"/>
      <c r="N471" s="18"/>
      <c r="O471" s="19"/>
      <c r="P471" s="19"/>
      <c r="Q471" s="19"/>
    </row>
    <row r="472" ht="18.75" spans="1:17">
      <c r="A472" s="14">
        <v>467</v>
      </c>
      <c r="B472" s="15" t="s">
        <v>109</v>
      </c>
      <c r="C472" s="15" t="s">
        <v>296</v>
      </c>
      <c r="D472" s="16">
        <v>16630716.5422</v>
      </c>
      <c r="E472" s="16">
        <v>2578707.0575</v>
      </c>
      <c r="F472" s="17">
        <f t="shared" si="7"/>
        <v>19209423.5997</v>
      </c>
      <c r="G472" s="18"/>
      <c r="H472" s="18"/>
      <c r="I472" s="19"/>
      <c r="J472" s="19"/>
      <c r="K472" s="19"/>
      <c r="L472" s="19"/>
      <c r="M472" s="18"/>
      <c r="N472" s="18"/>
      <c r="O472" s="19"/>
      <c r="P472" s="19"/>
      <c r="Q472" s="19"/>
    </row>
    <row r="473" ht="18.75" spans="1:17">
      <c r="A473" s="14">
        <v>468</v>
      </c>
      <c r="B473" s="15" t="s">
        <v>109</v>
      </c>
      <c r="C473" s="15" t="s">
        <v>298</v>
      </c>
      <c r="D473" s="16">
        <v>12930503.825</v>
      </c>
      <c r="E473" s="16">
        <v>2004963.6097</v>
      </c>
      <c r="F473" s="17">
        <f t="shared" si="7"/>
        <v>14935467.4347</v>
      </c>
      <c r="G473" s="18"/>
      <c r="H473" s="18"/>
      <c r="I473" s="19"/>
      <c r="J473" s="19"/>
      <c r="K473" s="19"/>
      <c r="L473" s="19"/>
      <c r="M473" s="18"/>
      <c r="N473" s="18"/>
      <c r="O473" s="19"/>
      <c r="P473" s="19"/>
      <c r="Q473" s="19"/>
    </row>
    <row r="474" ht="18.75" spans="1:17">
      <c r="A474" s="14">
        <v>469</v>
      </c>
      <c r="B474" s="15" t="s">
        <v>109</v>
      </c>
      <c r="C474" s="15" t="s">
        <v>300</v>
      </c>
      <c r="D474" s="16">
        <v>10849867.019</v>
      </c>
      <c r="E474" s="16">
        <v>1682346.5534</v>
      </c>
      <c r="F474" s="17">
        <f t="shared" si="7"/>
        <v>12532213.5724</v>
      </c>
      <c r="G474" s="18"/>
      <c r="H474" s="18"/>
      <c r="I474" s="19"/>
      <c r="J474" s="19"/>
      <c r="K474" s="19"/>
      <c r="L474" s="19"/>
      <c r="M474" s="18"/>
      <c r="N474" s="18"/>
      <c r="O474" s="19"/>
      <c r="P474" s="19"/>
      <c r="Q474" s="19"/>
    </row>
    <row r="475" ht="18.75" spans="1:17">
      <c r="A475" s="14">
        <v>470</v>
      </c>
      <c r="B475" s="15" t="s">
        <v>109</v>
      </c>
      <c r="C475" s="15" t="s">
        <v>302</v>
      </c>
      <c r="D475" s="16">
        <v>12713892.0337</v>
      </c>
      <c r="E475" s="16">
        <v>1971376.4607</v>
      </c>
      <c r="F475" s="17">
        <f t="shared" si="7"/>
        <v>14685268.4944</v>
      </c>
      <c r="G475" s="18"/>
      <c r="H475" s="18"/>
      <c r="I475" s="19"/>
      <c r="J475" s="19"/>
      <c r="K475" s="19"/>
      <c r="L475" s="19"/>
      <c r="M475" s="18"/>
      <c r="N475" s="18"/>
      <c r="O475" s="19"/>
      <c r="P475" s="19"/>
      <c r="Q475" s="19"/>
    </row>
    <row r="476" ht="18.75" spans="1:17">
      <c r="A476" s="14">
        <v>471</v>
      </c>
      <c r="B476" s="15" t="s">
        <v>109</v>
      </c>
      <c r="C476" s="15" t="s">
        <v>304</v>
      </c>
      <c r="D476" s="16">
        <v>12468563.2847</v>
      </c>
      <c r="E476" s="16">
        <v>1933336.5497</v>
      </c>
      <c r="F476" s="17">
        <f t="shared" si="7"/>
        <v>14401899.8344</v>
      </c>
      <c r="G476" s="18"/>
      <c r="H476" s="18"/>
      <c r="I476" s="19"/>
      <c r="J476" s="19"/>
      <c r="K476" s="19"/>
      <c r="L476" s="19"/>
      <c r="M476" s="18"/>
      <c r="N476" s="18"/>
      <c r="O476" s="19"/>
      <c r="P476" s="19"/>
      <c r="Q476" s="19"/>
    </row>
    <row r="477" ht="18.75" spans="1:17">
      <c r="A477" s="14">
        <v>472</v>
      </c>
      <c r="B477" s="15" t="s">
        <v>109</v>
      </c>
      <c r="C477" s="15" t="s">
        <v>306</v>
      </c>
      <c r="D477" s="16">
        <v>13182100.2267</v>
      </c>
      <c r="E477" s="16">
        <v>2043975.3633</v>
      </c>
      <c r="F477" s="17">
        <f t="shared" si="7"/>
        <v>15226075.59</v>
      </c>
      <c r="G477" s="18"/>
      <c r="H477" s="18"/>
      <c r="I477" s="19"/>
      <c r="J477" s="19"/>
      <c r="K477" s="19"/>
      <c r="L477" s="19"/>
      <c r="M477" s="18"/>
      <c r="N477" s="18"/>
      <c r="O477" s="19"/>
      <c r="P477" s="19"/>
      <c r="Q477" s="19"/>
    </row>
    <row r="478" ht="18.75" spans="1:17">
      <c r="A478" s="14">
        <v>473</v>
      </c>
      <c r="B478" s="15" t="s">
        <v>109</v>
      </c>
      <c r="C478" s="15" t="s">
        <v>109</v>
      </c>
      <c r="D478" s="16">
        <v>11604052.8533</v>
      </c>
      <c r="E478" s="16">
        <v>1799288.2575</v>
      </c>
      <c r="F478" s="17">
        <f t="shared" si="7"/>
        <v>13403341.1108</v>
      </c>
      <c r="G478" s="18"/>
      <c r="H478" s="18"/>
      <c r="I478" s="19"/>
      <c r="J478" s="19"/>
      <c r="K478" s="19"/>
      <c r="L478" s="19"/>
      <c r="M478" s="18"/>
      <c r="N478" s="18"/>
      <c r="O478" s="19"/>
      <c r="P478" s="19"/>
      <c r="Q478" s="19"/>
    </row>
    <row r="479" ht="18.75" spans="1:17">
      <c r="A479" s="14">
        <v>474</v>
      </c>
      <c r="B479" s="15" t="s">
        <v>109</v>
      </c>
      <c r="C479" s="15" t="s">
        <v>309</v>
      </c>
      <c r="D479" s="16">
        <v>14814978.7563</v>
      </c>
      <c r="E479" s="16">
        <v>2297164.4173</v>
      </c>
      <c r="F479" s="17">
        <f t="shared" si="7"/>
        <v>17112143.1736</v>
      </c>
      <c r="G479" s="18"/>
      <c r="H479" s="18"/>
      <c r="I479" s="19"/>
      <c r="J479" s="19"/>
      <c r="K479" s="19"/>
      <c r="L479" s="19"/>
      <c r="M479" s="18"/>
      <c r="N479" s="18"/>
      <c r="O479" s="19"/>
      <c r="P479" s="19"/>
      <c r="Q479" s="19"/>
    </row>
    <row r="480" ht="18.75" spans="1:17">
      <c r="A480" s="14">
        <v>475</v>
      </c>
      <c r="B480" s="15" t="s">
        <v>109</v>
      </c>
      <c r="C480" s="15" t="s">
        <v>311</v>
      </c>
      <c r="D480" s="16">
        <v>9778770.1597</v>
      </c>
      <c r="E480" s="16">
        <v>1516265.6137</v>
      </c>
      <c r="F480" s="17">
        <f t="shared" si="7"/>
        <v>11295035.7734</v>
      </c>
      <c r="G480" s="18"/>
      <c r="H480" s="18"/>
      <c r="I480" s="19"/>
      <c r="J480" s="19"/>
      <c r="K480" s="19"/>
      <c r="L480" s="19"/>
      <c r="M480" s="18"/>
      <c r="N480" s="18"/>
      <c r="O480" s="19"/>
      <c r="P480" s="19"/>
      <c r="Q480" s="19"/>
    </row>
    <row r="481" ht="18.75" spans="1:17">
      <c r="A481" s="14">
        <v>476</v>
      </c>
      <c r="B481" s="15" t="s">
        <v>109</v>
      </c>
      <c r="C481" s="15" t="s">
        <v>313</v>
      </c>
      <c r="D481" s="16">
        <v>14216863.5225</v>
      </c>
      <c r="E481" s="16">
        <v>2204422.5339</v>
      </c>
      <c r="F481" s="17">
        <f t="shared" si="7"/>
        <v>16421286.0564</v>
      </c>
      <c r="G481" s="18"/>
      <c r="H481" s="18"/>
      <c r="I481" s="19"/>
      <c r="J481" s="19"/>
      <c r="K481" s="19"/>
      <c r="L481" s="19"/>
      <c r="M481" s="18"/>
      <c r="N481" s="18"/>
      <c r="O481" s="19"/>
      <c r="P481" s="19"/>
      <c r="Q481" s="19"/>
    </row>
    <row r="482" ht="37.5" spans="1:17">
      <c r="A482" s="14">
        <v>477</v>
      </c>
      <c r="B482" s="15" t="s">
        <v>109</v>
      </c>
      <c r="C482" s="15" t="s">
        <v>315</v>
      </c>
      <c r="D482" s="16">
        <v>9493458.0503</v>
      </c>
      <c r="E482" s="16">
        <v>1472026.0075</v>
      </c>
      <c r="F482" s="17">
        <f t="shared" si="7"/>
        <v>10965484.0578</v>
      </c>
      <c r="G482" s="18"/>
      <c r="H482" s="18"/>
      <c r="I482" s="19"/>
      <c r="J482" s="19"/>
      <c r="K482" s="19"/>
      <c r="L482" s="19"/>
      <c r="M482" s="18"/>
      <c r="N482" s="18"/>
      <c r="O482" s="19"/>
      <c r="P482" s="19"/>
      <c r="Q482" s="19"/>
    </row>
    <row r="483" ht="18.75" spans="1:17">
      <c r="A483" s="14">
        <v>478</v>
      </c>
      <c r="B483" s="15" t="s">
        <v>109</v>
      </c>
      <c r="C483" s="15" t="s">
        <v>317</v>
      </c>
      <c r="D483" s="16">
        <v>13763350.5917</v>
      </c>
      <c r="E483" s="16">
        <v>2134102.2328</v>
      </c>
      <c r="F483" s="17">
        <f t="shared" si="7"/>
        <v>15897452.8245</v>
      </c>
      <c r="G483" s="18"/>
      <c r="H483" s="18"/>
      <c r="I483" s="19"/>
      <c r="J483" s="19"/>
      <c r="K483" s="19"/>
      <c r="L483" s="19"/>
      <c r="M483" s="18"/>
      <c r="N483" s="18"/>
      <c r="O483" s="19"/>
      <c r="P483" s="19"/>
      <c r="Q483" s="19"/>
    </row>
    <row r="484" ht="18.75" spans="1:17">
      <c r="A484" s="14">
        <v>479</v>
      </c>
      <c r="B484" s="15" t="s">
        <v>109</v>
      </c>
      <c r="C484" s="15" t="s">
        <v>319</v>
      </c>
      <c r="D484" s="16">
        <v>17213299.7775</v>
      </c>
      <c r="E484" s="16">
        <v>2669040.5976</v>
      </c>
      <c r="F484" s="17">
        <f t="shared" si="7"/>
        <v>19882340.3751</v>
      </c>
      <c r="G484" s="18"/>
      <c r="H484" s="18"/>
      <c r="I484" s="19"/>
      <c r="J484" s="19"/>
      <c r="K484" s="19"/>
      <c r="L484" s="19"/>
      <c r="M484" s="18"/>
      <c r="N484" s="18"/>
      <c r="O484" s="19"/>
      <c r="P484" s="19"/>
      <c r="Q484" s="19"/>
    </row>
    <row r="485" ht="18.75" spans="1:17">
      <c r="A485" s="14">
        <v>480</v>
      </c>
      <c r="B485" s="15" t="s">
        <v>109</v>
      </c>
      <c r="C485" s="15" t="s">
        <v>322</v>
      </c>
      <c r="D485" s="16">
        <v>13002522.2813</v>
      </c>
      <c r="E485" s="16">
        <v>2016130.567</v>
      </c>
      <c r="F485" s="17">
        <f t="shared" si="7"/>
        <v>15018652.8483</v>
      </c>
      <c r="G485" s="18"/>
      <c r="H485" s="18"/>
      <c r="I485" s="19"/>
      <c r="J485" s="19"/>
      <c r="K485" s="19"/>
      <c r="L485" s="19"/>
      <c r="M485" s="18"/>
      <c r="N485" s="18"/>
      <c r="O485" s="19"/>
      <c r="P485" s="19"/>
      <c r="Q485" s="19"/>
    </row>
    <row r="486" ht="18.75" spans="1:17">
      <c r="A486" s="14">
        <v>481</v>
      </c>
      <c r="B486" s="15" t="s">
        <v>109</v>
      </c>
      <c r="C486" s="15" t="s">
        <v>323</v>
      </c>
      <c r="D486" s="16">
        <v>12311385.4836</v>
      </c>
      <c r="E486" s="16">
        <v>1908965.0499</v>
      </c>
      <c r="F486" s="17">
        <f t="shared" si="7"/>
        <v>14220350.5335</v>
      </c>
      <c r="G486" s="18"/>
      <c r="H486" s="18"/>
      <c r="I486" s="19"/>
      <c r="J486" s="19"/>
      <c r="K486" s="19"/>
      <c r="L486" s="19"/>
      <c r="M486" s="18"/>
      <c r="N486" s="18"/>
      <c r="O486" s="19"/>
      <c r="P486" s="19"/>
      <c r="Q486" s="19"/>
    </row>
    <row r="487" ht="18.75" spans="1:17">
      <c r="A487" s="14">
        <v>482</v>
      </c>
      <c r="B487" s="15" t="s">
        <v>109</v>
      </c>
      <c r="C487" s="15" t="s">
        <v>325</v>
      </c>
      <c r="D487" s="16">
        <v>13200781.7317</v>
      </c>
      <c r="E487" s="16">
        <v>2046872.0593</v>
      </c>
      <c r="F487" s="17">
        <f t="shared" si="7"/>
        <v>15247653.791</v>
      </c>
      <c r="G487" s="18"/>
      <c r="H487" s="18"/>
      <c r="I487" s="19"/>
      <c r="J487" s="19"/>
      <c r="K487" s="19"/>
      <c r="L487" s="19"/>
      <c r="M487" s="18"/>
      <c r="N487" s="18"/>
      <c r="O487" s="19"/>
      <c r="P487" s="19"/>
      <c r="Q487" s="19"/>
    </row>
    <row r="488" ht="18.75" spans="1:17">
      <c r="A488" s="14">
        <v>483</v>
      </c>
      <c r="B488" s="15" t="s">
        <v>109</v>
      </c>
      <c r="C488" s="15" t="s">
        <v>327</v>
      </c>
      <c r="D488" s="16">
        <v>12916509.0148</v>
      </c>
      <c r="E488" s="16">
        <v>2002793.6181</v>
      </c>
      <c r="F488" s="17">
        <f t="shared" si="7"/>
        <v>14919302.6329</v>
      </c>
      <c r="G488" s="18"/>
      <c r="H488" s="18"/>
      <c r="I488" s="19"/>
      <c r="J488" s="19"/>
      <c r="K488" s="19"/>
      <c r="L488" s="19"/>
      <c r="M488" s="18"/>
      <c r="N488" s="18"/>
      <c r="O488" s="19"/>
      <c r="P488" s="19"/>
      <c r="Q488" s="19"/>
    </row>
    <row r="489" ht="18.75" spans="1:17">
      <c r="A489" s="14">
        <v>484</v>
      </c>
      <c r="B489" s="15" t="s">
        <v>110</v>
      </c>
      <c r="C489" s="15" t="s">
        <v>331</v>
      </c>
      <c r="D489" s="16">
        <v>11155375.3709</v>
      </c>
      <c r="E489" s="16">
        <v>1729717.7259</v>
      </c>
      <c r="F489" s="17">
        <f t="shared" si="7"/>
        <v>12885093.0968</v>
      </c>
      <c r="G489" s="18"/>
      <c r="H489" s="18"/>
      <c r="I489" s="19"/>
      <c r="J489" s="19"/>
      <c r="K489" s="19"/>
      <c r="L489" s="19"/>
      <c r="M489" s="18"/>
      <c r="N489" s="18"/>
      <c r="O489" s="19"/>
      <c r="P489" s="19"/>
      <c r="Q489" s="19"/>
    </row>
    <row r="490" ht="18.75" spans="1:17">
      <c r="A490" s="14">
        <v>485</v>
      </c>
      <c r="B490" s="15" t="s">
        <v>110</v>
      </c>
      <c r="C490" s="15" t="s">
        <v>333</v>
      </c>
      <c r="D490" s="16">
        <v>18344368.1042</v>
      </c>
      <c r="E490" s="16">
        <v>2844420.526</v>
      </c>
      <c r="F490" s="17">
        <f t="shared" si="7"/>
        <v>21188788.6302</v>
      </c>
      <c r="G490" s="18"/>
      <c r="H490" s="18"/>
      <c r="I490" s="19"/>
      <c r="J490" s="19"/>
      <c r="K490" s="19"/>
      <c r="L490" s="19"/>
      <c r="M490" s="18"/>
      <c r="N490" s="18"/>
      <c r="O490" s="19"/>
      <c r="P490" s="19"/>
      <c r="Q490" s="19"/>
    </row>
    <row r="491" ht="18.75" spans="1:17">
      <c r="A491" s="14">
        <v>486</v>
      </c>
      <c r="B491" s="15" t="s">
        <v>110</v>
      </c>
      <c r="C491" s="15" t="s">
        <v>335</v>
      </c>
      <c r="D491" s="16">
        <v>14059806.6602</v>
      </c>
      <c r="E491" s="16">
        <v>2180069.7865</v>
      </c>
      <c r="F491" s="17">
        <f t="shared" si="7"/>
        <v>16239876.4467</v>
      </c>
      <c r="G491" s="18"/>
      <c r="H491" s="18"/>
      <c r="I491" s="19"/>
      <c r="J491" s="19"/>
      <c r="K491" s="19"/>
      <c r="L491" s="19"/>
      <c r="M491" s="18"/>
      <c r="N491" s="18"/>
      <c r="O491" s="19"/>
      <c r="P491" s="19"/>
      <c r="Q491" s="19"/>
    </row>
    <row r="492" ht="18.75" spans="1:17">
      <c r="A492" s="14">
        <v>487</v>
      </c>
      <c r="B492" s="15" t="s">
        <v>110</v>
      </c>
      <c r="C492" s="15" t="s">
        <v>100</v>
      </c>
      <c r="D492" s="16">
        <v>8562109.4769</v>
      </c>
      <c r="E492" s="16">
        <v>1327614.0014</v>
      </c>
      <c r="F492" s="17">
        <f t="shared" si="7"/>
        <v>9889723.4783</v>
      </c>
      <c r="G492" s="18"/>
      <c r="H492" s="18"/>
      <c r="I492" s="19"/>
      <c r="J492" s="19"/>
      <c r="K492" s="19"/>
      <c r="L492" s="19"/>
      <c r="M492" s="18"/>
      <c r="N492" s="18"/>
      <c r="O492" s="19"/>
      <c r="P492" s="19"/>
      <c r="Q492" s="19"/>
    </row>
    <row r="493" ht="18.75" spans="1:17">
      <c r="A493" s="14">
        <v>488</v>
      </c>
      <c r="B493" s="15" t="s">
        <v>110</v>
      </c>
      <c r="C493" s="15" t="s">
        <v>338</v>
      </c>
      <c r="D493" s="16">
        <v>14856153.4682</v>
      </c>
      <c r="E493" s="16">
        <v>2303548.8398</v>
      </c>
      <c r="F493" s="17">
        <f t="shared" si="7"/>
        <v>17159702.308</v>
      </c>
      <c r="G493" s="18"/>
      <c r="H493" s="18"/>
      <c r="I493" s="19"/>
      <c r="J493" s="19"/>
      <c r="K493" s="19"/>
      <c r="L493" s="19"/>
      <c r="M493" s="18"/>
      <c r="N493" s="18"/>
      <c r="O493" s="19"/>
      <c r="P493" s="19"/>
      <c r="Q493" s="19"/>
    </row>
    <row r="494" ht="18.75" spans="1:17">
      <c r="A494" s="14">
        <v>489</v>
      </c>
      <c r="B494" s="15" t="s">
        <v>110</v>
      </c>
      <c r="C494" s="15" t="s">
        <v>340</v>
      </c>
      <c r="D494" s="16">
        <v>12768674.9628</v>
      </c>
      <c r="E494" s="16">
        <v>1979870.9309</v>
      </c>
      <c r="F494" s="17">
        <f t="shared" si="7"/>
        <v>14748545.8937</v>
      </c>
      <c r="G494" s="18"/>
      <c r="H494" s="18"/>
      <c r="I494" s="19"/>
      <c r="J494" s="19"/>
      <c r="K494" s="19"/>
      <c r="L494" s="19"/>
      <c r="M494" s="18"/>
      <c r="N494" s="18"/>
      <c r="O494" s="19"/>
      <c r="P494" s="19"/>
      <c r="Q494" s="19"/>
    </row>
    <row r="495" ht="18.75" spans="1:17">
      <c r="A495" s="14">
        <v>490</v>
      </c>
      <c r="B495" s="15" t="s">
        <v>110</v>
      </c>
      <c r="C495" s="15" t="s">
        <v>342</v>
      </c>
      <c r="D495" s="16">
        <v>12906285.7657</v>
      </c>
      <c r="E495" s="16">
        <v>2001208.4329</v>
      </c>
      <c r="F495" s="17">
        <f t="shared" si="7"/>
        <v>14907494.1986</v>
      </c>
      <c r="G495" s="18"/>
      <c r="H495" s="18"/>
      <c r="I495" s="19"/>
      <c r="J495" s="19"/>
      <c r="K495" s="19"/>
      <c r="L495" s="19"/>
      <c r="M495" s="18"/>
      <c r="N495" s="18"/>
      <c r="O495" s="19"/>
      <c r="P495" s="19"/>
      <c r="Q495" s="19"/>
    </row>
    <row r="496" ht="18.75" spans="1:17">
      <c r="A496" s="14">
        <v>491</v>
      </c>
      <c r="B496" s="15" t="s">
        <v>110</v>
      </c>
      <c r="C496" s="15" t="s">
        <v>344</v>
      </c>
      <c r="D496" s="16">
        <v>15219342.5139</v>
      </c>
      <c r="E496" s="16">
        <v>2359863.8009</v>
      </c>
      <c r="F496" s="17">
        <f t="shared" si="7"/>
        <v>17579206.3148</v>
      </c>
      <c r="G496" s="18"/>
      <c r="H496" s="18"/>
      <c r="I496" s="19"/>
      <c r="J496" s="19"/>
      <c r="K496" s="19"/>
      <c r="L496" s="19"/>
      <c r="M496" s="18"/>
      <c r="N496" s="18"/>
      <c r="O496" s="19"/>
      <c r="P496" s="19"/>
      <c r="Q496" s="19"/>
    </row>
    <row r="497" ht="18.75" spans="1:17">
      <c r="A497" s="14">
        <v>492</v>
      </c>
      <c r="B497" s="15" t="s">
        <v>110</v>
      </c>
      <c r="C497" s="15" t="s">
        <v>346</v>
      </c>
      <c r="D497" s="16">
        <v>11002586.8409</v>
      </c>
      <c r="E497" s="16">
        <v>1706026.8128</v>
      </c>
      <c r="F497" s="17">
        <f t="shared" si="7"/>
        <v>12708613.6537</v>
      </c>
      <c r="G497" s="18"/>
      <c r="H497" s="18"/>
      <c r="I497" s="19"/>
      <c r="J497" s="19"/>
      <c r="K497" s="19"/>
      <c r="L497" s="19"/>
      <c r="M497" s="18"/>
      <c r="N497" s="18"/>
      <c r="O497" s="19"/>
      <c r="P497" s="19"/>
      <c r="Q497" s="19"/>
    </row>
    <row r="498" ht="18.75" spans="1:17">
      <c r="A498" s="14">
        <v>493</v>
      </c>
      <c r="B498" s="15" t="s">
        <v>110</v>
      </c>
      <c r="C498" s="15" t="s">
        <v>348</v>
      </c>
      <c r="D498" s="16">
        <v>14631537.9704</v>
      </c>
      <c r="E498" s="16">
        <v>2268720.661</v>
      </c>
      <c r="F498" s="17">
        <f t="shared" si="7"/>
        <v>16900258.6314</v>
      </c>
      <c r="G498" s="18"/>
      <c r="H498" s="18"/>
      <c r="I498" s="19"/>
      <c r="J498" s="19"/>
      <c r="K498" s="19"/>
      <c r="L498" s="19"/>
      <c r="M498" s="18"/>
      <c r="N498" s="18"/>
      <c r="O498" s="19"/>
      <c r="P498" s="19"/>
      <c r="Q498" s="19"/>
    </row>
    <row r="499" ht="18.75" spans="1:17">
      <c r="A499" s="14">
        <v>494</v>
      </c>
      <c r="B499" s="15" t="s">
        <v>110</v>
      </c>
      <c r="C499" s="15" t="s">
        <v>350</v>
      </c>
      <c r="D499" s="16">
        <v>11598849.6417</v>
      </c>
      <c r="E499" s="16">
        <v>1798481.4637</v>
      </c>
      <c r="F499" s="17">
        <f t="shared" si="7"/>
        <v>13397331.1054</v>
      </c>
      <c r="G499" s="18"/>
      <c r="H499" s="18"/>
      <c r="I499" s="19"/>
      <c r="J499" s="19"/>
      <c r="K499" s="19"/>
      <c r="L499" s="19"/>
      <c r="M499" s="18"/>
      <c r="N499" s="18"/>
      <c r="O499" s="19"/>
      <c r="P499" s="19"/>
      <c r="Q499" s="19"/>
    </row>
    <row r="500" ht="18.75" spans="1:17">
      <c r="A500" s="14">
        <v>495</v>
      </c>
      <c r="B500" s="15" t="s">
        <v>110</v>
      </c>
      <c r="C500" s="15" t="s">
        <v>352</v>
      </c>
      <c r="D500" s="16">
        <v>10302479.0085</v>
      </c>
      <c r="E500" s="16">
        <v>1597470.275</v>
      </c>
      <c r="F500" s="17">
        <f t="shared" si="7"/>
        <v>11899949.2835</v>
      </c>
      <c r="G500" s="18"/>
      <c r="H500" s="18"/>
      <c r="I500" s="19"/>
      <c r="J500" s="19"/>
      <c r="K500" s="19"/>
      <c r="L500" s="19"/>
      <c r="M500" s="18"/>
      <c r="N500" s="18"/>
      <c r="O500" s="19"/>
      <c r="P500" s="19"/>
      <c r="Q500" s="19"/>
    </row>
    <row r="501" ht="18.75" spans="1:17">
      <c r="A501" s="14">
        <v>496</v>
      </c>
      <c r="B501" s="15" t="s">
        <v>110</v>
      </c>
      <c r="C501" s="15" t="s">
        <v>354</v>
      </c>
      <c r="D501" s="16">
        <v>8620257.6144</v>
      </c>
      <c r="E501" s="16">
        <v>1336630.2703</v>
      </c>
      <c r="F501" s="17">
        <f t="shared" si="7"/>
        <v>9956887.8847</v>
      </c>
      <c r="G501" s="18"/>
      <c r="H501" s="18"/>
      <c r="I501" s="19"/>
      <c r="J501" s="19"/>
      <c r="K501" s="19"/>
      <c r="L501" s="19"/>
      <c r="M501" s="18"/>
      <c r="N501" s="18"/>
      <c r="O501" s="19"/>
      <c r="P501" s="19"/>
      <c r="Q501" s="19"/>
    </row>
    <row r="502" ht="18.75" spans="1:17">
      <c r="A502" s="14">
        <v>497</v>
      </c>
      <c r="B502" s="15" t="s">
        <v>110</v>
      </c>
      <c r="C502" s="15" t="s">
        <v>356</v>
      </c>
      <c r="D502" s="16">
        <v>8583703.5741</v>
      </c>
      <c r="E502" s="16">
        <v>1330962.3148</v>
      </c>
      <c r="F502" s="17">
        <f t="shared" si="7"/>
        <v>9914665.8889</v>
      </c>
      <c r="G502" s="18"/>
      <c r="H502" s="18"/>
      <c r="I502" s="19"/>
      <c r="J502" s="19"/>
      <c r="K502" s="19"/>
      <c r="L502" s="19"/>
      <c r="M502" s="18"/>
      <c r="N502" s="18"/>
      <c r="O502" s="19"/>
      <c r="P502" s="19"/>
      <c r="Q502" s="19"/>
    </row>
    <row r="503" ht="18.75" spans="1:17">
      <c r="A503" s="14">
        <v>498</v>
      </c>
      <c r="B503" s="15" t="s">
        <v>110</v>
      </c>
      <c r="C503" s="15" t="s">
        <v>358</v>
      </c>
      <c r="D503" s="16">
        <v>9801161.5263</v>
      </c>
      <c r="E503" s="16">
        <v>1519737.5492</v>
      </c>
      <c r="F503" s="17">
        <f t="shared" si="7"/>
        <v>11320899.0755</v>
      </c>
      <c r="G503" s="18"/>
      <c r="H503" s="18"/>
      <c r="I503" s="19"/>
      <c r="J503" s="19"/>
      <c r="K503" s="19"/>
      <c r="L503" s="19"/>
      <c r="M503" s="18"/>
      <c r="N503" s="18"/>
      <c r="O503" s="19"/>
      <c r="P503" s="19"/>
      <c r="Q503" s="19"/>
    </row>
    <row r="504" ht="18.75" spans="1:17">
      <c r="A504" s="14">
        <v>499</v>
      </c>
      <c r="B504" s="15" t="s">
        <v>110</v>
      </c>
      <c r="C504" s="15" t="s">
        <v>360</v>
      </c>
      <c r="D504" s="16">
        <v>11862797.0384</v>
      </c>
      <c r="E504" s="16">
        <v>1839408.3242</v>
      </c>
      <c r="F504" s="17">
        <f t="shared" si="7"/>
        <v>13702205.3626</v>
      </c>
      <c r="G504" s="18"/>
      <c r="H504" s="18"/>
      <c r="I504" s="19"/>
      <c r="J504" s="19"/>
      <c r="K504" s="19"/>
      <c r="L504" s="19"/>
      <c r="M504" s="18"/>
      <c r="N504" s="18"/>
      <c r="O504" s="19"/>
      <c r="P504" s="19"/>
      <c r="Q504" s="19"/>
    </row>
    <row r="505" ht="18.75" spans="1:17">
      <c r="A505" s="14">
        <v>500</v>
      </c>
      <c r="B505" s="15" t="s">
        <v>111</v>
      </c>
      <c r="C505" s="15" t="s">
        <v>365</v>
      </c>
      <c r="D505" s="16">
        <v>16647209.8692</v>
      </c>
      <c r="E505" s="16">
        <v>2581264.4613</v>
      </c>
      <c r="F505" s="17">
        <f t="shared" si="7"/>
        <v>19228474.3305</v>
      </c>
      <c r="G505" s="18"/>
      <c r="H505" s="18"/>
      <c r="I505" s="19"/>
      <c r="J505" s="19"/>
      <c r="K505" s="19"/>
      <c r="L505" s="19"/>
      <c r="M505" s="18"/>
      <c r="N505" s="18"/>
      <c r="O505" s="19"/>
      <c r="P505" s="19"/>
      <c r="Q505" s="19"/>
    </row>
    <row r="506" ht="37.5" spans="1:17">
      <c r="A506" s="14">
        <v>501</v>
      </c>
      <c r="B506" s="15" t="s">
        <v>111</v>
      </c>
      <c r="C506" s="15" t="s">
        <v>367</v>
      </c>
      <c r="D506" s="16">
        <v>21397788.0427</v>
      </c>
      <c r="E506" s="16">
        <v>3317874.3021</v>
      </c>
      <c r="F506" s="17">
        <f t="shared" si="7"/>
        <v>24715662.3448</v>
      </c>
      <c r="G506" s="18"/>
      <c r="H506" s="18"/>
      <c r="I506" s="19"/>
      <c r="J506" s="19"/>
      <c r="K506" s="19"/>
      <c r="L506" s="19"/>
      <c r="M506" s="18"/>
      <c r="N506" s="18"/>
      <c r="O506" s="19"/>
      <c r="P506" s="19"/>
      <c r="Q506" s="19"/>
    </row>
    <row r="507" ht="18.75" spans="1:17">
      <c r="A507" s="14">
        <v>502</v>
      </c>
      <c r="B507" s="15" t="s">
        <v>111</v>
      </c>
      <c r="C507" s="15" t="s">
        <v>369</v>
      </c>
      <c r="D507" s="16">
        <v>34508013.6853</v>
      </c>
      <c r="E507" s="16">
        <v>5350705.0165</v>
      </c>
      <c r="F507" s="17">
        <f t="shared" si="7"/>
        <v>39858718.7018</v>
      </c>
      <c r="G507" s="18"/>
      <c r="H507" s="18"/>
      <c r="I507" s="19"/>
      <c r="J507" s="19"/>
      <c r="K507" s="19"/>
      <c r="L507" s="19"/>
      <c r="M507" s="18"/>
      <c r="N507" s="18"/>
      <c r="O507" s="19"/>
      <c r="P507" s="19"/>
      <c r="Q507" s="19"/>
    </row>
    <row r="508" ht="37.5" spans="1:17">
      <c r="A508" s="14">
        <v>503</v>
      </c>
      <c r="B508" s="15" t="s">
        <v>111</v>
      </c>
      <c r="C508" s="15" t="s">
        <v>371</v>
      </c>
      <c r="D508" s="16">
        <v>13487233.0483</v>
      </c>
      <c r="E508" s="16">
        <v>2091288.3073</v>
      </c>
      <c r="F508" s="17">
        <f t="shared" si="7"/>
        <v>15578521.3556</v>
      </c>
      <c r="G508" s="18"/>
      <c r="H508" s="18"/>
      <c r="I508" s="19"/>
      <c r="J508" s="19"/>
      <c r="K508" s="19"/>
      <c r="L508" s="19"/>
      <c r="M508" s="18"/>
      <c r="N508" s="18"/>
      <c r="O508" s="19"/>
      <c r="P508" s="19"/>
      <c r="Q508" s="19"/>
    </row>
    <row r="509" ht="18.75" spans="1:17">
      <c r="A509" s="14">
        <v>504</v>
      </c>
      <c r="B509" s="15" t="s">
        <v>111</v>
      </c>
      <c r="C509" s="15" t="s">
        <v>373</v>
      </c>
      <c r="D509" s="16">
        <v>11339338.1192</v>
      </c>
      <c r="E509" s="16">
        <v>1758242.4161</v>
      </c>
      <c r="F509" s="17">
        <f t="shared" si="7"/>
        <v>13097580.5353</v>
      </c>
      <c r="G509" s="18"/>
      <c r="H509" s="18"/>
      <c r="I509" s="19"/>
      <c r="J509" s="19"/>
      <c r="K509" s="19"/>
      <c r="L509" s="19"/>
      <c r="M509" s="18"/>
      <c r="N509" s="18"/>
      <c r="O509" s="19"/>
      <c r="P509" s="19"/>
      <c r="Q509" s="19"/>
    </row>
    <row r="510" ht="18.75" spans="1:17">
      <c r="A510" s="14">
        <v>505</v>
      </c>
      <c r="B510" s="15" t="s">
        <v>111</v>
      </c>
      <c r="C510" s="15" t="s">
        <v>375</v>
      </c>
      <c r="D510" s="16">
        <v>12676961.6707</v>
      </c>
      <c r="E510" s="16">
        <v>1965650.1537</v>
      </c>
      <c r="F510" s="17">
        <f t="shared" si="7"/>
        <v>14642611.8244</v>
      </c>
      <c r="G510" s="18"/>
      <c r="H510" s="18"/>
      <c r="I510" s="19"/>
      <c r="J510" s="19"/>
      <c r="K510" s="19"/>
      <c r="L510" s="19"/>
      <c r="M510" s="18"/>
      <c r="N510" s="18"/>
      <c r="O510" s="19"/>
      <c r="P510" s="19"/>
      <c r="Q510" s="19"/>
    </row>
    <row r="511" ht="18.75" spans="1:17">
      <c r="A511" s="14">
        <v>506</v>
      </c>
      <c r="B511" s="15" t="s">
        <v>111</v>
      </c>
      <c r="C511" s="15" t="s">
        <v>377</v>
      </c>
      <c r="D511" s="16">
        <v>11639387.5717</v>
      </c>
      <c r="E511" s="16">
        <v>1804767.1488</v>
      </c>
      <c r="F511" s="17">
        <f t="shared" si="7"/>
        <v>13444154.7205</v>
      </c>
      <c r="G511" s="18"/>
      <c r="H511" s="18"/>
      <c r="I511" s="19"/>
      <c r="J511" s="19"/>
      <c r="K511" s="19"/>
      <c r="L511" s="19"/>
      <c r="M511" s="18"/>
      <c r="N511" s="18"/>
      <c r="O511" s="19"/>
      <c r="P511" s="19"/>
      <c r="Q511" s="19"/>
    </row>
    <row r="512" ht="18.75" spans="1:17">
      <c r="A512" s="14">
        <v>507</v>
      </c>
      <c r="B512" s="15" t="s">
        <v>111</v>
      </c>
      <c r="C512" s="15" t="s">
        <v>379</v>
      </c>
      <c r="D512" s="16">
        <v>14041682.8524</v>
      </c>
      <c r="E512" s="16">
        <v>2177259.5654</v>
      </c>
      <c r="F512" s="17">
        <f t="shared" si="7"/>
        <v>16218942.4178</v>
      </c>
      <c r="G512" s="18"/>
      <c r="H512" s="18"/>
      <c r="I512" s="19"/>
      <c r="J512" s="19"/>
      <c r="K512" s="19"/>
      <c r="L512" s="19"/>
      <c r="M512" s="18"/>
      <c r="N512" s="18"/>
      <c r="O512" s="19"/>
      <c r="P512" s="19"/>
      <c r="Q512" s="19"/>
    </row>
    <row r="513" ht="18.75" spans="1:17">
      <c r="A513" s="14">
        <v>508</v>
      </c>
      <c r="B513" s="15" t="s">
        <v>111</v>
      </c>
      <c r="C513" s="15" t="s">
        <v>382</v>
      </c>
      <c r="D513" s="16">
        <v>9376145.1849</v>
      </c>
      <c r="E513" s="16">
        <v>1453835.8404</v>
      </c>
      <c r="F513" s="17">
        <f t="shared" si="7"/>
        <v>10829981.0253</v>
      </c>
      <c r="G513" s="18"/>
      <c r="H513" s="18"/>
      <c r="I513" s="19"/>
      <c r="J513" s="19"/>
      <c r="K513" s="19"/>
      <c r="L513" s="19"/>
      <c r="M513" s="18"/>
      <c r="N513" s="18"/>
      <c r="O513" s="19"/>
      <c r="P513" s="19"/>
      <c r="Q513" s="19"/>
    </row>
    <row r="514" ht="18.75" spans="1:17">
      <c r="A514" s="14">
        <v>509</v>
      </c>
      <c r="B514" s="15" t="s">
        <v>111</v>
      </c>
      <c r="C514" s="15" t="s">
        <v>384</v>
      </c>
      <c r="D514" s="16">
        <v>15987271.5547</v>
      </c>
      <c r="E514" s="16">
        <v>2478936.4838</v>
      </c>
      <c r="F514" s="17">
        <f t="shared" si="7"/>
        <v>18466208.0385</v>
      </c>
      <c r="G514" s="18"/>
      <c r="H514" s="18"/>
      <c r="I514" s="19"/>
      <c r="J514" s="19"/>
      <c r="K514" s="19"/>
      <c r="L514" s="19"/>
      <c r="M514" s="18"/>
      <c r="N514" s="18"/>
      <c r="O514" s="19"/>
      <c r="P514" s="19"/>
      <c r="Q514" s="19"/>
    </row>
    <row r="515" ht="18.75" spans="1:17">
      <c r="A515" s="14">
        <v>510</v>
      </c>
      <c r="B515" s="15" t="s">
        <v>111</v>
      </c>
      <c r="C515" s="15" t="s">
        <v>386</v>
      </c>
      <c r="D515" s="16">
        <v>13820205.3701</v>
      </c>
      <c r="E515" s="16">
        <v>2142917.9575</v>
      </c>
      <c r="F515" s="17">
        <f t="shared" si="7"/>
        <v>15963123.3276</v>
      </c>
      <c r="G515" s="18"/>
      <c r="H515" s="18"/>
      <c r="I515" s="19"/>
      <c r="J515" s="19"/>
      <c r="K515" s="19"/>
      <c r="L515" s="19"/>
      <c r="M515" s="18"/>
      <c r="N515" s="18"/>
      <c r="O515" s="19"/>
      <c r="P515" s="19"/>
      <c r="Q515" s="19"/>
    </row>
    <row r="516" ht="18.75" spans="1:17">
      <c r="A516" s="14">
        <v>511</v>
      </c>
      <c r="B516" s="15" t="s">
        <v>111</v>
      </c>
      <c r="C516" s="15" t="s">
        <v>388</v>
      </c>
      <c r="D516" s="16">
        <v>19002096.9123</v>
      </c>
      <c r="E516" s="16">
        <v>2946405.9044</v>
      </c>
      <c r="F516" s="17">
        <f t="shared" si="7"/>
        <v>21948502.8167</v>
      </c>
      <c r="G516" s="18"/>
      <c r="H516" s="18"/>
      <c r="I516" s="19"/>
      <c r="J516" s="19"/>
      <c r="K516" s="19"/>
      <c r="L516" s="19"/>
      <c r="M516" s="18"/>
      <c r="N516" s="18"/>
      <c r="O516" s="19"/>
      <c r="P516" s="19"/>
      <c r="Q516" s="19"/>
    </row>
    <row r="517" ht="18.75" spans="1:17">
      <c r="A517" s="14">
        <v>512</v>
      </c>
      <c r="B517" s="15" t="s">
        <v>111</v>
      </c>
      <c r="C517" s="15" t="s">
        <v>390</v>
      </c>
      <c r="D517" s="16">
        <v>20559041.0468</v>
      </c>
      <c r="E517" s="16">
        <v>3187820.8078</v>
      </c>
      <c r="F517" s="17">
        <f t="shared" si="7"/>
        <v>23746861.8546</v>
      </c>
      <c r="G517" s="18"/>
      <c r="H517" s="18"/>
      <c r="I517" s="19"/>
      <c r="J517" s="19"/>
      <c r="K517" s="19"/>
      <c r="L517" s="19"/>
      <c r="M517" s="18"/>
      <c r="N517" s="18"/>
      <c r="O517" s="19"/>
      <c r="P517" s="19"/>
      <c r="Q517" s="19"/>
    </row>
    <row r="518" ht="18.75" spans="1:17">
      <c r="A518" s="14">
        <v>513</v>
      </c>
      <c r="B518" s="15" t="s">
        <v>111</v>
      </c>
      <c r="C518" s="15" t="s">
        <v>392</v>
      </c>
      <c r="D518" s="16">
        <v>11067249.6777</v>
      </c>
      <c r="E518" s="16">
        <v>1716053.2307</v>
      </c>
      <c r="F518" s="17">
        <f t="shared" si="7"/>
        <v>12783302.9084</v>
      </c>
      <c r="G518" s="18"/>
      <c r="H518" s="18"/>
      <c r="I518" s="19"/>
      <c r="J518" s="19"/>
      <c r="K518" s="19"/>
      <c r="L518" s="19"/>
      <c r="M518" s="18"/>
      <c r="N518" s="18"/>
      <c r="O518" s="19"/>
      <c r="P518" s="19"/>
      <c r="Q518" s="19"/>
    </row>
    <row r="519" ht="37.5" spans="1:17">
      <c r="A519" s="14">
        <v>514</v>
      </c>
      <c r="B519" s="15" t="s">
        <v>111</v>
      </c>
      <c r="C519" s="15" t="s">
        <v>394</v>
      </c>
      <c r="D519" s="16">
        <v>13354414.1606</v>
      </c>
      <c r="E519" s="16">
        <v>2070693.8247</v>
      </c>
      <c r="F519" s="17">
        <f t="shared" ref="F519:F582" si="8">D519+E519</f>
        <v>15425107.9853</v>
      </c>
      <c r="G519" s="18"/>
      <c r="H519" s="18"/>
      <c r="I519" s="19"/>
      <c r="J519" s="19"/>
      <c r="K519" s="19"/>
      <c r="L519" s="19"/>
      <c r="M519" s="18"/>
      <c r="N519" s="18"/>
      <c r="O519" s="19"/>
      <c r="P519" s="19"/>
      <c r="Q519" s="19"/>
    </row>
    <row r="520" ht="18.75" spans="1:17">
      <c r="A520" s="14">
        <v>515</v>
      </c>
      <c r="B520" s="15" t="s">
        <v>111</v>
      </c>
      <c r="C520" s="15" t="s">
        <v>396</v>
      </c>
      <c r="D520" s="16">
        <v>19992561.3138</v>
      </c>
      <c r="E520" s="16">
        <v>3099984.2266</v>
      </c>
      <c r="F520" s="17">
        <f t="shared" si="8"/>
        <v>23092545.5404</v>
      </c>
      <c r="G520" s="18"/>
      <c r="H520" s="18"/>
      <c r="I520" s="19"/>
      <c r="J520" s="19"/>
      <c r="K520" s="19"/>
      <c r="L520" s="19"/>
      <c r="M520" s="18"/>
      <c r="N520" s="18"/>
      <c r="O520" s="19"/>
      <c r="P520" s="19"/>
      <c r="Q520" s="19"/>
    </row>
    <row r="521" ht="18.75" spans="1:17">
      <c r="A521" s="14">
        <v>516</v>
      </c>
      <c r="B521" s="15" t="s">
        <v>111</v>
      </c>
      <c r="C521" s="15" t="s">
        <v>398</v>
      </c>
      <c r="D521" s="16">
        <v>19399162.1811</v>
      </c>
      <c r="E521" s="16">
        <v>3007973.6071</v>
      </c>
      <c r="F521" s="17">
        <f t="shared" si="8"/>
        <v>22407135.7882</v>
      </c>
      <c r="G521" s="18"/>
      <c r="H521" s="18"/>
      <c r="I521" s="19"/>
      <c r="J521" s="19"/>
      <c r="K521" s="19"/>
      <c r="L521" s="19"/>
      <c r="M521" s="18"/>
      <c r="N521" s="18"/>
      <c r="O521" s="19"/>
      <c r="P521" s="19"/>
      <c r="Q521" s="19"/>
    </row>
    <row r="522" ht="18.75" spans="1:17">
      <c r="A522" s="14">
        <v>517</v>
      </c>
      <c r="B522" s="15" t="s">
        <v>111</v>
      </c>
      <c r="C522" s="15" t="s">
        <v>400</v>
      </c>
      <c r="D522" s="16">
        <v>19808166.9039</v>
      </c>
      <c r="E522" s="16">
        <v>3071392.6042</v>
      </c>
      <c r="F522" s="17">
        <f t="shared" si="8"/>
        <v>22879559.5081</v>
      </c>
      <c r="G522" s="18"/>
      <c r="H522" s="18"/>
      <c r="I522" s="19"/>
      <c r="J522" s="19"/>
      <c r="K522" s="19"/>
      <c r="L522" s="19"/>
      <c r="M522" s="18"/>
      <c r="N522" s="18"/>
      <c r="O522" s="19"/>
      <c r="P522" s="19"/>
      <c r="Q522" s="19"/>
    </row>
    <row r="523" ht="18.75" spans="1:17">
      <c r="A523" s="14">
        <v>518</v>
      </c>
      <c r="B523" s="15" t="s">
        <v>111</v>
      </c>
      <c r="C523" s="15" t="s">
        <v>402</v>
      </c>
      <c r="D523" s="16">
        <v>15319764.9445</v>
      </c>
      <c r="E523" s="16">
        <v>2375434.9899</v>
      </c>
      <c r="F523" s="17">
        <f t="shared" si="8"/>
        <v>17695199.9344</v>
      </c>
      <c r="G523" s="18"/>
      <c r="H523" s="18"/>
      <c r="I523" s="19"/>
      <c r="J523" s="19"/>
      <c r="K523" s="19"/>
      <c r="L523" s="19"/>
      <c r="M523" s="18"/>
      <c r="N523" s="18"/>
      <c r="O523" s="19"/>
      <c r="P523" s="19"/>
      <c r="Q523" s="19"/>
    </row>
    <row r="524" ht="18.75" spans="1:17">
      <c r="A524" s="14">
        <v>519</v>
      </c>
      <c r="B524" s="15" t="s">
        <v>111</v>
      </c>
      <c r="C524" s="15" t="s">
        <v>404</v>
      </c>
      <c r="D524" s="16">
        <v>17523861.7621</v>
      </c>
      <c r="E524" s="16">
        <v>2717195.3707</v>
      </c>
      <c r="F524" s="17">
        <f t="shared" si="8"/>
        <v>20241057.1328</v>
      </c>
      <c r="G524" s="18"/>
      <c r="H524" s="18"/>
      <c r="I524" s="19"/>
      <c r="J524" s="19"/>
      <c r="K524" s="19"/>
      <c r="L524" s="19"/>
      <c r="M524" s="18"/>
      <c r="N524" s="18"/>
      <c r="O524" s="19"/>
      <c r="P524" s="19"/>
      <c r="Q524" s="19"/>
    </row>
    <row r="525" ht="37.5" spans="1:17">
      <c r="A525" s="14">
        <v>520</v>
      </c>
      <c r="B525" s="15" t="s">
        <v>112</v>
      </c>
      <c r="C525" s="15" t="s">
        <v>408</v>
      </c>
      <c r="D525" s="16">
        <v>11465885.3791</v>
      </c>
      <c r="E525" s="16">
        <v>1777864.4397</v>
      </c>
      <c r="F525" s="17">
        <f t="shared" si="8"/>
        <v>13243749.8188</v>
      </c>
      <c r="G525" s="18"/>
      <c r="H525" s="18"/>
      <c r="I525" s="19"/>
      <c r="J525" s="19"/>
      <c r="K525" s="19"/>
      <c r="L525" s="19"/>
      <c r="M525" s="18"/>
      <c r="N525" s="18"/>
      <c r="O525" s="19"/>
      <c r="P525" s="19"/>
      <c r="Q525" s="19"/>
    </row>
    <row r="526" ht="37.5" spans="1:17">
      <c r="A526" s="14">
        <v>521</v>
      </c>
      <c r="B526" s="15" t="s">
        <v>112</v>
      </c>
      <c r="C526" s="15" t="s">
        <v>410</v>
      </c>
      <c r="D526" s="16">
        <v>12924123.1047</v>
      </c>
      <c r="E526" s="16">
        <v>2003974.2351</v>
      </c>
      <c r="F526" s="17">
        <f t="shared" si="8"/>
        <v>14928097.3398</v>
      </c>
      <c r="G526" s="18"/>
      <c r="H526" s="18"/>
      <c r="I526" s="19"/>
      <c r="J526" s="19"/>
      <c r="K526" s="19"/>
      <c r="L526" s="19"/>
      <c r="M526" s="18"/>
      <c r="N526" s="18"/>
      <c r="O526" s="19"/>
      <c r="P526" s="19"/>
      <c r="Q526" s="19"/>
    </row>
    <row r="527" ht="37.5" spans="1:17">
      <c r="A527" s="14">
        <v>522</v>
      </c>
      <c r="B527" s="15" t="s">
        <v>112</v>
      </c>
      <c r="C527" s="15" t="s">
        <v>412</v>
      </c>
      <c r="D527" s="16">
        <v>13233154.7888</v>
      </c>
      <c r="E527" s="16">
        <v>2051891.7246</v>
      </c>
      <c r="F527" s="17">
        <f t="shared" si="8"/>
        <v>15285046.5134</v>
      </c>
      <c r="G527" s="18"/>
      <c r="H527" s="18"/>
      <c r="I527" s="19"/>
      <c r="J527" s="19"/>
      <c r="K527" s="19"/>
      <c r="L527" s="19"/>
      <c r="M527" s="18"/>
      <c r="N527" s="18"/>
      <c r="O527" s="19"/>
      <c r="P527" s="19"/>
      <c r="Q527" s="19"/>
    </row>
    <row r="528" ht="37.5" spans="1:17">
      <c r="A528" s="14">
        <v>523</v>
      </c>
      <c r="B528" s="15" t="s">
        <v>112</v>
      </c>
      <c r="C528" s="15" t="s">
        <v>414</v>
      </c>
      <c r="D528" s="16">
        <v>15613319.305</v>
      </c>
      <c r="E528" s="16">
        <v>2420952.6138</v>
      </c>
      <c r="F528" s="17">
        <f t="shared" si="8"/>
        <v>18034271.9188</v>
      </c>
      <c r="G528" s="18"/>
      <c r="H528" s="18"/>
      <c r="I528" s="19"/>
      <c r="J528" s="19"/>
      <c r="K528" s="19"/>
      <c r="L528" s="19"/>
      <c r="M528" s="18"/>
      <c r="N528" s="18"/>
      <c r="O528" s="19"/>
      <c r="P528" s="19"/>
      <c r="Q528" s="19"/>
    </row>
    <row r="529" ht="37.5" spans="1:17">
      <c r="A529" s="14">
        <v>524</v>
      </c>
      <c r="B529" s="15" t="s">
        <v>112</v>
      </c>
      <c r="C529" s="15" t="s">
        <v>416</v>
      </c>
      <c r="D529" s="16">
        <v>11148581.8925</v>
      </c>
      <c r="E529" s="16">
        <v>1728664.3503</v>
      </c>
      <c r="F529" s="17">
        <f t="shared" si="8"/>
        <v>12877246.2428</v>
      </c>
      <c r="G529" s="18"/>
      <c r="H529" s="18"/>
      <c r="I529" s="19"/>
      <c r="J529" s="19"/>
      <c r="K529" s="19"/>
      <c r="L529" s="19"/>
      <c r="M529" s="18"/>
      <c r="N529" s="18"/>
      <c r="O529" s="19"/>
      <c r="P529" s="19"/>
      <c r="Q529" s="19"/>
    </row>
    <row r="530" ht="37.5" spans="1:17">
      <c r="A530" s="14">
        <v>525</v>
      </c>
      <c r="B530" s="15" t="s">
        <v>112</v>
      </c>
      <c r="C530" s="15" t="s">
        <v>418</v>
      </c>
      <c r="D530" s="16">
        <v>10483394.068</v>
      </c>
      <c r="E530" s="16">
        <v>1625522.4001</v>
      </c>
      <c r="F530" s="17">
        <f t="shared" si="8"/>
        <v>12108916.4681</v>
      </c>
      <c r="G530" s="18"/>
      <c r="H530" s="18"/>
      <c r="I530" s="19"/>
      <c r="J530" s="19"/>
      <c r="K530" s="19"/>
      <c r="L530" s="19"/>
      <c r="M530" s="18"/>
      <c r="N530" s="18"/>
      <c r="O530" s="19"/>
      <c r="P530" s="19"/>
      <c r="Q530" s="19"/>
    </row>
    <row r="531" ht="37.5" spans="1:17">
      <c r="A531" s="14">
        <v>526</v>
      </c>
      <c r="B531" s="15" t="s">
        <v>112</v>
      </c>
      <c r="C531" s="15" t="s">
        <v>420</v>
      </c>
      <c r="D531" s="16">
        <v>11978219.3135</v>
      </c>
      <c r="E531" s="16">
        <v>1857305.3423</v>
      </c>
      <c r="F531" s="17">
        <f t="shared" si="8"/>
        <v>13835524.6558</v>
      </c>
      <c r="G531" s="18"/>
      <c r="H531" s="18"/>
      <c r="I531" s="19"/>
      <c r="J531" s="19"/>
      <c r="K531" s="19"/>
      <c r="L531" s="19"/>
      <c r="M531" s="18"/>
      <c r="N531" s="18"/>
      <c r="O531" s="19"/>
      <c r="P531" s="19"/>
      <c r="Q531" s="19"/>
    </row>
    <row r="532" ht="37.5" spans="1:17">
      <c r="A532" s="14">
        <v>527</v>
      </c>
      <c r="B532" s="15" t="s">
        <v>112</v>
      </c>
      <c r="C532" s="15" t="s">
        <v>422</v>
      </c>
      <c r="D532" s="16">
        <v>18743024.7588</v>
      </c>
      <c r="E532" s="16">
        <v>2906234.984</v>
      </c>
      <c r="F532" s="17">
        <f t="shared" si="8"/>
        <v>21649259.7428</v>
      </c>
      <c r="G532" s="18"/>
      <c r="H532" s="18"/>
      <c r="I532" s="19"/>
      <c r="J532" s="19"/>
      <c r="K532" s="19"/>
      <c r="L532" s="19"/>
      <c r="M532" s="18"/>
      <c r="N532" s="18"/>
      <c r="O532" s="19"/>
      <c r="P532" s="19"/>
      <c r="Q532" s="19"/>
    </row>
    <row r="533" ht="37.5" spans="1:17">
      <c r="A533" s="14">
        <v>528</v>
      </c>
      <c r="B533" s="15" t="s">
        <v>112</v>
      </c>
      <c r="C533" s="15" t="s">
        <v>424</v>
      </c>
      <c r="D533" s="16">
        <v>17369996.0216</v>
      </c>
      <c r="E533" s="16">
        <v>2693337.4287</v>
      </c>
      <c r="F533" s="17">
        <f t="shared" si="8"/>
        <v>20063333.4503</v>
      </c>
      <c r="G533" s="18"/>
      <c r="H533" s="18"/>
      <c r="I533" s="19"/>
      <c r="J533" s="19"/>
      <c r="K533" s="19"/>
      <c r="L533" s="19"/>
      <c r="M533" s="18"/>
      <c r="N533" s="18"/>
      <c r="O533" s="19"/>
      <c r="P533" s="19"/>
      <c r="Q533" s="19"/>
    </row>
    <row r="534" ht="37.5" spans="1:17">
      <c r="A534" s="14">
        <v>529</v>
      </c>
      <c r="B534" s="15" t="s">
        <v>112</v>
      </c>
      <c r="C534" s="15" t="s">
        <v>426</v>
      </c>
      <c r="D534" s="16">
        <v>13287782.4975</v>
      </c>
      <c r="E534" s="16">
        <v>2060362.1268</v>
      </c>
      <c r="F534" s="17">
        <f t="shared" si="8"/>
        <v>15348144.6243</v>
      </c>
      <c r="G534" s="18"/>
      <c r="H534" s="18"/>
      <c r="I534" s="19"/>
      <c r="J534" s="19"/>
      <c r="K534" s="19"/>
      <c r="L534" s="19"/>
      <c r="M534" s="18"/>
      <c r="N534" s="18"/>
      <c r="O534" s="19"/>
      <c r="P534" s="19"/>
      <c r="Q534" s="19"/>
    </row>
    <row r="535" ht="37.5" spans="1:17">
      <c r="A535" s="14">
        <v>530</v>
      </c>
      <c r="B535" s="15" t="s">
        <v>112</v>
      </c>
      <c r="C535" s="15" t="s">
        <v>407</v>
      </c>
      <c r="D535" s="16">
        <v>12718975.6701</v>
      </c>
      <c r="E535" s="16">
        <v>1972164.7135</v>
      </c>
      <c r="F535" s="17">
        <f t="shared" si="8"/>
        <v>14691140.3836</v>
      </c>
      <c r="G535" s="18"/>
      <c r="H535" s="18"/>
      <c r="I535" s="19"/>
      <c r="J535" s="19"/>
      <c r="K535" s="19"/>
      <c r="L535" s="19"/>
      <c r="M535" s="18"/>
      <c r="N535" s="18"/>
      <c r="O535" s="19"/>
      <c r="P535" s="19"/>
      <c r="Q535" s="19"/>
    </row>
    <row r="536" ht="37.5" spans="1:17">
      <c r="A536" s="14">
        <v>531</v>
      </c>
      <c r="B536" s="15" t="s">
        <v>112</v>
      </c>
      <c r="C536" s="15" t="s">
        <v>430</v>
      </c>
      <c r="D536" s="16">
        <v>13512998.7339</v>
      </c>
      <c r="E536" s="16">
        <v>2095283.4542</v>
      </c>
      <c r="F536" s="17">
        <f t="shared" si="8"/>
        <v>15608282.1881</v>
      </c>
      <c r="G536" s="18"/>
      <c r="H536" s="18"/>
      <c r="I536" s="19"/>
      <c r="J536" s="19"/>
      <c r="K536" s="19"/>
      <c r="L536" s="19"/>
      <c r="M536" s="18"/>
      <c r="N536" s="18"/>
      <c r="O536" s="19"/>
      <c r="P536" s="19"/>
      <c r="Q536" s="19"/>
    </row>
    <row r="537" ht="37.5" spans="1:17">
      <c r="A537" s="14">
        <v>532</v>
      </c>
      <c r="B537" s="15" t="s">
        <v>112</v>
      </c>
      <c r="C537" s="15" t="s">
        <v>432</v>
      </c>
      <c r="D537" s="16">
        <v>10847765.3642</v>
      </c>
      <c r="E537" s="16">
        <v>1682020.6773</v>
      </c>
      <c r="F537" s="17">
        <f t="shared" si="8"/>
        <v>12529786.0415</v>
      </c>
      <c r="G537" s="18"/>
      <c r="H537" s="18"/>
      <c r="I537" s="19"/>
      <c r="J537" s="19"/>
      <c r="K537" s="19"/>
      <c r="L537" s="19"/>
      <c r="M537" s="18"/>
      <c r="N537" s="18"/>
      <c r="O537" s="19"/>
      <c r="P537" s="19"/>
      <c r="Q537" s="19"/>
    </row>
    <row r="538" ht="18.75" spans="1:17">
      <c r="A538" s="14">
        <v>533</v>
      </c>
      <c r="B538" s="15" t="s">
        <v>113</v>
      </c>
      <c r="C538" s="15" t="s">
        <v>436</v>
      </c>
      <c r="D538" s="16">
        <v>11927924.1984</v>
      </c>
      <c r="E538" s="16">
        <v>1849506.7385</v>
      </c>
      <c r="F538" s="17">
        <f t="shared" si="8"/>
        <v>13777430.9369</v>
      </c>
      <c r="G538" s="18"/>
      <c r="H538" s="18"/>
      <c r="I538" s="19"/>
      <c r="J538" s="19"/>
      <c r="K538" s="19"/>
      <c r="L538" s="19"/>
      <c r="M538" s="18"/>
      <c r="N538" s="18"/>
      <c r="O538" s="19"/>
      <c r="P538" s="19"/>
      <c r="Q538" s="19"/>
    </row>
    <row r="539" ht="18.75" spans="1:17">
      <c r="A539" s="14">
        <v>534</v>
      </c>
      <c r="B539" s="15" t="s">
        <v>113</v>
      </c>
      <c r="C539" s="15" t="s">
        <v>438</v>
      </c>
      <c r="D539" s="16">
        <v>10240936.2114</v>
      </c>
      <c r="E539" s="16">
        <v>1587927.6408</v>
      </c>
      <c r="F539" s="17">
        <f t="shared" si="8"/>
        <v>11828863.8522</v>
      </c>
      <c r="G539" s="18"/>
      <c r="H539" s="18"/>
      <c r="I539" s="19"/>
      <c r="J539" s="19"/>
      <c r="K539" s="19"/>
      <c r="L539" s="19"/>
      <c r="M539" s="18"/>
      <c r="N539" s="18"/>
      <c r="O539" s="19"/>
      <c r="P539" s="19"/>
      <c r="Q539" s="19"/>
    </row>
    <row r="540" ht="18.75" spans="1:17">
      <c r="A540" s="14">
        <v>535</v>
      </c>
      <c r="B540" s="15" t="s">
        <v>113</v>
      </c>
      <c r="C540" s="15" t="s">
        <v>440</v>
      </c>
      <c r="D540" s="16">
        <v>11727998.0268</v>
      </c>
      <c r="E540" s="16">
        <v>1818506.8097</v>
      </c>
      <c r="F540" s="17">
        <f t="shared" si="8"/>
        <v>13546504.8365</v>
      </c>
      <c r="G540" s="18"/>
      <c r="H540" s="18"/>
      <c r="I540" s="19"/>
      <c r="J540" s="19"/>
      <c r="K540" s="19"/>
      <c r="L540" s="19"/>
      <c r="M540" s="18"/>
      <c r="N540" s="18"/>
      <c r="O540" s="19"/>
      <c r="P540" s="19"/>
      <c r="Q540" s="19"/>
    </row>
    <row r="541" ht="18.75" spans="1:17">
      <c r="A541" s="14">
        <v>536</v>
      </c>
      <c r="B541" s="15" t="s">
        <v>113</v>
      </c>
      <c r="C541" s="15" t="s">
        <v>442</v>
      </c>
      <c r="D541" s="16">
        <v>19091457.9803</v>
      </c>
      <c r="E541" s="16">
        <v>2960261.953</v>
      </c>
      <c r="F541" s="17">
        <f t="shared" si="8"/>
        <v>22051719.9333</v>
      </c>
      <c r="G541" s="18"/>
      <c r="H541" s="18"/>
      <c r="I541" s="19"/>
      <c r="J541" s="19"/>
      <c r="K541" s="19"/>
      <c r="L541" s="19"/>
      <c r="M541" s="18"/>
      <c r="N541" s="18"/>
      <c r="O541" s="19"/>
      <c r="P541" s="19"/>
      <c r="Q541" s="19"/>
    </row>
    <row r="542" ht="18.75" spans="1:17">
      <c r="A542" s="14">
        <v>537</v>
      </c>
      <c r="B542" s="15" t="s">
        <v>113</v>
      </c>
      <c r="C542" s="15" t="s">
        <v>444</v>
      </c>
      <c r="D542" s="16">
        <v>11459756.5181</v>
      </c>
      <c r="E542" s="16">
        <v>1776914.1176</v>
      </c>
      <c r="F542" s="17">
        <f t="shared" si="8"/>
        <v>13236670.6357</v>
      </c>
      <c r="G542" s="18"/>
      <c r="H542" s="18"/>
      <c r="I542" s="19"/>
      <c r="J542" s="19"/>
      <c r="K542" s="19"/>
      <c r="L542" s="19"/>
      <c r="M542" s="18"/>
      <c r="N542" s="18"/>
      <c r="O542" s="19"/>
      <c r="P542" s="19"/>
      <c r="Q542" s="19"/>
    </row>
    <row r="543" ht="18.75" spans="1:17">
      <c r="A543" s="14">
        <v>538</v>
      </c>
      <c r="B543" s="15" t="s">
        <v>113</v>
      </c>
      <c r="C543" s="15" t="s">
        <v>446</v>
      </c>
      <c r="D543" s="16">
        <v>12069552.4123</v>
      </c>
      <c r="E543" s="16">
        <v>1871467.1678</v>
      </c>
      <c r="F543" s="17">
        <f t="shared" si="8"/>
        <v>13941019.5801</v>
      </c>
      <c r="G543" s="18"/>
      <c r="H543" s="18"/>
      <c r="I543" s="19"/>
      <c r="J543" s="19"/>
      <c r="K543" s="19"/>
      <c r="L543" s="19"/>
      <c r="M543" s="18"/>
      <c r="N543" s="18"/>
      <c r="O543" s="19"/>
      <c r="P543" s="19"/>
      <c r="Q543" s="19"/>
    </row>
    <row r="544" ht="18.75" spans="1:17">
      <c r="A544" s="14">
        <v>539</v>
      </c>
      <c r="B544" s="15" t="s">
        <v>113</v>
      </c>
      <c r="C544" s="15" t="s">
        <v>448</v>
      </c>
      <c r="D544" s="16">
        <v>11432131.3473</v>
      </c>
      <c r="E544" s="16">
        <v>1772630.6448</v>
      </c>
      <c r="F544" s="17">
        <f t="shared" si="8"/>
        <v>13204761.9921</v>
      </c>
      <c r="G544" s="18"/>
      <c r="H544" s="18"/>
      <c r="I544" s="19"/>
      <c r="J544" s="19"/>
      <c r="K544" s="19"/>
      <c r="L544" s="19"/>
      <c r="M544" s="18"/>
      <c r="N544" s="18"/>
      <c r="O544" s="19"/>
      <c r="P544" s="19"/>
      <c r="Q544" s="19"/>
    </row>
    <row r="545" ht="18.75" spans="1:17">
      <c r="A545" s="14">
        <v>540</v>
      </c>
      <c r="B545" s="15" t="s">
        <v>113</v>
      </c>
      <c r="C545" s="15" t="s">
        <v>450</v>
      </c>
      <c r="D545" s="16">
        <v>10215333.6712</v>
      </c>
      <c r="E545" s="16">
        <v>1583957.7907</v>
      </c>
      <c r="F545" s="17">
        <f t="shared" si="8"/>
        <v>11799291.4619</v>
      </c>
      <c r="G545" s="18"/>
      <c r="H545" s="18"/>
      <c r="I545" s="19"/>
      <c r="J545" s="19"/>
      <c r="K545" s="19"/>
      <c r="L545" s="19"/>
      <c r="M545" s="18"/>
      <c r="N545" s="18"/>
      <c r="O545" s="19"/>
      <c r="P545" s="19"/>
      <c r="Q545" s="19"/>
    </row>
    <row r="546" ht="18.75" spans="1:17">
      <c r="A546" s="14">
        <v>541</v>
      </c>
      <c r="B546" s="15" t="s">
        <v>113</v>
      </c>
      <c r="C546" s="15" t="s">
        <v>452</v>
      </c>
      <c r="D546" s="16">
        <v>11022933.0955</v>
      </c>
      <c r="E546" s="16">
        <v>1709181.6396</v>
      </c>
      <c r="F546" s="17">
        <f t="shared" si="8"/>
        <v>12732114.7351</v>
      </c>
      <c r="G546" s="18"/>
      <c r="H546" s="18"/>
      <c r="I546" s="19"/>
      <c r="J546" s="19"/>
      <c r="K546" s="19"/>
      <c r="L546" s="19"/>
      <c r="M546" s="18"/>
      <c r="N546" s="18"/>
      <c r="O546" s="19"/>
      <c r="P546" s="19"/>
      <c r="Q546" s="19"/>
    </row>
    <row r="547" ht="18.75" spans="1:17">
      <c r="A547" s="14">
        <v>542</v>
      </c>
      <c r="B547" s="15" t="s">
        <v>113</v>
      </c>
      <c r="C547" s="15" t="s">
        <v>454</v>
      </c>
      <c r="D547" s="16">
        <v>12139345.7599</v>
      </c>
      <c r="E547" s="16">
        <v>1882289.1067</v>
      </c>
      <c r="F547" s="17">
        <f t="shared" si="8"/>
        <v>14021634.8666</v>
      </c>
      <c r="G547" s="18"/>
      <c r="H547" s="18"/>
      <c r="I547" s="19"/>
      <c r="J547" s="19"/>
      <c r="K547" s="19"/>
      <c r="L547" s="19"/>
      <c r="M547" s="18"/>
      <c r="N547" s="18"/>
      <c r="O547" s="19"/>
      <c r="P547" s="19"/>
      <c r="Q547" s="19"/>
    </row>
    <row r="548" ht="18.75" spans="1:17">
      <c r="A548" s="14">
        <v>543</v>
      </c>
      <c r="B548" s="15" t="s">
        <v>113</v>
      </c>
      <c r="C548" s="15" t="s">
        <v>456</v>
      </c>
      <c r="D548" s="16">
        <v>11857648.6736</v>
      </c>
      <c r="E548" s="16">
        <v>1838610.0348</v>
      </c>
      <c r="F548" s="17">
        <f t="shared" si="8"/>
        <v>13696258.7084</v>
      </c>
      <c r="G548" s="18"/>
      <c r="H548" s="18"/>
      <c r="I548" s="19"/>
      <c r="J548" s="19"/>
      <c r="K548" s="19"/>
      <c r="L548" s="19"/>
      <c r="M548" s="18"/>
      <c r="N548" s="18"/>
      <c r="O548" s="19"/>
      <c r="P548" s="19"/>
      <c r="Q548" s="19"/>
    </row>
    <row r="549" ht="18.75" spans="1:17">
      <c r="A549" s="14">
        <v>544</v>
      </c>
      <c r="B549" s="15" t="s">
        <v>113</v>
      </c>
      <c r="C549" s="15" t="s">
        <v>458</v>
      </c>
      <c r="D549" s="16">
        <v>13797806.9534</v>
      </c>
      <c r="E549" s="16">
        <v>2139444.9288</v>
      </c>
      <c r="F549" s="17">
        <f t="shared" si="8"/>
        <v>15937251.8822</v>
      </c>
      <c r="G549" s="18"/>
      <c r="H549" s="18"/>
      <c r="I549" s="19"/>
      <c r="J549" s="19"/>
      <c r="K549" s="19"/>
      <c r="L549" s="19"/>
      <c r="M549" s="18"/>
      <c r="N549" s="18"/>
      <c r="O549" s="19"/>
      <c r="P549" s="19"/>
      <c r="Q549" s="19"/>
    </row>
    <row r="550" ht="18.75" spans="1:17">
      <c r="A550" s="14">
        <v>545</v>
      </c>
      <c r="B550" s="15" t="s">
        <v>113</v>
      </c>
      <c r="C550" s="15" t="s">
        <v>460</v>
      </c>
      <c r="D550" s="16">
        <v>14134074.1843</v>
      </c>
      <c r="E550" s="16">
        <v>2191585.4772</v>
      </c>
      <c r="F550" s="17">
        <f t="shared" si="8"/>
        <v>16325659.6615</v>
      </c>
      <c r="G550" s="18"/>
      <c r="H550" s="18"/>
      <c r="I550" s="19"/>
      <c r="J550" s="19"/>
      <c r="K550" s="19"/>
      <c r="L550" s="19"/>
      <c r="M550" s="18"/>
      <c r="N550" s="18"/>
      <c r="O550" s="19"/>
      <c r="P550" s="19"/>
      <c r="Q550" s="19"/>
    </row>
    <row r="551" ht="18.75" spans="1:17">
      <c r="A551" s="14">
        <v>546</v>
      </c>
      <c r="B551" s="15" t="s">
        <v>113</v>
      </c>
      <c r="C551" s="15" t="s">
        <v>462</v>
      </c>
      <c r="D551" s="16">
        <v>15650171.2925</v>
      </c>
      <c r="E551" s="16">
        <v>2426666.7681</v>
      </c>
      <c r="F551" s="17">
        <f t="shared" si="8"/>
        <v>18076838.0606</v>
      </c>
      <c r="G551" s="18"/>
      <c r="H551" s="18"/>
      <c r="I551" s="19"/>
      <c r="J551" s="19"/>
      <c r="K551" s="19"/>
      <c r="L551" s="19"/>
      <c r="M551" s="18"/>
      <c r="N551" s="18"/>
      <c r="O551" s="19"/>
      <c r="P551" s="19"/>
      <c r="Q551" s="19"/>
    </row>
    <row r="552" ht="18.75" spans="1:17">
      <c r="A552" s="14">
        <v>547</v>
      </c>
      <c r="B552" s="15" t="s">
        <v>113</v>
      </c>
      <c r="C552" s="15" t="s">
        <v>464</v>
      </c>
      <c r="D552" s="16">
        <v>18466229.0723</v>
      </c>
      <c r="E552" s="16">
        <v>2863315.9078</v>
      </c>
      <c r="F552" s="17">
        <f t="shared" si="8"/>
        <v>21329544.9801</v>
      </c>
      <c r="G552" s="18"/>
      <c r="H552" s="18"/>
      <c r="I552" s="19"/>
      <c r="J552" s="19"/>
      <c r="K552" s="19"/>
      <c r="L552" s="19"/>
      <c r="M552" s="18"/>
      <c r="N552" s="18"/>
      <c r="O552" s="19"/>
      <c r="P552" s="19"/>
      <c r="Q552" s="19"/>
    </row>
    <row r="553" ht="18.75" spans="1:17">
      <c r="A553" s="14">
        <v>548</v>
      </c>
      <c r="B553" s="15" t="s">
        <v>113</v>
      </c>
      <c r="C553" s="15" t="s">
        <v>466</v>
      </c>
      <c r="D553" s="16">
        <v>11695257.5884</v>
      </c>
      <c r="E553" s="16">
        <v>1813430.1794</v>
      </c>
      <c r="F553" s="17">
        <f t="shared" si="8"/>
        <v>13508687.7678</v>
      </c>
      <c r="G553" s="18"/>
      <c r="H553" s="18"/>
      <c r="I553" s="19"/>
      <c r="J553" s="19"/>
      <c r="K553" s="19"/>
      <c r="L553" s="19"/>
      <c r="M553" s="18"/>
      <c r="N553" s="18"/>
      <c r="O553" s="19"/>
      <c r="P553" s="19"/>
      <c r="Q553" s="19"/>
    </row>
    <row r="554" ht="18.75" spans="1:17">
      <c r="A554" s="14">
        <v>549</v>
      </c>
      <c r="B554" s="15" t="s">
        <v>113</v>
      </c>
      <c r="C554" s="15" t="s">
        <v>468</v>
      </c>
      <c r="D554" s="16">
        <v>15873983.4976</v>
      </c>
      <c r="E554" s="16">
        <v>2461370.3909</v>
      </c>
      <c r="F554" s="17">
        <f t="shared" si="8"/>
        <v>18335353.8885</v>
      </c>
      <c r="G554" s="18"/>
      <c r="H554" s="18"/>
      <c r="I554" s="19"/>
      <c r="J554" s="19"/>
      <c r="K554" s="19"/>
      <c r="L554" s="19"/>
      <c r="M554" s="18"/>
      <c r="N554" s="18"/>
      <c r="O554" s="19"/>
      <c r="P554" s="19"/>
      <c r="Q554" s="19"/>
    </row>
    <row r="555" ht="18.75" spans="1:17">
      <c r="A555" s="14">
        <v>550</v>
      </c>
      <c r="B555" s="15" t="s">
        <v>113</v>
      </c>
      <c r="C555" s="15" t="s">
        <v>470</v>
      </c>
      <c r="D555" s="16">
        <v>10722534.788</v>
      </c>
      <c r="E555" s="16">
        <v>1662602.8146</v>
      </c>
      <c r="F555" s="17">
        <f t="shared" si="8"/>
        <v>12385137.6026</v>
      </c>
      <c r="G555" s="18"/>
      <c r="H555" s="18"/>
      <c r="I555" s="19"/>
      <c r="J555" s="19"/>
      <c r="K555" s="19"/>
      <c r="L555" s="19"/>
      <c r="M555" s="18"/>
      <c r="N555" s="18"/>
      <c r="O555" s="19"/>
      <c r="P555" s="19"/>
      <c r="Q555" s="19"/>
    </row>
    <row r="556" ht="18.75" spans="1:17">
      <c r="A556" s="14">
        <v>551</v>
      </c>
      <c r="B556" s="15" t="s">
        <v>113</v>
      </c>
      <c r="C556" s="15" t="s">
        <v>472</v>
      </c>
      <c r="D556" s="16">
        <v>12340402.5616</v>
      </c>
      <c r="E556" s="16">
        <v>1913464.3476</v>
      </c>
      <c r="F556" s="17">
        <f t="shared" si="8"/>
        <v>14253866.9092</v>
      </c>
      <c r="G556" s="18"/>
      <c r="H556" s="18"/>
      <c r="I556" s="19"/>
      <c r="J556" s="19"/>
      <c r="K556" s="19"/>
      <c r="L556" s="19"/>
      <c r="M556" s="18"/>
      <c r="N556" s="18"/>
      <c r="O556" s="19"/>
      <c r="P556" s="19"/>
      <c r="Q556" s="19"/>
    </row>
    <row r="557" ht="18.75" spans="1:17">
      <c r="A557" s="14">
        <v>552</v>
      </c>
      <c r="B557" s="15" t="s">
        <v>113</v>
      </c>
      <c r="C557" s="15" t="s">
        <v>474</v>
      </c>
      <c r="D557" s="16">
        <v>14233272.3107</v>
      </c>
      <c r="E557" s="16">
        <v>2206966.8295</v>
      </c>
      <c r="F557" s="17">
        <f t="shared" si="8"/>
        <v>16440239.1402</v>
      </c>
      <c r="G557" s="18"/>
      <c r="H557" s="18"/>
      <c r="I557" s="19"/>
      <c r="J557" s="19"/>
      <c r="K557" s="19"/>
      <c r="L557" s="19"/>
      <c r="M557" s="18"/>
      <c r="N557" s="18"/>
      <c r="O557" s="19"/>
      <c r="P557" s="19"/>
      <c r="Q557" s="19"/>
    </row>
    <row r="558" ht="18.75" spans="1:17">
      <c r="A558" s="14">
        <v>553</v>
      </c>
      <c r="B558" s="15" t="s">
        <v>113</v>
      </c>
      <c r="C558" s="15" t="s">
        <v>476</v>
      </c>
      <c r="D558" s="16">
        <v>13389673.409</v>
      </c>
      <c r="E558" s="16">
        <v>2076161.0139</v>
      </c>
      <c r="F558" s="17">
        <f t="shared" si="8"/>
        <v>15465834.4229</v>
      </c>
      <c r="G558" s="18"/>
      <c r="H558" s="18"/>
      <c r="I558" s="19"/>
      <c r="J558" s="19"/>
      <c r="K558" s="19"/>
      <c r="L558" s="19"/>
      <c r="M558" s="18"/>
      <c r="N558" s="18"/>
      <c r="O558" s="19"/>
      <c r="P558" s="19"/>
      <c r="Q558" s="19"/>
    </row>
    <row r="559" ht="18.75" spans="1:17">
      <c r="A559" s="14">
        <v>554</v>
      </c>
      <c r="B559" s="15" t="s">
        <v>113</v>
      </c>
      <c r="C559" s="15" t="s">
        <v>478</v>
      </c>
      <c r="D559" s="16">
        <v>15828645.5114</v>
      </c>
      <c r="E559" s="16">
        <v>2454340.4241</v>
      </c>
      <c r="F559" s="17">
        <f t="shared" si="8"/>
        <v>18282985.9355</v>
      </c>
      <c r="G559" s="18"/>
      <c r="H559" s="18"/>
      <c r="I559" s="19"/>
      <c r="J559" s="19"/>
      <c r="K559" s="19"/>
      <c r="L559" s="19"/>
      <c r="M559" s="18"/>
      <c r="N559" s="18"/>
      <c r="O559" s="19"/>
      <c r="P559" s="19"/>
      <c r="Q559" s="19"/>
    </row>
    <row r="560" ht="18.75" spans="1:17">
      <c r="A560" s="14">
        <v>555</v>
      </c>
      <c r="B560" s="15" t="s">
        <v>113</v>
      </c>
      <c r="C560" s="15" t="s">
        <v>480</v>
      </c>
      <c r="D560" s="16">
        <v>11575885.9299</v>
      </c>
      <c r="E560" s="16">
        <v>1794920.7822</v>
      </c>
      <c r="F560" s="17">
        <f t="shared" si="8"/>
        <v>13370806.7121</v>
      </c>
      <c r="G560" s="18"/>
      <c r="H560" s="18"/>
      <c r="I560" s="19"/>
      <c r="J560" s="19"/>
      <c r="K560" s="19"/>
      <c r="L560" s="19"/>
      <c r="M560" s="18"/>
      <c r="N560" s="18"/>
      <c r="O560" s="19"/>
      <c r="P560" s="19"/>
      <c r="Q560" s="19"/>
    </row>
    <row r="561" ht="18.75" spans="1:17">
      <c r="A561" s="14">
        <v>556</v>
      </c>
      <c r="B561" s="15" t="s">
        <v>113</v>
      </c>
      <c r="C561" s="15" t="s">
        <v>482</v>
      </c>
      <c r="D561" s="16">
        <v>9420933.737</v>
      </c>
      <c r="E561" s="16">
        <v>1460780.6136</v>
      </c>
      <c r="F561" s="17">
        <f t="shared" si="8"/>
        <v>10881714.3506</v>
      </c>
      <c r="G561" s="18"/>
      <c r="H561" s="18"/>
      <c r="I561" s="19"/>
      <c r="J561" s="19"/>
      <c r="K561" s="19"/>
      <c r="L561" s="19"/>
      <c r="M561" s="18"/>
      <c r="N561" s="18"/>
      <c r="O561" s="19"/>
      <c r="P561" s="19"/>
      <c r="Q561" s="19"/>
    </row>
    <row r="562" ht="18.75" spans="1:17">
      <c r="A562" s="14">
        <v>557</v>
      </c>
      <c r="B562" s="15" t="s">
        <v>113</v>
      </c>
      <c r="C562" s="15" t="s">
        <v>484</v>
      </c>
      <c r="D562" s="16">
        <v>10501427.1858</v>
      </c>
      <c r="E562" s="16">
        <v>1628318.5592</v>
      </c>
      <c r="F562" s="17">
        <f t="shared" si="8"/>
        <v>12129745.745</v>
      </c>
      <c r="G562" s="18"/>
      <c r="H562" s="18"/>
      <c r="I562" s="19"/>
      <c r="J562" s="19"/>
      <c r="K562" s="19"/>
      <c r="L562" s="19"/>
      <c r="M562" s="18"/>
      <c r="N562" s="18"/>
      <c r="O562" s="19"/>
      <c r="P562" s="19"/>
      <c r="Q562" s="19"/>
    </row>
    <row r="563" ht="37.5" spans="1:17">
      <c r="A563" s="14">
        <v>558</v>
      </c>
      <c r="B563" s="15" t="s">
        <v>114</v>
      </c>
      <c r="C563" s="15" t="s">
        <v>489</v>
      </c>
      <c r="D563" s="16">
        <v>11790107.1941</v>
      </c>
      <c r="E563" s="16">
        <v>1828137.2635</v>
      </c>
      <c r="F563" s="17">
        <f t="shared" si="8"/>
        <v>13618244.4576</v>
      </c>
      <c r="G563" s="18"/>
      <c r="H563" s="18"/>
      <c r="I563" s="19"/>
      <c r="J563" s="19"/>
      <c r="K563" s="19"/>
      <c r="L563" s="19"/>
      <c r="M563" s="18"/>
      <c r="N563" s="18"/>
      <c r="O563" s="19"/>
      <c r="P563" s="19"/>
      <c r="Q563" s="19"/>
    </row>
    <row r="564" ht="37.5" spans="1:17">
      <c r="A564" s="14">
        <v>559</v>
      </c>
      <c r="B564" s="15" t="s">
        <v>114</v>
      </c>
      <c r="C564" s="15" t="s">
        <v>491</v>
      </c>
      <c r="D564" s="16">
        <v>12171481.6625</v>
      </c>
      <c r="E564" s="16">
        <v>1887271.9996</v>
      </c>
      <c r="F564" s="17">
        <f t="shared" si="8"/>
        <v>14058753.6621</v>
      </c>
      <c r="G564" s="18"/>
      <c r="H564" s="18"/>
      <c r="I564" s="19"/>
      <c r="J564" s="19"/>
      <c r="K564" s="19"/>
      <c r="L564" s="19"/>
      <c r="M564" s="18"/>
      <c r="N564" s="18"/>
      <c r="O564" s="19"/>
      <c r="P564" s="19"/>
      <c r="Q564" s="19"/>
    </row>
    <row r="565" ht="18.75" spans="1:17">
      <c r="A565" s="14">
        <v>560</v>
      </c>
      <c r="B565" s="15" t="s">
        <v>114</v>
      </c>
      <c r="C565" s="15" t="s">
        <v>493</v>
      </c>
      <c r="D565" s="16">
        <v>18707970.2463</v>
      </c>
      <c r="E565" s="16">
        <v>2900799.5406</v>
      </c>
      <c r="F565" s="17">
        <f t="shared" si="8"/>
        <v>21608769.7869</v>
      </c>
      <c r="G565" s="18"/>
      <c r="H565" s="18"/>
      <c r="I565" s="19"/>
      <c r="J565" s="19"/>
      <c r="K565" s="19"/>
      <c r="L565" s="19"/>
      <c r="M565" s="18"/>
      <c r="N565" s="18"/>
      <c r="O565" s="19"/>
      <c r="P565" s="19"/>
      <c r="Q565" s="19"/>
    </row>
    <row r="566" ht="18.75" spans="1:17">
      <c r="A566" s="14">
        <v>561</v>
      </c>
      <c r="B566" s="15" t="s">
        <v>114</v>
      </c>
      <c r="C566" s="15" t="s">
        <v>495</v>
      </c>
      <c r="D566" s="16">
        <v>12300647.4864</v>
      </c>
      <c r="E566" s="16">
        <v>1907300.0495</v>
      </c>
      <c r="F566" s="17">
        <f t="shared" si="8"/>
        <v>14207947.5359</v>
      </c>
      <c r="G566" s="18"/>
      <c r="H566" s="18"/>
      <c r="I566" s="19"/>
      <c r="J566" s="19"/>
      <c r="K566" s="19"/>
      <c r="L566" s="19"/>
      <c r="M566" s="18"/>
      <c r="N566" s="18"/>
      <c r="O566" s="19"/>
      <c r="P566" s="19"/>
      <c r="Q566" s="19"/>
    </row>
    <row r="567" ht="18.75" spans="1:17">
      <c r="A567" s="14">
        <v>562</v>
      </c>
      <c r="B567" s="15" t="s">
        <v>114</v>
      </c>
      <c r="C567" s="15" t="s">
        <v>497</v>
      </c>
      <c r="D567" s="16">
        <v>11023577.8329</v>
      </c>
      <c r="E567" s="16">
        <v>1709281.6106</v>
      </c>
      <c r="F567" s="17">
        <f t="shared" si="8"/>
        <v>12732859.4435</v>
      </c>
      <c r="G567" s="18"/>
      <c r="H567" s="18"/>
      <c r="I567" s="19"/>
      <c r="J567" s="19"/>
      <c r="K567" s="19"/>
      <c r="L567" s="19"/>
      <c r="M567" s="18"/>
      <c r="N567" s="18"/>
      <c r="O567" s="19"/>
      <c r="P567" s="19"/>
      <c r="Q567" s="19"/>
    </row>
    <row r="568" ht="18.75" spans="1:17">
      <c r="A568" s="14">
        <v>563</v>
      </c>
      <c r="B568" s="15" t="s">
        <v>114</v>
      </c>
      <c r="C568" s="15" t="s">
        <v>499</v>
      </c>
      <c r="D568" s="16">
        <v>8385357.7627</v>
      </c>
      <c r="E568" s="16">
        <v>1300207.4317</v>
      </c>
      <c r="F568" s="17">
        <f t="shared" si="8"/>
        <v>9685565.1944</v>
      </c>
      <c r="G568" s="18"/>
      <c r="H568" s="18"/>
      <c r="I568" s="19"/>
      <c r="J568" s="19"/>
      <c r="K568" s="19"/>
      <c r="L568" s="19"/>
      <c r="M568" s="18"/>
      <c r="N568" s="18"/>
      <c r="O568" s="19"/>
      <c r="P568" s="19"/>
      <c r="Q568" s="19"/>
    </row>
    <row r="569" ht="18.75" spans="1:17">
      <c r="A569" s="14">
        <v>564</v>
      </c>
      <c r="B569" s="15" t="s">
        <v>114</v>
      </c>
      <c r="C569" s="15" t="s">
        <v>501</v>
      </c>
      <c r="D569" s="16">
        <v>8168820.257</v>
      </c>
      <c r="E569" s="16">
        <v>1266631.8011</v>
      </c>
      <c r="F569" s="17">
        <f t="shared" si="8"/>
        <v>9435452.0581</v>
      </c>
      <c r="G569" s="18"/>
      <c r="H569" s="18"/>
      <c r="I569" s="19"/>
      <c r="J569" s="19"/>
      <c r="K569" s="19"/>
      <c r="L569" s="19"/>
      <c r="M569" s="18"/>
      <c r="N569" s="18"/>
      <c r="O569" s="19"/>
      <c r="P569" s="19"/>
      <c r="Q569" s="19"/>
    </row>
    <row r="570" ht="18.75" spans="1:17">
      <c r="A570" s="14">
        <v>565</v>
      </c>
      <c r="B570" s="15" t="s">
        <v>114</v>
      </c>
      <c r="C570" s="15" t="s">
        <v>503</v>
      </c>
      <c r="D570" s="16">
        <v>18342739.7023</v>
      </c>
      <c r="E570" s="16">
        <v>2844168.0311</v>
      </c>
      <c r="F570" s="17">
        <f t="shared" si="8"/>
        <v>21186907.7334</v>
      </c>
      <c r="G570" s="18"/>
      <c r="H570" s="18"/>
      <c r="I570" s="19"/>
      <c r="J570" s="19"/>
      <c r="K570" s="19"/>
      <c r="L570" s="19"/>
      <c r="M570" s="18"/>
      <c r="N570" s="18"/>
      <c r="O570" s="19"/>
      <c r="P570" s="19"/>
      <c r="Q570" s="19"/>
    </row>
    <row r="571" ht="18.75" spans="1:17">
      <c r="A571" s="14">
        <v>566</v>
      </c>
      <c r="B571" s="15" t="s">
        <v>114</v>
      </c>
      <c r="C571" s="15" t="s">
        <v>505</v>
      </c>
      <c r="D571" s="16">
        <v>10916211.0043</v>
      </c>
      <c r="E571" s="16">
        <v>1692633.6449</v>
      </c>
      <c r="F571" s="17">
        <f t="shared" si="8"/>
        <v>12608844.6492</v>
      </c>
      <c r="G571" s="18"/>
      <c r="H571" s="18"/>
      <c r="I571" s="19"/>
      <c r="J571" s="19"/>
      <c r="K571" s="19"/>
      <c r="L571" s="19"/>
      <c r="M571" s="18"/>
      <c r="N571" s="18"/>
      <c r="O571" s="19"/>
      <c r="P571" s="19"/>
      <c r="Q571" s="19"/>
    </row>
    <row r="572" ht="18.75" spans="1:17">
      <c r="A572" s="14">
        <v>567</v>
      </c>
      <c r="B572" s="15" t="s">
        <v>114</v>
      </c>
      <c r="C572" s="15" t="s">
        <v>507</v>
      </c>
      <c r="D572" s="16">
        <v>13638738.2509</v>
      </c>
      <c r="E572" s="16">
        <v>2114780.2317</v>
      </c>
      <c r="F572" s="17">
        <f t="shared" si="8"/>
        <v>15753518.4826</v>
      </c>
      <c r="G572" s="18"/>
      <c r="H572" s="18"/>
      <c r="I572" s="19"/>
      <c r="J572" s="19"/>
      <c r="K572" s="19"/>
      <c r="L572" s="19"/>
      <c r="M572" s="18"/>
      <c r="N572" s="18"/>
      <c r="O572" s="19"/>
      <c r="P572" s="19"/>
      <c r="Q572" s="19"/>
    </row>
    <row r="573" ht="18.75" spans="1:17">
      <c r="A573" s="14">
        <v>568</v>
      </c>
      <c r="B573" s="15" t="s">
        <v>114</v>
      </c>
      <c r="C573" s="15" t="s">
        <v>509</v>
      </c>
      <c r="D573" s="16">
        <v>10522292.529</v>
      </c>
      <c r="E573" s="16">
        <v>1631553.8742</v>
      </c>
      <c r="F573" s="17">
        <f t="shared" si="8"/>
        <v>12153846.4032</v>
      </c>
      <c r="G573" s="18"/>
      <c r="H573" s="18"/>
      <c r="I573" s="19"/>
      <c r="J573" s="19"/>
      <c r="K573" s="19"/>
      <c r="L573" s="19"/>
      <c r="M573" s="18"/>
      <c r="N573" s="18"/>
      <c r="O573" s="19"/>
      <c r="P573" s="19"/>
      <c r="Q573" s="19"/>
    </row>
    <row r="574" ht="18.75" spans="1:17">
      <c r="A574" s="14">
        <v>569</v>
      </c>
      <c r="B574" s="15" t="s">
        <v>114</v>
      </c>
      <c r="C574" s="15" t="s">
        <v>511</v>
      </c>
      <c r="D574" s="16">
        <v>9506431.0231</v>
      </c>
      <c r="E574" s="16">
        <v>1474037.5563</v>
      </c>
      <c r="F574" s="17">
        <f t="shared" si="8"/>
        <v>10980468.5794</v>
      </c>
      <c r="G574" s="18"/>
      <c r="H574" s="18"/>
      <c r="I574" s="19"/>
      <c r="J574" s="19"/>
      <c r="K574" s="19"/>
      <c r="L574" s="19"/>
      <c r="M574" s="18"/>
      <c r="N574" s="18"/>
      <c r="O574" s="19"/>
      <c r="P574" s="19"/>
      <c r="Q574" s="19"/>
    </row>
    <row r="575" ht="37.5" spans="1:17">
      <c r="A575" s="14">
        <v>570</v>
      </c>
      <c r="B575" s="15" t="s">
        <v>114</v>
      </c>
      <c r="C575" s="15" t="s">
        <v>513</v>
      </c>
      <c r="D575" s="16">
        <v>8572500.0334</v>
      </c>
      <c r="E575" s="16">
        <v>1329225.1287</v>
      </c>
      <c r="F575" s="17">
        <f t="shared" si="8"/>
        <v>9901725.1621</v>
      </c>
      <c r="G575" s="18"/>
      <c r="H575" s="18"/>
      <c r="I575" s="19"/>
      <c r="J575" s="19"/>
      <c r="K575" s="19"/>
      <c r="L575" s="19"/>
      <c r="M575" s="18"/>
      <c r="N575" s="18"/>
      <c r="O575" s="19"/>
      <c r="P575" s="19"/>
      <c r="Q575" s="19"/>
    </row>
    <row r="576" ht="18.75" spans="1:17">
      <c r="A576" s="14">
        <v>571</v>
      </c>
      <c r="B576" s="15" t="s">
        <v>114</v>
      </c>
      <c r="C576" s="15" t="s">
        <v>515</v>
      </c>
      <c r="D576" s="16">
        <v>9855177.4467</v>
      </c>
      <c r="E576" s="16">
        <v>1528113.0894</v>
      </c>
      <c r="F576" s="17">
        <f t="shared" si="8"/>
        <v>11383290.5361</v>
      </c>
      <c r="G576" s="18"/>
      <c r="H576" s="18"/>
      <c r="I576" s="19"/>
      <c r="J576" s="19"/>
      <c r="K576" s="19"/>
      <c r="L576" s="19"/>
      <c r="M576" s="18"/>
      <c r="N576" s="18"/>
      <c r="O576" s="19"/>
      <c r="P576" s="19"/>
      <c r="Q576" s="19"/>
    </row>
    <row r="577" ht="18.75" spans="1:17">
      <c r="A577" s="14">
        <v>572</v>
      </c>
      <c r="B577" s="15" t="s">
        <v>114</v>
      </c>
      <c r="C577" s="15" t="s">
        <v>517</v>
      </c>
      <c r="D577" s="16">
        <v>10322491.6145</v>
      </c>
      <c r="E577" s="16">
        <v>1600573.3673</v>
      </c>
      <c r="F577" s="17">
        <f t="shared" si="8"/>
        <v>11923064.9818</v>
      </c>
      <c r="G577" s="18"/>
      <c r="H577" s="18"/>
      <c r="I577" s="19"/>
      <c r="J577" s="19"/>
      <c r="K577" s="19"/>
      <c r="L577" s="19"/>
      <c r="M577" s="18"/>
      <c r="N577" s="18"/>
      <c r="O577" s="19"/>
      <c r="P577" s="19"/>
      <c r="Q577" s="19"/>
    </row>
    <row r="578" ht="37.5" spans="1:17">
      <c r="A578" s="14">
        <v>573</v>
      </c>
      <c r="B578" s="15" t="s">
        <v>114</v>
      </c>
      <c r="C578" s="15" t="s">
        <v>519</v>
      </c>
      <c r="D578" s="16">
        <v>12516052.1319</v>
      </c>
      <c r="E578" s="16">
        <v>1940700.0223</v>
      </c>
      <c r="F578" s="17">
        <f t="shared" si="8"/>
        <v>14456752.1542</v>
      </c>
      <c r="G578" s="18"/>
      <c r="H578" s="18"/>
      <c r="I578" s="19"/>
      <c r="J578" s="19"/>
      <c r="K578" s="19"/>
      <c r="L578" s="19"/>
      <c r="M578" s="18"/>
      <c r="N578" s="18"/>
      <c r="O578" s="19"/>
      <c r="P578" s="19"/>
      <c r="Q578" s="19"/>
    </row>
    <row r="579" ht="18.75" spans="1:17">
      <c r="A579" s="14">
        <v>574</v>
      </c>
      <c r="B579" s="15" t="s">
        <v>114</v>
      </c>
      <c r="C579" s="15" t="s">
        <v>521</v>
      </c>
      <c r="D579" s="16">
        <v>10506975.8086</v>
      </c>
      <c r="E579" s="16">
        <v>1629178.9113</v>
      </c>
      <c r="F579" s="17">
        <f t="shared" si="8"/>
        <v>12136154.7199</v>
      </c>
      <c r="G579" s="18"/>
      <c r="H579" s="18"/>
      <c r="I579" s="19"/>
      <c r="J579" s="19"/>
      <c r="K579" s="19"/>
      <c r="L579" s="19"/>
      <c r="M579" s="18"/>
      <c r="N579" s="18"/>
      <c r="O579" s="19"/>
      <c r="P579" s="19"/>
      <c r="Q579" s="19"/>
    </row>
    <row r="580" ht="18.75" spans="1:17">
      <c r="A580" s="14">
        <v>575</v>
      </c>
      <c r="B580" s="15" t="s">
        <v>114</v>
      </c>
      <c r="C580" s="15" t="s">
        <v>523</v>
      </c>
      <c r="D580" s="16">
        <v>9765141.0022</v>
      </c>
      <c r="E580" s="16">
        <v>1514152.3191</v>
      </c>
      <c r="F580" s="17">
        <f t="shared" si="8"/>
        <v>11279293.3213</v>
      </c>
      <c r="G580" s="18"/>
      <c r="H580" s="18"/>
      <c r="I580" s="19"/>
      <c r="J580" s="19"/>
      <c r="K580" s="19"/>
      <c r="L580" s="19"/>
      <c r="M580" s="18"/>
      <c r="N580" s="18"/>
      <c r="O580" s="19"/>
      <c r="P580" s="19"/>
      <c r="Q580" s="19"/>
    </row>
    <row r="581" ht="37.5" spans="1:17">
      <c r="A581" s="14">
        <v>576</v>
      </c>
      <c r="B581" s="15" t="s">
        <v>114</v>
      </c>
      <c r="C581" s="15" t="s">
        <v>526</v>
      </c>
      <c r="D581" s="16">
        <v>9275343.0008</v>
      </c>
      <c r="E581" s="16">
        <v>1438205.768</v>
      </c>
      <c r="F581" s="17">
        <f t="shared" si="8"/>
        <v>10713548.7688</v>
      </c>
      <c r="G581" s="18"/>
      <c r="H581" s="18"/>
      <c r="I581" s="19"/>
      <c r="J581" s="19"/>
      <c r="K581" s="19"/>
      <c r="L581" s="19"/>
      <c r="M581" s="18"/>
      <c r="N581" s="18"/>
      <c r="O581" s="19"/>
      <c r="P581" s="19"/>
      <c r="Q581" s="19"/>
    </row>
    <row r="582" ht="18.75" spans="1:17">
      <c r="A582" s="14">
        <v>577</v>
      </c>
      <c r="B582" s="15" t="s">
        <v>114</v>
      </c>
      <c r="C582" s="15" t="s">
        <v>528</v>
      </c>
      <c r="D582" s="16">
        <v>12580430.4342</v>
      </c>
      <c r="E582" s="16">
        <v>1950682.3211</v>
      </c>
      <c r="F582" s="17">
        <f t="shared" si="8"/>
        <v>14531112.7553</v>
      </c>
      <c r="G582" s="18"/>
      <c r="H582" s="18"/>
      <c r="I582" s="19"/>
      <c r="J582" s="19"/>
      <c r="K582" s="19"/>
      <c r="L582" s="19"/>
      <c r="M582" s="18"/>
      <c r="N582" s="18"/>
      <c r="O582" s="19"/>
      <c r="P582" s="19"/>
      <c r="Q582" s="19"/>
    </row>
    <row r="583" ht="37.5" spans="1:17">
      <c r="A583" s="14">
        <v>578</v>
      </c>
      <c r="B583" s="15" t="s">
        <v>115</v>
      </c>
      <c r="C583" s="15" t="s">
        <v>532</v>
      </c>
      <c r="D583" s="16">
        <v>12126523.5535</v>
      </c>
      <c r="E583" s="16">
        <v>1880300.9354</v>
      </c>
      <c r="F583" s="17">
        <f t="shared" ref="F583:F646" si="9">D583+E583</f>
        <v>14006824.4889</v>
      </c>
      <c r="G583" s="18"/>
      <c r="H583" s="18"/>
      <c r="I583" s="19"/>
      <c r="J583" s="19"/>
      <c r="K583" s="19"/>
      <c r="L583" s="19"/>
      <c r="M583" s="18"/>
      <c r="N583" s="18"/>
      <c r="O583" s="19"/>
      <c r="P583" s="19"/>
      <c r="Q583" s="19"/>
    </row>
    <row r="584" ht="37.5" spans="1:17">
      <c r="A584" s="14">
        <v>579</v>
      </c>
      <c r="B584" s="15" t="s">
        <v>115</v>
      </c>
      <c r="C584" s="15" t="s">
        <v>534</v>
      </c>
      <c r="D584" s="16">
        <v>12827917.1089</v>
      </c>
      <c r="E584" s="16">
        <v>1989056.8333</v>
      </c>
      <c r="F584" s="17">
        <f t="shared" si="9"/>
        <v>14816973.9422</v>
      </c>
      <c r="G584" s="18"/>
      <c r="H584" s="18"/>
      <c r="I584" s="19"/>
      <c r="J584" s="19"/>
      <c r="K584" s="19"/>
      <c r="L584" s="19"/>
      <c r="M584" s="18"/>
      <c r="N584" s="18"/>
      <c r="O584" s="19"/>
      <c r="P584" s="19"/>
      <c r="Q584" s="19"/>
    </row>
    <row r="585" ht="37.5" spans="1:17">
      <c r="A585" s="14">
        <v>580</v>
      </c>
      <c r="B585" s="15" t="s">
        <v>115</v>
      </c>
      <c r="C585" s="15" t="s">
        <v>536</v>
      </c>
      <c r="D585" s="16">
        <v>13059875.499</v>
      </c>
      <c r="E585" s="16">
        <v>2025023.5781</v>
      </c>
      <c r="F585" s="17">
        <f t="shared" si="9"/>
        <v>15084899.0771</v>
      </c>
      <c r="G585" s="18"/>
      <c r="H585" s="18"/>
      <c r="I585" s="19"/>
      <c r="J585" s="19"/>
      <c r="K585" s="19"/>
      <c r="L585" s="19"/>
      <c r="M585" s="18"/>
      <c r="N585" s="18"/>
      <c r="O585" s="19"/>
      <c r="P585" s="19"/>
      <c r="Q585" s="19"/>
    </row>
    <row r="586" ht="37.5" spans="1:17">
      <c r="A586" s="14">
        <v>581</v>
      </c>
      <c r="B586" s="15" t="s">
        <v>115</v>
      </c>
      <c r="C586" s="15" t="s">
        <v>538</v>
      </c>
      <c r="D586" s="16">
        <v>9686733.7341</v>
      </c>
      <c r="E586" s="16">
        <v>1501994.7325</v>
      </c>
      <c r="F586" s="17">
        <f t="shared" si="9"/>
        <v>11188728.4666</v>
      </c>
      <c r="G586" s="18"/>
      <c r="H586" s="18"/>
      <c r="I586" s="19"/>
      <c r="J586" s="19"/>
      <c r="K586" s="19"/>
      <c r="L586" s="19"/>
      <c r="M586" s="18"/>
      <c r="N586" s="18"/>
      <c r="O586" s="19"/>
      <c r="P586" s="19"/>
      <c r="Q586" s="19"/>
    </row>
    <row r="587" ht="18.75" spans="1:17">
      <c r="A587" s="14">
        <v>582</v>
      </c>
      <c r="B587" s="15" t="s">
        <v>115</v>
      </c>
      <c r="C587" s="15" t="s">
        <v>540</v>
      </c>
      <c r="D587" s="16">
        <v>10150524.6442</v>
      </c>
      <c r="E587" s="16">
        <v>1573908.7051</v>
      </c>
      <c r="F587" s="17">
        <f t="shared" si="9"/>
        <v>11724433.3493</v>
      </c>
      <c r="G587" s="18"/>
      <c r="H587" s="18"/>
      <c r="I587" s="19"/>
      <c r="J587" s="19"/>
      <c r="K587" s="19"/>
      <c r="L587" s="19"/>
      <c r="M587" s="18"/>
      <c r="N587" s="18"/>
      <c r="O587" s="19"/>
      <c r="P587" s="19"/>
      <c r="Q587" s="19"/>
    </row>
    <row r="588" ht="18.75" spans="1:17">
      <c r="A588" s="14">
        <v>583</v>
      </c>
      <c r="B588" s="15" t="s">
        <v>115</v>
      </c>
      <c r="C588" s="15" t="s">
        <v>542</v>
      </c>
      <c r="D588" s="16">
        <v>15598969.3542</v>
      </c>
      <c r="E588" s="16">
        <v>2418727.5552</v>
      </c>
      <c r="F588" s="17">
        <f t="shared" si="9"/>
        <v>18017696.9094</v>
      </c>
      <c r="G588" s="18"/>
      <c r="H588" s="18"/>
      <c r="I588" s="19"/>
      <c r="J588" s="19"/>
      <c r="K588" s="19"/>
      <c r="L588" s="19"/>
      <c r="M588" s="18"/>
      <c r="N588" s="18"/>
      <c r="O588" s="19"/>
      <c r="P588" s="19"/>
      <c r="Q588" s="19"/>
    </row>
    <row r="589" ht="18.75" spans="1:17">
      <c r="A589" s="14">
        <v>584</v>
      </c>
      <c r="B589" s="15" t="s">
        <v>115</v>
      </c>
      <c r="C589" s="15" t="s">
        <v>544</v>
      </c>
      <c r="D589" s="16">
        <v>10986066.6355</v>
      </c>
      <c r="E589" s="16">
        <v>1703465.2413</v>
      </c>
      <c r="F589" s="17">
        <f t="shared" si="9"/>
        <v>12689531.8768</v>
      </c>
      <c r="G589" s="18"/>
      <c r="H589" s="18"/>
      <c r="I589" s="19"/>
      <c r="J589" s="19"/>
      <c r="K589" s="19"/>
      <c r="L589" s="19"/>
      <c r="M589" s="18"/>
      <c r="N589" s="18"/>
      <c r="O589" s="19"/>
      <c r="P589" s="19"/>
      <c r="Q589" s="19"/>
    </row>
    <row r="590" ht="18.75" spans="1:17">
      <c r="A590" s="14">
        <v>585</v>
      </c>
      <c r="B590" s="15" t="s">
        <v>115</v>
      </c>
      <c r="C590" s="15" t="s">
        <v>546</v>
      </c>
      <c r="D590" s="16">
        <v>11068512.4502</v>
      </c>
      <c r="E590" s="16">
        <v>1716249.0323</v>
      </c>
      <c r="F590" s="17">
        <f t="shared" si="9"/>
        <v>12784761.4825</v>
      </c>
      <c r="G590" s="18"/>
      <c r="H590" s="18"/>
      <c r="I590" s="19"/>
      <c r="J590" s="19"/>
      <c r="K590" s="19"/>
      <c r="L590" s="19"/>
      <c r="M590" s="18"/>
      <c r="N590" s="18"/>
      <c r="O590" s="19"/>
      <c r="P590" s="19"/>
      <c r="Q590" s="19"/>
    </row>
    <row r="591" ht="18.75" spans="1:17">
      <c r="A591" s="14">
        <v>586</v>
      </c>
      <c r="B591" s="15" t="s">
        <v>115</v>
      </c>
      <c r="C591" s="15" t="s">
        <v>548</v>
      </c>
      <c r="D591" s="16">
        <v>13307054.6941</v>
      </c>
      <c r="E591" s="16">
        <v>2063350.4135</v>
      </c>
      <c r="F591" s="17">
        <f t="shared" si="9"/>
        <v>15370405.1076</v>
      </c>
      <c r="G591" s="18"/>
      <c r="H591" s="18"/>
      <c r="I591" s="19"/>
      <c r="J591" s="19"/>
      <c r="K591" s="19"/>
      <c r="L591" s="19"/>
      <c r="M591" s="18"/>
      <c r="N591" s="18"/>
      <c r="O591" s="19"/>
      <c r="P591" s="19"/>
      <c r="Q591" s="19"/>
    </row>
    <row r="592" ht="18.75" spans="1:17">
      <c r="A592" s="14">
        <v>587</v>
      </c>
      <c r="B592" s="15" t="s">
        <v>115</v>
      </c>
      <c r="C592" s="15" t="s">
        <v>550</v>
      </c>
      <c r="D592" s="16">
        <v>14439787.3324</v>
      </c>
      <c r="E592" s="16">
        <v>2238988.4049</v>
      </c>
      <c r="F592" s="17">
        <f t="shared" si="9"/>
        <v>16678775.7373</v>
      </c>
      <c r="G592" s="18"/>
      <c r="H592" s="18"/>
      <c r="I592" s="19"/>
      <c r="J592" s="19"/>
      <c r="K592" s="19"/>
      <c r="L592" s="19"/>
      <c r="M592" s="18"/>
      <c r="N592" s="18"/>
      <c r="O592" s="19"/>
      <c r="P592" s="19"/>
      <c r="Q592" s="19"/>
    </row>
    <row r="593" ht="18.75" spans="1:17">
      <c r="A593" s="14">
        <v>588</v>
      </c>
      <c r="B593" s="15" t="s">
        <v>115</v>
      </c>
      <c r="C593" s="15" t="s">
        <v>552</v>
      </c>
      <c r="D593" s="16">
        <v>11048592.8366</v>
      </c>
      <c r="E593" s="16">
        <v>1713160.3591</v>
      </c>
      <c r="F593" s="17">
        <f t="shared" si="9"/>
        <v>12761753.1957</v>
      </c>
      <c r="G593" s="18"/>
      <c r="H593" s="18"/>
      <c r="I593" s="19"/>
      <c r="J593" s="19"/>
      <c r="K593" s="19"/>
      <c r="L593" s="19"/>
      <c r="M593" s="18"/>
      <c r="N593" s="18"/>
      <c r="O593" s="19"/>
      <c r="P593" s="19"/>
      <c r="Q593" s="19"/>
    </row>
    <row r="594" ht="37.5" spans="1:17">
      <c r="A594" s="14">
        <v>589</v>
      </c>
      <c r="B594" s="15" t="s">
        <v>115</v>
      </c>
      <c r="C594" s="15" t="s">
        <v>554</v>
      </c>
      <c r="D594" s="16">
        <v>11436017.8027</v>
      </c>
      <c r="E594" s="16">
        <v>1773233.2664</v>
      </c>
      <c r="F594" s="17">
        <f t="shared" si="9"/>
        <v>13209251.0691</v>
      </c>
      <c r="G594" s="18"/>
      <c r="H594" s="18"/>
      <c r="I594" s="19"/>
      <c r="J594" s="19"/>
      <c r="K594" s="19"/>
      <c r="L594" s="19"/>
      <c r="M594" s="18"/>
      <c r="N594" s="18"/>
      <c r="O594" s="19"/>
      <c r="P594" s="19"/>
      <c r="Q594" s="19"/>
    </row>
    <row r="595" ht="18.75" spans="1:17">
      <c r="A595" s="14">
        <v>590</v>
      </c>
      <c r="B595" s="15" t="s">
        <v>115</v>
      </c>
      <c r="C595" s="15" t="s">
        <v>556</v>
      </c>
      <c r="D595" s="16">
        <v>10627678.7962</v>
      </c>
      <c r="E595" s="16">
        <v>1647894.7403</v>
      </c>
      <c r="F595" s="17">
        <f t="shared" si="9"/>
        <v>12275573.5365</v>
      </c>
      <c r="G595" s="18"/>
      <c r="H595" s="18"/>
      <c r="I595" s="19"/>
      <c r="J595" s="19"/>
      <c r="K595" s="19"/>
      <c r="L595" s="19"/>
      <c r="M595" s="18"/>
      <c r="N595" s="18"/>
      <c r="O595" s="19"/>
      <c r="P595" s="19"/>
      <c r="Q595" s="19"/>
    </row>
    <row r="596" ht="18.75" spans="1:17">
      <c r="A596" s="14">
        <v>591</v>
      </c>
      <c r="B596" s="15" t="s">
        <v>115</v>
      </c>
      <c r="C596" s="15" t="s">
        <v>558</v>
      </c>
      <c r="D596" s="16">
        <v>13291362.5855</v>
      </c>
      <c r="E596" s="16">
        <v>2060917.2441</v>
      </c>
      <c r="F596" s="17">
        <f t="shared" si="9"/>
        <v>15352279.8296</v>
      </c>
      <c r="G596" s="18"/>
      <c r="H596" s="18"/>
      <c r="I596" s="19"/>
      <c r="J596" s="19"/>
      <c r="K596" s="19"/>
      <c r="L596" s="19"/>
      <c r="M596" s="18"/>
      <c r="N596" s="18"/>
      <c r="O596" s="19"/>
      <c r="P596" s="19"/>
      <c r="Q596" s="19"/>
    </row>
    <row r="597" ht="18.75" spans="1:17">
      <c r="A597" s="14">
        <v>592</v>
      </c>
      <c r="B597" s="15" t="s">
        <v>115</v>
      </c>
      <c r="C597" s="15" t="s">
        <v>560</v>
      </c>
      <c r="D597" s="16">
        <v>8821058.4941</v>
      </c>
      <c r="E597" s="16">
        <v>1367765.8287</v>
      </c>
      <c r="F597" s="17">
        <f t="shared" si="9"/>
        <v>10188824.3228</v>
      </c>
      <c r="G597" s="18"/>
      <c r="H597" s="18"/>
      <c r="I597" s="19"/>
      <c r="J597" s="19"/>
      <c r="K597" s="19"/>
      <c r="L597" s="19"/>
      <c r="M597" s="18"/>
      <c r="N597" s="18"/>
      <c r="O597" s="19"/>
      <c r="P597" s="19"/>
      <c r="Q597" s="19"/>
    </row>
    <row r="598" ht="18.75" spans="1:17">
      <c r="A598" s="14">
        <v>593</v>
      </c>
      <c r="B598" s="15" t="s">
        <v>115</v>
      </c>
      <c r="C598" s="15" t="s">
        <v>562</v>
      </c>
      <c r="D598" s="16">
        <v>14578808.7026</v>
      </c>
      <c r="E598" s="16">
        <v>2260544.6251</v>
      </c>
      <c r="F598" s="17">
        <f t="shared" si="9"/>
        <v>16839353.3277</v>
      </c>
      <c r="G598" s="18"/>
      <c r="H598" s="18"/>
      <c r="I598" s="19"/>
      <c r="J598" s="19"/>
      <c r="K598" s="19"/>
      <c r="L598" s="19"/>
      <c r="M598" s="18"/>
      <c r="N598" s="18"/>
      <c r="O598" s="19"/>
      <c r="P598" s="19"/>
      <c r="Q598" s="19"/>
    </row>
    <row r="599" ht="18.75" spans="1:17">
      <c r="A599" s="14">
        <v>594</v>
      </c>
      <c r="B599" s="15" t="s">
        <v>115</v>
      </c>
      <c r="C599" s="15" t="s">
        <v>564</v>
      </c>
      <c r="D599" s="16">
        <v>11746564.6936</v>
      </c>
      <c r="E599" s="16">
        <v>1821385.6992</v>
      </c>
      <c r="F599" s="17">
        <f t="shared" si="9"/>
        <v>13567950.3928</v>
      </c>
      <c r="G599" s="18"/>
      <c r="H599" s="18"/>
      <c r="I599" s="19"/>
      <c r="J599" s="19"/>
      <c r="K599" s="19"/>
      <c r="L599" s="19"/>
      <c r="M599" s="18"/>
      <c r="N599" s="18"/>
      <c r="O599" s="19"/>
      <c r="P599" s="19"/>
      <c r="Q599" s="19"/>
    </row>
    <row r="600" ht="18.75" spans="1:17">
      <c r="A600" s="14">
        <v>595</v>
      </c>
      <c r="B600" s="15" t="s">
        <v>115</v>
      </c>
      <c r="C600" s="15" t="s">
        <v>566</v>
      </c>
      <c r="D600" s="16">
        <v>13781832.5647</v>
      </c>
      <c r="E600" s="16">
        <v>2136967.9899</v>
      </c>
      <c r="F600" s="17">
        <f t="shared" si="9"/>
        <v>15918800.5546</v>
      </c>
      <c r="G600" s="18"/>
      <c r="H600" s="18"/>
      <c r="I600" s="19"/>
      <c r="J600" s="19"/>
      <c r="K600" s="19"/>
      <c r="L600" s="19"/>
      <c r="M600" s="18"/>
      <c r="N600" s="18"/>
      <c r="O600" s="19"/>
      <c r="P600" s="19"/>
      <c r="Q600" s="19"/>
    </row>
    <row r="601" ht="37.5" spans="1:17">
      <c r="A601" s="14">
        <v>596</v>
      </c>
      <c r="B601" s="15" t="s">
        <v>116</v>
      </c>
      <c r="C601" s="15" t="s">
        <v>570</v>
      </c>
      <c r="D601" s="16">
        <v>8613000.6871</v>
      </c>
      <c r="E601" s="16">
        <v>1335505.0338</v>
      </c>
      <c r="F601" s="17">
        <f t="shared" si="9"/>
        <v>9948505.7209</v>
      </c>
      <c r="G601" s="18"/>
      <c r="H601" s="18"/>
      <c r="I601" s="19"/>
      <c r="J601" s="19"/>
      <c r="K601" s="19"/>
      <c r="L601" s="19"/>
      <c r="M601" s="18"/>
      <c r="N601" s="18"/>
      <c r="O601" s="19"/>
      <c r="P601" s="19"/>
      <c r="Q601" s="19"/>
    </row>
    <row r="602" ht="37.5" spans="1:17">
      <c r="A602" s="14">
        <v>597</v>
      </c>
      <c r="B602" s="15" t="s">
        <v>116</v>
      </c>
      <c r="C602" s="15" t="s">
        <v>572</v>
      </c>
      <c r="D602" s="16">
        <v>8637161.346</v>
      </c>
      <c r="E602" s="16">
        <v>1339251.3103</v>
      </c>
      <c r="F602" s="17">
        <f t="shared" si="9"/>
        <v>9976412.6563</v>
      </c>
      <c r="G602" s="18"/>
      <c r="H602" s="18"/>
      <c r="I602" s="19"/>
      <c r="J602" s="19"/>
      <c r="K602" s="19"/>
      <c r="L602" s="19"/>
      <c r="M602" s="18"/>
      <c r="N602" s="18"/>
      <c r="O602" s="19"/>
      <c r="P602" s="19"/>
      <c r="Q602" s="19"/>
    </row>
    <row r="603" ht="18.75" spans="1:17">
      <c r="A603" s="14">
        <v>598</v>
      </c>
      <c r="B603" s="15" t="s">
        <v>116</v>
      </c>
      <c r="C603" s="15" t="s">
        <v>574</v>
      </c>
      <c r="D603" s="16">
        <v>10760452.2188</v>
      </c>
      <c r="E603" s="16">
        <v>1668482.1732</v>
      </c>
      <c r="F603" s="17">
        <f t="shared" si="9"/>
        <v>12428934.392</v>
      </c>
      <c r="G603" s="18"/>
      <c r="H603" s="18"/>
      <c r="I603" s="19"/>
      <c r="J603" s="19"/>
      <c r="K603" s="19"/>
      <c r="L603" s="19"/>
      <c r="M603" s="18"/>
      <c r="N603" s="18"/>
      <c r="O603" s="19"/>
      <c r="P603" s="19"/>
      <c r="Q603" s="19"/>
    </row>
    <row r="604" ht="18.75" spans="1:17">
      <c r="A604" s="14">
        <v>599</v>
      </c>
      <c r="B604" s="15" t="s">
        <v>116</v>
      </c>
      <c r="C604" s="15" t="s">
        <v>576</v>
      </c>
      <c r="D604" s="16">
        <v>9512001.9208</v>
      </c>
      <c r="E604" s="16">
        <v>1474901.3623</v>
      </c>
      <c r="F604" s="17">
        <f t="shared" si="9"/>
        <v>10986903.2831</v>
      </c>
      <c r="G604" s="18"/>
      <c r="H604" s="18"/>
      <c r="I604" s="19"/>
      <c r="J604" s="19"/>
      <c r="K604" s="19"/>
      <c r="L604" s="19"/>
      <c r="M604" s="18"/>
      <c r="N604" s="18"/>
      <c r="O604" s="19"/>
      <c r="P604" s="19"/>
      <c r="Q604" s="19"/>
    </row>
    <row r="605" ht="18.75" spans="1:17">
      <c r="A605" s="14">
        <v>600</v>
      </c>
      <c r="B605" s="15" t="s">
        <v>116</v>
      </c>
      <c r="C605" s="15" t="s">
        <v>579</v>
      </c>
      <c r="D605" s="16">
        <v>9001338.3441</v>
      </c>
      <c r="E605" s="16">
        <v>1395719.4602</v>
      </c>
      <c r="F605" s="17">
        <f t="shared" si="9"/>
        <v>10397057.8043</v>
      </c>
      <c r="G605" s="18"/>
      <c r="H605" s="18"/>
      <c r="I605" s="19"/>
      <c r="J605" s="19"/>
      <c r="K605" s="19"/>
      <c r="L605" s="19"/>
      <c r="M605" s="18"/>
      <c r="N605" s="18"/>
      <c r="O605" s="19"/>
      <c r="P605" s="19"/>
      <c r="Q605" s="19"/>
    </row>
    <row r="606" ht="18.75" spans="1:17">
      <c r="A606" s="14">
        <v>601</v>
      </c>
      <c r="B606" s="15" t="s">
        <v>116</v>
      </c>
      <c r="C606" s="15" t="s">
        <v>581</v>
      </c>
      <c r="D606" s="16">
        <v>10252082.2541</v>
      </c>
      <c r="E606" s="16">
        <v>1589655.9114</v>
      </c>
      <c r="F606" s="17">
        <f t="shared" si="9"/>
        <v>11841738.1655</v>
      </c>
      <c r="G606" s="18"/>
      <c r="H606" s="18"/>
      <c r="I606" s="19"/>
      <c r="J606" s="19"/>
      <c r="K606" s="19"/>
      <c r="L606" s="19"/>
      <c r="M606" s="18"/>
      <c r="N606" s="18"/>
      <c r="O606" s="19"/>
      <c r="P606" s="19"/>
      <c r="Q606" s="19"/>
    </row>
    <row r="607" ht="18.75" spans="1:17">
      <c r="A607" s="14">
        <v>602</v>
      </c>
      <c r="B607" s="15" t="s">
        <v>116</v>
      </c>
      <c r="C607" s="15" t="s">
        <v>583</v>
      </c>
      <c r="D607" s="16">
        <v>8592768.1475</v>
      </c>
      <c r="E607" s="16">
        <v>1332367.8393</v>
      </c>
      <c r="F607" s="17">
        <f t="shared" si="9"/>
        <v>9925135.9868</v>
      </c>
      <c r="G607" s="18"/>
      <c r="H607" s="18"/>
      <c r="I607" s="19"/>
      <c r="J607" s="19"/>
      <c r="K607" s="19"/>
      <c r="L607" s="19"/>
      <c r="M607" s="18"/>
      <c r="N607" s="18"/>
      <c r="O607" s="19"/>
      <c r="P607" s="19"/>
      <c r="Q607" s="19"/>
    </row>
    <row r="608" ht="18.75" spans="1:17">
      <c r="A608" s="14">
        <v>603</v>
      </c>
      <c r="B608" s="15" t="s">
        <v>116</v>
      </c>
      <c r="C608" s="15" t="s">
        <v>584</v>
      </c>
      <c r="D608" s="16">
        <v>8924030.8571</v>
      </c>
      <c r="E608" s="16">
        <v>1383732.4023</v>
      </c>
      <c r="F608" s="17">
        <f t="shared" si="9"/>
        <v>10307763.2594</v>
      </c>
      <c r="G608" s="18"/>
      <c r="H608" s="18"/>
      <c r="I608" s="19"/>
      <c r="J608" s="19"/>
      <c r="K608" s="19"/>
      <c r="L608" s="19"/>
      <c r="M608" s="18"/>
      <c r="N608" s="18"/>
      <c r="O608" s="19"/>
      <c r="P608" s="19"/>
      <c r="Q608" s="19"/>
    </row>
    <row r="609" ht="18.75" spans="1:17">
      <c r="A609" s="14">
        <v>604</v>
      </c>
      <c r="B609" s="15" t="s">
        <v>116</v>
      </c>
      <c r="C609" s="15" t="s">
        <v>586</v>
      </c>
      <c r="D609" s="16">
        <v>8777227.1461</v>
      </c>
      <c r="E609" s="16">
        <v>1360969.4765</v>
      </c>
      <c r="F609" s="17">
        <f t="shared" si="9"/>
        <v>10138196.6226</v>
      </c>
      <c r="G609" s="18"/>
      <c r="H609" s="18"/>
      <c r="I609" s="19"/>
      <c r="J609" s="19"/>
      <c r="K609" s="19"/>
      <c r="L609" s="19"/>
      <c r="M609" s="18"/>
      <c r="N609" s="18"/>
      <c r="O609" s="19"/>
      <c r="P609" s="19"/>
      <c r="Q609" s="19"/>
    </row>
    <row r="610" ht="18.75" spans="1:17">
      <c r="A610" s="14">
        <v>605</v>
      </c>
      <c r="B610" s="15" t="s">
        <v>116</v>
      </c>
      <c r="C610" s="15" t="s">
        <v>588</v>
      </c>
      <c r="D610" s="16">
        <v>9963887.2549</v>
      </c>
      <c r="E610" s="16">
        <v>1544969.2934</v>
      </c>
      <c r="F610" s="17">
        <f t="shared" si="9"/>
        <v>11508856.5483</v>
      </c>
      <c r="G610" s="18"/>
      <c r="H610" s="18"/>
      <c r="I610" s="19"/>
      <c r="J610" s="19"/>
      <c r="K610" s="19"/>
      <c r="L610" s="19"/>
      <c r="M610" s="18"/>
      <c r="N610" s="18"/>
      <c r="O610" s="19"/>
      <c r="P610" s="19"/>
      <c r="Q610" s="19"/>
    </row>
    <row r="611" ht="18.75" spans="1:17">
      <c r="A611" s="14">
        <v>606</v>
      </c>
      <c r="B611" s="15" t="s">
        <v>116</v>
      </c>
      <c r="C611" s="15" t="s">
        <v>590</v>
      </c>
      <c r="D611" s="16">
        <v>10550068.8864</v>
      </c>
      <c r="E611" s="16">
        <v>1635860.7896</v>
      </c>
      <c r="F611" s="17">
        <f t="shared" si="9"/>
        <v>12185929.676</v>
      </c>
      <c r="G611" s="18"/>
      <c r="H611" s="18"/>
      <c r="I611" s="19"/>
      <c r="J611" s="19"/>
      <c r="K611" s="19"/>
      <c r="L611" s="19"/>
      <c r="M611" s="18"/>
      <c r="N611" s="18"/>
      <c r="O611" s="19"/>
      <c r="P611" s="19"/>
      <c r="Q611" s="19"/>
    </row>
    <row r="612" ht="18.75" spans="1:17">
      <c r="A612" s="14">
        <v>607</v>
      </c>
      <c r="B612" s="15" t="s">
        <v>116</v>
      </c>
      <c r="C612" s="15" t="s">
        <v>592</v>
      </c>
      <c r="D612" s="16">
        <v>12193448.3997</v>
      </c>
      <c r="E612" s="16">
        <v>1890678.0934</v>
      </c>
      <c r="F612" s="17">
        <f t="shared" si="9"/>
        <v>14084126.4931</v>
      </c>
      <c r="G612" s="18"/>
      <c r="H612" s="18"/>
      <c r="I612" s="19"/>
      <c r="J612" s="19"/>
      <c r="K612" s="19"/>
      <c r="L612" s="19"/>
      <c r="M612" s="18"/>
      <c r="N612" s="18"/>
      <c r="O612" s="19"/>
      <c r="P612" s="19"/>
      <c r="Q612" s="19"/>
    </row>
    <row r="613" ht="18.75" spans="1:17">
      <c r="A613" s="14">
        <v>608</v>
      </c>
      <c r="B613" s="15" t="s">
        <v>116</v>
      </c>
      <c r="C613" s="15" t="s">
        <v>594</v>
      </c>
      <c r="D613" s="16">
        <v>11366052.7083</v>
      </c>
      <c r="E613" s="16">
        <v>1762384.697</v>
      </c>
      <c r="F613" s="17">
        <f t="shared" si="9"/>
        <v>13128437.4053</v>
      </c>
      <c r="G613" s="18"/>
      <c r="H613" s="18"/>
      <c r="I613" s="19"/>
      <c r="J613" s="19"/>
      <c r="K613" s="19"/>
      <c r="L613" s="19"/>
      <c r="M613" s="18"/>
      <c r="N613" s="18"/>
      <c r="O613" s="19"/>
      <c r="P613" s="19"/>
      <c r="Q613" s="19"/>
    </row>
    <row r="614" ht="18.75" spans="1:17">
      <c r="A614" s="14">
        <v>609</v>
      </c>
      <c r="B614" s="15" t="s">
        <v>116</v>
      </c>
      <c r="C614" s="15" t="s">
        <v>596</v>
      </c>
      <c r="D614" s="16">
        <v>9907677.7365</v>
      </c>
      <c r="E614" s="16">
        <v>1536253.6207</v>
      </c>
      <c r="F614" s="17">
        <f t="shared" si="9"/>
        <v>11443931.3572</v>
      </c>
      <c r="G614" s="18"/>
      <c r="H614" s="18"/>
      <c r="I614" s="19"/>
      <c r="J614" s="19"/>
      <c r="K614" s="19"/>
      <c r="L614" s="19"/>
      <c r="M614" s="18"/>
      <c r="N614" s="18"/>
      <c r="O614" s="19"/>
      <c r="P614" s="19"/>
      <c r="Q614" s="19"/>
    </row>
    <row r="615" ht="18.75" spans="1:17">
      <c r="A615" s="14">
        <v>610</v>
      </c>
      <c r="B615" s="15" t="s">
        <v>116</v>
      </c>
      <c r="C615" s="15" t="s">
        <v>598</v>
      </c>
      <c r="D615" s="16">
        <v>7785663.7596</v>
      </c>
      <c r="E615" s="16">
        <v>1207220.7492</v>
      </c>
      <c r="F615" s="17">
        <f t="shared" si="9"/>
        <v>8992884.5088</v>
      </c>
      <c r="G615" s="18"/>
      <c r="H615" s="18"/>
      <c r="I615" s="19"/>
      <c r="J615" s="19"/>
      <c r="K615" s="19"/>
      <c r="L615" s="19"/>
      <c r="M615" s="18"/>
      <c r="N615" s="18"/>
      <c r="O615" s="19"/>
      <c r="P615" s="19"/>
      <c r="Q615" s="19"/>
    </row>
    <row r="616" ht="18.75" spans="1:17">
      <c r="A616" s="14">
        <v>611</v>
      </c>
      <c r="B616" s="15" t="s">
        <v>116</v>
      </c>
      <c r="C616" s="15" t="s">
        <v>338</v>
      </c>
      <c r="D616" s="16">
        <v>10032564.6056</v>
      </c>
      <c r="E616" s="16">
        <v>1555618.1892</v>
      </c>
      <c r="F616" s="17">
        <f t="shared" si="9"/>
        <v>11588182.7948</v>
      </c>
      <c r="G616" s="18"/>
      <c r="H616" s="18"/>
      <c r="I616" s="19"/>
      <c r="J616" s="19"/>
      <c r="K616" s="19"/>
      <c r="L616" s="19"/>
      <c r="M616" s="18"/>
      <c r="N616" s="18"/>
      <c r="O616" s="19"/>
      <c r="P616" s="19"/>
      <c r="Q616" s="19"/>
    </row>
    <row r="617" ht="18.75" spans="1:17">
      <c r="A617" s="14">
        <v>612</v>
      </c>
      <c r="B617" s="15" t="s">
        <v>116</v>
      </c>
      <c r="C617" s="15" t="s">
        <v>601</v>
      </c>
      <c r="D617" s="16">
        <v>8845077.4031</v>
      </c>
      <c r="E617" s="16">
        <v>1371490.1258</v>
      </c>
      <c r="F617" s="17">
        <f t="shared" si="9"/>
        <v>10216567.5289</v>
      </c>
      <c r="G617" s="18"/>
      <c r="H617" s="18"/>
      <c r="I617" s="19"/>
      <c r="J617" s="19"/>
      <c r="K617" s="19"/>
      <c r="L617" s="19"/>
      <c r="M617" s="18"/>
      <c r="N617" s="18"/>
      <c r="O617" s="19"/>
      <c r="P617" s="19"/>
      <c r="Q617" s="19"/>
    </row>
    <row r="618" ht="18.75" spans="1:17">
      <c r="A618" s="14">
        <v>613</v>
      </c>
      <c r="B618" s="15" t="s">
        <v>116</v>
      </c>
      <c r="C618" s="15" t="s">
        <v>603</v>
      </c>
      <c r="D618" s="16">
        <v>9221088.9502</v>
      </c>
      <c r="E618" s="16">
        <v>1429793.3041</v>
      </c>
      <c r="F618" s="17">
        <f t="shared" si="9"/>
        <v>10650882.2543</v>
      </c>
      <c r="G618" s="18"/>
      <c r="H618" s="18"/>
      <c r="I618" s="19"/>
      <c r="J618" s="19"/>
      <c r="K618" s="19"/>
      <c r="L618" s="19"/>
      <c r="M618" s="18"/>
      <c r="N618" s="18"/>
      <c r="O618" s="19"/>
      <c r="P618" s="19"/>
      <c r="Q618" s="19"/>
    </row>
    <row r="619" ht="18.75" spans="1:17">
      <c r="A619" s="14">
        <v>614</v>
      </c>
      <c r="B619" s="15" t="s">
        <v>116</v>
      </c>
      <c r="C619" s="15" t="s">
        <v>606</v>
      </c>
      <c r="D619" s="16">
        <v>9771536.2346</v>
      </c>
      <c r="E619" s="16">
        <v>1515143.9438</v>
      </c>
      <c r="F619" s="17">
        <f t="shared" si="9"/>
        <v>11286680.1784</v>
      </c>
      <c r="G619" s="18"/>
      <c r="H619" s="18"/>
      <c r="I619" s="19"/>
      <c r="J619" s="19"/>
      <c r="K619" s="19"/>
      <c r="L619" s="19"/>
      <c r="M619" s="18"/>
      <c r="N619" s="18"/>
      <c r="O619" s="19"/>
      <c r="P619" s="19"/>
      <c r="Q619" s="19"/>
    </row>
    <row r="620" ht="18.75" spans="1:17">
      <c r="A620" s="14">
        <v>615</v>
      </c>
      <c r="B620" s="15" t="s">
        <v>116</v>
      </c>
      <c r="C620" s="15" t="s">
        <v>346</v>
      </c>
      <c r="D620" s="16">
        <v>9670379.1035</v>
      </c>
      <c r="E620" s="16">
        <v>1499458.8345</v>
      </c>
      <c r="F620" s="17">
        <f t="shared" si="9"/>
        <v>11169837.938</v>
      </c>
      <c r="G620" s="18"/>
      <c r="H620" s="18"/>
      <c r="I620" s="19"/>
      <c r="J620" s="19"/>
      <c r="K620" s="19"/>
      <c r="L620" s="19"/>
      <c r="M620" s="18"/>
      <c r="N620" s="18"/>
      <c r="O620" s="19"/>
      <c r="P620" s="19"/>
      <c r="Q620" s="19"/>
    </row>
    <row r="621" ht="18.75" spans="1:17">
      <c r="A621" s="14">
        <v>616</v>
      </c>
      <c r="B621" s="15" t="s">
        <v>116</v>
      </c>
      <c r="C621" s="15" t="s">
        <v>609</v>
      </c>
      <c r="D621" s="16">
        <v>10462985.7324</v>
      </c>
      <c r="E621" s="16">
        <v>1622357.9472</v>
      </c>
      <c r="F621" s="17">
        <f t="shared" si="9"/>
        <v>12085343.6796</v>
      </c>
      <c r="G621" s="18"/>
      <c r="H621" s="18"/>
      <c r="I621" s="19"/>
      <c r="J621" s="19"/>
      <c r="K621" s="19"/>
      <c r="L621" s="19"/>
      <c r="M621" s="18"/>
      <c r="N621" s="18"/>
      <c r="O621" s="19"/>
      <c r="P621" s="19"/>
      <c r="Q621" s="19"/>
    </row>
    <row r="622" ht="18.75" spans="1:17">
      <c r="A622" s="14">
        <v>617</v>
      </c>
      <c r="B622" s="15" t="s">
        <v>116</v>
      </c>
      <c r="C622" s="15" t="s">
        <v>611</v>
      </c>
      <c r="D622" s="16">
        <v>9496894.8895</v>
      </c>
      <c r="E622" s="16">
        <v>1472558.9131</v>
      </c>
      <c r="F622" s="17">
        <f t="shared" si="9"/>
        <v>10969453.8026</v>
      </c>
      <c r="G622" s="18"/>
      <c r="H622" s="18"/>
      <c r="I622" s="19"/>
      <c r="J622" s="19"/>
      <c r="K622" s="19"/>
      <c r="L622" s="19"/>
      <c r="M622" s="18"/>
      <c r="N622" s="18"/>
      <c r="O622" s="19"/>
      <c r="P622" s="19"/>
      <c r="Q622" s="19"/>
    </row>
    <row r="623" ht="18.75" spans="1:17">
      <c r="A623" s="14">
        <v>618</v>
      </c>
      <c r="B623" s="15" t="s">
        <v>116</v>
      </c>
      <c r="C623" s="15" t="s">
        <v>613</v>
      </c>
      <c r="D623" s="16">
        <v>11677764.9727</v>
      </c>
      <c r="E623" s="16">
        <v>1810717.8289</v>
      </c>
      <c r="F623" s="17">
        <f t="shared" si="9"/>
        <v>13488482.8016</v>
      </c>
      <c r="G623" s="18"/>
      <c r="H623" s="18"/>
      <c r="I623" s="19"/>
      <c r="J623" s="19"/>
      <c r="K623" s="19"/>
      <c r="L623" s="19"/>
      <c r="M623" s="18"/>
      <c r="N623" s="18"/>
      <c r="O623" s="19"/>
      <c r="P623" s="19"/>
      <c r="Q623" s="19"/>
    </row>
    <row r="624" ht="18.75" spans="1:17">
      <c r="A624" s="14">
        <v>619</v>
      </c>
      <c r="B624" s="15" t="s">
        <v>116</v>
      </c>
      <c r="C624" s="15" t="s">
        <v>615</v>
      </c>
      <c r="D624" s="16">
        <v>9683944.3175</v>
      </c>
      <c r="E624" s="16">
        <v>1501562.2143</v>
      </c>
      <c r="F624" s="17">
        <f t="shared" si="9"/>
        <v>11185506.5318</v>
      </c>
      <c r="G624" s="18"/>
      <c r="H624" s="18"/>
      <c r="I624" s="19"/>
      <c r="J624" s="19"/>
      <c r="K624" s="19"/>
      <c r="L624" s="19"/>
      <c r="M624" s="18"/>
      <c r="N624" s="18"/>
      <c r="O624" s="19"/>
      <c r="P624" s="19"/>
      <c r="Q624" s="19"/>
    </row>
    <row r="625" ht="18.75" spans="1:17">
      <c r="A625" s="14">
        <v>620</v>
      </c>
      <c r="B625" s="15" t="s">
        <v>116</v>
      </c>
      <c r="C625" s="15" t="s">
        <v>617</v>
      </c>
      <c r="D625" s="16">
        <v>12758476.1349</v>
      </c>
      <c r="E625" s="16">
        <v>1978289.5324</v>
      </c>
      <c r="F625" s="17">
        <f t="shared" si="9"/>
        <v>14736765.6673</v>
      </c>
      <c r="G625" s="18"/>
      <c r="H625" s="18"/>
      <c r="I625" s="19"/>
      <c r="J625" s="19"/>
      <c r="K625" s="19"/>
      <c r="L625" s="19"/>
      <c r="M625" s="18"/>
      <c r="N625" s="18"/>
      <c r="O625" s="19"/>
      <c r="P625" s="19"/>
      <c r="Q625" s="19"/>
    </row>
    <row r="626" ht="18.75" spans="1:17">
      <c r="A626" s="14">
        <v>621</v>
      </c>
      <c r="B626" s="15" t="s">
        <v>116</v>
      </c>
      <c r="C626" s="15" t="s">
        <v>619</v>
      </c>
      <c r="D626" s="16">
        <v>8732879.4307</v>
      </c>
      <c r="E626" s="16">
        <v>1354093.058</v>
      </c>
      <c r="F626" s="17">
        <f t="shared" si="9"/>
        <v>10086972.4887</v>
      </c>
      <c r="G626" s="18"/>
      <c r="H626" s="18"/>
      <c r="I626" s="19"/>
      <c r="J626" s="19"/>
      <c r="K626" s="19"/>
      <c r="L626" s="19"/>
      <c r="M626" s="18"/>
      <c r="N626" s="18"/>
      <c r="O626" s="19"/>
      <c r="P626" s="19"/>
      <c r="Q626" s="19"/>
    </row>
    <row r="627" ht="18.75" spans="1:17">
      <c r="A627" s="14">
        <v>622</v>
      </c>
      <c r="B627" s="15" t="s">
        <v>116</v>
      </c>
      <c r="C627" s="15" t="s">
        <v>621</v>
      </c>
      <c r="D627" s="16">
        <v>10562834.0625</v>
      </c>
      <c r="E627" s="16">
        <v>1637840.118</v>
      </c>
      <c r="F627" s="17">
        <f t="shared" si="9"/>
        <v>12200674.1805</v>
      </c>
      <c r="G627" s="18"/>
      <c r="H627" s="18"/>
      <c r="I627" s="19"/>
      <c r="J627" s="19"/>
      <c r="K627" s="19"/>
      <c r="L627" s="19"/>
      <c r="M627" s="18"/>
      <c r="N627" s="18"/>
      <c r="O627" s="19"/>
      <c r="P627" s="19"/>
      <c r="Q627" s="19"/>
    </row>
    <row r="628" ht="18.75" spans="1:17">
      <c r="A628" s="14">
        <v>623</v>
      </c>
      <c r="B628" s="15" t="s">
        <v>116</v>
      </c>
      <c r="C628" s="15" t="s">
        <v>623</v>
      </c>
      <c r="D628" s="16">
        <v>10596702.2573</v>
      </c>
      <c r="E628" s="16">
        <v>1643091.6147</v>
      </c>
      <c r="F628" s="17">
        <f t="shared" si="9"/>
        <v>12239793.872</v>
      </c>
      <c r="G628" s="18"/>
      <c r="H628" s="18"/>
      <c r="I628" s="19"/>
      <c r="J628" s="19"/>
      <c r="K628" s="19"/>
      <c r="L628" s="19"/>
      <c r="M628" s="18"/>
      <c r="N628" s="18"/>
      <c r="O628" s="19"/>
      <c r="P628" s="19"/>
      <c r="Q628" s="19"/>
    </row>
    <row r="629" ht="18.75" spans="1:17">
      <c r="A629" s="14">
        <v>624</v>
      </c>
      <c r="B629" s="15" t="s">
        <v>116</v>
      </c>
      <c r="C629" s="15" t="s">
        <v>625</v>
      </c>
      <c r="D629" s="16">
        <v>9338085.2285</v>
      </c>
      <c r="E629" s="16">
        <v>1447934.3822</v>
      </c>
      <c r="F629" s="17">
        <f t="shared" si="9"/>
        <v>10786019.6107</v>
      </c>
      <c r="G629" s="18"/>
      <c r="H629" s="18"/>
      <c r="I629" s="19"/>
      <c r="J629" s="19"/>
      <c r="K629" s="19"/>
      <c r="L629" s="19"/>
      <c r="M629" s="18"/>
      <c r="N629" s="18"/>
      <c r="O629" s="19"/>
      <c r="P629" s="19"/>
      <c r="Q629" s="19"/>
    </row>
    <row r="630" ht="18.75" spans="1:17">
      <c r="A630" s="14">
        <v>625</v>
      </c>
      <c r="B630" s="15" t="s">
        <v>116</v>
      </c>
      <c r="C630" s="15" t="s">
        <v>627</v>
      </c>
      <c r="D630" s="16">
        <v>10389318.9813</v>
      </c>
      <c r="E630" s="16">
        <v>1610935.4105</v>
      </c>
      <c r="F630" s="17">
        <f t="shared" si="9"/>
        <v>12000254.3918</v>
      </c>
      <c r="G630" s="18"/>
      <c r="H630" s="18"/>
      <c r="I630" s="19"/>
      <c r="J630" s="19"/>
      <c r="K630" s="19"/>
      <c r="L630" s="19"/>
      <c r="M630" s="18"/>
      <c r="N630" s="18"/>
      <c r="O630" s="19"/>
      <c r="P630" s="19"/>
      <c r="Q630" s="19"/>
    </row>
    <row r="631" ht="18.75" spans="1:17">
      <c r="A631" s="14">
        <v>626</v>
      </c>
      <c r="B631" s="15" t="s">
        <v>117</v>
      </c>
      <c r="C631" s="15" t="s">
        <v>631</v>
      </c>
      <c r="D631" s="16">
        <v>10225064.9301</v>
      </c>
      <c r="E631" s="16">
        <v>1585466.6894</v>
      </c>
      <c r="F631" s="17">
        <f t="shared" si="9"/>
        <v>11810531.6195</v>
      </c>
      <c r="G631" s="18"/>
      <c r="H631" s="18"/>
      <c r="I631" s="19"/>
      <c r="J631" s="19"/>
      <c r="K631" s="19"/>
      <c r="L631" s="19"/>
      <c r="M631" s="18"/>
      <c r="N631" s="18"/>
      <c r="O631" s="19"/>
      <c r="P631" s="19"/>
      <c r="Q631" s="19"/>
    </row>
    <row r="632" ht="18.75" spans="1:17">
      <c r="A632" s="14">
        <v>627</v>
      </c>
      <c r="B632" s="15" t="s">
        <v>117</v>
      </c>
      <c r="C632" s="15" t="s">
        <v>633</v>
      </c>
      <c r="D632" s="16">
        <v>11874350.7207</v>
      </c>
      <c r="E632" s="16">
        <v>1841199.8021</v>
      </c>
      <c r="F632" s="17">
        <f t="shared" si="9"/>
        <v>13715550.5228</v>
      </c>
      <c r="G632" s="18"/>
      <c r="H632" s="18"/>
      <c r="I632" s="19"/>
      <c r="J632" s="19"/>
      <c r="K632" s="19"/>
      <c r="L632" s="19"/>
      <c r="M632" s="18"/>
      <c r="N632" s="18"/>
      <c r="O632" s="19"/>
      <c r="P632" s="19"/>
      <c r="Q632" s="19"/>
    </row>
    <row r="633" ht="18.75" spans="1:17">
      <c r="A633" s="14">
        <v>628</v>
      </c>
      <c r="B633" s="15" t="s">
        <v>117</v>
      </c>
      <c r="C633" s="15" t="s">
        <v>635</v>
      </c>
      <c r="D633" s="16">
        <v>11828150.8198</v>
      </c>
      <c r="E633" s="16">
        <v>1834036.1895</v>
      </c>
      <c r="F633" s="17">
        <f t="shared" si="9"/>
        <v>13662187.0093</v>
      </c>
      <c r="G633" s="18"/>
      <c r="H633" s="18"/>
      <c r="I633" s="19"/>
      <c r="J633" s="19"/>
      <c r="K633" s="19"/>
      <c r="L633" s="19"/>
      <c r="M633" s="18"/>
      <c r="N633" s="18"/>
      <c r="O633" s="19"/>
      <c r="P633" s="19"/>
      <c r="Q633" s="19"/>
    </row>
    <row r="634" ht="18.75" spans="1:17">
      <c r="A634" s="14">
        <v>629</v>
      </c>
      <c r="B634" s="15" t="s">
        <v>117</v>
      </c>
      <c r="C634" s="15" t="s">
        <v>637</v>
      </c>
      <c r="D634" s="16">
        <v>12672471.9567</v>
      </c>
      <c r="E634" s="16">
        <v>1964953.9927</v>
      </c>
      <c r="F634" s="17">
        <f t="shared" si="9"/>
        <v>14637425.9494</v>
      </c>
      <c r="G634" s="18"/>
      <c r="H634" s="18"/>
      <c r="I634" s="19"/>
      <c r="J634" s="19"/>
      <c r="K634" s="19"/>
      <c r="L634" s="19"/>
      <c r="M634" s="18"/>
      <c r="N634" s="18"/>
      <c r="O634" s="19"/>
      <c r="P634" s="19"/>
      <c r="Q634" s="19"/>
    </row>
    <row r="635" ht="18.75" spans="1:17">
      <c r="A635" s="14">
        <v>630</v>
      </c>
      <c r="B635" s="15" t="s">
        <v>117</v>
      </c>
      <c r="C635" s="15" t="s">
        <v>639</v>
      </c>
      <c r="D635" s="16">
        <v>12857494.0464</v>
      </c>
      <c r="E635" s="16">
        <v>1993642.9411</v>
      </c>
      <c r="F635" s="17">
        <f t="shared" si="9"/>
        <v>14851136.9875</v>
      </c>
      <c r="G635" s="18"/>
      <c r="H635" s="18"/>
      <c r="I635" s="19"/>
      <c r="J635" s="19"/>
      <c r="K635" s="19"/>
      <c r="L635" s="19"/>
      <c r="M635" s="18"/>
      <c r="N635" s="18"/>
      <c r="O635" s="19"/>
      <c r="P635" s="19"/>
      <c r="Q635" s="19"/>
    </row>
    <row r="636" ht="18.75" spans="1:17">
      <c r="A636" s="14">
        <v>631</v>
      </c>
      <c r="B636" s="15" t="s">
        <v>117</v>
      </c>
      <c r="C636" s="15" t="s">
        <v>640</v>
      </c>
      <c r="D636" s="16">
        <v>13214886.7183</v>
      </c>
      <c r="E636" s="16">
        <v>2049059.1345</v>
      </c>
      <c r="F636" s="17">
        <f t="shared" si="9"/>
        <v>15263945.8528</v>
      </c>
      <c r="G636" s="18"/>
      <c r="H636" s="18"/>
      <c r="I636" s="19"/>
      <c r="J636" s="19"/>
      <c r="K636" s="19"/>
      <c r="L636" s="19"/>
      <c r="M636" s="18"/>
      <c r="N636" s="18"/>
      <c r="O636" s="19"/>
      <c r="P636" s="19"/>
      <c r="Q636" s="19"/>
    </row>
    <row r="637" ht="37.5" spans="1:17">
      <c r="A637" s="14">
        <v>632</v>
      </c>
      <c r="B637" s="15" t="s">
        <v>117</v>
      </c>
      <c r="C637" s="15" t="s">
        <v>643</v>
      </c>
      <c r="D637" s="16">
        <v>14326791.8027</v>
      </c>
      <c r="E637" s="16">
        <v>2221467.6703</v>
      </c>
      <c r="F637" s="17">
        <f t="shared" si="9"/>
        <v>16548259.473</v>
      </c>
      <c r="G637" s="18"/>
      <c r="H637" s="18"/>
      <c r="I637" s="19"/>
      <c r="J637" s="19"/>
      <c r="K637" s="19"/>
      <c r="L637" s="19"/>
      <c r="M637" s="18"/>
      <c r="N637" s="18"/>
      <c r="O637" s="19"/>
      <c r="P637" s="19"/>
      <c r="Q637" s="19"/>
    </row>
    <row r="638" ht="37.5" spans="1:17">
      <c r="A638" s="14">
        <v>633</v>
      </c>
      <c r="B638" s="15" t="s">
        <v>117</v>
      </c>
      <c r="C638" s="15" t="s">
        <v>645</v>
      </c>
      <c r="D638" s="16">
        <v>10543992.9918</v>
      </c>
      <c r="E638" s="16">
        <v>1634918.6803</v>
      </c>
      <c r="F638" s="17">
        <f t="shared" si="9"/>
        <v>12178911.6721</v>
      </c>
      <c r="G638" s="18"/>
      <c r="H638" s="18"/>
      <c r="I638" s="19"/>
      <c r="J638" s="19"/>
      <c r="K638" s="19"/>
      <c r="L638" s="19"/>
      <c r="M638" s="18"/>
      <c r="N638" s="18"/>
      <c r="O638" s="19"/>
      <c r="P638" s="19"/>
      <c r="Q638" s="19"/>
    </row>
    <row r="639" ht="37.5" spans="1:17">
      <c r="A639" s="14">
        <v>634</v>
      </c>
      <c r="B639" s="15" t="s">
        <v>117</v>
      </c>
      <c r="C639" s="15" t="s">
        <v>647</v>
      </c>
      <c r="D639" s="16">
        <v>12513494.472</v>
      </c>
      <c r="E639" s="16">
        <v>1940303.4395</v>
      </c>
      <c r="F639" s="17">
        <f t="shared" si="9"/>
        <v>14453797.9115</v>
      </c>
      <c r="G639" s="18"/>
      <c r="H639" s="18"/>
      <c r="I639" s="19"/>
      <c r="J639" s="19"/>
      <c r="K639" s="19"/>
      <c r="L639" s="19"/>
      <c r="M639" s="18"/>
      <c r="N639" s="18"/>
      <c r="O639" s="19"/>
      <c r="P639" s="19"/>
      <c r="Q639" s="19"/>
    </row>
    <row r="640" ht="37.5" spans="1:17">
      <c r="A640" s="14">
        <v>635</v>
      </c>
      <c r="B640" s="15" t="s">
        <v>117</v>
      </c>
      <c r="C640" s="15" t="s">
        <v>649</v>
      </c>
      <c r="D640" s="16">
        <v>13101053.6904</v>
      </c>
      <c r="E640" s="16">
        <v>2031408.5401</v>
      </c>
      <c r="F640" s="17">
        <f t="shared" si="9"/>
        <v>15132462.2305</v>
      </c>
      <c r="G640" s="18"/>
      <c r="H640" s="18"/>
      <c r="I640" s="19"/>
      <c r="J640" s="19"/>
      <c r="K640" s="19"/>
      <c r="L640" s="19"/>
      <c r="M640" s="18"/>
      <c r="N640" s="18"/>
      <c r="O640" s="19"/>
      <c r="P640" s="19"/>
      <c r="Q640" s="19"/>
    </row>
    <row r="641" ht="37.5" spans="1:17">
      <c r="A641" s="14">
        <v>636</v>
      </c>
      <c r="B641" s="15" t="s">
        <v>117</v>
      </c>
      <c r="C641" s="15" t="s">
        <v>651</v>
      </c>
      <c r="D641" s="16">
        <v>9475150.8893</v>
      </c>
      <c r="E641" s="16">
        <v>1469187.3562</v>
      </c>
      <c r="F641" s="17">
        <f t="shared" si="9"/>
        <v>10944338.2455</v>
      </c>
      <c r="G641" s="18"/>
      <c r="H641" s="18"/>
      <c r="I641" s="19"/>
      <c r="J641" s="19"/>
      <c r="K641" s="19"/>
      <c r="L641" s="19"/>
      <c r="M641" s="18"/>
      <c r="N641" s="18"/>
      <c r="O641" s="19"/>
      <c r="P641" s="19"/>
      <c r="Q641" s="19"/>
    </row>
    <row r="642" ht="18.75" spans="1:17">
      <c r="A642" s="14">
        <v>637</v>
      </c>
      <c r="B642" s="15" t="s">
        <v>117</v>
      </c>
      <c r="C642" s="15" t="s">
        <v>653</v>
      </c>
      <c r="D642" s="16">
        <v>9881449.0909</v>
      </c>
      <c r="E642" s="16">
        <v>1532186.6887</v>
      </c>
      <c r="F642" s="17">
        <f t="shared" si="9"/>
        <v>11413635.7796</v>
      </c>
      <c r="G642" s="18"/>
      <c r="H642" s="18"/>
      <c r="I642" s="19"/>
      <c r="J642" s="19"/>
      <c r="K642" s="19"/>
      <c r="L642" s="19"/>
      <c r="M642" s="18"/>
      <c r="N642" s="18"/>
      <c r="O642" s="19"/>
      <c r="P642" s="19"/>
      <c r="Q642" s="19"/>
    </row>
    <row r="643" ht="18.75" spans="1:17">
      <c r="A643" s="14">
        <v>638</v>
      </c>
      <c r="B643" s="15" t="s">
        <v>117</v>
      </c>
      <c r="C643" s="15" t="s">
        <v>655</v>
      </c>
      <c r="D643" s="16">
        <v>9686816.005</v>
      </c>
      <c r="E643" s="16">
        <v>1502007.4892</v>
      </c>
      <c r="F643" s="17">
        <f t="shared" si="9"/>
        <v>11188823.4942</v>
      </c>
      <c r="G643" s="18"/>
      <c r="H643" s="18"/>
      <c r="I643" s="19"/>
      <c r="J643" s="19"/>
      <c r="K643" s="19"/>
      <c r="L643" s="19"/>
      <c r="M643" s="18"/>
      <c r="N643" s="18"/>
      <c r="O643" s="19"/>
      <c r="P643" s="19"/>
      <c r="Q643" s="19"/>
    </row>
    <row r="644" ht="18.75" spans="1:17">
      <c r="A644" s="14">
        <v>639</v>
      </c>
      <c r="B644" s="15" t="s">
        <v>117</v>
      </c>
      <c r="C644" s="15" t="s">
        <v>657</v>
      </c>
      <c r="D644" s="16">
        <v>14387478.7006</v>
      </c>
      <c r="E644" s="16">
        <v>2230877.5915</v>
      </c>
      <c r="F644" s="17">
        <f t="shared" si="9"/>
        <v>16618356.2921</v>
      </c>
      <c r="G644" s="18"/>
      <c r="H644" s="18"/>
      <c r="I644" s="19"/>
      <c r="J644" s="19"/>
      <c r="K644" s="19"/>
      <c r="L644" s="19"/>
      <c r="M644" s="18"/>
      <c r="N644" s="18"/>
      <c r="O644" s="19"/>
      <c r="P644" s="19"/>
      <c r="Q644" s="19"/>
    </row>
    <row r="645" ht="18.75" spans="1:17">
      <c r="A645" s="14">
        <v>640</v>
      </c>
      <c r="B645" s="15" t="s">
        <v>117</v>
      </c>
      <c r="C645" s="15" t="s">
        <v>659</v>
      </c>
      <c r="D645" s="16">
        <v>9810916.3552</v>
      </c>
      <c r="E645" s="16">
        <v>1521250.1026</v>
      </c>
      <c r="F645" s="17">
        <f t="shared" si="9"/>
        <v>11332166.4578</v>
      </c>
      <c r="G645" s="18"/>
      <c r="H645" s="18"/>
      <c r="I645" s="19"/>
      <c r="J645" s="19"/>
      <c r="K645" s="19"/>
      <c r="L645" s="19"/>
      <c r="M645" s="18"/>
      <c r="N645" s="18"/>
      <c r="O645" s="19"/>
      <c r="P645" s="19"/>
      <c r="Q645" s="19"/>
    </row>
    <row r="646" ht="18.75" spans="1:17">
      <c r="A646" s="14">
        <v>641</v>
      </c>
      <c r="B646" s="15" t="s">
        <v>117</v>
      </c>
      <c r="C646" s="15" t="s">
        <v>661</v>
      </c>
      <c r="D646" s="16">
        <v>10295164.1356</v>
      </c>
      <c r="E646" s="16">
        <v>1596336.0537</v>
      </c>
      <c r="F646" s="17">
        <f t="shared" si="9"/>
        <v>11891500.1893</v>
      </c>
      <c r="G646" s="18"/>
      <c r="H646" s="18"/>
      <c r="I646" s="19"/>
      <c r="J646" s="19"/>
      <c r="K646" s="19"/>
      <c r="L646" s="19"/>
      <c r="M646" s="18"/>
      <c r="N646" s="18"/>
      <c r="O646" s="19"/>
      <c r="P646" s="19"/>
      <c r="Q646" s="19"/>
    </row>
    <row r="647" ht="18.75" spans="1:17">
      <c r="A647" s="14">
        <v>642</v>
      </c>
      <c r="B647" s="15" t="s">
        <v>117</v>
      </c>
      <c r="C647" s="15" t="s">
        <v>663</v>
      </c>
      <c r="D647" s="16">
        <v>13450805.5829</v>
      </c>
      <c r="E647" s="16">
        <v>2085639.9781</v>
      </c>
      <c r="F647" s="17">
        <f t="shared" ref="F647:F710" si="10">D647+E647</f>
        <v>15536445.561</v>
      </c>
      <c r="G647" s="18"/>
      <c r="H647" s="18"/>
      <c r="I647" s="19"/>
      <c r="J647" s="19"/>
      <c r="K647" s="19"/>
      <c r="L647" s="19"/>
      <c r="M647" s="18"/>
      <c r="N647" s="18"/>
      <c r="O647" s="19"/>
      <c r="P647" s="19"/>
      <c r="Q647" s="19"/>
    </row>
    <row r="648" ht="18.75" spans="1:17">
      <c r="A648" s="14">
        <v>643</v>
      </c>
      <c r="B648" s="15" t="s">
        <v>117</v>
      </c>
      <c r="C648" s="15" t="s">
        <v>665</v>
      </c>
      <c r="D648" s="16">
        <v>11630577.8149</v>
      </c>
      <c r="E648" s="16">
        <v>1803401.1354</v>
      </c>
      <c r="F648" s="17">
        <f t="shared" si="10"/>
        <v>13433978.9503</v>
      </c>
      <c r="G648" s="18"/>
      <c r="H648" s="18"/>
      <c r="I648" s="19"/>
      <c r="J648" s="19"/>
      <c r="K648" s="19"/>
      <c r="L648" s="19"/>
      <c r="M648" s="18"/>
      <c r="N648" s="18"/>
      <c r="O648" s="19"/>
      <c r="P648" s="19"/>
      <c r="Q648" s="19"/>
    </row>
    <row r="649" ht="18.75" spans="1:17">
      <c r="A649" s="14">
        <v>644</v>
      </c>
      <c r="B649" s="15" t="s">
        <v>117</v>
      </c>
      <c r="C649" s="15" t="s">
        <v>667</v>
      </c>
      <c r="D649" s="16">
        <v>10677040.485</v>
      </c>
      <c r="E649" s="16">
        <v>1655548.6098</v>
      </c>
      <c r="F649" s="17">
        <f t="shared" si="10"/>
        <v>12332589.0948</v>
      </c>
      <c r="G649" s="18"/>
      <c r="H649" s="18"/>
      <c r="I649" s="19"/>
      <c r="J649" s="19"/>
      <c r="K649" s="19"/>
      <c r="L649" s="19"/>
      <c r="M649" s="18"/>
      <c r="N649" s="18"/>
      <c r="O649" s="19"/>
      <c r="P649" s="19"/>
      <c r="Q649" s="19"/>
    </row>
    <row r="650" ht="18.75" spans="1:17">
      <c r="A650" s="14">
        <v>645</v>
      </c>
      <c r="B650" s="15" t="s">
        <v>117</v>
      </c>
      <c r="C650" s="15" t="s">
        <v>669</v>
      </c>
      <c r="D650" s="16">
        <v>9640758.7448</v>
      </c>
      <c r="E650" s="16">
        <v>1494865.994</v>
      </c>
      <c r="F650" s="17">
        <f t="shared" si="10"/>
        <v>11135624.7388</v>
      </c>
      <c r="G650" s="18"/>
      <c r="H650" s="18"/>
      <c r="I650" s="19"/>
      <c r="J650" s="19"/>
      <c r="K650" s="19"/>
      <c r="L650" s="19"/>
      <c r="M650" s="18"/>
      <c r="N650" s="18"/>
      <c r="O650" s="19"/>
      <c r="P650" s="19"/>
      <c r="Q650" s="19"/>
    </row>
    <row r="651" ht="18.75" spans="1:17">
      <c r="A651" s="14">
        <v>646</v>
      </c>
      <c r="B651" s="15" t="s">
        <v>117</v>
      </c>
      <c r="C651" s="15" t="s">
        <v>671</v>
      </c>
      <c r="D651" s="16">
        <v>11906280.2702</v>
      </c>
      <c r="E651" s="16">
        <v>1846150.6985</v>
      </c>
      <c r="F651" s="17">
        <f t="shared" si="10"/>
        <v>13752430.9687</v>
      </c>
      <c r="G651" s="18"/>
      <c r="H651" s="18"/>
      <c r="I651" s="19"/>
      <c r="J651" s="19"/>
      <c r="K651" s="19"/>
      <c r="L651" s="19"/>
      <c r="M651" s="18"/>
      <c r="N651" s="18"/>
      <c r="O651" s="19"/>
      <c r="P651" s="19"/>
      <c r="Q651" s="19"/>
    </row>
    <row r="652" ht="18.75" spans="1:17">
      <c r="A652" s="14">
        <v>647</v>
      </c>
      <c r="B652" s="15" t="s">
        <v>117</v>
      </c>
      <c r="C652" s="15" t="s">
        <v>673</v>
      </c>
      <c r="D652" s="16">
        <v>11028366.2739</v>
      </c>
      <c r="E652" s="16">
        <v>1710024.0913</v>
      </c>
      <c r="F652" s="17">
        <f t="shared" si="10"/>
        <v>12738390.3652</v>
      </c>
      <c r="G652" s="18"/>
      <c r="H652" s="18"/>
      <c r="I652" s="19"/>
      <c r="J652" s="19"/>
      <c r="K652" s="19"/>
      <c r="L652" s="19"/>
      <c r="M652" s="18"/>
      <c r="N652" s="18"/>
      <c r="O652" s="19"/>
      <c r="P652" s="19"/>
      <c r="Q652" s="19"/>
    </row>
    <row r="653" ht="37.5" spans="1:17">
      <c r="A653" s="14">
        <v>648</v>
      </c>
      <c r="B653" s="15" t="s">
        <v>117</v>
      </c>
      <c r="C653" s="15" t="s">
        <v>675</v>
      </c>
      <c r="D653" s="16">
        <v>11417129.5646</v>
      </c>
      <c r="E653" s="16">
        <v>1770304.5151</v>
      </c>
      <c r="F653" s="17">
        <f t="shared" si="10"/>
        <v>13187434.0797</v>
      </c>
      <c r="G653" s="18"/>
      <c r="H653" s="18"/>
      <c r="I653" s="19"/>
      <c r="J653" s="19"/>
      <c r="K653" s="19"/>
      <c r="L653" s="19"/>
      <c r="M653" s="18"/>
      <c r="N653" s="18"/>
      <c r="O653" s="19"/>
      <c r="P653" s="19"/>
      <c r="Q653" s="19"/>
    </row>
    <row r="654" ht="37.5" spans="1:17">
      <c r="A654" s="14">
        <v>649</v>
      </c>
      <c r="B654" s="15" t="s">
        <v>117</v>
      </c>
      <c r="C654" s="15" t="s">
        <v>677</v>
      </c>
      <c r="D654" s="16">
        <v>9773895.5343</v>
      </c>
      <c r="E654" s="16">
        <v>1515509.7695</v>
      </c>
      <c r="F654" s="17">
        <f t="shared" si="10"/>
        <v>11289405.3038</v>
      </c>
      <c r="G654" s="18"/>
      <c r="H654" s="18"/>
      <c r="I654" s="19"/>
      <c r="J654" s="19"/>
      <c r="K654" s="19"/>
      <c r="L654" s="19"/>
      <c r="M654" s="18"/>
      <c r="N654" s="18"/>
      <c r="O654" s="19"/>
      <c r="P654" s="19"/>
      <c r="Q654" s="19"/>
    </row>
    <row r="655" ht="18.75" spans="1:17">
      <c r="A655" s="14">
        <v>650</v>
      </c>
      <c r="B655" s="15" t="s">
        <v>117</v>
      </c>
      <c r="C655" s="15" t="s">
        <v>679</v>
      </c>
      <c r="D655" s="16">
        <v>8944077.02</v>
      </c>
      <c r="E655" s="16">
        <v>1386840.6978</v>
      </c>
      <c r="F655" s="17">
        <f t="shared" si="10"/>
        <v>10330917.7178</v>
      </c>
      <c r="G655" s="18"/>
      <c r="H655" s="18"/>
      <c r="I655" s="19"/>
      <c r="J655" s="19"/>
      <c r="K655" s="19"/>
      <c r="L655" s="19"/>
      <c r="M655" s="18"/>
      <c r="N655" s="18"/>
      <c r="O655" s="19"/>
      <c r="P655" s="19"/>
      <c r="Q655" s="19"/>
    </row>
    <row r="656" ht="18.75" spans="1:17">
      <c r="A656" s="14">
        <v>651</v>
      </c>
      <c r="B656" s="15" t="s">
        <v>117</v>
      </c>
      <c r="C656" s="15" t="s">
        <v>681</v>
      </c>
      <c r="D656" s="16">
        <v>11855883.526</v>
      </c>
      <c r="E656" s="16">
        <v>1838336.3365</v>
      </c>
      <c r="F656" s="17">
        <f t="shared" si="10"/>
        <v>13694219.8625</v>
      </c>
      <c r="G656" s="18"/>
      <c r="H656" s="18"/>
      <c r="I656" s="19"/>
      <c r="J656" s="19"/>
      <c r="K656" s="19"/>
      <c r="L656" s="19"/>
      <c r="M656" s="18"/>
      <c r="N656" s="18"/>
      <c r="O656" s="19"/>
      <c r="P656" s="19"/>
      <c r="Q656" s="19"/>
    </row>
    <row r="657" ht="18.75" spans="1:17">
      <c r="A657" s="14">
        <v>652</v>
      </c>
      <c r="B657" s="15" t="s">
        <v>117</v>
      </c>
      <c r="C657" s="15" t="s">
        <v>683</v>
      </c>
      <c r="D657" s="16">
        <v>12917316.4705</v>
      </c>
      <c r="E657" s="16">
        <v>2002918.8196</v>
      </c>
      <c r="F657" s="17">
        <f t="shared" si="10"/>
        <v>14920235.2901</v>
      </c>
      <c r="G657" s="18"/>
      <c r="H657" s="18"/>
      <c r="I657" s="19"/>
      <c r="J657" s="19"/>
      <c r="K657" s="19"/>
      <c r="L657" s="19"/>
      <c r="M657" s="18"/>
      <c r="N657" s="18"/>
      <c r="O657" s="19"/>
      <c r="P657" s="19"/>
      <c r="Q657" s="19"/>
    </row>
    <row r="658" ht="18.75" spans="1:17">
      <c r="A658" s="14">
        <v>653</v>
      </c>
      <c r="B658" s="15" t="s">
        <v>117</v>
      </c>
      <c r="C658" s="15" t="s">
        <v>685</v>
      </c>
      <c r="D658" s="16">
        <v>9893436.3459</v>
      </c>
      <c r="E658" s="16">
        <v>1534045.3951</v>
      </c>
      <c r="F658" s="17">
        <f t="shared" si="10"/>
        <v>11427481.741</v>
      </c>
      <c r="G658" s="18"/>
      <c r="H658" s="18"/>
      <c r="I658" s="19"/>
      <c r="J658" s="19"/>
      <c r="K658" s="19"/>
      <c r="L658" s="19"/>
      <c r="M658" s="18"/>
      <c r="N658" s="18"/>
      <c r="O658" s="19"/>
      <c r="P658" s="19"/>
      <c r="Q658" s="19"/>
    </row>
    <row r="659" ht="18.75" spans="1:17">
      <c r="A659" s="14">
        <v>654</v>
      </c>
      <c r="B659" s="15" t="s">
        <v>117</v>
      </c>
      <c r="C659" s="15" t="s">
        <v>687</v>
      </c>
      <c r="D659" s="16">
        <v>11898003.7622</v>
      </c>
      <c r="E659" s="16">
        <v>1844867.369</v>
      </c>
      <c r="F659" s="17">
        <f t="shared" si="10"/>
        <v>13742871.1312</v>
      </c>
      <c r="G659" s="18"/>
      <c r="H659" s="18"/>
      <c r="I659" s="19"/>
      <c r="J659" s="19"/>
      <c r="K659" s="19"/>
      <c r="L659" s="19"/>
      <c r="M659" s="18"/>
      <c r="N659" s="18"/>
      <c r="O659" s="19"/>
      <c r="P659" s="19"/>
      <c r="Q659" s="19"/>
    </row>
    <row r="660" ht="18.75" spans="1:17">
      <c r="A660" s="14">
        <v>655</v>
      </c>
      <c r="B660" s="15" t="s">
        <v>117</v>
      </c>
      <c r="C660" s="15" t="s">
        <v>689</v>
      </c>
      <c r="D660" s="16">
        <v>10045885.1097</v>
      </c>
      <c r="E660" s="16">
        <v>1557683.6251</v>
      </c>
      <c r="F660" s="17">
        <f t="shared" si="10"/>
        <v>11603568.7348</v>
      </c>
      <c r="G660" s="18"/>
      <c r="H660" s="18"/>
      <c r="I660" s="19"/>
      <c r="J660" s="19"/>
      <c r="K660" s="19"/>
      <c r="L660" s="19"/>
      <c r="M660" s="18"/>
      <c r="N660" s="18"/>
      <c r="O660" s="19"/>
      <c r="P660" s="19"/>
      <c r="Q660" s="19"/>
    </row>
    <row r="661" ht="18.75" spans="1:17">
      <c r="A661" s="14">
        <v>656</v>
      </c>
      <c r="B661" s="15" t="s">
        <v>117</v>
      </c>
      <c r="C661" s="15" t="s">
        <v>691</v>
      </c>
      <c r="D661" s="16">
        <v>10089739.8865</v>
      </c>
      <c r="E661" s="16">
        <v>1564483.61</v>
      </c>
      <c r="F661" s="17">
        <f t="shared" si="10"/>
        <v>11654223.4965</v>
      </c>
      <c r="G661" s="18"/>
      <c r="H661" s="18"/>
      <c r="I661" s="19"/>
      <c r="J661" s="19"/>
      <c r="K661" s="19"/>
      <c r="L661" s="19"/>
      <c r="M661" s="18"/>
      <c r="N661" s="18"/>
      <c r="O661" s="19"/>
      <c r="P661" s="19"/>
      <c r="Q661" s="19"/>
    </row>
    <row r="662" ht="18.75" spans="1:17">
      <c r="A662" s="14">
        <v>657</v>
      </c>
      <c r="B662" s="15" t="s">
        <v>117</v>
      </c>
      <c r="C662" s="15" t="s">
        <v>693</v>
      </c>
      <c r="D662" s="16">
        <v>10040744.7907</v>
      </c>
      <c r="E662" s="16">
        <v>1556886.5832</v>
      </c>
      <c r="F662" s="17">
        <f t="shared" si="10"/>
        <v>11597631.3739</v>
      </c>
      <c r="G662" s="18"/>
      <c r="H662" s="18"/>
      <c r="I662" s="19"/>
      <c r="J662" s="19"/>
      <c r="K662" s="19"/>
      <c r="L662" s="19"/>
      <c r="M662" s="18"/>
      <c r="N662" s="18"/>
      <c r="O662" s="19"/>
      <c r="P662" s="19"/>
      <c r="Q662" s="19"/>
    </row>
    <row r="663" ht="18.75" spans="1:17">
      <c r="A663" s="14">
        <v>658</v>
      </c>
      <c r="B663" s="15" t="s">
        <v>117</v>
      </c>
      <c r="C663" s="15" t="s">
        <v>695</v>
      </c>
      <c r="D663" s="16">
        <v>11573862.7463</v>
      </c>
      <c r="E663" s="16">
        <v>1794607.0736</v>
      </c>
      <c r="F663" s="17">
        <f t="shared" si="10"/>
        <v>13368469.8199</v>
      </c>
      <c r="G663" s="18"/>
      <c r="H663" s="18"/>
      <c r="I663" s="19"/>
      <c r="J663" s="19"/>
      <c r="K663" s="19"/>
      <c r="L663" s="19"/>
      <c r="M663" s="18"/>
      <c r="N663" s="18"/>
      <c r="O663" s="19"/>
      <c r="P663" s="19"/>
      <c r="Q663" s="19"/>
    </row>
    <row r="664" ht="18.75" spans="1:17">
      <c r="A664" s="14">
        <v>659</v>
      </c>
      <c r="B664" s="15" t="s">
        <v>118</v>
      </c>
      <c r="C664" s="15" t="s">
        <v>699</v>
      </c>
      <c r="D664" s="16">
        <v>13652375.0006</v>
      </c>
      <c r="E664" s="16">
        <v>2116894.7036</v>
      </c>
      <c r="F664" s="17">
        <f t="shared" si="10"/>
        <v>15769269.7042</v>
      </c>
      <c r="G664" s="18"/>
      <c r="H664" s="18"/>
      <c r="I664" s="19"/>
      <c r="J664" s="19"/>
      <c r="K664" s="19"/>
      <c r="L664" s="19"/>
      <c r="M664" s="18"/>
      <c r="N664" s="18"/>
      <c r="O664" s="19"/>
      <c r="P664" s="19"/>
      <c r="Q664" s="19"/>
    </row>
    <row r="665" ht="18.75" spans="1:17">
      <c r="A665" s="14">
        <v>660</v>
      </c>
      <c r="B665" s="15" t="s">
        <v>118</v>
      </c>
      <c r="C665" s="15" t="s">
        <v>294</v>
      </c>
      <c r="D665" s="16">
        <v>13771885.0289</v>
      </c>
      <c r="E665" s="16">
        <v>2135425.556</v>
      </c>
      <c r="F665" s="17">
        <f t="shared" si="10"/>
        <v>15907310.5849</v>
      </c>
      <c r="G665" s="18"/>
      <c r="H665" s="18"/>
      <c r="I665" s="19"/>
      <c r="J665" s="19"/>
      <c r="K665" s="19"/>
      <c r="L665" s="19"/>
      <c r="M665" s="18"/>
      <c r="N665" s="18"/>
      <c r="O665" s="19"/>
      <c r="P665" s="19"/>
      <c r="Q665" s="19"/>
    </row>
    <row r="666" ht="18.75" spans="1:17">
      <c r="A666" s="14">
        <v>661</v>
      </c>
      <c r="B666" s="15" t="s">
        <v>118</v>
      </c>
      <c r="C666" s="15" t="s">
        <v>702</v>
      </c>
      <c r="D666" s="16">
        <v>13711872.5456</v>
      </c>
      <c r="E666" s="16">
        <v>2126120.2074</v>
      </c>
      <c r="F666" s="17">
        <f t="shared" si="10"/>
        <v>15837992.753</v>
      </c>
      <c r="G666" s="18"/>
      <c r="H666" s="18"/>
      <c r="I666" s="19"/>
      <c r="J666" s="19"/>
      <c r="K666" s="19"/>
      <c r="L666" s="19"/>
      <c r="M666" s="18"/>
      <c r="N666" s="18"/>
      <c r="O666" s="19"/>
      <c r="P666" s="19"/>
      <c r="Q666" s="19"/>
    </row>
    <row r="667" ht="18.75" spans="1:17">
      <c r="A667" s="14">
        <v>662</v>
      </c>
      <c r="B667" s="15" t="s">
        <v>118</v>
      </c>
      <c r="C667" s="15" t="s">
        <v>704</v>
      </c>
      <c r="D667" s="16">
        <v>10409951.0269</v>
      </c>
      <c r="E667" s="16">
        <v>1614134.5512</v>
      </c>
      <c r="F667" s="17">
        <f t="shared" si="10"/>
        <v>12024085.5781</v>
      </c>
      <c r="G667" s="18"/>
      <c r="H667" s="18"/>
      <c r="I667" s="19"/>
      <c r="J667" s="19"/>
      <c r="K667" s="19"/>
      <c r="L667" s="19"/>
      <c r="M667" s="18"/>
      <c r="N667" s="18"/>
      <c r="O667" s="19"/>
      <c r="P667" s="19"/>
      <c r="Q667" s="19"/>
    </row>
    <row r="668" ht="18.75" spans="1:17">
      <c r="A668" s="14">
        <v>663</v>
      </c>
      <c r="B668" s="15" t="s">
        <v>118</v>
      </c>
      <c r="C668" s="15" t="s">
        <v>706</v>
      </c>
      <c r="D668" s="16">
        <v>18111894.0683</v>
      </c>
      <c r="E668" s="16">
        <v>2808373.8268</v>
      </c>
      <c r="F668" s="17">
        <f t="shared" si="10"/>
        <v>20920267.8951</v>
      </c>
      <c r="G668" s="18"/>
      <c r="H668" s="18"/>
      <c r="I668" s="19"/>
      <c r="J668" s="19"/>
      <c r="K668" s="19"/>
      <c r="L668" s="19"/>
      <c r="M668" s="18"/>
      <c r="N668" s="18"/>
      <c r="O668" s="19"/>
      <c r="P668" s="19"/>
      <c r="Q668" s="19"/>
    </row>
    <row r="669" ht="18.75" spans="1:17">
      <c r="A669" s="14">
        <v>664</v>
      </c>
      <c r="B669" s="15" t="s">
        <v>118</v>
      </c>
      <c r="C669" s="15" t="s">
        <v>708</v>
      </c>
      <c r="D669" s="16">
        <v>15662180.2586</v>
      </c>
      <c r="E669" s="16">
        <v>2428528.841</v>
      </c>
      <c r="F669" s="17">
        <f t="shared" si="10"/>
        <v>18090709.0996</v>
      </c>
      <c r="G669" s="18"/>
      <c r="H669" s="18"/>
      <c r="I669" s="19"/>
      <c r="J669" s="19"/>
      <c r="K669" s="19"/>
      <c r="L669" s="19"/>
      <c r="M669" s="18"/>
      <c r="N669" s="18"/>
      <c r="O669" s="19"/>
      <c r="P669" s="19"/>
      <c r="Q669" s="19"/>
    </row>
    <row r="670" ht="18.75" spans="1:17">
      <c r="A670" s="14">
        <v>665</v>
      </c>
      <c r="B670" s="15" t="s">
        <v>118</v>
      </c>
      <c r="C670" s="15" t="s">
        <v>710</v>
      </c>
      <c r="D670" s="16">
        <v>13748943.1384</v>
      </c>
      <c r="E670" s="16">
        <v>2131868.258</v>
      </c>
      <c r="F670" s="17">
        <f t="shared" si="10"/>
        <v>15880811.3964</v>
      </c>
      <c r="G670" s="18"/>
      <c r="H670" s="18"/>
      <c r="I670" s="19"/>
      <c r="J670" s="19"/>
      <c r="K670" s="19"/>
      <c r="L670" s="19"/>
      <c r="M670" s="18"/>
      <c r="N670" s="18"/>
      <c r="O670" s="19"/>
      <c r="P670" s="19"/>
      <c r="Q670" s="19"/>
    </row>
    <row r="671" ht="18.75" spans="1:17">
      <c r="A671" s="14">
        <v>666</v>
      </c>
      <c r="B671" s="15" t="s">
        <v>118</v>
      </c>
      <c r="C671" s="15" t="s">
        <v>713</v>
      </c>
      <c r="D671" s="16">
        <v>12142534.673</v>
      </c>
      <c r="E671" s="16">
        <v>1882783.5696</v>
      </c>
      <c r="F671" s="17">
        <f t="shared" si="10"/>
        <v>14025318.2426</v>
      </c>
      <c r="G671" s="18"/>
      <c r="H671" s="18"/>
      <c r="I671" s="19"/>
      <c r="J671" s="19"/>
      <c r="K671" s="19"/>
      <c r="L671" s="19"/>
      <c r="M671" s="18"/>
      <c r="N671" s="18"/>
      <c r="O671" s="19"/>
      <c r="P671" s="19"/>
      <c r="Q671" s="19"/>
    </row>
    <row r="672" ht="37.5" spans="1:17">
      <c r="A672" s="14">
        <v>667</v>
      </c>
      <c r="B672" s="15" t="s">
        <v>118</v>
      </c>
      <c r="C672" s="15" t="s">
        <v>715</v>
      </c>
      <c r="D672" s="16">
        <v>12454303.0342</v>
      </c>
      <c r="E672" s="16">
        <v>1931125.3997</v>
      </c>
      <c r="F672" s="17">
        <f t="shared" si="10"/>
        <v>14385428.4339</v>
      </c>
      <c r="G672" s="18"/>
      <c r="H672" s="18"/>
      <c r="I672" s="19"/>
      <c r="J672" s="19"/>
      <c r="K672" s="19"/>
      <c r="L672" s="19"/>
      <c r="M672" s="18"/>
      <c r="N672" s="18"/>
      <c r="O672" s="19"/>
      <c r="P672" s="19"/>
      <c r="Q672" s="19"/>
    </row>
    <row r="673" ht="37.5" spans="1:17">
      <c r="A673" s="14">
        <v>668</v>
      </c>
      <c r="B673" s="15" t="s">
        <v>118</v>
      </c>
      <c r="C673" s="15" t="s">
        <v>717</v>
      </c>
      <c r="D673" s="16">
        <v>11814711.3439</v>
      </c>
      <c r="E673" s="16">
        <v>1831952.3063</v>
      </c>
      <c r="F673" s="17">
        <f t="shared" si="10"/>
        <v>13646663.6502</v>
      </c>
      <c r="G673" s="18"/>
      <c r="H673" s="18"/>
      <c r="I673" s="19"/>
      <c r="J673" s="19"/>
      <c r="K673" s="19"/>
      <c r="L673" s="19"/>
      <c r="M673" s="18"/>
      <c r="N673" s="18"/>
      <c r="O673" s="19"/>
      <c r="P673" s="19"/>
      <c r="Q673" s="19"/>
    </row>
    <row r="674" ht="18.75" spans="1:17">
      <c r="A674" s="14">
        <v>669</v>
      </c>
      <c r="B674" s="15" t="s">
        <v>118</v>
      </c>
      <c r="C674" s="15" t="s">
        <v>719</v>
      </c>
      <c r="D674" s="16">
        <v>16323555.9993</v>
      </c>
      <c r="E674" s="16">
        <v>2531079.7013</v>
      </c>
      <c r="F674" s="17">
        <f t="shared" si="10"/>
        <v>18854635.7006</v>
      </c>
      <c r="G674" s="18"/>
      <c r="H674" s="18"/>
      <c r="I674" s="19"/>
      <c r="J674" s="19"/>
      <c r="K674" s="19"/>
      <c r="L674" s="19"/>
      <c r="M674" s="18"/>
      <c r="N674" s="18"/>
      <c r="O674" s="19"/>
      <c r="P674" s="19"/>
      <c r="Q674" s="19"/>
    </row>
    <row r="675" ht="18.75" spans="1:17">
      <c r="A675" s="14">
        <v>670</v>
      </c>
      <c r="B675" s="15" t="s">
        <v>118</v>
      </c>
      <c r="C675" s="15" t="s">
        <v>721</v>
      </c>
      <c r="D675" s="16">
        <v>10989872.1981</v>
      </c>
      <c r="E675" s="16">
        <v>1704055.3199</v>
      </c>
      <c r="F675" s="17">
        <f t="shared" si="10"/>
        <v>12693927.518</v>
      </c>
      <c r="G675" s="18"/>
      <c r="H675" s="18"/>
      <c r="I675" s="19"/>
      <c r="J675" s="19"/>
      <c r="K675" s="19"/>
      <c r="L675" s="19"/>
      <c r="M675" s="18"/>
      <c r="N675" s="18"/>
      <c r="O675" s="19"/>
      <c r="P675" s="19"/>
      <c r="Q675" s="19"/>
    </row>
    <row r="676" ht="18.75" spans="1:17">
      <c r="A676" s="14">
        <v>671</v>
      </c>
      <c r="B676" s="15" t="s">
        <v>118</v>
      </c>
      <c r="C676" s="15" t="s">
        <v>722</v>
      </c>
      <c r="D676" s="16">
        <v>14671692.043</v>
      </c>
      <c r="E676" s="16">
        <v>2274946.8263</v>
      </c>
      <c r="F676" s="17">
        <f t="shared" si="10"/>
        <v>16946638.8693</v>
      </c>
      <c r="G676" s="18"/>
      <c r="H676" s="18"/>
      <c r="I676" s="19"/>
      <c r="J676" s="19"/>
      <c r="K676" s="19"/>
      <c r="L676" s="19"/>
      <c r="M676" s="18"/>
      <c r="N676" s="18"/>
      <c r="O676" s="19"/>
      <c r="P676" s="19"/>
      <c r="Q676" s="19"/>
    </row>
    <row r="677" ht="18.75" spans="1:17">
      <c r="A677" s="14">
        <v>672</v>
      </c>
      <c r="B677" s="15" t="s">
        <v>118</v>
      </c>
      <c r="C677" s="15" t="s">
        <v>724</v>
      </c>
      <c r="D677" s="16">
        <v>14650471.9244</v>
      </c>
      <c r="E677" s="16">
        <v>2271656.5009</v>
      </c>
      <c r="F677" s="17">
        <f t="shared" si="10"/>
        <v>16922128.4253</v>
      </c>
      <c r="G677" s="18"/>
      <c r="H677" s="18"/>
      <c r="I677" s="19"/>
      <c r="J677" s="19"/>
      <c r="K677" s="19"/>
      <c r="L677" s="19"/>
      <c r="M677" s="18"/>
      <c r="N677" s="18"/>
      <c r="O677" s="19"/>
      <c r="P677" s="19"/>
      <c r="Q677" s="19"/>
    </row>
    <row r="678" ht="18.75" spans="1:17">
      <c r="A678" s="14">
        <v>673</v>
      </c>
      <c r="B678" s="15" t="s">
        <v>118</v>
      </c>
      <c r="C678" s="15" t="s">
        <v>726</v>
      </c>
      <c r="D678" s="16">
        <v>11577920.292</v>
      </c>
      <c r="E678" s="16">
        <v>1795236.224</v>
      </c>
      <c r="F678" s="17">
        <f t="shared" si="10"/>
        <v>13373156.516</v>
      </c>
      <c r="G678" s="18"/>
      <c r="H678" s="18"/>
      <c r="I678" s="19"/>
      <c r="J678" s="19"/>
      <c r="K678" s="19"/>
      <c r="L678" s="19"/>
      <c r="M678" s="18"/>
      <c r="N678" s="18"/>
      <c r="O678" s="19"/>
      <c r="P678" s="19"/>
      <c r="Q678" s="19"/>
    </row>
    <row r="679" ht="18.75" spans="1:17">
      <c r="A679" s="14">
        <v>674</v>
      </c>
      <c r="B679" s="15" t="s">
        <v>118</v>
      </c>
      <c r="C679" s="15" t="s">
        <v>728</v>
      </c>
      <c r="D679" s="16">
        <v>14752373.321</v>
      </c>
      <c r="E679" s="16">
        <v>2287457.0137</v>
      </c>
      <c r="F679" s="17">
        <f t="shared" si="10"/>
        <v>17039830.3347</v>
      </c>
      <c r="G679" s="18"/>
      <c r="H679" s="18"/>
      <c r="I679" s="19"/>
      <c r="J679" s="19"/>
      <c r="K679" s="19"/>
      <c r="L679" s="19"/>
      <c r="M679" s="18"/>
      <c r="N679" s="18"/>
      <c r="O679" s="19"/>
      <c r="P679" s="19"/>
      <c r="Q679" s="19"/>
    </row>
    <row r="680" ht="18.75" spans="1:17">
      <c r="A680" s="14">
        <v>675</v>
      </c>
      <c r="B680" s="15" t="s">
        <v>118</v>
      </c>
      <c r="C680" s="15" t="s">
        <v>730</v>
      </c>
      <c r="D680" s="16">
        <v>15674462.3247</v>
      </c>
      <c r="E680" s="16">
        <v>2430433.2598</v>
      </c>
      <c r="F680" s="17">
        <f t="shared" si="10"/>
        <v>18104895.5845</v>
      </c>
      <c r="G680" s="18"/>
      <c r="H680" s="18"/>
      <c r="I680" s="19"/>
      <c r="J680" s="19"/>
      <c r="K680" s="19"/>
      <c r="L680" s="19"/>
      <c r="M680" s="18"/>
      <c r="N680" s="18"/>
      <c r="O680" s="19"/>
      <c r="P680" s="19"/>
      <c r="Q680" s="19"/>
    </row>
    <row r="681" ht="18.75" spans="1:17">
      <c r="A681" s="14">
        <v>676</v>
      </c>
      <c r="B681" s="15" t="s">
        <v>119</v>
      </c>
      <c r="C681" s="15" t="s">
        <v>734</v>
      </c>
      <c r="D681" s="16">
        <v>10429106.5361</v>
      </c>
      <c r="E681" s="16">
        <v>1617104.7447</v>
      </c>
      <c r="F681" s="17">
        <f t="shared" si="10"/>
        <v>12046211.2808</v>
      </c>
      <c r="G681" s="18"/>
      <c r="H681" s="18"/>
      <c r="I681" s="19"/>
      <c r="J681" s="19"/>
      <c r="K681" s="19"/>
      <c r="L681" s="19"/>
      <c r="M681" s="18"/>
      <c r="N681" s="18"/>
      <c r="O681" s="19"/>
      <c r="P681" s="19"/>
      <c r="Q681" s="19"/>
    </row>
    <row r="682" ht="18.75" spans="1:17">
      <c r="A682" s="14">
        <v>677</v>
      </c>
      <c r="B682" s="15" t="s">
        <v>119</v>
      </c>
      <c r="C682" s="15" t="s">
        <v>737</v>
      </c>
      <c r="D682" s="16">
        <v>13030358.666</v>
      </c>
      <c r="E682" s="16">
        <v>2020446.79</v>
      </c>
      <c r="F682" s="17">
        <f t="shared" si="10"/>
        <v>15050805.456</v>
      </c>
      <c r="G682" s="18"/>
      <c r="H682" s="18"/>
      <c r="I682" s="19"/>
      <c r="J682" s="19"/>
      <c r="K682" s="19"/>
      <c r="L682" s="19"/>
      <c r="M682" s="18"/>
      <c r="N682" s="18"/>
      <c r="O682" s="19"/>
      <c r="P682" s="19"/>
      <c r="Q682" s="19"/>
    </row>
    <row r="683" ht="18.75" spans="1:17">
      <c r="A683" s="14">
        <v>678</v>
      </c>
      <c r="B683" s="15" t="s">
        <v>119</v>
      </c>
      <c r="C683" s="15" t="s">
        <v>739</v>
      </c>
      <c r="D683" s="16">
        <v>12003693.548</v>
      </c>
      <c r="E683" s="16">
        <v>1861255.2977</v>
      </c>
      <c r="F683" s="17">
        <f t="shared" si="10"/>
        <v>13864948.8457</v>
      </c>
      <c r="G683" s="18"/>
      <c r="H683" s="18"/>
      <c r="I683" s="19"/>
      <c r="J683" s="19"/>
      <c r="K683" s="19"/>
      <c r="L683" s="19"/>
      <c r="M683" s="18"/>
      <c r="N683" s="18"/>
      <c r="O683" s="19"/>
      <c r="P683" s="19"/>
      <c r="Q683" s="19"/>
    </row>
    <row r="684" ht="18.75" spans="1:17">
      <c r="A684" s="14">
        <v>679</v>
      </c>
      <c r="B684" s="15" t="s">
        <v>119</v>
      </c>
      <c r="C684" s="15" t="s">
        <v>741</v>
      </c>
      <c r="D684" s="16">
        <v>12813702.355</v>
      </c>
      <c r="E684" s="16">
        <v>1986852.7379</v>
      </c>
      <c r="F684" s="17">
        <f t="shared" si="10"/>
        <v>14800555.0929</v>
      </c>
      <c r="G684" s="18"/>
      <c r="H684" s="18"/>
      <c r="I684" s="19"/>
      <c r="J684" s="19"/>
      <c r="K684" s="19"/>
      <c r="L684" s="19"/>
      <c r="M684" s="18"/>
      <c r="N684" s="18"/>
      <c r="O684" s="19"/>
      <c r="P684" s="19"/>
      <c r="Q684" s="19"/>
    </row>
    <row r="685" ht="18.75" spans="1:17">
      <c r="A685" s="14">
        <v>680</v>
      </c>
      <c r="B685" s="15" t="s">
        <v>119</v>
      </c>
      <c r="C685" s="15" t="s">
        <v>743</v>
      </c>
      <c r="D685" s="16">
        <v>11894321.539</v>
      </c>
      <c r="E685" s="16">
        <v>1844296.4149</v>
      </c>
      <c r="F685" s="17">
        <f t="shared" si="10"/>
        <v>13738617.9539</v>
      </c>
      <c r="G685" s="18"/>
      <c r="H685" s="18"/>
      <c r="I685" s="19"/>
      <c r="J685" s="19"/>
      <c r="K685" s="19"/>
      <c r="L685" s="19"/>
      <c r="M685" s="18"/>
      <c r="N685" s="18"/>
      <c r="O685" s="19"/>
      <c r="P685" s="19"/>
      <c r="Q685" s="19"/>
    </row>
    <row r="686" ht="18.75" spans="1:17">
      <c r="A686" s="14">
        <v>681</v>
      </c>
      <c r="B686" s="15" t="s">
        <v>119</v>
      </c>
      <c r="C686" s="15" t="s">
        <v>745</v>
      </c>
      <c r="D686" s="16">
        <v>11892334.0178</v>
      </c>
      <c r="E686" s="16">
        <v>1843988.2361</v>
      </c>
      <c r="F686" s="17">
        <f t="shared" si="10"/>
        <v>13736322.2539</v>
      </c>
      <c r="G686" s="18"/>
      <c r="H686" s="18"/>
      <c r="I686" s="19"/>
      <c r="J686" s="19"/>
      <c r="K686" s="19"/>
      <c r="L686" s="19"/>
      <c r="M686" s="18"/>
      <c r="N686" s="18"/>
      <c r="O686" s="19"/>
      <c r="P686" s="19"/>
      <c r="Q686" s="19"/>
    </row>
    <row r="687" ht="18.75" spans="1:17">
      <c r="A687" s="14">
        <v>682</v>
      </c>
      <c r="B687" s="15" t="s">
        <v>119</v>
      </c>
      <c r="C687" s="15" t="s">
        <v>747</v>
      </c>
      <c r="D687" s="16">
        <v>12888568.8613</v>
      </c>
      <c r="E687" s="16">
        <v>1998461.305</v>
      </c>
      <c r="F687" s="17">
        <f t="shared" si="10"/>
        <v>14887030.1663</v>
      </c>
      <c r="G687" s="18"/>
      <c r="H687" s="18"/>
      <c r="I687" s="19"/>
      <c r="J687" s="19"/>
      <c r="K687" s="19"/>
      <c r="L687" s="19"/>
      <c r="M687" s="18"/>
      <c r="N687" s="18"/>
      <c r="O687" s="19"/>
      <c r="P687" s="19"/>
      <c r="Q687" s="19"/>
    </row>
    <row r="688" ht="18.75" spans="1:17">
      <c r="A688" s="14">
        <v>683</v>
      </c>
      <c r="B688" s="15" t="s">
        <v>119</v>
      </c>
      <c r="C688" s="15" t="s">
        <v>749</v>
      </c>
      <c r="D688" s="16">
        <v>12486585.2077</v>
      </c>
      <c r="E688" s="16">
        <v>1936130.9729</v>
      </c>
      <c r="F688" s="17">
        <f t="shared" si="10"/>
        <v>14422716.1806</v>
      </c>
      <c r="G688" s="18"/>
      <c r="H688" s="18"/>
      <c r="I688" s="19"/>
      <c r="J688" s="19"/>
      <c r="K688" s="19"/>
      <c r="L688" s="19"/>
      <c r="M688" s="18"/>
      <c r="N688" s="18"/>
      <c r="O688" s="19"/>
      <c r="P688" s="19"/>
      <c r="Q688" s="19"/>
    </row>
    <row r="689" ht="18.75" spans="1:17">
      <c r="A689" s="14">
        <v>684</v>
      </c>
      <c r="B689" s="15" t="s">
        <v>119</v>
      </c>
      <c r="C689" s="15" t="s">
        <v>751</v>
      </c>
      <c r="D689" s="16">
        <v>11910038.6171</v>
      </c>
      <c r="E689" s="16">
        <v>1846733.4561</v>
      </c>
      <c r="F689" s="17">
        <f t="shared" si="10"/>
        <v>13756772.0732</v>
      </c>
      <c r="G689" s="18"/>
      <c r="H689" s="18"/>
      <c r="I689" s="19"/>
      <c r="J689" s="19"/>
      <c r="K689" s="19"/>
      <c r="L689" s="19"/>
      <c r="M689" s="18"/>
      <c r="N689" s="18"/>
      <c r="O689" s="19"/>
      <c r="P689" s="19"/>
      <c r="Q689" s="19"/>
    </row>
    <row r="690" ht="18.75" spans="1:17">
      <c r="A690" s="14">
        <v>685</v>
      </c>
      <c r="B690" s="15" t="s">
        <v>119</v>
      </c>
      <c r="C690" s="15" t="s">
        <v>753</v>
      </c>
      <c r="D690" s="16">
        <v>13966437.162</v>
      </c>
      <c r="E690" s="16">
        <v>2165592.2032</v>
      </c>
      <c r="F690" s="17">
        <f t="shared" si="10"/>
        <v>16132029.3652</v>
      </c>
      <c r="G690" s="18"/>
      <c r="H690" s="18"/>
      <c r="I690" s="19"/>
      <c r="J690" s="19"/>
      <c r="K690" s="19"/>
      <c r="L690" s="19"/>
      <c r="M690" s="18"/>
      <c r="N690" s="18"/>
      <c r="O690" s="19"/>
      <c r="P690" s="19"/>
      <c r="Q690" s="19"/>
    </row>
    <row r="691" ht="18.75" spans="1:17">
      <c r="A691" s="14">
        <v>686</v>
      </c>
      <c r="B691" s="15" t="s">
        <v>119</v>
      </c>
      <c r="C691" s="15" t="s">
        <v>755</v>
      </c>
      <c r="D691" s="16">
        <v>12438513.0049</v>
      </c>
      <c r="E691" s="16">
        <v>1928677.047</v>
      </c>
      <c r="F691" s="17">
        <f t="shared" si="10"/>
        <v>14367190.0519</v>
      </c>
      <c r="G691" s="18"/>
      <c r="H691" s="18"/>
      <c r="I691" s="19"/>
      <c r="J691" s="19"/>
      <c r="K691" s="19"/>
      <c r="L691" s="19"/>
      <c r="M691" s="18"/>
      <c r="N691" s="18"/>
      <c r="O691" s="19"/>
      <c r="P691" s="19"/>
      <c r="Q691" s="19"/>
    </row>
    <row r="692" ht="18.75" spans="1:17">
      <c r="A692" s="14">
        <v>687</v>
      </c>
      <c r="B692" s="15" t="s">
        <v>119</v>
      </c>
      <c r="C692" s="15" t="s">
        <v>757</v>
      </c>
      <c r="D692" s="16">
        <v>11904723.9791</v>
      </c>
      <c r="E692" s="16">
        <v>1845909.3849</v>
      </c>
      <c r="F692" s="17">
        <f t="shared" si="10"/>
        <v>13750633.364</v>
      </c>
      <c r="G692" s="18"/>
      <c r="H692" s="18"/>
      <c r="I692" s="19"/>
      <c r="J692" s="19"/>
      <c r="K692" s="19"/>
      <c r="L692" s="19"/>
      <c r="M692" s="18"/>
      <c r="N692" s="18"/>
      <c r="O692" s="19"/>
      <c r="P692" s="19"/>
      <c r="Q692" s="19"/>
    </row>
    <row r="693" ht="18.75" spans="1:17">
      <c r="A693" s="14">
        <v>688</v>
      </c>
      <c r="B693" s="15" t="s">
        <v>119</v>
      </c>
      <c r="C693" s="15" t="s">
        <v>759</v>
      </c>
      <c r="D693" s="16">
        <v>14132976.5685</v>
      </c>
      <c r="E693" s="16">
        <v>2191415.2844</v>
      </c>
      <c r="F693" s="17">
        <f t="shared" si="10"/>
        <v>16324391.8529</v>
      </c>
      <c r="G693" s="18"/>
      <c r="H693" s="18"/>
      <c r="I693" s="19"/>
      <c r="J693" s="19"/>
      <c r="K693" s="19"/>
      <c r="L693" s="19"/>
      <c r="M693" s="18"/>
      <c r="N693" s="18"/>
      <c r="O693" s="19"/>
      <c r="P693" s="19"/>
      <c r="Q693" s="19"/>
    </row>
    <row r="694" ht="18.75" spans="1:17">
      <c r="A694" s="14">
        <v>689</v>
      </c>
      <c r="B694" s="15" t="s">
        <v>119</v>
      </c>
      <c r="C694" s="15" t="s">
        <v>761</v>
      </c>
      <c r="D694" s="16">
        <v>17307362.6402</v>
      </c>
      <c r="E694" s="16">
        <v>2683625.6919</v>
      </c>
      <c r="F694" s="17">
        <f t="shared" si="10"/>
        <v>19990988.3321</v>
      </c>
      <c r="G694" s="18"/>
      <c r="H694" s="18"/>
      <c r="I694" s="19"/>
      <c r="J694" s="19"/>
      <c r="K694" s="19"/>
      <c r="L694" s="19"/>
      <c r="M694" s="18"/>
      <c r="N694" s="18"/>
      <c r="O694" s="19"/>
      <c r="P694" s="19"/>
      <c r="Q694" s="19"/>
    </row>
    <row r="695" ht="18.75" spans="1:17">
      <c r="A695" s="14">
        <v>690</v>
      </c>
      <c r="B695" s="15" t="s">
        <v>119</v>
      </c>
      <c r="C695" s="15" t="s">
        <v>763</v>
      </c>
      <c r="D695" s="16">
        <v>13972982.9941</v>
      </c>
      <c r="E695" s="16">
        <v>2166607.1795</v>
      </c>
      <c r="F695" s="17">
        <f t="shared" si="10"/>
        <v>16139590.1736</v>
      </c>
      <c r="G695" s="18"/>
      <c r="H695" s="18"/>
      <c r="I695" s="19"/>
      <c r="J695" s="19"/>
      <c r="K695" s="19"/>
      <c r="L695" s="19"/>
      <c r="M695" s="18"/>
      <c r="N695" s="18"/>
      <c r="O695" s="19"/>
      <c r="P695" s="19"/>
      <c r="Q695" s="19"/>
    </row>
    <row r="696" ht="37.5" spans="1:17">
      <c r="A696" s="14">
        <v>691</v>
      </c>
      <c r="B696" s="15" t="s">
        <v>119</v>
      </c>
      <c r="C696" s="15" t="s">
        <v>765</v>
      </c>
      <c r="D696" s="16">
        <v>14099964.9993</v>
      </c>
      <c r="E696" s="16">
        <v>2186296.6134</v>
      </c>
      <c r="F696" s="17">
        <f t="shared" si="10"/>
        <v>16286261.6127</v>
      </c>
      <c r="G696" s="18"/>
      <c r="H696" s="18"/>
      <c r="I696" s="19"/>
      <c r="J696" s="19"/>
      <c r="K696" s="19"/>
      <c r="L696" s="19"/>
      <c r="M696" s="18"/>
      <c r="N696" s="18"/>
      <c r="O696" s="19"/>
      <c r="P696" s="19"/>
      <c r="Q696" s="19"/>
    </row>
    <row r="697" ht="18.75" spans="1:17">
      <c r="A697" s="14">
        <v>692</v>
      </c>
      <c r="B697" s="15" t="s">
        <v>119</v>
      </c>
      <c r="C697" s="15" t="s">
        <v>767</v>
      </c>
      <c r="D697" s="16">
        <v>9687305.7679</v>
      </c>
      <c r="E697" s="16">
        <v>1502083.4303</v>
      </c>
      <c r="F697" s="17">
        <f t="shared" si="10"/>
        <v>11189389.1982</v>
      </c>
      <c r="G697" s="18"/>
      <c r="H697" s="18"/>
      <c r="I697" s="19"/>
      <c r="J697" s="19"/>
      <c r="K697" s="19"/>
      <c r="L697" s="19"/>
      <c r="M697" s="18"/>
      <c r="N697" s="18"/>
      <c r="O697" s="19"/>
      <c r="P697" s="19"/>
      <c r="Q697" s="19"/>
    </row>
    <row r="698" ht="18.75" spans="1:17">
      <c r="A698" s="14">
        <v>693</v>
      </c>
      <c r="B698" s="15" t="s">
        <v>119</v>
      </c>
      <c r="C698" s="15" t="s">
        <v>769</v>
      </c>
      <c r="D698" s="16">
        <v>11920271.1263</v>
      </c>
      <c r="E698" s="16">
        <v>1848320.077</v>
      </c>
      <c r="F698" s="17">
        <f t="shared" si="10"/>
        <v>13768591.2033</v>
      </c>
      <c r="G698" s="18"/>
      <c r="H698" s="18"/>
      <c r="I698" s="19"/>
      <c r="J698" s="19"/>
      <c r="K698" s="19"/>
      <c r="L698" s="19"/>
      <c r="M698" s="18"/>
      <c r="N698" s="18"/>
      <c r="O698" s="19"/>
      <c r="P698" s="19"/>
      <c r="Q698" s="19"/>
    </row>
    <row r="699" ht="18.75" spans="1:17">
      <c r="A699" s="14">
        <v>694</v>
      </c>
      <c r="B699" s="15" t="s">
        <v>119</v>
      </c>
      <c r="C699" s="15" t="s">
        <v>771</v>
      </c>
      <c r="D699" s="16">
        <v>9447990.1789</v>
      </c>
      <c r="E699" s="16">
        <v>1464975.9012</v>
      </c>
      <c r="F699" s="17">
        <f t="shared" si="10"/>
        <v>10912966.0801</v>
      </c>
      <c r="G699" s="18"/>
      <c r="H699" s="18"/>
      <c r="I699" s="19"/>
      <c r="J699" s="19"/>
      <c r="K699" s="19"/>
      <c r="L699" s="19"/>
      <c r="M699" s="18"/>
      <c r="N699" s="18"/>
      <c r="O699" s="19"/>
      <c r="P699" s="19"/>
      <c r="Q699" s="19"/>
    </row>
    <row r="700" ht="18.75" spans="1:17">
      <c r="A700" s="14">
        <v>695</v>
      </c>
      <c r="B700" s="15" t="s">
        <v>119</v>
      </c>
      <c r="C700" s="15" t="s">
        <v>773</v>
      </c>
      <c r="D700" s="16">
        <v>10219601.8571</v>
      </c>
      <c r="E700" s="16">
        <v>1584619.6023</v>
      </c>
      <c r="F700" s="17">
        <f t="shared" si="10"/>
        <v>11804221.4594</v>
      </c>
      <c r="G700" s="18"/>
      <c r="H700" s="18"/>
      <c r="I700" s="19"/>
      <c r="J700" s="19"/>
      <c r="K700" s="19"/>
      <c r="L700" s="19"/>
      <c r="M700" s="18"/>
      <c r="N700" s="18"/>
      <c r="O700" s="19"/>
      <c r="P700" s="19"/>
      <c r="Q700" s="19"/>
    </row>
    <row r="701" ht="18.75" spans="1:17">
      <c r="A701" s="14">
        <v>696</v>
      </c>
      <c r="B701" s="15" t="s">
        <v>119</v>
      </c>
      <c r="C701" s="15" t="s">
        <v>775</v>
      </c>
      <c r="D701" s="16">
        <v>10554988.629</v>
      </c>
      <c r="E701" s="16">
        <v>1636623.6295</v>
      </c>
      <c r="F701" s="17">
        <f t="shared" si="10"/>
        <v>12191612.2585</v>
      </c>
      <c r="G701" s="18"/>
      <c r="H701" s="18"/>
      <c r="I701" s="19"/>
      <c r="J701" s="19"/>
      <c r="K701" s="19"/>
      <c r="L701" s="19"/>
      <c r="M701" s="18"/>
      <c r="N701" s="18"/>
      <c r="O701" s="19"/>
      <c r="P701" s="19"/>
      <c r="Q701" s="19"/>
    </row>
    <row r="702" ht="37.5" spans="1:17">
      <c r="A702" s="14">
        <v>697</v>
      </c>
      <c r="B702" s="15" t="s">
        <v>119</v>
      </c>
      <c r="C702" s="15" t="s">
        <v>777</v>
      </c>
      <c r="D702" s="16">
        <v>19601984.3553</v>
      </c>
      <c r="E702" s="16">
        <v>3039422.5811</v>
      </c>
      <c r="F702" s="17">
        <f t="shared" si="10"/>
        <v>22641406.9364</v>
      </c>
      <c r="G702" s="18"/>
      <c r="H702" s="18"/>
      <c r="I702" s="19"/>
      <c r="J702" s="19"/>
      <c r="K702" s="19"/>
      <c r="L702" s="19"/>
      <c r="M702" s="18"/>
      <c r="N702" s="18"/>
      <c r="O702" s="19"/>
      <c r="P702" s="19"/>
      <c r="Q702" s="19"/>
    </row>
    <row r="703" ht="18.75" spans="1:17">
      <c r="A703" s="14">
        <v>698</v>
      </c>
      <c r="B703" s="15" t="s">
        <v>119</v>
      </c>
      <c r="C703" s="15" t="s">
        <v>779</v>
      </c>
      <c r="D703" s="16">
        <v>11602143.6265</v>
      </c>
      <c r="E703" s="16">
        <v>1798992.2187</v>
      </c>
      <c r="F703" s="17">
        <f t="shared" si="10"/>
        <v>13401135.8452</v>
      </c>
      <c r="G703" s="18"/>
      <c r="H703" s="18"/>
      <c r="I703" s="19"/>
      <c r="J703" s="19"/>
      <c r="K703" s="19"/>
      <c r="L703" s="19"/>
      <c r="M703" s="18"/>
      <c r="N703" s="18"/>
      <c r="O703" s="19"/>
      <c r="P703" s="19"/>
      <c r="Q703" s="19"/>
    </row>
    <row r="704" ht="18.75" spans="1:17">
      <c r="A704" s="14">
        <v>699</v>
      </c>
      <c r="B704" s="15" t="s">
        <v>120</v>
      </c>
      <c r="C704" s="15" t="s">
        <v>783</v>
      </c>
      <c r="D704" s="16">
        <v>10870199.6038</v>
      </c>
      <c r="E704" s="16">
        <v>1685499.2606</v>
      </c>
      <c r="F704" s="17">
        <f t="shared" si="10"/>
        <v>12555698.8644</v>
      </c>
      <c r="G704" s="18"/>
      <c r="H704" s="18"/>
      <c r="I704" s="19"/>
      <c r="J704" s="19"/>
      <c r="K704" s="19"/>
      <c r="L704" s="19"/>
      <c r="M704" s="18"/>
      <c r="N704" s="18"/>
      <c r="O704" s="19"/>
      <c r="P704" s="19"/>
      <c r="Q704" s="19"/>
    </row>
    <row r="705" ht="18.75" spans="1:17">
      <c r="A705" s="14">
        <v>700</v>
      </c>
      <c r="B705" s="15" t="s">
        <v>120</v>
      </c>
      <c r="C705" s="15" t="s">
        <v>785</v>
      </c>
      <c r="D705" s="16">
        <v>12373929.5018</v>
      </c>
      <c r="E705" s="16">
        <v>1918662.9304</v>
      </c>
      <c r="F705" s="17">
        <f t="shared" si="10"/>
        <v>14292592.4322</v>
      </c>
      <c r="G705" s="18"/>
      <c r="H705" s="18"/>
      <c r="I705" s="19"/>
      <c r="J705" s="19"/>
      <c r="K705" s="19"/>
      <c r="L705" s="19"/>
      <c r="M705" s="18"/>
      <c r="N705" s="18"/>
      <c r="O705" s="19"/>
      <c r="P705" s="19"/>
      <c r="Q705" s="19"/>
    </row>
    <row r="706" ht="18.75" spans="1:17">
      <c r="A706" s="14">
        <v>701</v>
      </c>
      <c r="B706" s="15" t="s">
        <v>120</v>
      </c>
      <c r="C706" s="15" t="s">
        <v>787</v>
      </c>
      <c r="D706" s="16">
        <v>13334965.9506</v>
      </c>
      <c r="E706" s="16">
        <v>2067678.2459</v>
      </c>
      <c r="F706" s="17">
        <f t="shared" si="10"/>
        <v>15402644.1965</v>
      </c>
      <c r="G706" s="18"/>
      <c r="H706" s="18"/>
      <c r="I706" s="19"/>
      <c r="J706" s="19"/>
      <c r="K706" s="19"/>
      <c r="L706" s="19"/>
      <c r="M706" s="18"/>
      <c r="N706" s="18"/>
      <c r="O706" s="19"/>
      <c r="P706" s="19"/>
      <c r="Q706" s="19"/>
    </row>
    <row r="707" ht="18.75" spans="1:17">
      <c r="A707" s="14">
        <v>702</v>
      </c>
      <c r="B707" s="15" t="s">
        <v>120</v>
      </c>
      <c r="C707" s="15" t="s">
        <v>789</v>
      </c>
      <c r="D707" s="16">
        <v>14478603.4965</v>
      </c>
      <c r="E707" s="16">
        <v>2245007.1183</v>
      </c>
      <c r="F707" s="17">
        <f t="shared" si="10"/>
        <v>16723610.6148</v>
      </c>
      <c r="G707" s="18"/>
      <c r="H707" s="18"/>
      <c r="I707" s="19"/>
      <c r="J707" s="19"/>
      <c r="K707" s="19"/>
      <c r="L707" s="19"/>
      <c r="M707" s="18"/>
      <c r="N707" s="18"/>
      <c r="O707" s="19"/>
      <c r="P707" s="19"/>
      <c r="Q707" s="19"/>
    </row>
    <row r="708" ht="18.75" spans="1:17">
      <c r="A708" s="14">
        <v>703</v>
      </c>
      <c r="B708" s="15" t="s">
        <v>120</v>
      </c>
      <c r="C708" s="15" t="s">
        <v>791</v>
      </c>
      <c r="D708" s="16">
        <v>13620093.4755</v>
      </c>
      <c r="E708" s="16">
        <v>2111889.231</v>
      </c>
      <c r="F708" s="17">
        <f t="shared" si="10"/>
        <v>15731982.7065</v>
      </c>
      <c r="G708" s="18"/>
      <c r="H708" s="18"/>
      <c r="I708" s="19"/>
      <c r="J708" s="19"/>
      <c r="K708" s="19"/>
      <c r="L708" s="19"/>
      <c r="M708" s="18"/>
      <c r="N708" s="18"/>
      <c r="O708" s="19"/>
      <c r="P708" s="19"/>
      <c r="Q708" s="19"/>
    </row>
    <row r="709" ht="18.75" spans="1:17">
      <c r="A709" s="14">
        <v>704</v>
      </c>
      <c r="B709" s="15" t="s">
        <v>120</v>
      </c>
      <c r="C709" s="15" t="s">
        <v>794</v>
      </c>
      <c r="D709" s="16">
        <v>12341346.3579</v>
      </c>
      <c r="E709" s="16">
        <v>1913610.6897</v>
      </c>
      <c r="F709" s="17">
        <f t="shared" si="10"/>
        <v>14254957.0476</v>
      </c>
      <c r="G709" s="18"/>
      <c r="H709" s="18"/>
      <c r="I709" s="19"/>
      <c r="J709" s="19"/>
      <c r="K709" s="19"/>
      <c r="L709" s="19"/>
      <c r="M709" s="18"/>
      <c r="N709" s="18"/>
      <c r="O709" s="19"/>
      <c r="P709" s="19"/>
      <c r="Q709" s="19"/>
    </row>
    <row r="710" ht="18.75" spans="1:17">
      <c r="A710" s="14">
        <v>705</v>
      </c>
      <c r="B710" s="15" t="s">
        <v>120</v>
      </c>
      <c r="C710" s="15" t="s">
        <v>796</v>
      </c>
      <c r="D710" s="16">
        <v>14095578.5696</v>
      </c>
      <c r="E710" s="16">
        <v>2185616.4672</v>
      </c>
      <c r="F710" s="17">
        <f t="shared" si="10"/>
        <v>16281195.0368</v>
      </c>
      <c r="G710" s="18"/>
      <c r="H710" s="18"/>
      <c r="I710" s="19"/>
      <c r="J710" s="19"/>
      <c r="K710" s="19"/>
      <c r="L710" s="19"/>
      <c r="M710" s="18"/>
      <c r="N710" s="18"/>
      <c r="O710" s="19"/>
      <c r="P710" s="19"/>
      <c r="Q710" s="19"/>
    </row>
    <row r="711" ht="18.75" spans="1:17">
      <c r="A711" s="14">
        <v>706</v>
      </c>
      <c r="B711" s="15" t="s">
        <v>120</v>
      </c>
      <c r="C711" s="15" t="s">
        <v>798</v>
      </c>
      <c r="D711" s="16">
        <v>12027908.316</v>
      </c>
      <c r="E711" s="16">
        <v>1865009.9641</v>
      </c>
      <c r="F711" s="17">
        <f t="shared" ref="F711:F774" si="11">D711+E711</f>
        <v>13892918.2801</v>
      </c>
      <c r="G711" s="18"/>
      <c r="H711" s="18"/>
      <c r="I711" s="19"/>
      <c r="J711" s="19"/>
      <c r="K711" s="19"/>
      <c r="L711" s="19"/>
      <c r="M711" s="18"/>
      <c r="N711" s="18"/>
      <c r="O711" s="19"/>
      <c r="P711" s="19"/>
      <c r="Q711" s="19"/>
    </row>
    <row r="712" ht="18.75" spans="1:17">
      <c r="A712" s="14">
        <v>707</v>
      </c>
      <c r="B712" s="15" t="s">
        <v>120</v>
      </c>
      <c r="C712" s="15" t="s">
        <v>800</v>
      </c>
      <c r="D712" s="16">
        <v>13614696.3128</v>
      </c>
      <c r="E712" s="16">
        <v>2111052.3638</v>
      </c>
      <c r="F712" s="17">
        <f t="shared" si="11"/>
        <v>15725748.6766</v>
      </c>
      <c r="G712" s="18"/>
      <c r="H712" s="18"/>
      <c r="I712" s="19"/>
      <c r="J712" s="19"/>
      <c r="K712" s="19"/>
      <c r="L712" s="19"/>
      <c r="M712" s="18"/>
      <c r="N712" s="18"/>
      <c r="O712" s="19"/>
      <c r="P712" s="19"/>
      <c r="Q712" s="19"/>
    </row>
    <row r="713" ht="18.75" spans="1:17">
      <c r="A713" s="14">
        <v>708</v>
      </c>
      <c r="B713" s="15" t="s">
        <v>120</v>
      </c>
      <c r="C713" s="15" t="s">
        <v>802</v>
      </c>
      <c r="D713" s="16">
        <v>12292175.3153</v>
      </c>
      <c r="E713" s="16">
        <v>1905986.3811</v>
      </c>
      <c r="F713" s="17">
        <f t="shared" si="11"/>
        <v>14198161.6964</v>
      </c>
      <c r="G713" s="18"/>
      <c r="H713" s="18"/>
      <c r="I713" s="19"/>
      <c r="J713" s="19"/>
      <c r="K713" s="19"/>
      <c r="L713" s="19"/>
      <c r="M713" s="18"/>
      <c r="N713" s="18"/>
      <c r="O713" s="19"/>
      <c r="P713" s="19"/>
      <c r="Q713" s="19"/>
    </row>
    <row r="714" ht="18.75" spans="1:17">
      <c r="A714" s="14">
        <v>709</v>
      </c>
      <c r="B714" s="15" t="s">
        <v>120</v>
      </c>
      <c r="C714" s="15" t="s">
        <v>804</v>
      </c>
      <c r="D714" s="16">
        <v>11398621.6648</v>
      </c>
      <c r="E714" s="16">
        <v>1767434.7379</v>
      </c>
      <c r="F714" s="17">
        <f t="shared" si="11"/>
        <v>13166056.4027</v>
      </c>
      <c r="G714" s="18"/>
      <c r="H714" s="18"/>
      <c r="I714" s="19"/>
      <c r="J714" s="19"/>
      <c r="K714" s="19"/>
      <c r="L714" s="19"/>
      <c r="M714" s="18"/>
      <c r="N714" s="18"/>
      <c r="O714" s="19"/>
      <c r="P714" s="19"/>
      <c r="Q714" s="19"/>
    </row>
    <row r="715" ht="18.75" spans="1:17">
      <c r="A715" s="14">
        <v>710</v>
      </c>
      <c r="B715" s="15" t="s">
        <v>120</v>
      </c>
      <c r="C715" s="15" t="s">
        <v>806</v>
      </c>
      <c r="D715" s="16">
        <v>13571445.9535</v>
      </c>
      <c r="E715" s="16">
        <v>2104346.0979</v>
      </c>
      <c r="F715" s="17">
        <f t="shared" si="11"/>
        <v>15675792.0514</v>
      </c>
      <c r="G715" s="18"/>
      <c r="H715" s="18"/>
      <c r="I715" s="19"/>
      <c r="J715" s="19"/>
      <c r="K715" s="19"/>
      <c r="L715" s="19"/>
      <c r="M715" s="18"/>
      <c r="N715" s="18"/>
      <c r="O715" s="19"/>
      <c r="P715" s="19"/>
      <c r="Q715" s="19"/>
    </row>
    <row r="716" ht="18.75" spans="1:17">
      <c r="A716" s="14">
        <v>711</v>
      </c>
      <c r="B716" s="15" t="s">
        <v>120</v>
      </c>
      <c r="C716" s="15" t="s">
        <v>808</v>
      </c>
      <c r="D716" s="16">
        <v>14239185.4354</v>
      </c>
      <c r="E716" s="16">
        <v>2207883.7001</v>
      </c>
      <c r="F716" s="17">
        <f t="shared" si="11"/>
        <v>16447069.1355</v>
      </c>
      <c r="G716" s="18"/>
      <c r="H716" s="18"/>
      <c r="I716" s="19"/>
      <c r="J716" s="19"/>
      <c r="K716" s="19"/>
      <c r="L716" s="19"/>
      <c r="M716" s="18"/>
      <c r="N716" s="18"/>
      <c r="O716" s="19"/>
      <c r="P716" s="19"/>
      <c r="Q716" s="19"/>
    </row>
    <row r="717" ht="18.75" spans="1:17">
      <c r="A717" s="14">
        <v>712</v>
      </c>
      <c r="B717" s="15" t="s">
        <v>120</v>
      </c>
      <c r="C717" s="15" t="s">
        <v>810</v>
      </c>
      <c r="D717" s="16">
        <v>12830260.4217</v>
      </c>
      <c r="E717" s="16">
        <v>1989420.1801</v>
      </c>
      <c r="F717" s="17">
        <f t="shared" si="11"/>
        <v>14819680.6018</v>
      </c>
      <c r="G717" s="18"/>
      <c r="H717" s="18"/>
      <c r="I717" s="19"/>
      <c r="J717" s="19"/>
      <c r="K717" s="19"/>
      <c r="L717" s="19"/>
      <c r="M717" s="18"/>
      <c r="N717" s="18"/>
      <c r="O717" s="19"/>
      <c r="P717" s="19"/>
      <c r="Q717" s="19"/>
    </row>
    <row r="718" ht="18.75" spans="1:17">
      <c r="A718" s="14">
        <v>713</v>
      </c>
      <c r="B718" s="15" t="s">
        <v>120</v>
      </c>
      <c r="C718" s="15" t="s">
        <v>812</v>
      </c>
      <c r="D718" s="16">
        <v>11488712.2336</v>
      </c>
      <c r="E718" s="16">
        <v>1781403.9006</v>
      </c>
      <c r="F718" s="17">
        <f t="shared" si="11"/>
        <v>13270116.1342</v>
      </c>
      <c r="G718" s="18"/>
      <c r="H718" s="18"/>
      <c r="I718" s="19"/>
      <c r="J718" s="19"/>
      <c r="K718" s="19"/>
      <c r="L718" s="19"/>
      <c r="M718" s="18"/>
      <c r="N718" s="18"/>
      <c r="O718" s="19"/>
      <c r="P718" s="19"/>
      <c r="Q718" s="19"/>
    </row>
    <row r="719" ht="18.75" spans="1:17">
      <c r="A719" s="14">
        <v>714</v>
      </c>
      <c r="B719" s="15" t="s">
        <v>120</v>
      </c>
      <c r="C719" s="15" t="s">
        <v>814</v>
      </c>
      <c r="D719" s="16">
        <v>12766692.377</v>
      </c>
      <c r="E719" s="16">
        <v>1979563.5173</v>
      </c>
      <c r="F719" s="17">
        <f t="shared" si="11"/>
        <v>14746255.8943</v>
      </c>
      <c r="G719" s="18"/>
      <c r="H719" s="18"/>
      <c r="I719" s="19"/>
      <c r="J719" s="19"/>
      <c r="K719" s="19"/>
      <c r="L719" s="19"/>
      <c r="M719" s="18"/>
      <c r="N719" s="18"/>
      <c r="O719" s="19"/>
      <c r="P719" s="19"/>
      <c r="Q719" s="19"/>
    </row>
    <row r="720" ht="18.75" spans="1:17">
      <c r="A720" s="14">
        <v>715</v>
      </c>
      <c r="B720" s="15" t="s">
        <v>120</v>
      </c>
      <c r="C720" s="15" t="s">
        <v>816</v>
      </c>
      <c r="D720" s="16">
        <v>12663556.6722</v>
      </c>
      <c r="E720" s="16">
        <v>1963571.6165</v>
      </c>
      <c r="F720" s="17">
        <f t="shared" si="11"/>
        <v>14627128.2887</v>
      </c>
      <c r="G720" s="18"/>
      <c r="H720" s="18"/>
      <c r="I720" s="19"/>
      <c r="J720" s="19"/>
      <c r="K720" s="19"/>
      <c r="L720" s="19"/>
      <c r="M720" s="18"/>
      <c r="N720" s="18"/>
      <c r="O720" s="19"/>
      <c r="P720" s="19"/>
      <c r="Q720" s="19"/>
    </row>
    <row r="721" ht="18.75" spans="1:17">
      <c r="A721" s="14">
        <v>716</v>
      </c>
      <c r="B721" s="15" t="s">
        <v>120</v>
      </c>
      <c r="C721" s="15" t="s">
        <v>818</v>
      </c>
      <c r="D721" s="16">
        <v>14179593.5028</v>
      </c>
      <c r="E721" s="16">
        <v>2198643.5609</v>
      </c>
      <c r="F721" s="17">
        <f t="shared" si="11"/>
        <v>16378237.0637</v>
      </c>
      <c r="G721" s="18"/>
      <c r="H721" s="18"/>
      <c r="I721" s="19"/>
      <c r="J721" s="19"/>
      <c r="K721" s="19"/>
      <c r="L721" s="19"/>
      <c r="M721" s="18"/>
      <c r="N721" s="18"/>
      <c r="O721" s="19"/>
      <c r="P721" s="19"/>
      <c r="Q721" s="19"/>
    </row>
    <row r="722" ht="18.75" spans="1:17">
      <c r="A722" s="14">
        <v>717</v>
      </c>
      <c r="B722" s="15" t="s">
        <v>120</v>
      </c>
      <c r="C722" s="15" t="s">
        <v>820</v>
      </c>
      <c r="D722" s="16">
        <v>13073013.7704</v>
      </c>
      <c r="E722" s="16">
        <v>2027060.7575</v>
      </c>
      <c r="F722" s="17">
        <f t="shared" si="11"/>
        <v>15100074.5279</v>
      </c>
      <c r="G722" s="18"/>
      <c r="H722" s="18"/>
      <c r="I722" s="19"/>
      <c r="J722" s="19"/>
      <c r="K722" s="19"/>
      <c r="L722" s="19"/>
      <c r="M722" s="18"/>
      <c r="N722" s="18"/>
      <c r="O722" s="19"/>
      <c r="P722" s="19"/>
      <c r="Q722" s="19"/>
    </row>
    <row r="723" ht="18.75" spans="1:17">
      <c r="A723" s="14">
        <v>718</v>
      </c>
      <c r="B723" s="15" t="s">
        <v>120</v>
      </c>
      <c r="C723" s="15" t="s">
        <v>822</v>
      </c>
      <c r="D723" s="16">
        <v>11896633.278</v>
      </c>
      <c r="E723" s="16">
        <v>1844654.866</v>
      </c>
      <c r="F723" s="17">
        <f t="shared" si="11"/>
        <v>13741288.144</v>
      </c>
      <c r="G723" s="18"/>
      <c r="H723" s="18"/>
      <c r="I723" s="19"/>
      <c r="J723" s="19"/>
      <c r="K723" s="19"/>
      <c r="L723" s="19"/>
      <c r="M723" s="18"/>
      <c r="N723" s="18"/>
      <c r="O723" s="19"/>
      <c r="P723" s="19"/>
      <c r="Q723" s="19"/>
    </row>
    <row r="724" ht="18.75" spans="1:17">
      <c r="A724" s="14">
        <v>719</v>
      </c>
      <c r="B724" s="15" t="s">
        <v>120</v>
      </c>
      <c r="C724" s="15" t="s">
        <v>824</v>
      </c>
      <c r="D724" s="16">
        <v>12263598.5014</v>
      </c>
      <c r="E724" s="16">
        <v>1901555.3494</v>
      </c>
      <c r="F724" s="17">
        <f t="shared" si="11"/>
        <v>14165153.8508</v>
      </c>
      <c r="G724" s="18"/>
      <c r="H724" s="18"/>
      <c r="I724" s="19"/>
      <c r="J724" s="19"/>
      <c r="K724" s="19"/>
      <c r="L724" s="19"/>
      <c r="M724" s="18"/>
      <c r="N724" s="18"/>
      <c r="O724" s="19"/>
      <c r="P724" s="19"/>
      <c r="Q724" s="19"/>
    </row>
    <row r="725" ht="18.75" spans="1:17">
      <c r="A725" s="14">
        <v>720</v>
      </c>
      <c r="B725" s="15" t="s">
        <v>120</v>
      </c>
      <c r="C725" s="15" t="s">
        <v>826</v>
      </c>
      <c r="D725" s="16">
        <v>11799487.3371</v>
      </c>
      <c r="E725" s="16">
        <v>1829591.7193</v>
      </c>
      <c r="F725" s="17">
        <f t="shared" si="11"/>
        <v>13629079.0564</v>
      </c>
      <c r="G725" s="18"/>
      <c r="H725" s="18"/>
      <c r="I725" s="19"/>
      <c r="J725" s="19"/>
      <c r="K725" s="19"/>
      <c r="L725" s="19"/>
      <c r="M725" s="18"/>
      <c r="N725" s="18"/>
      <c r="O725" s="19"/>
      <c r="P725" s="19"/>
      <c r="Q725" s="19"/>
    </row>
    <row r="726" ht="18.75" spans="1:17">
      <c r="A726" s="14">
        <v>721</v>
      </c>
      <c r="B726" s="15" t="s">
        <v>120</v>
      </c>
      <c r="C726" s="15" t="s">
        <v>828</v>
      </c>
      <c r="D726" s="16">
        <v>11062016.7813</v>
      </c>
      <c r="E726" s="16">
        <v>1715241.8341</v>
      </c>
      <c r="F726" s="17">
        <f t="shared" si="11"/>
        <v>12777258.6154</v>
      </c>
      <c r="G726" s="18"/>
      <c r="H726" s="18"/>
      <c r="I726" s="19"/>
      <c r="J726" s="19"/>
      <c r="K726" s="19"/>
      <c r="L726" s="19"/>
      <c r="M726" s="18"/>
      <c r="N726" s="18"/>
      <c r="O726" s="19"/>
      <c r="P726" s="19"/>
      <c r="Q726" s="19"/>
    </row>
    <row r="727" ht="18.75" spans="1:17">
      <c r="A727" s="14">
        <v>722</v>
      </c>
      <c r="B727" s="15" t="s">
        <v>121</v>
      </c>
      <c r="C727" s="15" t="s">
        <v>832</v>
      </c>
      <c r="D727" s="16">
        <v>10979853.465</v>
      </c>
      <c r="E727" s="16">
        <v>1702501.8464</v>
      </c>
      <c r="F727" s="17">
        <f t="shared" si="11"/>
        <v>12682355.3114</v>
      </c>
      <c r="G727" s="18"/>
      <c r="H727" s="18"/>
      <c r="I727" s="19"/>
      <c r="J727" s="19"/>
      <c r="K727" s="19"/>
      <c r="L727" s="19"/>
      <c r="M727" s="18"/>
      <c r="N727" s="18"/>
      <c r="O727" s="19"/>
      <c r="P727" s="19"/>
      <c r="Q727" s="19"/>
    </row>
    <row r="728" ht="18.75" spans="1:17">
      <c r="A728" s="14">
        <v>723</v>
      </c>
      <c r="B728" s="15" t="s">
        <v>121</v>
      </c>
      <c r="C728" s="15" t="s">
        <v>834</v>
      </c>
      <c r="D728" s="16">
        <v>18789057.8134</v>
      </c>
      <c r="E728" s="16">
        <v>2913372.7259</v>
      </c>
      <c r="F728" s="17">
        <f t="shared" si="11"/>
        <v>21702430.5393</v>
      </c>
      <c r="G728" s="18"/>
      <c r="H728" s="18"/>
      <c r="I728" s="19"/>
      <c r="J728" s="19"/>
      <c r="K728" s="19"/>
      <c r="L728" s="19"/>
      <c r="M728" s="18"/>
      <c r="N728" s="18"/>
      <c r="O728" s="19"/>
      <c r="P728" s="19"/>
      <c r="Q728" s="19"/>
    </row>
    <row r="729" ht="18.75" spans="1:17">
      <c r="A729" s="14">
        <v>724</v>
      </c>
      <c r="B729" s="15" t="s">
        <v>121</v>
      </c>
      <c r="C729" s="15" t="s">
        <v>836</v>
      </c>
      <c r="D729" s="16">
        <v>12904626.5388</v>
      </c>
      <c r="E729" s="16">
        <v>2000951.1584</v>
      </c>
      <c r="F729" s="17">
        <f t="shared" si="11"/>
        <v>14905577.6972</v>
      </c>
      <c r="G729" s="18"/>
      <c r="H729" s="18"/>
      <c r="I729" s="19"/>
      <c r="J729" s="19"/>
      <c r="K729" s="19"/>
      <c r="L729" s="19"/>
      <c r="M729" s="18"/>
      <c r="N729" s="18"/>
      <c r="O729" s="19"/>
      <c r="P729" s="19"/>
      <c r="Q729" s="19"/>
    </row>
    <row r="730" ht="18.75" spans="1:17">
      <c r="A730" s="14">
        <v>725</v>
      </c>
      <c r="B730" s="15" t="s">
        <v>121</v>
      </c>
      <c r="C730" s="15" t="s">
        <v>838</v>
      </c>
      <c r="D730" s="16">
        <v>15408201.2611</v>
      </c>
      <c r="E730" s="16">
        <v>2389147.6494</v>
      </c>
      <c r="F730" s="17">
        <f t="shared" si="11"/>
        <v>17797348.9105</v>
      </c>
      <c r="G730" s="18"/>
      <c r="H730" s="18"/>
      <c r="I730" s="19"/>
      <c r="J730" s="19"/>
      <c r="K730" s="19"/>
      <c r="L730" s="19"/>
      <c r="M730" s="18"/>
      <c r="N730" s="18"/>
      <c r="O730" s="19"/>
      <c r="P730" s="19"/>
      <c r="Q730" s="19"/>
    </row>
    <row r="731" ht="18.75" spans="1:17">
      <c r="A731" s="14">
        <v>726</v>
      </c>
      <c r="B731" s="15" t="s">
        <v>121</v>
      </c>
      <c r="C731" s="15" t="s">
        <v>840</v>
      </c>
      <c r="D731" s="16">
        <v>16646180.3853</v>
      </c>
      <c r="E731" s="16">
        <v>2581104.8328</v>
      </c>
      <c r="F731" s="17">
        <f t="shared" si="11"/>
        <v>19227285.2181</v>
      </c>
      <c r="G731" s="18"/>
      <c r="H731" s="18"/>
      <c r="I731" s="19"/>
      <c r="J731" s="19"/>
      <c r="K731" s="19"/>
      <c r="L731" s="19"/>
      <c r="M731" s="18"/>
      <c r="N731" s="18"/>
      <c r="O731" s="19"/>
      <c r="P731" s="19"/>
      <c r="Q731" s="19"/>
    </row>
    <row r="732" ht="18.75" spans="1:17">
      <c r="A732" s="14">
        <v>727</v>
      </c>
      <c r="B732" s="15" t="s">
        <v>121</v>
      </c>
      <c r="C732" s="15" t="s">
        <v>842</v>
      </c>
      <c r="D732" s="16">
        <v>11531649.3042</v>
      </c>
      <c r="E732" s="16">
        <v>1788061.5889</v>
      </c>
      <c r="F732" s="17">
        <f t="shared" si="11"/>
        <v>13319710.8931</v>
      </c>
      <c r="G732" s="18"/>
      <c r="H732" s="18"/>
      <c r="I732" s="19"/>
      <c r="J732" s="19"/>
      <c r="K732" s="19"/>
      <c r="L732" s="19"/>
      <c r="M732" s="18"/>
      <c r="N732" s="18"/>
      <c r="O732" s="19"/>
      <c r="P732" s="19"/>
      <c r="Q732" s="19"/>
    </row>
    <row r="733" ht="18.75" spans="1:17">
      <c r="A733" s="14">
        <v>728</v>
      </c>
      <c r="B733" s="15" t="s">
        <v>121</v>
      </c>
      <c r="C733" s="15" t="s">
        <v>844</v>
      </c>
      <c r="D733" s="16">
        <v>11091464.3977</v>
      </c>
      <c r="E733" s="16">
        <v>1719807.8897</v>
      </c>
      <c r="F733" s="17">
        <f t="shared" si="11"/>
        <v>12811272.2874</v>
      </c>
      <c r="G733" s="18"/>
      <c r="H733" s="18"/>
      <c r="I733" s="19"/>
      <c r="J733" s="19"/>
      <c r="K733" s="19"/>
      <c r="L733" s="19"/>
      <c r="M733" s="18"/>
      <c r="N733" s="18"/>
      <c r="O733" s="19"/>
      <c r="P733" s="19"/>
      <c r="Q733" s="19"/>
    </row>
    <row r="734" ht="18.75" spans="1:17">
      <c r="A734" s="14">
        <v>729</v>
      </c>
      <c r="B734" s="15" t="s">
        <v>121</v>
      </c>
      <c r="C734" s="15" t="s">
        <v>846</v>
      </c>
      <c r="D734" s="16">
        <v>17215469.6017</v>
      </c>
      <c r="E734" s="16">
        <v>2669377.0438</v>
      </c>
      <c r="F734" s="17">
        <f t="shared" si="11"/>
        <v>19884846.6455</v>
      </c>
      <c r="G734" s="18"/>
      <c r="H734" s="18"/>
      <c r="I734" s="19"/>
      <c r="J734" s="19"/>
      <c r="K734" s="19"/>
      <c r="L734" s="19"/>
      <c r="M734" s="18"/>
      <c r="N734" s="18"/>
      <c r="O734" s="19"/>
      <c r="P734" s="19"/>
      <c r="Q734" s="19"/>
    </row>
    <row r="735" ht="18.75" spans="1:17">
      <c r="A735" s="14">
        <v>730</v>
      </c>
      <c r="B735" s="15" t="s">
        <v>121</v>
      </c>
      <c r="C735" s="15" t="s">
        <v>848</v>
      </c>
      <c r="D735" s="16">
        <v>12254647.404</v>
      </c>
      <c r="E735" s="16">
        <v>1900167.4202</v>
      </c>
      <c r="F735" s="17">
        <f t="shared" si="11"/>
        <v>14154814.8242</v>
      </c>
      <c r="G735" s="18"/>
      <c r="H735" s="18"/>
      <c r="I735" s="19"/>
      <c r="J735" s="19"/>
      <c r="K735" s="19"/>
      <c r="L735" s="19"/>
      <c r="M735" s="18"/>
      <c r="N735" s="18"/>
      <c r="O735" s="19"/>
      <c r="P735" s="19"/>
      <c r="Q735" s="19"/>
    </row>
    <row r="736" ht="18.75" spans="1:17">
      <c r="A736" s="14">
        <v>731</v>
      </c>
      <c r="B736" s="15" t="s">
        <v>121</v>
      </c>
      <c r="C736" s="15" t="s">
        <v>851</v>
      </c>
      <c r="D736" s="16">
        <v>11314687.9494</v>
      </c>
      <c r="E736" s="16">
        <v>1754420.2377</v>
      </c>
      <c r="F736" s="17">
        <f t="shared" si="11"/>
        <v>13069108.1871</v>
      </c>
      <c r="G736" s="18"/>
      <c r="H736" s="18"/>
      <c r="I736" s="19"/>
      <c r="J736" s="19"/>
      <c r="K736" s="19"/>
      <c r="L736" s="19"/>
      <c r="M736" s="18"/>
      <c r="N736" s="18"/>
      <c r="O736" s="19"/>
      <c r="P736" s="19"/>
      <c r="Q736" s="19"/>
    </row>
    <row r="737" ht="18.75" spans="1:17">
      <c r="A737" s="14">
        <v>732</v>
      </c>
      <c r="B737" s="15" t="s">
        <v>121</v>
      </c>
      <c r="C737" s="15" t="s">
        <v>853</v>
      </c>
      <c r="D737" s="16">
        <v>16885112.7626</v>
      </c>
      <c r="E737" s="16">
        <v>2618152.9423</v>
      </c>
      <c r="F737" s="17">
        <f t="shared" si="11"/>
        <v>19503265.7049</v>
      </c>
      <c r="G737" s="18"/>
      <c r="H737" s="18"/>
      <c r="I737" s="19"/>
      <c r="J737" s="19"/>
      <c r="K737" s="19"/>
      <c r="L737" s="19"/>
      <c r="M737" s="18"/>
      <c r="N737" s="18"/>
      <c r="O737" s="19"/>
      <c r="P737" s="19"/>
      <c r="Q737" s="19"/>
    </row>
    <row r="738" ht="18.75" spans="1:17">
      <c r="A738" s="14">
        <v>733</v>
      </c>
      <c r="B738" s="15" t="s">
        <v>121</v>
      </c>
      <c r="C738" s="15" t="s">
        <v>855</v>
      </c>
      <c r="D738" s="16">
        <v>13365112.6429</v>
      </c>
      <c r="E738" s="16">
        <v>2072352.698</v>
      </c>
      <c r="F738" s="17">
        <f t="shared" si="11"/>
        <v>15437465.3409</v>
      </c>
      <c r="G738" s="18"/>
      <c r="H738" s="18"/>
      <c r="I738" s="19"/>
      <c r="J738" s="19"/>
      <c r="K738" s="19"/>
      <c r="L738" s="19"/>
      <c r="M738" s="18"/>
      <c r="N738" s="18"/>
      <c r="O738" s="19"/>
      <c r="P738" s="19"/>
      <c r="Q738" s="19"/>
    </row>
    <row r="739" ht="18.75" spans="1:17">
      <c r="A739" s="14">
        <v>734</v>
      </c>
      <c r="B739" s="15" t="s">
        <v>121</v>
      </c>
      <c r="C739" s="15" t="s">
        <v>857</v>
      </c>
      <c r="D739" s="16">
        <v>11487136.0053</v>
      </c>
      <c r="E739" s="16">
        <v>1781159.4956</v>
      </c>
      <c r="F739" s="17">
        <f t="shared" si="11"/>
        <v>13268295.5009</v>
      </c>
      <c r="G739" s="18"/>
      <c r="H739" s="18"/>
      <c r="I739" s="19"/>
      <c r="J739" s="19"/>
      <c r="K739" s="19"/>
      <c r="L739" s="19"/>
      <c r="M739" s="18"/>
      <c r="N739" s="18"/>
      <c r="O739" s="19"/>
      <c r="P739" s="19"/>
      <c r="Q739" s="19"/>
    </row>
    <row r="740" ht="18.75" spans="1:17">
      <c r="A740" s="14">
        <v>735</v>
      </c>
      <c r="B740" s="15" t="s">
        <v>121</v>
      </c>
      <c r="C740" s="15" t="s">
        <v>859</v>
      </c>
      <c r="D740" s="16">
        <v>16453690.894</v>
      </c>
      <c r="E740" s="16">
        <v>2551258.0124</v>
      </c>
      <c r="F740" s="17">
        <f t="shared" si="11"/>
        <v>19004948.9064</v>
      </c>
      <c r="G740" s="18"/>
      <c r="H740" s="18"/>
      <c r="I740" s="19"/>
      <c r="J740" s="19"/>
      <c r="K740" s="19"/>
      <c r="L740" s="19"/>
      <c r="M740" s="18"/>
      <c r="N740" s="18"/>
      <c r="O740" s="19"/>
      <c r="P740" s="19"/>
      <c r="Q740" s="19"/>
    </row>
    <row r="741" ht="18.75" spans="1:17">
      <c r="A741" s="14">
        <v>736</v>
      </c>
      <c r="B741" s="15" t="s">
        <v>121</v>
      </c>
      <c r="C741" s="15" t="s">
        <v>861</v>
      </c>
      <c r="D741" s="16">
        <v>10907370.4421</v>
      </c>
      <c r="E741" s="16">
        <v>1691262.8549</v>
      </c>
      <c r="F741" s="17">
        <f t="shared" si="11"/>
        <v>12598633.297</v>
      </c>
      <c r="G741" s="18"/>
      <c r="H741" s="18"/>
      <c r="I741" s="19"/>
      <c r="J741" s="19"/>
      <c r="K741" s="19"/>
      <c r="L741" s="19"/>
      <c r="M741" s="18"/>
      <c r="N741" s="18"/>
      <c r="O741" s="19"/>
      <c r="P741" s="19"/>
      <c r="Q741" s="19"/>
    </row>
    <row r="742" ht="18.75" spans="1:17">
      <c r="A742" s="14">
        <v>737</v>
      </c>
      <c r="B742" s="15" t="s">
        <v>121</v>
      </c>
      <c r="C742" s="15" t="s">
        <v>863</v>
      </c>
      <c r="D742" s="16">
        <v>11832311.9451</v>
      </c>
      <c r="E742" s="16">
        <v>1834681.4006</v>
      </c>
      <c r="F742" s="17">
        <f t="shared" si="11"/>
        <v>13666993.3457</v>
      </c>
      <c r="G742" s="18"/>
      <c r="H742" s="18"/>
      <c r="I742" s="19"/>
      <c r="J742" s="19"/>
      <c r="K742" s="19"/>
      <c r="L742" s="19"/>
      <c r="M742" s="18"/>
      <c r="N742" s="18"/>
      <c r="O742" s="19"/>
      <c r="P742" s="19"/>
      <c r="Q742" s="19"/>
    </row>
    <row r="743" ht="18.75" spans="1:17">
      <c r="A743" s="14">
        <v>738</v>
      </c>
      <c r="B743" s="15" t="s">
        <v>122</v>
      </c>
      <c r="C743" s="15" t="s">
        <v>867</v>
      </c>
      <c r="D743" s="16">
        <v>12227990.7752</v>
      </c>
      <c r="E743" s="16">
        <v>1896034.1264</v>
      </c>
      <c r="F743" s="17">
        <f t="shared" si="11"/>
        <v>14124024.9016</v>
      </c>
      <c r="G743" s="18"/>
      <c r="H743" s="18"/>
      <c r="I743" s="19"/>
      <c r="J743" s="19"/>
      <c r="K743" s="19"/>
      <c r="L743" s="19"/>
      <c r="M743" s="18"/>
      <c r="N743" s="18"/>
      <c r="O743" s="19"/>
      <c r="P743" s="19"/>
      <c r="Q743" s="19"/>
    </row>
    <row r="744" ht="18.75" spans="1:17">
      <c r="A744" s="14">
        <v>739</v>
      </c>
      <c r="B744" s="15" t="s">
        <v>122</v>
      </c>
      <c r="C744" s="15" t="s">
        <v>869</v>
      </c>
      <c r="D744" s="16">
        <v>13531482.4044</v>
      </c>
      <c r="E744" s="16">
        <v>2098149.4746</v>
      </c>
      <c r="F744" s="17">
        <f t="shared" si="11"/>
        <v>15629631.879</v>
      </c>
      <c r="G744" s="18"/>
      <c r="H744" s="18"/>
      <c r="I744" s="19"/>
      <c r="J744" s="19"/>
      <c r="K744" s="19"/>
      <c r="L744" s="19"/>
      <c r="M744" s="18"/>
      <c r="N744" s="18"/>
      <c r="O744" s="19"/>
      <c r="P744" s="19"/>
      <c r="Q744" s="19"/>
    </row>
    <row r="745" ht="18.75" spans="1:17">
      <c r="A745" s="14">
        <v>740</v>
      </c>
      <c r="B745" s="15" t="s">
        <v>122</v>
      </c>
      <c r="C745" s="15" t="s">
        <v>871</v>
      </c>
      <c r="D745" s="16">
        <v>11329773.5928</v>
      </c>
      <c r="E745" s="16">
        <v>1756759.3705</v>
      </c>
      <c r="F745" s="17">
        <f t="shared" si="11"/>
        <v>13086532.9633</v>
      </c>
      <c r="G745" s="18"/>
      <c r="H745" s="18"/>
      <c r="I745" s="19"/>
      <c r="J745" s="19"/>
      <c r="K745" s="19"/>
      <c r="L745" s="19"/>
      <c r="M745" s="18"/>
      <c r="N745" s="18"/>
      <c r="O745" s="19"/>
      <c r="P745" s="19"/>
      <c r="Q745" s="19"/>
    </row>
    <row r="746" ht="18.75" spans="1:17">
      <c r="A746" s="14">
        <v>741</v>
      </c>
      <c r="B746" s="15" t="s">
        <v>122</v>
      </c>
      <c r="C746" s="15" t="s">
        <v>873</v>
      </c>
      <c r="D746" s="16">
        <v>12685215.7978</v>
      </c>
      <c r="E746" s="16">
        <v>1966930.0129</v>
      </c>
      <c r="F746" s="17">
        <f t="shared" si="11"/>
        <v>14652145.8107</v>
      </c>
      <c r="G746" s="18"/>
      <c r="H746" s="18"/>
      <c r="I746" s="19"/>
      <c r="J746" s="19"/>
      <c r="K746" s="19"/>
      <c r="L746" s="19"/>
      <c r="M746" s="18"/>
      <c r="N746" s="18"/>
      <c r="O746" s="19"/>
      <c r="P746" s="19"/>
      <c r="Q746" s="19"/>
    </row>
    <row r="747" ht="18.75" spans="1:17">
      <c r="A747" s="14">
        <v>742</v>
      </c>
      <c r="B747" s="15" t="s">
        <v>122</v>
      </c>
      <c r="C747" s="15" t="s">
        <v>875</v>
      </c>
      <c r="D747" s="16">
        <v>17791985.5809</v>
      </c>
      <c r="E747" s="16">
        <v>2758769.8141</v>
      </c>
      <c r="F747" s="17">
        <f t="shared" si="11"/>
        <v>20550755.395</v>
      </c>
      <c r="G747" s="18"/>
      <c r="H747" s="18"/>
      <c r="I747" s="19"/>
      <c r="J747" s="19"/>
      <c r="K747" s="19"/>
      <c r="L747" s="19"/>
      <c r="M747" s="18"/>
      <c r="N747" s="18"/>
      <c r="O747" s="19"/>
      <c r="P747" s="19"/>
      <c r="Q747" s="19"/>
    </row>
    <row r="748" ht="18.75" spans="1:17">
      <c r="A748" s="14">
        <v>743</v>
      </c>
      <c r="B748" s="15" t="s">
        <v>122</v>
      </c>
      <c r="C748" s="15" t="s">
        <v>877</v>
      </c>
      <c r="D748" s="16">
        <v>14744960.7747</v>
      </c>
      <c r="E748" s="16">
        <v>2286307.6474</v>
      </c>
      <c r="F748" s="17">
        <f t="shared" si="11"/>
        <v>17031268.4221</v>
      </c>
      <c r="G748" s="18"/>
      <c r="H748" s="18"/>
      <c r="I748" s="19"/>
      <c r="J748" s="19"/>
      <c r="K748" s="19"/>
      <c r="L748" s="19"/>
      <c r="M748" s="18"/>
      <c r="N748" s="18"/>
      <c r="O748" s="19"/>
      <c r="P748" s="19"/>
      <c r="Q748" s="19"/>
    </row>
    <row r="749" ht="18.75" spans="1:17">
      <c r="A749" s="14">
        <v>744</v>
      </c>
      <c r="B749" s="15" t="s">
        <v>122</v>
      </c>
      <c r="C749" s="15" t="s">
        <v>879</v>
      </c>
      <c r="D749" s="16">
        <v>13575245.6515</v>
      </c>
      <c r="E749" s="16">
        <v>2104935.2672</v>
      </c>
      <c r="F749" s="17">
        <f t="shared" si="11"/>
        <v>15680180.9187</v>
      </c>
      <c r="G749" s="18"/>
      <c r="H749" s="18"/>
      <c r="I749" s="19"/>
      <c r="J749" s="19"/>
      <c r="K749" s="19"/>
      <c r="L749" s="19"/>
      <c r="M749" s="18"/>
      <c r="N749" s="18"/>
      <c r="O749" s="19"/>
      <c r="P749" s="19"/>
      <c r="Q749" s="19"/>
    </row>
    <row r="750" ht="18.75" spans="1:17">
      <c r="A750" s="14">
        <v>745</v>
      </c>
      <c r="B750" s="15" t="s">
        <v>122</v>
      </c>
      <c r="C750" s="15" t="s">
        <v>881</v>
      </c>
      <c r="D750" s="16">
        <v>11794104.006</v>
      </c>
      <c r="E750" s="16">
        <v>1828756.9967</v>
      </c>
      <c r="F750" s="17">
        <f t="shared" si="11"/>
        <v>13622861.0027</v>
      </c>
      <c r="G750" s="18"/>
      <c r="H750" s="18"/>
      <c r="I750" s="19"/>
      <c r="J750" s="19"/>
      <c r="K750" s="19"/>
      <c r="L750" s="19"/>
      <c r="M750" s="18"/>
      <c r="N750" s="18"/>
      <c r="O750" s="19"/>
      <c r="P750" s="19"/>
      <c r="Q750" s="19"/>
    </row>
    <row r="751" ht="18.75" spans="1:17">
      <c r="A751" s="14">
        <v>746</v>
      </c>
      <c r="B751" s="15" t="s">
        <v>122</v>
      </c>
      <c r="C751" s="15" t="s">
        <v>883</v>
      </c>
      <c r="D751" s="16">
        <v>15554536.025</v>
      </c>
      <c r="E751" s="16">
        <v>2411837.8617</v>
      </c>
      <c r="F751" s="17">
        <f t="shared" si="11"/>
        <v>17966373.8867</v>
      </c>
      <c r="G751" s="18"/>
      <c r="H751" s="18"/>
      <c r="I751" s="19"/>
      <c r="J751" s="19"/>
      <c r="K751" s="19"/>
      <c r="L751" s="19"/>
      <c r="M751" s="18"/>
      <c r="N751" s="18"/>
      <c r="O751" s="19"/>
      <c r="P751" s="19"/>
      <c r="Q751" s="19"/>
    </row>
    <row r="752" ht="18.75" spans="1:17">
      <c r="A752" s="14">
        <v>747</v>
      </c>
      <c r="B752" s="15" t="s">
        <v>122</v>
      </c>
      <c r="C752" s="15" t="s">
        <v>885</v>
      </c>
      <c r="D752" s="16">
        <v>10969907.9475</v>
      </c>
      <c r="E752" s="16">
        <v>1700959.7255</v>
      </c>
      <c r="F752" s="17">
        <f t="shared" si="11"/>
        <v>12670867.673</v>
      </c>
      <c r="G752" s="18"/>
      <c r="H752" s="18"/>
      <c r="I752" s="19"/>
      <c r="J752" s="19"/>
      <c r="K752" s="19"/>
      <c r="L752" s="19"/>
      <c r="M752" s="18"/>
      <c r="N752" s="18"/>
      <c r="O752" s="19"/>
      <c r="P752" s="19"/>
      <c r="Q752" s="19"/>
    </row>
    <row r="753" ht="18.75" spans="1:17">
      <c r="A753" s="14">
        <v>748</v>
      </c>
      <c r="B753" s="15" t="s">
        <v>122</v>
      </c>
      <c r="C753" s="15" t="s">
        <v>887</v>
      </c>
      <c r="D753" s="16">
        <v>10507427.6736</v>
      </c>
      <c r="E753" s="16">
        <v>1629248.9761</v>
      </c>
      <c r="F753" s="17">
        <f t="shared" si="11"/>
        <v>12136676.6497</v>
      </c>
      <c r="G753" s="18"/>
      <c r="H753" s="18"/>
      <c r="I753" s="19"/>
      <c r="J753" s="19"/>
      <c r="K753" s="19"/>
      <c r="L753" s="19"/>
      <c r="M753" s="18"/>
      <c r="N753" s="18"/>
      <c r="O753" s="19"/>
      <c r="P753" s="19"/>
      <c r="Q753" s="19"/>
    </row>
    <row r="754" ht="18.75" spans="1:17">
      <c r="A754" s="14">
        <v>749</v>
      </c>
      <c r="B754" s="15" t="s">
        <v>122</v>
      </c>
      <c r="C754" s="15" t="s">
        <v>889</v>
      </c>
      <c r="D754" s="16">
        <v>11265569.3315</v>
      </c>
      <c r="E754" s="16">
        <v>1746804.0579</v>
      </c>
      <c r="F754" s="17">
        <f t="shared" si="11"/>
        <v>13012373.3894</v>
      </c>
      <c r="G754" s="18"/>
      <c r="H754" s="18"/>
      <c r="I754" s="19"/>
      <c r="J754" s="19"/>
      <c r="K754" s="19"/>
      <c r="L754" s="19"/>
      <c r="M754" s="18"/>
      <c r="N754" s="18"/>
      <c r="O754" s="19"/>
      <c r="P754" s="19"/>
      <c r="Q754" s="19"/>
    </row>
    <row r="755" ht="18.75" spans="1:17">
      <c r="A755" s="14">
        <v>750</v>
      </c>
      <c r="B755" s="15" t="s">
        <v>122</v>
      </c>
      <c r="C755" s="15" t="s">
        <v>891</v>
      </c>
      <c r="D755" s="16">
        <v>12252639.0624</v>
      </c>
      <c r="E755" s="16">
        <v>1899856.013</v>
      </c>
      <c r="F755" s="17">
        <f t="shared" si="11"/>
        <v>14152495.0754</v>
      </c>
      <c r="G755" s="18"/>
      <c r="H755" s="18"/>
      <c r="I755" s="19"/>
      <c r="J755" s="19"/>
      <c r="K755" s="19"/>
      <c r="L755" s="19"/>
      <c r="M755" s="18"/>
      <c r="N755" s="18"/>
      <c r="O755" s="19"/>
      <c r="P755" s="19"/>
      <c r="Q755" s="19"/>
    </row>
    <row r="756" ht="18.75" spans="1:17">
      <c r="A756" s="14">
        <v>751</v>
      </c>
      <c r="B756" s="15" t="s">
        <v>122</v>
      </c>
      <c r="C756" s="15" t="s">
        <v>893</v>
      </c>
      <c r="D756" s="16">
        <v>13482635.4446</v>
      </c>
      <c r="E756" s="16">
        <v>2090575.4173</v>
      </c>
      <c r="F756" s="17">
        <f t="shared" si="11"/>
        <v>15573210.8619</v>
      </c>
      <c r="G756" s="18"/>
      <c r="H756" s="18"/>
      <c r="I756" s="19"/>
      <c r="J756" s="19"/>
      <c r="K756" s="19"/>
      <c r="L756" s="19"/>
      <c r="M756" s="18"/>
      <c r="N756" s="18"/>
      <c r="O756" s="19"/>
      <c r="P756" s="19"/>
      <c r="Q756" s="19"/>
    </row>
    <row r="757" ht="18.75" spans="1:17">
      <c r="A757" s="14">
        <v>752</v>
      </c>
      <c r="B757" s="15" t="s">
        <v>122</v>
      </c>
      <c r="C757" s="15" t="s">
        <v>895</v>
      </c>
      <c r="D757" s="16">
        <v>12505009.527</v>
      </c>
      <c r="E757" s="16">
        <v>1938987.7904</v>
      </c>
      <c r="F757" s="17">
        <f t="shared" si="11"/>
        <v>14443997.3174</v>
      </c>
      <c r="G757" s="18"/>
      <c r="H757" s="18"/>
      <c r="I757" s="19"/>
      <c r="J757" s="19"/>
      <c r="K757" s="19"/>
      <c r="L757" s="19"/>
      <c r="M757" s="18"/>
      <c r="N757" s="18"/>
      <c r="O757" s="19"/>
      <c r="P757" s="19"/>
      <c r="Q757" s="19"/>
    </row>
    <row r="758" ht="18.75" spans="1:17">
      <c r="A758" s="14">
        <v>753</v>
      </c>
      <c r="B758" s="15" t="s">
        <v>122</v>
      </c>
      <c r="C758" s="15" t="s">
        <v>897</v>
      </c>
      <c r="D758" s="16">
        <v>13032363.2005</v>
      </c>
      <c r="E758" s="16">
        <v>2020757.6069</v>
      </c>
      <c r="F758" s="17">
        <f t="shared" si="11"/>
        <v>15053120.8074</v>
      </c>
      <c r="G758" s="18"/>
      <c r="H758" s="18"/>
      <c r="I758" s="19"/>
      <c r="J758" s="19"/>
      <c r="K758" s="19"/>
      <c r="L758" s="19"/>
      <c r="M758" s="18"/>
      <c r="N758" s="18"/>
      <c r="O758" s="19"/>
      <c r="P758" s="19"/>
      <c r="Q758" s="19"/>
    </row>
    <row r="759" ht="18.75" spans="1:17">
      <c r="A759" s="14">
        <v>754</v>
      </c>
      <c r="B759" s="15" t="s">
        <v>122</v>
      </c>
      <c r="C759" s="15" t="s">
        <v>899</v>
      </c>
      <c r="D759" s="16">
        <v>13001393.7463</v>
      </c>
      <c r="E759" s="16">
        <v>2015955.5799</v>
      </c>
      <c r="F759" s="17">
        <f t="shared" si="11"/>
        <v>15017349.3262</v>
      </c>
      <c r="G759" s="18"/>
      <c r="H759" s="18"/>
      <c r="I759" s="19"/>
      <c r="J759" s="19"/>
      <c r="K759" s="19"/>
      <c r="L759" s="19"/>
      <c r="M759" s="18"/>
      <c r="N759" s="18"/>
      <c r="O759" s="19"/>
      <c r="P759" s="19"/>
      <c r="Q759" s="19"/>
    </row>
    <row r="760" ht="18.75" spans="1:17">
      <c r="A760" s="14">
        <v>755</v>
      </c>
      <c r="B760" s="15" t="s">
        <v>123</v>
      </c>
      <c r="C760" s="15" t="s">
        <v>903</v>
      </c>
      <c r="D760" s="16">
        <v>12237827.3799</v>
      </c>
      <c r="E760" s="16">
        <v>1897559.3597</v>
      </c>
      <c r="F760" s="17">
        <f t="shared" si="11"/>
        <v>14135386.7396</v>
      </c>
      <c r="G760" s="18"/>
      <c r="H760" s="18"/>
      <c r="I760" s="19"/>
      <c r="J760" s="19"/>
      <c r="K760" s="19"/>
      <c r="L760" s="19"/>
      <c r="M760" s="18"/>
      <c r="N760" s="18"/>
      <c r="O760" s="19"/>
      <c r="P760" s="19"/>
      <c r="Q760" s="19"/>
    </row>
    <row r="761" ht="18.75" spans="1:17">
      <c r="A761" s="14">
        <v>756</v>
      </c>
      <c r="B761" s="15" t="s">
        <v>123</v>
      </c>
      <c r="C761" s="15" t="s">
        <v>905</v>
      </c>
      <c r="D761" s="16">
        <v>11849275.5473</v>
      </c>
      <c r="E761" s="16">
        <v>1837311.7239</v>
      </c>
      <c r="F761" s="17">
        <f t="shared" si="11"/>
        <v>13686587.2712</v>
      </c>
      <c r="G761" s="18"/>
      <c r="H761" s="18"/>
      <c r="I761" s="19"/>
      <c r="J761" s="19"/>
      <c r="K761" s="19"/>
      <c r="L761" s="19"/>
      <c r="M761" s="18"/>
      <c r="N761" s="18"/>
      <c r="O761" s="19"/>
      <c r="P761" s="19"/>
      <c r="Q761" s="19"/>
    </row>
    <row r="762" ht="18.75" spans="1:17">
      <c r="A762" s="14">
        <v>757</v>
      </c>
      <c r="B762" s="15" t="s">
        <v>123</v>
      </c>
      <c r="C762" s="15" t="s">
        <v>907</v>
      </c>
      <c r="D762" s="16">
        <v>13984086.0268</v>
      </c>
      <c r="E762" s="16">
        <v>2168328.7812</v>
      </c>
      <c r="F762" s="17">
        <f t="shared" si="11"/>
        <v>16152414.808</v>
      </c>
      <c r="G762" s="18"/>
      <c r="H762" s="18"/>
      <c r="I762" s="19"/>
      <c r="J762" s="19"/>
      <c r="K762" s="19"/>
      <c r="L762" s="19"/>
      <c r="M762" s="18"/>
      <c r="N762" s="18"/>
      <c r="O762" s="19"/>
      <c r="P762" s="19"/>
      <c r="Q762" s="19"/>
    </row>
    <row r="763" ht="18.75" spans="1:17">
      <c r="A763" s="14">
        <v>758</v>
      </c>
      <c r="B763" s="15" t="s">
        <v>123</v>
      </c>
      <c r="C763" s="15" t="s">
        <v>909</v>
      </c>
      <c r="D763" s="16">
        <v>15434351.3264</v>
      </c>
      <c r="E763" s="16">
        <v>2393202.397</v>
      </c>
      <c r="F763" s="17">
        <f t="shared" si="11"/>
        <v>17827553.7234</v>
      </c>
      <c r="G763" s="18"/>
      <c r="H763" s="18"/>
      <c r="I763" s="19"/>
      <c r="J763" s="19"/>
      <c r="K763" s="19"/>
      <c r="L763" s="19"/>
      <c r="M763" s="18"/>
      <c r="N763" s="18"/>
      <c r="O763" s="19"/>
      <c r="P763" s="19"/>
      <c r="Q763" s="19"/>
    </row>
    <row r="764" ht="18.75" spans="1:17">
      <c r="A764" s="14">
        <v>759</v>
      </c>
      <c r="B764" s="15" t="s">
        <v>123</v>
      </c>
      <c r="C764" s="15" t="s">
        <v>911</v>
      </c>
      <c r="D764" s="16">
        <v>13433957.9641</v>
      </c>
      <c r="E764" s="16">
        <v>2083027.6389</v>
      </c>
      <c r="F764" s="17">
        <f t="shared" si="11"/>
        <v>15516985.603</v>
      </c>
      <c r="G764" s="18"/>
      <c r="H764" s="18"/>
      <c r="I764" s="19"/>
      <c r="J764" s="19"/>
      <c r="K764" s="19"/>
      <c r="L764" s="19"/>
      <c r="M764" s="18"/>
      <c r="N764" s="18"/>
      <c r="O764" s="19"/>
      <c r="P764" s="19"/>
      <c r="Q764" s="19"/>
    </row>
    <row r="765" ht="18.75" spans="1:17">
      <c r="A765" s="14">
        <v>760</v>
      </c>
      <c r="B765" s="15" t="s">
        <v>123</v>
      </c>
      <c r="C765" s="15" t="s">
        <v>913</v>
      </c>
      <c r="D765" s="16">
        <v>18653824.6608</v>
      </c>
      <c r="E765" s="16">
        <v>2892403.8949</v>
      </c>
      <c r="F765" s="17">
        <f t="shared" si="11"/>
        <v>21546228.5557</v>
      </c>
      <c r="G765" s="18"/>
      <c r="H765" s="18"/>
      <c r="I765" s="19"/>
      <c r="J765" s="19"/>
      <c r="K765" s="19"/>
      <c r="L765" s="19"/>
      <c r="M765" s="18"/>
      <c r="N765" s="18"/>
      <c r="O765" s="19"/>
      <c r="P765" s="19"/>
      <c r="Q765" s="19"/>
    </row>
    <row r="766" ht="37.5" spans="1:17">
      <c r="A766" s="14">
        <v>761</v>
      </c>
      <c r="B766" s="15" t="s">
        <v>123</v>
      </c>
      <c r="C766" s="15" t="s">
        <v>915</v>
      </c>
      <c r="D766" s="16">
        <v>14166770.55</v>
      </c>
      <c r="E766" s="16">
        <v>2196655.2738</v>
      </c>
      <c r="F766" s="17">
        <f t="shared" si="11"/>
        <v>16363425.8238</v>
      </c>
      <c r="G766" s="18"/>
      <c r="H766" s="18"/>
      <c r="I766" s="19"/>
      <c r="J766" s="19"/>
      <c r="K766" s="19"/>
      <c r="L766" s="19"/>
      <c r="M766" s="18"/>
      <c r="N766" s="18"/>
      <c r="O766" s="19"/>
      <c r="P766" s="19"/>
      <c r="Q766" s="19"/>
    </row>
    <row r="767" ht="18.75" spans="1:17">
      <c r="A767" s="14">
        <v>762</v>
      </c>
      <c r="B767" s="15" t="s">
        <v>123</v>
      </c>
      <c r="C767" s="15" t="s">
        <v>829</v>
      </c>
      <c r="D767" s="16">
        <v>12853118.2189</v>
      </c>
      <c r="E767" s="16">
        <v>1992964.4389</v>
      </c>
      <c r="F767" s="17">
        <f t="shared" si="11"/>
        <v>14846082.6578</v>
      </c>
      <c r="G767" s="18"/>
      <c r="H767" s="18"/>
      <c r="I767" s="19"/>
      <c r="J767" s="19"/>
      <c r="K767" s="19"/>
      <c r="L767" s="19"/>
      <c r="M767" s="18"/>
      <c r="N767" s="18"/>
      <c r="O767" s="19"/>
      <c r="P767" s="19"/>
      <c r="Q767" s="19"/>
    </row>
    <row r="768" ht="18.75" spans="1:17">
      <c r="A768" s="14">
        <v>763</v>
      </c>
      <c r="B768" s="15" t="s">
        <v>123</v>
      </c>
      <c r="C768" s="15" t="s">
        <v>918</v>
      </c>
      <c r="D768" s="16">
        <v>13894584.2679</v>
      </c>
      <c r="E768" s="16">
        <v>2154450.9175</v>
      </c>
      <c r="F768" s="17">
        <f t="shared" si="11"/>
        <v>16049035.1854</v>
      </c>
      <c r="G768" s="18"/>
      <c r="H768" s="18"/>
      <c r="I768" s="19"/>
      <c r="J768" s="19"/>
      <c r="K768" s="19"/>
      <c r="L768" s="19"/>
      <c r="M768" s="18"/>
      <c r="N768" s="18"/>
      <c r="O768" s="19"/>
      <c r="P768" s="19"/>
      <c r="Q768" s="19"/>
    </row>
    <row r="769" ht="18.75" spans="1:17">
      <c r="A769" s="14">
        <v>764</v>
      </c>
      <c r="B769" s="15" t="s">
        <v>123</v>
      </c>
      <c r="C769" s="15" t="s">
        <v>920</v>
      </c>
      <c r="D769" s="16">
        <v>18339718.0854</v>
      </c>
      <c r="E769" s="16">
        <v>2843699.5086</v>
      </c>
      <c r="F769" s="17">
        <f t="shared" si="11"/>
        <v>21183417.594</v>
      </c>
      <c r="G769" s="18"/>
      <c r="H769" s="18"/>
      <c r="I769" s="19"/>
      <c r="J769" s="19"/>
      <c r="K769" s="19"/>
      <c r="L769" s="19"/>
      <c r="M769" s="18"/>
      <c r="N769" s="18"/>
      <c r="O769" s="19"/>
      <c r="P769" s="19"/>
      <c r="Q769" s="19"/>
    </row>
    <row r="770" ht="18.75" spans="1:17">
      <c r="A770" s="14">
        <v>765</v>
      </c>
      <c r="B770" s="15" t="s">
        <v>123</v>
      </c>
      <c r="C770" s="15" t="s">
        <v>922</v>
      </c>
      <c r="D770" s="16">
        <v>11450952.5765</v>
      </c>
      <c r="E770" s="16">
        <v>1775549.0059</v>
      </c>
      <c r="F770" s="17">
        <f t="shared" si="11"/>
        <v>13226501.5824</v>
      </c>
      <c r="G770" s="18"/>
      <c r="H770" s="18"/>
      <c r="I770" s="19"/>
      <c r="J770" s="19"/>
      <c r="K770" s="19"/>
      <c r="L770" s="19"/>
      <c r="M770" s="18"/>
      <c r="N770" s="18"/>
      <c r="O770" s="19"/>
      <c r="P770" s="19"/>
      <c r="Q770" s="19"/>
    </row>
    <row r="771" ht="37.5" spans="1:17">
      <c r="A771" s="14">
        <v>766</v>
      </c>
      <c r="B771" s="15" t="s">
        <v>123</v>
      </c>
      <c r="C771" s="15" t="s">
        <v>924</v>
      </c>
      <c r="D771" s="16">
        <v>13226039.4942</v>
      </c>
      <c r="E771" s="16">
        <v>2050788.4492</v>
      </c>
      <c r="F771" s="17">
        <f t="shared" si="11"/>
        <v>15276827.9434</v>
      </c>
      <c r="G771" s="18"/>
      <c r="H771" s="18"/>
      <c r="I771" s="19"/>
      <c r="J771" s="19"/>
      <c r="K771" s="19"/>
      <c r="L771" s="19"/>
      <c r="M771" s="18"/>
      <c r="N771" s="18"/>
      <c r="O771" s="19"/>
      <c r="P771" s="19"/>
      <c r="Q771" s="19"/>
    </row>
    <row r="772" ht="18.75" spans="1:17">
      <c r="A772" s="14">
        <v>767</v>
      </c>
      <c r="B772" s="15" t="s">
        <v>123</v>
      </c>
      <c r="C772" s="15" t="s">
        <v>926</v>
      </c>
      <c r="D772" s="16">
        <v>14012554.0503</v>
      </c>
      <c r="E772" s="16">
        <v>2172742.9441</v>
      </c>
      <c r="F772" s="17">
        <f t="shared" si="11"/>
        <v>16185296.9944</v>
      </c>
      <c r="G772" s="18"/>
      <c r="H772" s="18"/>
      <c r="I772" s="19"/>
      <c r="J772" s="19"/>
      <c r="K772" s="19"/>
      <c r="L772" s="19"/>
      <c r="M772" s="18"/>
      <c r="N772" s="18"/>
      <c r="O772" s="19"/>
      <c r="P772" s="19"/>
      <c r="Q772" s="19"/>
    </row>
    <row r="773" ht="18.75" spans="1:17">
      <c r="A773" s="14">
        <v>768</v>
      </c>
      <c r="B773" s="15" t="s">
        <v>123</v>
      </c>
      <c r="C773" s="15" t="s">
        <v>928</v>
      </c>
      <c r="D773" s="16">
        <v>15475562.633</v>
      </c>
      <c r="E773" s="16">
        <v>2399592.4937</v>
      </c>
      <c r="F773" s="17">
        <f t="shared" si="11"/>
        <v>17875155.1267</v>
      </c>
      <c r="G773" s="18"/>
      <c r="H773" s="18"/>
      <c r="I773" s="19"/>
      <c r="J773" s="19"/>
      <c r="K773" s="19"/>
      <c r="L773" s="19"/>
      <c r="M773" s="18"/>
      <c r="N773" s="18"/>
      <c r="O773" s="19"/>
      <c r="P773" s="19"/>
      <c r="Q773" s="19"/>
    </row>
    <row r="774" ht="18.75" spans="1:17">
      <c r="A774" s="14">
        <v>769</v>
      </c>
      <c r="B774" s="15" t="s">
        <v>932</v>
      </c>
      <c r="C774" s="15" t="s">
        <v>933</v>
      </c>
      <c r="D774" s="16">
        <v>10222704.197</v>
      </c>
      <c r="E774" s="16">
        <v>1585100.6415</v>
      </c>
      <c r="F774" s="17">
        <f t="shared" si="11"/>
        <v>11807804.8385</v>
      </c>
      <c r="G774" s="18"/>
      <c r="H774" s="18"/>
      <c r="I774" s="19"/>
      <c r="J774" s="19"/>
      <c r="K774" s="19"/>
      <c r="L774" s="19"/>
      <c r="M774" s="18"/>
      <c r="N774" s="18"/>
      <c r="O774" s="19"/>
      <c r="P774" s="19"/>
      <c r="Q774" s="19"/>
    </row>
    <row r="775" ht="37.5" spans="1:17">
      <c r="A775" s="14">
        <v>770</v>
      </c>
      <c r="B775" s="15" t="s">
        <v>932</v>
      </c>
      <c r="C775" s="15" t="s">
        <v>935</v>
      </c>
      <c r="D775" s="16">
        <v>26096144.1863</v>
      </c>
      <c r="E775" s="16">
        <v>4046386.7576</v>
      </c>
      <c r="F775" s="17">
        <f t="shared" ref="F775:F779" si="12">D775+E775</f>
        <v>30142530.9439</v>
      </c>
      <c r="G775" s="18"/>
      <c r="H775" s="18"/>
      <c r="I775" s="19"/>
      <c r="J775" s="19"/>
      <c r="K775" s="19"/>
      <c r="L775" s="19"/>
      <c r="M775" s="18"/>
      <c r="N775" s="18"/>
      <c r="O775" s="19"/>
      <c r="P775" s="19"/>
      <c r="Q775" s="19"/>
    </row>
    <row r="776" ht="18.75" spans="1:17">
      <c r="A776" s="14">
        <v>771</v>
      </c>
      <c r="B776" s="15" t="s">
        <v>932</v>
      </c>
      <c r="C776" s="15" t="s">
        <v>937</v>
      </c>
      <c r="D776" s="16">
        <v>14699244.3828</v>
      </c>
      <c r="E776" s="16">
        <v>2279219.0062</v>
      </c>
      <c r="F776" s="17">
        <f t="shared" si="12"/>
        <v>16978463.389</v>
      </c>
      <c r="G776" s="18"/>
      <c r="H776" s="18"/>
      <c r="I776" s="19"/>
      <c r="J776" s="19"/>
      <c r="K776" s="19"/>
      <c r="L776" s="19"/>
      <c r="M776" s="18"/>
      <c r="N776" s="18"/>
      <c r="O776" s="19"/>
      <c r="P776" s="19"/>
      <c r="Q776" s="19"/>
    </row>
    <row r="777" ht="18.75" spans="1:17">
      <c r="A777" s="14">
        <v>772</v>
      </c>
      <c r="B777" s="15" t="s">
        <v>932</v>
      </c>
      <c r="C777" s="15" t="s">
        <v>939</v>
      </c>
      <c r="D777" s="16">
        <v>12597447.3125</v>
      </c>
      <c r="E777" s="16">
        <v>1953320.9052</v>
      </c>
      <c r="F777" s="17">
        <f t="shared" si="12"/>
        <v>14550768.2177</v>
      </c>
      <c r="G777" s="18"/>
      <c r="H777" s="18"/>
      <c r="I777" s="19"/>
      <c r="J777" s="19"/>
      <c r="K777" s="19"/>
      <c r="L777" s="19"/>
      <c r="M777" s="18"/>
      <c r="N777" s="18"/>
      <c r="O777" s="19"/>
      <c r="P777" s="19"/>
      <c r="Q777" s="19"/>
    </row>
    <row r="778" ht="18.75" spans="1:17">
      <c r="A778" s="14">
        <v>773</v>
      </c>
      <c r="B778" s="15" t="s">
        <v>932</v>
      </c>
      <c r="C778" s="15" t="s">
        <v>941</v>
      </c>
      <c r="D778" s="16">
        <v>11969716.9854</v>
      </c>
      <c r="E778" s="16">
        <v>1855986.9978</v>
      </c>
      <c r="F778" s="17">
        <f t="shared" si="12"/>
        <v>13825703.9832</v>
      </c>
      <c r="G778" s="18"/>
      <c r="H778" s="18"/>
      <c r="I778" s="19"/>
      <c r="J778" s="19"/>
      <c r="K778" s="19"/>
      <c r="L778" s="19"/>
      <c r="M778" s="18"/>
      <c r="N778" s="18"/>
      <c r="O778" s="19"/>
      <c r="P778" s="19"/>
      <c r="Q778" s="19"/>
    </row>
    <row r="779" ht="18.75" spans="1:17">
      <c r="A779" s="14">
        <v>774</v>
      </c>
      <c r="B779" s="15" t="s">
        <v>932</v>
      </c>
      <c r="C779" s="15" t="s">
        <v>943</v>
      </c>
      <c r="D779" s="16">
        <v>12312505.1588</v>
      </c>
      <c r="E779" s="16">
        <v>1909138.6633</v>
      </c>
      <c r="F779" s="17">
        <f t="shared" si="12"/>
        <v>14221643.8221</v>
      </c>
      <c r="G779" s="18"/>
      <c r="H779" s="18"/>
      <c r="I779" s="19"/>
      <c r="J779" s="19"/>
      <c r="K779" s="19"/>
      <c r="L779" s="19"/>
      <c r="M779" s="18"/>
      <c r="N779" s="18"/>
      <c r="O779" s="19"/>
      <c r="P779" s="19"/>
      <c r="Q779" s="19"/>
    </row>
    <row r="780" ht="18.75" spans="1:17">
      <c r="A780" s="20"/>
      <c r="B780" s="21" t="s">
        <v>46</v>
      </c>
      <c r="C780" s="22"/>
      <c r="D780" s="23">
        <f>SUM(D6:D779)</f>
        <v>9673869213.20311</v>
      </c>
      <c r="E780" s="23">
        <f>SUM(E6:E779)</f>
        <v>1499999999.999</v>
      </c>
      <c r="F780" s="23">
        <f>SUM(F6:F779)</f>
        <v>11173869213.2021</v>
      </c>
    </row>
  </sheetData>
  <mergeCells count="4">
    <mergeCell ref="A1:F1"/>
    <mergeCell ref="A2:F2"/>
    <mergeCell ref="A3:F3"/>
    <mergeCell ref="B780:C78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OAGF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MONTHENTRY</vt:lpstr>
      <vt:lpstr>Sum &amp; FG</vt:lpstr>
      <vt:lpstr>State Details</vt:lpstr>
      <vt:lpstr>LGCs Details</vt:lpstr>
      <vt:lpstr>Summary</vt:lpstr>
      <vt:lpstr>Ecology to States</vt:lpstr>
      <vt:lpstr>Ecology to LGCs</vt:lpstr>
      <vt:lpstr>ECOLOGY TO INDIVIDUAL LGCS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FUNDS</dc:creator>
  <cp:lastModifiedBy>USER</cp:lastModifiedBy>
  <dcterms:created xsi:type="dcterms:W3CDTF">2003-11-12T09:54:00Z</dcterms:created>
  <cp:lastPrinted>2026-09-03T14:19:00Z</cp:lastPrinted>
  <dcterms:modified xsi:type="dcterms:W3CDTF">2026-09-08T15:14:59Z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17DBD9C027214286BA0E05B5083CAFFB_13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