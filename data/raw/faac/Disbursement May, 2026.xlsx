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igerianstatgov-my.sharepoint.com/personal/wymoses_nigerianstat_gov_ng/Documents/Documents/DATA/Desktop/Q4 2023 GDP/Reports/FAAC_May_2026/May/"/>
    </mc:Choice>
  </mc:AlternateContent>
  <xr:revisionPtr revIDLastSave="15" documentId="13_ncr:1_{69A5A047-4BF6-4922-8E96-2743416CCEDF}" xr6:coauthVersionLast="47" xr6:coauthVersionMax="47" xr10:uidLastSave="{6CD4FD9B-69D7-4619-BFC2-147CEEEA0EE2}"/>
  <bookViews>
    <workbookView xWindow="-98" yWindow="-98" windowWidth="21795" windowHeight="12975" firstSheet="3" activeTab="7" xr2:uid="{00000000-000D-0000-FFFF-FFFF00000000}"/>
  </bookViews>
  <sheets>
    <sheet name="MONTHENTRY" sheetId="8" state="hidden" r:id="rId1"/>
    <sheet name="Sum &amp; FG" sheetId="4" r:id="rId2"/>
    <sheet name="State Details" sheetId="12" r:id="rId3"/>
    <sheet name="LGCs Details" sheetId="26" r:id="rId4"/>
    <sheet name="Summary" sheetId="14" r:id="rId5"/>
    <sheet name="Ecology to States" sheetId="13" r:id="rId6"/>
    <sheet name="Ecology to LGCs" sheetId="21" r:id="rId7"/>
    <sheet name="ECOLOGY TO INDIVIDUAL LGCS" sheetId="19" r:id="rId8"/>
  </sheets>
  <definedNames>
    <definedName name="ACCTDATE">#REF!</definedName>
    <definedName name="acctmonth">MONTHENTRY!$F$6</definedName>
    <definedName name="previuosmonth">MONTHENTRY!$B$6</definedName>
    <definedName name="_xlnm.Print_Area" localSheetId="3">'LGCs Details'!$5:$6</definedName>
    <definedName name="_xlnm.Print_Area" localSheetId="2">'State Details'!$A$1:$T$47</definedName>
    <definedName name="_xlnm.Print_Area" localSheetId="1">'Sum &amp; FG'!$A$1:$I$46</definedName>
    <definedName name="_xlnm.Print_Area" localSheetId="4">Summary!$A$2:$J$44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4" l="1"/>
  <c r="I29" i="4"/>
  <c r="I30" i="4"/>
  <c r="I31" i="4"/>
  <c r="I32" i="4"/>
  <c r="I28" i="4"/>
  <c r="E22" i="4"/>
  <c r="D22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7" i="4"/>
  <c r="F22" i="4"/>
  <c r="C22" i="4"/>
  <c r="E780" i="19"/>
  <c r="D780" i="19"/>
  <c r="F779" i="19"/>
  <c r="F778" i="19"/>
  <c r="F777" i="19"/>
  <c r="F776" i="19"/>
  <c r="F775" i="19"/>
  <c r="F774" i="19"/>
  <c r="F773" i="19"/>
  <c r="F772" i="19"/>
  <c r="F771" i="19"/>
  <c r="F770" i="19"/>
  <c r="F769" i="19"/>
  <c r="F768" i="19"/>
  <c r="F767" i="19"/>
  <c r="F766" i="19"/>
  <c r="F765" i="19"/>
  <c r="F764" i="19"/>
  <c r="F763" i="19"/>
  <c r="F762" i="19"/>
  <c r="F761" i="19"/>
  <c r="F760" i="19"/>
  <c r="F759" i="19"/>
  <c r="F758" i="19"/>
  <c r="F757" i="19"/>
  <c r="F756" i="19"/>
  <c r="F755" i="19"/>
  <c r="F754" i="19"/>
  <c r="F753" i="19"/>
  <c r="F752" i="19"/>
  <c r="F751" i="19"/>
  <c r="F750" i="19"/>
  <c r="F749" i="19"/>
  <c r="F748" i="19"/>
  <c r="F747" i="19"/>
  <c r="F746" i="19"/>
  <c r="F745" i="19"/>
  <c r="F744" i="19"/>
  <c r="F743" i="19"/>
  <c r="F742" i="19"/>
  <c r="F741" i="19"/>
  <c r="F740" i="19"/>
  <c r="F739" i="19"/>
  <c r="F738" i="19"/>
  <c r="F737" i="19"/>
  <c r="F736" i="19"/>
  <c r="F735" i="19"/>
  <c r="F734" i="19"/>
  <c r="F733" i="19"/>
  <c r="F732" i="19"/>
  <c r="F731" i="19"/>
  <c r="F730" i="19"/>
  <c r="F729" i="19"/>
  <c r="F728" i="19"/>
  <c r="F727" i="19"/>
  <c r="F726" i="19"/>
  <c r="F725" i="19"/>
  <c r="F724" i="19"/>
  <c r="F723" i="19"/>
  <c r="F722" i="19"/>
  <c r="F721" i="19"/>
  <c r="F720" i="19"/>
  <c r="F719" i="19"/>
  <c r="F718" i="19"/>
  <c r="F717" i="19"/>
  <c r="F716" i="19"/>
  <c r="F715" i="19"/>
  <c r="F714" i="19"/>
  <c r="F713" i="19"/>
  <c r="F712" i="19"/>
  <c r="F711" i="19"/>
  <c r="F710" i="19"/>
  <c r="F709" i="19"/>
  <c r="F708" i="19"/>
  <c r="F707" i="19"/>
  <c r="F706" i="19"/>
  <c r="F705" i="19"/>
  <c r="F704" i="19"/>
  <c r="F703" i="19"/>
  <c r="F702" i="19"/>
  <c r="F701" i="19"/>
  <c r="F700" i="19"/>
  <c r="F699" i="19"/>
  <c r="F698" i="19"/>
  <c r="F697" i="19"/>
  <c r="F696" i="19"/>
  <c r="F695" i="19"/>
  <c r="F694" i="19"/>
  <c r="F693" i="19"/>
  <c r="F692" i="19"/>
  <c r="F691" i="19"/>
  <c r="F690" i="19"/>
  <c r="F689" i="19"/>
  <c r="F688" i="19"/>
  <c r="F687" i="19"/>
  <c r="F686" i="19"/>
  <c r="F685" i="19"/>
  <c r="F684" i="19"/>
  <c r="F683" i="19"/>
  <c r="F682" i="19"/>
  <c r="F681" i="19"/>
  <c r="F680" i="19"/>
  <c r="F679" i="19"/>
  <c r="F678" i="19"/>
  <c r="F677" i="19"/>
  <c r="F676" i="19"/>
  <c r="F675" i="19"/>
  <c r="F674" i="19"/>
  <c r="F673" i="19"/>
  <c r="F672" i="19"/>
  <c r="F671" i="19"/>
  <c r="F670" i="19"/>
  <c r="F669" i="19"/>
  <c r="F668" i="19"/>
  <c r="F667" i="19"/>
  <c r="F666" i="19"/>
  <c r="F665" i="19"/>
  <c r="F664" i="19"/>
  <c r="F663" i="19"/>
  <c r="F662" i="19"/>
  <c r="F661" i="19"/>
  <c r="F660" i="19"/>
  <c r="F659" i="19"/>
  <c r="F658" i="19"/>
  <c r="F657" i="19"/>
  <c r="F656" i="19"/>
  <c r="F655" i="19"/>
  <c r="F654" i="19"/>
  <c r="F653" i="19"/>
  <c r="F652" i="19"/>
  <c r="F651" i="19"/>
  <c r="F650" i="19"/>
  <c r="F649" i="19"/>
  <c r="F648" i="19"/>
  <c r="F647" i="19"/>
  <c r="F646" i="19"/>
  <c r="F645" i="19"/>
  <c r="F644" i="19"/>
  <c r="F643" i="19"/>
  <c r="F642" i="19"/>
  <c r="F641" i="19"/>
  <c r="F640" i="19"/>
  <c r="F639" i="19"/>
  <c r="F638" i="19"/>
  <c r="F637" i="19"/>
  <c r="F636" i="19"/>
  <c r="F635" i="19"/>
  <c r="F634" i="19"/>
  <c r="F633" i="19"/>
  <c r="F632" i="19"/>
  <c r="F631" i="19"/>
  <c r="F630" i="19"/>
  <c r="F629" i="19"/>
  <c r="F628" i="19"/>
  <c r="F627" i="19"/>
  <c r="F626" i="19"/>
  <c r="F625" i="19"/>
  <c r="F624" i="19"/>
  <c r="F623" i="19"/>
  <c r="F622" i="19"/>
  <c r="F621" i="19"/>
  <c r="F620" i="19"/>
  <c r="F619" i="19"/>
  <c r="F618" i="19"/>
  <c r="F617" i="19"/>
  <c r="F616" i="19"/>
  <c r="F615" i="19"/>
  <c r="F614" i="19"/>
  <c r="F613" i="19"/>
  <c r="F612" i="19"/>
  <c r="F611" i="19"/>
  <c r="F610" i="19"/>
  <c r="F609" i="19"/>
  <c r="F608" i="19"/>
  <c r="F607" i="19"/>
  <c r="F606" i="19"/>
  <c r="F605" i="19"/>
  <c r="F604" i="19"/>
  <c r="F603" i="19"/>
  <c r="F602" i="19"/>
  <c r="F601" i="19"/>
  <c r="F600" i="19"/>
  <c r="F599" i="19"/>
  <c r="F598" i="19"/>
  <c r="F597" i="19"/>
  <c r="F596" i="19"/>
  <c r="F595" i="19"/>
  <c r="F594" i="19"/>
  <c r="F593" i="19"/>
  <c r="F592" i="19"/>
  <c r="F591" i="19"/>
  <c r="F590" i="19"/>
  <c r="F589" i="19"/>
  <c r="F588" i="19"/>
  <c r="F587" i="19"/>
  <c r="F586" i="19"/>
  <c r="F585" i="19"/>
  <c r="F584" i="19"/>
  <c r="F583" i="19"/>
  <c r="F582" i="19"/>
  <c r="F581" i="19"/>
  <c r="F580" i="19"/>
  <c r="F579" i="19"/>
  <c r="F578" i="19"/>
  <c r="F577" i="19"/>
  <c r="F576" i="19"/>
  <c r="F575" i="19"/>
  <c r="F574" i="19"/>
  <c r="F573" i="19"/>
  <c r="F572" i="19"/>
  <c r="F571" i="19"/>
  <c r="F570" i="19"/>
  <c r="F569" i="19"/>
  <c r="F568" i="19"/>
  <c r="F567" i="19"/>
  <c r="F566" i="19"/>
  <c r="F565" i="19"/>
  <c r="F564" i="19"/>
  <c r="F563" i="19"/>
  <c r="F562" i="19"/>
  <c r="F561" i="19"/>
  <c r="F560" i="19"/>
  <c r="F559" i="19"/>
  <c r="F558" i="19"/>
  <c r="F557" i="19"/>
  <c r="F556" i="19"/>
  <c r="F555" i="19"/>
  <c r="F554" i="19"/>
  <c r="F553" i="19"/>
  <c r="F552" i="19"/>
  <c r="F551" i="19"/>
  <c r="F550" i="19"/>
  <c r="F549" i="19"/>
  <c r="F548" i="19"/>
  <c r="F547" i="19"/>
  <c r="F546" i="19"/>
  <c r="F545" i="19"/>
  <c r="F544" i="19"/>
  <c r="F543" i="19"/>
  <c r="F542" i="19"/>
  <c r="F541" i="19"/>
  <c r="F540" i="19"/>
  <c r="F539" i="19"/>
  <c r="F538" i="19"/>
  <c r="F537" i="19"/>
  <c r="F536" i="19"/>
  <c r="F535" i="19"/>
  <c r="F534" i="19"/>
  <c r="F533" i="19"/>
  <c r="F532" i="19"/>
  <c r="F531" i="19"/>
  <c r="F530" i="19"/>
  <c r="F529" i="19"/>
  <c r="F528" i="19"/>
  <c r="F527" i="19"/>
  <c r="F526" i="19"/>
  <c r="F525" i="19"/>
  <c r="F524" i="19"/>
  <c r="F523" i="19"/>
  <c r="F522" i="19"/>
  <c r="F521" i="19"/>
  <c r="F520" i="19"/>
  <c r="F519" i="19"/>
  <c r="F518" i="19"/>
  <c r="F517" i="19"/>
  <c r="F516" i="19"/>
  <c r="F515" i="19"/>
  <c r="F514" i="19"/>
  <c r="F513" i="19"/>
  <c r="F512" i="19"/>
  <c r="F511" i="19"/>
  <c r="F510" i="19"/>
  <c r="F509" i="19"/>
  <c r="F508" i="19"/>
  <c r="F507" i="19"/>
  <c r="F506" i="19"/>
  <c r="F505" i="19"/>
  <c r="F504" i="19"/>
  <c r="F503" i="19"/>
  <c r="F502" i="19"/>
  <c r="F501" i="19"/>
  <c r="F500" i="19"/>
  <c r="F499" i="19"/>
  <c r="F498" i="19"/>
  <c r="F497" i="19"/>
  <c r="F496" i="19"/>
  <c r="F495" i="19"/>
  <c r="F494" i="19"/>
  <c r="F493" i="19"/>
  <c r="F492" i="19"/>
  <c r="F491" i="19"/>
  <c r="F490" i="19"/>
  <c r="F489" i="19"/>
  <c r="F488" i="19"/>
  <c r="F487" i="19"/>
  <c r="F486" i="19"/>
  <c r="F485" i="19"/>
  <c r="F484" i="19"/>
  <c r="F483" i="19"/>
  <c r="F482" i="19"/>
  <c r="F481" i="19"/>
  <c r="F480" i="19"/>
  <c r="F479" i="19"/>
  <c r="F478" i="19"/>
  <c r="F477" i="19"/>
  <c r="F476" i="19"/>
  <c r="F475" i="19"/>
  <c r="F474" i="19"/>
  <c r="F473" i="19"/>
  <c r="F472" i="19"/>
  <c r="F471" i="19"/>
  <c r="F470" i="19"/>
  <c r="F469" i="19"/>
  <c r="F468" i="19"/>
  <c r="F467" i="19"/>
  <c r="F466" i="19"/>
  <c r="F465" i="19"/>
  <c r="F464" i="19"/>
  <c r="F463" i="19"/>
  <c r="F462" i="19"/>
  <c r="F461" i="19"/>
  <c r="F460" i="19"/>
  <c r="F459" i="19"/>
  <c r="F458" i="19"/>
  <c r="F457" i="19"/>
  <c r="F456" i="19"/>
  <c r="F455" i="19"/>
  <c r="F454" i="19"/>
  <c r="F453" i="19"/>
  <c r="F452" i="19"/>
  <c r="F451" i="19"/>
  <c r="F450" i="19"/>
  <c r="F449" i="19"/>
  <c r="F448" i="19"/>
  <c r="F447" i="19"/>
  <c r="F446" i="19"/>
  <c r="F445" i="19"/>
  <c r="F444" i="19"/>
  <c r="F443" i="19"/>
  <c r="F442" i="19"/>
  <c r="F441" i="19"/>
  <c r="F440" i="19"/>
  <c r="F439" i="19"/>
  <c r="F438" i="19"/>
  <c r="F437" i="19"/>
  <c r="F436" i="19"/>
  <c r="F435" i="19"/>
  <c r="F434" i="19"/>
  <c r="F433" i="19"/>
  <c r="F432" i="19"/>
  <c r="F431" i="19"/>
  <c r="F430" i="19"/>
  <c r="F429" i="19"/>
  <c r="F428" i="19"/>
  <c r="F427" i="19"/>
  <c r="F426" i="19"/>
  <c r="F425" i="19"/>
  <c r="F424" i="19"/>
  <c r="F423" i="19"/>
  <c r="F422" i="19"/>
  <c r="F421" i="19"/>
  <c r="F420" i="19"/>
  <c r="F419" i="19"/>
  <c r="F418" i="19"/>
  <c r="F417" i="19"/>
  <c r="F416" i="19"/>
  <c r="F415" i="19"/>
  <c r="F414" i="19"/>
  <c r="F413" i="19"/>
  <c r="F412" i="19"/>
  <c r="F411" i="19"/>
  <c r="F410" i="19"/>
  <c r="F409" i="19"/>
  <c r="F408" i="19"/>
  <c r="F407" i="19"/>
  <c r="F406" i="19"/>
  <c r="F405" i="19"/>
  <c r="F404" i="19"/>
  <c r="F403" i="19"/>
  <c r="F402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7" i="19"/>
  <c r="F256" i="19"/>
  <c r="F255" i="19"/>
  <c r="F254" i="19"/>
  <c r="F253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26" i="19"/>
  <c r="F225" i="19"/>
  <c r="F224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5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D43" i="21"/>
  <c r="C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D42" i="13"/>
  <c r="C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I43" i="14"/>
  <c r="F43" i="14"/>
  <c r="E43" i="14"/>
  <c r="C43" i="14"/>
  <c r="H42" i="14"/>
  <c r="J42" i="14" s="1"/>
  <c r="H41" i="14"/>
  <c r="J41" i="14" s="1"/>
  <c r="H40" i="14"/>
  <c r="J40" i="14" s="1"/>
  <c r="G39" i="14"/>
  <c r="H39" i="14" s="1"/>
  <c r="J39" i="14" s="1"/>
  <c r="H38" i="14"/>
  <c r="J38" i="14" s="1"/>
  <c r="G37" i="14"/>
  <c r="H37" i="14" s="1"/>
  <c r="J37" i="14" s="1"/>
  <c r="G36" i="14"/>
  <c r="H36" i="14" s="1"/>
  <c r="J36" i="14" s="1"/>
  <c r="H35" i="14"/>
  <c r="J35" i="14" s="1"/>
  <c r="J34" i="14"/>
  <c r="H34" i="14"/>
  <c r="H33" i="14"/>
  <c r="J33" i="14" s="1"/>
  <c r="G33" i="14"/>
  <c r="J32" i="14"/>
  <c r="H32" i="14"/>
  <c r="H31" i="14"/>
  <c r="J31" i="14" s="1"/>
  <c r="G31" i="14"/>
  <c r="G30" i="14"/>
  <c r="H30" i="14" s="1"/>
  <c r="J30" i="14" s="1"/>
  <c r="H29" i="14"/>
  <c r="J29" i="14" s="1"/>
  <c r="G28" i="14"/>
  <c r="H28" i="14" s="1"/>
  <c r="J28" i="14" s="1"/>
  <c r="J27" i="14"/>
  <c r="H27" i="14"/>
  <c r="G27" i="14"/>
  <c r="G26" i="14"/>
  <c r="H26" i="14" s="1"/>
  <c r="J26" i="14" s="1"/>
  <c r="H25" i="14"/>
  <c r="J25" i="14" s="1"/>
  <c r="J24" i="14"/>
  <c r="H24" i="14"/>
  <c r="G23" i="14"/>
  <c r="H23" i="14" s="1"/>
  <c r="J23" i="14" s="1"/>
  <c r="J22" i="14"/>
  <c r="H22" i="14"/>
  <c r="H21" i="14"/>
  <c r="J21" i="14" s="1"/>
  <c r="G21" i="14"/>
  <c r="G20" i="14"/>
  <c r="H20" i="14" s="1"/>
  <c r="J20" i="14" s="1"/>
  <c r="H19" i="14"/>
  <c r="J19" i="14" s="1"/>
  <c r="J18" i="14"/>
  <c r="H18" i="14"/>
  <c r="G17" i="14"/>
  <c r="H17" i="14" s="1"/>
  <c r="J17" i="14" s="1"/>
  <c r="H16" i="14"/>
  <c r="D16" i="14"/>
  <c r="D43" i="14" s="1"/>
  <c r="H15" i="14"/>
  <c r="J15" i="14" s="1"/>
  <c r="G15" i="14"/>
  <c r="J14" i="14"/>
  <c r="H14" i="14"/>
  <c r="G14" i="14"/>
  <c r="H13" i="14"/>
  <c r="J13" i="14" s="1"/>
  <c r="J12" i="14"/>
  <c r="H12" i="14"/>
  <c r="G12" i="14"/>
  <c r="G11" i="14"/>
  <c r="H11" i="14" s="1"/>
  <c r="J11" i="14" s="1"/>
  <c r="J10" i="14"/>
  <c r="H10" i="14"/>
  <c r="H9" i="14"/>
  <c r="J9" i="14" s="1"/>
  <c r="G8" i="14"/>
  <c r="H8" i="14" s="1"/>
  <c r="J8" i="14" s="1"/>
  <c r="H7" i="14"/>
  <c r="J7" i="14" s="1"/>
  <c r="G6" i="14"/>
  <c r="M413" i="26"/>
  <c r="K413" i="26"/>
  <c r="I413" i="26"/>
  <c r="H413" i="26"/>
  <c r="G413" i="26"/>
  <c r="F413" i="26"/>
  <c r="E413" i="26"/>
  <c r="W412" i="26"/>
  <c r="Y412" i="26" s="1"/>
  <c r="S412" i="26"/>
  <c r="L412" i="26"/>
  <c r="J412" i="26"/>
  <c r="X411" i="26"/>
  <c r="V411" i="26"/>
  <c r="U411" i="26"/>
  <c r="W411" i="26" s="1"/>
  <c r="T411" i="26"/>
  <c r="R411" i="26"/>
  <c r="L411" i="26"/>
  <c r="J411" i="26"/>
  <c r="W410" i="26"/>
  <c r="Y410" i="26" s="1"/>
  <c r="L410" i="26"/>
  <c r="J410" i="26"/>
  <c r="W409" i="26"/>
  <c r="Y409" i="26" s="1"/>
  <c r="L409" i="26"/>
  <c r="J409" i="26"/>
  <c r="W408" i="26"/>
  <c r="Y408" i="26" s="1"/>
  <c r="L408" i="26"/>
  <c r="J408" i="26"/>
  <c r="W407" i="26"/>
  <c r="Y407" i="26" s="1"/>
  <c r="L407" i="26"/>
  <c r="J407" i="26"/>
  <c r="W406" i="26"/>
  <c r="Y406" i="26" s="1"/>
  <c r="L406" i="26"/>
  <c r="J406" i="26"/>
  <c r="W405" i="26"/>
  <c r="Y405" i="26" s="1"/>
  <c r="L405" i="26"/>
  <c r="J405" i="26"/>
  <c r="X404" i="26"/>
  <c r="V404" i="26"/>
  <c r="U404" i="26"/>
  <c r="W404" i="26" s="1"/>
  <c r="T404" i="26"/>
  <c r="R404" i="26"/>
  <c r="L404" i="26"/>
  <c r="J404" i="26"/>
  <c r="W403" i="26"/>
  <c r="Y403" i="26" s="1"/>
  <c r="L403" i="26"/>
  <c r="J403" i="26"/>
  <c r="W402" i="26"/>
  <c r="Y402" i="26" s="1"/>
  <c r="L402" i="26"/>
  <c r="J402" i="26"/>
  <c r="W401" i="26"/>
  <c r="Y401" i="26" s="1"/>
  <c r="L401" i="26"/>
  <c r="J401" i="26"/>
  <c r="W400" i="26"/>
  <c r="Y400" i="26" s="1"/>
  <c r="L400" i="26"/>
  <c r="J400" i="26"/>
  <c r="W399" i="26"/>
  <c r="Y399" i="26" s="1"/>
  <c r="L399" i="26"/>
  <c r="J399" i="26"/>
  <c r="Y398" i="26"/>
  <c r="W398" i="26"/>
  <c r="L398" i="26"/>
  <c r="J398" i="26"/>
  <c r="Y397" i="26"/>
  <c r="W397" i="26"/>
  <c r="L397" i="26"/>
  <c r="J397" i="26"/>
  <c r="W396" i="26"/>
  <c r="Y396" i="26" s="1"/>
  <c r="L396" i="26"/>
  <c r="J396" i="26"/>
  <c r="Y395" i="26"/>
  <c r="W395" i="26"/>
  <c r="L395" i="26"/>
  <c r="J395" i="26"/>
  <c r="Y394" i="26"/>
  <c r="W394" i="26"/>
  <c r="L394" i="26"/>
  <c r="J394" i="26"/>
  <c r="W393" i="26"/>
  <c r="Y393" i="26" s="1"/>
  <c r="L393" i="26"/>
  <c r="J393" i="26"/>
  <c r="W392" i="26"/>
  <c r="Y392" i="26" s="1"/>
  <c r="L392" i="26"/>
  <c r="J392" i="26"/>
  <c r="W391" i="26"/>
  <c r="Y391" i="26" s="1"/>
  <c r="L391" i="26"/>
  <c r="J391" i="26"/>
  <c r="Y390" i="26"/>
  <c r="W390" i="26"/>
  <c r="L390" i="26"/>
  <c r="J390" i="26"/>
  <c r="X389" i="26"/>
  <c r="V389" i="26"/>
  <c r="U389" i="26"/>
  <c r="W389" i="26" s="1"/>
  <c r="T389" i="26"/>
  <c r="R389" i="26"/>
  <c r="L389" i="26"/>
  <c r="J389" i="26"/>
  <c r="W388" i="26"/>
  <c r="Y388" i="26" s="1"/>
  <c r="L388" i="26"/>
  <c r="J388" i="26"/>
  <c r="W387" i="26"/>
  <c r="Y387" i="26" s="1"/>
  <c r="K387" i="26"/>
  <c r="H387" i="26"/>
  <c r="G387" i="26"/>
  <c r="E387" i="26"/>
  <c r="W386" i="26"/>
  <c r="Y386" i="26" s="1"/>
  <c r="I386" i="26"/>
  <c r="J386" i="26" s="1"/>
  <c r="L386" i="26" s="1"/>
  <c r="W385" i="26"/>
  <c r="Y385" i="26" s="1"/>
  <c r="L385" i="26"/>
  <c r="J385" i="26"/>
  <c r="I385" i="26"/>
  <c r="W384" i="26"/>
  <c r="Y384" i="26" s="1"/>
  <c r="L384" i="26"/>
  <c r="J384" i="26"/>
  <c r="I384" i="26"/>
  <c r="W383" i="26"/>
  <c r="Y383" i="26" s="1"/>
  <c r="I383" i="26"/>
  <c r="J383" i="26" s="1"/>
  <c r="L383" i="26" s="1"/>
  <c r="Y382" i="26"/>
  <c r="W382" i="26"/>
  <c r="I382" i="26"/>
  <c r="J382" i="26" s="1"/>
  <c r="L382" i="26" s="1"/>
  <c r="Y381" i="26"/>
  <c r="W381" i="26"/>
  <c r="I381" i="26"/>
  <c r="J381" i="26" s="1"/>
  <c r="L381" i="26" s="1"/>
  <c r="Y380" i="26"/>
  <c r="W380" i="26"/>
  <c r="I380" i="26"/>
  <c r="J380" i="26" s="1"/>
  <c r="L380" i="26" s="1"/>
  <c r="Y379" i="26"/>
  <c r="W379" i="26"/>
  <c r="I379" i="26"/>
  <c r="J379" i="26" s="1"/>
  <c r="L379" i="26" s="1"/>
  <c r="W378" i="26"/>
  <c r="Y378" i="26" s="1"/>
  <c r="I378" i="26"/>
  <c r="J378" i="26" s="1"/>
  <c r="L378" i="26" s="1"/>
  <c r="W377" i="26"/>
  <c r="Y377" i="26" s="1"/>
  <c r="I377" i="26"/>
  <c r="J377" i="26" s="1"/>
  <c r="L377" i="26" s="1"/>
  <c r="W376" i="26"/>
  <c r="Y376" i="26" s="1"/>
  <c r="I376" i="26"/>
  <c r="J376" i="26" s="1"/>
  <c r="L376" i="26" s="1"/>
  <c r="W375" i="26"/>
  <c r="Y375" i="26" s="1"/>
  <c r="I375" i="26"/>
  <c r="J375" i="26" s="1"/>
  <c r="L375" i="26" s="1"/>
  <c r="Y374" i="26"/>
  <c r="W374" i="26"/>
  <c r="I374" i="26"/>
  <c r="J374" i="26" s="1"/>
  <c r="L374" i="26" s="1"/>
  <c r="W373" i="26"/>
  <c r="Y373" i="26" s="1"/>
  <c r="I373" i="26"/>
  <c r="J373" i="26" s="1"/>
  <c r="L373" i="26" s="1"/>
  <c r="W372" i="26"/>
  <c r="Y372" i="26" s="1"/>
  <c r="J372" i="26"/>
  <c r="L372" i="26" s="1"/>
  <c r="I372" i="26"/>
  <c r="X371" i="26"/>
  <c r="U371" i="26"/>
  <c r="T371" i="26"/>
  <c r="R371" i="26"/>
  <c r="I371" i="26"/>
  <c r="J371" i="26" s="1"/>
  <c r="L371" i="26" s="1"/>
  <c r="Y370" i="26"/>
  <c r="W370" i="26"/>
  <c r="V370" i="26"/>
  <c r="I370" i="26"/>
  <c r="J370" i="26" s="1"/>
  <c r="L370" i="26" s="1"/>
  <c r="V369" i="26"/>
  <c r="W369" i="26" s="1"/>
  <c r="Y369" i="26" s="1"/>
  <c r="I369" i="26"/>
  <c r="J369" i="26" s="1"/>
  <c r="L369" i="26" s="1"/>
  <c r="V368" i="26"/>
  <c r="W368" i="26" s="1"/>
  <c r="Y368" i="26" s="1"/>
  <c r="I368" i="26"/>
  <c r="J368" i="26" s="1"/>
  <c r="L368" i="26" s="1"/>
  <c r="W367" i="26"/>
  <c r="Y367" i="26" s="1"/>
  <c r="V367" i="26"/>
  <c r="I367" i="26"/>
  <c r="J367" i="26" s="1"/>
  <c r="L367" i="26" s="1"/>
  <c r="V366" i="26"/>
  <c r="W366" i="26" s="1"/>
  <c r="Y366" i="26" s="1"/>
  <c r="I366" i="26"/>
  <c r="J366" i="26" s="1"/>
  <c r="L366" i="26" s="1"/>
  <c r="W365" i="26"/>
  <c r="Y365" i="26" s="1"/>
  <c r="V365" i="26"/>
  <c r="I365" i="26"/>
  <c r="J365" i="26" s="1"/>
  <c r="L365" i="26" s="1"/>
  <c r="W364" i="26"/>
  <c r="Y364" i="26" s="1"/>
  <c r="V364" i="26"/>
  <c r="I364" i="26"/>
  <c r="V363" i="26"/>
  <c r="W363" i="26" s="1"/>
  <c r="Y363" i="26" s="1"/>
  <c r="K363" i="26"/>
  <c r="I363" i="26"/>
  <c r="H363" i="26"/>
  <c r="G363" i="26"/>
  <c r="E363" i="26"/>
  <c r="V362" i="26"/>
  <c r="W362" i="26" s="1"/>
  <c r="Y362" i="26" s="1"/>
  <c r="L362" i="26"/>
  <c r="J362" i="26"/>
  <c r="W361" i="26"/>
  <c r="Y361" i="26" s="1"/>
  <c r="V361" i="26"/>
  <c r="J361" i="26"/>
  <c r="L361" i="26" s="1"/>
  <c r="W360" i="26"/>
  <c r="Y360" i="26" s="1"/>
  <c r="V360" i="26"/>
  <c r="J360" i="26"/>
  <c r="L360" i="26" s="1"/>
  <c r="Y359" i="26"/>
  <c r="V359" i="26"/>
  <c r="W359" i="26" s="1"/>
  <c r="L359" i="26"/>
  <c r="J359" i="26"/>
  <c r="W358" i="26"/>
  <c r="Y358" i="26" s="1"/>
  <c r="V358" i="26"/>
  <c r="L358" i="26"/>
  <c r="J358" i="26"/>
  <c r="V357" i="26"/>
  <c r="W357" i="26" s="1"/>
  <c r="Y357" i="26" s="1"/>
  <c r="J357" i="26"/>
  <c r="L357" i="26" s="1"/>
  <c r="W356" i="26"/>
  <c r="Y356" i="26" s="1"/>
  <c r="V356" i="26"/>
  <c r="J356" i="26"/>
  <c r="L356" i="26" s="1"/>
  <c r="W355" i="26"/>
  <c r="Y355" i="26" s="1"/>
  <c r="V355" i="26"/>
  <c r="J355" i="26"/>
  <c r="L355" i="26" s="1"/>
  <c r="X354" i="26"/>
  <c r="V354" i="26"/>
  <c r="U354" i="26"/>
  <c r="W354" i="26" s="1"/>
  <c r="T354" i="26"/>
  <c r="R354" i="26"/>
  <c r="L354" i="26"/>
  <c r="J354" i="26"/>
  <c r="W353" i="26"/>
  <c r="Y353" i="26" s="1"/>
  <c r="J353" i="26"/>
  <c r="L353" i="26" s="1"/>
  <c r="W352" i="26"/>
  <c r="Y352" i="26" s="1"/>
  <c r="L352" i="26"/>
  <c r="J352" i="26"/>
  <c r="W351" i="26"/>
  <c r="Y351" i="26" s="1"/>
  <c r="L351" i="26"/>
  <c r="J351" i="26"/>
  <c r="W350" i="26"/>
  <c r="Y350" i="26" s="1"/>
  <c r="J350" i="26"/>
  <c r="L350" i="26" s="1"/>
  <c r="Y349" i="26"/>
  <c r="W349" i="26"/>
  <c r="J349" i="26"/>
  <c r="L349" i="26" s="1"/>
  <c r="Y348" i="26"/>
  <c r="W348" i="26"/>
  <c r="J348" i="26"/>
  <c r="L348" i="26" s="1"/>
  <c r="W347" i="26"/>
  <c r="Y347" i="26" s="1"/>
  <c r="J347" i="26"/>
  <c r="L347" i="26" s="1"/>
  <c r="W346" i="26"/>
  <c r="Y346" i="26" s="1"/>
  <c r="J346" i="26"/>
  <c r="L346" i="26" s="1"/>
  <c r="Y345" i="26"/>
  <c r="W345" i="26"/>
  <c r="J345" i="26"/>
  <c r="L345" i="26" s="1"/>
  <c r="W344" i="26"/>
  <c r="Y344" i="26" s="1"/>
  <c r="L344" i="26"/>
  <c r="J344" i="26"/>
  <c r="W343" i="26"/>
  <c r="Y343" i="26" s="1"/>
  <c r="L343" i="26"/>
  <c r="J343" i="26"/>
  <c r="W342" i="26"/>
  <c r="Y342" i="26" s="1"/>
  <c r="J342" i="26"/>
  <c r="L342" i="26" s="1"/>
  <c r="W341" i="26"/>
  <c r="Y341" i="26" s="1"/>
  <c r="J341" i="26"/>
  <c r="L341" i="26" s="1"/>
  <c r="W340" i="26"/>
  <c r="Y340" i="26" s="1"/>
  <c r="L340" i="26"/>
  <c r="J340" i="26"/>
  <c r="W339" i="26"/>
  <c r="Y339" i="26" s="1"/>
  <c r="L339" i="26"/>
  <c r="J339" i="26"/>
  <c r="W338" i="26"/>
  <c r="Y338" i="26" s="1"/>
  <c r="J338" i="26"/>
  <c r="L338" i="26" s="1"/>
  <c r="Y337" i="26"/>
  <c r="W337" i="26"/>
  <c r="J337" i="26"/>
  <c r="L337" i="26" s="1"/>
  <c r="Y336" i="26"/>
  <c r="W336" i="26"/>
  <c r="J336" i="26"/>
  <c r="L336" i="26" s="1"/>
  <c r="W335" i="26"/>
  <c r="Y335" i="26" s="1"/>
  <c r="M335" i="26"/>
  <c r="K335" i="26"/>
  <c r="I335" i="26"/>
  <c r="H335" i="26"/>
  <c r="G335" i="26"/>
  <c r="E335" i="26"/>
  <c r="Y334" i="26"/>
  <c r="W334" i="26"/>
  <c r="J334" i="26"/>
  <c r="L334" i="26" s="1"/>
  <c r="Y333" i="26"/>
  <c r="W333" i="26"/>
  <c r="J333" i="26"/>
  <c r="L333" i="26" s="1"/>
  <c r="Y332" i="26"/>
  <c r="W332" i="26"/>
  <c r="J332" i="26"/>
  <c r="L332" i="26" s="1"/>
  <c r="W331" i="26"/>
  <c r="Y331" i="26" s="1"/>
  <c r="J331" i="26"/>
  <c r="L331" i="26" s="1"/>
  <c r="X330" i="26"/>
  <c r="V330" i="26"/>
  <c r="U330" i="26"/>
  <c r="W330" i="26" s="1"/>
  <c r="T330" i="26"/>
  <c r="R330" i="26"/>
  <c r="J330" i="26"/>
  <c r="L330" i="26" s="1"/>
  <c r="W329" i="26"/>
  <c r="Y329" i="26" s="1"/>
  <c r="J329" i="26"/>
  <c r="L329" i="26" s="1"/>
  <c r="W328" i="26"/>
  <c r="Y328" i="26" s="1"/>
  <c r="J328" i="26"/>
  <c r="L328" i="26" s="1"/>
  <c r="W327" i="26"/>
  <c r="Y327" i="26" s="1"/>
  <c r="J327" i="26"/>
  <c r="L327" i="26" s="1"/>
  <c r="Y326" i="26"/>
  <c r="W326" i="26"/>
  <c r="J326" i="26"/>
  <c r="L326" i="26" s="1"/>
  <c r="W325" i="26"/>
  <c r="Y325" i="26" s="1"/>
  <c r="L325" i="26"/>
  <c r="J325" i="26"/>
  <c r="W324" i="26"/>
  <c r="Y324" i="26" s="1"/>
  <c r="J324" i="26"/>
  <c r="L324" i="26" s="1"/>
  <c r="W323" i="26"/>
  <c r="Y323" i="26" s="1"/>
  <c r="J323" i="26"/>
  <c r="L323" i="26" s="1"/>
  <c r="W322" i="26"/>
  <c r="Y322" i="26" s="1"/>
  <c r="L322" i="26"/>
  <c r="J322" i="26"/>
  <c r="W321" i="26"/>
  <c r="Y321" i="26" s="1"/>
  <c r="J321" i="26"/>
  <c r="L321" i="26" s="1"/>
  <c r="W320" i="26"/>
  <c r="Y320" i="26" s="1"/>
  <c r="J320" i="26"/>
  <c r="L320" i="26" s="1"/>
  <c r="W319" i="26"/>
  <c r="Y319" i="26" s="1"/>
  <c r="J319" i="26"/>
  <c r="L319" i="26" s="1"/>
  <c r="Y318" i="26"/>
  <c r="W318" i="26"/>
  <c r="J318" i="26"/>
  <c r="L318" i="26" s="1"/>
  <c r="W317" i="26"/>
  <c r="Y317" i="26" s="1"/>
  <c r="J317" i="26"/>
  <c r="L317" i="26" s="1"/>
  <c r="Y316" i="26"/>
  <c r="W316" i="26"/>
  <c r="J316" i="26"/>
  <c r="L316" i="26" s="1"/>
  <c r="W315" i="26"/>
  <c r="Y315" i="26" s="1"/>
  <c r="J315" i="26"/>
  <c r="L315" i="26" s="1"/>
  <c r="Y314" i="26"/>
  <c r="W314" i="26"/>
  <c r="J314" i="26"/>
  <c r="L314" i="26" s="1"/>
  <c r="W313" i="26"/>
  <c r="Y313" i="26" s="1"/>
  <c r="J313" i="26"/>
  <c r="L313" i="26" s="1"/>
  <c r="W312" i="26"/>
  <c r="Y312" i="26" s="1"/>
  <c r="J312" i="26"/>
  <c r="L312" i="26" s="1"/>
  <c r="W311" i="26"/>
  <c r="Y311" i="26" s="1"/>
  <c r="L311" i="26"/>
  <c r="J311" i="26"/>
  <c r="W310" i="26"/>
  <c r="Y310" i="26" s="1"/>
  <c r="L310" i="26"/>
  <c r="J310" i="26"/>
  <c r="W309" i="26"/>
  <c r="Y309" i="26" s="1"/>
  <c r="J309" i="26"/>
  <c r="L309" i="26" s="1"/>
  <c r="W308" i="26"/>
  <c r="Y308" i="26" s="1"/>
  <c r="J308" i="26"/>
  <c r="W307" i="26"/>
  <c r="Y307" i="26" s="1"/>
  <c r="K307" i="26"/>
  <c r="H307" i="26"/>
  <c r="G307" i="26"/>
  <c r="E307" i="26"/>
  <c r="X306" i="26"/>
  <c r="U306" i="26"/>
  <c r="T306" i="26"/>
  <c r="R306" i="26"/>
  <c r="J306" i="26"/>
  <c r="L306" i="26" s="1"/>
  <c r="I306" i="26"/>
  <c r="W305" i="26"/>
  <c r="Y305" i="26" s="1"/>
  <c r="V305" i="26"/>
  <c r="J305" i="26"/>
  <c r="L305" i="26" s="1"/>
  <c r="I305" i="26"/>
  <c r="V304" i="26"/>
  <c r="W304" i="26" s="1"/>
  <c r="Y304" i="26" s="1"/>
  <c r="I304" i="26"/>
  <c r="J304" i="26" s="1"/>
  <c r="L304" i="26" s="1"/>
  <c r="V303" i="26"/>
  <c r="W303" i="26" s="1"/>
  <c r="Y303" i="26" s="1"/>
  <c r="J303" i="26"/>
  <c r="L303" i="26" s="1"/>
  <c r="I303" i="26"/>
  <c r="V302" i="26"/>
  <c r="W302" i="26" s="1"/>
  <c r="Y302" i="26" s="1"/>
  <c r="I302" i="26"/>
  <c r="J302" i="26" s="1"/>
  <c r="L302" i="26" s="1"/>
  <c r="Y301" i="26"/>
  <c r="W301" i="26"/>
  <c r="V301" i="26"/>
  <c r="I301" i="26"/>
  <c r="J301" i="26" s="1"/>
  <c r="L301" i="26" s="1"/>
  <c r="W300" i="26"/>
  <c r="Y300" i="26" s="1"/>
  <c r="V300" i="26"/>
  <c r="I300" i="26"/>
  <c r="J300" i="26" s="1"/>
  <c r="L300" i="26" s="1"/>
  <c r="V299" i="26"/>
  <c r="W299" i="26" s="1"/>
  <c r="Y299" i="26" s="1"/>
  <c r="I299" i="26"/>
  <c r="J299" i="26" s="1"/>
  <c r="L299" i="26" s="1"/>
  <c r="V298" i="26"/>
  <c r="W298" i="26" s="1"/>
  <c r="Y298" i="26" s="1"/>
  <c r="L298" i="26"/>
  <c r="J298" i="26"/>
  <c r="I298" i="26"/>
  <c r="V297" i="26"/>
  <c r="W297" i="26" s="1"/>
  <c r="Y297" i="26" s="1"/>
  <c r="L297" i="26"/>
  <c r="J297" i="26"/>
  <c r="I297" i="26"/>
  <c r="V296" i="26"/>
  <c r="W296" i="26" s="1"/>
  <c r="Y296" i="26" s="1"/>
  <c r="I296" i="26"/>
  <c r="V295" i="26"/>
  <c r="W295" i="26" s="1"/>
  <c r="Y295" i="26" s="1"/>
  <c r="K295" i="26"/>
  <c r="I295" i="26"/>
  <c r="H295" i="26"/>
  <c r="G295" i="26"/>
  <c r="E295" i="26"/>
  <c r="Y294" i="26"/>
  <c r="V294" i="26"/>
  <c r="W294" i="26" s="1"/>
  <c r="J294" i="26"/>
  <c r="L294" i="26" s="1"/>
  <c r="W293" i="26"/>
  <c r="Y293" i="26" s="1"/>
  <c r="V293" i="26"/>
  <c r="J293" i="26"/>
  <c r="L293" i="26" s="1"/>
  <c r="W292" i="26"/>
  <c r="Y292" i="26" s="1"/>
  <c r="V292" i="26"/>
  <c r="J292" i="26"/>
  <c r="L292" i="26" s="1"/>
  <c r="V291" i="26"/>
  <c r="W291" i="26" s="1"/>
  <c r="Y291" i="26" s="1"/>
  <c r="J291" i="26"/>
  <c r="L291" i="26" s="1"/>
  <c r="V290" i="26"/>
  <c r="W290" i="26" s="1"/>
  <c r="Y290" i="26" s="1"/>
  <c r="J290" i="26"/>
  <c r="L290" i="26" s="1"/>
  <c r="V289" i="26"/>
  <c r="W289" i="26" s="1"/>
  <c r="Y289" i="26" s="1"/>
  <c r="J289" i="26"/>
  <c r="L289" i="26" s="1"/>
  <c r="X288" i="26"/>
  <c r="V288" i="26"/>
  <c r="U288" i="26"/>
  <c r="T288" i="26"/>
  <c r="R288" i="26"/>
  <c r="J288" i="26"/>
  <c r="L288" i="26" s="1"/>
  <c r="W287" i="26"/>
  <c r="Y287" i="26" s="1"/>
  <c r="J287" i="26"/>
  <c r="L287" i="26" s="1"/>
  <c r="W286" i="26"/>
  <c r="Y286" i="26" s="1"/>
  <c r="J286" i="26"/>
  <c r="L286" i="26" s="1"/>
  <c r="W285" i="26"/>
  <c r="Y285" i="26" s="1"/>
  <c r="J285" i="26"/>
  <c r="L285" i="26" s="1"/>
  <c r="W284" i="26"/>
  <c r="Y284" i="26" s="1"/>
  <c r="L284" i="26"/>
  <c r="J284" i="26"/>
  <c r="W283" i="26"/>
  <c r="Y283" i="26" s="1"/>
  <c r="J283" i="26"/>
  <c r="L283" i="26" s="1"/>
  <c r="Y282" i="26"/>
  <c r="W282" i="26"/>
  <c r="J282" i="26"/>
  <c r="L282" i="26" s="1"/>
  <c r="W281" i="26"/>
  <c r="Y281" i="26" s="1"/>
  <c r="J281" i="26"/>
  <c r="L281" i="26" s="1"/>
  <c r="W280" i="26"/>
  <c r="Y280" i="26" s="1"/>
  <c r="L280" i="26"/>
  <c r="J280" i="26"/>
  <c r="W279" i="26"/>
  <c r="Y279" i="26" s="1"/>
  <c r="J279" i="26"/>
  <c r="L279" i="26" s="1"/>
  <c r="Y278" i="26"/>
  <c r="W278" i="26"/>
  <c r="L278" i="26"/>
  <c r="J278" i="26"/>
  <c r="W277" i="26"/>
  <c r="Y277" i="26" s="1"/>
  <c r="K277" i="26"/>
  <c r="I277" i="26"/>
  <c r="H277" i="26"/>
  <c r="G277" i="26"/>
  <c r="E277" i="26"/>
  <c r="Y276" i="26"/>
  <c r="W276" i="26"/>
  <c r="J276" i="26"/>
  <c r="L276" i="26" s="1"/>
  <c r="W275" i="26"/>
  <c r="Y275" i="26" s="1"/>
  <c r="L275" i="26"/>
  <c r="J275" i="26"/>
  <c r="Y274" i="26"/>
  <c r="W274" i="26"/>
  <c r="J274" i="26"/>
  <c r="L274" i="26" s="1"/>
  <c r="Y273" i="26"/>
  <c r="W273" i="26"/>
  <c r="J273" i="26"/>
  <c r="L273" i="26" s="1"/>
  <c r="W272" i="26"/>
  <c r="Y272" i="26" s="1"/>
  <c r="J272" i="26"/>
  <c r="L272" i="26" s="1"/>
  <c r="Y271" i="26"/>
  <c r="W271" i="26"/>
  <c r="L271" i="26"/>
  <c r="J271" i="26"/>
  <c r="W270" i="26"/>
  <c r="Y270" i="26" s="1"/>
  <c r="J270" i="26"/>
  <c r="L270" i="26" s="1"/>
  <c r="W269" i="26"/>
  <c r="Y269" i="26" s="1"/>
  <c r="J269" i="26"/>
  <c r="L269" i="26" s="1"/>
  <c r="Y268" i="26"/>
  <c r="W268" i="26"/>
  <c r="L268" i="26"/>
  <c r="J268" i="26"/>
  <c r="W267" i="26"/>
  <c r="Y267" i="26" s="1"/>
  <c r="L267" i="26"/>
  <c r="J267" i="26"/>
  <c r="W266" i="26"/>
  <c r="Y266" i="26" s="1"/>
  <c r="J266" i="26"/>
  <c r="L266" i="26" s="1"/>
  <c r="Y265" i="26"/>
  <c r="W265" i="26"/>
  <c r="J265" i="26"/>
  <c r="L265" i="26" s="1"/>
  <c r="W264" i="26"/>
  <c r="Y264" i="26" s="1"/>
  <c r="L264" i="26"/>
  <c r="J264" i="26"/>
  <c r="Y263" i="26"/>
  <c r="W263" i="26"/>
  <c r="J263" i="26"/>
  <c r="L263" i="26" s="1"/>
  <c r="Y262" i="26"/>
  <c r="W262" i="26"/>
  <c r="J262" i="26"/>
  <c r="L262" i="26" s="1"/>
  <c r="W261" i="26"/>
  <c r="Y261" i="26" s="1"/>
  <c r="L261" i="26"/>
  <c r="J261" i="26"/>
  <c r="W260" i="26"/>
  <c r="Y260" i="26" s="1"/>
  <c r="K260" i="26"/>
  <c r="I260" i="26"/>
  <c r="H260" i="26"/>
  <c r="G260" i="26"/>
  <c r="E260" i="26"/>
  <c r="W259" i="26"/>
  <c r="Y259" i="26" s="1"/>
  <c r="L259" i="26"/>
  <c r="J259" i="26"/>
  <c r="Y258" i="26"/>
  <c r="W258" i="26"/>
  <c r="J258" i="26"/>
  <c r="L258" i="26" s="1"/>
  <c r="Y257" i="26"/>
  <c r="W257" i="26"/>
  <c r="J257" i="26"/>
  <c r="L257" i="26" s="1"/>
  <c r="W256" i="26"/>
  <c r="Y256" i="26" s="1"/>
  <c r="J256" i="26"/>
  <c r="L256" i="26" s="1"/>
  <c r="W255" i="26"/>
  <c r="Y255" i="26" s="1"/>
  <c r="J255" i="26"/>
  <c r="L255" i="26" s="1"/>
  <c r="X254" i="26"/>
  <c r="V254" i="26"/>
  <c r="U254" i="26"/>
  <c r="T254" i="26"/>
  <c r="R254" i="26"/>
  <c r="L254" i="26"/>
  <c r="J254" i="26"/>
  <c r="W253" i="26"/>
  <c r="Y253" i="26" s="1"/>
  <c r="J253" i="26"/>
  <c r="L253" i="26" s="1"/>
  <c r="W252" i="26"/>
  <c r="Y252" i="26" s="1"/>
  <c r="L252" i="26"/>
  <c r="J252" i="26"/>
  <c r="Y251" i="26"/>
  <c r="W251" i="26"/>
  <c r="J251" i="26"/>
  <c r="L251" i="26" s="1"/>
  <c r="Y250" i="26"/>
  <c r="W250" i="26"/>
  <c r="J250" i="26"/>
  <c r="L250" i="26" s="1"/>
  <c r="W249" i="26"/>
  <c r="Y249" i="26" s="1"/>
  <c r="J249" i="26"/>
  <c r="L249" i="26" s="1"/>
  <c r="Y248" i="26"/>
  <c r="W248" i="26"/>
  <c r="J248" i="26"/>
  <c r="L248" i="26" s="1"/>
  <c r="Y247" i="26"/>
  <c r="W247" i="26"/>
  <c r="L247" i="26"/>
  <c r="J247" i="26"/>
  <c r="W246" i="26"/>
  <c r="Y246" i="26" s="1"/>
  <c r="L246" i="26"/>
  <c r="J246" i="26"/>
  <c r="W245" i="26"/>
  <c r="Y245" i="26" s="1"/>
  <c r="J245" i="26"/>
  <c r="L245" i="26" s="1"/>
  <c r="W244" i="26"/>
  <c r="Y244" i="26" s="1"/>
  <c r="L244" i="26"/>
  <c r="J244" i="26"/>
  <c r="W243" i="26"/>
  <c r="Y243" i="26" s="1"/>
  <c r="L243" i="26"/>
  <c r="J243" i="26"/>
  <c r="W242" i="26"/>
  <c r="Y242" i="26" s="1"/>
  <c r="L242" i="26"/>
  <c r="J242" i="26"/>
  <c r="W241" i="26"/>
  <c r="Y241" i="26" s="1"/>
  <c r="K241" i="26"/>
  <c r="I241" i="26"/>
  <c r="H241" i="26"/>
  <c r="G241" i="26"/>
  <c r="E241" i="26"/>
  <c r="W240" i="26"/>
  <c r="Y240" i="26" s="1"/>
  <c r="J240" i="26"/>
  <c r="F240" i="26"/>
  <c r="L240" i="26" s="1"/>
  <c r="Y239" i="26"/>
  <c r="W239" i="26"/>
  <c r="J239" i="26"/>
  <c r="F239" i="26"/>
  <c r="L239" i="26" s="1"/>
  <c r="W238" i="26"/>
  <c r="Y238" i="26" s="1"/>
  <c r="J238" i="26"/>
  <c r="F238" i="26"/>
  <c r="L238" i="26" s="1"/>
  <c r="W237" i="26"/>
  <c r="Y237" i="26" s="1"/>
  <c r="J237" i="26"/>
  <c r="F237" i="26"/>
  <c r="L237" i="26" s="1"/>
  <c r="Y236" i="26"/>
  <c r="W236" i="26"/>
  <c r="L236" i="26"/>
  <c r="J236" i="26"/>
  <c r="F236" i="26"/>
  <c r="W235" i="26"/>
  <c r="Y235" i="26" s="1"/>
  <c r="J235" i="26"/>
  <c r="L235" i="26" s="1"/>
  <c r="F235" i="26"/>
  <c r="W234" i="26"/>
  <c r="Y234" i="26" s="1"/>
  <c r="J234" i="26"/>
  <c r="F234" i="26"/>
  <c r="L234" i="26" s="1"/>
  <c r="W233" i="26"/>
  <c r="Y233" i="26" s="1"/>
  <c r="J233" i="26"/>
  <c r="L233" i="26" s="1"/>
  <c r="F233" i="26"/>
  <c r="W232" i="26"/>
  <c r="Y232" i="26" s="1"/>
  <c r="J232" i="26"/>
  <c r="F232" i="26"/>
  <c r="L232" i="26" s="1"/>
  <c r="Y231" i="26"/>
  <c r="W231" i="26"/>
  <c r="J231" i="26"/>
  <c r="F231" i="26"/>
  <c r="L231" i="26" s="1"/>
  <c r="Y230" i="26"/>
  <c r="W230" i="26"/>
  <c r="J230" i="26"/>
  <c r="F230" i="26"/>
  <c r="L230" i="26" s="1"/>
  <c r="W229" i="26"/>
  <c r="Y229" i="26" s="1"/>
  <c r="J229" i="26"/>
  <c r="F229" i="26"/>
  <c r="L229" i="26" s="1"/>
  <c r="Y228" i="26"/>
  <c r="W228" i="26"/>
  <c r="J228" i="26"/>
  <c r="F228" i="26"/>
  <c r="W227" i="26"/>
  <c r="Y227" i="26" s="1"/>
  <c r="K227" i="26"/>
  <c r="J227" i="26"/>
  <c r="I227" i="26"/>
  <c r="H227" i="26"/>
  <c r="G227" i="26"/>
  <c r="E227" i="26"/>
  <c r="W226" i="26"/>
  <c r="J226" i="26"/>
  <c r="L226" i="26" s="1"/>
  <c r="W225" i="26"/>
  <c r="Y225" i="26" s="1"/>
  <c r="L225" i="26"/>
  <c r="J225" i="26"/>
  <c r="Y224" i="26"/>
  <c r="W224" i="26"/>
  <c r="J224" i="26"/>
  <c r="L224" i="26" s="1"/>
  <c r="X223" i="26"/>
  <c r="V223" i="26"/>
  <c r="U223" i="26"/>
  <c r="T223" i="26"/>
  <c r="R223" i="26"/>
  <c r="J223" i="26"/>
  <c r="L223" i="26" s="1"/>
  <c r="W222" i="26"/>
  <c r="Y222" i="26" s="1"/>
  <c r="J222" i="26"/>
  <c r="L222" i="26" s="1"/>
  <c r="W221" i="26"/>
  <c r="Y221" i="26" s="1"/>
  <c r="J221" i="26"/>
  <c r="L221" i="26" s="1"/>
  <c r="W220" i="26"/>
  <c r="Y220" i="26" s="1"/>
  <c r="J220" i="26"/>
  <c r="L220" i="26" s="1"/>
  <c r="W219" i="26"/>
  <c r="Y219" i="26" s="1"/>
  <c r="L219" i="26"/>
  <c r="J219" i="26"/>
  <c r="Y218" i="26"/>
  <c r="W218" i="26"/>
  <c r="J218" i="26"/>
  <c r="L218" i="26" s="1"/>
  <c r="W217" i="26"/>
  <c r="Y217" i="26" s="1"/>
  <c r="J217" i="26"/>
  <c r="L217" i="26" s="1"/>
  <c r="W216" i="26"/>
  <c r="Y216" i="26" s="1"/>
  <c r="L216" i="26"/>
  <c r="J216" i="26"/>
  <c r="W215" i="26"/>
  <c r="Y215" i="26" s="1"/>
  <c r="L215" i="26"/>
  <c r="J215" i="26"/>
  <c r="W214" i="26"/>
  <c r="Y214" i="26" s="1"/>
  <c r="J214" i="26"/>
  <c r="L214" i="26" s="1"/>
  <c r="Y213" i="26"/>
  <c r="W213" i="26"/>
  <c r="J213" i="26"/>
  <c r="L213" i="26" s="1"/>
  <c r="Y212" i="26"/>
  <c r="W212" i="26"/>
  <c r="J212" i="26"/>
  <c r="L212" i="26" s="1"/>
  <c r="W211" i="26"/>
  <c r="Y211" i="26" s="1"/>
  <c r="L211" i="26"/>
  <c r="J211" i="26"/>
  <c r="W210" i="26"/>
  <c r="Y210" i="26" s="1"/>
  <c r="J210" i="26"/>
  <c r="L210" i="26" s="1"/>
  <c r="W209" i="26"/>
  <c r="Y209" i="26" s="1"/>
  <c r="J209" i="26"/>
  <c r="L209" i="26" s="1"/>
  <c r="Y208" i="26"/>
  <c r="W208" i="26"/>
  <c r="J208" i="26"/>
  <c r="L208" i="26" s="1"/>
  <c r="W207" i="26"/>
  <c r="Y207" i="26" s="1"/>
  <c r="J207" i="26"/>
  <c r="L207" i="26" s="1"/>
  <c r="Y206" i="26"/>
  <c r="W206" i="26"/>
  <c r="J206" i="26"/>
  <c r="L206" i="26" s="1"/>
  <c r="W205" i="26"/>
  <c r="Y205" i="26" s="1"/>
  <c r="L205" i="26"/>
  <c r="J205" i="26"/>
  <c r="X204" i="26"/>
  <c r="W204" i="26"/>
  <c r="V204" i="26"/>
  <c r="U204" i="26"/>
  <c r="T204" i="26"/>
  <c r="R204" i="26"/>
  <c r="J204" i="26"/>
  <c r="L204" i="26" s="1"/>
  <c r="W203" i="26"/>
  <c r="Y203" i="26" s="1"/>
  <c r="J203" i="26"/>
  <c r="L203" i="26" s="1"/>
  <c r="Y202" i="26"/>
  <c r="W202" i="26"/>
  <c r="L202" i="26"/>
  <c r="J202" i="26"/>
  <c r="W201" i="26"/>
  <c r="Y201" i="26" s="1"/>
  <c r="K201" i="26"/>
  <c r="I201" i="26"/>
  <c r="H201" i="26"/>
  <c r="G201" i="26"/>
  <c r="E201" i="26"/>
  <c r="W200" i="26"/>
  <c r="Y200" i="26" s="1"/>
  <c r="L200" i="26"/>
  <c r="J200" i="26"/>
  <c r="W199" i="26"/>
  <c r="Y199" i="26" s="1"/>
  <c r="L199" i="26"/>
  <c r="J199" i="26"/>
  <c r="W198" i="26"/>
  <c r="Y198" i="26" s="1"/>
  <c r="J198" i="26"/>
  <c r="L198" i="26" s="1"/>
  <c r="W197" i="26"/>
  <c r="Y197" i="26" s="1"/>
  <c r="L197" i="26"/>
  <c r="J197" i="26"/>
  <c r="W196" i="26"/>
  <c r="Y196" i="26" s="1"/>
  <c r="J196" i="26"/>
  <c r="L196" i="26" s="1"/>
  <c r="W195" i="26"/>
  <c r="Y195" i="26" s="1"/>
  <c r="J195" i="26"/>
  <c r="L195" i="26" s="1"/>
  <c r="W194" i="26"/>
  <c r="Y194" i="26" s="1"/>
  <c r="L194" i="26"/>
  <c r="J194" i="26"/>
  <c r="W193" i="26"/>
  <c r="Y193" i="26" s="1"/>
  <c r="J193" i="26"/>
  <c r="L193" i="26" s="1"/>
  <c r="W192" i="26"/>
  <c r="Y192" i="26" s="1"/>
  <c r="J192" i="26"/>
  <c r="L192" i="26" s="1"/>
  <c r="W191" i="26"/>
  <c r="Y191" i="26" s="1"/>
  <c r="L191" i="26"/>
  <c r="J191" i="26"/>
  <c r="Y190" i="26"/>
  <c r="W190" i="26"/>
  <c r="J190" i="26"/>
  <c r="L190" i="26" s="1"/>
  <c r="W189" i="26"/>
  <c r="Y189" i="26" s="1"/>
  <c r="J189" i="26"/>
  <c r="L189" i="26" s="1"/>
  <c r="W188" i="26"/>
  <c r="Y188" i="26" s="1"/>
  <c r="L188" i="26"/>
  <c r="J188" i="26"/>
  <c r="Y187" i="26"/>
  <c r="W187" i="26"/>
  <c r="J187" i="26"/>
  <c r="L187" i="26" s="1"/>
  <c r="W186" i="26"/>
  <c r="Y186" i="26" s="1"/>
  <c r="J186" i="26"/>
  <c r="L186" i="26" s="1"/>
  <c r="W185" i="26"/>
  <c r="Y185" i="26" s="1"/>
  <c r="L185" i="26"/>
  <c r="J185" i="26"/>
  <c r="W184" i="26"/>
  <c r="Y184" i="26" s="1"/>
  <c r="J184" i="26"/>
  <c r="L184" i="26" s="1"/>
  <c r="X183" i="26"/>
  <c r="V183" i="26"/>
  <c r="U183" i="26"/>
  <c r="W183" i="26" s="1"/>
  <c r="T183" i="26"/>
  <c r="R183" i="26"/>
  <c r="J183" i="26"/>
  <c r="J201" i="26" s="1"/>
  <c r="Y182" i="26"/>
  <c r="V182" i="26"/>
  <c r="W182" i="26" s="1"/>
  <c r="K182" i="26"/>
  <c r="I182" i="26"/>
  <c r="H182" i="26"/>
  <c r="G182" i="26"/>
  <c r="E182" i="26"/>
  <c r="V181" i="26"/>
  <c r="W181" i="26" s="1"/>
  <c r="Y181" i="26" s="1"/>
  <c r="J181" i="26"/>
  <c r="L181" i="26" s="1"/>
  <c r="Y180" i="26"/>
  <c r="V180" i="26"/>
  <c r="W180" i="26" s="1"/>
  <c r="J180" i="26"/>
  <c r="L180" i="26" s="1"/>
  <c r="W179" i="26"/>
  <c r="Y179" i="26" s="1"/>
  <c r="V179" i="26"/>
  <c r="J179" i="26"/>
  <c r="L179" i="26" s="1"/>
  <c r="W178" i="26"/>
  <c r="Y178" i="26" s="1"/>
  <c r="V178" i="26"/>
  <c r="J178" i="26"/>
  <c r="L178" i="26" s="1"/>
  <c r="W177" i="26"/>
  <c r="Y177" i="26" s="1"/>
  <c r="V177" i="26"/>
  <c r="J177" i="26"/>
  <c r="L177" i="26" s="1"/>
  <c r="V176" i="26"/>
  <c r="W176" i="26" s="1"/>
  <c r="Y176" i="26" s="1"/>
  <c r="L176" i="26"/>
  <c r="J176" i="26"/>
  <c r="V175" i="26"/>
  <c r="W175" i="26" s="1"/>
  <c r="Y175" i="26" s="1"/>
  <c r="L175" i="26"/>
  <c r="J175" i="26"/>
  <c r="V174" i="26"/>
  <c r="W174" i="26" s="1"/>
  <c r="Y174" i="26" s="1"/>
  <c r="J174" i="26"/>
  <c r="L174" i="26" s="1"/>
  <c r="V173" i="26"/>
  <c r="W173" i="26" s="1"/>
  <c r="Y173" i="26" s="1"/>
  <c r="J173" i="26"/>
  <c r="L173" i="26" s="1"/>
  <c r="W172" i="26"/>
  <c r="Y172" i="26" s="1"/>
  <c r="V172" i="26"/>
  <c r="J172" i="26"/>
  <c r="L172" i="26" s="1"/>
  <c r="W171" i="26"/>
  <c r="Y171" i="26" s="1"/>
  <c r="V171" i="26"/>
  <c r="J171" i="26"/>
  <c r="L171" i="26" s="1"/>
  <c r="W170" i="26"/>
  <c r="Y170" i="26" s="1"/>
  <c r="V170" i="26"/>
  <c r="J170" i="26"/>
  <c r="L170" i="26" s="1"/>
  <c r="W169" i="26"/>
  <c r="Y169" i="26" s="1"/>
  <c r="V169" i="26"/>
  <c r="J169" i="26"/>
  <c r="L169" i="26" s="1"/>
  <c r="W168" i="26"/>
  <c r="Y168" i="26" s="1"/>
  <c r="V168" i="26"/>
  <c r="J168" i="26"/>
  <c r="L168" i="26" s="1"/>
  <c r="W167" i="26"/>
  <c r="Y167" i="26" s="1"/>
  <c r="V167" i="26"/>
  <c r="J167" i="26"/>
  <c r="L167" i="26" s="1"/>
  <c r="W166" i="26"/>
  <c r="Y166" i="26" s="1"/>
  <c r="V166" i="26"/>
  <c r="L166" i="26"/>
  <c r="J166" i="26"/>
  <c r="W165" i="26"/>
  <c r="Y165" i="26" s="1"/>
  <c r="V165" i="26"/>
  <c r="J165" i="26"/>
  <c r="L165" i="26" s="1"/>
  <c r="V164" i="26"/>
  <c r="W164" i="26" s="1"/>
  <c r="Y164" i="26" s="1"/>
  <c r="L164" i="26"/>
  <c r="J164" i="26"/>
  <c r="V163" i="26"/>
  <c r="W163" i="26" s="1"/>
  <c r="Y163" i="26" s="1"/>
  <c r="J163" i="26"/>
  <c r="L163" i="26" s="1"/>
  <c r="V162" i="26"/>
  <c r="W162" i="26" s="1"/>
  <c r="Y162" i="26" s="1"/>
  <c r="J162" i="26"/>
  <c r="L162" i="26" s="1"/>
  <c r="V161" i="26"/>
  <c r="W161" i="26" s="1"/>
  <c r="Y161" i="26" s="1"/>
  <c r="J161" i="26"/>
  <c r="L161" i="26" s="1"/>
  <c r="W160" i="26"/>
  <c r="Y160" i="26" s="1"/>
  <c r="V160" i="26"/>
  <c r="J160" i="26"/>
  <c r="L160" i="26" s="1"/>
  <c r="V159" i="26"/>
  <c r="W159" i="26" s="1"/>
  <c r="Y159" i="26" s="1"/>
  <c r="J159" i="26"/>
  <c r="L159" i="26" s="1"/>
  <c r="V158" i="26"/>
  <c r="W158" i="26" s="1"/>
  <c r="Y158" i="26" s="1"/>
  <c r="L158" i="26"/>
  <c r="J158" i="26"/>
  <c r="X157" i="26"/>
  <c r="U157" i="26"/>
  <c r="T157" i="26"/>
  <c r="R157" i="26"/>
  <c r="J157" i="26"/>
  <c r="L157" i="26" s="1"/>
  <c r="W156" i="26"/>
  <c r="Y156" i="26" s="1"/>
  <c r="V156" i="26"/>
  <c r="L156" i="26"/>
  <c r="J156" i="26"/>
  <c r="V155" i="26"/>
  <c r="W155" i="26" s="1"/>
  <c r="Y155" i="26" s="1"/>
  <c r="J155" i="26"/>
  <c r="J182" i="26" s="1"/>
  <c r="V154" i="26"/>
  <c r="W154" i="26" s="1"/>
  <c r="Y154" i="26" s="1"/>
  <c r="K154" i="26"/>
  <c r="H154" i="26"/>
  <c r="G154" i="26"/>
  <c r="E154" i="26"/>
  <c r="W153" i="26"/>
  <c r="Y153" i="26" s="1"/>
  <c r="V153" i="26"/>
  <c r="I153" i="26"/>
  <c r="J153" i="26" s="1"/>
  <c r="L153" i="26" s="1"/>
  <c r="W152" i="26"/>
  <c r="Y152" i="26" s="1"/>
  <c r="V152" i="26"/>
  <c r="I152" i="26"/>
  <c r="J152" i="26" s="1"/>
  <c r="L152" i="26" s="1"/>
  <c r="V151" i="26"/>
  <c r="W151" i="26" s="1"/>
  <c r="Y151" i="26" s="1"/>
  <c r="L151" i="26"/>
  <c r="J151" i="26"/>
  <c r="I151" i="26"/>
  <c r="V150" i="26"/>
  <c r="W150" i="26" s="1"/>
  <c r="Y150" i="26" s="1"/>
  <c r="L150" i="26"/>
  <c r="J150" i="26"/>
  <c r="I150" i="26"/>
  <c r="V149" i="26"/>
  <c r="W149" i="26" s="1"/>
  <c r="Y149" i="26" s="1"/>
  <c r="I149" i="26"/>
  <c r="J149" i="26" s="1"/>
  <c r="L149" i="26" s="1"/>
  <c r="V148" i="26"/>
  <c r="W148" i="26" s="1"/>
  <c r="Y148" i="26" s="1"/>
  <c r="I148" i="26"/>
  <c r="J148" i="26" s="1"/>
  <c r="L148" i="26" s="1"/>
  <c r="V147" i="26"/>
  <c r="W147" i="26" s="1"/>
  <c r="Y147" i="26" s="1"/>
  <c r="L147" i="26"/>
  <c r="I147" i="26"/>
  <c r="J147" i="26" s="1"/>
  <c r="V146" i="26"/>
  <c r="W146" i="26" s="1"/>
  <c r="Y146" i="26" s="1"/>
  <c r="J146" i="26"/>
  <c r="L146" i="26" s="1"/>
  <c r="I146" i="26"/>
  <c r="W145" i="26"/>
  <c r="Y145" i="26" s="1"/>
  <c r="V145" i="26"/>
  <c r="J145" i="26"/>
  <c r="L145" i="26" s="1"/>
  <c r="I145" i="26"/>
  <c r="V144" i="26"/>
  <c r="I144" i="26"/>
  <c r="J144" i="26" s="1"/>
  <c r="L144" i="26" s="1"/>
  <c r="X143" i="26"/>
  <c r="V143" i="26"/>
  <c r="U143" i="26"/>
  <c r="T143" i="26"/>
  <c r="R143" i="26"/>
  <c r="I143" i="26"/>
  <c r="J143" i="26" s="1"/>
  <c r="L143" i="26" s="1"/>
  <c r="W142" i="26"/>
  <c r="Y142" i="26" s="1"/>
  <c r="J142" i="26"/>
  <c r="L142" i="26" s="1"/>
  <c r="I142" i="26"/>
  <c r="W141" i="26"/>
  <c r="Y141" i="26" s="1"/>
  <c r="I141" i="26"/>
  <c r="J141" i="26" s="1"/>
  <c r="L141" i="26" s="1"/>
  <c r="W140" i="26"/>
  <c r="Y140" i="26" s="1"/>
  <c r="L140" i="26"/>
  <c r="J140" i="26"/>
  <c r="I140" i="26"/>
  <c r="W139" i="26"/>
  <c r="Y139" i="26" s="1"/>
  <c r="I139" i="26"/>
  <c r="J139" i="26" s="1"/>
  <c r="L139" i="26" s="1"/>
  <c r="W138" i="26"/>
  <c r="Y138" i="26" s="1"/>
  <c r="L138" i="26"/>
  <c r="J138" i="26"/>
  <c r="I138" i="26"/>
  <c r="W137" i="26"/>
  <c r="Y137" i="26" s="1"/>
  <c r="I137" i="26"/>
  <c r="J137" i="26" s="1"/>
  <c r="L137" i="26" s="1"/>
  <c r="Y136" i="26"/>
  <c r="W136" i="26"/>
  <c r="I136" i="26"/>
  <c r="J136" i="26" s="1"/>
  <c r="L136" i="26" s="1"/>
  <c r="Y135" i="26"/>
  <c r="W135" i="26"/>
  <c r="I135" i="26"/>
  <c r="J135" i="26" s="1"/>
  <c r="L135" i="26" s="1"/>
  <c r="W134" i="26"/>
  <c r="Y134" i="26" s="1"/>
  <c r="I134" i="26"/>
  <c r="J134" i="26" s="1"/>
  <c r="L134" i="26" s="1"/>
  <c r="Y133" i="26"/>
  <c r="W133" i="26"/>
  <c r="I133" i="26"/>
  <c r="J133" i="26" s="1"/>
  <c r="L133" i="26" s="1"/>
  <c r="W132" i="26"/>
  <c r="Y132" i="26" s="1"/>
  <c r="J132" i="26"/>
  <c r="L132" i="26" s="1"/>
  <c r="I132" i="26"/>
  <c r="W131" i="26"/>
  <c r="Y131" i="26" s="1"/>
  <c r="I131" i="26"/>
  <c r="W130" i="26"/>
  <c r="Y130" i="26" s="1"/>
  <c r="K130" i="26"/>
  <c r="I130" i="26"/>
  <c r="H130" i="26"/>
  <c r="G130" i="26"/>
  <c r="E130" i="26"/>
  <c r="W129" i="26"/>
  <c r="Y129" i="26" s="1"/>
  <c r="J129" i="26"/>
  <c r="L129" i="26" s="1"/>
  <c r="Y128" i="26"/>
  <c r="W128" i="26"/>
  <c r="J128" i="26"/>
  <c r="L128" i="26" s="1"/>
  <c r="Y127" i="26"/>
  <c r="W127" i="26"/>
  <c r="L127" i="26"/>
  <c r="J127" i="26"/>
  <c r="W126" i="26"/>
  <c r="Y126" i="26" s="1"/>
  <c r="J126" i="26"/>
  <c r="L126" i="26" s="1"/>
  <c r="W125" i="26"/>
  <c r="Y125" i="26" s="1"/>
  <c r="J125" i="26"/>
  <c r="L125" i="26" s="1"/>
  <c r="Y124" i="26"/>
  <c r="W124" i="26"/>
  <c r="J124" i="26"/>
  <c r="L124" i="26" s="1"/>
  <c r="W123" i="26"/>
  <c r="J123" i="26"/>
  <c r="J130" i="26" s="1"/>
  <c r="X122" i="26"/>
  <c r="V122" i="26"/>
  <c r="U122" i="26"/>
  <c r="T122" i="26"/>
  <c r="R122" i="26"/>
  <c r="J122" i="26"/>
  <c r="L122" i="26" s="1"/>
  <c r="Y121" i="26"/>
  <c r="V121" i="26"/>
  <c r="W121" i="26" s="1"/>
  <c r="K121" i="26"/>
  <c r="I121" i="26"/>
  <c r="H121" i="26"/>
  <c r="G121" i="26"/>
  <c r="E121" i="26"/>
  <c r="V120" i="26"/>
  <c r="W120" i="26" s="1"/>
  <c r="Y120" i="26" s="1"/>
  <c r="J120" i="26"/>
  <c r="L120" i="26" s="1"/>
  <c r="V119" i="26"/>
  <c r="W119" i="26" s="1"/>
  <c r="Y119" i="26" s="1"/>
  <c r="J119" i="26"/>
  <c r="L119" i="26" s="1"/>
  <c r="V118" i="26"/>
  <c r="W118" i="26" s="1"/>
  <c r="Y118" i="26" s="1"/>
  <c r="L118" i="26"/>
  <c r="J118" i="26"/>
  <c r="V117" i="26"/>
  <c r="W117" i="26" s="1"/>
  <c r="Y117" i="26" s="1"/>
  <c r="J117" i="26"/>
  <c r="L117" i="26" s="1"/>
  <c r="V116" i="26"/>
  <c r="W116" i="26" s="1"/>
  <c r="Y116" i="26" s="1"/>
  <c r="J116" i="26"/>
  <c r="L116" i="26" s="1"/>
  <c r="Y115" i="26"/>
  <c r="V115" i="26"/>
  <c r="W115" i="26" s="1"/>
  <c r="J115" i="26"/>
  <c r="L115" i="26" s="1"/>
  <c r="W114" i="26"/>
  <c r="Y114" i="26" s="1"/>
  <c r="V114" i="26"/>
  <c r="J114" i="26"/>
  <c r="L114" i="26" s="1"/>
  <c r="V113" i="26"/>
  <c r="W113" i="26" s="1"/>
  <c r="Y113" i="26" s="1"/>
  <c r="J113" i="26"/>
  <c r="L113" i="26" s="1"/>
  <c r="V112" i="26"/>
  <c r="W112" i="26" s="1"/>
  <c r="Y112" i="26" s="1"/>
  <c r="L112" i="26"/>
  <c r="J112" i="26"/>
  <c r="V111" i="26"/>
  <c r="W111" i="26" s="1"/>
  <c r="Y111" i="26" s="1"/>
  <c r="J111" i="26"/>
  <c r="L111" i="26" s="1"/>
  <c r="W110" i="26"/>
  <c r="Y110" i="26" s="1"/>
  <c r="V110" i="26"/>
  <c r="L110" i="26"/>
  <c r="J110" i="26"/>
  <c r="W109" i="26"/>
  <c r="Y109" i="26" s="1"/>
  <c r="V109" i="26"/>
  <c r="J109" i="26"/>
  <c r="L109" i="26" s="1"/>
  <c r="Y108" i="26"/>
  <c r="W108" i="26"/>
  <c r="V108" i="26"/>
  <c r="J108" i="26"/>
  <c r="L108" i="26" s="1"/>
  <c r="Y107" i="26"/>
  <c r="V107" i="26"/>
  <c r="W107" i="26" s="1"/>
  <c r="J107" i="26"/>
  <c r="L107" i="26" s="1"/>
  <c r="V106" i="26"/>
  <c r="W106" i="26" s="1"/>
  <c r="L106" i="26"/>
  <c r="J106" i="26"/>
  <c r="X105" i="26"/>
  <c r="V105" i="26"/>
  <c r="U105" i="26"/>
  <c r="T105" i="26"/>
  <c r="R105" i="26"/>
  <c r="L105" i="26"/>
  <c r="J105" i="26"/>
  <c r="V104" i="26"/>
  <c r="W104" i="26" s="1"/>
  <c r="Y104" i="26" s="1"/>
  <c r="J104" i="26"/>
  <c r="L104" i="26" s="1"/>
  <c r="V103" i="26"/>
  <c r="W103" i="26" s="1"/>
  <c r="Y103" i="26" s="1"/>
  <c r="J103" i="26"/>
  <c r="L103" i="26" s="1"/>
  <c r="W102" i="26"/>
  <c r="Y102" i="26" s="1"/>
  <c r="V102" i="26"/>
  <c r="J102" i="26"/>
  <c r="L102" i="26" s="1"/>
  <c r="V101" i="26"/>
  <c r="W101" i="26" s="1"/>
  <c r="Y101" i="26" s="1"/>
  <c r="J101" i="26"/>
  <c r="Y100" i="26"/>
  <c r="W100" i="26"/>
  <c r="V100" i="26"/>
  <c r="K100" i="26"/>
  <c r="I100" i="26"/>
  <c r="H100" i="26"/>
  <c r="G100" i="26"/>
  <c r="E100" i="26"/>
  <c r="V99" i="26"/>
  <c r="W99" i="26" s="1"/>
  <c r="Y99" i="26" s="1"/>
  <c r="L99" i="26"/>
  <c r="J99" i="26"/>
  <c r="V98" i="26"/>
  <c r="W98" i="26" s="1"/>
  <c r="Y98" i="26" s="1"/>
  <c r="J98" i="26"/>
  <c r="L98" i="26" s="1"/>
  <c r="V97" i="26"/>
  <c r="W97" i="26" s="1"/>
  <c r="Y97" i="26" s="1"/>
  <c r="L97" i="26"/>
  <c r="J97" i="26"/>
  <c r="Y96" i="26"/>
  <c r="W96" i="26"/>
  <c r="V96" i="26"/>
  <c r="L96" i="26"/>
  <c r="J96" i="26"/>
  <c r="V95" i="26"/>
  <c r="W95" i="26" s="1"/>
  <c r="Y95" i="26" s="1"/>
  <c r="J95" i="26"/>
  <c r="L95" i="26" s="1"/>
  <c r="V94" i="26"/>
  <c r="W94" i="26" s="1"/>
  <c r="Y94" i="26" s="1"/>
  <c r="J94" i="26"/>
  <c r="L94" i="26" s="1"/>
  <c r="Y93" i="26"/>
  <c r="W93" i="26"/>
  <c r="V93" i="26"/>
  <c r="J93" i="26"/>
  <c r="L93" i="26" s="1"/>
  <c r="V92" i="26"/>
  <c r="W92" i="26" s="1"/>
  <c r="Y92" i="26" s="1"/>
  <c r="J92" i="26"/>
  <c r="L92" i="26" s="1"/>
  <c r="V91" i="26"/>
  <c r="W91" i="26" s="1"/>
  <c r="Y91" i="26" s="1"/>
  <c r="J91" i="26"/>
  <c r="L91" i="26" s="1"/>
  <c r="V90" i="26"/>
  <c r="W90" i="26" s="1"/>
  <c r="Y90" i="26" s="1"/>
  <c r="J90" i="26"/>
  <c r="L90" i="26" s="1"/>
  <c r="V89" i="26"/>
  <c r="W89" i="26" s="1"/>
  <c r="Y89" i="26" s="1"/>
  <c r="J89" i="26"/>
  <c r="L89" i="26" s="1"/>
  <c r="V88" i="26"/>
  <c r="W88" i="26" s="1"/>
  <c r="Y88" i="26" s="1"/>
  <c r="J88" i="26"/>
  <c r="L88" i="26" s="1"/>
  <c r="W87" i="26"/>
  <c r="Y87" i="26" s="1"/>
  <c r="V87" i="26"/>
  <c r="L87" i="26"/>
  <c r="J87" i="26"/>
  <c r="W86" i="26"/>
  <c r="Y86" i="26" s="1"/>
  <c r="V86" i="26"/>
  <c r="J86" i="26"/>
  <c r="L86" i="26" s="1"/>
  <c r="V85" i="26"/>
  <c r="W85" i="26" s="1"/>
  <c r="Y85" i="26" s="1"/>
  <c r="J85" i="26"/>
  <c r="L85" i="26" s="1"/>
  <c r="V84" i="26"/>
  <c r="W84" i="26" s="1"/>
  <c r="Y84" i="26" s="1"/>
  <c r="J84" i="26"/>
  <c r="L84" i="26" s="1"/>
  <c r="X83" i="26"/>
  <c r="U83" i="26"/>
  <c r="T83" i="26"/>
  <c r="R83" i="26"/>
  <c r="J83" i="26"/>
  <c r="L83" i="26" s="1"/>
  <c r="W82" i="26"/>
  <c r="Y82" i="26" s="1"/>
  <c r="V82" i="26"/>
  <c r="J82" i="26"/>
  <c r="L82" i="26" s="1"/>
  <c r="V81" i="26"/>
  <c r="W81" i="26" s="1"/>
  <c r="Y81" i="26" s="1"/>
  <c r="J81" i="26"/>
  <c r="L81" i="26" s="1"/>
  <c r="V80" i="26"/>
  <c r="W80" i="26" s="1"/>
  <c r="Y80" i="26" s="1"/>
  <c r="J80" i="26"/>
  <c r="L80" i="26" s="1"/>
  <c r="V79" i="26"/>
  <c r="W79" i="26" s="1"/>
  <c r="Y79" i="26" s="1"/>
  <c r="L79" i="26"/>
  <c r="J79" i="26"/>
  <c r="V78" i="26"/>
  <c r="W78" i="26" s="1"/>
  <c r="Y78" i="26" s="1"/>
  <c r="K78" i="26"/>
  <c r="I78" i="26"/>
  <c r="H78" i="26"/>
  <c r="G78" i="26"/>
  <c r="E78" i="26"/>
  <c r="V77" i="26"/>
  <c r="W77" i="26" s="1"/>
  <c r="Y77" i="26" s="1"/>
  <c r="J77" i="26"/>
  <c r="L77" i="26" s="1"/>
  <c r="V76" i="26"/>
  <c r="W76" i="26" s="1"/>
  <c r="Y76" i="26" s="1"/>
  <c r="J76" i="26"/>
  <c r="L76" i="26" s="1"/>
  <c r="V75" i="26"/>
  <c r="W75" i="26" s="1"/>
  <c r="Y75" i="26" s="1"/>
  <c r="L75" i="26"/>
  <c r="J75" i="26"/>
  <c r="W74" i="26"/>
  <c r="Y74" i="26" s="1"/>
  <c r="V74" i="26"/>
  <c r="J74" i="26"/>
  <c r="L74" i="26" s="1"/>
  <c r="V73" i="26"/>
  <c r="W73" i="26" s="1"/>
  <c r="Y73" i="26" s="1"/>
  <c r="J73" i="26"/>
  <c r="L73" i="26" s="1"/>
  <c r="Y72" i="26"/>
  <c r="W72" i="26"/>
  <c r="V72" i="26"/>
  <c r="J72" i="26"/>
  <c r="L72" i="26" s="1"/>
  <c r="V71" i="26"/>
  <c r="W71" i="26" s="1"/>
  <c r="Y71" i="26" s="1"/>
  <c r="J71" i="26"/>
  <c r="L71" i="26" s="1"/>
  <c r="W70" i="26"/>
  <c r="Y70" i="26" s="1"/>
  <c r="V70" i="26"/>
  <c r="L70" i="26"/>
  <c r="J70" i="26"/>
  <c r="W69" i="26"/>
  <c r="Y69" i="26" s="1"/>
  <c r="V69" i="26"/>
  <c r="J69" i="26"/>
  <c r="L69" i="26" s="1"/>
  <c r="V68" i="26"/>
  <c r="W68" i="26" s="1"/>
  <c r="Y68" i="26" s="1"/>
  <c r="L68" i="26"/>
  <c r="J68" i="26"/>
  <c r="V67" i="26"/>
  <c r="W67" i="26" s="1"/>
  <c r="Y67" i="26" s="1"/>
  <c r="L67" i="26"/>
  <c r="J67" i="26"/>
  <c r="V66" i="26"/>
  <c r="W66" i="26" s="1"/>
  <c r="Y66" i="26" s="1"/>
  <c r="L66" i="26"/>
  <c r="J66" i="26"/>
  <c r="Y65" i="26"/>
  <c r="V65" i="26"/>
  <c r="W65" i="26" s="1"/>
  <c r="J65" i="26"/>
  <c r="L65" i="26" s="1"/>
  <c r="V64" i="26"/>
  <c r="W64" i="26" s="1"/>
  <c r="Y64" i="26" s="1"/>
  <c r="J64" i="26"/>
  <c r="L64" i="26" s="1"/>
  <c r="V63" i="26"/>
  <c r="W63" i="26" s="1"/>
  <c r="Y63" i="26" s="1"/>
  <c r="J63" i="26"/>
  <c r="L63" i="26" s="1"/>
  <c r="V62" i="26"/>
  <c r="W62" i="26" s="1"/>
  <c r="Y62" i="26" s="1"/>
  <c r="J62" i="26"/>
  <c r="L62" i="26" s="1"/>
  <c r="X61" i="26"/>
  <c r="V61" i="26"/>
  <c r="U61" i="26"/>
  <c r="T61" i="26"/>
  <c r="R61" i="26"/>
  <c r="L61" i="26"/>
  <c r="J61" i="26"/>
  <c r="W60" i="26"/>
  <c r="Y60" i="26" s="1"/>
  <c r="L60" i="26"/>
  <c r="J60" i="26"/>
  <c r="W59" i="26"/>
  <c r="Y59" i="26" s="1"/>
  <c r="J59" i="26"/>
  <c r="L59" i="26" s="1"/>
  <c r="W58" i="26"/>
  <c r="Y58" i="26" s="1"/>
  <c r="J58" i="26"/>
  <c r="L58" i="26" s="1"/>
  <c r="W57" i="26"/>
  <c r="Y57" i="26" s="1"/>
  <c r="L57" i="26"/>
  <c r="J57" i="26"/>
  <c r="W56" i="26"/>
  <c r="Y56" i="26" s="1"/>
  <c r="J56" i="26"/>
  <c r="L56" i="26" s="1"/>
  <c r="W55" i="26"/>
  <c r="Y55" i="26" s="1"/>
  <c r="L55" i="26"/>
  <c r="J55" i="26"/>
  <c r="W54" i="26"/>
  <c r="Y54" i="26" s="1"/>
  <c r="J54" i="26"/>
  <c r="L54" i="26" s="1"/>
  <c r="W53" i="26"/>
  <c r="Y53" i="26" s="1"/>
  <c r="J53" i="26"/>
  <c r="L53" i="26" s="1"/>
  <c r="W52" i="26"/>
  <c r="Y52" i="26" s="1"/>
  <c r="L52" i="26"/>
  <c r="J52" i="26"/>
  <c r="W51" i="26"/>
  <c r="Y51" i="26" s="1"/>
  <c r="J51" i="26"/>
  <c r="L51" i="26" s="1"/>
  <c r="W50" i="26"/>
  <c r="Y50" i="26" s="1"/>
  <c r="J50" i="26"/>
  <c r="L50" i="26" s="1"/>
  <c r="W49" i="26"/>
  <c r="Y49" i="26" s="1"/>
  <c r="L49" i="26"/>
  <c r="J49" i="26"/>
  <c r="W48" i="26"/>
  <c r="Y48" i="26" s="1"/>
  <c r="L48" i="26"/>
  <c r="J48" i="26"/>
  <c r="W47" i="26"/>
  <c r="Y47" i="26" s="1"/>
  <c r="J47" i="26"/>
  <c r="J78" i="26" s="1"/>
  <c r="W46" i="26"/>
  <c r="Y46" i="26" s="1"/>
  <c r="K46" i="26"/>
  <c r="I46" i="26"/>
  <c r="H46" i="26"/>
  <c r="G46" i="26"/>
  <c r="E46" i="26"/>
  <c r="Y45" i="26"/>
  <c r="W45" i="26"/>
  <c r="J45" i="26"/>
  <c r="L45" i="26" s="1"/>
  <c r="Y44" i="26"/>
  <c r="W44" i="26"/>
  <c r="J44" i="26"/>
  <c r="L44" i="26" s="1"/>
  <c r="W43" i="26"/>
  <c r="Y43" i="26" s="1"/>
  <c r="J43" i="26"/>
  <c r="L43" i="26" s="1"/>
  <c r="W42" i="26"/>
  <c r="Y42" i="26" s="1"/>
  <c r="L42" i="26"/>
  <c r="J42" i="26"/>
  <c r="Y41" i="26"/>
  <c r="W41" i="26"/>
  <c r="L41" i="26"/>
  <c r="J41" i="26"/>
  <c r="W40" i="26"/>
  <c r="Y40" i="26" s="1"/>
  <c r="J40" i="26"/>
  <c r="L40" i="26" s="1"/>
  <c r="W39" i="26"/>
  <c r="Y39" i="26" s="1"/>
  <c r="L39" i="26"/>
  <c r="J39" i="26"/>
  <c r="W38" i="26"/>
  <c r="Y38" i="26" s="1"/>
  <c r="J38" i="26"/>
  <c r="L38" i="26" s="1"/>
  <c r="Y37" i="26"/>
  <c r="W37" i="26"/>
  <c r="J37" i="26"/>
  <c r="L37" i="26" s="1"/>
  <c r="W36" i="26"/>
  <c r="Y36" i="26" s="1"/>
  <c r="L36" i="26"/>
  <c r="J36" i="26"/>
  <c r="W35" i="26"/>
  <c r="Y35" i="26" s="1"/>
  <c r="J35" i="26"/>
  <c r="L35" i="26" s="1"/>
  <c r="W34" i="26"/>
  <c r="Y34" i="26" s="1"/>
  <c r="L34" i="26"/>
  <c r="J34" i="26"/>
  <c r="Y33" i="26"/>
  <c r="W33" i="26"/>
  <c r="J33" i="26"/>
  <c r="L33" i="26" s="1"/>
  <c r="W32" i="26"/>
  <c r="Y32" i="26" s="1"/>
  <c r="L32" i="26"/>
  <c r="J32" i="26"/>
  <c r="W31" i="26"/>
  <c r="L31" i="26"/>
  <c r="J31" i="26"/>
  <c r="Y30" i="26"/>
  <c r="W30" i="26"/>
  <c r="J30" i="26"/>
  <c r="L30" i="26" s="1"/>
  <c r="Y29" i="26"/>
  <c r="W29" i="26"/>
  <c r="J29" i="26"/>
  <c r="L29" i="26" s="1"/>
  <c r="W28" i="26"/>
  <c r="Y28" i="26" s="1"/>
  <c r="L28" i="26"/>
  <c r="J28" i="26"/>
  <c r="W27" i="26"/>
  <c r="Y27" i="26" s="1"/>
  <c r="J27" i="26"/>
  <c r="L27" i="26" s="1"/>
  <c r="X26" i="26"/>
  <c r="W26" i="26"/>
  <c r="Y26" i="26" s="1"/>
  <c r="U26" i="26"/>
  <c r="T26" i="26"/>
  <c r="S26" i="26"/>
  <c r="R26" i="26"/>
  <c r="J26" i="26"/>
  <c r="L26" i="26" s="1"/>
  <c r="Y25" i="26"/>
  <c r="W25" i="26"/>
  <c r="J25" i="26"/>
  <c r="Y24" i="26"/>
  <c r="W24" i="26"/>
  <c r="K24" i="26"/>
  <c r="I24" i="26"/>
  <c r="H24" i="26"/>
  <c r="G24" i="26"/>
  <c r="E24" i="26"/>
  <c r="Y23" i="26"/>
  <c r="W23" i="26"/>
  <c r="J23" i="26"/>
  <c r="L23" i="26" s="1"/>
  <c r="Y22" i="26"/>
  <c r="W22" i="26"/>
  <c r="L22" i="26"/>
  <c r="J22" i="26"/>
  <c r="Y21" i="26"/>
  <c r="W21" i="26"/>
  <c r="J21" i="26"/>
  <c r="L21" i="26" s="1"/>
  <c r="Y20" i="26"/>
  <c r="W20" i="26"/>
  <c r="J20" i="26"/>
  <c r="L20" i="26" s="1"/>
  <c r="Y19" i="26"/>
  <c r="W19" i="26"/>
  <c r="L19" i="26"/>
  <c r="J19" i="26"/>
  <c r="Y18" i="26"/>
  <c r="W18" i="26"/>
  <c r="J18" i="26"/>
  <c r="L18" i="26" s="1"/>
  <c r="Y17" i="26"/>
  <c r="W17" i="26"/>
  <c r="L17" i="26"/>
  <c r="J17" i="26"/>
  <c r="Y16" i="26"/>
  <c r="W16" i="26"/>
  <c r="L16" i="26"/>
  <c r="J16" i="26"/>
  <c r="Y15" i="26"/>
  <c r="W15" i="26"/>
  <c r="L15" i="26"/>
  <c r="J15" i="26"/>
  <c r="Y14" i="26"/>
  <c r="W14" i="26"/>
  <c r="L14" i="26"/>
  <c r="J14" i="26"/>
  <c r="Y13" i="26"/>
  <c r="W13" i="26"/>
  <c r="J13" i="26"/>
  <c r="L13" i="26" s="1"/>
  <c r="Y12" i="26"/>
  <c r="W12" i="26"/>
  <c r="J12" i="26"/>
  <c r="L12" i="26" s="1"/>
  <c r="Y11" i="26"/>
  <c r="W11" i="26"/>
  <c r="L11" i="26"/>
  <c r="J11" i="26"/>
  <c r="Y10" i="26"/>
  <c r="W10" i="26"/>
  <c r="L10" i="26"/>
  <c r="J10" i="26"/>
  <c r="Y9" i="26"/>
  <c r="W9" i="26"/>
  <c r="L9" i="26"/>
  <c r="J9" i="26"/>
  <c r="Y8" i="26"/>
  <c r="W8" i="26"/>
  <c r="J8" i="26"/>
  <c r="L8" i="26" s="1"/>
  <c r="Y7" i="26"/>
  <c r="W7" i="26"/>
  <c r="J7" i="26"/>
  <c r="P46" i="12"/>
  <c r="O46" i="12"/>
  <c r="L46" i="12"/>
  <c r="K46" i="12"/>
  <c r="H46" i="12"/>
  <c r="G46" i="12"/>
  <c r="F46" i="12"/>
  <c r="E46" i="12"/>
  <c r="D46" i="12"/>
  <c r="Q45" i="12"/>
  <c r="N45" i="12"/>
  <c r="I45" i="12"/>
  <c r="F45" i="12"/>
  <c r="J45" i="12" s="1"/>
  <c r="S45" i="12" s="1"/>
  <c r="R44" i="12"/>
  <c r="Q44" i="12"/>
  <c r="N44" i="12"/>
  <c r="I44" i="12"/>
  <c r="F44" i="12"/>
  <c r="R43" i="12"/>
  <c r="Q43" i="12"/>
  <c r="N43" i="12"/>
  <c r="M43" i="12"/>
  <c r="I43" i="12"/>
  <c r="J43" i="12" s="1"/>
  <c r="S43" i="12" s="1"/>
  <c r="F43" i="12"/>
  <c r="R42" i="12"/>
  <c r="Q42" i="12"/>
  <c r="N42" i="12"/>
  <c r="S42" i="12" s="1"/>
  <c r="I42" i="12"/>
  <c r="F42" i="12"/>
  <c r="J42" i="12" s="1"/>
  <c r="Q41" i="12"/>
  <c r="N41" i="12"/>
  <c r="M41" i="12"/>
  <c r="I41" i="12"/>
  <c r="J41" i="12" s="1"/>
  <c r="S41" i="12" s="1"/>
  <c r="F41" i="12"/>
  <c r="R41" i="12" s="1"/>
  <c r="Q40" i="12"/>
  <c r="N40" i="12"/>
  <c r="M40" i="12"/>
  <c r="I40" i="12"/>
  <c r="F40" i="12"/>
  <c r="J40" i="12" s="1"/>
  <c r="S40" i="12" s="1"/>
  <c r="R39" i="12"/>
  <c r="Q39" i="12"/>
  <c r="N39" i="12"/>
  <c r="I39" i="12"/>
  <c r="F39" i="12"/>
  <c r="Q38" i="12"/>
  <c r="N38" i="12"/>
  <c r="J38" i="12"/>
  <c r="S38" i="12" s="1"/>
  <c r="I38" i="12"/>
  <c r="F38" i="12"/>
  <c r="R38" i="12" s="1"/>
  <c r="R37" i="12"/>
  <c r="Q37" i="12"/>
  <c r="M37" i="12"/>
  <c r="N37" i="12" s="1"/>
  <c r="I37" i="12"/>
  <c r="F37" i="12"/>
  <c r="J37" i="12" s="1"/>
  <c r="S36" i="12"/>
  <c r="Q36" i="12"/>
  <c r="N36" i="12"/>
  <c r="I36" i="12"/>
  <c r="F36" i="12"/>
  <c r="J36" i="12" s="1"/>
  <c r="Q35" i="12"/>
  <c r="M35" i="12"/>
  <c r="N35" i="12" s="1"/>
  <c r="I35" i="12"/>
  <c r="F35" i="12"/>
  <c r="Q34" i="12"/>
  <c r="M34" i="12"/>
  <c r="N34" i="12" s="1"/>
  <c r="I34" i="12"/>
  <c r="F34" i="12"/>
  <c r="R33" i="12"/>
  <c r="Q33" i="12"/>
  <c r="S33" i="12" s="1"/>
  <c r="N33" i="12"/>
  <c r="I33" i="12"/>
  <c r="F33" i="12"/>
  <c r="J33" i="12" s="1"/>
  <c r="Q32" i="12"/>
  <c r="M32" i="12"/>
  <c r="N32" i="12" s="1"/>
  <c r="I32" i="12"/>
  <c r="F32" i="12"/>
  <c r="R31" i="12"/>
  <c r="Q31" i="12"/>
  <c r="N31" i="12"/>
  <c r="M31" i="12"/>
  <c r="I31" i="12"/>
  <c r="J31" i="12" s="1"/>
  <c r="S31" i="12" s="1"/>
  <c r="F31" i="12"/>
  <c r="R30" i="12"/>
  <c r="Q30" i="12"/>
  <c r="M30" i="12"/>
  <c r="N30" i="12" s="1"/>
  <c r="I30" i="12"/>
  <c r="F30" i="12"/>
  <c r="J30" i="12" s="1"/>
  <c r="Q29" i="12"/>
  <c r="N29" i="12"/>
  <c r="I29" i="12"/>
  <c r="F29" i="12"/>
  <c r="R29" i="12" s="1"/>
  <c r="Q28" i="12"/>
  <c r="N28" i="12"/>
  <c r="I28" i="12"/>
  <c r="F28" i="12"/>
  <c r="R28" i="12" s="1"/>
  <c r="R27" i="12"/>
  <c r="Q27" i="12"/>
  <c r="N27" i="12"/>
  <c r="M27" i="12"/>
  <c r="I27" i="12"/>
  <c r="F27" i="12"/>
  <c r="J27" i="12" s="1"/>
  <c r="S27" i="12" s="1"/>
  <c r="Q26" i="12"/>
  <c r="N26" i="12"/>
  <c r="I26" i="12"/>
  <c r="F26" i="12"/>
  <c r="R26" i="12" s="1"/>
  <c r="R25" i="12"/>
  <c r="Q25" i="12"/>
  <c r="M25" i="12"/>
  <c r="N25" i="12" s="1"/>
  <c r="I25" i="12"/>
  <c r="F25" i="12"/>
  <c r="J25" i="12" s="1"/>
  <c r="R24" i="12"/>
  <c r="Q24" i="12"/>
  <c r="M24" i="12"/>
  <c r="N24" i="12" s="1"/>
  <c r="I24" i="12"/>
  <c r="J24" i="12" s="1"/>
  <c r="S24" i="12" s="1"/>
  <c r="F24" i="12"/>
  <c r="Q23" i="12"/>
  <c r="N23" i="12"/>
  <c r="I23" i="12"/>
  <c r="F23" i="12"/>
  <c r="R23" i="12" s="1"/>
  <c r="Q22" i="12"/>
  <c r="N22" i="12"/>
  <c r="I22" i="12"/>
  <c r="F22" i="12"/>
  <c r="R22" i="12" s="1"/>
  <c r="S21" i="12"/>
  <c r="R21" i="12"/>
  <c r="Q21" i="12"/>
  <c r="M21" i="12"/>
  <c r="N21" i="12" s="1"/>
  <c r="I21" i="12"/>
  <c r="J21" i="12" s="1"/>
  <c r="F21" i="12"/>
  <c r="Q20" i="12"/>
  <c r="N20" i="12"/>
  <c r="I20" i="12"/>
  <c r="F20" i="12"/>
  <c r="R20" i="12" s="1"/>
  <c r="Q19" i="12"/>
  <c r="M19" i="12"/>
  <c r="N19" i="12" s="1"/>
  <c r="I19" i="12"/>
  <c r="F19" i="12"/>
  <c r="R19" i="12" s="1"/>
  <c r="R18" i="12"/>
  <c r="Q18" i="12"/>
  <c r="Q46" i="12" s="1"/>
  <c r="N18" i="12"/>
  <c r="M18" i="12"/>
  <c r="J18" i="12"/>
  <c r="S18" i="12" s="1"/>
  <c r="I18" i="12"/>
  <c r="F18" i="12"/>
  <c r="Q17" i="12"/>
  <c r="N17" i="12"/>
  <c r="I17" i="12"/>
  <c r="F17" i="12"/>
  <c r="R17" i="12" s="1"/>
  <c r="Q16" i="12"/>
  <c r="N16" i="12"/>
  <c r="M16" i="12"/>
  <c r="I16" i="12"/>
  <c r="F16" i="12"/>
  <c r="R16" i="12" s="1"/>
  <c r="Q15" i="12"/>
  <c r="N15" i="12"/>
  <c r="M15" i="12"/>
  <c r="I15" i="12"/>
  <c r="F15" i="12"/>
  <c r="J15" i="12" s="1"/>
  <c r="S15" i="12" s="1"/>
  <c r="Q14" i="12"/>
  <c r="N14" i="12"/>
  <c r="I14" i="12"/>
  <c r="F14" i="12"/>
  <c r="R14" i="12" s="1"/>
  <c r="Q13" i="12"/>
  <c r="N13" i="12"/>
  <c r="I13" i="12"/>
  <c r="J13" i="12" s="1"/>
  <c r="S13" i="12" s="1"/>
  <c r="F13" i="12"/>
  <c r="R13" i="12" s="1"/>
  <c r="R12" i="12"/>
  <c r="Q12" i="12"/>
  <c r="M12" i="12"/>
  <c r="N12" i="12" s="1"/>
  <c r="I12" i="12"/>
  <c r="F12" i="12"/>
  <c r="R11" i="12"/>
  <c r="Q11" i="12"/>
  <c r="N11" i="12"/>
  <c r="I11" i="12"/>
  <c r="F11" i="12"/>
  <c r="J11" i="12" s="1"/>
  <c r="S11" i="12" s="1"/>
  <c r="Q10" i="12"/>
  <c r="M10" i="12"/>
  <c r="N10" i="12" s="1"/>
  <c r="I10" i="12"/>
  <c r="F10" i="12"/>
  <c r="G33" i="4"/>
  <c r="F33" i="4"/>
  <c r="E33" i="4"/>
  <c r="D33" i="4"/>
  <c r="C33" i="4"/>
  <c r="H32" i="4"/>
  <c r="E32" i="4"/>
  <c r="E31" i="4"/>
  <c r="H31" i="4" s="1"/>
  <c r="H33" i="4" s="1"/>
  <c r="E30" i="4"/>
  <c r="H30" i="4" s="1"/>
  <c r="E29" i="4"/>
  <c r="H29" i="4" s="1"/>
  <c r="E28" i="4"/>
  <c r="H28" i="4" s="1"/>
  <c r="E21" i="4"/>
  <c r="D21" i="4"/>
  <c r="C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14" i="8"/>
  <c r="F13" i="8"/>
  <c r="F11" i="8"/>
  <c r="F10" i="8"/>
  <c r="F8" i="8"/>
  <c r="G5" i="8"/>
  <c r="F6" i="8" s="1"/>
  <c r="F5" i="8"/>
  <c r="F19" i="8" s="1"/>
  <c r="C1" i="8"/>
  <c r="B1" i="8"/>
  <c r="Y183" i="26" l="1"/>
  <c r="Y371" i="26"/>
  <c r="L100" i="26"/>
  <c r="R35" i="12"/>
  <c r="J35" i="12"/>
  <c r="S35" i="12" s="1"/>
  <c r="W105" i="26"/>
  <c r="W143" i="26"/>
  <c r="Y123" i="26"/>
  <c r="Y143" i="26" s="1"/>
  <c r="Y204" i="26"/>
  <c r="L228" i="26"/>
  <c r="L241" i="26" s="1"/>
  <c r="F241" i="26"/>
  <c r="M46" i="12"/>
  <c r="Y83" i="26"/>
  <c r="J241" i="26"/>
  <c r="Y354" i="26"/>
  <c r="Y226" i="26"/>
  <c r="Y254" i="26" s="1"/>
  <c r="W254" i="26"/>
  <c r="L295" i="26"/>
  <c r="L183" i="26"/>
  <c r="L201" i="26" s="1"/>
  <c r="S30" i="12"/>
  <c r="L155" i="26"/>
  <c r="L182" i="26" s="1"/>
  <c r="Y306" i="26"/>
  <c r="I307" i="26"/>
  <c r="Y330" i="26"/>
  <c r="L363" i="26"/>
  <c r="N46" i="12"/>
  <c r="L47" i="26"/>
  <c r="L78" i="26" s="1"/>
  <c r="Y223" i="26"/>
  <c r="Y404" i="26"/>
  <c r="R15" i="12"/>
  <c r="J19" i="12"/>
  <c r="S19" i="12" s="1"/>
  <c r="J121" i="26"/>
  <c r="Y106" i="26"/>
  <c r="Y122" i="26" s="1"/>
  <c r="W122" i="26"/>
  <c r="J28" i="12"/>
  <c r="S28" i="12" s="1"/>
  <c r="R32" i="12"/>
  <c r="J32" i="12"/>
  <c r="S32" i="12" s="1"/>
  <c r="W83" i="26"/>
  <c r="J16" i="12"/>
  <c r="S16" i="12" s="1"/>
  <c r="R40" i="12"/>
  <c r="J46" i="26"/>
  <c r="E42" i="13"/>
  <c r="I46" i="12"/>
  <c r="J22" i="12"/>
  <c r="S22" i="12" s="1"/>
  <c r="I387" i="26"/>
  <c r="J364" i="26"/>
  <c r="S37" i="12"/>
  <c r="L25" i="26"/>
  <c r="L46" i="26" s="1"/>
  <c r="J260" i="26"/>
  <c r="Y288" i="26"/>
  <c r="L277" i="26"/>
  <c r="V371" i="26"/>
  <c r="W371" i="26" s="1"/>
  <c r="L413" i="26"/>
  <c r="R10" i="12"/>
  <c r="J10" i="12"/>
  <c r="V83" i="26"/>
  <c r="Y105" i="26"/>
  <c r="L227" i="26"/>
  <c r="L260" i="26"/>
  <c r="J277" i="26"/>
  <c r="Y411" i="26"/>
  <c r="L123" i="26"/>
  <c r="L130" i="26" s="1"/>
  <c r="S25" i="12"/>
  <c r="L101" i="26"/>
  <c r="L121" i="26" s="1"/>
  <c r="Y389" i="26"/>
  <c r="F21" i="4"/>
  <c r="W61" i="26"/>
  <c r="Y31" i="26"/>
  <c r="Y61" i="26" s="1"/>
  <c r="J100" i="26"/>
  <c r="E43" i="21"/>
  <c r="J34" i="12"/>
  <c r="S34" i="12" s="1"/>
  <c r="J296" i="26"/>
  <c r="J413" i="26"/>
  <c r="G43" i="14"/>
  <c r="R34" i="12"/>
  <c r="J44" i="12"/>
  <c r="S44" i="12" s="1"/>
  <c r="W223" i="26"/>
  <c r="W288" i="26"/>
  <c r="H6" i="14"/>
  <c r="J16" i="14"/>
  <c r="V306" i="26"/>
  <c r="W306" i="26" s="1"/>
  <c r="J17" i="12"/>
  <c r="S17" i="12" s="1"/>
  <c r="J23" i="12"/>
  <c r="S23" i="12" s="1"/>
  <c r="J39" i="12"/>
  <c r="S39" i="12" s="1"/>
  <c r="F15" i="8"/>
  <c r="J24" i="26"/>
  <c r="J29" i="12"/>
  <c r="S29" i="12" s="1"/>
  <c r="L7" i="26"/>
  <c r="L24" i="26" s="1"/>
  <c r="F16" i="8"/>
  <c r="J26" i="12"/>
  <c r="S26" i="12" s="1"/>
  <c r="B5" i="8"/>
  <c r="F17" i="8"/>
  <c r="J14" i="12"/>
  <c r="S14" i="12" s="1"/>
  <c r="J20" i="12"/>
  <c r="S20" i="12" s="1"/>
  <c r="I154" i="26"/>
  <c r="J131" i="26"/>
  <c r="C5" i="8"/>
  <c r="B6" i="8" s="1"/>
  <c r="R45" i="12"/>
  <c r="V157" i="26"/>
  <c r="W157" i="26" s="1"/>
  <c r="Y157" i="26" s="1"/>
  <c r="F18" i="8"/>
  <c r="F12" i="8"/>
  <c r="F9" i="8"/>
  <c r="W144" i="26"/>
  <c r="Y144" i="26" s="1"/>
  <c r="J295" i="26"/>
  <c r="J363" i="26"/>
  <c r="R36" i="12"/>
  <c r="J335" i="26"/>
  <c r="J12" i="12"/>
  <c r="S12" i="12" s="1"/>
  <c r="L308" i="26"/>
  <c r="L335" i="26" s="1"/>
  <c r="F780" i="19"/>
  <c r="H43" i="14" l="1"/>
  <c r="J6" i="14"/>
  <c r="J43" i="14" s="1"/>
  <c r="S10" i="12"/>
  <c r="S46" i="12" s="1"/>
  <c r="J46" i="12"/>
  <c r="L131" i="26"/>
  <c r="L154" i="26" s="1"/>
  <c r="J154" i="26"/>
  <c r="R46" i="12"/>
  <c r="J307" i="26"/>
  <c r="L296" i="26"/>
  <c r="L307" i="26" s="1"/>
  <c r="B19" i="8"/>
  <c r="B18" i="8"/>
  <c r="B16" i="8"/>
  <c r="B17" i="8"/>
  <c r="B15" i="8"/>
  <c r="B13" i="8"/>
  <c r="B10" i="8"/>
  <c r="B9" i="8"/>
  <c r="B12" i="8"/>
  <c r="B14" i="8"/>
  <c r="B11" i="8"/>
  <c r="B8" i="8"/>
  <c r="J387" i="26"/>
  <c r="L364" i="26"/>
  <c r="L387" i="26" s="1"/>
</calcChain>
</file>

<file path=xl/sharedStrings.xml><?xml version="1.0" encoding="utf-8"?>
<sst xmlns="http://schemas.openxmlformats.org/spreadsheetml/2006/main" count="2768" uniqueCount="994">
  <si>
    <t>PREVIOUS MONTH</t>
  </si>
  <si>
    <t>CURRENTMONTH</t>
  </si>
  <si>
    <t>YEAR</t>
  </si>
  <si>
    <t>MONTH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</si>
  <si>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</si>
  <si>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</si>
  <si>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</si>
  <si>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</si>
  <si>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</si>
  <si>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</si>
  <si>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</si>
  <si>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</si>
  <si>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</si>
  <si>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</si>
  <si>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</si>
  <si>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</si>
  <si>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</si>
  <si>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Office of the Accountant General of the Federation</t>
  </si>
  <si>
    <t xml:space="preserve">  Federation Account Department</t>
  </si>
  <si>
    <t>Table I</t>
  </si>
  <si>
    <t>Summary of Gross Revenue Allocation by Federation Account Allocation Committee for the Month of  April, 2026 Shared in May, 2026</t>
  </si>
  <si>
    <t>S/n</t>
  </si>
  <si>
    <t>Beneficiaries</t>
  </si>
  <si>
    <t>Statutory</t>
  </si>
  <si>
    <t>Value Added Tax (VAT)</t>
  </si>
  <si>
    <t>Total</t>
  </si>
  <si>
    <t>₦</t>
  </si>
  <si>
    <t>FGN (see Table II)</t>
  </si>
  <si>
    <t>State (see Table III)</t>
  </si>
  <si>
    <t>LGCs (see Table IV)</t>
  </si>
  <si>
    <t>13% Derivation Fund</t>
  </si>
  <si>
    <t xml:space="preserve"> Cost of Collections - NRS</t>
  </si>
  <si>
    <t xml:space="preserve"> Cost of Collections - NUPRC</t>
  </si>
  <si>
    <t>Transfer to MDGIF</t>
  </si>
  <si>
    <t xml:space="preserve">13% Refunds on Subsidy, Priority Projects </t>
  </si>
  <si>
    <t>North East Development Commission</t>
  </si>
  <si>
    <t xml:space="preserve">Military Intervention Fund </t>
  </si>
  <si>
    <t>Transfer to NSIA</t>
  </si>
  <si>
    <t>0.5% Deduction from Non-Oil Revenue to RMAFC</t>
  </si>
  <si>
    <t>Infrastructure Development Fund to States</t>
  </si>
  <si>
    <t>Deduction to Non-Oil Excess Revenue Account</t>
  </si>
  <si>
    <t>TOTAL</t>
  </si>
  <si>
    <t>Table II</t>
  </si>
  <si>
    <t>Summary of Gross Revenue Allocation to FGN by Federation Account Allocation Committee for the Month of  April, 2026 Shared in May, 2026</t>
  </si>
  <si>
    <t>Gross Statutory Allocation</t>
  </si>
  <si>
    <t>Total Deduction</t>
  </si>
  <si>
    <t>Net Statutory Allocation</t>
  </si>
  <si>
    <t>Value Added Tax</t>
  </si>
  <si>
    <t>FGN (CRF Account)</t>
  </si>
  <si>
    <t>Share of Derivation &amp; Ecology</t>
  </si>
  <si>
    <t>Stabilization</t>
  </si>
  <si>
    <t>Development of Natural Resources</t>
  </si>
  <si>
    <t>FCT-Abuja</t>
  </si>
  <si>
    <r>
      <rPr>
        <sz val="16"/>
        <rFont val="Times New Roman"/>
        <family val="1"/>
      </rPr>
      <t xml:space="preserve">Source: </t>
    </r>
    <r>
      <rPr>
        <b/>
        <sz val="16"/>
        <rFont val="Times New Roman"/>
        <family val="1"/>
      </rPr>
      <t>Office of the Accountant-General of the Federation</t>
    </r>
  </si>
  <si>
    <t>……………………………………………………………</t>
  </si>
  <si>
    <t>Mr. Taiwo Oyedele</t>
  </si>
  <si>
    <t>Hon. Minister of Finance and Coordinating Minister of the Economy</t>
  </si>
  <si>
    <t>Abuja. Nigeria.</t>
  </si>
  <si>
    <t>Office  of the Accountant General of the Federation</t>
  </si>
  <si>
    <t>Federation Account Department</t>
  </si>
  <si>
    <t>Table III</t>
  </si>
  <si>
    <t>Distribution of Revenue Allocation to State Governments by Federation Account Allocation Committee for the month of April, 2026 Shared in May, 2026</t>
  </si>
  <si>
    <t>6=4+5</t>
  </si>
  <si>
    <t>10=6-(7+8+9)</t>
  </si>
  <si>
    <t>18=6+11+12+15</t>
  </si>
  <si>
    <t>19=10+11+14+17</t>
  </si>
  <si>
    <t>No. of LGCs</t>
  </si>
  <si>
    <t>Statutory Allocation</t>
  </si>
  <si>
    <t>13% Share of Derivation (Net)</t>
  </si>
  <si>
    <t>Gross Total</t>
  </si>
  <si>
    <t>Deductions</t>
  </si>
  <si>
    <t>Augmentation of '₦250Billion from Non Oil Revenue for the month of May, 2026</t>
  </si>
  <si>
    <t>TOTAL Share of Ecology</t>
  </si>
  <si>
    <t>Transfer of 50% Share of Ecology to NDDC/HYPPADEC</t>
  </si>
  <si>
    <t>Net Share of Ecology</t>
  </si>
  <si>
    <t>Gross VAT Allocation</t>
  </si>
  <si>
    <t>VAT Deduction</t>
  </si>
  <si>
    <t>Net VAT Allocation</t>
  </si>
  <si>
    <t>Total Gross Amount</t>
  </si>
  <si>
    <t>Total Net Amount</t>
  </si>
  <si>
    <t>External Debt</t>
  </si>
  <si>
    <t>Contractual Obligation (ISPO)</t>
  </si>
  <si>
    <t xml:space="preserve">Other Deductions   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</si>
  <si>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</si>
  <si>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</si>
  <si>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</si>
  <si>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</si>
  <si>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</si>
  <si>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</si>
  <si>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</si>
  <si>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</si>
  <si>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</si>
  <si>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</si>
  <si>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</si>
  <si>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</si>
  <si>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</si>
  <si>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</si>
  <si>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</si>
  <si>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</si>
  <si>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</si>
  <si>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</si>
  <si>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</si>
  <si>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</si>
  <si>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</si>
  <si>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</si>
  <si>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</si>
  <si>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</si>
  <si>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</si>
  <si>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</si>
  <si>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</si>
  <si>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</si>
  <si>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</si>
  <si>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</si>
  <si>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</si>
  <si>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</si>
  <si>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</si>
  <si>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</si>
  <si>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</si>
  <si>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</si>
  <si>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Office of the Accountant-General of the Federation</t>
  </si>
  <si>
    <t xml:space="preserve"> Distribution  of Revenue Allocation to Local Government Councils by Federation Account Allocation Committee for the Month of April, 2026 Shared in May, 2026</t>
  </si>
  <si>
    <t>States</t>
  </si>
  <si>
    <t>Local Government Councils</t>
  </si>
  <si>
    <t>Deduction</t>
  </si>
  <si>
    <t>Total Net Allocation</t>
  </si>
  <si>
    <t>State</t>
  </si>
  <si>
    <t>ABA NORTH</t>
  </si>
  <si>
    <t>KUNCHI</t>
  </si>
  <si>
    <t>ABA SOUTH</t>
  </si>
  <si>
    <t>KURA</t>
  </si>
  <si>
    <t>AROCHUKWU</t>
  </si>
  <si>
    <t>MADOBI</t>
  </si>
  <si>
    <t>BENDE</t>
  </si>
  <si>
    <t>MAKODA</t>
  </si>
  <si>
    <t>IKWUANO</t>
  </si>
  <si>
    <t>MINJIBIR</t>
  </si>
  <si>
    <t>ISIALA NGWA NORTH</t>
  </si>
  <si>
    <t>ISIALA NGWA SOUTH</t>
  </si>
  <si>
    <t>RANO</t>
  </si>
  <si>
    <t>ISUIKWUATO</t>
  </si>
  <si>
    <t>RIMIN GADO</t>
  </si>
  <si>
    <t>NNEOCHI</t>
  </si>
  <si>
    <t>ROGO</t>
  </si>
  <si>
    <t>OBIOMA NGWA</t>
  </si>
  <si>
    <t>SHANONO</t>
  </si>
  <si>
    <t>OHAFIA</t>
  </si>
  <si>
    <t>SUMAILA</t>
  </si>
  <si>
    <t>OSISIOMA</t>
  </si>
  <si>
    <t>TAKAI</t>
  </si>
  <si>
    <t>UGWUNAGBO</t>
  </si>
  <si>
    <t>TARAUNI</t>
  </si>
  <si>
    <t>UKWA EAST</t>
  </si>
  <si>
    <t>TOFA</t>
  </si>
  <si>
    <t>UKWA WEST</t>
  </si>
  <si>
    <t>TSANYAWA</t>
  </si>
  <si>
    <t>UMUAHIA NORTH</t>
  </si>
  <si>
    <t>TUDUN WADA</t>
  </si>
  <si>
    <t>UMUAHIA SOUTH</t>
  </si>
  <si>
    <t>UNGOGO</t>
  </si>
  <si>
    <t>ABIA TOTAL</t>
  </si>
  <si>
    <t>WARAWA</t>
  </si>
  <si>
    <t xml:space="preserve">ADAMAWA </t>
  </si>
  <si>
    <t>DEMSA</t>
  </si>
  <si>
    <t>WUDIL</t>
  </si>
  <si>
    <t>FUFORE</t>
  </si>
  <si>
    <t>KANO TOTAL</t>
  </si>
  <si>
    <t>GANYE</t>
  </si>
  <si>
    <t>BAKORI</t>
  </si>
  <si>
    <t>GIREI</t>
  </si>
  <si>
    <t>BATAGARAWA</t>
  </si>
  <si>
    <t>GOMBI</t>
  </si>
  <si>
    <t>BATSARI</t>
  </si>
  <si>
    <t>GUYUK</t>
  </si>
  <si>
    <t>BAURE</t>
  </si>
  <si>
    <t>HONG</t>
  </si>
  <si>
    <t>BINDAWA</t>
  </si>
  <si>
    <t>JADA</t>
  </si>
  <si>
    <t>CHARANCHI</t>
  </si>
  <si>
    <t>YOLA-NORTH</t>
  </si>
  <si>
    <t>DAN-MUSA</t>
  </si>
  <si>
    <t>LAMURDE</t>
  </si>
  <si>
    <t>DANDUME</t>
  </si>
  <si>
    <t>MADAGALI</t>
  </si>
  <si>
    <t>DANJA</t>
  </si>
  <si>
    <t>MAIHA</t>
  </si>
  <si>
    <t>DAURA</t>
  </si>
  <si>
    <t>MAYO-BELWA</t>
  </si>
  <si>
    <t>DUTSI</t>
  </si>
  <si>
    <t>MICHIKA</t>
  </si>
  <si>
    <t>DUTSINMA</t>
  </si>
  <si>
    <t>MUBI NORTH</t>
  </si>
  <si>
    <t>FASKARI</t>
  </si>
  <si>
    <t>MUBI SOUTH</t>
  </si>
  <si>
    <t>FUNTUA</t>
  </si>
  <si>
    <t>NUMAN</t>
  </si>
  <si>
    <t>INGAWA</t>
  </si>
  <si>
    <t>SHELLENG</t>
  </si>
  <si>
    <t>JIBIA</t>
  </si>
  <si>
    <t>SONG</t>
  </si>
  <si>
    <t>KAFUR</t>
  </si>
  <si>
    <t>TOUNGO</t>
  </si>
  <si>
    <t>KAITA</t>
  </si>
  <si>
    <t>YOLA-SOUTH</t>
  </si>
  <si>
    <t>KANKARA</t>
  </si>
  <si>
    <t>ADAMAWA TOTAL</t>
  </si>
  <si>
    <t>KANKIA</t>
  </si>
  <si>
    <t xml:space="preserve">AKWA IBOM </t>
  </si>
  <si>
    <t>ABAK</t>
  </si>
  <si>
    <t>EASTERN OBOLO</t>
  </si>
  <si>
    <t>KURFI</t>
  </si>
  <si>
    <t>EKET</t>
  </si>
  <si>
    <t>KUSADA</t>
  </si>
  <si>
    <t>EKPE ATAI</t>
  </si>
  <si>
    <t>MAIADUA</t>
  </si>
  <si>
    <t>ESSIEN UDIM</t>
  </si>
  <si>
    <t>MALUMFASHI</t>
  </si>
  <si>
    <t>ETIM EKPO</t>
  </si>
  <si>
    <t>MANI</t>
  </si>
  <si>
    <t>ETINAN</t>
  </si>
  <si>
    <t>MASHI</t>
  </si>
  <si>
    <t>IBENO</t>
  </si>
  <si>
    <t>MATAZU</t>
  </si>
  <si>
    <t>IBESIKPO ASUTAN</t>
  </si>
  <si>
    <t>MUSAWA</t>
  </si>
  <si>
    <t>IBIONO IBOM</t>
  </si>
  <si>
    <t>RIMI</t>
  </si>
  <si>
    <t>IKA</t>
  </si>
  <si>
    <t>SABUWA</t>
  </si>
  <si>
    <t>IKONO</t>
  </si>
  <si>
    <t>SAFANA</t>
  </si>
  <si>
    <t>IKOT ABASI</t>
  </si>
  <si>
    <t>SANDAMU</t>
  </si>
  <si>
    <t>IKOT EKPENE</t>
  </si>
  <si>
    <t>ZANGO</t>
  </si>
  <si>
    <t>INI</t>
  </si>
  <si>
    <t>KATSINA TOTAL</t>
  </si>
  <si>
    <t>ITU</t>
  </si>
  <si>
    <t>ALIERU</t>
  </si>
  <si>
    <t>MBO</t>
  </si>
  <si>
    <t>AREWA</t>
  </si>
  <si>
    <t>MKPAT ENIN</t>
  </si>
  <si>
    <t>ARGUNGU</t>
  </si>
  <si>
    <t>NSIT IBOM</t>
  </si>
  <si>
    <t>AUGIE</t>
  </si>
  <si>
    <t>NSIT UBIUM</t>
  </si>
  <si>
    <t>BAGUDO</t>
  </si>
  <si>
    <t>OBAT AKARA</t>
  </si>
  <si>
    <t>BIRNIN -KEBBI</t>
  </si>
  <si>
    <t>OKOBO</t>
  </si>
  <si>
    <t>BUNZA</t>
  </si>
  <si>
    <t>ONNA</t>
  </si>
  <si>
    <t>DANDI KAMBA</t>
  </si>
  <si>
    <t>ORON</t>
  </si>
  <si>
    <t>DANKO /WASAGU</t>
  </si>
  <si>
    <t>ORUK ANAM</t>
  </si>
  <si>
    <t>FAKAI</t>
  </si>
  <si>
    <t>UDUNG UKO</t>
  </si>
  <si>
    <t>GWANDU</t>
  </si>
  <si>
    <t>UKANAFUN</t>
  </si>
  <si>
    <t>JEGA</t>
  </si>
  <si>
    <t>UQUO</t>
  </si>
  <si>
    <t>KALGO</t>
  </si>
  <si>
    <t>URUAN</t>
  </si>
  <si>
    <t>KOKO/BESSE</t>
  </si>
  <si>
    <t>URUE OFFONG/ORUK</t>
  </si>
  <si>
    <t>MAIYAMA</t>
  </si>
  <si>
    <t>UYO</t>
  </si>
  <si>
    <t>NGASKI</t>
  </si>
  <si>
    <t>AKWA IBOM TOTAL</t>
  </si>
  <si>
    <t>SAKABA</t>
  </si>
  <si>
    <t xml:space="preserve">ANAMBRA </t>
  </si>
  <si>
    <t>AGUATA</t>
  </si>
  <si>
    <t>SHANGA</t>
  </si>
  <si>
    <t>ANAMBRA EAST</t>
  </si>
  <si>
    <t>SURU</t>
  </si>
  <si>
    <t>ANAMBRA WEST</t>
  </si>
  <si>
    <t>YAURI</t>
  </si>
  <si>
    <t>ANIOCHA</t>
  </si>
  <si>
    <t>ZURU</t>
  </si>
  <si>
    <t>AWKA NORTH</t>
  </si>
  <si>
    <t>KEBBI TOTAL</t>
  </si>
  <si>
    <t>AWKA SOUTH</t>
  </si>
  <si>
    <t>ADAVI</t>
  </si>
  <si>
    <t>AYAMELUM</t>
  </si>
  <si>
    <t>AJAOKUTA</t>
  </si>
  <si>
    <t>DUNUKOFIA</t>
  </si>
  <si>
    <t>ANKPA</t>
  </si>
  <si>
    <t>EKWUSIGWO</t>
  </si>
  <si>
    <t>BASSA</t>
  </si>
  <si>
    <t>IDEMILI NORTH</t>
  </si>
  <si>
    <t>DEKINA</t>
  </si>
  <si>
    <t>IDEMILI SOUTH</t>
  </si>
  <si>
    <t>IBAJI</t>
  </si>
  <si>
    <t>IHIALA</t>
  </si>
  <si>
    <t>IDAH</t>
  </si>
  <si>
    <t>NJIKOKA</t>
  </si>
  <si>
    <t>IGALAMELA</t>
  </si>
  <si>
    <t>NNEWI NORTH</t>
  </si>
  <si>
    <t>IJUMU</t>
  </si>
  <si>
    <t>NNEWI SOUTH</t>
  </si>
  <si>
    <t>KABBA/BUNU</t>
  </si>
  <si>
    <t>OGBARU</t>
  </si>
  <si>
    <t>ONISHA NORTH</t>
  </si>
  <si>
    <t>KOTON KARFE</t>
  </si>
  <si>
    <t>ONISHA SOUTH</t>
  </si>
  <si>
    <t>MOPA-MURO</t>
  </si>
  <si>
    <t>ORUMBA NORTH</t>
  </si>
  <si>
    <t>OFU</t>
  </si>
  <si>
    <t>ORUMBA SOUTH</t>
  </si>
  <si>
    <t>OGORI/MAGONGO</t>
  </si>
  <si>
    <t>OYI</t>
  </si>
  <si>
    <t>OKEHI</t>
  </si>
  <si>
    <t>ANAMBRA TOTAL</t>
  </si>
  <si>
    <t>OKENE</t>
  </si>
  <si>
    <t xml:space="preserve">BAUCHI </t>
  </si>
  <si>
    <t>ALKALERI</t>
  </si>
  <si>
    <t>OLAMABORO</t>
  </si>
  <si>
    <t>OMALA</t>
  </si>
  <si>
    <t>BOGORO</t>
  </si>
  <si>
    <t>YAGBA EAST</t>
  </si>
  <si>
    <t>DAMBAN</t>
  </si>
  <si>
    <t>YAGBA WEST</t>
  </si>
  <si>
    <t>DARAZO</t>
  </si>
  <si>
    <t>KOGI TOTAL</t>
  </si>
  <si>
    <t>DASS</t>
  </si>
  <si>
    <t>ASA</t>
  </si>
  <si>
    <t>GAMAWA</t>
  </si>
  <si>
    <t>BARUTEN</t>
  </si>
  <si>
    <t>GANJUWA</t>
  </si>
  <si>
    <t>EDU</t>
  </si>
  <si>
    <t>GIADE</t>
  </si>
  <si>
    <t>I/GADAU</t>
  </si>
  <si>
    <t>IFELODUN</t>
  </si>
  <si>
    <t>JAMA'ARE</t>
  </si>
  <si>
    <t>ILORIN EAST</t>
  </si>
  <si>
    <t>KATAGUM</t>
  </si>
  <si>
    <t>ILORIN SOUTH</t>
  </si>
  <si>
    <t>KIRFI</t>
  </si>
  <si>
    <t>ILORIN WEST</t>
  </si>
  <si>
    <t>MISAU</t>
  </si>
  <si>
    <t>IREPODUN</t>
  </si>
  <si>
    <t>NINGI</t>
  </si>
  <si>
    <t>KAI AMA</t>
  </si>
  <si>
    <t>SHIRA</t>
  </si>
  <si>
    <t>MORO</t>
  </si>
  <si>
    <t>TAFAWA BALEWA</t>
  </si>
  <si>
    <t>OFFA</t>
  </si>
  <si>
    <t>TORO</t>
  </si>
  <si>
    <t>OKE-ERO</t>
  </si>
  <si>
    <t>WARJI</t>
  </si>
  <si>
    <t>OSIN</t>
  </si>
  <si>
    <t>ZAKI</t>
  </si>
  <si>
    <t>OYUN</t>
  </si>
  <si>
    <t>BAUCHI TOTAL</t>
  </si>
  <si>
    <t>PATEGI</t>
  </si>
  <si>
    <t xml:space="preserve">BAYELSA </t>
  </si>
  <si>
    <t>BRASS</t>
  </si>
  <si>
    <t>KWARA TOTAL</t>
  </si>
  <si>
    <t>EKERMOR</t>
  </si>
  <si>
    <t>AGEGE</t>
  </si>
  <si>
    <t>KOLOKUMA/OPOKUMA</t>
  </si>
  <si>
    <t>AJEROMI/IFELODUN</t>
  </si>
  <si>
    <t>NEMBE</t>
  </si>
  <si>
    <t>ALIMOSHO</t>
  </si>
  <si>
    <t>OGBIA</t>
  </si>
  <si>
    <t>AMOWO-ODOFIN</t>
  </si>
  <si>
    <t>SAGBAMA</t>
  </si>
  <si>
    <t>APAPA</t>
  </si>
  <si>
    <t>SOUTHERN IJAW</t>
  </si>
  <si>
    <t>BADAGRY</t>
  </si>
  <si>
    <t>YENAGOA</t>
  </si>
  <si>
    <t>EPE</t>
  </si>
  <si>
    <t>BAYELSA TOTAL</t>
  </si>
  <si>
    <t>ETI-OSA</t>
  </si>
  <si>
    <t xml:space="preserve">BENUE </t>
  </si>
  <si>
    <t>ADO</t>
  </si>
  <si>
    <t>IBEJU-LEKKI</t>
  </si>
  <si>
    <t>AGATU</t>
  </si>
  <si>
    <t>IFAKO/IJAYE</t>
  </si>
  <si>
    <t>APA</t>
  </si>
  <si>
    <t>IKEJA</t>
  </si>
  <si>
    <t>BURUKU</t>
  </si>
  <si>
    <t>IKORODU</t>
  </si>
  <si>
    <t>GBOKO</t>
  </si>
  <si>
    <t>KOSOFE</t>
  </si>
  <si>
    <t>GUMA</t>
  </si>
  <si>
    <t>LAGOS ISLAND</t>
  </si>
  <si>
    <t>GWER EAST</t>
  </si>
  <si>
    <t>LAGOS MAINLAND</t>
  </si>
  <si>
    <t>GWER WEST</t>
  </si>
  <si>
    <t>MUSHIN</t>
  </si>
  <si>
    <t>KATSINA ALA</t>
  </si>
  <si>
    <t>OJO</t>
  </si>
  <si>
    <t>KONSHISHA</t>
  </si>
  <si>
    <t>OSHODI/ISOLO</t>
  </si>
  <si>
    <t>KWANDE</t>
  </si>
  <si>
    <t>SOMOLU</t>
  </si>
  <si>
    <t>LOGO</t>
  </si>
  <si>
    <t>SURULERE</t>
  </si>
  <si>
    <t>MAKURDI</t>
  </si>
  <si>
    <t>LAGOS TOTAL</t>
  </si>
  <si>
    <t>OBI</t>
  </si>
  <si>
    <t>AKWANGA</t>
  </si>
  <si>
    <t>OGBADIBO</t>
  </si>
  <si>
    <t>AWE</t>
  </si>
  <si>
    <t>OHIMINI</t>
  </si>
  <si>
    <t>DOMA</t>
  </si>
  <si>
    <t>OJU</t>
  </si>
  <si>
    <t>KARU</t>
  </si>
  <si>
    <t>OKPOKWU</t>
  </si>
  <si>
    <t>KEANA</t>
  </si>
  <si>
    <t>OTUKPO</t>
  </si>
  <si>
    <t>KEFFI</t>
  </si>
  <si>
    <t>TARKA</t>
  </si>
  <si>
    <t>KOKONA</t>
  </si>
  <si>
    <t>UKUM</t>
  </si>
  <si>
    <t>LAFIA</t>
  </si>
  <si>
    <t>USHONGO</t>
  </si>
  <si>
    <t>NASARAWA</t>
  </si>
  <si>
    <t>VANDEIKYA</t>
  </si>
  <si>
    <t>NASARAWA EGGON</t>
  </si>
  <si>
    <t>BENUE TOTAL</t>
  </si>
  <si>
    <t xml:space="preserve">BORNO </t>
  </si>
  <si>
    <t>ABADAN</t>
  </si>
  <si>
    <t>TOTO</t>
  </si>
  <si>
    <t>ASKIRA UBA</t>
  </si>
  <si>
    <t>WAMBA</t>
  </si>
  <si>
    <t>BAMA</t>
  </si>
  <si>
    <t>NASSARAWA TOTAL</t>
  </si>
  <si>
    <t>BAYO</t>
  </si>
  <si>
    <t>AGAIE</t>
  </si>
  <si>
    <t>BIU</t>
  </si>
  <si>
    <t>AGWARA</t>
  </si>
  <si>
    <t>CHIBOK</t>
  </si>
  <si>
    <t>BIDA</t>
  </si>
  <si>
    <t>DAMBOA</t>
  </si>
  <si>
    <t>BORGU</t>
  </si>
  <si>
    <t>DIKWA</t>
  </si>
  <si>
    <t>BOSSO</t>
  </si>
  <si>
    <t>GUBIO</t>
  </si>
  <si>
    <t>EDATI</t>
  </si>
  <si>
    <t>GUZAMALA</t>
  </si>
  <si>
    <t>GBAKO</t>
  </si>
  <si>
    <t>GWOZA</t>
  </si>
  <si>
    <t>GURARA</t>
  </si>
  <si>
    <t>HAWUL</t>
  </si>
  <si>
    <t>KATCHA</t>
  </si>
  <si>
    <t>JERE</t>
  </si>
  <si>
    <t>KONTAGORA</t>
  </si>
  <si>
    <t>KAGA</t>
  </si>
  <si>
    <t>LAPAI</t>
  </si>
  <si>
    <t>KALA BALGE</t>
  </si>
  <si>
    <t>LAVUN</t>
  </si>
  <si>
    <t>KONDUGA</t>
  </si>
  <si>
    <t>MAGAMA</t>
  </si>
  <si>
    <t>KUKAWA</t>
  </si>
  <si>
    <t>MARIGA</t>
  </si>
  <si>
    <t>KWAYA KUSAR</t>
  </si>
  <si>
    <t>MASHEGU</t>
  </si>
  <si>
    <t>MAFA</t>
  </si>
  <si>
    <t>MINNA</t>
  </si>
  <si>
    <t>MAGUMERI</t>
  </si>
  <si>
    <t>MOKWA</t>
  </si>
  <si>
    <t>MAIDUGURI METRO</t>
  </si>
  <si>
    <t>MUYA</t>
  </si>
  <si>
    <t>MARTE</t>
  </si>
  <si>
    <t>PAIKORO</t>
  </si>
  <si>
    <t>MOBBAR</t>
  </si>
  <si>
    <t>RAFI</t>
  </si>
  <si>
    <t>MONGUNO</t>
  </si>
  <si>
    <t>RIJAU</t>
  </si>
  <si>
    <t>NGALA</t>
  </si>
  <si>
    <t>SHIRORO</t>
  </si>
  <si>
    <t>NGANZAI</t>
  </si>
  <si>
    <t>SULEJA</t>
  </si>
  <si>
    <t>SHANI</t>
  </si>
  <si>
    <t>TAFA</t>
  </si>
  <si>
    <t>BORNO TOTAL</t>
  </si>
  <si>
    <t>WUSHISHI</t>
  </si>
  <si>
    <t xml:space="preserve">CROSS RIVER </t>
  </si>
  <si>
    <t>ABI</t>
  </si>
  <si>
    <t>NIGER TOTAL</t>
  </si>
  <si>
    <t>AKAMKPA</t>
  </si>
  <si>
    <t>ABEOKUTA NORTH</t>
  </si>
  <si>
    <t>AKPABUYO</t>
  </si>
  <si>
    <t>ABEOKUTA SOUTH</t>
  </si>
  <si>
    <t>BAKASSI</t>
  </si>
  <si>
    <t>ADO-ODO/OTA</t>
  </si>
  <si>
    <t>BEKWARA</t>
  </si>
  <si>
    <t>EGBADO NORTH</t>
  </si>
  <si>
    <t>BIASE</t>
  </si>
  <si>
    <t>EGBADO SOUTH</t>
  </si>
  <si>
    <t>BOKI</t>
  </si>
  <si>
    <t>EWEKORO</t>
  </si>
  <si>
    <t>CALABAR MUNICIPAL</t>
  </si>
  <si>
    <t>REMO NORTH</t>
  </si>
  <si>
    <t>CALABAR SOUTH</t>
  </si>
  <si>
    <t>IFO</t>
  </si>
  <si>
    <t>ETUNG</t>
  </si>
  <si>
    <t>IJEBU EAST</t>
  </si>
  <si>
    <t>IKOM</t>
  </si>
  <si>
    <t>IJEBU NORTH</t>
  </si>
  <si>
    <t>OBANLIKU</t>
  </si>
  <si>
    <t>IJEBU ODE</t>
  </si>
  <si>
    <t>OBUBRA</t>
  </si>
  <si>
    <t>IKENNE</t>
  </si>
  <si>
    <t>OBUDU</t>
  </si>
  <si>
    <t>IJEBU NORTH EAST</t>
  </si>
  <si>
    <t>ODUKPANI</t>
  </si>
  <si>
    <t>IMEKO-AFON</t>
  </si>
  <si>
    <t>OGAJA</t>
  </si>
  <si>
    <t>IPOKIA</t>
  </si>
  <si>
    <t>YAKURR</t>
  </si>
  <si>
    <t>OBAFEMI/OWODE</t>
  </si>
  <si>
    <t>YALA</t>
  </si>
  <si>
    <t>ODEDAH</t>
  </si>
  <si>
    <t>CROSS RIVER TOTAL</t>
  </si>
  <si>
    <t>ODOGBOLU</t>
  </si>
  <si>
    <t xml:space="preserve">DELTA </t>
  </si>
  <si>
    <t>ANIOCHA NORTH</t>
  </si>
  <si>
    <t>OGUN WATERSIDE</t>
  </si>
  <si>
    <t>ANIOCHA SOUTH</t>
  </si>
  <si>
    <t>SHAGAMU</t>
  </si>
  <si>
    <t>BOMADI</t>
  </si>
  <si>
    <t>OGUN TOTAL</t>
  </si>
  <si>
    <t>BURUTU</t>
  </si>
  <si>
    <t>AKOKO NORTH EAST</t>
  </si>
  <si>
    <t>ETHIOPE EAST</t>
  </si>
  <si>
    <t>AKOKO NORTH WEST</t>
  </si>
  <si>
    <t>ETHIOPE WEST</t>
  </si>
  <si>
    <t>AKOKO SOUTH WEST</t>
  </si>
  <si>
    <t>IKA NORTH EAST</t>
  </si>
  <si>
    <t>AKOKO SOUTH EAST</t>
  </si>
  <si>
    <t>IKA SOUTH</t>
  </si>
  <si>
    <t>AKURE NORTH</t>
  </si>
  <si>
    <t>ISOKO NORTH</t>
  </si>
  <si>
    <t>AKURE SOUTH</t>
  </si>
  <si>
    <t>ISOKO SOUTH</t>
  </si>
  <si>
    <t>IDANRE</t>
  </si>
  <si>
    <t>NDOKWA EAST</t>
  </si>
  <si>
    <t>IFEDORE</t>
  </si>
  <si>
    <t>NDOKWA WEST</t>
  </si>
  <si>
    <t>OKITIPUPA</t>
  </si>
  <si>
    <t>OKPE</t>
  </si>
  <si>
    <t>ILAJE</t>
  </si>
  <si>
    <t>OSHIMILI NORTH</t>
  </si>
  <si>
    <t>ESE-EDO</t>
  </si>
  <si>
    <t>OSHIMILI SOUTH</t>
  </si>
  <si>
    <t>ILE-OLUJI-OKEIGBO</t>
  </si>
  <si>
    <t>PATANI</t>
  </si>
  <si>
    <t>IRELE</t>
  </si>
  <si>
    <t>SAPELE</t>
  </si>
  <si>
    <t>ODIGBO</t>
  </si>
  <si>
    <t>UDU</t>
  </si>
  <si>
    <t>ONDO EAST</t>
  </si>
  <si>
    <t>UGHELLI NORTH</t>
  </si>
  <si>
    <t>ONDO WEST</t>
  </si>
  <si>
    <t>UGHELLI SOUTH</t>
  </si>
  <si>
    <t>OSE</t>
  </si>
  <si>
    <t>UKWUANI</t>
  </si>
  <si>
    <t>OWO</t>
  </si>
  <si>
    <t>UVWIE</t>
  </si>
  <si>
    <t>ONDO TOTAL</t>
  </si>
  <si>
    <t>WARRI SOUTH</t>
  </si>
  <si>
    <t>ATAKUMOSA EAST</t>
  </si>
  <si>
    <t>WARRI NORTH</t>
  </si>
  <si>
    <t>ATAKUMOSA WEST</t>
  </si>
  <si>
    <t>WARRI SOUTH-WEST</t>
  </si>
  <si>
    <t>AIYEDADE</t>
  </si>
  <si>
    <t>DELTA TOTAL</t>
  </si>
  <si>
    <t>AIYEDIRE</t>
  </si>
  <si>
    <t xml:space="preserve">EBONYI </t>
  </si>
  <si>
    <t>ABAKALIKI</t>
  </si>
  <si>
    <t>BOLUWADURO</t>
  </si>
  <si>
    <t>AFIKPO NORTH</t>
  </si>
  <si>
    <t>BORIPE</t>
  </si>
  <si>
    <t xml:space="preserve">AFIKPO SOUTH </t>
  </si>
  <si>
    <t>EDE NORTH</t>
  </si>
  <si>
    <t>EDE SOUTH</t>
  </si>
  <si>
    <t>EZZA NORTH</t>
  </si>
  <si>
    <t>EGBEDORE</t>
  </si>
  <si>
    <t>EZZA SOUTH</t>
  </si>
  <si>
    <t>EJIGBO</t>
  </si>
  <si>
    <t>IKWO</t>
  </si>
  <si>
    <t>IFE CENTRAL</t>
  </si>
  <si>
    <t>ISHIELU</t>
  </si>
  <si>
    <t>IFE EAST</t>
  </si>
  <si>
    <t>IVO</t>
  </si>
  <si>
    <t>IFE NORTH</t>
  </si>
  <si>
    <t>IZZI</t>
  </si>
  <si>
    <t>IFE SOUTH</t>
  </si>
  <si>
    <t>OHAOZARA</t>
  </si>
  <si>
    <t>IFEDAYO</t>
  </si>
  <si>
    <t>OHAUKWU</t>
  </si>
  <si>
    <t>ONICHA</t>
  </si>
  <si>
    <t>ILA</t>
  </si>
  <si>
    <t>EBONYI TOTAL</t>
  </si>
  <si>
    <t>ILESHA EAST</t>
  </si>
  <si>
    <t>EDO TOTAL</t>
  </si>
  <si>
    <t>AKOKO EDO</t>
  </si>
  <si>
    <t>ILESHA WEST</t>
  </si>
  <si>
    <t>EGOR</t>
  </si>
  <si>
    <t>ESAN CENTRAL</t>
  </si>
  <si>
    <t>IREWOLE</t>
  </si>
  <si>
    <t>ESAN NORTH EAST</t>
  </si>
  <si>
    <t>ISOKAN</t>
  </si>
  <si>
    <t>ESAN SOUTH EAST</t>
  </si>
  <si>
    <t>IWO</t>
  </si>
  <si>
    <t>ESAN WEST</t>
  </si>
  <si>
    <t>OBOKUN</t>
  </si>
  <si>
    <t>ETSAKO CENTRAL</t>
  </si>
  <si>
    <t>ODO-OTIN</t>
  </si>
  <si>
    <t>ETSAKO EAST</t>
  </si>
  <si>
    <t>OLA-OLUWA</t>
  </si>
  <si>
    <t>ETSAKO WEST</t>
  </si>
  <si>
    <t>OLORUNDA</t>
  </si>
  <si>
    <t>IGUEBEN</t>
  </si>
  <si>
    <t>ORIADE</t>
  </si>
  <si>
    <t>IKPOBA OKHA</t>
  </si>
  <si>
    <t>OROLU</t>
  </si>
  <si>
    <t>OREDO</t>
  </si>
  <si>
    <t>OSOGBO</t>
  </si>
  <si>
    <t>ORHIONWON</t>
  </si>
  <si>
    <t>OSUN TOTAL</t>
  </si>
  <si>
    <t>OVIA NORTH EAST</t>
  </si>
  <si>
    <t>AFIJIO</t>
  </si>
  <si>
    <t>OVIA SOUTH WEST</t>
  </si>
  <si>
    <t>AKINYELE</t>
  </si>
  <si>
    <t>OWAN EAST</t>
  </si>
  <si>
    <t>ATIBA</t>
  </si>
  <si>
    <t>OWAN WEST</t>
  </si>
  <si>
    <t>ATISBO</t>
  </si>
  <si>
    <t>UHUNMWODE</t>
  </si>
  <si>
    <t>EGBEDA</t>
  </si>
  <si>
    <t>IBADAN NORTH</t>
  </si>
  <si>
    <t xml:space="preserve">EKITI </t>
  </si>
  <si>
    <t>ADO EKITI</t>
  </si>
  <si>
    <t>IBADAN NORTH EAST</t>
  </si>
  <si>
    <t>AIYEKIRE</t>
  </si>
  <si>
    <t>IBADAN NORTH WEST</t>
  </si>
  <si>
    <t>EFON</t>
  </si>
  <si>
    <t>IBADAN SOUTH EAST</t>
  </si>
  <si>
    <t>EKITI EAST</t>
  </si>
  <si>
    <t>IBADAN SOUTH WEST</t>
  </si>
  <si>
    <t>EKITI SOUTH WEST</t>
  </si>
  <si>
    <t>IBARAPA CENTRAL</t>
  </si>
  <si>
    <t>EKITI WEST</t>
  </si>
  <si>
    <t>IBARAPA NORTH</t>
  </si>
  <si>
    <t>EMURE</t>
  </si>
  <si>
    <t>IDO</t>
  </si>
  <si>
    <t>IDO-OSI</t>
  </si>
  <si>
    <t>SAKI WEST</t>
  </si>
  <si>
    <t>IJERO</t>
  </si>
  <si>
    <t>IFELOJU</t>
  </si>
  <si>
    <t>IKERE</t>
  </si>
  <si>
    <t>IREPO</t>
  </si>
  <si>
    <t>IKOLE</t>
  </si>
  <si>
    <t>ISEYIN</t>
  </si>
  <si>
    <t>ILEJEMEJI</t>
  </si>
  <si>
    <t>ITESIWAJU</t>
  </si>
  <si>
    <t>IREPODUN/IFELODUN</t>
  </si>
  <si>
    <t>IWAJOWA</t>
  </si>
  <si>
    <t>ISE/ORUN</t>
  </si>
  <si>
    <t>OLORUNSOGO</t>
  </si>
  <si>
    <t>MOBA</t>
  </si>
  <si>
    <t>KAJOLA</t>
  </si>
  <si>
    <t>OYE</t>
  </si>
  <si>
    <t>LAGELU</t>
  </si>
  <si>
    <t>EKITI TOTAL</t>
  </si>
  <si>
    <t>OGBOMOSHO NORTH</t>
  </si>
  <si>
    <t>AGWU</t>
  </si>
  <si>
    <t>OGBOMOSHO SOUTH</t>
  </si>
  <si>
    <t>ANINRI</t>
  </si>
  <si>
    <t>OGO-OLUWA</t>
  </si>
  <si>
    <t>ENUGU EAST</t>
  </si>
  <si>
    <t>OLUYOLE</t>
  </si>
  <si>
    <t>ENUGU NORTH</t>
  </si>
  <si>
    <t>ONA-ARA</t>
  </si>
  <si>
    <t>ENUGU SOUTH</t>
  </si>
  <si>
    <t>ORELOPE</t>
  </si>
  <si>
    <t>EZEAGU</t>
  </si>
  <si>
    <t>ORI IRE</t>
  </si>
  <si>
    <t>IGBO ETITI</t>
  </si>
  <si>
    <t>OYO EAST</t>
  </si>
  <si>
    <t>IGBO EZE NORTH</t>
  </si>
  <si>
    <t>OYO WEST</t>
  </si>
  <si>
    <t>IGBO EZE SOUTH</t>
  </si>
  <si>
    <t>SAKI EAST</t>
  </si>
  <si>
    <t>ISI UZO</t>
  </si>
  <si>
    <t>IFEDAPO</t>
  </si>
  <si>
    <t>NKANU EAST</t>
  </si>
  <si>
    <t>OYO TOTAL</t>
  </si>
  <si>
    <t>NKANU WEST</t>
  </si>
  <si>
    <t>BARKIN LADI</t>
  </si>
  <si>
    <t>NSUKKA</t>
  </si>
  <si>
    <t>OJI RIVER</t>
  </si>
  <si>
    <t>BOKKOS</t>
  </si>
  <si>
    <t>UDENU</t>
  </si>
  <si>
    <t>JOS EAST</t>
  </si>
  <si>
    <t>UDI</t>
  </si>
  <si>
    <t>JOS NORTH</t>
  </si>
  <si>
    <t>UZO UWANI</t>
  </si>
  <si>
    <t>JOS SOUTH</t>
  </si>
  <si>
    <t>ENUGU TOTAL</t>
  </si>
  <si>
    <t>KANAM</t>
  </si>
  <si>
    <t xml:space="preserve">GOMBE </t>
  </si>
  <si>
    <t>AKKO</t>
  </si>
  <si>
    <t>KANKE</t>
  </si>
  <si>
    <t>BALANGA</t>
  </si>
  <si>
    <t>LANGTANG NORTH</t>
  </si>
  <si>
    <t>BILLIRI</t>
  </si>
  <si>
    <t>LANGTANG SOUTH</t>
  </si>
  <si>
    <t>DUKKU</t>
  </si>
  <si>
    <t>MANGU</t>
  </si>
  <si>
    <t>FUNAKAYE</t>
  </si>
  <si>
    <t>MIKANG</t>
  </si>
  <si>
    <t>PANKSHIN</t>
  </si>
  <si>
    <t>KALTUNGO</t>
  </si>
  <si>
    <t>QUAN-PAN</t>
  </si>
  <si>
    <t>KWAMI</t>
  </si>
  <si>
    <t>RIYOM</t>
  </si>
  <si>
    <t>NAFADA</t>
  </si>
  <si>
    <t>SHENDAM</t>
  </si>
  <si>
    <t>SHOMGOM</t>
  </si>
  <si>
    <t>WASE</t>
  </si>
  <si>
    <t>YAMALTU/DEBA</t>
  </si>
  <si>
    <t>PLATEAU TOTAL</t>
  </si>
  <si>
    <t>GOMBE TOTAL</t>
  </si>
  <si>
    <t>AHOADA</t>
  </si>
  <si>
    <t xml:space="preserve">IMO </t>
  </si>
  <si>
    <t>ABOH MBAISE</t>
  </si>
  <si>
    <t>AHOADA WEST</t>
  </si>
  <si>
    <t>AHIAZU MBAISE</t>
  </si>
  <si>
    <t>AKUKUTORU</t>
  </si>
  <si>
    <t>EHIME MBANO</t>
  </si>
  <si>
    <t>ANDONI</t>
  </si>
  <si>
    <t>EZINIHITTE MBAISE</t>
  </si>
  <si>
    <t>ASARITORU</t>
  </si>
  <si>
    <t>IDEATO NORTH</t>
  </si>
  <si>
    <t>BONNY</t>
  </si>
  <si>
    <t>IDEATO SOUTH</t>
  </si>
  <si>
    <t>DEGEMA</t>
  </si>
  <si>
    <t>IHITTE UBOMA</t>
  </si>
  <si>
    <t>ELEME</t>
  </si>
  <si>
    <t>IKEDURU</t>
  </si>
  <si>
    <t>EMOHUA</t>
  </si>
  <si>
    <t>ISIALA MBANO</t>
  </si>
  <si>
    <t>ETCHE</t>
  </si>
  <si>
    <t>ISU</t>
  </si>
  <si>
    <t>GONAKA</t>
  </si>
  <si>
    <t>MBAITOLI</t>
  </si>
  <si>
    <t>IKWERRE</t>
  </si>
  <si>
    <t>NGOR/OKPALA</t>
  </si>
  <si>
    <t>KHANA</t>
  </si>
  <si>
    <t>NJABA</t>
  </si>
  <si>
    <t>OBIO/AKPOR</t>
  </si>
  <si>
    <t>NKWANGELE</t>
  </si>
  <si>
    <t>OBUA/ODUAL</t>
  </si>
  <si>
    <t>NKWERRE</t>
  </si>
  <si>
    <t>OGBA/EGBEMA/NDONI</t>
  </si>
  <si>
    <t>OBOWO</t>
  </si>
  <si>
    <t>OGU/BOLO</t>
  </si>
  <si>
    <t>OGUTA</t>
  </si>
  <si>
    <t>OKRIKA</t>
  </si>
  <si>
    <t>OHAJI/EGBEMA</t>
  </si>
  <si>
    <t>OMUMMA</t>
  </si>
  <si>
    <t>OKIGWE</t>
  </si>
  <si>
    <t>OPOBO/NKORO</t>
  </si>
  <si>
    <t>ONUIMO</t>
  </si>
  <si>
    <t>OYIGBO</t>
  </si>
  <si>
    <t>ORLU</t>
  </si>
  <si>
    <t>PORT HARCOURT</t>
  </si>
  <si>
    <t>ORSU</t>
  </si>
  <si>
    <t>TAI</t>
  </si>
  <si>
    <t>ORU</t>
  </si>
  <si>
    <t>RIVERS TOTAL</t>
  </si>
  <si>
    <t>ORU WEST</t>
  </si>
  <si>
    <t>BINJI</t>
  </si>
  <si>
    <t>OWERRI MUNICIPAL</t>
  </si>
  <si>
    <t>BODINGA</t>
  </si>
  <si>
    <t>OWERRI NORTH</t>
  </si>
  <si>
    <t>DANGE-SHUNI</t>
  </si>
  <si>
    <t>OWERRI WEST</t>
  </si>
  <si>
    <t>GADA</t>
  </si>
  <si>
    <t>IMO TOTAL</t>
  </si>
  <si>
    <t>GORONYO</t>
  </si>
  <si>
    <t xml:space="preserve">JIGAWA </t>
  </si>
  <si>
    <t>AUYO</t>
  </si>
  <si>
    <t>GUDU</t>
  </si>
  <si>
    <t>BABURA</t>
  </si>
  <si>
    <t>GWADABAWA</t>
  </si>
  <si>
    <t>BIRNIN KUDU</t>
  </si>
  <si>
    <t>ILLELA</t>
  </si>
  <si>
    <t>BIRNIWA</t>
  </si>
  <si>
    <t>ISA</t>
  </si>
  <si>
    <t>GAGARAWA</t>
  </si>
  <si>
    <t>KEBBE</t>
  </si>
  <si>
    <t>BUJI</t>
  </si>
  <si>
    <t>KWARE</t>
  </si>
  <si>
    <t>DUTSE</t>
  </si>
  <si>
    <t>RABAH</t>
  </si>
  <si>
    <t>GARKI</t>
  </si>
  <si>
    <t>SABON BIRNI</t>
  </si>
  <si>
    <t>GUMEL</t>
  </si>
  <si>
    <t>SHAGARI</t>
  </si>
  <si>
    <t>GURI</t>
  </si>
  <si>
    <t>SILAME</t>
  </si>
  <si>
    <t>GWARAM</t>
  </si>
  <si>
    <t>SOKOTO NORTH</t>
  </si>
  <si>
    <t>GWIWA</t>
  </si>
  <si>
    <t>SOKOTO SOUTH</t>
  </si>
  <si>
    <t>HADEJIA</t>
  </si>
  <si>
    <t>TAMBUWAL</t>
  </si>
  <si>
    <t>JAHUN</t>
  </si>
  <si>
    <t>TANGAZA</t>
  </si>
  <si>
    <t>KAFIN HAUSA</t>
  </si>
  <si>
    <t>TURETA</t>
  </si>
  <si>
    <t>KAUGAMA</t>
  </si>
  <si>
    <t>WAMAKKO</t>
  </si>
  <si>
    <t>KAZAURE</t>
  </si>
  <si>
    <t>WURNO</t>
  </si>
  <si>
    <t>KIRI-KASAMMA</t>
  </si>
  <si>
    <t>YABO</t>
  </si>
  <si>
    <t>KIYAWA</t>
  </si>
  <si>
    <t>SOKOTO TOTAL</t>
  </si>
  <si>
    <t>MAIGATARI</t>
  </si>
  <si>
    <t>ARDO KOLA</t>
  </si>
  <si>
    <t>MALAM MADORI</t>
  </si>
  <si>
    <t>BALI</t>
  </si>
  <si>
    <t>MIGA</t>
  </si>
  <si>
    <t>DONGA</t>
  </si>
  <si>
    <t>RINGIM</t>
  </si>
  <si>
    <t>GASHAKA</t>
  </si>
  <si>
    <t>RONI</t>
  </si>
  <si>
    <t>GASSOL</t>
  </si>
  <si>
    <t>SULE TAKARKAR</t>
  </si>
  <si>
    <t>IBI</t>
  </si>
  <si>
    <t>TAURA</t>
  </si>
  <si>
    <t>JALINGO</t>
  </si>
  <si>
    <t>YANKWASHI</t>
  </si>
  <si>
    <t>KARIM LAMIDU</t>
  </si>
  <si>
    <t>JIGAWA TOTAL</t>
  </si>
  <si>
    <t>KURMI</t>
  </si>
  <si>
    <t xml:space="preserve">KADUNA </t>
  </si>
  <si>
    <t>BIRNIN GWARI</t>
  </si>
  <si>
    <t>LAU</t>
  </si>
  <si>
    <t>CHIKUN</t>
  </si>
  <si>
    <t>SARDAUNA</t>
  </si>
  <si>
    <t>GIWA</t>
  </si>
  <si>
    <t>TAKUM</t>
  </si>
  <si>
    <t>KAJURU</t>
  </si>
  <si>
    <t>USSA</t>
  </si>
  <si>
    <t>IGABI</t>
  </si>
  <si>
    <t>WUKARI</t>
  </si>
  <si>
    <t>IKARA</t>
  </si>
  <si>
    <t>YORRO</t>
  </si>
  <si>
    <t>JABA</t>
  </si>
  <si>
    <t>ZING</t>
  </si>
  <si>
    <t>JEMA'A</t>
  </si>
  <si>
    <t>TARABA TOTAL</t>
  </si>
  <si>
    <t>KACHIA</t>
  </si>
  <si>
    <t>BADE</t>
  </si>
  <si>
    <t>KADUNA NORTH</t>
  </si>
  <si>
    <t>BURSARI</t>
  </si>
  <si>
    <t>KADUNA SOUTH</t>
  </si>
  <si>
    <t>DAMATURU</t>
  </si>
  <si>
    <t>KAGARKO</t>
  </si>
  <si>
    <t>FIKA</t>
  </si>
  <si>
    <t>KAURA</t>
  </si>
  <si>
    <t>FUNE</t>
  </si>
  <si>
    <t>KAURU</t>
  </si>
  <si>
    <t>GEIDAM</t>
  </si>
  <si>
    <t>KUBAU</t>
  </si>
  <si>
    <t>GUJBA</t>
  </si>
  <si>
    <t>KUDAN</t>
  </si>
  <si>
    <t>GULAMI</t>
  </si>
  <si>
    <t>LERE</t>
  </si>
  <si>
    <t>JAKUSKO</t>
  </si>
  <si>
    <t>MAKARFI</t>
  </si>
  <si>
    <t>KARASUWA</t>
  </si>
  <si>
    <t>SABON GARI</t>
  </si>
  <si>
    <t>MACHINA</t>
  </si>
  <si>
    <t>SANGA</t>
  </si>
  <si>
    <t>NANGERE</t>
  </si>
  <si>
    <t>SOBA</t>
  </si>
  <si>
    <t>NGURU</t>
  </si>
  <si>
    <t>ZANGON KATAF</t>
  </si>
  <si>
    <t>POTISKUM</t>
  </si>
  <si>
    <t>ZARIA</t>
  </si>
  <si>
    <t>TARMUA</t>
  </si>
  <si>
    <t>KADUNA TOTAL</t>
  </si>
  <si>
    <t>YUNUSARI</t>
  </si>
  <si>
    <t>AJINGI</t>
  </si>
  <si>
    <t>YUSUFARI</t>
  </si>
  <si>
    <t>ALBASU</t>
  </si>
  <si>
    <t>YOBE TOTAL</t>
  </si>
  <si>
    <t>BAGWAI</t>
  </si>
  <si>
    <t>ANKA</t>
  </si>
  <si>
    <t>BEBEJI</t>
  </si>
  <si>
    <t>BAKURA</t>
  </si>
  <si>
    <t>BICHI</t>
  </si>
  <si>
    <t>BUKKUYUM</t>
  </si>
  <si>
    <t>BUNKURE</t>
  </si>
  <si>
    <t>BUNGUDU</t>
  </si>
  <si>
    <t>DALA</t>
  </si>
  <si>
    <t>GUMMI</t>
  </si>
  <si>
    <t>DANBATTA</t>
  </si>
  <si>
    <t>GUSAU</t>
  </si>
  <si>
    <t>DAWAKIN KUDU</t>
  </si>
  <si>
    <t>KAURA NAMODA</t>
  </si>
  <si>
    <t>DAWAKIN TOFA</t>
  </si>
  <si>
    <t>DOGUWA</t>
  </si>
  <si>
    <t>MARADUN</t>
  </si>
  <si>
    <t>FAGGE</t>
  </si>
  <si>
    <t>MARU</t>
  </si>
  <si>
    <t>GABASAWA</t>
  </si>
  <si>
    <t>SHINKAFI</t>
  </si>
  <si>
    <t>GARKO</t>
  </si>
  <si>
    <t>TALATA MAFARA</t>
  </si>
  <si>
    <t>GARUN MALLAM</t>
  </si>
  <si>
    <t>TSAFE</t>
  </si>
  <si>
    <t>GAYA</t>
  </si>
  <si>
    <t>ZURMI</t>
  </si>
  <si>
    <t>GEZAWA</t>
  </si>
  <si>
    <t>ZAMFARA TOTAL</t>
  </si>
  <si>
    <t>GWALE</t>
  </si>
  <si>
    <t>FCT-ABUJA</t>
  </si>
  <si>
    <t>ABAJI</t>
  </si>
  <si>
    <t>GWARZO</t>
  </si>
  <si>
    <t>ABUJA MUNICIPAL</t>
  </si>
  <si>
    <t>KABO</t>
  </si>
  <si>
    <t>BWARI</t>
  </si>
  <si>
    <t>KANO MUNICIPAL</t>
  </si>
  <si>
    <t>GWAGWALADA</t>
  </si>
  <si>
    <t>KARAYE</t>
  </si>
  <si>
    <t>KUJE</t>
  </si>
  <si>
    <t>KIBIYA</t>
  </si>
  <si>
    <t>KWALI</t>
  </si>
  <si>
    <t>KIRU</t>
  </si>
  <si>
    <t>FCT-ABUJA TOTAL</t>
  </si>
  <si>
    <t>KUMBOTSO</t>
  </si>
  <si>
    <t>Grand Total</t>
  </si>
  <si>
    <t>Summary of Distribution of Revenue Allocation to Local Government Councils by Federation Account Allocation Committee for the month of April, 2026 Shared in May, 2026</t>
  </si>
  <si>
    <t>`</t>
  </si>
  <si>
    <t>Total Ecology Fund</t>
  </si>
  <si>
    <t>VAT</t>
  </si>
  <si>
    <t>Details of Distribution of Ecology Revenue Allocation to States by Federation Account Allocation Committee for the month of April, 2026 Shared in May, 2026</t>
  </si>
  <si>
    <t>S/N</t>
  </si>
  <si>
    <t>Gross Statutory Allocation (Ecology)</t>
  </si>
  <si>
    <t>Augmentation of '₦250Billion from Non Oil Revenue for the month of May, 2026 (Ecology)</t>
  </si>
  <si>
    <t xml:space="preserve"> Distribution of Ecology to Local Government Councils by Federation Account Allocation Committee for the month of  April, 2026 Shared May, 2026</t>
  </si>
  <si>
    <t>STATE</t>
  </si>
  <si>
    <t>ABIA  LGCS</t>
  </si>
  <si>
    <t>ADAMAWA  LGCS</t>
  </si>
  <si>
    <t>AKWA IBOM  LGCS</t>
  </si>
  <si>
    <t>ANAMBRA  LGCS</t>
  </si>
  <si>
    <t>BAUCHI  LGCS</t>
  </si>
  <si>
    <t>BAYELSA  LGCS</t>
  </si>
  <si>
    <t>BENUE  LGCS</t>
  </si>
  <si>
    <t>BORNO  LGCS</t>
  </si>
  <si>
    <t>CROSS RIVER  LGCS</t>
  </si>
  <si>
    <t>DELTA  LGCS</t>
  </si>
  <si>
    <t>EBONYI  LGCS</t>
  </si>
  <si>
    <t>EDO  LGCS</t>
  </si>
  <si>
    <t>EKITI  LGCS</t>
  </si>
  <si>
    <t>ENUGU  LGCS</t>
  </si>
  <si>
    <t>GOMBE  LGCS</t>
  </si>
  <si>
    <t>IMO  LGCS</t>
  </si>
  <si>
    <t>JIGAWA  LGCS</t>
  </si>
  <si>
    <t>KADUNA  LGCS</t>
  </si>
  <si>
    <t>KANO  LGCS</t>
  </si>
  <si>
    <t>KATSINA  LGCS</t>
  </si>
  <si>
    <t>KEBBI  LGCS</t>
  </si>
  <si>
    <t>KOGI  LGCS</t>
  </si>
  <si>
    <t>KWARA  LGCS</t>
  </si>
  <si>
    <t>LAGOS  LGCS</t>
  </si>
  <si>
    <t>NASSARAWA  LGCS</t>
  </si>
  <si>
    <t>NIGER  LGCS</t>
  </si>
  <si>
    <t>OGUN  LGCS</t>
  </si>
  <si>
    <t>ONDO  LGCS</t>
  </si>
  <si>
    <t>OSUN  LGCS</t>
  </si>
  <si>
    <t>OYO  LGCS</t>
  </si>
  <si>
    <t>PLATEAU  LGCS</t>
  </si>
  <si>
    <t>RIVERS  LGCS</t>
  </si>
  <si>
    <t>SOKOTO  LGCS</t>
  </si>
  <si>
    <t>TARABA  LGCS</t>
  </si>
  <si>
    <t>YOBE  LGCS</t>
  </si>
  <si>
    <t>ZAMFARA  LGCS</t>
  </si>
  <si>
    <t>FCT-ABUJA  LGCS</t>
  </si>
  <si>
    <t xml:space="preserve"> Distribution of Ecology to Local Government Councils by Federation Account Allocation Committee for the month of April, 2026 Shared in May, 2026</t>
  </si>
  <si>
    <t>S/NO</t>
  </si>
  <si>
    <t>LOCAL GOVERNMENT COUNCILS</t>
  </si>
  <si>
    <t>Total (Ecology)</t>
  </si>
  <si>
    <t>Augmentation of ₦250 Billion for the month of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</si>
</sst>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&quot; &quot;#,##0.00;\-&quot; &quot;#,##0.00"/>
    <numFmt numFmtId="166" formatCode="#,##0.00_ ;\-#,##0.00&quot; &quot;"/>
    <numFmt numFmtId="167" formatCode="#,##0.0000000_ ;\-#,##0.0000000&quot; &quot;"/>
  </numFmts>
  <fonts count="30">
    <font>
      <sz val="10"/>
      <name val="Arial"/>
      <charset val="134"/>
    </font>
    <font>
      <sz val="1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b/>
      <sz val="13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name val="Times New Roman"/>
      <family val="1"/>
    </font>
    <font>
      <b/>
      <sz val="24"/>
      <name val="Times New Roman"/>
      <family val="1"/>
    </font>
    <font>
      <b/>
      <sz val="18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u/>
      <sz val="16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u val="singleAccounting"/>
      <sz val="10"/>
      <name val="Times New Roman"/>
      <family val="1"/>
    </font>
    <font>
      <sz val="18"/>
      <name val="Times New Roman"/>
      <family val="1"/>
    </font>
    <font>
      <b/>
      <u/>
      <sz val="14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b/>
      <sz val="22"/>
      <name val="Times New Roman"/>
      <family val="1"/>
    </font>
    <font>
      <b/>
      <sz val="1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8">
    <xf numFmtId="0" fontId="0" fillId="0" borderId="0"/>
    <xf numFmtId="164" fontId="2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</cellStyleXfs>
  <cellXfs count="20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2" borderId="2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 wrapText="1"/>
    </xf>
    <xf numFmtId="164" fontId="3" fillId="0" borderId="3" xfId="1" applyFont="1" applyBorder="1" applyAlignment="1">
      <alignment horizontal="center" wrapText="1"/>
    </xf>
    <xf numFmtId="164" fontId="5" fillId="0" borderId="1" xfId="1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8" fillId="0" borderId="1" xfId="2" applyFont="1" applyBorder="1" applyAlignment="1">
      <alignment horizontal="right" wrapText="1"/>
    </xf>
    <xf numFmtId="0" fontId="8" fillId="0" borderId="1" xfId="2" applyFont="1" applyBorder="1" applyAlignment="1">
      <alignment wrapText="1"/>
    </xf>
    <xf numFmtId="165" fontId="8" fillId="0" borderId="1" xfId="2" applyNumberFormat="1" applyFont="1" applyBorder="1" applyAlignment="1">
      <alignment horizontal="right" wrapText="1"/>
    </xf>
    <xf numFmtId="165" fontId="9" fillId="0" borderId="1" xfId="0" applyNumberFormat="1" applyFont="1" applyBorder="1"/>
    <xf numFmtId="165" fontId="1" fillId="0" borderId="0" xfId="0" applyNumberFormat="1" applyFont="1"/>
    <xf numFmtId="164" fontId="1" fillId="0" borderId="0" xfId="1" applyFont="1"/>
    <xf numFmtId="0" fontId="9" fillId="0" borderId="1" xfId="0" applyFont="1" applyBorder="1"/>
    <xf numFmtId="165" fontId="3" fillId="0" borderId="1" xfId="0" applyNumberFormat="1" applyFont="1" applyBorder="1"/>
    <xf numFmtId="0" fontId="10" fillId="2" borderId="1" xfId="4" applyFont="1" applyFill="1" applyBorder="1" applyAlignment="1">
      <alignment horizontal="center"/>
    </xf>
    <xf numFmtId="164" fontId="3" fillId="0" borderId="1" xfId="1" applyFont="1" applyBorder="1" applyAlignment="1">
      <alignment wrapText="1"/>
    </xf>
    <xf numFmtId="0" fontId="11" fillId="2" borderId="1" xfId="4" applyFont="1" applyFill="1" applyBorder="1" applyAlignment="1">
      <alignment horizontal="center"/>
    </xf>
    <xf numFmtId="0" fontId="8" fillId="0" borderId="1" xfId="4" applyFont="1" applyBorder="1" applyAlignment="1">
      <alignment horizontal="right" wrapText="1"/>
    </xf>
    <xf numFmtId="0" fontId="8" fillId="0" borderId="1" xfId="4" applyFont="1" applyBorder="1" applyAlignment="1">
      <alignment wrapText="1"/>
    </xf>
    <xf numFmtId="165" fontId="8" fillId="0" borderId="1" xfId="4" applyNumberFormat="1" applyFont="1" applyBorder="1" applyAlignment="1">
      <alignment horizontal="right" wrapText="1"/>
    </xf>
    <xf numFmtId="39" fontId="9" fillId="0" borderId="1" xfId="0" applyNumberFormat="1" applyFont="1" applyBorder="1"/>
    <xf numFmtId="0" fontId="9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Font="1" applyBorder="1" applyAlignment="1">
      <alignment wrapText="1"/>
    </xf>
    <xf numFmtId="0" fontId="3" fillId="0" borderId="0" xfId="0" applyFont="1" applyAlignment="1">
      <alignment wrapText="1"/>
    </xf>
    <xf numFmtId="0" fontId="8" fillId="2" borderId="1" xfId="6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6" applyFont="1" applyBorder="1" applyAlignment="1">
      <alignment horizontal="right" wrapText="1"/>
    </xf>
    <xf numFmtId="0" fontId="8" fillId="0" borderId="1" xfId="6" applyFont="1" applyBorder="1" applyAlignment="1">
      <alignment wrapText="1"/>
    </xf>
    <xf numFmtId="164" fontId="9" fillId="0" borderId="1" xfId="1" applyFont="1" applyBorder="1"/>
    <xf numFmtId="43" fontId="9" fillId="0" borderId="1" xfId="0" applyNumberFormat="1" applyFont="1" applyBorder="1"/>
    <xf numFmtId="43" fontId="9" fillId="0" borderId="0" xfId="0" applyNumberFormat="1" applyFont="1"/>
    <xf numFmtId="164" fontId="9" fillId="0" borderId="0" xfId="0" applyNumberFormat="1" applyFont="1"/>
    <xf numFmtId="164" fontId="3" fillId="0" borderId="1" xfId="0" applyNumberFormat="1" applyFont="1" applyBorder="1"/>
    <xf numFmtId="164" fontId="3" fillId="0" borderId="0" xfId="0" applyNumberFormat="1" applyFont="1"/>
    <xf numFmtId="164" fontId="12" fillId="0" borderId="1" xfId="1" applyFont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164" fontId="7" fillId="0" borderId="1" xfId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5" fillId="2" borderId="1" xfId="7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5" fillId="2" borderId="4" xfId="7" applyFont="1" applyFill="1" applyBorder="1" applyAlignment="1">
      <alignment horizontal="center" wrapText="1"/>
    </xf>
    <xf numFmtId="0" fontId="8" fillId="0" borderId="1" xfId="3" applyFont="1" applyBorder="1" applyAlignment="1">
      <alignment horizontal="right" wrapText="1"/>
    </xf>
    <xf numFmtId="0" fontId="8" fillId="0" borderId="1" xfId="3" applyFont="1" applyBorder="1" applyAlignment="1">
      <alignment wrapText="1"/>
    </xf>
    <xf numFmtId="164" fontId="8" fillId="0" borderId="1" xfId="1" applyFont="1" applyBorder="1" applyAlignment="1">
      <alignment wrapText="1"/>
    </xf>
    <xf numFmtId="165" fontId="8" fillId="0" borderId="1" xfId="3" applyNumberFormat="1" applyFont="1" applyBorder="1" applyAlignment="1">
      <alignment horizontal="right" wrapText="1"/>
    </xf>
    <xf numFmtId="166" fontId="9" fillId="0" borderId="1" xfId="0" applyNumberFormat="1" applyFont="1" applyBorder="1"/>
    <xf numFmtId="167" fontId="9" fillId="0" borderId="0" xfId="0" applyNumberFormat="1" applyFont="1"/>
    <xf numFmtId="0" fontId="1" fillId="0" borderId="0" xfId="0" applyFont="1" applyAlignment="1">
      <alignment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" fillId="3" borderId="0" xfId="0" applyFont="1" applyFill="1"/>
    <xf numFmtId="0" fontId="1" fillId="0" borderId="1" xfId="0" applyFont="1" applyBorder="1"/>
    <xf numFmtId="0" fontId="1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64" fontId="1" fillId="0" borderId="1" xfId="1" applyFont="1" applyBorder="1"/>
    <xf numFmtId="164" fontId="16" fillId="0" borderId="1" xfId="0" applyNumberFormat="1" applyFont="1" applyBorder="1"/>
    <xf numFmtId="1" fontId="1" fillId="0" borderId="1" xfId="0" applyNumberFormat="1" applyFont="1" applyBorder="1"/>
    <xf numFmtId="164" fontId="16" fillId="0" borderId="7" xfId="1" applyFont="1" applyBorder="1"/>
    <xf numFmtId="164" fontId="16" fillId="0" borderId="1" xfId="1" applyFont="1" applyBorder="1"/>
    <xf numFmtId="0" fontId="16" fillId="0" borderId="3" xfId="0" applyFont="1" applyBorder="1" applyAlignment="1">
      <alignment vertical="center"/>
    </xf>
    <xf numFmtId="0" fontId="1" fillId="0" borderId="7" xfId="0" applyFont="1" applyBorder="1"/>
    <xf numFmtId="0" fontId="1" fillId="0" borderId="3" xfId="0" applyFont="1" applyBorder="1"/>
    <xf numFmtId="1" fontId="1" fillId="0" borderId="4" xfId="0" applyNumberFormat="1" applyFont="1" applyBorder="1"/>
    <xf numFmtId="164" fontId="1" fillId="0" borderId="5" xfId="1" applyFont="1" applyBorder="1"/>
    <xf numFmtId="164" fontId="19" fillId="0" borderId="1" xfId="5" applyNumberFormat="1" applyFont="1" applyBorder="1" applyAlignment="1">
      <alignment horizontal="right" wrapText="1"/>
    </xf>
    <xf numFmtId="164" fontId="1" fillId="0" borderId="1" xfId="1" applyFont="1" applyBorder="1" applyAlignment="1">
      <alignment wrapText="1"/>
    </xf>
    <xf numFmtId="164" fontId="1" fillId="0" borderId="1" xfId="1" applyFont="1" applyBorder="1" applyAlignment="1">
      <alignment horizontal="left" wrapText="1"/>
    </xf>
    <xf numFmtId="164" fontId="1" fillId="0" borderId="0" xfId="0" applyNumberFormat="1" applyFont="1"/>
    <xf numFmtId="165" fontId="19" fillId="0" borderId="1" xfId="5" applyNumberFormat="1" applyFont="1" applyBorder="1" applyAlignment="1">
      <alignment horizontal="right" wrapText="1"/>
    </xf>
    <xf numFmtId="4" fontId="19" fillId="0" borderId="1" xfId="0" applyNumberFormat="1" applyFont="1" applyBorder="1" applyAlignment="1">
      <alignment horizontal="right"/>
    </xf>
    <xf numFmtId="4" fontId="20" fillId="0" borderId="1" xfId="0" applyNumberFormat="1" applyFont="1" applyBorder="1" applyAlignment="1">
      <alignment horizontal="right"/>
    </xf>
    <xf numFmtId="0" fontId="16" fillId="3" borderId="0" xfId="0" applyFont="1" applyFill="1"/>
    <xf numFmtId="164" fontId="16" fillId="0" borderId="11" xfId="1" applyFont="1" applyBorder="1"/>
    <xf numFmtId="164" fontId="16" fillId="0" borderId="12" xfId="1" applyFont="1" applyBorder="1"/>
    <xf numFmtId="164" fontId="16" fillId="0" borderId="13" xfId="1" applyFont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164" fontId="16" fillId="4" borderId="1" xfId="0" applyNumberFormat="1" applyFont="1" applyFill="1" applyBorder="1"/>
    <xf numFmtId="0" fontId="1" fillId="0" borderId="10" xfId="0" applyFont="1" applyBorder="1"/>
    <xf numFmtId="164" fontId="1" fillId="4" borderId="0" xfId="0" applyNumberFormat="1" applyFont="1" applyFill="1"/>
    <xf numFmtId="164" fontId="1" fillId="0" borderId="8" xfId="1" applyFont="1" applyFill="1" applyBorder="1"/>
    <xf numFmtId="43" fontId="21" fillId="0" borderId="0" xfId="0" applyNumberFormat="1" applyFont="1"/>
    <xf numFmtId="164" fontId="16" fillId="0" borderId="0" xfId="0" applyNumberFormat="1" applyFont="1"/>
    <xf numFmtId="43" fontId="1" fillId="0" borderId="0" xfId="0" applyNumberFormat="1" applyFont="1"/>
    <xf numFmtId="0" fontId="1" fillId="4" borderId="0" xfId="0" applyFont="1" applyFill="1"/>
    <xf numFmtId="0" fontId="24" fillId="0" borderId="1" xfId="0" applyFont="1" applyBorder="1"/>
    <xf numFmtId="39" fontId="24" fillId="0" borderId="1" xfId="0" applyNumberFormat="1" applyFont="1" applyBorder="1"/>
    <xf numFmtId="37" fontId="24" fillId="0" borderId="1" xfId="0" applyNumberFormat="1" applyFont="1" applyBorder="1" applyAlignment="1">
      <alignment horizontal="center"/>
    </xf>
    <xf numFmtId="164" fontId="24" fillId="0" borderId="1" xfId="1" applyFont="1" applyBorder="1"/>
    <xf numFmtId="164" fontId="24" fillId="0" borderId="1" xfId="0" applyNumberFormat="1" applyFont="1" applyBorder="1"/>
    <xf numFmtId="164" fontId="7" fillId="0" borderId="5" xfId="0" applyNumberFormat="1" applyFont="1" applyBorder="1"/>
    <xf numFmtId="0" fontId="24" fillId="0" borderId="1" xfId="0" applyFont="1" applyBorder="1" applyAlignment="1">
      <alignment horizontal="center"/>
    </xf>
    <xf numFmtId="164" fontId="7" fillId="0" borderId="1" xfId="1" applyFont="1" applyBorder="1"/>
    <xf numFmtId="0" fontId="1" fillId="4" borderId="0" xfId="0" applyFont="1" applyFill="1" applyAlignment="1">
      <alignment horizontal="right"/>
    </xf>
    <xf numFmtId="43" fontId="1" fillId="4" borderId="0" xfId="0" applyNumberFormat="1" applyFont="1" applyFill="1"/>
    <xf numFmtId="164" fontId="16" fillId="4" borderId="8" xfId="1" applyFont="1" applyFill="1" applyBorder="1"/>
    <xf numFmtId="164" fontId="16" fillId="4" borderId="0" xfId="1" applyFont="1" applyFill="1" applyBorder="1"/>
    <xf numFmtId="164" fontId="1" fillId="4" borderId="0" xfId="0" applyNumberFormat="1" applyFont="1" applyFill="1" applyAlignment="1">
      <alignment horizontal="right"/>
    </xf>
    <xf numFmtId="0" fontId="16" fillId="0" borderId="0" xfId="0" applyFont="1"/>
    <xf numFmtId="0" fontId="25" fillId="0" borderId="0" xfId="0" applyFont="1"/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164" fontId="25" fillId="0" borderId="0" xfId="1" applyFont="1"/>
    <xf numFmtId="0" fontId="25" fillId="0" borderId="1" xfId="0" applyFont="1" applyBorder="1"/>
    <xf numFmtId="164" fontId="2" fillId="0" borderId="1" xfId="1" applyFont="1" applyBorder="1" applyAlignment="1"/>
    <xf numFmtId="164" fontId="2" fillId="0" borderId="1" xfId="0" applyNumberFormat="1" applyFont="1" applyBorder="1"/>
    <xf numFmtId="164" fontId="25" fillId="0" borderId="0" xfId="0" applyNumberFormat="1" applyFont="1"/>
    <xf numFmtId="164" fontId="2" fillId="0" borderId="1" xfId="1" applyFont="1" applyBorder="1" applyAlignment="1">
      <alignment horizontal="center"/>
    </xf>
    <xf numFmtId="0" fontId="25" fillId="0" borderId="1" xfId="0" applyFont="1" applyBorder="1" applyAlignment="1">
      <alignment wrapText="1"/>
    </xf>
    <xf numFmtId="164" fontId="25" fillId="0" borderId="0" xfId="1" applyFont="1" applyBorder="1"/>
    <xf numFmtId="43" fontId="25" fillId="0" borderId="0" xfId="0" applyNumberFormat="1" applyFont="1"/>
    <xf numFmtId="43" fontId="2" fillId="0" borderId="0" xfId="0" applyNumberFormat="1" applyFont="1" applyAlignment="1">
      <alignment horizontal="center" wrapText="1"/>
    </xf>
    <xf numFmtId="164" fontId="2" fillId="0" borderId="0" xfId="1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164" fontId="25" fillId="0" borderId="1" xfId="1" applyFont="1" applyBorder="1"/>
    <xf numFmtId="164" fontId="25" fillId="0" borderId="3" xfId="1" applyFont="1" applyBorder="1"/>
    <xf numFmtId="164" fontId="25" fillId="0" borderId="5" xfId="1" applyFont="1" applyBorder="1"/>
    <xf numFmtId="164" fontId="2" fillId="0" borderId="17" xfId="1" applyFont="1" applyBorder="1"/>
    <xf numFmtId="0" fontId="2" fillId="0" borderId="0" xfId="0" applyFont="1"/>
    <xf numFmtId="164" fontId="2" fillId="0" borderId="0" xfId="1" applyFont="1"/>
    <xf numFmtId="0" fontId="0" fillId="5" borderId="0" xfId="0" applyFill="1" applyProtection="1">
      <protection locked="0"/>
    </xf>
    <xf numFmtId="17" fontId="27" fillId="5" borderId="0" xfId="0" applyNumberFormat="1" applyFont="1" applyFill="1"/>
    <xf numFmtId="2" fontId="0" fillId="0" borderId="0" xfId="0" applyNumberFormat="1"/>
    <xf numFmtId="17" fontId="0" fillId="0" borderId="0" xfId="0" applyNumberFormat="1"/>
    <xf numFmtId="0" fontId="14" fillId="0" borderId="1" xfId="0" quotePrefix="1" applyFont="1" applyBorder="1" applyAlignment="1">
      <alignment horizontal="center"/>
    </xf>
    <xf numFmtId="0" fontId="14" fillId="0" borderId="5" xfId="0" quotePrefix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6" fillId="0" borderId="15" xfId="0" applyFont="1" applyBorder="1" applyAlignment="1">
      <alignment horizontal="center" wrapText="1"/>
    </xf>
    <xf numFmtId="0" fontId="26" fillId="0" borderId="16" xfId="0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164" fontId="7" fillId="0" borderId="7" xfId="1" applyFont="1" applyBorder="1" applyAlignment="1">
      <alignment horizontal="center" wrapText="1"/>
    </xf>
    <xf numFmtId="164" fontId="7" fillId="0" borderId="3" xfId="1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8">
    <cellStyle name="Comma" xfId="1" builtinId="3"/>
    <cellStyle name="Normal" xfId="0" builtinId="0"/>
    <cellStyle name="Normal_ECO INDIVIDUALS LGCS NOV 22" xfId="2" xr:uid="{00000000-0005-0000-0000-000002000000}"/>
    <cellStyle name="Normal_lgc eco dec 21" xfId="3" xr:uid="{00000000-0005-0000-0000-000003000000}"/>
    <cellStyle name="Normal_LGCs Ceo oct 23" xfId="4" xr:uid="{00000000-0005-0000-0000-000004000000}"/>
    <cellStyle name="Normal_lgcs data" xfId="5" xr:uid="{00000000-0005-0000-0000-000005000000}"/>
    <cellStyle name="Normal_states eco dec 21" xfId="6" xr:uid="{00000000-0005-0000-0000-000006000000}"/>
    <cellStyle name="Normal_TOTALDATA_1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A20" sqref="A20"/>
    </sheetView>
  </sheetViews>
  <sheetFormatPr defaultColWidth="9" defaultRowHeight="12.75"/>
  <cols>
    <col min="2" max="2" width="23" customWidth="1"/>
    <col min="6" max="6" width="24.59765625" customWidth="1"/>
  </cols>
  <sheetData>
    <row r="1" spans="1:8" ht="23.1" customHeight="1">
      <c r="B1">
        <f ca="1">MONTH(NOW())</f>
        <v>9</v>
      </c>
      <c r="C1">
        <f ca="1">YEAR(NOW())</f>
        <v>2026</v>
      </c>
    </row>
    <row r="2" spans="1:8" ht="23.1" customHeight="1"/>
    <row r="3" spans="1:8" ht="23.1" customHeight="1">
      <c r="B3" t="s">
        <v>0</v>
      </c>
      <c r="F3" t="s">
        <v>1</v>
      </c>
    </row>
    <row r="4" spans="1:8" ht="23.1" customHeight="1">
      <c r="B4" t="s">
        <v>2</v>
      </c>
      <c r="C4" t="s">
        <v>3</v>
      </c>
      <c r="D4" t="s">
        <v>4</v>
      </c>
      <c r="F4" t="s">
        <v>2</v>
      </c>
      <c r="G4" t="s">
        <v>3</v>
      </c>
      <c r="H4" t="s">
        <v>4</v>
      </c>
    </row>
    <row r="5" spans="1:8" ht="23.1" customHeight="1">
      <c r="B5" s="138" t="e">
        <f>IF(G5=1,F5-1,F5)</f>
        <v>#REF!</v>
      </c>
      <c r="C5" s="138" t="e">
        <f>IF(G5=1,12,G5-1)</f>
        <v>#REF!</v>
      </c>
      <c r="F5" t="e">
        <f>YEAR(ACCTDATE)</f>
        <v>#REF!</v>
      </c>
      <c r="G5" t="e">
        <f>MONTH(ACCTDATE)</f>
        <v>#REF!</v>
      </c>
    </row>
    <row r="6" spans="1:8" ht="23.1" customHeight="1">
      <c r="B6" s="139" t="e">
        <f>LOOKUP(C5,A8:B19)</f>
        <v>#REF!</v>
      </c>
      <c r="F6" s="139" t="e">
        <f>IF(G5=1,LOOKUP(G5,E8:F19),LOOKUP(G5,A8:B19))</f>
        <v>#REF!</v>
      </c>
    </row>
    <row r="8" spans="1:8">
      <c r="A8">
        <v>1</v>
      </c>
      <c r="B8" s="140" t="e">
        <f>D8&amp;"-"&amp;RIGHT(B$5,2)</f>
        <v>#REF!</v>
      </c>
      <c r="D8" s="141" t="s">
        <v>5</v>
      </c>
      <c r="E8">
        <v>1</v>
      </c>
      <c r="F8" s="140" t="e">
        <f>D8&amp;"-"&amp;RIGHT(F$5,2)</f>
        <v>#REF!</v>
      </c>
    </row>
    <row r="9" spans="1:8">
      <c r="A9">
        <v>2</v>
      </c>
      <c r="B9" s="140" t="e">
        <f t="shared" ref="B9:B19" si="0">D9&amp;"-"&amp;RIGHT(B$5,2)</f>
        <v>#REF!</v>
      </c>
      <c r="D9" s="141" t="s">
        <v>6</v>
      </c>
      <c r="E9">
        <v>2</v>
      </c>
      <c r="F9" s="140" t="e">
        <f t="shared" ref="F9:F19" si="1">D9&amp;"-"&amp;RIGHT(F$5,2)</f>
        <v>#REF!</v>
      </c>
    </row>
    <row r="10" spans="1:8">
      <c r="A10">
        <v>3</v>
      </c>
      <c r="B10" s="140" t="e">
        <f t="shared" si="0"/>
        <v>#REF!</v>
      </c>
      <c r="D10" s="141" t="s">
        <v>7</v>
      </c>
      <c r="E10">
        <v>3</v>
      </c>
      <c r="F10" s="140" t="e">
        <f t="shared" si="1"/>
        <v>#REF!</v>
      </c>
    </row>
    <row r="11" spans="1:8">
      <c r="A11">
        <v>4</v>
      </c>
      <c r="B11" s="140" t="e">
        <f t="shared" si="0"/>
        <v>#REF!</v>
      </c>
      <c r="D11" s="141" t="s">
        <v>8</v>
      </c>
      <c r="E11">
        <v>4</v>
      </c>
      <c r="F11" s="140" t="e">
        <f t="shared" si="1"/>
        <v>#REF!</v>
      </c>
    </row>
    <row r="12" spans="1:8">
      <c r="A12">
        <v>5</v>
      </c>
      <c r="B12" s="140" t="e">
        <f t="shared" si="0"/>
        <v>#REF!</v>
      </c>
      <c r="D12" s="141" t="s">
        <v>9</v>
      </c>
      <c r="E12">
        <v>5</v>
      </c>
      <c r="F12" s="140" t="e">
        <f t="shared" si="1"/>
        <v>#REF!</v>
      </c>
    </row>
    <row r="13" spans="1:8">
      <c r="A13">
        <v>6</v>
      </c>
      <c r="B13" s="140" t="e">
        <f t="shared" si="0"/>
        <v>#REF!</v>
      </c>
      <c r="D13" s="141" t="s">
        <v>10</v>
      </c>
      <c r="E13">
        <v>6</v>
      </c>
      <c r="F13" s="140" t="e">
        <f t="shared" si="1"/>
        <v>#REF!</v>
      </c>
    </row>
    <row r="14" spans="1:8">
      <c r="A14">
        <v>7</v>
      </c>
      <c r="B14" s="140" t="e">
        <f t="shared" si="0"/>
        <v>#REF!</v>
      </c>
      <c r="D14" s="141" t="s">
        <v>11</v>
      </c>
      <c r="E14">
        <v>7</v>
      </c>
      <c r="F14" s="140" t="e">
        <f t="shared" si="1"/>
        <v>#REF!</v>
      </c>
    </row>
    <row r="15" spans="1:8">
      <c r="A15">
        <v>8</v>
      </c>
      <c r="B15" s="140" t="e">
        <f t="shared" si="0"/>
        <v>#REF!</v>
      </c>
      <c r="D15" s="141" t="s">
        <v>12</v>
      </c>
      <c r="E15">
        <v>8</v>
      </c>
      <c r="F15" s="140" t="e">
        <f t="shared" si="1"/>
        <v>#REF!</v>
      </c>
    </row>
    <row r="16" spans="1:8">
      <c r="A16">
        <v>9</v>
      </c>
      <c r="B16" s="140" t="e">
        <f t="shared" si="0"/>
        <v>#REF!</v>
      </c>
      <c r="D16" s="141" t="s">
        <v>13</v>
      </c>
      <c r="E16">
        <v>9</v>
      </c>
      <c r="F16" s="140" t="e">
        <f t="shared" si="1"/>
        <v>#REF!</v>
      </c>
    </row>
    <row r="17" spans="1:6">
      <c r="A17">
        <v>10</v>
      </c>
      <c r="B17" s="140" t="e">
        <f t="shared" si="0"/>
        <v>#REF!</v>
      </c>
      <c r="D17" s="141" t="s">
        <v>14</v>
      </c>
      <c r="E17">
        <v>10</v>
      </c>
      <c r="F17" s="140" t="e">
        <f t="shared" si="1"/>
        <v>#REF!</v>
      </c>
    </row>
    <row r="18" spans="1:6">
      <c r="A18">
        <v>11</v>
      </c>
      <c r="B18" s="140" t="e">
        <f t="shared" si="0"/>
        <v>#REF!</v>
      </c>
      <c r="D18" s="141" t="s">
        <v>15</v>
      </c>
      <c r="E18">
        <v>11</v>
      </c>
      <c r="F18" s="140" t="e">
        <f t="shared" si="1"/>
        <v>#REF!</v>
      </c>
    </row>
    <row r="19" spans="1:6">
      <c r="A19">
        <v>12</v>
      </c>
      <c r="B19" s="140" t="e">
        <f t="shared" si="0"/>
        <v>#REF!</v>
      </c>
      <c r="D19" s="141" t="s">
        <v>16</v>
      </c>
      <c r="E19">
        <v>12</v>
      </c>
      <c r="F19" s="140" t="e">
        <f t="shared" si="1"/>
        <v>#REF!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pageSetUpPr fitToPage="1"/>
  </sheetPr>
  <dimension ref="A1:I43"/>
  <sheetViews>
    <sheetView zoomScale="70" zoomScaleNormal="70" workbookViewId="0">
      <selection activeCell="A4" sqref="A4:F4"/>
    </sheetView>
  </sheetViews>
  <sheetFormatPr defaultColWidth="9.1328125" defaultRowHeight="20.25"/>
  <cols>
    <col min="1" max="1" width="6.265625" style="113" customWidth="1"/>
    <col min="2" max="2" width="40.86328125" style="113" customWidth="1"/>
    <col min="3" max="3" width="35.1328125" style="113" customWidth="1"/>
    <col min="4" max="4" width="34.1328125" style="113" customWidth="1"/>
    <col min="5" max="5" width="35.1328125" style="113" customWidth="1"/>
    <col min="6" max="6" width="36" style="113" customWidth="1"/>
    <col min="7" max="7" width="16.06640625" style="113" customWidth="1"/>
    <col min="8" max="8" width="32.3984375" style="113" customWidth="1"/>
    <col min="9" max="9" width="26.3984375" style="113" customWidth="1"/>
    <col min="10" max="16384" width="9.1328125" style="113"/>
  </cols>
  <sheetData>
    <row r="1" spans="1:9" ht="30" customHeight="1">
      <c r="A1" s="145" t="s">
        <v>17</v>
      </c>
      <c r="B1" s="145"/>
      <c r="C1" s="145"/>
      <c r="D1" s="145"/>
      <c r="E1" s="145"/>
      <c r="F1" s="145"/>
    </row>
    <row r="2" spans="1:9" ht="30" customHeight="1">
      <c r="A2" s="146" t="s">
        <v>18</v>
      </c>
      <c r="B2" s="146"/>
      <c r="C2" s="146"/>
      <c r="D2" s="146"/>
      <c r="E2" s="146"/>
      <c r="F2" s="146"/>
    </row>
    <row r="3" spans="1:9" ht="30" customHeight="1">
      <c r="A3" s="146" t="s">
        <v>19</v>
      </c>
      <c r="B3" s="146"/>
      <c r="C3" s="146"/>
      <c r="D3" s="146"/>
      <c r="E3" s="146"/>
      <c r="F3" s="146"/>
    </row>
    <row r="4" spans="1:9" ht="51.6" customHeight="1">
      <c r="A4" s="147" t="s">
        <v>20</v>
      </c>
      <c r="B4" s="147"/>
      <c r="C4" s="147"/>
      <c r="D4" s="147"/>
      <c r="E4" s="147"/>
      <c r="F4" s="147"/>
    </row>
    <row r="5" spans="1:9" ht="76.150000000000006" customHeight="1">
      <c r="A5" s="114" t="s">
        <v>21</v>
      </c>
      <c r="B5" s="115" t="s">
        <v>22</v>
      </c>
      <c r="C5" s="115" t="s">
        <v>23</v>
      </c>
      <c r="D5" s="116" t="s">
        <v>993</v>
      </c>
      <c r="E5" s="117" t="s">
        <v>24</v>
      </c>
      <c r="F5" s="115" t="s">
        <v>25</v>
      </c>
    </row>
    <row r="6" spans="1:9" ht="30" customHeight="1">
      <c r="A6" s="2"/>
      <c r="B6" s="2"/>
      <c r="C6" s="142" t="s">
        <v>26</v>
      </c>
      <c r="D6" s="142" t="s">
        <v>26</v>
      </c>
      <c r="E6" s="142" t="s">
        <v>26</v>
      </c>
      <c r="F6" s="142" t="s">
        <v>26</v>
      </c>
      <c r="G6" s="118"/>
      <c r="H6" s="118"/>
    </row>
    <row r="7" spans="1:9" ht="30" customHeight="1">
      <c r="A7" s="119">
        <v>1</v>
      </c>
      <c r="B7" s="119" t="s">
        <v>27</v>
      </c>
      <c r="C7" s="120">
        <v>580942105661.31702</v>
      </c>
      <c r="D7" s="120">
        <v>131700000000</v>
      </c>
      <c r="E7" s="121">
        <v>74708866704.313004</v>
      </c>
      <c r="F7" s="120">
        <f>C7+D7+E7</f>
        <v>787350972365.63</v>
      </c>
      <c r="G7" s="122">
        <f>F7/1000000000</f>
        <v>787.35097236563001</v>
      </c>
      <c r="H7" s="118"/>
    </row>
    <row r="8" spans="1:9" ht="30" customHeight="1">
      <c r="A8" s="119">
        <v>2</v>
      </c>
      <c r="B8" s="119" t="s">
        <v>28</v>
      </c>
      <c r="C8" s="123">
        <v>294661599530.56897</v>
      </c>
      <c r="D8" s="123">
        <v>66800000000</v>
      </c>
      <c r="E8" s="123">
        <v>410898766873.72198</v>
      </c>
      <c r="F8" s="120">
        <f t="shared" ref="F8:F20" si="0">C8+D8+E8</f>
        <v>772360366404.29102</v>
      </c>
      <c r="G8" s="122">
        <f t="shared" ref="G8:G21" si="1">F8/1000000000</f>
        <v>772.36036640429097</v>
      </c>
      <c r="H8" s="122"/>
    </row>
    <row r="9" spans="1:9" ht="30" customHeight="1">
      <c r="A9" s="119">
        <v>3</v>
      </c>
      <c r="B9" s="119" t="s">
        <v>29</v>
      </c>
      <c r="C9" s="120">
        <v>227171742153.05899</v>
      </c>
      <c r="D9" s="123">
        <v>51500000000</v>
      </c>
      <c r="E9" s="123">
        <v>261481033465.095</v>
      </c>
      <c r="F9" s="120">
        <f t="shared" si="0"/>
        <v>540152775618.15393</v>
      </c>
      <c r="G9" s="122">
        <f t="shared" si="1"/>
        <v>540.1527756181539</v>
      </c>
      <c r="H9" s="122"/>
    </row>
    <row r="10" spans="1:9" ht="30" customHeight="1">
      <c r="A10" s="119">
        <v>4</v>
      </c>
      <c r="B10" s="119" t="s">
        <v>30</v>
      </c>
      <c r="C10" s="120">
        <v>157253624893.97601</v>
      </c>
      <c r="D10" s="123">
        <v>0</v>
      </c>
      <c r="E10" s="123">
        <v>0</v>
      </c>
      <c r="F10" s="120">
        <f t="shared" si="0"/>
        <v>157253624893.97601</v>
      </c>
      <c r="G10" s="122">
        <f t="shared" si="1"/>
        <v>157.25362489397602</v>
      </c>
      <c r="H10" s="122"/>
    </row>
    <row r="11" spans="1:9" ht="30" customHeight="1">
      <c r="A11" s="119">
        <v>5</v>
      </c>
      <c r="B11" s="124" t="s">
        <v>31</v>
      </c>
      <c r="C11" s="120">
        <v>44013212312.050003</v>
      </c>
      <c r="D11" s="123">
        <v>0</v>
      </c>
      <c r="E11" s="123">
        <v>32264680070.959999</v>
      </c>
      <c r="F11" s="120">
        <f t="shared" si="0"/>
        <v>76277892383.01001</v>
      </c>
      <c r="G11" s="122">
        <f t="shared" si="1"/>
        <v>76.277892383010013</v>
      </c>
      <c r="H11" s="125"/>
    </row>
    <row r="12" spans="1:9" ht="30" customHeight="1">
      <c r="A12" s="119">
        <v>6</v>
      </c>
      <c r="B12" s="124" t="s">
        <v>32</v>
      </c>
      <c r="C12" s="120">
        <v>37477725869.019997</v>
      </c>
      <c r="D12" s="123"/>
      <c r="E12" s="123">
        <v>0</v>
      </c>
      <c r="F12" s="120">
        <f t="shared" si="0"/>
        <v>37477725869.019997</v>
      </c>
      <c r="G12" s="122">
        <f t="shared" si="1"/>
        <v>37.477725869019999</v>
      </c>
      <c r="H12" s="125"/>
      <c r="I12" s="118"/>
    </row>
    <row r="13" spans="1:9" ht="30" customHeight="1">
      <c r="A13" s="119">
        <v>7</v>
      </c>
      <c r="B13" s="124" t="s">
        <v>33</v>
      </c>
      <c r="C13" s="120">
        <v>10875654295.49</v>
      </c>
      <c r="D13" s="120">
        <v>0</v>
      </c>
      <c r="E13" s="123">
        <v>0</v>
      </c>
      <c r="F13" s="120">
        <f t="shared" si="0"/>
        <v>10875654295.49</v>
      </c>
      <c r="G13" s="122">
        <f t="shared" si="1"/>
        <v>10.87565429549</v>
      </c>
      <c r="H13" s="125"/>
      <c r="I13" s="118"/>
    </row>
    <row r="14" spans="1:9" ht="40.5">
      <c r="A14" s="119">
        <v>8</v>
      </c>
      <c r="B14" s="124" t="s">
        <v>34</v>
      </c>
      <c r="C14" s="123">
        <v>18163078852.380001</v>
      </c>
      <c r="D14" s="123">
        <v>0</v>
      </c>
      <c r="E14" s="123">
        <v>0</v>
      </c>
      <c r="F14" s="120">
        <f t="shared" si="0"/>
        <v>18163078852.380001</v>
      </c>
      <c r="G14" s="122">
        <f t="shared" si="1"/>
        <v>18.16307885238</v>
      </c>
      <c r="H14" s="125"/>
      <c r="I14" s="118"/>
    </row>
    <row r="15" spans="1:9" ht="42.75" customHeight="1">
      <c r="A15" s="119">
        <v>9</v>
      </c>
      <c r="B15" s="124" t="s">
        <v>35</v>
      </c>
      <c r="C15" s="123">
        <v>0</v>
      </c>
      <c r="D15" s="123">
        <v>0</v>
      </c>
      <c r="E15" s="123">
        <v>23230569651.09</v>
      </c>
      <c r="F15" s="120">
        <f t="shared" si="0"/>
        <v>23230569651.09</v>
      </c>
      <c r="G15" s="122">
        <f t="shared" si="1"/>
        <v>23.230569651090001</v>
      </c>
      <c r="H15" s="125"/>
      <c r="I15" s="118"/>
    </row>
    <row r="16" spans="1:9" ht="42.75" customHeight="1">
      <c r="A16" s="119">
        <v>10</v>
      </c>
      <c r="B16" s="124" t="s">
        <v>36</v>
      </c>
      <c r="C16" s="123">
        <v>250000000000</v>
      </c>
      <c r="D16" s="123">
        <v>0</v>
      </c>
      <c r="E16" s="123">
        <v>0</v>
      </c>
      <c r="F16" s="120">
        <f t="shared" si="0"/>
        <v>250000000000</v>
      </c>
      <c r="G16" s="122">
        <f t="shared" si="1"/>
        <v>250</v>
      </c>
      <c r="H16" s="125"/>
      <c r="I16" s="118"/>
    </row>
    <row r="17" spans="1:9" ht="45" customHeight="1">
      <c r="A17" s="119">
        <v>11</v>
      </c>
      <c r="B17" s="124" t="s">
        <v>37</v>
      </c>
      <c r="C17" s="123">
        <v>50000000000</v>
      </c>
      <c r="D17" s="123">
        <v>0</v>
      </c>
      <c r="E17" s="120">
        <v>0</v>
      </c>
      <c r="F17" s="120">
        <f t="shared" si="0"/>
        <v>50000000000</v>
      </c>
      <c r="G17" s="122">
        <f t="shared" si="1"/>
        <v>50</v>
      </c>
      <c r="H17" s="125"/>
      <c r="I17" s="118"/>
    </row>
    <row r="18" spans="1:9" ht="43.9" customHeight="1">
      <c r="A18" s="119">
        <v>12</v>
      </c>
      <c r="B18" s="124" t="s">
        <v>38</v>
      </c>
      <c r="C18" s="123">
        <v>5536650064.1099997</v>
      </c>
      <c r="D18" s="123">
        <v>0</v>
      </c>
      <c r="E18" s="123">
        <v>4033085008.8699999</v>
      </c>
      <c r="F18" s="120">
        <f t="shared" si="0"/>
        <v>9569735072.9799995</v>
      </c>
      <c r="G18" s="122">
        <f t="shared" si="1"/>
        <v>9.5697350729800004</v>
      </c>
    </row>
    <row r="19" spans="1:9" ht="43.9" customHeight="1">
      <c r="A19" s="119"/>
      <c r="B19" s="124" t="s">
        <v>39</v>
      </c>
      <c r="C19" s="123">
        <v>252000000000</v>
      </c>
      <c r="D19" s="123"/>
      <c r="E19" s="123"/>
      <c r="F19" s="120">
        <f t="shared" si="0"/>
        <v>252000000000</v>
      </c>
      <c r="G19" s="122">
        <f t="shared" si="1"/>
        <v>252</v>
      </c>
    </row>
    <row r="20" spans="1:9" ht="43.9" customHeight="1">
      <c r="A20" s="119">
        <v>13</v>
      </c>
      <c r="B20" s="124" t="s">
        <v>40</v>
      </c>
      <c r="C20" s="123">
        <v>200000000000</v>
      </c>
      <c r="D20" s="123">
        <v>0</v>
      </c>
      <c r="E20" s="123">
        <v>0</v>
      </c>
      <c r="F20" s="120">
        <f t="shared" si="0"/>
        <v>200000000000</v>
      </c>
      <c r="G20" s="122">
        <f t="shared" si="1"/>
        <v>200</v>
      </c>
    </row>
    <row r="21" spans="1:9" ht="30" customHeight="1">
      <c r="A21" s="119"/>
      <c r="B21" s="116" t="s">
        <v>41</v>
      </c>
      <c r="C21" s="123">
        <f>SUM(C7:C20)</f>
        <v>2128095393631.9712</v>
      </c>
      <c r="D21" s="123">
        <f>SUM(D7:D20)</f>
        <v>250000000000</v>
      </c>
      <c r="E21" s="123">
        <f>SUM(E7:E20)</f>
        <v>806617001774.04993</v>
      </c>
      <c r="F21" s="123">
        <f>SUM(F7:F20)</f>
        <v>3184712395406.0205</v>
      </c>
      <c r="G21" s="122">
        <f t="shared" si="1"/>
        <v>3184.7123954060207</v>
      </c>
    </row>
    <row r="22" spans="1:9" ht="50.25" customHeight="1">
      <c r="B22" s="127"/>
      <c r="C22" s="128">
        <f>C21/1000000000000</f>
        <v>2.1280953936319711</v>
      </c>
      <c r="D22" s="128">
        <f>D21/1000000000</f>
        <v>250</v>
      </c>
      <c r="E22" s="128">
        <f>E21/1000000000</f>
        <v>806.61700177404998</v>
      </c>
      <c r="F22" s="128">
        <f t="shared" ref="D22:F22" si="2">F21/1000000000000</f>
        <v>3.1847123954060206</v>
      </c>
      <c r="G22" s="122"/>
    </row>
    <row r="23" spans="1:9" ht="35.1" customHeight="1">
      <c r="A23" s="148" t="s">
        <v>42</v>
      </c>
      <c r="B23" s="148"/>
      <c r="C23" s="148"/>
      <c r="D23" s="148"/>
      <c r="E23" s="148"/>
      <c r="F23" s="148"/>
      <c r="G23" s="148"/>
    </row>
    <row r="24" spans="1:9" ht="60" customHeight="1">
      <c r="A24" s="150" t="s">
        <v>43</v>
      </c>
      <c r="B24" s="151"/>
      <c r="C24" s="151"/>
      <c r="D24" s="151"/>
      <c r="E24" s="151"/>
      <c r="F24" s="151"/>
      <c r="G24" s="151"/>
      <c r="H24" s="151"/>
    </row>
    <row r="25" spans="1:9" ht="30" customHeight="1">
      <c r="A25" s="2">
        <v>0</v>
      </c>
      <c r="B25" s="2">
        <v>1</v>
      </c>
      <c r="C25" s="2">
        <v>2</v>
      </c>
      <c r="D25" s="2">
        <v>3</v>
      </c>
      <c r="E25" s="2">
        <v>5</v>
      </c>
      <c r="F25" s="2">
        <v>6</v>
      </c>
      <c r="G25" s="2">
        <v>7</v>
      </c>
      <c r="H25" s="2">
        <v>8</v>
      </c>
      <c r="I25" s="30"/>
    </row>
    <row r="26" spans="1:9" ht="108" customHeight="1">
      <c r="A26" s="116" t="s">
        <v>21</v>
      </c>
      <c r="B26" s="116" t="s">
        <v>22</v>
      </c>
      <c r="C26" s="129" t="s">
        <v>44</v>
      </c>
      <c r="D26" s="116" t="s">
        <v>45</v>
      </c>
      <c r="E26" s="116" t="s">
        <v>46</v>
      </c>
      <c r="F26" s="116" t="s">
        <v>993</v>
      </c>
      <c r="G26" s="116" t="s">
        <v>47</v>
      </c>
      <c r="H26" s="116" t="s">
        <v>25</v>
      </c>
      <c r="I26" s="130"/>
    </row>
    <row r="27" spans="1:9" ht="22.5">
      <c r="A27" s="119"/>
      <c r="B27" s="119"/>
      <c r="C27" s="142" t="s">
        <v>26</v>
      </c>
      <c r="D27" s="142" t="s">
        <v>26</v>
      </c>
      <c r="E27" s="143" t="s">
        <v>26</v>
      </c>
      <c r="F27" s="142" t="s">
        <v>26</v>
      </c>
      <c r="G27" s="142" t="s">
        <v>26</v>
      </c>
      <c r="H27" s="142" t="s">
        <v>26</v>
      </c>
      <c r="I27" s="131"/>
    </row>
    <row r="28" spans="1:9" ht="20.25" customHeight="1">
      <c r="A28" s="119">
        <v>1</v>
      </c>
      <c r="B28" s="119" t="s">
        <v>48</v>
      </c>
      <c r="C28" s="132">
        <v>534846091962.29797</v>
      </c>
      <c r="D28" s="133">
        <v>-107274579564.58</v>
      </c>
      <c r="E28" s="134">
        <f>C28+D28</f>
        <v>427571512397.71796</v>
      </c>
      <c r="F28" s="132">
        <v>121250000000</v>
      </c>
      <c r="G28" s="132">
        <v>74708866704.313004</v>
      </c>
      <c r="H28" s="132">
        <f>+E28+F28+G28</f>
        <v>623530379102.03101</v>
      </c>
      <c r="I28" s="126">
        <f>H28/1000000000</f>
        <v>623.53037910203102</v>
      </c>
    </row>
    <row r="29" spans="1:9" ht="20.25" customHeight="1">
      <c r="A29" s="119">
        <v>2</v>
      </c>
      <c r="B29" s="119" t="s">
        <v>49</v>
      </c>
      <c r="C29" s="132">
        <v>11027754473.4494</v>
      </c>
      <c r="D29" s="133">
        <v>0</v>
      </c>
      <c r="E29" s="134">
        <f t="shared" ref="E29:E32" si="3">C29+D29</f>
        <v>11027754473.4494</v>
      </c>
      <c r="F29" s="132">
        <v>2500000000</v>
      </c>
      <c r="G29" s="132">
        <v>0</v>
      </c>
      <c r="H29" s="132">
        <f t="shared" ref="H29:H32" si="4">+E29+F29+G29</f>
        <v>13527754473.4494</v>
      </c>
      <c r="I29" s="126">
        <f t="shared" ref="I29:I32" si="5">H29/1000000000</f>
        <v>13.5277544734494</v>
      </c>
    </row>
    <row r="30" spans="1:9" ht="20.25" customHeight="1">
      <c r="A30" s="119">
        <v>3</v>
      </c>
      <c r="B30" s="119" t="s">
        <v>50</v>
      </c>
      <c r="C30" s="132">
        <v>5513877236.7247</v>
      </c>
      <c r="D30" s="133">
        <v>0</v>
      </c>
      <c r="E30" s="134">
        <f t="shared" si="3"/>
        <v>5513877236.7247</v>
      </c>
      <c r="F30" s="132">
        <v>1250000000</v>
      </c>
      <c r="G30" s="132">
        <v>0</v>
      </c>
      <c r="H30" s="132">
        <f t="shared" si="4"/>
        <v>6763877236.7247</v>
      </c>
      <c r="I30" s="126">
        <f t="shared" si="5"/>
        <v>6.7638772367247002</v>
      </c>
    </row>
    <row r="31" spans="1:9" ht="40.5">
      <c r="A31" s="119">
        <v>4</v>
      </c>
      <c r="B31" s="124" t="s">
        <v>51</v>
      </c>
      <c r="C31" s="132">
        <v>18526627515.3951</v>
      </c>
      <c r="D31" s="133">
        <v>0</v>
      </c>
      <c r="E31" s="134">
        <f t="shared" si="3"/>
        <v>18526627515.3951</v>
      </c>
      <c r="F31" s="132">
        <v>4200000000</v>
      </c>
      <c r="G31" s="132">
        <v>0</v>
      </c>
      <c r="H31" s="132">
        <f t="shared" si="4"/>
        <v>22726627515.3951</v>
      </c>
      <c r="I31" s="126">
        <f t="shared" si="5"/>
        <v>22.726627515395101</v>
      </c>
    </row>
    <row r="32" spans="1:9" ht="21" customHeight="1">
      <c r="A32" s="119">
        <v>5</v>
      </c>
      <c r="B32" s="119" t="s">
        <v>52</v>
      </c>
      <c r="C32" s="132">
        <v>11027754473.4494</v>
      </c>
      <c r="D32" s="132">
        <v>-221063917</v>
      </c>
      <c r="E32" s="134">
        <f t="shared" si="3"/>
        <v>10806690556.4494</v>
      </c>
      <c r="F32" s="132">
        <v>2500000000</v>
      </c>
      <c r="G32" s="132">
        <v>10977841779.870001</v>
      </c>
      <c r="H32" s="132">
        <f t="shared" si="4"/>
        <v>24284532336.319401</v>
      </c>
      <c r="I32" s="126">
        <f t="shared" si="5"/>
        <v>24.284532336319401</v>
      </c>
    </row>
    <row r="33" spans="1:9" ht="36.75" customHeight="1">
      <c r="A33" s="119"/>
      <c r="B33" s="2" t="s">
        <v>25</v>
      </c>
      <c r="C33" s="135">
        <f>SUM(C28:C32)</f>
        <v>580942105661.31653</v>
      </c>
      <c r="D33" s="135">
        <f>SUM(D28:D32)</f>
        <v>-107495643481.58</v>
      </c>
      <c r="E33" s="135">
        <f t="shared" ref="E33:H33" si="6">SUM(E28:E32)</f>
        <v>473446462179.73651</v>
      </c>
      <c r="F33" s="135">
        <f t="shared" si="6"/>
        <v>131700000000</v>
      </c>
      <c r="G33" s="135">
        <f t="shared" si="6"/>
        <v>85686708484.182999</v>
      </c>
      <c r="H33" s="135">
        <f t="shared" si="6"/>
        <v>690833170663.91968</v>
      </c>
      <c r="I33" s="126">
        <f>H33/1000000000</f>
        <v>690.83317066391965</v>
      </c>
    </row>
    <row r="35" spans="1:9" ht="12.75" hidden="1" customHeight="1">
      <c r="A35" s="152" t="s">
        <v>53</v>
      </c>
      <c r="B35" s="152"/>
      <c r="C35" s="152"/>
    </row>
    <row r="36" spans="1:9">
      <c r="A36" s="153"/>
      <c r="B36" s="153"/>
      <c r="C36" s="153"/>
      <c r="F36" s="126"/>
      <c r="G36" s="126"/>
      <c r="H36" s="44"/>
    </row>
    <row r="37" spans="1:9" ht="42.75" customHeight="1">
      <c r="B37" s="136"/>
      <c r="C37" s="137"/>
      <c r="E37" s="126"/>
      <c r="F37" s="126"/>
      <c r="G37" s="122"/>
      <c r="H37" s="122"/>
    </row>
    <row r="38" spans="1:9">
      <c r="B38" s="136"/>
      <c r="C38" s="137"/>
      <c r="F38" s="126"/>
      <c r="H38" s="126"/>
    </row>
    <row r="39" spans="1:9">
      <c r="B39" s="137"/>
      <c r="C39" s="136"/>
      <c r="G39" s="126"/>
      <c r="H39" s="122"/>
    </row>
    <row r="40" spans="1:9" ht="22.5">
      <c r="A40" s="149" t="s">
        <v>54</v>
      </c>
      <c r="B40" s="149"/>
      <c r="C40" s="149"/>
      <c r="D40" s="149"/>
      <c r="E40" s="149"/>
      <c r="F40" s="149"/>
      <c r="G40" s="149"/>
      <c r="H40" s="149"/>
      <c r="I40" s="149"/>
    </row>
    <row r="41" spans="1:9" ht="35.25" customHeight="1">
      <c r="A41" s="149" t="s">
        <v>55</v>
      </c>
      <c r="B41" s="149"/>
      <c r="C41" s="149"/>
      <c r="D41" s="149"/>
      <c r="E41" s="149"/>
      <c r="F41" s="149"/>
      <c r="G41" s="149"/>
      <c r="H41" s="149"/>
      <c r="I41" s="149"/>
    </row>
    <row r="42" spans="1:9" ht="30.75" customHeight="1">
      <c r="A42" s="149" t="s">
        <v>56</v>
      </c>
      <c r="B42" s="149"/>
      <c r="C42" s="149"/>
      <c r="D42" s="149"/>
      <c r="E42" s="149"/>
      <c r="F42" s="149"/>
      <c r="G42" s="149"/>
      <c r="H42" s="149"/>
      <c r="I42" s="149"/>
    </row>
    <row r="43" spans="1:9" ht="22.5">
      <c r="A43" s="149" t="s">
        <v>57</v>
      </c>
      <c r="B43" s="149"/>
      <c r="C43" s="149"/>
      <c r="D43" s="149"/>
      <c r="E43" s="149"/>
      <c r="F43" s="149"/>
      <c r="G43" s="149"/>
      <c r="H43" s="149"/>
      <c r="I43" s="149"/>
    </row>
  </sheetData>
  <mergeCells count="12">
    <mergeCell ref="A42:I42"/>
    <mergeCell ref="A43:I43"/>
    <mergeCell ref="A24:H24"/>
    <mergeCell ref="A35:C35"/>
    <mergeCell ref="A36:C36"/>
    <mergeCell ref="A40:I40"/>
    <mergeCell ref="A41:I41"/>
    <mergeCell ref="A1:F1"/>
    <mergeCell ref="A2:F2"/>
    <mergeCell ref="A3:F3"/>
    <mergeCell ref="A4:F4"/>
    <mergeCell ref="A23:G23"/>
  </mergeCells>
  <pageMargins left="0.74791666666666701" right="0.74791666666666701" top="0.39305555555555599" bottom="0.40902777777777799" header="0.51180555555555596" footer="0.51180555555555596"/>
  <pageSetup scale="3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54"/>
  <sheetViews>
    <sheetView topLeftCell="A3" zoomScale="60" zoomScaleNormal="60" workbookViewId="0">
      <pane xSplit="3" ySplit="7" topLeftCell="I10" activePane="bottomRight" state="frozen"/>
      <selection pane="topRight"/>
      <selection pane="bottomLeft"/>
      <selection pane="bottomRight" activeCell="A4" sqref="A4:S4"/>
    </sheetView>
  </sheetViews>
  <sheetFormatPr defaultColWidth="8.86328125" defaultRowHeight="13.15"/>
  <cols>
    <col min="1" max="1" width="4.1328125" style="1" customWidth="1"/>
    <col min="2" max="2" width="22.3984375" style="1" customWidth="1"/>
    <col min="3" max="3" width="7.3984375" style="1" customWidth="1"/>
    <col min="4" max="4" width="25.59765625" style="1" customWidth="1"/>
    <col min="5" max="5" width="23.73046875" style="1" customWidth="1"/>
    <col min="6" max="6" width="28.265625" style="1" customWidth="1"/>
    <col min="7" max="7" width="21.265625" style="1" customWidth="1"/>
    <col min="8" max="8" width="24.3984375" style="1" customWidth="1"/>
    <col min="9" max="9" width="22.73046875" style="1" customWidth="1"/>
    <col min="10" max="11" width="25.59765625" style="1" customWidth="1"/>
    <col min="12" max="17" width="22" style="1" customWidth="1"/>
    <col min="18" max="18" width="28" style="1" customWidth="1"/>
    <col min="19" max="19" width="25.86328125" style="1" customWidth="1"/>
    <col min="20" max="20" width="6.3984375" style="1" customWidth="1"/>
    <col min="21" max="21" width="8.86328125" style="1"/>
    <col min="22" max="22" width="16.265625" style="1" customWidth="1"/>
    <col min="23" max="23" width="16.86328125" style="1" customWidth="1"/>
    <col min="24" max="24" width="21" style="1" customWidth="1"/>
    <col min="25" max="25" width="8.86328125" style="1"/>
    <col min="26" max="26" width="17.3984375" style="1" customWidth="1"/>
    <col min="27" max="27" width="12.265625" style="1" customWidth="1"/>
    <col min="28" max="28" width="17.86328125" style="1" customWidth="1"/>
    <col min="29" max="30" width="8.86328125" style="1"/>
    <col min="31" max="31" width="17.86328125" style="1" customWidth="1"/>
    <col min="32" max="32" width="16.265625" style="1" customWidth="1"/>
    <col min="33" max="33" width="17.86328125" style="1" customWidth="1"/>
    <col min="34" max="16384" width="8.86328125" style="1"/>
  </cols>
  <sheetData>
    <row r="1" spans="1:33" ht="22.9">
      <c r="A1" s="154" t="s">
        <v>58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</row>
    <row r="2" spans="1:33" ht="24.75">
      <c r="A2" s="155" t="s">
        <v>59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</row>
    <row r="3" spans="1:33" ht="18" customHeight="1">
      <c r="A3" s="156" t="s">
        <v>60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</row>
    <row r="4" spans="1:33" ht="17.25">
      <c r="A4" s="157" t="s">
        <v>61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</row>
    <row r="5" spans="1:33" ht="19.899999999999999"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</row>
    <row r="6" spans="1:33" ht="15.4">
      <c r="A6" s="12">
        <v>1</v>
      </c>
      <c r="B6" s="12">
        <v>2</v>
      </c>
      <c r="C6" s="12">
        <v>3</v>
      </c>
      <c r="D6" s="12">
        <v>4</v>
      </c>
      <c r="E6" s="12">
        <v>5</v>
      </c>
      <c r="F6" s="12" t="s">
        <v>62</v>
      </c>
      <c r="G6" s="12">
        <v>7</v>
      </c>
      <c r="H6" s="12">
        <v>8</v>
      </c>
      <c r="I6" s="12">
        <v>9</v>
      </c>
      <c r="J6" s="12" t="s">
        <v>63</v>
      </c>
      <c r="K6" s="12">
        <v>11</v>
      </c>
      <c r="L6" s="12">
        <v>12</v>
      </c>
      <c r="M6" s="12">
        <v>13</v>
      </c>
      <c r="N6" s="12">
        <v>14</v>
      </c>
      <c r="O6" s="12">
        <v>15</v>
      </c>
      <c r="P6" s="12">
        <v>16</v>
      </c>
      <c r="Q6" s="12">
        <v>17</v>
      </c>
      <c r="R6" s="12" t="s">
        <v>64</v>
      </c>
      <c r="S6" s="12" t="s">
        <v>65</v>
      </c>
      <c r="T6" s="99"/>
    </row>
    <row r="7" spans="1:33" ht="12.75" customHeight="1">
      <c r="A7" s="162" t="s">
        <v>21</v>
      </c>
      <c r="B7" s="162" t="s">
        <v>22</v>
      </c>
      <c r="C7" s="162" t="s">
        <v>66</v>
      </c>
      <c r="D7" s="162" t="s">
        <v>67</v>
      </c>
      <c r="E7" s="162" t="s">
        <v>68</v>
      </c>
      <c r="F7" s="162" t="s">
        <v>69</v>
      </c>
      <c r="G7" s="158" t="s">
        <v>70</v>
      </c>
      <c r="H7" s="159"/>
      <c r="I7" s="160"/>
      <c r="J7" s="162" t="s">
        <v>46</v>
      </c>
      <c r="K7" s="164" t="s">
        <v>71</v>
      </c>
      <c r="L7" s="162" t="s">
        <v>72</v>
      </c>
      <c r="M7" s="162" t="s">
        <v>73</v>
      </c>
      <c r="N7" s="162" t="s">
        <v>74</v>
      </c>
      <c r="O7" s="162" t="s">
        <v>75</v>
      </c>
      <c r="P7" s="162" t="s">
        <v>76</v>
      </c>
      <c r="Q7" s="162" t="s">
        <v>77</v>
      </c>
      <c r="R7" s="162" t="s">
        <v>78</v>
      </c>
      <c r="S7" s="162" t="s">
        <v>79</v>
      </c>
      <c r="T7" s="166" t="s">
        <v>21</v>
      </c>
    </row>
    <row r="8" spans="1:33" ht="50.25" customHeight="1">
      <c r="A8" s="163"/>
      <c r="B8" s="163"/>
      <c r="C8" s="163"/>
      <c r="D8" s="163"/>
      <c r="E8" s="163"/>
      <c r="F8" s="163"/>
      <c r="G8" s="50" t="s">
        <v>80</v>
      </c>
      <c r="H8" s="50" t="s">
        <v>81</v>
      </c>
      <c r="I8" s="50" t="s">
        <v>82</v>
      </c>
      <c r="J8" s="163"/>
      <c r="K8" s="165"/>
      <c r="L8" s="163"/>
      <c r="M8" s="163"/>
      <c r="N8" s="163"/>
      <c r="O8" s="163"/>
      <c r="P8" s="163"/>
      <c r="Q8" s="163"/>
      <c r="R8" s="163"/>
      <c r="S8" s="163"/>
      <c r="T8" s="167"/>
    </row>
    <row r="9" spans="1:33" ht="21" customHeight="1">
      <c r="A9" s="99"/>
      <c r="B9" s="99"/>
      <c r="C9" s="99"/>
      <c r="D9" s="144" t="s">
        <v>26</v>
      </c>
      <c r="E9" s="144" t="s">
        <v>26</v>
      </c>
      <c r="F9" s="144" t="s">
        <v>26</v>
      </c>
      <c r="G9" s="144" t="s">
        <v>26</v>
      </c>
      <c r="H9" s="144" t="s">
        <v>26</v>
      </c>
      <c r="I9" s="144" t="s">
        <v>26</v>
      </c>
      <c r="J9" s="144" t="s">
        <v>26</v>
      </c>
      <c r="K9" s="144" t="s">
        <v>26</v>
      </c>
      <c r="L9" s="144" t="s">
        <v>26</v>
      </c>
      <c r="M9" s="144" t="s">
        <v>26</v>
      </c>
      <c r="N9" s="144" t="s">
        <v>26</v>
      </c>
      <c r="O9" s="144" t="s">
        <v>26</v>
      </c>
      <c r="P9" s="144" t="s">
        <v>26</v>
      </c>
      <c r="Q9" s="144" t="s">
        <v>26</v>
      </c>
      <c r="R9" s="144" t="s">
        <v>26</v>
      </c>
      <c r="S9" s="144" t="s">
        <v>26</v>
      </c>
      <c r="T9" s="99"/>
    </row>
    <row r="10" spans="1:33" ht="30" customHeight="1">
      <c r="A10" s="99">
        <v>1</v>
      </c>
      <c r="B10" s="100" t="s">
        <v>83</v>
      </c>
      <c r="C10" s="101">
        <v>17</v>
      </c>
      <c r="D10" s="102">
        <v>7080112996.8382502</v>
      </c>
      <c r="E10" s="102">
        <v>2872691201.9359999</v>
      </c>
      <c r="F10" s="103">
        <f>D10+E10</f>
        <v>9952804198.77425</v>
      </c>
      <c r="G10" s="102">
        <v>606031676.25</v>
      </c>
      <c r="H10" s="102">
        <v>0</v>
      </c>
      <c r="I10" s="102">
        <f>777948381.07-H10-G10</f>
        <v>171916704.82000005</v>
      </c>
      <c r="J10" s="102">
        <f>F10-G10-H10-I10</f>
        <v>9174855817.7042503</v>
      </c>
      <c r="K10" s="102">
        <v>1605066791.6765001</v>
      </c>
      <c r="L10" s="102">
        <v>240512671.06659999</v>
      </c>
      <c r="M10" s="102">
        <f>L10/2</f>
        <v>120256335.5333</v>
      </c>
      <c r="N10" s="102">
        <f>L10-M10</f>
        <v>120256335.5333</v>
      </c>
      <c r="O10" s="102">
        <v>7598749231.2927999</v>
      </c>
      <c r="P10" s="102">
        <v>0</v>
      </c>
      <c r="Q10" s="102">
        <f>O10-P10</f>
        <v>7598749231.2927999</v>
      </c>
      <c r="R10" s="104">
        <f>F10+K10+L10+O10</f>
        <v>19397132892.81015</v>
      </c>
      <c r="S10" s="104">
        <f>J10+K10+N10+Q10</f>
        <v>18498928176.206852</v>
      </c>
      <c r="T10" s="99">
        <v>1</v>
      </c>
      <c r="AG10" s="97">
        <v>0</v>
      </c>
    </row>
    <row r="11" spans="1:33" ht="30" customHeight="1">
      <c r="A11" s="99">
        <v>2</v>
      </c>
      <c r="B11" s="100" t="s">
        <v>84</v>
      </c>
      <c r="C11" s="105">
        <v>21</v>
      </c>
      <c r="D11" s="102">
        <v>7532022687.2055597</v>
      </c>
      <c r="E11" s="102">
        <v>0</v>
      </c>
      <c r="F11" s="103">
        <f t="shared" ref="F11:F45" si="0">D11+E11</f>
        <v>7532022687.2055597</v>
      </c>
      <c r="G11" s="102">
        <v>495107019.72000003</v>
      </c>
      <c r="H11" s="102">
        <v>0</v>
      </c>
      <c r="I11" s="102">
        <f>737500900.01-H11-G11</f>
        <v>242393880.28999996</v>
      </c>
      <c r="J11" s="102">
        <f t="shared" ref="J11:J45" si="1">F11-G11-H11-I11</f>
        <v>6794521787.1955595</v>
      </c>
      <c r="K11" s="102">
        <v>1707515048.8116</v>
      </c>
      <c r="L11" s="102">
        <v>255864121.92039999</v>
      </c>
      <c r="M11" s="102">
        <v>0</v>
      </c>
      <c r="N11" s="102">
        <f t="shared" ref="N11:N45" si="2">L11-M11</f>
        <v>255864121.92039999</v>
      </c>
      <c r="O11" s="102">
        <v>8253655760.6210003</v>
      </c>
      <c r="P11" s="102">
        <v>0</v>
      </c>
      <c r="Q11" s="102">
        <f t="shared" ref="Q11:Q45" si="3">O11-P11</f>
        <v>8253655760.6210003</v>
      </c>
      <c r="R11" s="104">
        <f t="shared" ref="R11:R45" si="4">F11+K11+L11+O11</f>
        <v>17749057618.558563</v>
      </c>
      <c r="S11" s="104">
        <f t="shared" ref="S11:S45" si="5">J11+K11+N11+Q11</f>
        <v>17011556718.548559</v>
      </c>
      <c r="T11" s="99">
        <v>2</v>
      </c>
      <c r="AG11" s="97">
        <v>0</v>
      </c>
    </row>
    <row r="12" spans="1:33" ht="30" customHeight="1">
      <c r="A12" s="99">
        <v>3</v>
      </c>
      <c r="B12" s="100" t="s">
        <v>85</v>
      </c>
      <c r="C12" s="105">
        <v>31</v>
      </c>
      <c r="D12" s="102">
        <v>7602017182.1039696</v>
      </c>
      <c r="E12" s="102">
        <v>34982767929.627296</v>
      </c>
      <c r="F12" s="103">
        <f t="shared" si="0"/>
        <v>42584785111.731262</v>
      </c>
      <c r="G12" s="102">
        <v>243840584.06</v>
      </c>
      <c r="H12" s="102">
        <v>0</v>
      </c>
      <c r="I12" s="102">
        <f>1177747336.09-H12-G12</f>
        <v>933906752.02999997</v>
      </c>
      <c r="J12" s="102">
        <f t="shared" si="1"/>
        <v>41407037775.641266</v>
      </c>
      <c r="K12" s="102">
        <v>1723382851.9683001</v>
      </c>
      <c r="L12" s="102">
        <v>258241847.09740001</v>
      </c>
      <c r="M12" s="102">
        <f>L12/2</f>
        <v>129120923.5487</v>
      </c>
      <c r="N12" s="102">
        <f t="shared" si="2"/>
        <v>129120923.5487</v>
      </c>
      <c r="O12" s="102">
        <v>10325046371.0534</v>
      </c>
      <c r="P12" s="102">
        <v>0</v>
      </c>
      <c r="Q12" s="102">
        <f t="shared" si="3"/>
        <v>10325046371.0534</v>
      </c>
      <c r="R12" s="104">
        <f t="shared" si="4"/>
        <v>54891456181.850357</v>
      </c>
      <c r="S12" s="104">
        <f t="shared" si="5"/>
        <v>53584587922.211662</v>
      </c>
      <c r="T12" s="99">
        <v>3</v>
      </c>
      <c r="AG12" s="97">
        <v>0</v>
      </c>
    </row>
    <row r="13" spans="1:33" ht="30" customHeight="1">
      <c r="A13" s="99">
        <v>4</v>
      </c>
      <c r="B13" s="100" t="s">
        <v>86</v>
      </c>
      <c r="C13" s="105">
        <v>21</v>
      </c>
      <c r="D13" s="102">
        <v>7517912329.4382</v>
      </c>
      <c r="E13" s="102">
        <v>1653257846.1959</v>
      </c>
      <c r="F13" s="103">
        <f t="shared" si="0"/>
        <v>9171170175.6341</v>
      </c>
      <c r="G13" s="102">
        <v>337733487.19999999</v>
      </c>
      <c r="H13" s="102">
        <v>0</v>
      </c>
      <c r="I13" s="102">
        <f>337733487.2-H13-G13</f>
        <v>0</v>
      </c>
      <c r="J13" s="102">
        <f t="shared" si="1"/>
        <v>8833436688.4340992</v>
      </c>
      <c r="K13" s="102">
        <v>1704316220.3915</v>
      </c>
      <c r="L13" s="102">
        <v>255384790.61070001</v>
      </c>
      <c r="M13" s="102">
        <v>0</v>
      </c>
      <c r="N13" s="102">
        <f t="shared" si="2"/>
        <v>255384790.61070001</v>
      </c>
      <c r="O13" s="102">
        <v>8691762591.6686993</v>
      </c>
      <c r="P13" s="102">
        <v>0</v>
      </c>
      <c r="Q13" s="102">
        <f t="shared" si="3"/>
        <v>8691762591.6686993</v>
      </c>
      <c r="R13" s="104">
        <f t="shared" si="4"/>
        <v>19822633778.305</v>
      </c>
      <c r="S13" s="104">
        <f t="shared" si="5"/>
        <v>19484900291.105</v>
      </c>
      <c r="T13" s="99">
        <v>4</v>
      </c>
      <c r="AG13" s="97">
        <v>0</v>
      </c>
    </row>
    <row r="14" spans="1:33" ht="30" customHeight="1">
      <c r="A14" s="99">
        <v>5</v>
      </c>
      <c r="B14" s="100" t="s">
        <v>87</v>
      </c>
      <c r="C14" s="105">
        <v>20</v>
      </c>
      <c r="D14" s="102">
        <v>9044300411.9238396</v>
      </c>
      <c r="E14" s="102">
        <v>0</v>
      </c>
      <c r="F14" s="103">
        <f t="shared" si="0"/>
        <v>9044300411.9238396</v>
      </c>
      <c r="G14" s="102">
        <v>1956626887.1099999</v>
      </c>
      <c r="H14" s="102">
        <v>1654765384.01</v>
      </c>
      <c r="I14" s="102">
        <f>4824115614.15-H14-G14</f>
        <v>1212723343.0299995</v>
      </c>
      <c r="J14" s="102">
        <f t="shared" si="1"/>
        <v>4220184797.77384</v>
      </c>
      <c r="K14" s="102">
        <v>2050349514.4226</v>
      </c>
      <c r="L14" s="102">
        <v>307236459.4989</v>
      </c>
      <c r="M14" s="102">
        <v>0</v>
      </c>
      <c r="N14" s="102">
        <f t="shared" si="2"/>
        <v>307236459.4989</v>
      </c>
      <c r="O14" s="102">
        <v>8903628296.2849998</v>
      </c>
      <c r="P14" s="102">
        <v>0</v>
      </c>
      <c r="Q14" s="102">
        <f t="shared" si="3"/>
        <v>8903628296.2849998</v>
      </c>
      <c r="R14" s="104">
        <f t="shared" si="4"/>
        <v>20305514682.130341</v>
      </c>
      <c r="S14" s="104">
        <f t="shared" si="5"/>
        <v>15481399067.980339</v>
      </c>
      <c r="T14" s="99">
        <v>5</v>
      </c>
      <c r="AG14" s="97">
        <v>0</v>
      </c>
    </row>
    <row r="15" spans="1:33" ht="30" customHeight="1">
      <c r="A15" s="99">
        <v>6</v>
      </c>
      <c r="B15" s="100" t="s">
        <v>88</v>
      </c>
      <c r="C15" s="105">
        <v>8</v>
      </c>
      <c r="D15" s="102">
        <v>6690211623.0071297</v>
      </c>
      <c r="E15" s="102">
        <v>34406529898.8078</v>
      </c>
      <c r="F15" s="103">
        <f t="shared" si="0"/>
        <v>41096741521.814926</v>
      </c>
      <c r="G15" s="102">
        <v>302231190.43000001</v>
      </c>
      <c r="H15" s="102">
        <v>0</v>
      </c>
      <c r="I15" s="102">
        <f>664251643.94-H15-G15</f>
        <v>362020453.51000005</v>
      </c>
      <c r="J15" s="102">
        <f t="shared" si="1"/>
        <v>40432489877.874924</v>
      </c>
      <c r="K15" s="102">
        <v>1516675865.2260001</v>
      </c>
      <c r="L15" s="102">
        <v>227267653.5203</v>
      </c>
      <c r="M15" s="102">
        <f t="shared" ref="M15:M21" si="6">L15/2</f>
        <v>113633826.76015</v>
      </c>
      <c r="N15" s="102">
        <f t="shared" si="2"/>
        <v>113633826.76015</v>
      </c>
      <c r="O15" s="102">
        <v>9965653194.5242996</v>
      </c>
      <c r="P15" s="102">
        <v>0</v>
      </c>
      <c r="Q15" s="102">
        <f t="shared" si="3"/>
        <v>9965653194.5242996</v>
      </c>
      <c r="R15" s="104">
        <f t="shared" si="4"/>
        <v>52806338235.085526</v>
      </c>
      <c r="S15" s="104">
        <f t="shared" si="5"/>
        <v>52028452764.385368</v>
      </c>
      <c r="T15" s="99">
        <v>6</v>
      </c>
      <c r="AG15" s="97">
        <v>0</v>
      </c>
    </row>
    <row r="16" spans="1:33" ht="30" customHeight="1">
      <c r="A16" s="99">
        <v>7</v>
      </c>
      <c r="B16" s="100" t="s">
        <v>89</v>
      </c>
      <c r="C16" s="105">
        <v>23</v>
      </c>
      <c r="D16" s="102">
        <v>8479616296.2287302</v>
      </c>
      <c r="E16" s="102">
        <v>0</v>
      </c>
      <c r="F16" s="103">
        <f t="shared" si="0"/>
        <v>8479616296.2287302</v>
      </c>
      <c r="G16" s="102">
        <v>335836615.10000002</v>
      </c>
      <c r="H16" s="102">
        <v>0</v>
      </c>
      <c r="I16" s="102">
        <f>525191120.27-H16-G16</f>
        <v>189354505.16999996</v>
      </c>
      <c r="J16" s="102">
        <f t="shared" si="1"/>
        <v>7954425175.9587297</v>
      </c>
      <c r="K16" s="102">
        <v>1922335212.632</v>
      </c>
      <c r="L16" s="102">
        <v>288054041.78390002</v>
      </c>
      <c r="M16" s="102">
        <f t="shared" si="6"/>
        <v>144027020.89195001</v>
      </c>
      <c r="N16" s="102">
        <f t="shared" si="2"/>
        <v>144027020.89195001</v>
      </c>
      <c r="O16" s="102">
        <v>9351714248.2497005</v>
      </c>
      <c r="P16" s="102">
        <v>0</v>
      </c>
      <c r="Q16" s="102">
        <f t="shared" si="3"/>
        <v>9351714248.2497005</v>
      </c>
      <c r="R16" s="104">
        <f t="shared" si="4"/>
        <v>20041719798.894329</v>
      </c>
      <c r="S16" s="104">
        <f t="shared" si="5"/>
        <v>19372501657.73238</v>
      </c>
      <c r="T16" s="99">
        <v>7</v>
      </c>
      <c r="AG16" s="97">
        <v>0</v>
      </c>
    </row>
    <row r="17" spans="1:33" ht="30" customHeight="1">
      <c r="A17" s="99">
        <v>8</v>
      </c>
      <c r="B17" s="100" t="s">
        <v>90</v>
      </c>
      <c r="C17" s="105">
        <v>27</v>
      </c>
      <c r="D17" s="102">
        <v>9394199608.3596497</v>
      </c>
      <c r="E17" s="102">
        <v>0</v>
      </c>
      <c r="F17" s="103">
        <f t="shared" si="0"/>
        <v>9394199608.3596497</v>
      </c>
      <c r="G17" s="102">
        <v>845367206.88</v>
      </c>
      <c r="H17" s="102">
        <v>0</v>
      </c>
      <c r="I17" s="102">
        <f>922510022.54-H17-G17</f>
        <v>77142815.659999967</v>
      </c>
      <c r="J17" s="102">
        <f t="shared" si="1"/>
        <v>8471689585.8196497</v>
      </c>
      <c r="K17" s="102">
        <v>2129671918.0177</v>
      </c>
      <c r="L17" s="102">
        <v>319122596.11510003</v>
      </c>
      <c r="M17" s="102">
        <v>0</v>
      </c>
      <c r="N17" s="102">
        <f t="shared" si="2"/>
        <v>319122596.11510003</v>
      </c>
      <c r="O17" s="102">
        <v>9106761463.3964996</v>
      </c>
      <c r="P17" s="102">
        <v>0</v>
      </c>
      <c r="Q17" s="102">
        <f t="shared" si="3"/>
        <v>9106761463.3964996</v>
      </c>
      <c r="R17" s="104">
        <f t="shared" si="4"/>
        <v>20949755585.88895</v>
      </c>
      <c r="S17" s="104">
        <f t="shared" si="5"/>
        <v>20027245563.348949</v>
      </c>
      <c r="T17" s="99">
        <v>8</v>
      </c>
      <c r="AG17" s="97">
        <v>0</v>
      </c>
    </row>
    <row r="18" spans="1:33" ht="30" customHeight="1">
      <c r="A18" s="99">
        <v>9</v>
      </c>
      <c r="B18" s="100" t="s">
        <v>91</v>
      </c>
      <c r="C18" s="105">
        <v>18</v>
      </c>
      <c r="D18" s="102">
        <v>7603313640.5080299</v>
      </c>
      <c r="E18" s="102">
        <v>0</v>
      </c>
      <c r="F18" s="103">
        <f t="shared" si="0"/>
        <v>7603313640.5080299</v>
      </c>
      <c r="G18" s="102">
        <v>2376137373.3499999</v>
      </c>
      <c r="H18" s="102">
        <v>1352747444.3599999</v>
      </c>
      <c r="I18" s="102">
        <f>4179251635.82-H18-G18</f>
        <v>450366818.11000013</v>
      </c>
      <c r="J18" s="102">
        <f t="shared" si="1"/>
        <v>3424062004.6880298</v>
      </c>
      <c r="K18" s="102">
        <v>1723676760.0362</v>
      </c>
      <c r="L18" s="102">
        <v>258285888.0151</v>
      </c>
      <c r="M18" s="102">
        <f t="shared" si="6"/>
        <v>129142944.00755</v>
      </c>
      <c r="N18" s="102">
        <f t="shared" si="2"/>
        <v>129142944.00755</v>
      </c>
      <c r="O18" s="102">
        <v>7480994015.7764997</v>
      </c>
      <c r="P18" s="102">
        <v>0</v>
      </c>
      <c r="Q18" s="102">
        <f t="shared" si="3"/>
        <v>7480994015.7764997</v>
      </c>
      <c r="R18" s="104">
        <f t="shared" si="4"/>
        <v>17066270304.335831</v>
      </c>
      <c r="S18" s="104">
        <f t="shared" si="5"/>
        <v>12757875724.50828</v>
      </c>
      <c r="T18" s="99">
        <v>9</v>
      </c>
      <c r="AG18" s="97">
        <v>0</v>
      </c>
    </row>
    <row r="19" spans="1:33" ht="30" customHeight="1">
      <c r="A19" s="99">
        <v>10</v>
      </c>
      <c r="B19" s="100" t="s">
        <v>92</v>
      </c>
      <c r="C19" s="105">
        <v>25</v>
      </c>
      <c r="D19" s="102">
        <v>7677225219.9443598</v>
      </c>
      <c r="E19" s="102">
        <v>47143218859.755203</v>
      </c>
      <c r="F19" s="103">
        <f t="shared" si="0"/>
        <v>54820444079.699562</v>
      </c>
      <c r="G19" s="102">
        <v>562710438.25</v>
      </c>
      <c r="H19" s="102">
        <v>0</v>
      </c>
      <c r="I19" s="102">
        <f>2017891552.81-H19-G19</f>
        <v>1455181114.5599999</v>
      </c>
      <c r="J19" s="102">
        <f t="shared" si="1"/>
        <v>52802552526.889565</v>
      </c>
      <c r="K19" s="102">
        <v>1740432569.1210001</v>
      </c>
      <c r="L19" s="102">
        <v>260796677.23559999</v>
      </c>
      <c r="M19" s="102">
        <f t="shared" si="6"/>
        <v>130398338.6178</v>
      </c>
      <c r="N19" s="102">
        <f t="shared" si="2"/>
        <v>130398338.6178</v>
      </c>
      <c r="O19" s="102">
        <v>13133883869.978901</v>
      </c>
      <c r="P19" s="102">
        <v>0</v>
      </c>
      <c r="Q19" s="102">
        <f t="shared" si="3"/>
        <v>13133883869.978901</v>
      </c>
      <c r="R19" s="104">
        <f t="shared" si="4"/>
        <v>69955557196.035065</v>
      </c>
      <c r="S19" s="104">
        <f t="shared" si="5"/>
        <v>67807267304.607269</v>
      </c>
      <c r="T19" s="99">
        <v>10</v>
      </c>
      <c r="AG19" s="97">
        <v>0</v>
      </c>
    </row>
    <row r="20" spans="1:33" ht="30" customHeight="1">
      <c r="A20" s="99">
        <v>11</v>
      </c>
      <c r="B20" s="100" t="s">
        <v>93</v>
      </c>
      <c r="C20" s="105">
        <v>13</v>
      </c>
      <c r="D20" s="102">
        <v>6764493577.3432703</v>
      </c>
      <c r="E20" s="102">
        <v>0</v>
      </c>
      <c r="F20" s="103">
        <f t="shared" si="0"/>
        <v>6764493577.3432703</v>
      </c>
      <c r="G20" s="102">
        <v>345897603.93000001</v>
      </c>
      <c r="H20" s="102">
        <v>0</v>
      </c>
      <c r="I20" s="102">
        <f>911307941.54-H20-G20</f>
        <v>565410337.6099999</v>
      </c>
      <c r="J20" s="102">
        <f t="shared" si="1"/>
        <v>5853185635.8032703</v>
      </c>
      <c r="K20" s="102">
        <v>1533515638.5711999</v>
      </c>
      <c r="L20" s="102">
        <v>229791024.44069999</v>
      </c>
      <c r="M20" s="102">
        <v>0</v>
      </c>
      <c r="N20" s="102">
        <f t="shared" si="2"/>
        <v>229791024.44069999</v>
      </c>
      <c r="O20" s="102">
        <v>7068175089.8306999</v>
      </c>
      <c r="P20" s="102">
        <v>0</v>
      </c>
      <c r="Q20" s="102">
        <f t="shared" si="3"/>
        <v>7068175089.8306999</v>
      </c>
      <c r="R20" s="104">
        <f t="shared" si="4"/>
        <v>15595975330.185871</v>
      </c>
      <c r="S20" s="104">
        <f t="shared" si="5"/>
        <v>14684667388.64587</v>
      </c>
      <c r="T20" s="99">
        <v>11</v>
      </c>
      <c r="AG20" s="97">
        <v>0</v>
      </c>
    </row>
    <row r="21" spans="1:33" ht="30" customHeight="1">
      <c r="A21" s="99">
        <v>12</v>
      </c>
      <c r="B21" s="100" t="s">
        <v>94</v>
      </c>
      <c r="C21" s="105">
        <v>18</v>
      </c>
      <c r="D21" s="102">
        <v>7069979929.7219</v>
      </c>
      <c r="E21" s="102">
        <v>3364244222.7804999</v>
      </c>
      <c r="F21" s="103">
        <f t="shared" si="0"/>
        <v>10434224152.502399</v>
      </c>
      <c r="G21" s="102">
        <v>2728253929.48</v>
      </c>
      <c r="H21" s="102">
        <v>510923032.41000003</v>
      </c>
      <c r="I21" s="102">
        <f>3409970568.69-H21-G21</f>
        <v>170793606.80000019</v>
      </c>
      <c r="J21" s="102">
        <f t="shared" si="1"/>
        <v>7024253583.8123999</v>
      </c>
      <c r="K21" s="102">
        <v>1602769617.9542999</v>
      </c>
      <c r="L21" s="102">
        <v>240168449.0126</v>
      </c>
      <c r="M21" s="102">
        <f t="shared" si="6"/>
        <v>120084224.5063</v>
      </c>
      <c r="N21" s="102">
        <f t="shared" si="2"/>
        <v>120084224.5063</v>
      </c>
      <c r="O21" s="102">
        <v>8595953390.3365993</v>
      </c>
      <c r="P21" s="102">
        <v>0</v>
      </c>
      <c r="Q21" s="102">
        <f t="shared" si="3"/>
        <v>8595953390.3365993</v>
      </c>
      <c r="R21" s="104">
        <f t="shared" si="4"/>
        <v>20873115609.805901</v>
      </c>
      <c r="S21" s="104">
        <f t="shared" si="5"/>
        <v>17343060816.6096</v>
      </c>
      <c r="T21" s="99">
        <v>12</v>
      </c>
      <c r="AG21" s="97">
        <v>0</v>
      </c>
    </row>
    <row r="22" spans="1:33" ht="30" customHeight="1">
      <c r="A22" s="99">
        <v>13</v>
      </c>
      <c r="B22" s="100" t="s">
        <v>95</v>
      </c>
      <c r="C22" s="105">
        <v>16</v>
      </c>
      <c r="D22" s="102">
        <v>6760676413.0392904</v>
      </c>
      <c r="E22" s="102">
        <v>0</v>
      </c>
      <c r="F22" s="103">
        <f t="shared" si="0"/>
        <v>6760676413.0392904</v>
      </c>
      <c r="G22" s="102">
        <v>915766895.37</v>
      </c>
      <c r="H22" s="102">
        <v>345000000</v>
      </c>
      <c r="I22" s="102">
        <f>2443994988.63-H22-G22</f>
        <v>1183228093.2600002</v>
      </c>
      <c r="J22" s="102">
        <f t="shared" si="1"/>
        <v>4316681424.4092903</v>
      </c>
      <c r="K22" s="102">
        <v>1532650284.6331999</v>
      </c>
      <c r="L22" s="102">
        <v>229661354.70480001</v>
      </c>
      <c r="M22" s="102">
        <v>0</v>
      </c>
      <c r="N22" s="102">
        <f t="shared" si="2"/>
        <v>229661354.70480001</v>
      </c>
      <c r="O22" s="102">
        <v>7904855963.1030998</v>
      </c>
      <c r="P22" s="102">
        <v>0</v>
      </c>
      <c r="Q22" s="102">
        <f t="shared" si="3"/>
        <v>7904855963.1030998</v>
      </c>
      <c r="R22" s="104">
        <f t="shared" si="4"/>
        <v>16427844015.480389</v>
      </c>
      <c r="S22" s="104">
        <f t="shared" si="5"/>
        <v>13983849026.850389</v>
      </c>
      <c r="T22" s="99">
        <v>13</v>
      </c>
      <c r="AG22" s="97">
        <v>0</v>
      </c>
    </row>
    <row r="23" spans="1:33" ht="30" customHeight="1">
      <c r="A23" s="99">
        <v>14</v>
      </c>
      <c r="B23" s="100" t="s">
        <v>96</v>
      </c>
      <c r="C23" s="105">
        <v>17</v>
      </c>
      <c r="D23" s="102">
        <v>7603969857.81077</v>
      </c>
      <c r="E23" s="102">
        <v>62790.839099999997</v>
      </c>
      <c r="F23" s="103">
        <f t="shared" si="0"/>
        <v>7604032648.6498699</v>
      </c>
      <c r="G23" s="102">
        <v>798504871.86000001</v>
      </c>
      <c r="H23" s="102">
        <v>0</v>
      </c>
      <c r="I23" s="102">
        <f>877149184.2-H23-G23</f>
        <v>78644312.340000033</v>
      </c>
      <c r="J23" s="102">
        <f t="shared" si="1"/>
        <v>6726883464.4498701</v>
      </c>
      <c r="K23" s="102">
        <v>1723825524.9784</v>
      </c>
      <c r="L23" s="102">
        <v>258308179.83109999</v>
      </c>
      <c r="M23" s="102">
        <v>0</v>
      </c>
      <c r="N23" s="102">
        <f t="shared" si="2"/>
        <v>258308179.83109999</v>
      </c>
      <c r="O23" s="102">
        <v>7712849216.0105</v>
      </c>
      <c r="P23" s="102">
        <v>0</v>
      </c>
      <c r="Q23" s="102">
        <f t="shared" si="3"/>
        <v>7712849216.0105</v>
      </c>
      <c r="R23" s="104">
        <f t="shared" si="4"/>
        <v>17299015569.469872</v>
      </c>
      <c r="S23" s="104">
        <f t="shared" si="5"/>
        <v>16421866385.269871</v>
      </c>
      <c r="T23" s="99">
        <v>14</v>
      </c>
      <c r="AG23" s="97">
        <v>0</v>
      </c>
    </row>
    <row r="24" spans="1:33" ht="30" customHeight="1">
      <c r="A24" s="99">
        <v>15</v>
      </c>
      <c r="B24" s="100" t="s">
        <v>97</v>
      </c>
      <c r="C24" s="105">
        <v>11</v>
      </c>
      <c r="D24" s="102">
        <v>7121952884.5075998</v>
      </c>
      <c r="E24" s="102">
        <v>0</v>
      </c>
      <c r="F24" s="103">
        <f t="shared" si="0"/>
        <v>7121952884.5075998</v>
      </c>
      <c r="G24" s="102">
        <v>980564408.34000003</v>
      </c>
      <c r="H24" s="102">
        <v>1191927125.99</v>
      </c>
      <c r="I24" s="102">
        <f>2567110580.77-H24-G24</f>
        <v>394619046.43999994</v>
      </c>
      <c r="J24" s="102">
        <f t="shared" si="1"/>
        <v>4554842303.7376003</v>
      </c>
      <c r="K24" s="102">
        <v>1614551924.7945001</v>
      </c>
      <c r="L24" s="102">
        <v>241933979.33450001</v>
      </c>
      <c r="M24" s="102">
        <f>L24/2</f>
        <v>120966989.66725001</v>
      </c>
      <c r="N24" s="102">
        <f t="shared" si="2"/>
        <v>120966989.66725001</v>
      </c>
      <c r="O24" s="102">
        <v>8039775594.1324997</v>
      </c>
      <c r="P24" s="102">
        <v>0</v>
      </c>
      <c r="Q24" s="102">
        <f t="shared" si="3"/>
        <v>8039775594.1324997</v>
      </c>
      <c r="R24" s="104">
        <f t="shared" si="4"/>
        <v>17018214382.769098</v>
      </c>
      <c r="S24" s="104">
        <f t="shared" si="5"/>
        <v>14330136812.33185</v>
      </c>
      <c r="T24" s="99">
        <v>15</v>
      </c>
      <c r="AG24" s="97">
        <v>0</v>
      </c>
    </row>
    <row r="25" spans="1:33" ht="30" customHeight="1">
      <c r="A25" s="99">
        <v>16</v>
      </c>
      <c r="B25" s="100" t="s">
        <v>98</v>
      </c>
      <c r="C25" s="105">
        <v>27</v>
      </c>
      <c r="D25" s="102">
        <v>7861385307.9837303</v>
      </c>
      <c r="E25" s="102">
        <v>3622210815.3006001</v>
      </c>
      <c r="F25" s="103">
        <f t="shared" si="0"/>
        <v>11483596123.28433</v>
      </c>
      <c r="G25" s="102">
        <v>543558967.87</v>
      </c>
      <c r="H25" s="102">
        <v>0</v>
      </c>
      <c r="I25" s="102">
        <f>2014379572.06-H25-G25</f>
        <v>1470820604.1900001</v>
      </c>
      <c r="J25" s="102">
        <f t="shared" si="1"/>
        <v>9469216551.224329</v>
      </c>
      <c r="K25" s="102">
        <v>1782181795.6935</v>
      </c>
      <c r="L25" s="102">
        <v>267052627.48649999</v>
      </c>
      <c r="M25" s="102">
        <f t="shared" ref="M25" si="7">L25/2</f>
        <v>133526313.74325</v>
      </c>
      <c r="N25" s="102">
        <f t="shared" si="2"/>
        <v>133526313.74325</v>
      </c>
      <c r="O25" s="102">
        <v>8296431536.1327</v>
      </c>
      <c r="P25" s="102">
        <v>0</v>
      </c>
      <c r="Q25" s="102">
        <f t="shared" si="3"/>
        <v>8296431536.1327</v>
      </c>
      <c r="R25" s="104">
        <f t="shared" si="4"/>
        <v>21829262082.597031</v>
      </c>
      <c r="S25" s="104">
        <f t="shared" si="5"/>
        <v>19681356196.793777</v>
      </c>
      <c r="T25" s="99">
        <v>16</v>
      </c>
      <c r="AG25" s="97">
        <v>0</v>
      </c>
    </row>
    <row r="26" spans="1:33" ht="30" customHeight="1">
      <c r="A26" s="99">
        <v>17</v>
      </c>
      <c r="B26" s="100" t="s">
        <v>99</v>
      </c>
      <c r="C26" s="105">
        <v>27</v>
      </c>
      <c r="D26" s="102">
        <v>8455649153.9291</v>
      </c>
      <c r="E26" s="102">
        <v>0</v>
      </c>
      <c r="F26" s="103">
        <f t="shared" si="0"/>
        <v>8455649153.9291</v>
      </c>
      <c r="G26" s="102">
        <v>324205966.62</v>
      </c>
      <c r="H26" s="102">
        <v>0</v>
      </c>
      <c r="I26" s="102">
        <f>324205966.62-H26-G26</f>
        <v>0</v>
      </c>
      <c r="J26" s="102">
        <f t="shared" si="1"/>
        <v>8131443187.3091002</v>
      </c>
      <c r="K26" s="102">
        <v>1916901843.9535999</v>
      </c>
      <c r="L26" s="102">
        <v>287239873.78750002</v>
      </c>
      <c r="M26" s="102">
        <v>0</v>
      </c>
      <c r="N26" s="102">
        <f t="shared" si="2"/>
        <v>287239873.78750002</v>
      </c>
      <c r="O26" s="102">
        <v>8384763099.0719995</v>
      </c>
      <c r="P26" s="102">
        <v>0</v>
      </c>
      <c r="Q26" s="102">
        <f t="shared" si="3"/>
        <v>8384763099.0719995</v>
      </c>
      <c r="R26" s="104">
        <f t="shared" si="4"/>
        <v>19044553970.742199</v>
      </c>
      <c r="S26" s="104">
        <f t="shared" si="5"/>
        <v>18720348004.1222</v>
      </c>
      <c r="T26" s="99">
        <v>17</v>
      </c>
      <c r="AG26" s="97">
        <v>0</v>
      </c>
    </row>
    <row r="27" spans="1:33" ht="30" customHeight="1">
      <c r="A27" s="99">
        <v>18</v>
      </c>
      <c r="B27" s="100" t="s">
        <v>100</v>
      </c>
      <c r="C27" s="105">
        <v>23</v>
      </c>
      <c r="D27" s="102">
        <v>9906776464.1137505</v>
      </c>
      <c r="E27" s="102">
        <v>0</v>
      </c>
      <c r="F27" s="103">
        <f t="shared" si="0"/>
        <v>9906776464.1137505</v>
      </c>
      <c r="G27" s="102">
        <v>5493901125.5799999</v>
      </c>
      <c r="H27" s="102">
        <v>0</v>
      </c>
      <c r="I27" s="102">
        <f>5930085392.82-H27-G27</f>
        <v>436184267.23999977</v>
      </c>
      <c r="J27" s="102">
        <f t="shared" si="1"/>
        <v>3976691071.2937508</v>
      </c>
      <c r="K27" s="102">
        <v>2245873465.8913002</v>
      </c>
      <c r="L27" s="102">
        <v>336534921.13859999</v>
      </c>
      <c r="M27" s="102">
        <f>L27/2</f>
        <v>168267460.5693</v>
      </c>
      <c r="N27" s="102">
        <f t="shared" si="2"/>
        <v>168267460.5693</v>
      </c>
      <c r="O27" s="102">
        <v>9511231505.7705994</v>
      </c>
      <c r="P27" s="102">
        <v>0</v>
      </c>
      <c r="Q27" s="102">
        <f t="shared" si="3"/>
        <v>9511231505.7705994</v>
      </c>
      <c r="R27" s="104">
        <f t="shared" si="4"/>
        <v>22000416356.914249</v>
      </c>
      <c r="S27" s="104">
        <f t="shared" si="5"/>
        <v>15902063503.52495</v>
      </c>
      <c r="T27" s="99">
        <v>18</v>
      </c>
      <c r="AG27" s="97">
        <v>0</v>
      </c>
    </row>
    <row r="28" spans="1:33" ht="30" customHeight="1">
      <c r="A28" s="99">
        <v>19</v>
      </c>
      <c r="B28" s="100" t="s">
        <v>101</v>
      </c>
      <c r="C28" s="105">
        <v>44</v>
      </c>
      <c r="D28" s="102">
        <v>11993255830.0245</v>
      </c>
      <c r="E28" s="102">
        <v>0</v>
      </c>
      <c r="F28" s="103">
        <f t="shared" si="0"/>
        <v>11993255830.0245</v>
      </c>
      <c r="G28" s="102">
        <v>821112432.65999997</v>
      </c>
      <c r="H28" s="102">
        <v>292615190</v>
      </c>
      <c r="I28" s="102">
        <f>1366430782.66-H28-G28</f>
        <v>252703160.00000012</v>
      </c>
      <c r="J28" s="102">
        <f t="shared" si="1"/>
        <v>10626825047.3645</v>
      </c>
      <c r="K28" s="102">
        <v>2718879863.2803001</v>
      </c>
      <c r="L28" s="102">
        <v>407412988.43000001</v>
      </c>
      <c r="M28" s="102">
        <v>0</v>
      </c>
      <c r="N28" s="102">
        <f t="shared" si="2"/>
        <v>407412988.43000001</v>
      </c>
      <c r="O28" s="102">
        <v>13560839778.9627</v>
      </c>
      <c r="P28" s="102">
        <v>0</v>
      </c>
      <c r="Q28" s="102">
        <f t="shared" si="3"/>
        <v>13560839778.9627</v>
      </c>
      <c r="R28" s="104">
        <f t="shared" si="4"/>
        <v>28680388460.697502</v>
      </c>
      <c r="S28" s="104">
        <f t="shared" si="5"/>
        <v>27313957678.037498</v>
      </c>
      <c r="T28" s="99">
        <v>19</v>
      </c>
      <c r="AG28" s="97">
        <v>0</v>
      </c>
    </row>
    <row r="29" spans="1:33" ht="30" customHeight="1">
      <c r="A29" s="99">
        <v>20</v>
      </c>
      <c r="B29" s="100" t="s">
        <v>102</v>
      </c>
      <c r="C29" s="105">
        <v>34</v>
      </c>
      <c r="D29" s="102">
        <v>9294431940.7710609</v>
      </c>
      <c r="E29" s="102">
        <v>0</v>
      </c>
      <c r="F29" s="103">
        <f t="shared" si="0"/>
        <v>9294431940.7710609</v>
      </c>
      <c r="G29" s="102">
        <v>1769238725.3399999</v>
      </c>
      <c r="H29" s="102">
        <v>850000000</v>
      </c>
      <c r="I29" s="102">
        <f>2619238725.34-H29-G29</f>
        <v>0</v>
      </c>
      <c r="J29" s="102">
        <f t="shared" si="1"/>
        <v>6675193215.4310608</v>
      </c>
      <c r="K29" s="102">
        <v>2107054514.8489001</v>
      </c>
      <c r="L29" s="102">
        <v>315733471.07870001</v>
      </c>
      <c r="M29" s="102">
        <v>0</v>
      </c>
      <c r="N29" s="102">
        <f t="shared" si="2"/>
        <v>315733471.07870001</v>
      </c>
      <c r="O29" s="102">
        <v>9872084587.2621002</v>
      </c>
      <c r="P29" s="102">
        <v>0</v>
      </c>
      <c r="Q29" s="102">
        <f t="shared" si="3"/>
        <v>9872084587.2621002</v>
      </c>
      <c r="R29" s="104">
        <f t="shared" si="4"/>
        <v>21589304513.960762</v>
      </c>
      <c r="S29" s="104">
        <f t="shared" si="5"/>
        <v>18970065788.620758</v>
      </c>
      <c r="T29" s="99">
        <v>20</v>
      </c>
      <c r="AG29" s="97">
        <v>0</v>
      </c>
    </row>
    <row r="30" spans="1:33" ht="30" customHeight="1">
      <c r="A30" s="99">
        <v>21</v>
      </c>
      <c r="B30" s="100" t="s">
        <v>103</v>
      </c>
      <c r="C30" s="105">
        <v>21</v>
      </c>
      <c r="D30" s="102">
        <v>7983963407.5110798</v>
      </c>
      <c r="E30" s="102">
        <v>0</v>
      </c>
      <c r="F30" s="103">
        <f t="shared" si="0"/>
        <v>7983963407.5110798</v>
      </c>
      <c r="G30" s="102">
        <v>482422600.20999998</v>
      </c>
      <c r="H30" s="102">
        <v>0</v>
      </c>
      <c r="I30" s="102">
        <f>548661876.32-H30-G30</f>
        <v>66239276.110000074</v>
      </c>
      <c r="J30" s="102">
        <f t="shared" si="1"/>
        <v>7435301531.1910801</v>
      </c>
      <c r="K30" s="102">
        <v>1809970340.4563</v>
      </c>
      <c r="L30" s="102">
        <v>271216626.86680001</v>
      </c>
      <c r="M30" s="102">
        <f t="shared" ref="M30:M32" si="8">L30/2</f>
        <v>135608313.43340001</v>
      </c>
      <c r="N30" s="102">
        <f t="shared" si="2"/>
        <v>135608313.43340001</v>
      </c>
      <c r="O30" s="102">
        <v>7734363873.8304996</v>
      </c>
      <c r="P30" s="102">
        <v>0</v>
      </c>
      <c r="Q30" s="102">
        <f t="shared" si="3"/>
        <v>7734363873.8304996</v>
      </c>
      <c r="R30" s="104">
        <f t="shared" si="4"/>
        <v>17799514248.66468</v>
      </c>
      <c r="S30" s="104">
        <f t="shared" si="5"/>
        <v>17115244058.91128</v>
      </c>
      <c r="T30" s="99">
        <v>21</v>
      </c>
      <c r="AG30" s="97">
        <v>0</v>
      </c>
    </row>
    <row r="31" spans="1:33" ht="30" customHeight="1">
      <c r="A31" s="99">
        <v>22</v>
      </c>
      <c r="B31" s="100" t="s">
        <v>104</v>
      </c>
      <c r="C31" s="105">
        <v>21</v>
      </c>
      <c r="D31" s="102">
        <v>8356799405.7136803</v>
      </c>
      <c r="E31" s="102">
        <v>62790.839099999997</v>
      </c>
      <c r="F31" s="103">
        <f t="shared" si="0"/>
        <v>8356862196.5527802</v>
      </c>
      <c r="G31" s="102">
        <v>884512693.77999997</v>
      </c>
      <c r="H31" s="102">
        <v>0</v>
      </c>
      <c r="I31" s="102">
        <f>1610134958.53-H31-G31</f>
        <v>725622264.75</v>
      </c>
      <c r="J31" s="102">
        <f t="shared" si="1"/>
        <v>6746727238.0227804</v>
      </c>
      <c r="K31" s="102">
        <v>1894492533.7776999</v>
      </c>
      <c r="L31" s="102">
        <v>283881930.63209999</v>
      </c>
      <c r="M31" s="102">
        <f t="shared" si="8"/>
        <v>141940965.31604999</v>
      </c>
      <c r="N31" s="102">
        <f t="shared" si="2"/>
        <v>141940965.31604999</v>
      </c>
      <c r="O31" s="102">
        <v>7950014853.7285995</v>
      </c>
      <c r="P31" s="102">
        <v>0</v>
      </c>
      <c r="Q31" s="102">
        <f t="shared" si="3"/>
        <v>7950014853.7285995</v>
      </c>
      <c r="R31" s="104">
        <f t="shared" si="4"/>
        <v>18485251514.691177</v>
      </c>
      <c r="S31" s="104">
        <f t="shared" si="5"/>
        <v>16733175590.845129</v>
      </c>
      <c r="T31" s="99">
        <v>22</v>
      </c>
      <c r="AG31" s="97">
        <v>0</v>
      </c>
    </row>
    <row r="32" spans="1:33" ht="30" customHeight="1">
      <c r="A32" s="99">
        <v>23</v>
      </c>
      <c r="B32" s="100" t="s">
        <v>105</v>
      </c>
      <c r="C32" s="105">
        <v>16</v>
      </c>
      <c r="D32" s="102">
        <v>6730534704.79214</v>
      </c>
      <c r="E32" s="102">
        <v>0</v>
      </c>
      <c r="F32" s="103">
        <f t="shared" si="0"/>
        <v>6730534704.79214</v>
      </c>
      <c r="G32" s="102">
        <v>357485838.83999997</v>
      </c>
      <c r="H32" s="102">
        <v>559212440.21000004</v>
      </c>
      <c r="I32" s="102">
        <f>1128162934.19-H32-G32</f>
        <v>211464655.14000005</v>
      </c>
      <c r="J32" s="102">
        <f t="shared" si="1"/>
        <v>5602371770.6021395</v>
      </c>
      <c r="K32" s="102">
        <v>1525817137.3412001</v>
      </c>
      <c r="L32" s="102">
        <v>228637435.6284</v>
      </c>
      <c r="M32" s="102">
        <f t="shared" si="8"/>
        <v>114318717.8142</v>
      </c>
      <c r="N32" s="102">
        <f t="shared" si="2"/>
        <v>114318717.8142</v>
      </c>
      <c r="O32" s="102">
        <v>7843788555.5352001</v>
      </c>
      <c r="P32" s="102">
        <v>0</v>
      </c>
      <c r="Q32" s="102">
        <f t="shared" si="3"/>
        <v>7843788555.5352001</v>
      </c>
      <c r="R32" s="104">
        <f t="shared" si="4"/>
        <v>16328777833.29694</v>
      </c>
      <c r="S32" s="104">
        <f t="shared" si="5"/>
        <v>15086296181.29274</v>
      </c>
      <c r="T32" s="99">
        <v>23</v>
      </c>
      <c r="AG32" s="97">
        <v>0</v>
      </c>
    </row>
    <row r="33" spans="1:33" ht="30" customHeight="1">
      <c r="A33" s="99">
        <v>24</v>
      </c>
      <c r="B33" s="100" t="s">
        <v>106</v>
      </c>
      <c r="C33" s="105">
        <v>20</v>
      </c>
      <c r="D33" s="102">
        <v>10129082585.9793</v>
      </c>
      <c r="E33" s="102">
        <v>0</v>
      </c>
      <c r="F33" s="103">
        <f t="shared" si="0"/>
        <v>10129082585.9793</v>
      </c>
      <c r="G33" s="102">
        <v>8338643520.0100002</v>
      </c>
      <c r="H33" s="102">
        <v>0</v>
      </c>
      <c r="I33" s="102">
        <f>8338643520.01-H33-G33</f>
        <v>0</v>
      </c>
      <c r="J33" s="102">
        <f t="shared" si="1"/>
        <v>1790439065.9692993</v>
      </c>
      <c r="K33" s="102">
        <v>2296270426.2156</v>
      </c>
      <c r="L33" s="102">
        <v>344086698.7992</v>
      </c>
      <c r="M33" s="102">
        <v>0</v>
      </c>
      <c r="N33" s="102">
        <f t="shared" si="2"/>
        <v>344086698.7992</v>
      </c>
      <c r="O33" s="102">
        <v>70164363586.797607</v>
      </c>
      <c r="P33" s="102">
        <v>9886025186.9699993</v>
      </c>
      <c r="Q33" s="102">
        <f t="shared" si="3"/>
        <v>60278338399.827606</v>
      </c>
      <c r="R33" s="104">
        <f t="shared" si="4"/>
        <v>82933803297.791702</v>
      </c>
      <c r="S33" s="104">
        <f t="shared" si="5"/>
        <v>64709134590.811707</v>
      </c>
      <c r="T33" s="99">
        <v>24</v>
      </c>
      <c r="AG33" s="97">
        <v>0</v>
      </c>
    </row>
    <row r="34" spans="1:33" ht="30" customHeight="1">
      <c r="A34" s="99">
        <v>25</v>
      </c>
      <c r="B34" s="100" t="s">
        <v>107</v>
      </c>
      <c r="C34" s="105">
        <v>13</v>
      </c>
      <c r="D34" s="102">
        <v>6972848416.4331102</v>
      </c>
      <c r="E34" s="102">
        <v>0</v>
      </c>
      <c r="F34" s="103">
        <f t="shared" si="0"/>
        <v>6972848416.4331102</v>
      </c>
      <c r="G34" s="102">
        <v>228507906.65000001</v>
      </c>
      <c r="H34" s="102">
        <v>0</v>
      </c>
      <c r="I34" s="102">
        <f>228507906.65-H34-G34</f>
        <v>0</v>
      </c>
      <c r="J34" s="102">
        <f t="shared" si="1"/>
        <v>6744340509.7831106</v>
      </c>
      <c r="K34" s="102">
        <v>1580749832.8924</v>
      </c>
      <c r="L34" s="102">
        <v>236868874.59670001</v>
      </c>
      <c r="M34" s="102">
        <f>L34/2</f>
        <v>118434437.29835001</v>
      </c>
      <c r="N34" s="102">
        <f t="shared" si="2"/>
        <v>118434437.29835001</v>
      </c>
      <c r="O34" s="102">
        <v>6906855154.9642</v>
      </c>
      <c r="P34" s="102">
        <v>0</v>
      </c>
      <c r="Q34" s="102">
        <f t="shared" si="3"/>
        <v>6906855154.9642</v>
      </c>
      <c r="R34" s="104">
        <f t="shared" si="4"/>
        <v>15697322278.88641</v>
      </c>
      <c r="S34" s="104">
        <f t="shared" si="5"/>
        <v>15350379934.938061</v>
      </c>
      <c r="T34" s="99">
        <v>25</v>
      </c>
      <c r="AG34" s="97">
        <v>0</v>
      </c>
    </row>
    <row r="35" spans="1:33" ht="30" customHeight="1">
      <c r="A35" s="99">
        <v>26</v>
      </c>
      <c r="B35" s="100" t="s">
        <v>108</v>
      </c>
      <c r="C35" s="105">
        <v>25</v>
      </c>
      <c r="D35" s="102">
        <v>8956313331.6879807</v>
      </c>
      <c r="E35" s="102">
        <v>0</v>
      </c>
      <c r="F35" s="103">
        <f t="shared" si="0"/>
        <v>8956313331.6879807</v>
      </c>
      <c r="G35" s="102">
        <v>1207822626.7</v>
      </c>
      <c r="H35" s="102">
        <v>514281002.97000003</v>
      </c>
      <c r="I35" s="102">
        <f>2259849664.88-H35-G35</f>
        <v>537746035.21000004</v>
      </c>
      <c r="J35" s="102">
        <f t="shared" si="1"/>
        <v>6696463666.8079805</v>
      </c>
      <c r="K35" s="102">
        <v>2030402779.0179999</v>
      </c>
      <c r="L35" s="102">
        <v>304247523.06569999</v>
      </c>
      <c r="M35" s="102">
        <f t="shared" ref="M35:M37" si="9">L35/2</f>
        <v>152123761.53285</v>
      </c>
      <c r="N35" s="102">
        <f t="shared" si="2"/>
        <v>152123761.53285</v>
      </c>
      <c r="O35" s="102">
        <v>8283182504.5323</v>
      </c>
      <c r="P35" s="102">
        <v>0</v>
      </c>
      <c r="Q35" s="102">
        <f t="shared" si="3"/>
        <v>8283182504.5323</v>
      </c>
      <c r="R35" s="104">
        <f t="shared" si="4"/>
        <v>19574146138.303982</v>
      </c>
      <c r="S35" s="104">
        <f t="shared" si="5"/>
        <v>17162172711.891132</v>
      </c>
      <c r="T35" s="99">
        <v>26</v>
      </c>
      <c r="AG35" s="97">
        <v>0</v>
      </c>
    </row>
    <row r="36" spans="1:33" ht="30" customHeight="1">
      <c r="A36" s="99">
        <v>27</v>
      </c>
      <c r="B36" s="100" t="s">
        <v>109</v>
      </c>
      <c r="C36" s="105">
        <v>20</v>
      </c>
      <c r="D36" s="102">
        <v>7024635773.9253702</v>
      </c>
      <c r="E36" s="102">
        <v>0</v>
      </c>
      <c r="F36" s="103">
        <f t="shared" si="0"/>
        <v>7024635773.9253702</v>
      </c>
      <c r="G36" s="102">
        <v>1852468620.3</v>
      </c>
      <c r="H36" s="102">
        <v>500000000</v>
      </c>
      <c r="I36" s="102">
        <f>3076250580.13-H36-G36</f>
        <v>723781959.83000016</v>
      </c>
      <c r="J36" s="102">
        <f t="shared" si="1"/>
        <v>3948385193.7953701</v>
      </c>
      <c r="K36" s="102">
        <v>1592490064.6903999</v>
      </c>
      <c r="L36" s="102">
        <v>238628100.14629999</v>
      </c>
      <c r="M36" s="102">
        <v>0</v>
      </c>
      <c r="N36" s="102">
        <f t="shared" si="2"/>
        <v>238628100.14629999</v>
      </c>
      <c r="O36" s="102">
        <v>9546585634.1196995</v>
      </c>
      <c r="P36" s="102">
        <v>0</v>
      </c>
      <c r="Q36" s="102">
        <f t="shared" si="3"/>
        <v>9546585634.1196995</v>
      </c>
      <c r="R36" s="104">
        <f t="shared" si="4"/>
        <v>18402339572.881767</v>
      </c>
      <c r="S36" s="104">
        <f t="shared" si="5"/>
        <v>15326088992.75177</v>
      </c>
      <c r="T36" s="99">
        <v>27</v>
      </c>
      <c r="AG36" s="97">
        <v>0</v>
      </c>
    </row>
    <row r="37" spans="1:33" ht="30" customHeight="1">
      <c r="A37" s="99">
        <v>28</v>
      </c>
      <c r="B37" s="100" t="s">
        <v>110</v>
      </c>
      <c r="C37" s="105">
        <v>18</v>
      </c>
      <c r="D37" s="102">
        <v>7038552364.1062498</v>
      </c>
      <c r="E37" s="102">
        <v>4503350906.6415997</v>
      </c>
      <c r="F37" s="103">
        <f t="shared" si="0"/>
        <v>11541903270.747849</v>
      </c>
      <c r="G37" s="102">
        <v>319123103.31</v>
      </c>
      <c r="H37" s="102">
        <v>644248762.91999996</v>
      </c>
      <c r="I37" s="102">
        <f>1105531538.93-H37-G37</f>
        <v>142159672.70000011</v>
      </c>
      <c r="J37" s="102">
        <f t="shared" si="1"/>
        <v>10436371731.817848</v>
      </c>
      <c r="K37" s="102">
        <v>1595644965.8569</v>
      </c>
      <c r="L37" s="102">
        <v>239100849.1374</v>
      </c>
      <c r="M37" s="102">
        <f t="shared" si="9"/>
        <v>119550424.5687</v>
      </c>
      <c r="N37" s="102">
        <f t="shared" si="2"/>
        <v>119550424.5687</v>
      </c>
      <c r="O37" s="102">
        <v>8636603971.7290993</v>
      </c>
      <c r="P37" s="102">
        <v>0</v>
      </c>
      <c r="Q37" s="102">
        <f t="shared" si="3"/>
        <v>8636603971.7290993</v>
      </c>
      <c r="R37" s="104">
        <f t="shared" si="4"/>
        <v>22013253057.471245</v>
      </c>
      <c r="S37" s="104">
        <f t="shared" si="5"/>
        <v>20788171093.972549</v>
      </c>
      <c r="T37" s="99">
        <v>28</v>
      </c>
      <c r="AG37" s="97">
        <v>0</v>
      </c>
    </row>
    <row r="38" spans="1:33" ht="30" customHeight="1">
      <c r="A38" s="99">
        <v>29</v>
      </c>
      <c r="B38" s="100" t="s">
        <v>111</v>
      </c>
      <c r="C38" s="105">
        <v>30</v>
      </c>
      <c r="D38" s="102">
        <v>6895860237.44872</v>
      </c>
      <c r="E38" s="102">
        <v>0</v>
      </c>
      <c r="F38" s="103">
        <f t="shared" si="0"/>
        <v>6895860237.44872</v>
      </c>
      <c r="G38" s="102">
        <v>756764825.70000005</v>
      </c>
      <c r="H38" s="102">
        <v>0</v>
      </c>
      <c r="I38" s="102">
        <f>1899035769.71-H38-G38</f>
        <v>1142270944.01</v>
      </c>
      <c r="J38" s="102">
        <f t="shared" si="1"/>
        <v>4996824467.7387199</v>
      </c>
      <c r="K38" s="102">
        <v>1563296556.4410999</v>
      </c>
      <c r="L38" s="102">
        <v>234253572.75389999</v>
      </c>
      <c r="M38" s="102">
        <v>0</v>
      </c>
      <c r="N38" s="102">
        <f t="shared" si="2"/>
        <v>234253572.75389999</v>
      </c>
      <c r="O38" s="102">
        <v>8412940778.2783003</v>
      </c>
      <c r="P38" s="102">
        <v>0</v>
      </c>
      <c r="Q38" s="102">
        <f t="shared" si="3"/>
        <v>8412940778.2783003</v>
      </c>
      <c r="R38" s="104">
        <f t="shared" si="4"/>
        <v>17106351144.92202</v>
      </c>
      <c r="S38" s="104">
        <f t="shared" si="5"/>
        <v>15207315375.212021</v>
      </c>
      <c r="T38" s="99">
        <v>29</v>
      </c>
      <c r="AG38" s="97">
        <v>0</v>
      </c>
    </row>
    <row r="39" spans="1:33" ht="30" customHeight="1">
      <c r="A39" s="99">
        <v>30</v>
      </c>
      <c r="B39" s="100" t="s">
        <v>112</v>
      </c>
      <c r="C39" s="105">
        <v>33</v>
      </c>
      <c r="D39" s="102">
        <v>8480553192.8488503</v>
      </c>
      <c r="E39" s="102">
        <v>0</v>
      </c>
      <c r="F39" s="103">
        <f t="shared" si="0"/>
        <v>8480553192.8488503</v>
      </c>
      <c r="G39" s="102">
        <v>1412349618.8099999</v>
      </c>
      <c r="H39" s="102">
        <v>0</v>
      </c>
      <c r="I39" s="102">
        <f>2640798274.14-H39-G39</f>
        <v>1228448655.3299999</v>
      </c>
      <c r="J39" s="102">
        <f t="shared" si="1"/>
        <v>5839754918.7088509</v>
      </c>
      <c r="K39" s="102">
        <v>1922547607.7806001</v>
      </c>
      <c r="L39" s="102">
        <v>288085868.32520002</v>
      </c>
      <c r="M39" s="102">
        <v>0</v>
      </c>
      <c r="N39" s="102">
        <f t="shared" si="2"/>
        <v>288085868.32520002</v>
      </c>
      <c r="O39" s="102">
        <v>18539170571.585499</v>
      </c>
      <c r="P39" s="102">
        <v>0</v>
      </c>
      <c r="Q39" s="102">
        <f t="shared" si="3"/>
        <v>18539170571.585499</v>
      </c>
      <c r="R39" s="104">
        <f t="shared" si="4"/>
        <v>29230357240.540146</v>
      </c>
      <c r="S39" s="104">
        <f t="shared" si="5"/>
        <v>26589558966.40015</v>
      </c>
      <c r="T39" s="99">
        <v>30</v>
      </c>
      <c r="AG39" s="97">
        <v>0</v>
      </c>
    </row>
    <row r="40" spans="1:33" ht="30" customHeight="1">
      <c r="A40" s="99">
        <v>31</v>
      </c>
      <c r="B40" s="100" t="s">
        <v>113</v>
      </c>
      <c r="C40" s="105">
        <v>17</v>
      </c>
      <c r="D40" s="102">
        <v>7895674489.7380695</v>
      </c>
      <c r="E40" s="102">
        <v>0</v>
      </c>
      <c r="F40" s="103">
        <f t="shared" si="0"/>
        <v>7895674489.7380695</v>
      </c>
      <c r="G40" s="102">
        <v>690122272.12</v>
      </c>
      <c r="H40" s="102">
        <v>630535139.40999997</v>
      </c>
      <c r="I40" s="102">
        <f>1960164169.2-H40-G40</f>
        <v>639506757.66999996</v>
      </c>
      <c r="J40" s="102">
        <f t="shared" si="1"/>
        <v>5935510320.5380697</v>
      </c>
      <c r="K40" s="102">
        <v>1789955178.2613001</v>
      </c>
      <c r="L40" s="102">
        <v>268217436.96000001</v>
      </c>
      <c r="M40" s="102">
        <f t="shared" ref="M40:M41" si="10">L40/2</f>
        <v>134108718.48</v>
      </c>
      <c r="N40" s="102">
        <f t="shared" si="2"/>
        <v>134108718.48</v>
      </c>
      <c r="O40" s="102">
        <v>8258358805.9216995</v>
      </c>
      <c r="P40" s="102">
        <v>0</v>
      </c>
      <c r="Q40" s="102">
        <f t="shared" si="3"/>
        <v>8258358805.9216995</v>
      </c>
      <c r="R40" s="104">
        <f t="shared" si="4"/>
        <v>18212205910.881069</v>
      </c>
      <c r="S40" s="104">
        <f t="shared" si="5"/>
        <v>16117933023.201069</v>
      </c>
      <c r="T40" s="99">
        <v>31</v>
      </c>
      <c r="AG40" s="97">
        <v>0</v>
      </c>
    </row>
    <row r="41" spans="1:33" ht="30" customHeight="1">
      <c r="A41" s="99">
        <v>32</v>
      </c>
      <c r="B41" s="100" t="s">
        <v>114</v>
      </c>
      <c r="C41" s="105">
        <v>23</v>
      </c>
      <c r="D41" s="102">
        <v>8154363446.7663403</v>
      </c>
      <c r="E41" s="102">
        <v>24705227631.252998</v>
      </c>
      <c r="F41" s="103">
        <f t="shared" si="0"/>
        <v>32859591078.019341</v>
      </c>
      <c r="G41" s="102">
        <v>1478178567.9000001</v>
      </c>
      <c r="H41" s="102">
        <v>0</v>
      </c>
      <c r="I41" s="102">
        <f>2966451119.9-H41-G41</f>
        <v>1488272552</v>
      </c>
      <c r="J41" s="102">
        <f t="shared" si="1"/>
        <v>29893139958.119339</v>
      </c>
      <c r="K41" s="102">
        <v>1848600153.9114001</v>
      </c>
      <c r="L41" s="102">
        <v>277005145.86500001</v>
      </c>
      <c r="M41" s="102">
        <f t="shared" si="10"/>
        <v>138502572.9325</v>
      </c>
      <c r="N41" s="102">
        <f t="shared" si="2"/>
        <v>138502572.9325</v>
      </c>
      <c r="O41" s="102">
        <v>23193490527.310398</v>
      </c>
      <c r="P41" s="102">
        <v>0</v>
      </c>
      <c r="Q41" s="102">
        <f t="shared" si="3"/>
        <v>23193490527.310398</v>
      </c>
      <c r="R41" s="104">
        <f t="shared" si="4"/>
        <v>58178686905.10614</v>
      </c>
      <c r="S41" s="104">
        <f t="shared" si="5"/>
        <v>55073733212.273636</v>
      </c>
      <c r="T41" s="99">
        <v>32</v>
      </c>
      <c r="AG41" s="97">
        <v>0</v>
      </c>
    </row>
    <row r="42" spans="1:33" ht="30" customHeight="1">
      <c r="A42" s="99">
        <v>33</v>
      </c>
      <c r="B42" s="100" t="s">
        <v>115</v>
      </c>
      <c r="C42" s="105">
        <v>23</v>
      </c>
      <c r="D42" s="102">
        <v>8333019167.3144302</v>
      </c>
      <c r="E42" s="102">
        <v>0</v>
      </c>
      <c r="F42" s="103">
        <f t="shared" si="0"/>
        <v>8333019167.3144302</v>
      </c>
      <c r="G42" s="102">
        <v>536506322.13999999</v>
      </c>
      <c r="H42" s="102">
        <v>206017834</v>
      </c>
      <c r="I42" s="102">
        <f>1561489886.85-H42-G42</f>
        <v>818965730.70999992</v>
      </c>
      <c r="J42" s="102">
        <f t="shared" si="1"/>
        <v>6771529280.4644299</v>
      </c>
      <c r="K42" s="102">
        <v>1889101536.3501999</v>
      </c>
      <c r="L42" s="102">
        <v>283074111.7938</v>
      </c>
      <c r="M42" s="102">
        <v>0</v>
      </c>
      <c r="N42" s="102">
        <f t="shared" si="2"/>
        <v>283074111.7938</v>
      </c>
      <c r="O42" s="102">
        <v>8673282637.1224995</v>
      </c>
      <c r="P42" s="102">
        <v>0</v>
      </c>
      <c r="Q42" s="102">
        <f t="shared" si="3"/>
        <v>8673282637.1224995</v>
      </c>
      <c r="R42" s="104">
        <f t="shared" si="4"/>
        <v>19178477452.580933</v>
      </c>
      <c r="S42" s="104">
        <f t="shared" si="5"/>
        <v>17616987565.73093</v>
      </c>
      <c r="T42" s="99">
        <v>33</v>
      </c>
      <c r="AG42" s="97">
        <v>0</v>
      </c>
    </row>
    <row r="43" spans="1:33" ht="30" customHeight="1">
      <c r="A43" s="99">
        <v>34</v>
      </c>
      <c r="B43" s="100" t="s">
        <v>116</v>
      </c>
      <c r="C43" s="105">
        <v>16</v>
      </c>
      <c r="D43" s="102">
        <v>7283406913.4010201</v>
      </c>
      <c r="E43" s="102">
        <v>0</v>
      </c>
      <c r="F43" s="103">
        <f t="shared" si="0"/>
        <v>7283406913.4010201</v>
      </c>
      <c r="G43" s="102">
        <v>210019696.06</v>
      </c>
      <c r="H43" s="102">
        <v>0</v>
      </c>
      <c r="I43" s="102">
        <f>360456180.39-H43-G43</f>
        <v>150436484.32999998</v>
      </c>
      <c r="J43" s="102">
        <f t="shared" si="1"/>
        <v>6922950733.0110197</v>
      </c>
      <c r="K43" s="102">
        <v>1651153671.1614001</v>
      </c>
      <c r="L43" s="102">
        <v>247418600.80329999</v>
      </c>
      <c r="M43" s="102">
        <f>L43/2</f>
        <v>123709300.40165</v>
      </c>
      <c r="N43" s="102">
        <f t="shared" si="2"/>
        <v>123709300.40165</v>
      </c>
      <c r="O43" s="102">
        <v>7467298373.9919996</v>
      </c>
      <c r="P43" s="102">
        <v>0</v>
      </c>
      <c r="Q43" s="102">
        <f t="shared" si="3"/>
        <v>7467298373.9919996</v>
      </c>
      <c r="R43" s="104">
        <f t="shared" si="4"/>
        <v>16649277559.357719</v>
      </c>
      <c r="S43" s="104">
        <f t="shared" si="5"/>
        <v>16165112078.566071</v>
      </c>
      <c r="T43" s="99">
        <v>34</v>
      </c>
      <c r="AG43" s="97">
        <v>0</v>
      </c>
    </row>
    <row r="44" spans="1:33" ht="30" customHeight="1">
      <c r="A44" s="99">
        <v>35</v>
      </c>
      <c r="B44" s="100" t="s">
        <v>117</v>
      </c>
      <c r="C44" s="105">
        <v>17</v>
      </c>
      <c r="D44" s="102">
        <v>7508257560.4917698</v>
      </c>
      <c r="E44" s="102">
        <v>0</v>
      </c>
      <c r="F44" s="103">
        <f t="shared" si="0"/>
        <v>7508257560.4917698</v>
      </c>
      <c r="G44" s="102">
        <v>254301847.36000001</v>
      </c>
      <c r="H44" s="102">
        <v>0</v>
      </c>
      <c r="I44" s="102">
        <f>914216721.77-H44-G44</f>
        <v>659914874.40999997</v>
      </c>
      <c r="J44" s="102">
        <f t="shared" si="1"/>
        <v>6594040838.7217703</v>
      </c>
      <c r="K44" s="102">
        <v>1702127477.2142</v>
      </c>
      <c r="L44" s="102">
        <v>255056816.4287</v>
      </c>
      <c r="M44" s="102">
        <v>0</v>
      </c>
      <c r="N44" s="102">
        <f t="shared" si="2"/>
        <v>255056816.4287</v>
      </c>
      <c r="O44" s="102">
        <v>7951747601.5389004</v>
      </c>
      <c r="P44" s="102">
        <v>0</v>
      </c>
      <c r="Q44" s="102">
        <f t="shared" si="3"/>
        <v>7951747601.5389004</v>
      </c>
      <c r="R44" s="104">
        <f t="shared" si="4"/>
        <v>17417189455.673569</v>
      </c>
      <c r="S44" s="104">
        <f t="shared" si="5"/>
        <v>16502972733.903572</v>
      </c>
      <c r="T44" s="99">
        <v>35</v>
      </c>
      <c r="AG44" s="97">
        <v>0</v>
      </c>
    </row>
    <row r="45" spans="1:33" ht="30" customHeight="1">
      <c r="A45" s="99">
        <v>36</v>
      </c>
      <c r="B45" s="100" t="s">
        <v>118</v>
      </c>
      <c r="C45" s="105">
        <v>14</v>
      </c>
      <c r="D45" s="102">
        <v>7524247956.7245703</v>
      </c>
      <c r="E45" s="102">
        <v>0</v>
      </c>
      <c r="F45" s="103">
        <f t="shared" si="0"/>
        <v>7524247956.7245703</v>
      </c>
      <c r="G45" s="102">
        <v>207943588.86000001</v>
      </c>
      <c r="H45" s="102">
        <v>422213140</v>
      </c>
      <c r="I45" s="102">
        <f>986941521.52-H45-G45</f>
        <v>356784792.65999997</v>
      </c>
      <c r="J45" s="102">
        <f t="shared" si="1"/>
        <v>6537306435.2045708</v>
      </c>
      <c r="K45" s="102">
        <v>1705752511.7284999</v>
      </c>
      <c r="L45" s="102">
        <v>255600012.9725</v>
      </c>
      <c r="M45" s="102">
        <v>0</v>
      </c>
      <c r="N45" s="102">
        <f t="shared" si="2"/>
        <v>255600012.9725</v>
      </c>
      <c r="O45" s="102">
        <v>8600068859.4039001</v>
      </c>
      <c r="P45" s="102">
        <v>0</v>
      </c>
      <c r="Q45" s="102">
        <f t="shared" si="3"/>
        <v>8600068859.4039001</v>
      </c>
      <c r="R45" s="104">
        <f t="shared" si="4"/>
        <v>18085669340.829468</v>
      </c>
      <c r="S45" s="104">
        <f t="shared" si="5"/>
        <v>17098727819.309471</v>
      </c>
      <c r="T45" s="99">
        <v>36</v>
      </c>
      <c r="AG45" s="97">
        <v>0</v>
      </c>
    </row>
    <row r="46" spans="1:33" ht="30" customHeight="1">
      <c r="A46" s="99"/>
      <c r="B46" s="161" t="s">
        <v>25</v>
      </c>
      <c r="C46" s="161"/>
      <c r="D46" s="106">
        <f t="shared" ref="D46:S46" si="11">SUM(D10:D45)</f>
        <v>286721616309.68542</v>
      </c>
      <c r="E46" s="106">
        <f t="shared" si="11"/>
        <v>157253624893.97607</v>
      </c>
      <c r="F46" s="106">
        <f t="shared" si="11"/>
        <v>443975241203.6615</v>
      </c>
      <c r="G46" s="106">
        <f t="shared" si="11"/>
        <v>41999801054.149994</v>
      </c>
      <c r="H46" s="106">
        <f t="shared" si="11"/>
        <v>9674486496.2800007</v>
      </c>
      <c r="I46" s="106">
        <f t="shared" si="11"/>
        <v>18539024469.920002</v>
      </c>
      <c r="J46" s="106">
        <f t="shared" si="11"/>
        <v>373761929183.31152</v>
      </c>
      <c r="K46" s="106">
        <f t="shared" si="11"/>
        <v>64999999999.999809</v>
      </c>
      <c r="L46" s="106">
        <f t="shared" si="11"/>
        <v>9739983220.8840008</v>
      </c>
      <c r="M46" s="106">
        <f t="shared" si="11"/>
        <v>2487721589.62325</v>
      </c>
      <c r="N46" s="106">
        <f t="shared" si="11"/>
        <v>7252261631.2607508</v>
      </c>
      <c r="O46" s="106">
        <f t="shared" si="11"/>
        <v>399920925093.85071</v>
      </c>
      <c r="P46" s="106">
        <f t="shared" si="11"/>
        <v>9886025186.9699993</v>
      </c>
      <c r="Q46" s="106">
        <f t="shared" si="11"/>
        <v>390034899906.88074</v>
      </c>
      <c r="R46" s="106">
        <f t="shared" si="11"/>
        <v>918636149518.39575</v>
      </c>
      <c r="S46" s="106">
        <f t="shared" si="11"/>
        <v>836049090721.45276</v>
      </c>
      <c r="T46" s="106"/>
    </row>
    <row r="47" spans="1:33">
      <c r="B47" s="107"/>
      <c r="C47" s="98"/>
      <c r="D47" s="93"/>
      <c r="E47" s="108"/>
      <c r="F47" s="98"/>
      <c r="G47" s="93"/>
      <c r="H47" s="93"/>
      <c r="I47" s="93"/>
      <c r="J47" s="109"/>
      <c r="K47" s="110"/>
      <c r="L47" s="108"/>
      <c r="M47" s="108"/>
      <c r="N47" s="108"/>
      <c r="O47" s="108"/>
      <c r="P47" s="108"/>
      <c r="Q47" s="108"/>
      <c r="R47" s="97"/>
    </row>
    <row r="48" spans="1:33">
      <c r="B48" s="98"/>
      <c r="C48" s="98"/>
      <c r="D48" s="98"/>
      <c r="E48" s="98"/>
      <c r="F48" s="93"/>
      <c r="G48" s="93"/>
      <c r="H48" s="98"/>
      <c r="I48" s="93"/>
      <c r="J48" s="93"/>
      <c r="K48" s="93"/>
      <c r="L48" s="111"/>
      <c r="M48" s="111"/>
      <c r="N48" s="111"/>
      <c r="O48" s="107"/>
      <c r="P48" s="107"/>
      <c r="Q48" s="111"/>
      <c r="S48" s="81"/>
    </row>
    <row r="49" spans="1:19">
      <c r="G49" s="81"/>
      <c r="H49" s="19"/>
      <c r="I49" s="97"/>
      <c r="J49" s="81"/>
      <c r="K49" s="81"/>
      <c r="Q49" s="81"/>
      <c r="R49" s="81"/>
      <c r="S49" s="97"/>
    </row>
    <row r="50" spans="1:19">
      <c r="C50" s="112"/>
      <c r="D50" s="19"/>
      <c r="E50" s="97"/>
      <c r="G50" s="81"/>
      <c r="H50" s="81"/>
      <c r="I50" s="97"/>
      <c r="J50" s="19"/>
      <c r="K50" s="19"/>
      <c r="L50" s="19"/>
      <c r="N50" s="19"/>
      <c r="R50" s="81"/>
      <c r="S50" s="81"/>
    </row>
    <row r="51" spans="1:19">
      <c r="C51" s="112"/>
      <c r="D51" s="19"/>
      <c r="H51" s="81"/>
      <c r="J51" s="97"/>
      <c r="K51" s="97"/>
      <c r="N51" s="81"/>
      <c r="S51" s="81"/>
    </row>
    <row r="52" spans="1:19">
      <c r="D52" s="81"/>
      <c r="H52" s="81"/>
      <c r="N52" s="81"/>
      <c r="Q52" s="81"/>
    </row>
    <row r="53" spans="1:19">
      <c r="H53" s="97"/>
      <c r="R53" s="81"/>
    </row>
    <row r="54" spans="1:19" ht="20.25">
      <c r="A54" s="113" t="s">
        <v>53</v>
      </c>
    </row>
  </sheetData>
  <mergeCells count="24">
    <mergeCell ref="T7:T8"/>
    <mergeCell ref="O7:O8"/>
    <mergeCell ref="P7:P8"/>
    <mergeCell ref="Q7:Q8"/>
    <mergeCell ref="R7:R8"/>
    <mergeCell ref="S7:S8"/>
    <mergeCell ref="J7:J8"/>
    <mergeCell ref="K7:K8"/>
    <mergeCell ref="L7:L8"/>
    <mergeCell ref="M7:M8"/>
    <mergeCell ref="N7:N8"/>
    <mergeCell ref="G7:I7"/>
    <mergeCell ref="B46:C46"/>
    <mergeCell ref="A7:A8"/>
    <mergeCell ref="B7:B8"/>
    <mergeCell ref="C7:C8"/>
    <mergeCell ref="D7:D8"/>
    <mergeCell ref="E7:E8"/>
    <mergeCell ref="F7:F8"/>
    <mergeCell ref="A1:T1"/>
    <mergeCell ref="A2:T2"/>
    <mergeCell ref="A3:T3"/>
    <mergeCell ref="A4:S4"/>
    <mergeCell ref="D5:S5"/>
  </mergeCells>
  <pageMargins left="0.109722222222222" right="0.109722222222222" top="0.35763888888888901" bottom="0.35763888888888901" header="0.29861111111111099" footer="0.29861111111111099"/>
  <pageSetup paperSize="9" scale="3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Z424"/>
  <sheetViews>
    <sheetView zoomScale="70" zoomScaleNormal="70" workbookViewId="0">
      <selection activeCell="A5" sqref="A5"/>
    </sheetView>
  </sheetViews>
  <sheetFormatPr defaultColWidth="9.1328125" defaultRowHeight="13.15"/>
  <cols>
    <col min="1" max="1" width="9.265625" style="1" customWidth="1"/>
    <col min="2" max="2" width="13.86328125" style="60" customWidth="1"/>
    <col min="3" max="3" width="9" style="1" customWidth="1"/>
    <col min="4" max="4" width="20.73046875" style="1" customWidth="1"/>
    <col min="5" max="10" width="19.86328125" style="1" customWidth="1"/>
    <col min="11" max="11" width="18.3984375" style="1" customWidth="1"/>
    <col min="12" max="12" width="19.73046875" style="1" customWidth="1"/>
    <col min="13" max="13" width="0.73046875" style="1" customWidth="1"/>
    <col min="14" max="14" width="4.73046875" style="1" customWidth="1"/>
    <col min="15" max="15" width="9.3984375" style="1" customWidth="1"/>
    <col min="16" max="16" width="17.86328125" style="60" customWidth="1"/>
    <col min="17" max="17" width="22.73046875" style="1" customWidth="1"/>
    <col min="18" max="19" width="21.3984375" style="1" customWidth="1"/>
    <col min="20" max="20" width="21.86328125" style="1" customWidth="1"/>
    <col min="21" max="23" width="18.59765625" style="1" customWidth="1"/>
    <col min="24" max="24" width="22.1328125" style="1" customWidth="1"/>
    <col min="25" max="25" width="20.73046875" style="1" customWidth="1"/>
    <col min="26" max="26" width="14.59765625" style="1" customWidth="1"/>
    <col min="27" max="16384" width="9.1328125" style="1"/>
  </cols>
  <sheetData>
    <row r="1" spans="1:25" ht="24.75">
      <c r="A1" s="155" t="s">
        <v>119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</row>
    <row r="2" spans="1:25" ht="24.75">
      <c r="A2" s="155" t="s">
        <v>59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</row>
    <row r="3" spans="1:25" ht="45" customHeight="1">
      <c r="A3" s="168" t="s">
        <v>120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</row>
    <row r="4" spans="1:25">
      <c r="M4" s="1">
        <v>0</v>
      </c>
    </row>
    <row r="5" spans="1:25" ht="76.150000000000006" customHeight="1">
      <c r="A5" s="61" t="s">
        <v>21</v>
      </c>
      <c r="B5" s="52" t="s">
        <v>121</v>
      </c>
      <c r="C5" s="52" t="s">
        <v>21</v>
      </c>
      <c r="D5" s="52" t="s">
        <v>122</v>
      </c>
      <c r="E5" s="52" t="s">
        <v>46</v>
      </c>
      <c r="F5" s="52" t="s">
        <v>123</v>
      </c>
      <c r="G5" s="52" t="s">
        <v>993</v>
      </c>
      <c r="H5" s="52" t="s">
        <v>72</v>
      </c>
      <c r="I5" s="52" t="s">
        <v>73</v>
      </c>
      <c r="J5" s="52" t="s">
        <v>74</v>
      </c>
      <c r="K5" s="52" t="s">
        <v>47</v>
      </c>
      <c r="L5" s="62" t="s">
        <v>124</v>
      </c>
      <c r="M5" s="63"/>
      <c r="N5" s="64"/>
      <c r="O5" s="52" t="s">
        <v>21</v>
      </c>
      <c r="P5" s="65" t="s">
        <v>125</v>
      </c>
      <c r="Q5" s="52" t="s">
        <v>122</v>
      </c>
      <c r="R5" s="52" t="s">
        <v>46</v>
      </c>
      <c r="S5" s="52" t="s">
        <v>123</v>
      </c>
      <c r="T5" s="52" t="s">
        <v>993</v>
      </c>
      <c r="U5" s="52" t="s">
        <v>72</v>
      </c>
      <c r="V5" s="52" t="s">
        <v>73</v>
      </c>
      <c r="W5" s="52" t="s">
        <v>74</v>
      </c>
      <c r="X5" s="52" t="s">
        <v>47</v>
      </c>
      <c r="Y5" s="52" t="s">
        <v>124</v>
      </c>
    </row>
    <row r="6" spans="1:25" ht="15">
      <c r="A6" s="64"/>
      <c r="B6" s="66"/>
      <c r="C6" s="64"/>
      <c r="D6" s="62"/>
      <c r="E6" s="144" t="s">
        <v>26</v>
      </c>
      <c r="F6" s="144" t="s">
        <v>26</v>
      </c>
      <c r="G6" s="144" t="s">
        <v>26</v>
      </c>
      <c r="H6" s="144" t="s">
        <v>26</v>
      </c>
      <c r="I6" s="144" t="s">
        <v>26</v>
      </c>
      <c r="J6" s="144" t="s">
        <v>26</v>
      </c>
      <c r="K6" s="144" t="s">
        <v>26</v>
      </c>
      <c r="L6" s="144" t="s">
        <v>26</v>
      </c>
      <c r="M6" s="63"/>
      <c r="N6" s="64"/>
      <c r="O6" s="62"/>
      <c r="P6" s="67"/>
      <c r="Q6" s="62"/>
      <c r="R6" s="144" t="s">
        <v>26</v>
      </c>
      <c r="S6" s="144" t="s">
        <v>26</v>
      </c>
      <c r="T6" s="144" t="s">
        <v>26</v>
      </c>
      <c r="U6" s="144" t="s">
        <v>26</v>
      </c>
      <c r="V6" s="144" t="s">
        <v>26</v>
      </c>
      <c r="W6" s="144" t="s">
        <v>26</v>
      </c>
      <c r="X6" s="144" t="s">
        <v>26</v>
      </c>
      <c r="Y6" s="144" t="s">
        <v>26</v>
      </c>
    </row>
    <row r="7" spans="1:25" ht="24.95" customHeight="1">
      <c r="A7" s="174">
        <v>1</v>
      </c>
      <c r="B7" s="175" t="s">
        <v>83</v>
      </c>
      <c r="C7" s="64">
        <v>1</v>
      </c>
      <c r="D7" s="68" t="s">
        <v>126</v>
      </c>
      <c r="E7" s="68">
        <v>234528473.75999999</v>
      </c>
      <c r="F7" s="68">
        <v>0</v>
      </c>
      <c r="G7" s="68">
        <v>53167776.43</v>
      </c>
      <c r="H7" s="68">
        <v>8630887.5057999995</v>
      </c>
      <c r="I7" s="68">
        <v>8630887.5057999995</v>
      </c>
      <c r="J7" s="68">
        <f t="shared" ref="J7:J23" si="0">H7-I7</f>
        <v>0</v>
      </c>
      <c r="K7" s="68">
        <v>223381333.41</v>
      </c>
      <c r="L7" s="69">
        <f>E7+F7+G7+J7+K7</f>
        <v>511077583.60000002</v>
      </c>
      <c r="M7" s="63"/>
      <c r="N7" s="174">
        <v>19</v>
      </c>
      <c r="O7" s="70">
        <v>26</v>
      </c>
      <c r="P7" s="180" t="s">
        <v>101</v>
      </c>
      <c r="Q7" s="68" t="s">
        <v>127</v>
      </c>
      <c r="R7" s="68">
        <v>248279455.38999999</v>
      </c>
      <c r="S7" s="71">
        <v>0</v>
      </c>
      <c r="T7" s="68">
        <v>56285134.020000003</v>
      </c>
      <c r="U7" s="68">
        <v>9136937.6821999997</v>
      </c>
      <c r="V7" s="68">
        <v>0</v>
      </c>
      <c r="W7" s="68">
        <f t="shared" ref="W7:W25" si="1">U7-V7</f>
        <v>9136937.6821999997</v>
      </c>
      <c r="X7" s="68">
        <v>246534607.91</v>
      </c>
      <c r="Y7" s="69">
        <f>R7+S7+T7+U7+V7</f>
        <v>313701527.09219998</v>
      </c>
    </row>
    <row r="8" spans="1:25" ht="24.95" customHeight="1">
      <c r="A8" s="174"/>
      <c r="B8" s="176"/>
      <c r="C8" s="64">
        <v>2</v>
      </c>
      <c r="D8" s="68" t="s">
        <v>128</v>
      </c>
      <c r="E8" s="68">
        <v>391280206.25</v>
      </c>
      <c r="F8" s="68">
        <v>0</v>
      </c>
      <c r="G8" s="68">
        <v>88703508.769999996</v>
      </c>
      <c r="H8" s="68">
        <v>14399511.4505</v>
      </c>
      <c r="I8" s="68">
        <v>14399511.4505</v>
      </c>
      <c r="J8" s="68">
        <f t="shared" si="0"/>
        <v>0</v>
      </c>
      <c r="K8" s="68">
        <v>341579650.74000001</v>
      </c>
      <c r="L8" s="69">
        <f t="shared" ref="L8:L71" si="2">E8+F8+G8+J8+K8</f>
        <v>821563365.75999999</v>
      </c>
      <c r="M8" s="63"/>
      <c r="N8" s="174"/>
      <c r="O8" s="70">
        <v>27</v>
      </c>
      <c r="P8" s="181"/>
      <c r="Q8" s="68" t="s">
        <v>129</v>
      </c>
      <c r="R8" s="68">
        <v>243148437.09999999</v>
      </c>
      <c r="S8" s="71">
        <v>0</v>
      </c>
      <c r="T8" s="68">
        <v>55121928.420000002</v>
      </c>
      <c r="U8" s="68">
        <v>8948110.9657000005</v>
      </c>
      <c r="V8" s="68">
        <v>0</v>
      </c>
      <c r="W8" s="68">
        <f t="shared" si="1"/>
        <v>8948110.9657000005</v>
      </c>
      <c r="X8" s="68">
        <v>259081718.47999999</v>
      </c>
      <c r="Y8" s="69">
        <f t="shared" ref="Y8:Y25" si="3">R8+S8+T8+U8+V8</f>
        <v>307218476.48570001</v>
      </c>
    </row>
    <row r="9" spans="1:25" ht="24.95" customHeight="1">
      <c r="A9" s="174"/>
      <c r="B9" s="176"/>
      <c r="C9" s="64">
        <v>3</v>
      </c>
      <c r="D9" s="68" t="s">
        <v>130</v>
      </c>
      <c r="E9" s="68">
        <v>275308704.99000001</v>
      </c>
      <c r="F9" s="68">
        <v>0</v>
      </c>
      <c r="G9" s="68">
        <v>62412684.659999996</v>
      </c>
      <c r="H9" s="68">
        <v>10131641.6897</v>
      </c>
      <c r="I9" s="68">
        <v>10131641.6897</v>
      </c>
      <c r="J9" s="68">
        <f t="shared" si="0"/>
        <v>0</v>
      </c>
      <c r="K9" s="68">
        <v>246813715.31</v>
      </c>
      <c r="L9" s="69">
        <f t="shared" si="2"/>
        <v>584535104.96000004</v>
      </c>
      <c r="M9" s="63"/>
      <c r="N9" s="174"/>
      <c r="O9" s="70">
        <v>28</v>
      </c>
      <c r="P9" s="181"/>
      <c r="Q9" s="68" t="s">
        <v>131</v>
      </c>
      <c r="R9" s="68">
        <v>243368540.53</v>
      </c>
      <c r="S9" s="71">
        <v>0</v>
      </c>
      <c r="T9" s="68">
        <v>55171826.030000001</v>
      </c>
      <c r="U9" s="68">
        <v>8956210.9969999995</v>
      </c>
      <c r="V9" s="68">
        <v>0</v>
      </c>
      <c r="W9" s="68">
        <f t="shared" si="1"/>
        <v>8956210.9969999995</v>
      </c>
      <c r="X9" s="68">
        <v>256101018.47999999</v>
      </c>
      <c r="Y9" s="69">
        <f t="shared" si="3"/>
        <v>307496577.55699998</v>
      </c>
    </row>
    <row r="10" spans="1:25" ht="24.95" customHeight="1">
      <c r="A10" s="174"/>
      <c r="B10" s="176"/>
      <c r="C10" s="64">
        <v>4</v>
      </c>
      <c r="D10" s="68" t="s">
        <v>132</v>
      </c>
      <c r="E10" s="68">
        <v>280509752.83999997</v>
      </c>
      <c r="F10" s="68">
        <v>0</v>
      </c>
      <c r="G10" s="68">
        <v>63591766.009999998</v>
      </c>
      <c r="H10" s="68">
        <v>10323045.5655</v>
      </c>
      <c r="I10" s="68">
        <v>10323045.5655</v>
      </c>
      <c r="J10" s="68">
        <f t="shared" si="0"/>
        <v>0</v>
      </c>
      <c r="K10" s="68">
        <v>254997750.59999999</v>
      </c>
      <c r="L10" s="69">
        <f t="shared" si="2"/>
        <v>599099269.44999993</v>
      </c>
      <c r="M10" s="63"/>
      <c r="N10" s="174"/>
      <c r="O10" s="70">
        <v>29</v>
      </c>
      <c r="P10" s="181"/>
      <c r="Q10" s="68" t="s">
        <v>133</v>
      </c>
      <c r="R10" s="68">
        <v>288432107.86000001</v>
      </c>
      <c r="S10" s="71">
        <v>0</v>
      </c>
      <c r="T10" s="68">
        <v>65387769.689999998</v>
      </c>
      <c r="U10" s="68">
        <v>10614596.3265</v>
      </c>
      <c r="V10" s="68">
        <v>0</v>
      </c>
      <c r="W10" s="68">
        <f t="shared" si="1"/>
        <v>10614596.3265</v>
      </c>
      <c r="X10" s="68">
        <v>288148213.69999999</v>
      </c>
      <c r="Y10" s="69">
        <f t="shared" si="3"/>
        <v>364434473.87650001</v>
      </c>
    </row>
    <row r="11" spans="1:25" ht="24.95" customHeight="1">
      <c r="A11" s="174"/>
      <c r="B11" s="176"/>
      <c r="C11" s="64">
        <v>5</v>
      </c>
      <c r="D11" s="68" t="s">
        <v>134</v>
      </c>
      <c r="E11" s="68">
        <v>255318813.22</v>
      </c>
      <c r="F11" s="68">
        <v>0</v>
      </c>
      <c r="G11" s="68">
        <v>57880961.590000004</v>
      </c>
      <c r="H11" s="68">
        <v>9395993.2443000004</v>
      </c>
      <c r="I11" s="68">
        <v>9395993.2443000004</v>
      </c>
      <c r="J11" s="68">
        <f t="shared" si="0"/>
        <v>0</v>
      </c>
      <c r="K11" s="68">
        <v>234778457.19999999</v>
      </c>
      <c r="L11" s="69">
        <f t="shared" si="2"/>
        <v>547978232.00999999</v>
      </c>
      <c r="M11" s="63"/>
      <c r="N11" s="174"/>
      <c r="O11" s="70">
        <v>30</v>
      </c>
      <c r="P11" s="181"/>
      <c r="Q11" s="68" t="s">
        <v>135</v>
      </c>
      <c r="R11" s="68">
        <v>290688505.81</v>
      </c>
      <c r="S11" s="71">
        <v>0</v>
      </c>
      <c r="T11" s="68">
        <v>65899296.75</v>
      </c>
      <c r="U11" s="68">
        <v>10697634.0768</v>
      </c>
      <c r="V11" s="68">
        <v>0</v>
      </c>
      <c r="W11" s="68">
        <f t="shared" si="1"/>
        <v>10697634.0768</v>
      </c>
      <c r="X11" s="68">
        <v>284933257.12</v>
      </c>
      <c r="Y11" s="69">
        <f t="shared" si="3"/>
        <v>367285436.63679999</v>
      </c>
    </row>
    <row r="12" spans="1:25" ht="24.95" customHeight="1">
      <c r="A12" s="174"/>
      <c r="B12" s="176"/>
      <c r="C12" s="64">
        <v>6</v>
      </c>
      <c r="D12" s="68" t="s">
        <v>136</v>
      </c>
      <c r="E12" s="68">
        <v>263678339.34</v>
      </c>
      <c r="F12" s="68">
        <v>0</v>
      </c>
      <c r="G12" s="68">
        <v>59776072.270000003</v>
      </c>
      <c r="H12" s="68">
        <v>9703632.3480999991</v>
      </c>
      <c r="I12" s="68">
        <v>9703632.3480999991</v>
      </c>
      <c r="J12" s="68">
        <f t="shared" si="0"/>
        <v>0</v>
      </c>
      <c r="K12" s="68">
        <v>240659529.99000001</v>
      </c>
      <c r="L12" s="69">
        <f t="shared" si="2"/>
        <v>564113941.60000002</v>
      </c>
      <c r="M12" s="63"/>
      <c r="N12" s="174"/>
      <c r="O12" s="70">
        <v>31</v>
      </c>
      <c r="P12" s="181"/>
      <c r="Q12" s="68" t="s">
        <v>107</v>
      </c>
      <c r="R12" s="68">
        <v>502592722.91000003</v>
      </c>
      <c r="S12" s="71">
        <v>0</v>
      </c>
      <c r="T12" s="68">
        <v>113938137.66</v>
      </c>
      <c r="U12" s="68">
        <v>18495925.8171</v>
      </c>
      <c r="V12" s="68">
        <v>0</v>
      </c>
      <c r="W12" s="68">
        <f t="shared" si="1"/>
        <v>18495925.8171</v>
      </c>
      <c r="X12" s="68">
        <v>427981077.81999999</v>
      </c>
      <c r="Y12" s="69">
        <f t="shared" si="3"/>
        <v>635026786.3871001</v>
      </c>
    </row>
    <row r="13" spans="1:25" ht="24.95" customHeight="1">
      <c r="A13" s="174"/>
      <c r="B13" s="176"/>
      <c r="C13" s="64">
        <v>7</v>
      </c>
      <c r="D13" s="68" t="s">
        <v>137</v>
      </c>
      <c r="E13" s="68">
        <v>255838614.19999999</v>
      </c>
      <c r="F13" s="68">
        <v>0</v>
      </c>
      <c r="G13" s="68">
        <v>57998800.850000001</v>
      </c>
      <c r="H13" s="68">
        <v>9415122.4514000006</v>
      </c>
      <c r="I13" s="68">
        <v>9415122.4514000006</v>
      </c>
      <c r="J13" s="68">
        <f t="shared" si="0"/>
        <v>0</v>
      </c>
      <c r="K13" s="68">
        <v>233571307.33000001</v>
      </c>
      <c r="L13" s="69">
        <f t="shared" si="2"/>
        <v>547408722.38</v>
      </c>
      <c r="M13" s="63"/>
      <c r="N13" s="174"/>
      <c r="O13" s="70">
        <v>32</v>
      </c>
      <c r="P13" s="181"/>
      <c r="Q13" s="68" t="s">
        <v>138</v>
      </c>
      <c r="R13" s="68">
        <v>251737597.56</v>
      </c>
      <c r="S13" s="71">
        <v>0</v>
      </c>
      <c r="T13" s="68">
        <v>57069097.380000003</v>
      </c>
      <c r="U13" s="68">
        <v>9264200.8480999991</v>
      </c>
      <c r="V13" s="68">
        <v>0</v>
      </c>
      <c r="W13" s="68">
        <f t="shared" si="1"/>
        <v>9264200.8480999991</v>
      </c>
      <c r="X13" s="68">
        <v>259394807.80000001</v>
      </c>
      <c r="Y13" s="69">
        <f t="shared" si="3"/>
        <v>318070895.7881</v>
      </c>
    </row>
    <row r="14" spans="1:25" ht="24.95" customHeight="1">
      <c r="A14" s="174"/>
      <c r="B14" s="176"/>
      <c r="C14" s="64">
        <v>8</v>
      </c>
      <c r="D14" s="68" t="s">
        <v>139</v>
      </c>
      <c r="E14" s="68">
        <v>249458601.88999999</v>
      </c>
      <c r="F14" s="68">
        <v>0</v>
      </c>
      <c r="G14" s="68">
        <v>56552447.390000001</v>
      </c>
      <c r="H14" s="68">
        <v>9180331.4784999993</v>
      </c>
      <c r="I14" s="68">
        <v>9180331.4784999993</v>
      </c>
      <c r="J14" s="68">
        <f t="shared" si="0"/>
        <v>0</v>
      </c>
      <c r="K14" s="68">
        <v>225979451.72</v>
      </c>
      <c r="L14" s="69">
        <f t="shared" si="2"/>
        <v>531990501</v>
      </c>
      <c r="M14" s="63"/>
      <c r="N14" s="174"/>
      <c r="O14" s="70">
        <v>33</v>
      </c>
      <c r="P14" s="181"/>
      <c r="Q14" s="68" t="s">
        <v>140</v>
      </c>
      <c r="R14" s="68">
        <v>249137412.05000001</v>
      </c>
      <c r="S14" s="71">
        <v>0</v>
      </c>
      <c r="T14" s="68">
        <v>56479633.420000002</v>
      </c>
      <c r="U14" s="68">
        <v>9168511.3641999997</v>
      </c>
      <c r="V14" s="68">
        <v>0</v>
      </c>
      <c r="W14" s="68">
        <f t="shared" si="1"/>
        <v>9168511.3641999997</v>
      </c>
      <c r="X14" s="68">
        <v>244207734.05000001</v>
      </c>
      <c r="Y14" s="69">
        <f t="shared" si="3"/>
        <v>314785556.83420002</v>
      </c>
    </row>
    <row r="15" spans="1:25" ht="24.95" customHeight="1">
      <c r="A15" s="174"/>
      <c r="B15" s="176"/>
      <c r="C15" s="64">
        <v>9</v>
      </c>
      <c r="D15" s="68" t="s">
        <v>141</v>
      </c>
      <c r="E15" s="68">
        <v>269130307.19</v>
      </c>
      <c r="F15" s="68">
        <v>0</v>
      </c>
      <c r="G15" s="68">
        <v>61012037.359999999</v>
      </c>
      <c r="H15" s="68">
        <v>9904270.3365000002</v>
      </c>
      <c r="I15" s="68">
        <v>9904270.3365000002</v>
      </c>
      <c r="J15" s="68">
        <f t="shared" si="0"/>
        <v>0</v>
      </c>
      <c r="K15" s="68">
        <v>244468160.71000001</v>
      </c>
      <c r="L15" s="69">
        <f t="shared" si="2"/>
        <v>574610505.25999999</v>
      </c>
      <c r="M15" s="63"/>
      <c r="N15" s="174"/>
      <c r="O15" s="70">
        <v>34</v>
      </c>
      <c r="P15" s="181"/>
      <c r="Q15" s="68" t="s">
        <v>142</v>
      </c>
      <c r="R15" s="68">
        <v>298223792.12</v>
      </c>
      <c r="S15" s="71">
        <v>0</v>
      </c>
      <c r="T15" s="68">
        <v>67607551.659999996</v>
      </c>
      <c r="U15" s="68">
        <v>10974940.3134</v>
      </c>
      <c r="V15" s="68">
        <v>0</v>
      </c>
      <c r="W15" s="68">
        <f t="shared" si="1"/>
        <v>10974940.3134</v>
      </c>
      <c r="X15" s="68">
        <v>290144438.32999998</v>
      </c>
      <c r="Y15" s="69">
        <f t="shared" si="3"/>
        <v>376806284.0934</v>
      </c>
    </row>
    <row r="16" spans="1:25" ht="24.95" customHeight="1">
      <c r="A16" s="174"/>
      <c r="B16" s="176"/>
      <c r="C16" s="64">
        <v>10</v>
      </c>
      <c r="D16" s="68" t="s">
        <v>143</v>
      </c>
      <c r="E16" s="68">
        <v>273112805.56</v>
      </c>
      <c r="F16" s="68">
        <v>0</v>
      </c>
      <c r="G16" s="68">
        <v>61914872.659999996</v>
      </c>
      <c r="H16" s="68">
        <v>10050830.3467</v>
      </c>
      <c r="I16" s="68">
        <v>10050830.3467</v>
      </c>
      <c r="J16" s="68">
        <f t="shared" si="0"/>
        <v>0</v>
      </c>
      <c r="K16" s="68">
        <v>251010531.94999999</v>
      </c>
      <c r="L16" s="69">
        <f t="shared" si="2"/>
        <v>586038210.17000008</v>
      </c>
      <c r="M16" s="63"/>
      <c r="N16" s="174"/>
      <c r="O16" s="70">
        <v>35</v>
      </c>
      <c r="P16" s="181"/>
      <c r="Q16" s="68" t="s">
        <v>144</v>
      </c>
      <c r="R16" s="68">
        <v>246063373.06999999</v>
      </c>
      <c r="S16" s="71">
        <v>0</v>
      </c>
      <c r="T16" s="68">
        <v>55782746.539999999</v>
      </c>
      <c r="U16" s="68">
        <v>9055383.5880999994</v>
      </c>
      <c r="V16" s="68">
        <v>0</v>
      </c>
      <c r="W16" s="68">
        <f t="shared" si="1"/>
        <v>9055383.5880999994</v>
      </c>
      <c r="X16" s="68">
        <v>257589500.41</v>
      </c>
      <c r="Y16" s="69">
        <f t="shared" si="3"/>
        <v>310901503.19810003</v>
      </c>
    </row>
    <row r="17" spans="1:25" ht="24.95" customHeight="1">
      <c r="A17" s="174"/>
      <c r="B17" s="176"/>
      <c r="C17" s="64">
        <v>11</v>
      </c>
      <c r="D17" s="68" t="s">
        <v>145</v>
      </c>
      <c r="E17" s="68">
        <v>298670698.79000002</v>
      </c>
      <c r="F17" s="68">
        <v>0</v>
      </c>
      <c r="G17" s="68">
        <v>67708865.730000004</v>
      </c>
      <c r="H17" s="68">
        <v>10991386.935699999</v>
      </c>
      <c r="I17" s="68">
        <v>10991386.935699999</v>
      </c>
      <c r="J17" s="68">
        <f t="shared" si="0"/>
        <v>0</v>
      </c>
      <c r="K17" s="68">
        <v>274811671.79000002</v>
      </c>
      <c r="L17" s="69">
        <f t="shared" si="2"/>
        <v>641191236.31000006</v>
      </c>
      <c r="M17" s="63"/>
      <c r="N17" s="174"/>
      <c r="O17" s="70">
        <v>36</v>
      </c>
      <c r="P17" s="181"/>
      <c r="Q17" s="68" t="s">
        <v>146</v>
      </c>
      <c r="R17" s="68">
        <v>311438180.13999999</v>
      </c>
      <c r="S17" s="71">
        <v>0</v>
      </c>
      <c r="T17" s="68">
        <v>70603263.090000004</v>
      </c>
      <c r="U17" s="68">
        <v>11461243.296700001</v>
      </c>
      <c r="V17" s="68">
        <v>0</v>
      </c>
      <c r="W17" s="68">
        <f t="shared" si="1"/>
        <v>11461243.296700001</v>
      </c>
      <c r="X17" s="68">
        <v>299828163.99000001</v>
      </c>
      <c r="Y17" s="69">
        <f t="shared" si="3"/>
        <v>393502686.52670002</v>
      </c>
    </row>
    <row r="18" spans="1:25" ht="24.95" customHeight="1">
      <c r="A18" s="174"/>
      <c r="B18" s="176"/>
      <c r="C18" s="64">
        <v>12</v>
      </c>
      <c r="D18" s="68" t="s">
        <v>147</v>
      </c>
      <c r="E18" s="68">
        <v>287566788.69</v>
      </c>
      <c r="F18" s="68">
        <v>0</v>
      </c>
      <c r="G18" s="68">
        <v>65191601.200000003</v>
      </c>
      <c r="H18" s="68">
        <v>10582751.696699999</v>
      </c>
      <c r="I18" s="68">
        <v>10582751.696699999</v>
      </c>
      <c r="J18" s="68">
        <f t="shared" si="0"/>
        <v>0</v>
      </c>
      <c r="K18" s="68">
        <v>265280007.40000001</v>
      </c>
      <c r="L18" s="69">
        <f t="shared" si="2"/>
        <v>618038397.28999996</v>
      </c>
      <c r="M18" s="63"/>
      <c r="N18" s="174"/>
      <c r="O18" s="70">
        <v>37</v>
      </c>
      <c r="P18" s="181"/>
      <c r="Q18" s="68" t="s">
        <v>148</v>
      </c>
      <c r="R18" s="68">
        <v>273492649.48000002</v>
      </c>
      <c r="S18" s="71">
        <v>0</v>
      </c>
      <c r="T18" s="68">
        <v>62000983.549999997</v>
      </c>
      <c r="U18" s="68">
        <v>10064808.990800001</v>
      </c>
      <c r="V18" s="68">
        <v>0</v>
      </c>
      <c r="W18" s="68">
        <f t="shared" si="1"/>
        <v>10064808.990800001</v>
      </c>
      <c r="X18" s="68">
        <v>280804438.41000003</v>
      </c>
      <c r="Y18" s="69">
        <f t="shared" si="3"/>
        <v>345558442.02080005</v>
      </c>
    </row>
    <row r="19" spans="1:25" ht="24.95" customHeight="1">
      <c r="A19" s="174"/>
      <c r="B19" s="176"/>
      <c r="C19" s="64">
        <v>13</v>
      </c>
      <c r="D19" s="68" t="s">
        <v>149</v>
      </c>
      <c r="E19" s="68">
        <v>219592342.88999999</v>
      </c>
      <c r="F19" s="68">
        <v>0</v>
      </c>
      <c r="G19" s="68">
        <v>49781744.649999999</v>
      </c>
      <c r="H19" s="68">
        <v>8081222.6260000002</v>
      </c>
      <c r="I19" s="68">
        <v>8081222.6260000002</v>
      </c>
      <c r="J19" s="68">
        <f t="shared" si="0"/>
        <v>0</v>
      </c>
      <c r="K19" s="68">
        <v>214089529.81999999</v>
      </c>
      <c r="L19" s="69">
        <f t="shared" si="2"/>
        <v>483463617.35999995</v>
      </c>
      <c r="M19" s="63"/>
      <c r="N19" s="174"/>
      <c r="O19" s="70">
        <v>38</v>
      </c>
      <c r="P19" s="181"/>
      <c r="Q19" s="68" t="s">
        <v>150</v>
      </c>
      <c r="R19" s="68">
        <v>284392324.99000001</v>
      </c>
      <c r="S19" s="71">
        <v>0</v>
      </c>
      <c r="T19" s="68">
        <v>64471947.960000001</v>
      </c>
      <c r="U19" s="68">
        <v>10465928.1885</v>
      </c>
      <c r="V19" s="68">
        <v>0</v>
      </c>
      <c r="W19" s="68">
        <f t="shared" si="1"/>
        <v>10465928.1885</v>
      </c>
      <c r="X19" s="68">
        <v>287762643.07999998</v>
      </c>
      <c r="Y19" s="69">
        <f t="shared" si="3"/>
        <v>359330201.13849998</v>
      </c>
    </row>
    <row r="20" spans="1:25" ht="24.95" customHeight="1">
      <c r="A20" s="174"/>
      <c r="B20" s="176"/>
      <c r="C20" s="64">
        <v>14</v>
      </c>
      <c r="D20" s="68" t="s">
        <v>151</v>
      </c>
      <c r="E20" s="68">
        <v>207484769.83000001</v>
      </c>
      <c r="F20" s="68">
        <v>0</v>
      </c>
      <c r="G20" s="68">
        <v>47036948.979999997</v>
      </c>
      <c r="H20" s="68">
        <v>7635651.5642999997</v>
      </c>
      <c r="I20" s="68">
        <v>7635651.5642999997</v>
      </c>
      <c r="J20" s="68">
        <f t="shared" si="0"/>
        <v>0</v>
      </c>
      <c r="K20" s="68">
        <v>205215054.12</v>
      </c>
      <c r="L20" s="69">
        <f t="shared" si="2"/>
        <v>459736772.93000001</v>
      </c>
      <c r="M20" s="63"/>
      <c r="N20" s="174"/>
      <c r="O20" s="70">
        <v>39</v>
      </c>
      <c r="P20" s="181"/>
      <c r="Q20" s="68" t="s">
        <v>152</v>
      </c>
      <c r="R20" s="68">
        <v>223888859.36000001</v>
      </c>
      <c r="S20" s="71">
        <v>0</v>
      </c>
      <c r="T20" s="68">
        <v>50755768.07</v>
      </c>
      <c r="U20" s="68">
        <v>8239338.8230999997</v>
      </c>
      <c r="V20" s="68">
        <v>0</v>
      </c>
      <c r="W20" s="68">
        <f t="shared" si="1"/>
        <v>8239338.8230999997</v>
      </c>
      <c r="X20" s="68">
        <v>241571507.02000001</v>
      </c>
      <c r="Y20" s="69">
        <f t="shared" si="3"/>
        <v>282883966.25309998</v>
      </c>
    </row>
    <row r="21" spans="1:25" ht="24.95" customHeight="1">
      <c r="A21" s="174"/>
      <c r="B21" s="176"/>
      <c r="C21" s="64">
        <v>15</v>
      </c>
      <c r="D21" s="68" t="s">
        <v>153</v>
      </c>
      <c r="E21" s="68">
        <v>216052420.66</v>
      </c>
      <c r="F21" s="68">
        <v>0</v>
      </c>
      <c r="G21" s="68">
        <v>48979241.689999998</v>
      </c>
      <c r="H21" s="68">
        <v>7950949.8705000002</v>
      </c>
      <c r="I21" s="68">
        <v>7950949.8705000002</v>
      </c>
      <c r="J21" s="68">
        <f t="shared" si="0"/>
        <v>0</v>
      </c>
      <c r="K21" s="68">
        <v>216307681.72999999</v>
      </c>
      <c r="L21" s="69">
        <f t="shared" si="2"/>
        <v>481339344.07999998</v>
      </c>
      <c r="M21" s="63"/>
      <c r="N21" s="174"/>
      <c r="O21" s="70">
        <v>40</v>
      </c>
      <c r="P21" s="181"/>
      <c r="Q21" s="68" t="s">
        <v>154</v>
      </c>
      <c r="R21" s="68">
        <v>246845418.41</v>
      </c>
      <c r="S21" s="71">
        <v>0</v>
      </c>
      <c r="T21" s="68">
        <v>55960036.789999999</v>
      </c>
      <c r="U21" s="68">
        <v>9084163.6557999998</v>
      </c>
      <c r="V21" s="68">
        <v>0</v>
      </c>
      <c r="W21" s="68">
        <f t="shared" si="1"/>
        <v>9084163.6557999998</v>
      </c>
      <c r="X21" s="68">
        <v>263968228.30000001</v>
      </c>
      <c r="Y21" s="69">
        <f t="shared" si="3"/>
        <v>311889618.85579997</v>
      </c>
    </row>
    <row r="22" spans="1:25" ht="24.95" customHeight="1">
      <c r="A22" s="174"/>
      <c r="B22" s="176"/>
      <c r="C22" s="64">
        <v>16</v>
      </c>
      <c r="D22" s="68" t="s">
        <v>155</v>
      </c>
      <c r="E22" s="68">
        <v>322064487.37</v>
      </c>
      <c r="F22" s="68">
        <v>0</v>
      </c>
      <c r="G22" s="68">
        <v>73012254.700000003</v>
      </c>
      <c r="H22" s="68">
        <v>11852302.2623</v>
      </c>
      <c r="I22" s="68">
        <v>11852302.2623</v>
      </c>
      <c r="J22" s="68">
        <f t="shared" si="0"/>
        <v>0</v>
      </c>
      <c r="K22" s="68">
        <v>265664083.56</v>
      </c>
      <c r="L22" s="69">
        <f t="shared" si="2"/>
        <v>660740825.63</v>
      </c>
      <c r="M22" s="63"/>
      <c r="N22" s="174"/>
      <c r="O22" s="70">
        <v>41</v>
      </c>
      <c r="P22" s="181"/>
      <c r="Q22" s="68" t="s">
        <v>156</v>
      </c>
      <c r="R22" s="68">
        <v>304369167.39999998</v>
      </c>
      <c r="S22" s="71">
        <v>0</v>
      </c>
      <c r="T22" s="68">
        <v>69000712.730000004</v>
      </c>
      <c r="U22" s="68">
        <v>11201096.4038</v>
      </c>
      <c r="V22" s="68">
        <v>0</v>
      </c>
      <c r="W22" s="68">
        <f t="shared" si="1"/>
        <v>11201096.4038</v>
      </c>
      <c r="X22" s="68">
        <v>291638898.08999997</v>
      </c>
      <c r="Y22" s="69">
        <f t="shared" si="3"/>
        <v>384570976.53380001</v>
      </c>
    </row>
    <row r="23" spans="1:25" ht="24.95" customHeight="1">
      <c r="A23" s="174"/>
      <c r="B23" s="177"/>
      <c r="C23" s="64">
        <v>17</v>
      </c>
      <c r="D23" s="68" t="s">
        <v>157</v>
      </c>
      <c r="E23" s="68">
        <v>278282610.12</v>
      </c>
      <c r="F23" s="68">
        <v>0</v>
      </c>
      <c r="G23" s="68">
        <v>63086871.130000003</v>
      </c>
      <c r="H23" s="68">
        <v>10241084.4374</v>
      </c>
      <c r="I23" s="68">
        <v>10241084.4374</v>
      </c>
      <c r="J23" s="68">
        <f t="shared" si="0"/>
        <v>0</v>
      </c>
      <c r="K23" s="68">
        <v>234994033.02000001</v>
      </c>
      <c r="L23" s="69">
        <f t="shared" si="2"/>
        <v>576363514.26999998</v>
      </c>
      <c r="M23" s="63"/>
      <c r="N23" s="174"/>
      <c r="O23" s="70">
        <v>42</v>
      </c>
      <c r="P23" s="181"/>
      <c r="Q23" s="68" t="s">
        <v>158</v>
      </c>
      <c r="R23" s="68">
        <v>355859813.11000001</v>
      </c>
      <c r="S23" s="71">
        <v>0</v>
      </c>
      <c r="T23" s="68">
        <v>80673679.75</v>
      </c>
      <c r="U23" s="68">
        <v>13096004.786</v>
      </c>
      <c r="V23" s="68">
        <v>0</v>
      </c>
      <c r="W23" s="68">
        <f t="shared" si="1"/>
        <v>13096004.786</v>
      </c>
      <c r="X23" s="68">
        <v>343166002.74000001</v>
      </c>
      <c r="Y23" s="69">
        <f t="shared" si="3"/>
        <v>449629497.64600003</v>
      </c>
    </row>
    <row r="24" spans="1:25" ht="24.95" customHeight="1">
      <c r="A24" s="64"/>
      <c r="B24" s="169" t="s">
        <v>159</v>
      </c>
      <c r="C24" s="170"/>
      <c r="D24" s="72"/>
      <c r="E24" s="72">
        <f t="shared" ref="E24:L24" si="4">SUM(E7:E23)</f>
        <v>4577878737.5899992</v>
      </c>
      <c r="F24" s="68">
        <v>0</v>
      </c>
      <c r="G24" s="72">
        <f t="shared" si="4"/>
        <v>1037808456.0700001</v>
      </c>
      <c r="H24" s="72">
        <f t="shared" si="4"/>
        <v>168470615.80990002</v>
      </c>
      <c r="I24" s="72">
        <f t="shared" si="4"/>
        <v>168470615.80990002</v>
      </c>
      <c r="J24" s="72">
        <f t="shared" si="4"/>
        <v>0</v>
      </c>
      <c r="K24" s="72">
        <f t="shared" si="4"/>
        <v>4173601950.3999996</v>
      </c>
      <c r="L24" s="72">
        <f t="shared" si="4"/>
        <v>9789289144.0600014</v>
      </c>
      <c r="M24" s="63"/>
      <c r="N24" s="174"/>
      <c r="O24" s="70">
        <v>43</v>
      </c>
      <c r="P24" s="181"/>
      <c r="Q24" s="68" t="s">
        <v>160</v>
      </c>
      <c r="R24" s="68">
        <v>232234815.66</v>
      </c>
      <c r="S24" s="71">
        <v>0</v>
      </c>
      <c r="T24" s="68">
        <v>52647802.469999999</v>
      </c>
      <c r="U24" s="68">
        <v>8546478.5438000001</v>
      </c>
      <c r="V24" s="68">
        <v>0</v>
      </c>
      <c r="W24" s="68">
        <f t="shared" si="1"/>
        <v>8546478.5438000001</v>
      </c>
      <c r="X24" s="68">
        <v>253173371.80000001</v>
      </c>
      <c r="Y24" s="69">
        <f t="shared" si="3"/>
        <v>293429096.67379999</v>
      </c>
    </row>
    <row r="25" spans="1:25" ht="24.95" customHeight="1">
      <c r="A25" s="174">
        <v>2</v>
      </c>
      <c r="B25" s="175" t="s">
        <v>161</v>
      </c>
      <c r="C25" s="64">
        <v>1</v>
      </c>
      <c r="D25" s="68" t="s">
        <v>162</v>
      </c>
      <c r="E25" s="68">
        <v>285387897.19</v>
      </c>
      <c r="F25" s="68">
        <v>0</v>
      </c>
      <c r="G25" s="68">
        <v>64697644.899999999</v>
      </c>
      <c r="H25" s="68">
        <v>10502566.262700001</v>
      </c>
      <c r="I25" s="68">
        <v>0</v>
      </c>
      <c r="J25" s="68">
        <f t="shared" ref="J25:J45" si="5">H25-I25</f>
        <v>10502566.262700001</v>
      </c>
      <c r="K25" s="68">
        <v>261743150.93000001</v>
      </c>
      <c r="L25" s="69">
        <f t="shared" si="2"/>
        <v>622331259.28270006</v>
      </c>
      <c r="M25" s="63"/>
      <c r="N25" s="174"/>
      <c r="O25" s="70">
        <v>44</v>
      </c>
      <c r="P25" s="182"/>
      <c r="Q25" s="68" t="s">
        <v>163</v>
      </c>
      <c r="R25" s="68">
        <v>273075815.29000002</v>
      </c>
      <c r="S25" s="71">
        <v>0</v>
      </c>
      <c r="T25" s="68">
        <v>61906486.93</v>
      </c>
      <c r="U25" s="68">
        <v>10049469.0666</v>
      </c>
      <c r="V25" s="68">
        <v>0</v>
      </c>
      <c r="W25" s="68">
        <f t="shared" si="1"/>
        <v>10049469.0666</v>
      </c>
      <c r="X25" s="68">
        <v>274246001.73000002</v>
      </c>
      <c r="Y25" s="69">
        <f t="shared" si="3"/>
        <v>345031771.28660005</v>
      </c>
    </row>
    <row r="26" spans="1:25" ht="24.95" customHeight="1">
      <c r="A26" s="174"/>
      <c r="B26" s="176"/>
      <c r="C26" s="64">
        <v>2</v>
      </c>
      <c r="D26" s="68" t="s">
        <v>164</v>
      </c>
      <c r="E26" s="68">
        <v>348643379.41000003</v>
      </c>
      <c r="F26" s="68">
        <v>0</v>
      </c>
      <c r="G26" s="68">
        <v>79037708.959999993</v>
      </c>
      <c r="H26" s="68">
        <v>12830432.650900001</v>
      </c>
      <c r="I26" s="68">
        <v>0</v>
      </c>
      <c r="J26" s="68">
        <f t="shared" si="5"/>
        <v>12830432.650900001</v>
      </c>
      <c r="K26" s="68">
        <v>271844204.48000002</v>
      </c>
      <c r="L26" s="69">
        <f t="shared" si="2"/>
        <v>712355725.50090003</v>
      </c>
      <c r="M26" s="63"/>
      <c r="N26" s="73"/>
      <c r="O26" s="170" t="s">
        <v>165</v>
      </c>
      <c r="P26" s="171"/>
      <c r="Q26" s="72"/>
      <c r="R26" s="72">
        <f>5367268988.24+7237477553.39</f>
        <v>12604746541.630001</v>
      </c>
      <c r="S26" s="72">
        <f t="shared" ref="S26" si="6">SUM(S7:S25)</f>
        <v>0</v>
      </c>
      <c r="T26" s="72">
        <f>1216763802.91+1640741451.69</f>
        <v>2857505254.6000004</v>
      </c>
      <c r="U26" s="72">
        <f>197520983.7342+266346570.15</f>
        <v>463867553.88419998</v>
      </c>
      <c r="V26" s="72">
        <v>0</v>
      </c>
      <c r="W26" s="72">
        <f>U26</f>
        <v>463867553.88419998</v>
      </c>
      <c r="X26" s="72">
        <f>5350275629.26+7178099642.36</f>
        <v>12528375271.619999</v>
      </c>
      <c r="Y26" s="72">
        <f>R26+S26+T26+W26+X26</f>
        <v>28454494621.7342</v>
      </c>
    </row>
    <row r="27" spans="1:25" ht="24.95" customHeight="1">
      <c r="A27" s="174"/>
      <c r="B27" s="176"/>
      <c r="C27" s="64">
        <v>3</v>
      </c>
      <c r="D27" s="68" t="s">
        <v>166</v>
      </c>
      <c r="E27" s="68">
        <v>296869937.44</v>
      </c>
      <c r="F27" s="68">
        <v>0</v>
      </c>
      <c r="G27" s="68">
        <v>67300631.819999993</v>
      </c>
      <c r="H27" s="68">
        <v>10925117.0779</v>
      </c>
      <c r="I27" s="68">
        <v>0</v>
      </c>
      <c r="J27" s="68">
        <f t="shared" si="5"/>
        <v>10925117.0779</v>
      </c>
      <c r="K27" s="68">
        <v>255704039.00999999</v>
      </c>
      <c r="L27" s="69">
        <f t="shared" si="2"/>
        <v>630799725.34789991</v>
      </c>
      <c r="M27" s="63"/>
      <c r="N27" s="175">
        <v>20</v>
      </c>
      <c r="O27" s="70">
        <v>1</v>
      </c>
      <c r="P27" s="175" t="s">
        <v>102</v>
      </c>
      <c r="Q27" s="68" t="s">
        <v>167</v>
      </c>
      <c r="R27" s="68">
        <v>277484988.81999999</v>
      </c>
      <c r="S27" s="71">
        <v>0</v>
      </c>
      <c r="T27" s="68">
        <v>62906049.799999997</v>
      </c>
      <c r="U27" s="68">
        <v>10211731.158500001</v>
      </c>
      <c r="V27" s="68">
        <v>0</v>
      </c>
      <c r="W27" s="68">
        <f t="shared" ref="W27:W60" si="7">U27-V27</f>
        <v>10211731.158500001</v>
      </c>
      <c r="X27" s="68">
        <v>241914235.97999999</v>
      </c>
      <c r="Y27" s="69">
        <f>R27+S27+T27+W27+X27</f>
        <v>592517005.75849998</v>
      </c>
    </row>
    <row r="28" spans="1:25" ht="24.95" customHeight="1">
      <c r="A28" s="174"/>
      <c r="B28" s="176"/>
      <c r="C28" s="64">
        <v>4</v>
      </c>
      <c r="D28" s="68" t="s">
        <v>168</v>
      </c>
      <c r="E28" s="68">
        <v>259913907.71000001</v>
      </c>
      <c r="F28" s="68">
        <v>0</v>
      </c>
      <c r="G28" s="68">
        <v>58922672.859999999</v>
      </c>
      <c r="H28" s="68">
        <v>9565097.4170999993</v>
      </c>
      <c r="I28" s="68">
        <v>0</v>
      </c>
      <c r="J28" s="68">
        <f t="shared" si="5"/>
        <v>9565097.4170999993</v>
      </c>
      <c r="K28" s="68">
        <v>242966758.43000001</v>
      </c>
      <c r="L28" s="69">
        <f t="shared" si="2"/>
        <v>571368436.41709995</v>
      </c>
      <c r="M28" s="63"/>
      <c r="N28" s="176"/>
      <c r="O28" s="70">
        <v>2</v>
      </c>
      <c r="P28" s="176"/>
      <c r="Q28" s="68" t="s">
        <v>169</v>
      </c>
      <c r="R28" s="68">
        <v>285932012.94</v>
      </c>
      <c r="S28" s="71">
        <v>0</v>
      </c>
      <c r="T28" s="68">
        <v>64820996.340000004</v>
      </c>
      <c r="U28" s="68">
        <v>10522590.2785</v>
      </c>
      <c r="V28" s="68">
        <v>0</v>
      </c>
      <c r="W28" s="68">
        <f t="shared" si="7"/>
        <v>10522590.2785</v>
      </c>
      <c r="X28" s="68">
        <v>255066976.37</v>
      </c>
      <c r="Y28" s="69">
        <f t="shared" ref="Y28:Y91" si="8">R28+S28+T28+W28+X28</f>
        <v>616342575.92849994</v>
      </c>
    </row>
    <row r="29" spans="1:25" ht="24.95" customHeight="1">
      <c r="A29" s="174"/>
      <c r="B29" s="176"/>
      <c r="C29" s="64">
        <v>5</v>
      </c>
      <c r="D29" s="68" t="s">
        <v>170</v>
      </c>
      <c r="E29" s="68">
        <v>257194125.62</v>
      </c>
      <c r="F29" s="68">
        <v>0</v>
      </c>
      <c r="G29" s="68">
        <v>58306096.280000001</v>
      </c>
      <c r="H29" s="68">
        <v>9465006.6568999998</v>
      </c>
      <c r="I29" s="68">
        <v>0</v>
      </c>
      <c r="J29" s="68">
        <f t="shared" si="5"/>
        <v>9465006.6568999998</v>
      </c>
      <c r="K29" s="68">
        <v>249106746.38</v>
      </c>
      <c r="L29" s="69">
        <f t="shared" si="2"/>
        <v>574071974.9368999</v>
      </c>
      <c r="M29" s="63"/>
      <c r="N29" s="176"/>
      <c r="O29" s="70">
        <v>3</v>
      </c>
      <c r="P29" s="176"/>
      <c r="Q29" s="68" t="s">
        <v>171</v>
      </c>
      <c r="R29" s="68">
        <v>311067017.35000002</v>
      </c>
      <c r="S29" s="71">
        <v>0</v>
      </c>
      <c r="T29" s="68">
        <v>70519120.209999993</v>
      </c>
      <c r="U29" s="68">
        <v>11447584.126700001</v>
      </c>
      <c r="V29" s="68">
        <v>0</v>
      </c>
      <c r="W29" s="68">
        <f t="shared" si="7"/>
        <v>11447584.126700001</v>
      </c>
      <c r="X29" s="68">
        <v>264184301.78999999</v>
      </c>
      <c r="Y29" s="69">
        <f t="shared" si="8"/>
        <v>657218023.47669995</v>
      </c>
    </row>
    <row r="30" spans="1:25" ht="24.95" customHeight="1">
      <c r="A30" s="174"/>
      <c r="B30" s="176"/>
      <c r="C30" s="64">
        <v>6</v>
      </c>
      <c r="D30" s="68" t="s">
        <v>172</v>
      </c>
      <c r="E30" s="68">
        <v>274977582.19</v>
      </c>
      <c r="F30" s="68">
        <v>0</v>
      </c>
      <c r="G30" s="68">
        <v>62337618.880000003</v>
      </c>
      <c r="H30" s="68">
        <v>10119456.032</v>
      </c>
      <c r="I30" s="68">
        <v>0</v>
      </c>
      <c r="J30" s="68">
        <f t="shared" si="5"/>
        <v>10119456.032</v>
      </c>
      <c r="K30" s="68">
        <v>260821816.47999999</v>
      </c>
      <c r="L30" s="69">
        <f t="shared" si="2"/>
        <v>608256473.58200002</v>
      </c>
      <c r="M30" s="63"/>
      <c r="N30" s="176"/>
      <c r="O30" s="70">
        <v>4</v>
      </c>
      <c r="P30" s="176"/>
      <c r="Q30" s="68" t="s">
        <v>173</v>
      </c>
      <c r="R30" s="68">
        <v>291656265.31</v>
      </c>
      <c r="S30" s="71">
        <v>0</v>
      </c>
      <c r="T30" s="68">
        <v>66118688.539999999</v>
      </c>
      <c r="U30" s="68">
        <v>10733248.6152</v>
      </c>
      <c r="V30" s="68">
        <v>0</v>
      </c>
      <c r="W30" s="68">
        <f t="shared" si="7"/>
        <v>10733248.6152</v>
      </c>
      <c r="X30" s="68">
        <v>259867928.37</v>
      </c>
      <c r="Y30" s="69">
        <f t="shared" si="8"/>
        <v>628376130.83520007</v>
      </c>
    </row>
    <row r="31" spans="1:25" ht="24.95" customHeight="1">
      <c r="A31" s="174"/>
      <c r="B31" s="176"/>
      <c r="C31" s="64">
        <v>7</v>
      </c>
      <c r="D31" s="68" t="s">
        <v>174</v>
      </c>
      <c r="E31" s="68">
        <v>299516515.77999997</v>
      </c>
      <c r="F31" s="68">
        <v>0</v>
      </c>
      <c r="G31" s="68">
        <v>67900613.060000002</v>
      </c>
      <c r="H31" s="68">
        <v>11022513.8651</v>
      </c>
      <c r="I31" s="68">
        <v>0</v>
      </c>
      <c r="J31" s="68">
        <f t="shared" si="5"/>
        <v>11022513.8651</v>
      </c>
      <c r="K31" s="68">
        <v>257586684.69999999</v>
      </c>
      <c r="L31" s="69">
        <f t="shared" si="2"/>
        <v>636026327.40509999</v>
      </c>
      <c r="M31" s="63"/>
      <c r="N31" s="176"/>
      <c r="O31" s="70">
        <v>5</v>
      </c>
      <c r="P31" s="176"/>
      <c r="Q31" s="68" t="s">
        <v>175</v>
      </c>
      <c r="R31" s="68">
        <v>272762246.50999999</v>
      </c>
      <c r="S31" s="71">
        <v>0</v>
      </c>
      <c r="T31" s="68">
        <v>61835400.659999996</v>
      </c>
      <c r="U31" s="68">
        <v>10037929.415100001</v>
      </c>
      <c r="V31" s="68">
        <v>0</v>
      </c>
      <c r="W31" s="68">
        <f t="shared" si="7"/>
        <v>10037929.415100001</v>
      </c>
      <c r="X31" s="68">
        <v>243029476.58000001</v>
      </c>
      <c r="Y31" s="69">
        <f t="shared" si="8"/>
        <v>587665053.16509998</v>
      </c>
    </row>
    <row r="32" spans="1:25" ht="24.95" customHeight="1">
      <c r="A32" s="174"/>
      <c r="B32" s="176"/>
      <c r="C32" s="64">
        <v>8</v>
      </c>
      <c r="D32" s="68" t="s">
        <v>176</v>
      </c>
      <c r="E32" s="68">
        <v>313319260.95999998</v>
      </c>
      <c r="F32" s="68">
        <v>0</v>
      </c>
      <c r="G32" s="68">
        <v>71029705.489999995</v>
      </c>
      <c r="H32" s="68">
        <v>11530468.9934</v>
      </c>
      <c r="I32" s="68">
        <v>0</v>
      </c>
      <c r="J32" s="68">
        <f t="shared" si="5"/>
        <v>11530468.9934</v>
      </c>
      <c r="K32" s="68">
        <v>257342714.15000001</v>
      </c>
      <c r="L32" s="69">
        <f t="shared" si="2"/>
        <v>653222149.5934</v>
      </c>
      <c r="M32" s="63"/>
      <c r="N32" s="176"/>
      <c r="O32" s="70">
        <v>6</v>
      </c>
      <c r="P32" s="176"/>
      <c r="Q32" s="68" t="s">
        <v>177</v>
      </c>
      <c r="R32" s="68">
        <v>255137638.28999999</v>
      </c>
      <c r="S32" s="71">
        <v>0</v>
      </c>
      <c r="T32" s="68">
        <v>57839889.100000001</v>
      </c>
      <c r="U32" s="68">
        <v>9389325.8216999993</v>
      </c>
      <c r="V32" s="68">
        <v>0</v>
      </c>
      <c r="W32" s="68">
        <f t="shared" si="7"/>
        <v>9389325.8216999993</v>
      </c>
      <c r="X32" s="68">
        <v>237521271.5</v>
      </c>
      <c r="Y32" s="69">
        <f t="shared" si="8"/>
        <v>559888124.71169996</v>
      </c>
    </row>
    <row r="33" spans="1:25" ht="24.95" customHeight="1">
      <c r="A33" s="174"/>
      <c r="B33" s="176"/>
      <c r="C33" s="64">
        <v>9</v>
      </c>
      <c r="D33" s="68" t="s">
        <v>178</v>
      </c>
      <c r="E33" s="68">
        <v>243912262.56</v>
      </c>
      <c r="F33" s="68">
        <v>0</v>
      </c>
      <c r="G33" s="68">
        <v>61756794.859999999</v>
      </c>
      <c r="H33" s="68">
        <v>10025169.094699999</v>
      </c>
      <c r="I33" s="68">
        <v>0</v>
      </c>
      <c r="J33" s="68">
        <f t="shared" si="5"/>
        <v>10025169.094699999</v>
      </c>
      <c r="K33" s="68">
        <v>236543570.36000001</v>
      </c>
      <c r="L33" s="69">
        <f t="shared" si="2"/>
        <v>552237796.87470007</v>
      </c>
      <c r="M33" s="63"/>
      <c r="N33" s="176"/>
      <c r="O33" s="70">
        <v>7</v>
      </c>
      <c r="P33" s="176"/>
      <c r="Q33" s="68" t="s">
        <v>179</v>
      </c>
      <c r="R33" s="68">
        <v>274069809.91000003</v>
      </c>
      <c r="S33" s="71">
        <v>0</v>
      </c>
      <c r="T33" s="68">
        <v>58029172.009999998</v>
      </c>
      <c r="U33" s="68">
        <v>9420052.6949000005</v>
      </c>
      <c r="V33" s="68">
        <v>0</v>
      </c>
      <c r="W33" s="68">
        <f t="shared" si="7"/>
        <v>9420052.6949000005</v>
      </c>
      <c r="X33" s="68">
        <v>240557266.50999999</v>
      </c>
      <c r="Y33" s="69">
        <f t="shared" si="8"/>
        <v>582076301.12489998</v>
      </c>
    </row>
    <row r="34" spans="1:25" ht="24.95" customHeight="1">
      <c r="A34" s="174"/>
      <c r="B34" s="176"/>
      <c r="C34" s="64">
        <v>10</v>
      </c>
      <c r="D34" s="68" t="s">
        <v>180</v>
      </c>
      <c r="E34" s="68">
        <v>247869397.38999999</v>
      </c>
      <c r="F34" s="68">
        <v>0</v>
      </c>
      <c r="G34" s="68">
        <v>55295088.210000001</v>
      </c>
      <c r="H34" s="68">
        <v>8976220.5231999997</v>
      </c>
      <c r="I34" s="68">
        <v>0</v>
      </c>
      <c r="J34" s="68">
        <f t="shared" si="5"/>
        <v>8976220.5231999997</v>
      </c>
      <c r="K34" s="68">
        <v>244772065.83000001</v>
      </c>
      <c r="L34" s="69">
        <f t="shared" si="2"/>
        <v>556912771.95319998</v>
      </c>
      <c r="M34" s="63"/>
      <c r="N34" s="176"/>
      <c r="O34" s="70">
        <v>8</v>
      </c>
      <c r="P34" s="176"/>
      <c r="Q34" s="68" t="s">
        <v>181</v>
      </c>
      <c r="R34" s="68">
        <v>257064451.11000001</v>
      </c>
      <c r="S34" s="71">
        <v>0</v>
      </c>
      <c r="T34" s="68">
        <v>62131826.240000002</v>
      </c>
      <c r="U34" s="68">
        <v>10086049.0844</v>
      </c>
      <c r="V34" s="68">
        <v>0</v>
      </c>
      <c r="W34" s="68">
        <f t="shared" si="7"/>
        <v>10086049.0844</v>
      </c>
      <c r="X34" s="68">
        <v>233071517.53999999</v>
      </c>
      <c r="Y34" s="69">
        <f t="shared" si="8"/>
        <v>562353843.97440004</v>
      </c>
    </row>
    <row r="35" spans="1:25" ht="24.95" customHeight="1">
      <c r="A35" s="174"/>
      <c r="B35" s="176"/>
      <c r="C35" s="64">
        <v>11</v>
      </c>
      <c r="D35" s="68" t="s">
        <v>182</v>
      </c>
      <c r="E35" s="68">
        <v>242680097.02000001</v>
      </c>
      <c r="F35" s="68">
        <v>0</v>
      </c>
      <c r="G35" s="68">
        <v>56192173.57</v>
      </c>
      <c r="H35" s="68">
        <v>9121847.1290000007</v>
      </c>
      <c r="I35" s="68">
        <v>0</v>
      </c>
      <c r="J35" s="68">
        <f t="shared" si="5"/>
        <v>9121847.1290000007</v>
      </c>
      <c r="K35" s="68">
        <v>235950269.83000001</v>
      </c>
      <c r="L35" s="69">
        <f t="shared" si="2"/>
        <v>543944387.54900002</v>
      </c>
      <c r="M35" s="63"/>
      <c r="N35" s="176"/>
      <c r="O35" s="70">
        <v>9</v>
      </c>
      <c r="P35" s="176"/>
      <c r="Q35" s="68" t="s">
        <v>183</v>
      </c>
      <c r="R35" s="68">
        <v>255972584.49000001</v>
      </c>
      <c r="S35" s="71">
        <v>0</v>
      </c>
      <c r="T35" s="68">
        <v>58276698.969999999</v>
      </c>
      <c r="U35" s="68">
        <v>9460234.5022999998</v>
      </c>
      <c r="V35" s="68">
        <v>0</v>
      </c>
      <c r="W35" s="68">
        <f t="shared" si="7"/>
        <v>9460234.5022999998</v>
      </c>
      <c r="X35" s="68">
        <v>228583654.87</v>
      </c>
      <c r="Y35" s="69">
        <f t="shared" si="8"/>
        <v>552293172.83230007</v>
      </c>
    </row>
    <row r="36" spans="1:25" ht="24.95" customHeight="1">
      <c r="A36" s="174"/>
      <c r="B36" s="176"/>
      <c r="C36" s="64">
        <v>12</v>
      </c>
      <c r="D36" s="68" t="s">
        <v>184</v>
      </c>
      <c r="E36" s="68">
        <v>281392789.81999999</v>
      </c>
      <c r="F36" s="68">
        <v>0</v>
      </c>
      <c r="G36" s="68">
        <v>55015755.380000003</v>
      </c>
      <c r="H36" s="68">
        <v>8930875.5721000005</v>
      </c>
      <c r="I36" s="68">
        <v>0</v>
      </c>
      <c r="J36" s="68">
        <f t="shared" si="5"/>
        <v>8930875.5721000005</v>
      </c>
      <c r="K36" s="68">
        <v>251609966.49000001</v>
      </c>
      <c r="L36" s="69">
        <f t="shared" si="2"/>
        <v>596949387.26209998</v>
      </c>
      <c r="M36" s="63"/>
      <c r="N36" s="176"/>
      <c r="O36" s="70">
        <v>10</v>
      </c>
      <c r="P36" s="176"/>
      <c r="Q36" s="68" t="s">
        <v>185</v>
      </c>
      <c r="R36" s="68">
        <v>309940950.51999998</v>
      </c>
      <c r="S36" s="71">
        <v>0</v>
      </c>
      <c r="T36" s="68">
        <v>70263840.040000007</v>
      </c>
      <c r="U36" s="68">
        <v>11406143.716700001</v>
      </c>
      <c r="V36" s="68">
        <v>0</v>
      </c>
      <c r="W36" s="68">
        <f t="shared" si="7"/>
        <v>11406143.716700001</v>
      </c>
      <c r="X36" s="68">
        <v>268198047.09999999</v>
      </c>
      <c r="Y36" s="69">
        <f t="shared" si="8"/>
        <v>659808981.37670004</v>
      </c>
    </row>
    <row r="37" spans="1:25" ht="24.95" customHeight="1">
      <c r="A37" s="174"/>
      <c r="B37" s="176"/>
      <c r="C37" s="64">
        <v>13</v>
      </c>
      <c r="D37" s="68" t="s">
        <v>186</v>
      </c>
      <c r="E37" s="68">
        <v>272793644.73000002</v>
      </c>
      <c r="F37" s="68">
        <v>0</v>
      </c>
      <c r="G37" s="68">
        <v>63791951.140000001</v>
      </c>
      <c r="H37" s="68">
        <v>10355542.228800001</v>
      </c>
      <c r="I37" s="68">
        <v>0</v>
      </c>
      <c r="J37" s="68">
        <f t="shared" si="5"/>
        <v>10355542.228800001</v>
      </c>
      <c r="K37" s="68">
        <v>252421831.75</v>
      </c>
      <c r="L37" s="69">
        <f t="shared" si="2"/>
        <v>599362969.84879994</v>
      </c>
      <c r="M37" s="63"/>
      <c r="N37" s="176"/>
      <c r="O37" s="70">
        <v>11</v>
      </c>
      <c r="P37" s="176"/>
      <c r="Q37" s="68" t="s">
        <v>187</v>
      </c>
      <c r="R37" s="68">
        <v>255799568.53</v>
      </c>
      <c r="S37" s="71">
        <v>0</v>
      </c>
      <c r="T37" s="68">
        <v>57989949.159999996</v>
      </c>
      <c r="U37" s="68">
        <v>9413685.5307</v>
      </c>
      <c r="V37" s="68">
        <v>0</v>
      </c>
      <c r="W37" s="68">
        <f t="shared" si="7"/>
        <v>9413685.5307</v>
      </c>
      <c r="X37" s="68">
        <v>230949384.68000001</v>
      </c>
      <c r="Y37" s="69">
        <f t="shared" si="8"/>
        <v>554152587.90070009</v>
      </c>
    </row>
    <row r="38" spans="1:25" ht="24.95" customHeight="1">
      <c r="A38" s="174"/>
      <c r="B38" s="176"/>
      <c r="C38" s="64">
        <v>14</v>
      </c>
      <c r="D38" s="68" t="s">
        <v>188</v>
      </c>
      <c r="E38" s="68">
        <v>260310773.71000001</v>
      </c>
      <c r="F38" s="68">
        <v>0</v>
      </c>
      <c r="G38" s="68">
        <v>61842518.659999996</v>
      </c>
      <c r="H38" s="68">
        <v>10039084.901799999</v>
      </c>
      <c r="I38" s="68">
        <v>0</v>
      </c>
      <c r="J38" s="68">
        <f t="shared" si="5"/>
        <v>10039084.901799999</v>
      </c>
      <c r="K38" s="68">
        <v>250841440.55000001</v>
      </c>
      <c r="L38" s="69">
        <f t="shared" si="2"/>
        <v>583033817.82179999</v>
      </c>
      <c r="M38" s="63"/>
      <c r="N38" s="176"/>
      <c r="O38" s="70">
        <v>12</v>
      </c>
      <c r="P38" s="176"/>
      <c r="Q38" s="68" t="s">
        <v>189</v>
      </c>
      <c r="R38" s="68">
        <v>284109401.72000003</v>
      </c>
      <c r="S38" s="71">
        <v>0</v>
      </c>
      <c r="T38" s="68">
        <v>64407809.039999999</v>
      </c>
      <c r="U38" s="68">
        <v>10455516.322799999</v>
      </c>
      <c r="V38" s="68">
        <v>0</v>
      </c>
      <c r="W38" s="68">
        <f t="shared" si="7"/>
        <v>10455516.322799999</v>
      </c>
      <c r="X38" s="68">
        <v>249498619.28999999</v>
      </c>
      <c r="Y38" s="69">
        <f t="shared" si="8"/>
        <v>608471346.37279999</v>
      </c>
    </row>
    <row r="39" spans="1:25" ht="24.95" customHeight="1">
      <c r="A39" s="174"/>
      <c r="B39" s="176"/>
      <c r="C39" s="64">
        <v>15</v>
      </c>
      <c r="D39" s="68" t="s">
        <v>190</v>
      </c>
      <c r="E39" s="68">
        <v>242512018.59</v>
      </c>
      <c r="F39" s="68">
        <v>0</v>
      </c>
      <c r="G39" s="68">
        <v>59012642.68</v>
      </c>
      <c r="H39" s="68">
        <v>9579702.4916999992</v>
      </c>
      <c r="I39" s="68">
        <v>0</v>
      </c>
      <c r="J39" s="68">
        <f t="shared" si="5"/>
        <v>9579702.4916999992</v>
      </c>
      <c r="K39" s="68">
        <v>242571473.81999999</v>
      </c>
      <c r="L39" s="69">
        <f t="shared" si="2"/>
        <v>553675837.58169997</v>
      </c>
      <c r="M39" s="63"/>
      <c r="N39" s="176"/>
      <c r="O39" s="70">
        <v>13</v>
      </c>
      <c r="P39" s="176"/>
      <c r="Q39" s="68" t="s">
        <v>191</v>
      </c>
      <c r="R39" s="68">
        <v>309614839.33999997</v>
      </c>
      <c r="S39" s="71">
        <v>0</v>
      </c>
      <c r="T39" s="68">
        <v>70189910.400000006</v>
      </c>
      <c r="U39" s="68">
        <v>11394142.4922</v>
      </c>
      <c r="V39" s="68">
        <v>0</v>
      </c>
      <c r="W39" s="68">
        <f t="shared" si="7"/>
        <v>11394142.4922</v>
      </c>
      <c r="X39" s="68">
        <v>259348603.59999999</v>
      </c>
      <c r="Y39" s="69">
        <f t="shared" si="8"/>
        <v>650547495.83220005</v>
      </c>
    </row>
    <row r="40" spans="1:25" ht="24.95" customHeight="1">
      <c r="A40" s="174"/>
      <c r="B40" s="176"/>
      <c r="C40" s="64">
        <v>16</v>
      </c>
      <c r="D40" s="68" t="s">
        <v>192</v>
      </c>
      <c r="E40" s="68">
        <v>230472997.99000001</v>
      </c>
      <c r="F40" s="68">
        <v>0</v>
      </c>
      <c r="G40" s="68">
        <v>54977651.880000003</v>
      </c>
      <c r="H40" s="68">
        <v>8924690.1140000001</v>
      </c>
      <c r="I40" s="68">
        <v>0</v>
      </c>
      <c r="J40" s="68">
        <f t="shared" si="5"/>
        <v>8924690.1140000001</v>
      </c>
      <c r="K40" s="68">
        <v>228294152.44999999</v>
      </c>
      <c r="L40" s="69">
        <f t="shared" si="2"/>
        <v>522669492.43400002</v>
      </c>
      <c r="M40" s="63"/>
      <c r="N40" s="176"/>
      <c r="O40" s="70">
        <v>14</v>
      </c>
      <c r="P40" s="176"/>
      <c r="Q40" s="68" t="s">
        <v>193</v>
      </c>
      <c r="R40" s="68">
        <v>308890895.98000002</v>
      </c>
      <c r="S40" s="71">
        <v>0</v>
      </c>
      <c r="T40" s="68">
        <v>70025791.909999996</v>
      </c>
      <c r="U40" s="68">
        <v>11367500.636600001</v>
      </c>
      <c r="V40" s="68">
        <v>0</v>
      </c>
      <c r="W40" s="68">
        <f t="shared" si="7"/>
        <v>11367500.636600001</v>
      </c>
      <c r="X40" s="68">
        <v>270383694.50999999</v>
      </c>
      <c r="Y40" s="69">
        <f t="shared" si="8"/>
        <v>660667883.03659999</v>
      </c>
    </row>
    <row r="41" spans="1:25" ht="24.95" customHeight="1">
      <c r="A41" s="174"/>
      <c r="B41" s="176"/>
      <c r="C41" s="64">
        <v>17</v>
      </c>
      <c r="D41" s="68" t="s">
        <v>194</v>
      </c>
      <c r="E41" s="68">
        <v>261087964.69</v>
      </c>
      <c r="F41" s="68">
        <v>0</v>
      </c>
      <c r="G41" s="68">
        <v>52248397.109999999</v>
      </c>
      <c r="H41" s="68">
        <v>8481641.8529000003</v>
      </c>
      <c r="I41" s="68">
        <v>0</v>
      </c>
      <c r="J41" s="68">
        <f t="shared" si="5"/>
        <v>8481641.8529000003</v>
      </c>
      <c r="K41" s="68">
        <v>250093089.81999999</v>
      </c>
      <c r="L41" s="69">
        <f t="shared" si="2"/>
        <v>571911093.47290003</v>
      </c>
      <c r="M41" s="63"/>
      <c r="N41" s="176"/>
      <c r="O41" s="70">
        <v>15</v>
      </c>
      <c r="P41" s="176"/>
      <c r="Q41" s="68" t="s">
        <v>195</v>
      </c>
      <c r="R41" s="68">
        <v>269740640.51999998</v>
      </c>
      <c r="S41" s="71">
        <v>0</v>
      </c>
      <c r="T41" s="68">
        <v>61150400.380000003</v>
      </c>
      <c r="U41" s="68">
        <v>9926731.2269000001</v>
      </c>
      <c r="V41" s="68">
        <v>0</v>
      </c>
      <c r="W41" s="68">
        <f t="shared" si="7"/>
        <v>9926731.2269000001</v>
      </c>
      <c r="X41" s="68">
        <v>249529255.71000001</v>
      </c>
      <c r="Y41" s="69">
        <f t="shared" si="8"/>
        <v>590347027.8369</v>
      </c>
    </row>
    <row r="42" spans="1:25" ht="24.95" customHeight="1">
      <c r="A42" s="174"/>
      <c r="B42" s="176"/>
      <c r="C42" s="64">
        <v>18</v>
      </c>
      <c r="D42" s="68" t="s">
        <v>196</v>
      </c>
      <c r="E42" s="68">
        <v>328636096.58999997</v>
      </c>
      <c r="F42" s="68">
        <v>0</v>
      </c>
      <c r="G42" s="68">
        <v>59188832.439999998</v>
      </c>
      <c r="H42" s="68">
        <v>9608303.9136999995</v>
      </c>
      <c r="I42" s="68">
        <v>0</v>
      </c>
      <c r="J42" s="68">
        <f t="shared" si="5"/>
        <v>9608303.9136999995</v>
      </c>
      <c r="K42" s="68">
        <v>266393162.49000001</v>
      </c>
      <c r="L42" s="69">
        <f t="shared" si="2"/>
        <v>663826395.43369997</v>
      </c>
      <c r="M42" s="63"/>
      <c r="N42" s="176"/>
      <c r="O42" s="70">
        <v>16</v>
      </c>
      <c r="P42" s="176"/>
      <c r="Q42" s="68" t="s">
        <v>197</v>
      </c>
      <c r="R42" s="68">
        <v>303883143.60000002</v>
      </c>
      <c r="S42" s="71">
        <v>0</v>
      </c>
      <c r="T42" s="68">
        <v>68890530.780000001</v>
      </c>
      <c r="U42" s="68">
        <v>11183210.2316</v>
      </c>
      <c r="V42" s="68">
        <v>0</v>
      </c>
      <c r="W42" s="68">
        <f t="shared" si="7"/>
        <v>11183210.2316</v>
      </c>
      <c r="X42" s="68">
        <v>249527387.63999999</v>
      </c>
      <c r="Y42" s="69">
        <f t="shared" si="8"/>
        <v>633484272.25160003</v>
      </c>
    </row>
    <row r="43" spans="1:25" ht="24.95" customHeight="1">
      <c r="A43" s="174"/>
      <c r="B43" s="176"/>
      <c r="C43" s="64">
        <v>19</v>
      </c>
      <c r="D43" s="68" t="s">
        <v>198</v>
      </c>
      <c r="E43" s="68">
        <v>281569118.30000001</v>
      </c>
      <c r="F43" s="68">
        <v>0</v>
      </c>
      <c r="G43" s="68">
        <v>74502043.319999993</v>
      </c>
      <c r="H43" s="68">
        <v>12094144.1972</v>
      </c>
      <c r="I43" s="68">
        <v>0</v>
      </c>
      <c r="J43" s="68">
        <f t="shared" si="5"/>
        <v>12094144.1972</v>
      </c>
      <c r="K43" s="68">
        <v>213841605.66999999</v>
      </c>
      <c r="L43" s="69">
        <f t="shared" si="2"/>
        <v>582006911.48720002</v>
      </c>
      <c r="M43" s="63"/>
      <c r="N43" s="176"/>
      <c r="O43" s="70">
        <v>17</v>
      </c>
      <c r="P43" s="176"/>
      <c r="Q43" s="68" t="s">
        <v>199</v>
      </c>
      <c r="R43" s="68">
        <v>313694368.45999998</v>
      </c>
      <c r="S43" s="71">
        <v>0</v>
      </c>
      <c r="T43" s="68">
        <v>71114742.629999995</v>
      </c>
      <c r="U43" s="68">
        <v>11544273.332599999</v>
      </c>
      <c r="V43" s="68">
        <v>0</v>
      </c>
      <c r="W43" s="68">
        <f t="shared" si="7"/>
        <v>11544273.332599999</v>
      </c>
      <c r="X43" s="68">
        <v>261907492.34</v>
      </c>
      <c r="Y43" s="69">
        <f t="shared" si="8"/>
        <v>658260876.76259995</v>
      </c>
    </row>
    <row r="44" spans="1:25" ht="24.95" customHeight="1">
      <c r="A44" s="174"/>
      <c r="B44" s="176"/>
      <c r="C44" s="64">
        <v>20</v>
      </c>
      <c r="D44" s="68" t="s">
        <v>200</v>
      </c>
      <c r="E44" s="68">
        <v>272415508.30000001</v>
      </c>
      <c r="F44" s="68">
        <v>0</v>
      </c>
      <c r="G44" s="68">
        <v>63831924.93</v>
      </c>
      <c r="H44" s="68">
        <v>10362031.2969</v>
      </c>
      <c r="I44" s="68">
        <v>0</v>
      </c>
      <c r="J44" s="68">
        <f t="shared" si="5"/>
        <v>10362031.2969</v>
      </c>
      <c r="K44" s="68">
        <v>268466725.41000003</v>
      </c>
      <c r="L44" s="69">
        <f t="shared" si="2"/>
        <v>615076189.93690002</v>
      </c>
      <c r="M44" s="63"/>
      <c r="N44" s="176"/>
      <c r="O44" s="70">
        <v>18</v>
      </c>
      <c r="P44" s="176"/>
      <c r="Q44" s="68" t="s">
        <v>201</v>
      </c>
      <c r="R44" s="68">
        <v>300291755.92000002</v>
      </c>
      <c r="S44" s="71">
        <v>0</v>
      </c>
      <c r="T44" s="68">
        <v>68076360.569999993</v>
      </c>
      <c r="U44" s="68">
        <v>11051043.4947</v>
      </c>
      <c r="V44" s="68">
        <v>0</v>
      </c>
      <c r="W44" s="68">
        <f t="shared" si="7"/>
        <v>11051043.4947</v>
      </c>
      <c r="X44" s="68">
        <v>255001967.37</v>
      </c>
      <c r="Y44" s="69">
        <f t="shared" si="8"/>
        <v>634421127.35470009</v>
      </c>
    </row>
    <row r="45" spans="1:25" ht="24.95" customHeight="1">
      <c r="A45" s="174"/>
      <c r="B45" s="176"/>
      <c r="C45" s="74">
        <v>21</v>
      </c>
      <c r="D45" s="68" t="s">
        <v>202</v>
      </c>
      <c r="E45" s="68">
        <v>272861718.83999997</v>
      </c>
      <c r="F45" s="68">
        <v>0</v>
      </c>
      <c r="G45" s="68">
        <v>61857951.119999997</v>
      </c>
      <c r="H45" s="68">
        <v>10041590.099099999</v>
      </c>
      <c r="I45" s="68">
        <v>0</v>
      </c>
      <c r="J45" s="68">
        <f t="shared" si="5"/>
        <v>10041590.099099999</v>
      </c>
      <c r="K45" s="68">
        <v>267106767.03999999</v>
      </c>
      <c r="L45" s="69">
        <f t="shared" si="2"/>
        <v>611868027.09909999</v>
      </c>
      <c r="M45" s="63"/>
      <c r="N45" s="176"/>
      <c r="O45" s="70">
        <v>19</v>
      </c>
      <c r="P45" s="176"/>
      <c r="Q45" s="68" t="s">
        <v>203</v>
      </c>
      <c r="R45" s="68">
        <v>329304161.63</v>
      </c>
      <c r="S45" s="71">
        <v>0</v>
      </c>
      <c r="T45" s="68">
        <v>74653494.150000006</v>
      </c>
      <c r="U45" s="68">
        <v>12118729.6733</v>
      </c>
      <c r="V45" s="68">
        <v>0</v>
      </c>
      <c r="W45" s="68">
        <f t="shared" si="7"/>
        <v>12118729.6733</v>
      </c>
      <c r="X45" s="68">
        <v>277918760.64999998</v>
      </c>
      <c r="Y45" s="69">
        <f t="shared" si="8"/>
        <v>693995146.10329998</v>
      </c>
    </row>
    <row r="46" spans="1:25" ht="24.95" customHeight="1">
      <c r="A46" s="64"/>
      <c r="B46" s="172" t="s">
        <v>204</v>
      </c>
      <c r="C46" s="172"/>
      <c r="D46" s="72"/>
      <c r="E46" s="72">
        <f t="shared" ref="E46:L46" si="9">SUM(E25:E45)</f>
        <v>5774336994.8299999</v>
      </c>
      <c r="F46" s="68">
        <v>0</v>
      </c>
      <c r="G46" s="72">
        <f t="shared" si="9"/>
        <v>1309046417.5499997</v>
      </c>
      <c r="H46" s="72">
        <f t="shared" si="9"/>
        <v>212501502.37109998</v>
      </c>
      <c r="I46" s="72">
        <f t="shared" si="9"/>
        <v>0</v>
      </c>
      <c r="J46" s="72">
        <f t="shared" si="9"/>
        <v>212501502.37109998</v>
      </c>
      <c r="K46" s="72">
        <f t="shared" si="9"/>
        <v>5266022236.0699997</v>
      </c>
      <c r="L46" s="72">
        <f t="shared" si="9"/>
        <v>12561907150.8211</v>
      </c>
      <c r="M46" s="63"/>
      <c r="N46" s="176"/>
      <c r="O46" s="70">
        <v>20</v>
      </c>
      <c r="P46" s="176"/>
      <c r="Q46" s="68" t="s">
        <v>205</v>
      </c>
      <c r="R46" s="68">
        <v>262232310.63</v>
      </c>
      <c r="S46" s="71">
        <v>0</v>
      </c>
      <c r="T46" s="68">
        <v>59448256.5</v>
      </c>
      <c r="U46" s="68">
        <v>9650417.0138000008</v>
      </c>
      <c r="V46" s="68">
        <v>0</v>
      </c>
      <c r="W46" s="68">
        <f t="shared" si="7"/>
        <v>9650417.0138000008</v>
      </c>
      <c r="X46" s="68">
        <v>242685003.59999999</v>
      </c>
      <c r="Y46" s="69">
        <f t="shared" si="8"/>
        <v>574015987.74380004</v>
      </c>
    </row>
    <row r="47" spans="1:25" ht="24.95" customHeight="1">
      <c r="A47" s="174">
        <v>3</v>
      </c>
      <c r="B47" s="175" t="s">
        <v>206</v>
      </c>
      <c r="C47" s="75">
        <v>1</v>
      </c>
      <c r="D47" s="68" t="s">
        <v>207</v>
      </c>
      <c r="E47" s="68">
        <v>262011755.28</v>
      </c>
      <c r="F47" s="68">
        <v>0</v>
      </c>
      <c r="G47" s="68">
        <v>59398256.439999998</v>
      </c>
      <c r="H47" s="68">
        <v>9642300.3518000003</v>
      </c>
      <c r="I47" s="68">
        <v>9642300.3518000003</v>
      </c>
      <c r="J47" s="68">
        <f t="shared" ref="J47:J77" si="10">H47-I47</f>
        <v>0</v>
      </c>
      <c r="K47" s="68">
        <v>271601120.83999997</v>
      </c>
      <c r="L47" s="69">
        <f t="shared" si="2"/>
        <v>593011132.55999994</v>
      </c>
      <c r="M47" s="63"/>
      <c r="N47" s="176"/>
      <c r="O47" s="70">
        <v>21</v>
      </c>
      <c r="P47" s="176"/>
      <c r="Q47" s="68" t="s">
        <v>102</v>
      </c>
      <c r="R47" s="68">
        <v>361163196.56</v>
      </c>
      <c r="S47" s="71">
        <v>0</v>
      </c>
      <c r="T47" s="68">
        <v>81875960.659999996</v>
      </c>
      <c r="U47" s="68">
        <v>13291174.716499999</v>
      </c>
      <c r="V47" s="68">
        <v>0</v>
      </c>
      <c r="W47" s="68">
        <f t="shared" si="7"/>
        <v>13291174.716499999</v>
      </c>
      <c r="X47" s="68">
        <v>305088039.19</v>
      </c>
      <c r="Y47" s="69">
        <f t="shared" si="8"/>
        <v>761418371.12650001</v>
      </c>
    </row>
    <row r="48" spans="1:25" ht="24.95" customHeight="1">
      <c r="A48" s="174"/>
      <c r="B48" s="176"/>
      <c r="C48" s="64">
        <v>2</v>
      </c>
      <c r="D48" s="68" t="s">
        <v>208</v>
      </c>
      <c r="E48" s="68">
        <v>204578380.15000001</v>
      </c>
      <c r="F48" s="68">
        <v>0</v>
      </c>
      <c r="G48" s="68">
        <v>46378068.32</v>
      </c>
      <c r="H48" s="68">
        <v>7528693.4539999999</v>
      </c>
      <c r="I48" s="68">
        <v>7528693.4539999999</v>
      </c>
      <c r="J48" s="68">
        <f t="shared" si="10"/>
        <v>0</v>
      </c>
      <c r="K48" s="68">
        <v>242254788.03999999</v>
      </c>
      <c r="L48" s="69">
        <f t="shared" si="2"/>
        <v>493211236.50999999</v>
      </c>
      <c r="M48" s="63"/>
      <c r="N48" s="176"/>
      <c r="O48" s="70">
        <v>22</v>
      </c>
      <c r="P48" s="176"/>
      <c r="Q48" s="68" t="s">
        <v>209</v>
      </c>
      <c r="R48" s="68">
        <v>254129948.63</v>
      </c>
      <c r="S48" s="71">
        <v>0</v>
      </c>
      <c r="T48" s="68">
        <v>57611445.109999999</v>
      </c>
      <c r="U48" s="68">
        <v>9352241.8123000003</v>
      </c>
      <c r="V48" s="68">
        <v>0</v>
      </c>
      <c r="W48" s="68">
        <f t="shared" si="7"/>
        <v>9352241.8123000003</v>
      </c>
      <c r="X48" s="68">
        <v>230037016.99000001</v>
      </c>
      <c r="Y48" s="69">
        <f t="shared" si="8"/>
        <v>551130652.54229999</v>
      </c>
    </row>
    <row r="49" spans="1:25" ht="24.95" customHeight="1">
      <c r="A49" s="174"/>
      <c r="B49" s="176"/>
      <c r="C49" s="64">
        <v>3</v>
      </c>
      <c r="D49" s="68" t="s">
        <v>210</v>
      </c>
      <c r="E49" s="68">
        <v>270101418.11000001</v>
      </c>
      <c r="F49" s="68">
        <v>0</v>
      </c>
      <c r="G49" s="68">
        <v>61232188.920000002</v>
      </c>
      <c r="H49" s="68">
        <v>9940008.2109999992</v>
      </c>
      <c r="I49" s="68">
        <v>9940008.2109999992</v>
      </c>
      <c r="J49" s="68">
        <f t="shared" si="10"/>
        <v>0</v>
      </c>
      <c r="K49" s="68">
        <v>284104892.08999997</v>
      </c>
      <c r="L49" s="69">
        <f t="shared" si="2"/>
        <v>615438499.12</v>
      </c>
      <c r="M49" s="63"/>
      <c r="N49" s="176"/>
      <c r="O49" s="70">
        <v>23</v>
      </c>
      <c r="P49" s="176"/>
      <c r="Q49" s="68" t="s">
        <v>211</v>
      </c>
      <c r="R49" s="68">
        <v>240085434.66999999</v>
      </c>
      <c r="S49" s="71">
        <v>0</v>
      </c>
      <c r="T49" s="68">
        <v>54427543.530000001</v>
      </c>
      <c r="U49" s="68">
        <v>8835389.3462000005</v>
      </c>
      <c r="V49" s="68">
        <v>0</v>
      </c>
      <c r="W49" s="68">
        <f t="shared" si="7"/>
        <v>8835389.3462000005</v>
      </c>
      <c r="X49" s="68">
        <v>223194632.94999999</v>
      </c>
      <c r="Y49" s="69">
        <f t="shared" si="8"/>
        <v>526543000.49619997</v>
      </c>
    </row>
    <row r="50" spans="1:25" ht="24.95" customHeight="1">
      <c r="A50" s="174"/>
      <c r="B50" s="176"/>
      <c r="C50" s="64">
        <v>4</v>
      </c>
      <c r="D50" s="68" t="s">
        <v>212</v>
      </c>
      <c r="E50" s="68">
        <v>207063415.96000001</v>
      </c>
      <c r="F50" s="68">
        <v>0</v>
      </c>
      <c r="G50" s="68">
        <v>46941427.75</v>
      </c>
      <c r="H50" s="68">
        <v>7620145.3114999998</v>
      </c>
      <c r="I50" s="68">
        <v>7620145.3114999998</v>
      </c>
      <c r="J50" s="68">
        <f t="shared" si="10"/>
        <v>0</v>
      </c>
      <c r="K50" s="68">
        <v>247504825.19999999</v>
      </c>
      <c r="L50" s="69">
        <f t="shared" si="2"/>
        <v>501509668.90999997</v>
      </c>
      <c r="M50" s="63"/>
      <c r="N50" s="176"/>
      <c r="O50" s="70">
        <v>24</v>
      </c>
      <c r="P50" s="176"/>
      <c r="Q50" s="68" t="s">
        <v>213</v>
      </c>
      <c r="R50" s="68">
        <v>292060332.67000002</v>
      </c>
      <c r="S50" s="71">
        <v>0</v>
      </c>
      <c r="T50" s="68">
        <v>66210290.899999999</v>
      </c>
      <c r="U50" s="68">
        <v>10748118.7071</v>
      </c>
      <c r="V50" s="68">
        <v>0</v>
      </c>
      <c r="W50" s="68">
        <f t="shared" si="7"/>
        <v>10748118.7071</v>
      </c>
      <c r="X50" s="68">
        <v>261270105.25</v>
      </c>
      <c r="Y50" s="69">
        <f t="shared" si="8"/>
        <v>630288847.52709997</v>
      </c>
    </row>
    <row r="51" spans="1:25" ht="24.95" customHeight="1">
      <c r="A51" s="174"/>
      <c r="B51" s="176"/>
      <c r="C51" s="64">
        <v>5</v>
      </c>
      <c r="D51" s="68" t="s">
        <v>214</v>
      </c>
      <c r="E51" s="68">
        <v>278259230.14999998</v>
      </c>
      <c r="F51" s="68">
        <v>0</v>
      </c>
      <c r="G51" s="68">
        <v>63081570.869999997</v>
      </c>
      <c r="H51" s="68">
        <v>10240224.0308</v>
      </c>
      <c r="I51" s="68">
        <v>10240224.0308</v>
      </c>
      <c r="J51" s="68">
        <f t="shared" si="10"/>
        <v>0</v>
      </c>
      <c r="K51" s="68">
        <v>291618662.18000001</v>
      </c>
      <c r="L51" s="69">
        <f t="shared" si="2"/>
        <v>632959463.20000005</v>
      </c>
      <c r="M51" s="63"/>
      <c r="N51" s="176"/>
      <c r="O51" s="70">
        <v>25</v>
      </c>
      <c r="P51" s="176"/>
      <c r="Q51" s="68" t="s">
        <v>215</v>
      </c>
      <c r="R51" s="68">
        <v>290635102.47000003</v>
      </c>
      <c r="S51" s="71">
        <v>0</v>
      </c>
      <c r="T51" s="68">
        <v>65887190.170000002</v>
      </c>
      <c r="U51" s="68">
        <v>10695668.779300001</v>
      </c>
      <c r="V51" s="68">
        <v>0</v>
      </c>
      <c r="W51" s="68">
        <f t="shared" si="7"/>
        <v>10695668.779300001</v>
      </c>
      <c r="X51" s="68">
        <v>254448643.65000001</v>
      </c>
      <c r="Y51" s="69">
        <f t="shared" si="8"/>
        <v>621666605.06930006</v>
      </c>
    </row>
    <row r="52" spans="1:25" ht="24.95" customHeight="1">
      <c r="A52" s="174"/>
      <c r="B52" s="176"/>
      <c r="C52" s="64">
        <v>6</v>
      </c>
      <c r="D52" s="68" t="s">
        <v>216</v>
      </c>
      <c r="E52" s="68">
        <v>242534264.13999999</v>
      </c>
      <c r="F52" s="68">
        <v>0</v>
      </c>
      <c r="G52" s="68">
        <v>54982694.960000001</v>
      </c>
      <c r="H52" s="68">
        <v>8925508.773</v>
      </c>
      <c r="I52" s="68">
        <v>8925508.773</v>
      </c>
      <c r="J52" s="68">
        <f t="shared" si="10"/>
        <v>0</v>
      </c>
      <c r="K52" s="68">
        <v>259020758.53999999</v>
      </c>
      <c r="L52" s="69">
        <f t="shared" si="2"/>
        <v>556537717.63999999</v>
      </c>
      <c r="M52" s="63"/>
      <c r="N52" s="176"/>
      <c r="O52" s="70">
        <v>26</v>
      </c>
      <c r="P52" s="176"/>
      <c r="Q52" s="68" t="s">
        <v>217</v>
      </c>
      <c r="R52" s="68">
        <v>275688280.92000002</v>
      </c>
      <c r="S52" s="71">
        <v>0</v>
      </c>
      <c r="T52" s="68">
        <v>62498734.799999997</v>
      </c>
      <c r="U52" s="68">
        <v>10145610.471799999</v>
      </c>
      <c r="V52" s="68">
        <v>0</v>
      </c>
      <c r="W52" s="68">
        <f t="shared" si="7"/>
        <v>10145610.471799999</v>
      </c>
      <c r="X52" s="68">
        <v>252224140.28</v>
      </c>
      <c r="Y52" s="69">
        <f t="shared" si="8"/>
        <v>600556766.47179997</v>
      </c>
    </row>
    <row r="53" spans="1:25" ht="24.95" customHeight="1">
      <c r="A53" s="174"/>
      <c r="B53" s="176"/>
      <c r="C53" s="64">
        <v>7</v>
      </c>
      <c r="D53" s="68" t="s">
        <v>218</v>
      </c>
      <c r="E53" s="68">
        <v>275076096.5</v>
      </c>
      <c r="F53" s="68">
        <v>0</v>
      </c>
      <c r="G53" s="68">
        <v>62359952.149999999</v>
      </c>
      <c r="H53" s="68">
        <v>10123081.4595</v>
      </c>
      <c r="I53" s="68">
        <v>10123081.4595</v>
      </c>
      <c r="J53" s="68">
        <f t="shared" si="10"/>
        <v>0</v>
      </c>
      <c r="K53" s="68">
        <v>282882050.38999999</v>
      </c>
      <c r="L53" s="69">
        <f t="shared" si="2"/>
        <v>620318099.03999996</v>
      </c>
      <c r="M53" s="63"/>
      <c r="N53" s="176"/>
      <c r="O53" s="70">
        <v>27</v>
      </c>
      <c r="P53" s="176"/>
      <c r="Q53" s="68" t="s">
        <v>219</v>
      </c>
      <c r="R53" s="68">
        <v>281478361.50999999</v>
      </c>
      <c r="S53" s="71">
        <v>0</v>
      </c>
      <c r="T53" s="68">
        <v>63811350.299999997</v>
      </c>
      <c r="U53" s="68">
        <v>10358691.3543</v>
      </c>
      <c r="V53" s="68">
        <v>0</v>
      </c>
      <c r="W53" s="68">
        <f t="shared" si="7"/>
        <v>10358691.3543</v>
      </c>
      <c r="X53" s="68">
        <v>250792447.83000001</v>
      </c>
      <c r="Y53" s="69">
        <f t="shared" si="8"/>
        <v>606440850.99430001</v>
      </c>
    </row>
    <row r="54" spans="1:25" ht="24.95" customHeight="1">
      <c r="A54" s="174"/>
      <c r="B54" s="176"/>
      <c r="C54" s="64">
        <v>8</v>
      </c>
      <c r="D54" s="68" t="s">
        <v>220</v>
      </c>
      <c r="E54" s="68">
        <v>220404463.28</v>
      </c>
      <c r="F54" s="68">
        <v>0</v>
      </c>
      <c r="G54" s="68">
        <v>49965852.93</v>
      </c>
      <c r="H54" s="68">
        <v>8111109.4864999996</v>
      </c>
      <c r="I54" s="68">
        <v>8111109.4864999996</v>
      </c>
      <c r="J54" s="68">
        <f t="shared" si="10"/>
        <v>0</v>
      </c>
      <c r="K54" s="68">
        <v>247798112.93000001</v>
      </c>
      <c r="L54" s="69">
        <f t="shared" si="2"/>
        <v>518168429.13999999</v>
      </c>
      <c r="M54" s="63"/>
      <c r="N54" s="176"/>
      <c r="O54" s="70">
        <v>28</v>
      </c>
      <c r="P54" s="176"/>
      <c r="Q54" s="68" t="s">
        <v>221</v>
      </c>
      <c r="R54" s="68">
        <v>237093328.22</v>
      </c>
      <c r="S54" s="71">
        <v>0</v>
      </c>
      <c r="T54" s="68">
        <v>53749230.810000002</v>
      </c>
      <c r="U54" s="68">
        <v>8725276.7710999995</v>
      </c>
      <c r="V54" s="68">
        <v>0</v>
      </c>
      <c r="W54" s="68">
        <f t="shared" si="7"/>
        <v>8725276.7710999995</v>
      </c>
      <c r="X54" s="68">
        <v>229194141.68000001</v>
      </c>
      <c r="Y54" s="69">
        <f t="shared" si="8"/>
        <v>528761977.48109996</v>
      </c>
    </row>
    <row r="55" spans="1:25" ht="24.95" customHeight="1">
      <c r="A55" s="174"/>
      <c r="B55" s="176"/>
      <c r="C55" s="64">
        <v>9</v>
      </c>
      <c r="D55" s="68" t="s">
        <v>222</v>
      </c>
      <c r="E55" s="68">
        <v>255787005.80000001</v>
      </c>
      <c r="F55" s="68">
        <v>0</v>
      </c>
      <c r="G55" s="68">
        <v>57987101.18</v>
      </c>
      <c r="H55" s="68">
        <v>9413223.2094000001</v>
      </c>
      <c r="I55" s="68">
        <v>9413223.2094000001</v>
      </c>
      <c r="J55" s="68">
        <f t="shared" si="10"/>
        <v>0</v>
      </c>
      <c r="K55" s="68">
        <v>270858000.73000002</v>
      </c>
      <c r="L55" s="69">
        <f t="shared" si="2"/>
        <v>584632107.71000004</v>
      </c>
      <c r="M55" s="63"/>
      <c r="N55" s="176"/>
      <c r="O55" s="70">
        <v>29</v>
      </c>
      <c r="P55" s="176"/>
      <c r="Q55" s="68" t="s">
        <v>223</v>
      </c>
      <c r="R55" s="68">
        <v>283697167.50999999</v>
      </c>
      <c r="S55" s="71">
        <v>0</v>
      </c>
      <c r="T55" s="68">
        <v>64314355.25</v>
      </c>
      <c r="U55" s="68">
        <v>10440345.682800001</v>
      </c>
      <c r="V55" s="68">
        <v>0</v>
      </c>
      <c r="W55" s="68">
        <f t="shared" si="7"/>
        <v>10440345.682800001</v>
      </c>
      <c r="X55" s="68">
        <v>250261914.61000001</v>
      </c>
      <c r="Y55" s="69">
        <f t="shared" si="8"/>
        <v>608713783.05279994</v>
      </c>
    </row>
    <row r="56" spans="1:25" ht="24.95" customHeight="1">
      <c r="A56" s="174"/>
      <c r="B56" s="176"/>
      <c r="C56" s="64">
        <v>10</v>
      </c>
      <c r="D56" s="68" t="s">
        <v>224</v>
      </c>
      <c r="E56" s="68">
        <v>278284420.68000001</v>
      </c>
      <c r="F56" s="68">
        <v>0</v>
      </c>
      <c r="G56" s="68">
        <v>63087281.579999998</v>
      </c>
      <c r="H56" s="68">
        <v>10241151.068</v>
      </c>
      <c r="I56" s="68">
        <v>10241151.068</v>
      </c>
      <c r="J56" s="68">
        <f t="shared" si="10"/>
        <v>0</v>
      </c>
      <c r="K56" s="68">
        <v>290487356.13</v>
      </c>
      <c r="L56" s="69">
        <f t="shared" si="2"/>
        <v>631859058.38999999</v>
      </c>
      <c r="M56" s="63"/>
      <c r="N56" s="176"/>
      <c r="O56" s="70">
        <v>30</v>
      </c>
      <c r="P56" s="176"/>
      <c r="Q56" s="68" t="s">
        <v>225</v>
      </c>
      <c r="R56" s="68">
        <v>255911920.59</v>
      </c>
      <c r="S56" s="71">
        <v>0</v>
      </c>
      <c r="T56" s="68">
        <v>58015419.460000001</v>
      </c>
      <c r="U56" s="68">
        <v>9417820.2015000004</v>
      </c>
      <c r="V56" s="68">
        <v>0</v>
      </c>
      <c r="W56" s="68">
        <f t="shared" si="7"/>
        <v>9417820.2015000004</v>
      </c>
      <c r="X56" s="68">
        <v>243548054.12</v>
      </c>
      <c r="Y56" s="69">
        <f t="shared" si="8"/>
        <v>566893214.37150002</v>
      </c>
    </row>
    <row r="57" spans="1:25" ht="24.95" customHeight="1">
      <c r="A57" s="174"/>
      <c r="B57" s="176"/>
      <c r="C57" s="64">
        <v>11</v>
      </c>
      <c r="D57" s="68" t="s">
        <v>226</v>
      </c>
      <c r="E57" s="68">
        <v>214175396.03999999</v>
      </c>
      <c r="F57" s="68">
        <v>0</v>
      </c>
      <c r="G57" s="68">
        <v>48553718.840000004</v>
      </c>
      <c r="H57" s="68">
        <v>7881873.4463</v>
      </c>
      <c r="I57" s="68">
        <v>7881873.4463</v>
      </c>
      <c r="J57" s="68">
        <f t="shared" si="10"/>
        <v>0</v>
      </c>
      <c r="K57" s="68">
        <v>246886118.86000001</v>
      </c>
      <c r="L57" s="69">
        <f t="shared" si="2"/>
        <v>509615233.74000001</v>
      </c>
      <c r="M57" s="63"/>
      <c r="N57" s="176"/>
      <c r="O57" s="70">
        <v>31</v>
      </c>
      <c r="P57" s="176"/>
      <c r="Q57" s="68" t="s">
        <v>227</v>
      </c>
      <c r="R57" s="68">
        <v>265147183.28</v>
      </c>
      <c r="S57" s="71">
        <v>0</v>
      </c>
      <c r="T57" s="68">
        <v>60109060.259999998</v>
      </c>
      <c r="U57" s="68">
        <v>9757687.3063999992</v>
      </c>
      <c r="V57" s="68">
        <v>0</v>
      </c>
      <c r="W57" s="68">
        <f t="shared" si="7"/>
        <v>9757687.3063999992</v>
      </c>
      <c r="X57" s="68">
        <v>236937311.34</v>
      </c>
      <c r="Y57" s="69">
        <f t="shared" si="8"/>
        <v>571951242.18640006</v>
      </c>
    </row>
    <row r="58" spans="1:25" ht="24.95" customHeight="1">
      <c r="A58" s="174"/>
      <c r="B58" s="176"/>
      <c r="C58" s="64">
        <v>12</v>
      </c>
      <c r="D58" s="68" t="s">
        <v>228</v>
      </c>
      <c r="E58" s="68">
        <v>253331007.58000001</v>
      </c>
      <c r="F58" s="68">
        <v>0</v>
      </c>
      <c r="G58" s="68">
        <v>57430324.590000004</v>
      </c>
      <c r="H58" s="68">
        <v>9322839.9651999995</v>
      </c>
      <c r="I58" s="68">
        <v>9322839.9651999995</v>
      </c>
      <c r="J58" s="68">
        <f t="shared" si="10"/>
        <v>0</v>
      </c>
      <c r="K58" s="68">
        <v>268916323.88</v>
      </c>
      <c r="L58" s="69">
        <f t="shared" si="2"/>
        <v>579677656.04999995</v>
      </c>
      <c r="M58" s="63"/>
      <c r="N58" s="176"/>
      <c r="O58" s="70">
        <v>32</v>
      </c>
      <c r="P58" s="176"/>
      <c r="Q58" s="68" t="s">
        <v>229</v>
      </c>
      <c r="R58" s="68">
        <v>284497484.60000002</v>
      </c>
      <c r="S58" s="71">
        <v>0</v>
      </c>
      <c r="T58" s="68">
        <v>64495787.719999999</v>
      </c>
      <c r="U58" s="68">
        <v>10469798.169299999</v>
      </c>
      <c r="V58" s="68">
        <v>0</v>
      </c>
      <c r="W58" s="68">
        <f t="shared" si="7"/>
        <v>10469798.169299999</v>
      </c>
      <c r="X58" s="68">
        <v>254769578.88</v>
      </c>
      <c r="Y58" s="69">
        <f t="shared" si="8"/>
        <v>614232649.36930013</v>
      </c>
    </row>
    <row r="59" spans="1:25" ht="24.95" customHeight="1">
      <c r="A59" s="174"/>
      <c r="B59" s="176"/>
      <c r="C59" s="64">
        <v>13</v>
      </c>
      <c r="D59" s="68" t="s">
        <v>230</v>
      </c>
      <c r="E59" s="68">
        <v>253402432.50999999</v>
      </c>
      <c r="F59" s="68">
        <v>0</v>
      </c>
      <c r="G59" s="68">
        <v>57446516.68</v>
      </c>
      <c r="H59" s="68">
        <v>9325468.4758000001</v>
      </c>
      <c r="I59" s="68">
        <v>9325468.4758000001</v>
      </c>
      <c r="J59" s="68">
        <f t="shared" si="10"/>
        <v>0</v>
      </c>
      <c r="K59" s="68">
        <v>268960784.05000001</v>
      </c>
      <c r="L59" s="69">
        <f t="shared" si="2"/>
        <v>579809733.24000001</v>
      </c>
      <c r="M59" s="63"/>
      <c r="N59" s="176"/>
      <c r="O59" s="70">
        <v>33</v>
      </c>
      <c r="P59" s="176"/>
      <c r="Q59" s="68" t="s">
        <v>231</v>
      </c>
      <c r="R59" s="68">
        <v>275731654.85000002</v>
      </c>
      <c r="S59" s="71">
        <v>0</v>
      </c>
      <c r="T59" s="68">
        <v>62508567.700000003</v>
      </c>
      <c r="U59" s="68">
        <v>10147206.6765</v>
      </c>
      <c r="V59" s="68">
        <v>0</v>
      </c>
      <c r="W59" s="68">
        <f t="shared" si="7"/>
        <v>10147206.6765</v>
      </c>
      <c r="X59" s="68">
        <v>237399473.02000001</v>
      </c>
      <c r="Y59" s="69">
        <f t="shared" si="8"/>
        <v>585786902.24650002</v>
      </c>
    </row>
    <row r="60" spans="1:25" ht="24.95" customHeight="1">
      <c r="A60" s="174"/>
      <c r="B60" s="176"/>
      <c r="C60" s="64">
        <v>14</v>
      </c>
      <c r="D60" s="68" t="s">
        <v>232</v>
      </c>
      <c r="E60" s="68">
        <v>261346912.80000001</v>
      </c>
      <c r="F60" s="68">
        <v>0</v>
      </c>
      <c r="G60" s="68">
        <v>59247536.170000002</v>
      </c>
      <c r="H60" s="68">
        <v>9617833.4689000007</v>
      </c>
      <c r="I60" s="68">
        <v>9617833.4689000007</v>
      </c>
      <c r="J60" s="68">
        <f t="shared" si="10"/>
        <v>0</v>
      </c>
      <c r="K60" s="68">
        <v>273090723.62</v>
      </c>
      <c r="L60" s="69">
        <f t="shared" si="2"/>
        <v>593685172.59000003</v>
      </c>
      <c r="M60" s="63"/>
      <c r="N60" s="177"/>
      <c r="O60" s="70">
        <v>34</v>
      </c>
      <c r="P60" s="177"/>
      <c r="Q60" s="68" t="s">
        <v>233</v>
      </c>
      <c r="R60" s="68">
        <v>270239644.91000003</v>
      </c>
      <c r="S60" s="71">
        <v>0</v>
      </c>
      <c r="T60" s="68">
        <v>61263525.030000001</v>
      </c>
      <c r="U60" s="68">
        <v>9945095.0984000005</v>
      </c>
      <c r="V60" s="68">
        <v>0</v>
      </c>
      <c r="W60" s="68">
        <f t="shared" si="7"/>
        <v>9945095.0984000005</v>
      </c>
      <c r="X60" s="68">
        <v>243921295.43000001</v>
      </c>
      <c r="Y60" s="69">
        <f t="shared" si="8"/>
        <v>585369560.4684</v>
      </c>
    </row>
    <row r="61" spans="1:25" ht="24.95" customHeight="1">
      <c r="A61" s="174"/>
      <c r="B61" s="176"/>
      <c r="C61" s="64">
        <v>15</v>
      </c>
      <c r="D61" s="68" t="s">
        <v>234</v>
      </c>
      <c r="E61" s="68">
        <v>238766016.53999999</v>
      </c>
      <c r="F61" s="68">
        <v>0</v>
      </c>
      <c r="G61" s="68">
        <v>54128430.479999997</v>
      </c>
      <c r="H61" s="68">
        <v>8786833.4107000008</v>
      </c>
      <c r="I61" s="68">
        <v>8786833.4107000008</v>
      </c>
      <c r="J61" s="68">
        <f t="shared" si="10"/>
        <v>0</v>
      </c>
      <c r="K61" s="68">
        <v>256696126.37</v>
      </c>
      <c r="L61" s="69">
        <f t="shared" si="2"/>
        <v>549590573.38999999</v>
      </c>
      <c r="M61" s="63"/>
      <c r="N61" s="64"/>
      <c r="O61" s="170" t="s">
        <v>235</v>
      </c>
      <c r="P61" s="171"/>
      <c r="Q61" s="72"/>
      <c r="R61" s="72">
        <f t="shared" ref="R61:Y61" si="11">SUM(R27:R60)</f>
        <v>9596208092.970005</v>
      </c>
      <c r="S61" s="71">
        <v>0</v>
      </c>
      <c r="T61" s="72">
        <f t="shared" si="11"/>
        <v>2175467389.1300001</v>
      </c>
      <c r="U61" s="72">
        <f t="shared" si="11"/>
        <v>353150264.46270001</v>
      </c>
      <c r="V61" s="72">
        <f t="shared" si="11"/>
        <v>0</v>
      </c>
      <c r="W61" s="72">
        <f t="shared" si="11"/>
        <v>353150264.46270001</v>
      </c>
      <c r="X61" s="72">
        <f t="shared" si="11"/>
        <v>8491831641.2199993</v>
      </c>
      <c r="Y61" s="72">
        <f t="shared" si="11"/>
        <v>20616657387.7827</v>
      </c>
    </row>
    <row r="62" spans="1:25" ht="24.95" customHeight="1">
      <c r="A62" s="174"/>
      <c r="B62" s="176"/>
      <c r="C62" s="64">
        <v>16</v>
      </c>
      <c r="D62" s="68" t="s">
        <v>236</v>
      </c>
      <c r="E62" s="68">
        <v>243792130.91999999</v>
      </c>
      <c r="F62" s="68">
        <v>0</v>
      </c>
      <c r="G62" s="68">
        <v>55267854.280000001</v>
      </c>
      <c r="H62" s="68">
        <v>8971799.5560999997</v>
      </c>
      <c r="I62" s="68">
        <v>8971799.5560999997</v>
      </c>
      <c r="J62" s="68">
        <f t="shared" si="10"/>
        <v>0</v>
      </c>
      <c r="K62" s="68">
        <v>267096445.5</v>
      </c>
      <c r="L62" s="69">
        <f t="shared" si="2"/>
        <v>566156430.70000005</v>
      </c>
      <c r="M62" s="63"/>
      <c r="N62" s="175">
        <v>21</v>
      </c>
      <c r="O62" s="70">
        <v>1</v>
      </c>
      <c r="P62" s="175" t="s">
        <v>103</v>
      </c>
      <c r="Q62" s="68" t="s">
        <v>237</v>
      </c>
      <c r="R62" s="68">
        <v>216371112.61000001</v>
      </c>
      <c r="S62" s="71">
        <v>0</v>
      </c>
      <c r="T62" s="68">
        <v>49051489.390000001</v>
      </c>
      <c r="U62" s="68">
        <v>7962678.0597999999</v>
      </c>
      <c r="V62" s="68">
        <f t="shared" ref="V62:V82" si="12">U62/2</f>
        <v>3981339.0299</v>
      </c>
      <c r="W62" s="68">
        <f t="shared" ref="W62:W82" si="13">U62-V62</f>
        <v>3981339.0299</v>
      </c>
      <c r="X62" s="68">
        <v>202056305.78</v>
      </c>
      <c r="Y62" s="69">
        <f t="shared" si="8"/>
        <v>471460246.80990005</v>
      </c>
    </row>
    <row r="63" spans="1:25" ht="24.95" customHeight="1">
      <c r="A63" s="174"/>
      <c r="B63" s="176"/>
      <c r="C63" s="64">
        <v>17</v>
      </c>
      <c r="D63" s="68" t="s">
        <v>238</v>
      </c>
      <c r="E63" s="68">
        <v>227565462.55000001</v>
      </c>
      <c r="F63" s="68">
        <v>0</v>
      </c>
      <c r="G63" s="68">
        <v>51589256.700000003</v>
      </c>
      <c r="H63" s="68">
        <v>8374641.5774999997</v>
      </c>
      <c r="I63" s="68">
        <v>8374641.5774999997</v>
      </c>
      <c r="J63" s="68">
        <f t="shared" si="10"/>
        <v>0</v>
      </c>
      <c r="K63" s="68">
        <v>258495455.93000001</v>
      </c>
      <c r="L63" s="69">
        <f t="shared" si="2"/>
        <v>537650175.18000007</v>
      </c>
      <c r="M63" s="63"/>
      <c r="N63" s="176"/>
      <c r="O63" s="70">
        <v>2</v>
      </c>
      <c r="P63" s="176"/>
      <c r="Q63" s="68" t="s">
        <v>239</v>
      </c>
      <c r="R63" s="68">
        <v>353541829.81999999</v>
      </c>
      <c r="S63" s="71">
        <v>0</v>
      </c>
      <c r="T63" s="68">
        <v>80148191.25</v>
      </c>
      <c r="U63" s="68">
        <v>13010700.631999999</v>
      </c>
      <c r="V63" s="68">
        <f t="shared" si="12"/>
        <v>6505350.3159999996</v>
      </c>
      <c r="W63" s="68">
        <f t="shared" si="13"/>
        <v>6505350.3159999996</v>
      </c>
      <c r="X63" s="68">
        <v>246164164.91</v>
      </c>
      <c r="Y63" s="69">
        <f t="shared" si="8"/>
        <v>686359536.296</v>
      </c>
    </row>
    <row r="64" spans="1:25" ht="24.95" customHeight="1">
      <c r="A64" s="174"/>
      <c r="B64" s="176"/>
      <c r="C64" s="64">
        <v>18</v>
      </c>
      <c r="D64" s="68" t="s">
        <v>240</v>
      </c>
      <c r="E64" s="68">
        <v>282728377.22000003</v>
      </c>
      <c r="F64" s="68">
        <v>0</v>
      </c>
      <c r="G64" s="68">
        <v>64094729.780000001</v>
      </c>
      <c r="H64" s="68">
        <v>10404693.210000001</v>
      </c>
      <c r="I64" s="68">
        <v>10404693.210000001</v>
      </c>
      <c r="J64" s="68">
        <f t="shared" si="10"/>
        <v>0</v>
      </c>
      <c r="K64" s="68">
        <v>286151928.35000002</v>
      </c>
      <c r="L64" s="69">
        <f t="shared" si="2"/>
        <v>632975035.35000002</v>
      </c>
      <c r="M64" s="63"/>
      <c r="N64" s="176"/>
      <c r="O64" s="70">
        <v>3</v>
      </c>
      <c r="P64" s="176"/>
      <c r="Q64" s="68" t="s">
        <v>241</v>
      </c>
      <c r="R64" s="68">
        <v>297785368.08999997</v>
      </c>
      <c r="S64" s="71">
        <v>0</v>
      </c>
      <c r="T64" s="68">
        <v>67508160.620000005</v>
      </c>
      <c r="U64" s="68">
        <v>10958805.861199999</v>
      </c>
      <c r="V64" s="68">
        <f t="shared" si="12"/>
        <v>5479402.9305999996</v>
      </c>
      <c r="W64" s="68">
        <f t="shared" si="13"/>
        <v>5479402.9305999996</v>
      </c>
      <c r="X64" s="68">
        <v>250443550.44999999</v>
      </c>
      <c r="Y64" s="69">
        <f t="shared" si="8"/>
        <v>621216482.09060001</v>
      </c>
    </row>
    <row r="65" spans="1:25" ht="24.95" customHeight="1">
      <c r="A65" s="174"/>
      <c r="B65" s="176"/>
      <c r="C65" s="64">
        <v>19</v>
      </c>
      <c r="D65" s="68" t="s">
        <v>242</v>
      </c>
      <c r="E65" s="68">
        <v>235915897.66999999</v>
      </c>
      <c r="F65" s="68">
        <v>0</v>
      </c>
      <c r="G65" s="68">
        <v>53482306.450000003</v>
      </c>
      <c r="H65" s="68">
        <v>8681946.1234000009</v>
      </c>
      <c r="I65" s="68">
        <v>8681946.1234000009</v>
      </c>
      <c r="J65" s="68">
        <f t="shared" si="10"/>
        <v>0</v>
      </c>
      <c r="K65" s="68">
        <v>260213711.05000001</v>
      </c>
      <c r="L65" s="69">
        <f t="shared" si="2"/>
        <v>549611915.17000008</v>
      </c>
      <c r="M65" s="63"/>
      <c r="N65" s="176"/>
      <c r="O65" s="70">
        <v>4</v>
      </c>
      <c r="P65" s="176"/>
      <c r="Q65" s="68" t="s">
        <v>243</v>
      </c>
      <c r="R65" s="68">
        <v>245871970.36000001</v>
      </c>
      <c r="S65" s="71">
        <v>0</v>
      </c>
      <c r="T65" s="68">
        <v>55739355.399999999</v>
      </c>
      <c r="U65" s="68">
        <v>9048339.7728000004</v>
      </c>
      <c r="V65" s="68">
        <f t="shared" si="12"/>
        <v>4524169.8864000002</v>
      </c>
      <c r="W65" s="68">
        <f t="shared" si="13"/>
        <v>4524169.8864000002</v>
      </c>
      <c r="X65" s="68">
        <v>221227982.88</v>
      </c>
      <c r="Y65" s="69">
        <f t="shared" si="8"/>
        <v>527363478.52639997</v>
      </c>
    </row>
    <row r="66" spans="1:25" ht="24.95" customHeight="1">
      <c r="A66" s="174"/>
      <c r="B66" s="176"/>
      <c r="C66" s="64">
        <v>20</v>
      </c>
      <c r="D66" s="68" t="s">
        <v>244</v>
      </c>
      <c r="E66" s="68">
        <v>248222859.19999999</v>
      </c>
      <c r="F66" s="68">
        <v>0</v>
      </c>
      <c r="G66" s="68">
        <v>56272303.619999997</v>
      </c>
      <c r="H66" s="68">
        <v>9134854.8848000001</v>
      </c>
      <c r="I66" s="68">
        <v>9134854.8848000001</v>
      </c>
      <c r="J66" s="68">
        <f t="shared" si="10"/>
        <v>0</v>
      </c>
      <c r="K66" s="68">
        <v>267544036.19999999</v>
      </c>
      <c r="L66" s="69">
        <f t="shared" si="2"/>
        <v>572039199.01999998</v>
      </c>
      <c r="M66" s="63"/>
      <c r="N66" s="176"/>
      <c r="O66" s="70">
        <v>5</v>
      </c>
      <c r="P66" s="176"/>
      <c r="Q66" s="68" t="s">
        <v>245</v>
      </c>
      <c r="R66" s="68">
        <v>327453535.52999997</v>
      </c>
      <c r="S66" s="71">
        <v>0</v>
      </c>
      <c r="T66" s="68">
        <v>74233955.859999999</v>
      </c>
      <c r="U66" s="68">
        <v>12050624.741800001</v>
      </c>
      <c r="V66" s="68">
        <f t="shared" si="12"/>
        <v>6025312.3709000004</v>
      </c>
      <c r="W66" s="68">
        <f t="shared" si="13"/>
        <v>6025312.3709000004</v>
      </c>
      <c r="X66" s="68">
        <v>266259791.77000001</v>
      </c>
      <c r="Y66" s="69">
        <f t="shared" si="8"/>
        <v>673972595.5309</v>
      </c>
    </row>
    <row r="67" spans="1:25" ht="24.95" customHeight="1">
      <c r="A67" s="174"/>
      <c r="B67" s="176"/>
      <c r="C67" s="64">
        <v>21</v>
      </c>
      <c r="D67" s="68" t="s">
        <v>246</v>
      </c>
      <c r="E67" s="68">
        <v>258187826.43000001</v>
      </c>
      <c r="F67" s="68">
        <v>0</v>
      </c>
      <c r="G67" s="68">
        <v>58531368.979999997</v>
      </c>
      <c r="H67" s="68">
        <v>9501575.8621999994</v>
      </c>
      <c r="I67" s="68">
        <v>9501575.8621999994</v>
      </c>
      <c r="J67" s="68">
        <f t="shared" si="10"/>
        <v>0</v>
      </c>
      <c r="K67" s="68">
        <v>275035015.76999998</v>
      </c>
      <c r="L67" s="69">
        <f t="shared" si="2"/>
        <v>591754211.18000007</v>
      </c>
      <c r="M67" s="63"/>
      <c r="N67" s="176"/>
      <c r="O67" s="70">
        <v>6</v>
      </c>
      <c r="P67" s="176"/>
      <c r="Q67" s="68" t="s">
        <v>247</v>
      </c>
      <c r="R67" s="68">
        <v>400619592.24000001</v>
      </c>
      <c r="S67" s="71">
        <v>0</v>
      </c>
      <c r="T67" s="68">
        <v>90820754.400000006</v>
      </c>
      <c r="U67" s="68">
        <v>14743210.3991</v>
      </c>
      <c r="V67" s="68">
        <f t="shared" si="12"/>
        <v>7371605.19955</v>
      </c>
      <c r="W67" s="68">
        <f t="shared" si="13"/>
        <v>7371605.19955</v>
      </c>
      <c r="X67" s="68">
        <v>277693529.81999999</v>
      </c>
      <c r="Y67" s="69">
        <f t="shared" si="8"/>
        <v>776505481.65954995</v>
      </c>
    </row>
    <row r="68" spans="1:25" ht="24.95" customHeight="1">
      <c r="A68" s="174"/>
      <c r="B68" s="176"/>
      <c r="C68" s="64">
        <v>22</v>
      </c>
      <c r="D68" s="68" t="s">
        <v>248</v>
      </c>
      <c r="E68" s="68">
        <v>221919194.40000001</v>
      </c>
      <c r="F68" s="68">
        <v>0</v>
      </c>
      <c r="G68" s="68">
        <v>50309243.590000004</v>
      </c>
      <c r="H68" s="68">
        <v>8166853.1397000002</v>
      </c>
      <c r="I68" s="68">
        <v>8166853.1397000002</v>
      </c>
      <c r="J68" s="68">
        <f t="shared" si="10"/>
        <v>0</v>
      </c>
      <c r="K68" s="68">
        <v>258512268.59999999</v>
      </c>
      <c r="L68" s="69">
        <f t="shared" si="2"/>
        <v>530740706.59000003</v>
      </c>
      <c r="M68" s="63"/>
      <c r="N68" s="176"/>
      <c r="O68" s="70">
        <v>7</v>
      </c>
      <c r="P68" s="176"/>
      <c r="Q68" s="68" t="s">
        <v>249</v>
      </c>
      <c r="R68" s="68">
        <v>272931041.79000002</v>
      </c>
      <c r="S68" s="71">
        <v>0</v>
      </c>
      <c r="T68" s="68">
        <v>61873666.68</v>
      </c>
      <c r="U68" s="68">
        <v>10044141.2541</v>
      </c>
      <c r="V68" s="68">
        <f t="shared" si="12"/>
        <v>5022070.6270500002</v>
      </c>
      <c r="W68" s="68">
        <f t="shared" si="13"/>
        <v>5022070.6270500002</v>
      </c>
      <c r="X68" s="68">
        <v>222787451.65000001</v>
      </c>
      <c r="Y68" s="69">
        <f t="shared" si="8"/>
        <v>562614230.74705005</v>
      </c>
    </row>
    <row r="69" spans="1:25" ht="24.95" customHeight="1">
      <c r="A69" s="174"/>
      <c r="B69" s="176"/>
      <c r="C69" s="64">
        <v>23</v>
      </c>
      <c r="D69" s="68" t="s">
        <v>250</v>
      </c>
      <c r="E69" s="68">
        <v>231726809.41999999</v>
      </c>
      <c r="F69" s="68">
        <v>0</v>
      </c>
      <c r="G69" s="68">
        <v>52532637.079999998</v>
      </c>
      <c r="H69" s="68">
        <v>8527783.3950999994</v>
      </c>
      <c r="I69" s="68">
        <v>8527783.3950999994</v>
      </c>
      <c r="J69" s="68">
        <f t="shared" si="10"/>
        <v>0</v>
      </c>
      <c r="K69" s="68">
        <v>265729014.81</v>
      </c>
      <c r="L69" s="69">
        <f t="shared" si="2"/>
        <v>549988461.30999994</v>
      </c>
      <c r="M69" s="63"/>
      <c r="N69" s="176"/>
      <c r="O69" s="70">
        <v>8</v>
      </c>
      <c r="P69" s="176"/>
      <c r="Q69" s="68" t="s">
        <v>251</v>
      </c>
      <c r="R69" s="68">
        <v>289949593</v>
      </c>
      <c r="S69" s="71">
        <v>0</v>
      </c>
      <c r="T69" s="68">
        <v>65731784.68</v>
      </c>
      <c r="U69" s="68">
        <v>10670441.330399999</v>
      </c>
      <c r="V69" s="68">
        <f t="shared" si="12"/>
        <v>5335220.6651999997</v>
      </c>
      <c r="W69" s="68">
        <f t="shared" si="13"/>
        <v>5335220.6651999997</v>
      </c>
      <c r="X69" s="68">
        <v>231310355.69</v>
      </c>
      <c r="Y69" s="69">
        <f t="shared" si="8"/>
        <v>592326954.0352</v>
      </c>
    </row>
    <row r="70" spans="1:25" ht="24.95" customHeight="1">
      <c r="A70" s="174"/>
      <c r="B70" s="176"/>
      <c r="C70" s="64">
        <v>24</v>
      </c>
      <c r="D70" s="68" t="s">
        <v>252</v>
      </c>
      <c r="E70" s="68">
        <v>237353424.94</v>
      </c>
      <c r="F70" s="68">
        <v>0</v>
      </c>
      <c r="G70" s="68">
        <v>53808194.93</v>
      </c>
      <c r="H70" s="68">
        <v>8734848.5962000005</v>
      </c>
      <c r="I70" s="68">
        <v>8734848.5962000005</v>
      </c>
      <c r="J70" s="68">
        <f t="shared" si="10"/>
        <v>0</v>
      </c>
      <c r="K70" s="68">
        <v>252311755.03</v>
      </c>
      <c r="L70" s="69">
        <f t="shared" si="2"/>
        <v>543473374.89999998</v>
      </c>
      <c r="M70" s="63"/>
      <c r="N70" s="176"/>
      <c r="O70" s="70">
        <v>9</v>
      </c>
      <c r="P70" s="176"/>
      <c r="Q70" s="68" t="s">
        <v>253</v>
      </c>
      <c r="R70" s="68">
        <v>360208411.27999997</v>
      </c>
      <c r="S70" s="71">
        <v>0</v>
      </c>
      <c r="T70" s="68">
        <v>81659510.140000001</v>
      </c>
      <c r="U70" s="68">
        <v>13256037.6424</v>
      </c>
      <c r="V70" s="68">
        <f t="shared" si="12"/>
        <v>6628018.8212000001</v>
      </c>
      <c r="W70" s="68">
        <f t="shared" si="13"/>
        <v>6628018.8212000001</v>
      </c>
      <c r="X70" s="68">
        <v>276491610.55000001</v>
      </c>
      <c r="Y70" s="69">
        <f t="shared" si="8"/>
        <v>724987550.79119992</v>
      </c>
    </row>
    <row r="71" spans="1:25" ht="24.95" customHeight="1">
      <c r="A71" s="174"/>
      <c r="B71" s="176"/>
      <c r="C71" s="64">
        <v>25</v>
      </c>
      <c r="D71" s="68" t="s">
        <v>254</v>
      </c>
      <c r="E71" s="68">
        <v>279654914.56999999</v>
      </c>
      <c r="F71" s="68">
        <v>0</v>
      </c>
      <c r="G71" s="68">
        <v>63397973.549999997</v>
      </c>
      <c r="H71" s="68">
        <v>10291586.6437</v>
      </c>
      <c r="I71" s="68">
        <v>10291586.6437</v>
      </c>
      <c r="J71" s="68">
        <f t="shared" si="10"/>
        <v>0</v>
      </c>
      <c r="K71" s="68">
        <v>284141132.74000001</v>
      </c>
      <c r="L71" s="69">
        <f t="shared" si="2"/>
        <v>627194020.86000001</v>
      </c>
      <c r="M71" s="63"/>
      <c r="N71" s="176"/>
      <c r="O71" s="70">
        <v>10</v>
      </c>
      <c r="P71" s="176"/>
      <c r="Q71" s="68" t="s">
        <v>255</v>
      </c>
      <c r="R71" s="68">
        <v>250815768.74000001</v>
      </c>
      <c r="S71" s="71">
        <v>0</v>
      </c>
      <c r="T71" s="68">
        <v>56860118.109999999</v>
      </c>
      <c r="U71" s="68">
        <v>9230276.6055999994</v>
      </c>
      <c r="V71" s="68">
        <f t="shared" si="12"/>
        <v>4615138.3027999997</v>
      </c>
      <c r="W71" s="68">
        <f t="shared" si="13"/>
        <v>4615138.3027999997</v>
      </c>
      <c r="X71" s="68">
        <v>222694421.53</v>
      </c>
      <c r="Y71" s="69">
        <f t="shared" si="8"/>
        <v>534985446.68280005</v>
      </c>
    </row>
    <row r="72" spans="1:25" ht="24.95" customHeight="1">
      <c r="A72" s="174"/>
      <c r="B72" s="176"/>
      <c r="C72" s="64">
        <v>26</v>
      </c>
      <c r="D72" s="68" t="s">
        <v>256</v>
      </c>
      <c r="E72" s="68">
        <v>208316821.86000001</v>
      </c>
      <c r="F72" s="68">
        <v>0</v>
      </c>
      <c r="G72" s="68">
        <v>47225575.789999999</v>
      </c>
      <c r="H72" s="68">
        <v>7666271.9293999998</v>
      </c>
      <c r="I72" s="68">
        <v>7666271.9293999998</v>
      </c>
      <c r="J72" s="68">
        <f t="shared" si="10"/>
        <v>0</v>
      </c>
      <c r="K72" s="68">
        <v>239540475.49000001</v>
      </c>
      <c r="L72" s="69">
        <f t="shared" ref="L72:L135" si="14">E72+F72+G72+J72+K72</f>
        <v>495082873.13999999</v>
      </c>
      <c r="M72" s="63"/>
      <c r="N72" s="176"/>
      <c r="O72" s="70">
        <v>11</v>
      </c>
      <c r="P72" s="176"/>
      <c r="Q72" s="68" t="s">
        <v>257</v>
      </c>
      <c r="R72" s="68">
        <v>264926910.93000001</v>
      </c>
      <c r="S72" s="71">
        <v>0</v>
      </c>
      <c r="T72" s="68">
        <v>60059124.359999999</v>
      </c>
      <c r="U72" s="68">
        <v>9749581.0588000007</v>
      </c>
      <c r="V72" s="68">
        <f t="shared" si="12"/>
        <v>4874790.5294000003</v>
      </c>
      <c r="W72" s="68">
        <f t="shared" si="13"/>
        <v>4874790.5294000003</v>
      </c>
      <c r="X72" s="68">
        <v>233830762.08000001</v>
      </c>
      <c r="Y72" s="69">
        <f t="shared" si="8"/>
        <v>563691587.8994</v>
      </c>
    </row>
    <row r="73" spans="1:25" ht="24.95" customHeight="1">
      <c r="A73" s="174"/>
      <c r="B73" s="176"/>
      <c r="C73" s="64">
        <v>27</v>
      </c>
      <c r="D73" s="68" t="s">
        <v>258</v>
      </c>
      <c r="E73" s="68">
        <v>255606441.61000001</v>
      </c>
      <c r="F73" s="68">
        <v>0</v>
      </c>
      <c r="G73" s="68">
        <v>57946167.149999999</v>
      </c>
      <c r="H73" s="68">
        <v>9406578.2630000003</v>
      </c>
      <c r="I73" s="68">
        <v>9406578.2630000003</v>
      </c>
      <c r="J73" s="68">
        <f t="shared" si="10"/>
        <v>0</v>
      </c>
      <c r="K73" s="68">
        <v>267096445.5</v>
      </c>
      <c r="L73" s="69">
        <f t="shared" si="14"/>
        <v>580649054.25999999</v>
      </c>
      <c r="M73" s="63"/>
      <c r="N73" s="176"/>
      <c r="O73" s="70">
        <v>12</v>
      </c>
      <c r="P73" s="176"/>
      <c r="Q73" s="68" t="s">
        <v>259</v>
      </c>
      <c r="R73" s="68">
        <v>292271968.17000002</v>
      </c>
      <c r="S73" s="71">
        <v>0</v>
      </c>
      <c r="T73" s="68">
        <v>66258268.82</v>
      </c>
      <c r="U73" s="68">
        <v>10755907.1099</v>
      </c>
      <c r="V73" s="68">
        <f t="shared" si="12"/>
        <v>5377953.5549499998</v>
      </c>
      <c r="W73" s="68">
        <f t="shared" si="13"/>
        <v>5377953.5549499998</v>
      </c>
      <c r="X73" s="68">
        <v>249647003.40000001</v>
      </c>
      <c r="Y73" s="69">
        <f t="shared" si="8"/>
        <v>613555193.94494998</v>
      </c>
    </row>
    <row r="74" spans="1:25" ht="24.95" customHeight="1">
      <c r="A74" s="174"/>
      <c r="B74" s="176"/>
      <c r="C74" s="64">
        <v>28</v>
      </c>
      <c r="D74" s="68" t="s">
        <v>260</v>
      </c>
      <c r="E74" s="68">
        <v>208391006.03</v>
      </c>
      <c r="F74" s="68">
        <v>0</v>
      </c>
      <c r="G74" s="68">
        <v>47242393.390000001</v>
      </c>
      <c r="H74" s="68">
        <v>7669001.9825999998</v>
      </c>
      <c r="I74" s="68">
        <v>7669001.9825999998</v>
      </c>
      <c r="J74" s="68">
        <f t="shared" si="10"/>
        <v>0</v>
      </c>
      <c r="K74" s="68">
        <v>243434664.03</v>
      </c>
      <c r="L74" s="69">
        <f t="shared" si="14"/>
        <v>499068063.45000005</v>
      </c>
      <c r="M74" s="63"/>
      <c r="N74" s="176"/>
      <c r="O74" s="70">
        <v>13</v>
      </c>
      <c r="P74" s="176"/>
      <c r="Q74" s="68" t="s">
        <v>261</v>
      </c>
      <c r="R74" s="68">
        <v>243234119.03</v>
      </c>
      <c r="S74" s="71">
        <v>0</v>
      </c>
      <c r="T74" s="68">
        <v>55141352.579999998</v>
      </c>
      <c r="U74" s="68">
        <v>8951264.1482999995</v>
      </c>
      <c r="V74" s="68">
        <f t="shared" si="12"/>
        <v>4475632.0741499998</v>
      </c>
      <c r="W74" s="68">
        <f t="shared" si="13"/>
        <v>4475632.0741499998</v>
      </c>
      <c r="X74" s="68">
        <v>209315644.09</v>
      </c>
      <c r="Y74" s="69">
        <f t="shared" si="8"/>
        <v>512166747.77415001</v>
      </c>
    </row>
    <row r="75" spans="1:25" ht="24.95" customHeight="1">
      <c r="A75" s="174"/>
      <c r="B75" s="176"/>
      <c r="C75" s="64">
        <v>29</v>
      </c>
      <c r="D75" s="68" t="s">
        <v>262</v>
      </c>
      <c r="E75" s="68">
        <v>271775326.35000002</v>
      </c>
      <c r="F75" s="68">
        <v>0</v>
      </c>
      <c r="G75" s="68">
        <v>61611665.140000001</v>
      </c>
      <c r="H75" s="68">
        <v>10001609.7448</v>
      </c>
      <c r="I75" s="68">
        <v>10001609.7448</v>
      </c>
      <c r="J75" s="68">
        <f t="shared" si="10"/>
        <v>0</v>
      </c>
      <c r="K75" s="68">
        <v>263833666.19999999</v>
      </c>
      <c r="L75" s="69">
        <f t="shared" si="14"/>
        <v>597220657.69000006</v>
      </c>
      <c r="M75" s="63"/>
      <c r="N75" s="176"/>
      <c r="O75" s="70">
        <v>14</v>
      </c>
      <c r="P75" s="176"/>
      <c r="Q75" s="68" t="s">
        <v>263</v>
      </c>
      <c r="R75" s="68">
        <v>279127047.67000002</v>
      </c>
      <c r="S75" s="71">
        <v>0</v>
      </c>
      <c r="T75" s="68">
        <v>63278305.740000002</v>
      </c>
      <c r="U75" s="68">
        <v>10272160.602299999</v>
      </c>
      <c r="V75" s="68">
        <f t="shared" si="12"/>
        <v>5136080.3011499997</v>
      </c>
      <c r="W75" s="68">
        <f t="shared" si="13"/>
        <v>5136080.3011499997</v>
      </c>
      <c r="X75" s="68">
        <v>235170545.25999999</v>
      </c>
      <c r="Y75" s="69">
        <f t="shared" si="8"/>
        <v>582711978.97115004</v>
      </c>
    </row>
    <row r="76" spans="1:25" ht="24.95" customHeight="1">
      <c r="A76" s="174"/>
      <c r="B76" s="176"/>
      <c r="C76" s="64">
        <v>30</v>
      </c>
      <c r="D76" s="68" t="s">
        <v>264</v>
      </c>
      <c r="E76" s="68">
        <v>224880703.34999999</v>
      </c>
      <c r="F76" s="68">
        <v>0</v>
      </c>
      <c r="G76" s="68">
        <v>50980619.829999998</v>
      </c>
      <c r="H76" s="68">
        <v>8275839.6953999996</v>
      </c>
      <c r="I76" s="68">
        <v>8275839.6953999996</v>
      </c>
      <c r="J76" s="68">
        <f t="shared" si="10"/>
        <v>0</v>
      </c>
      <c r="K76" s="68">
        <v>246221084.25999999</v>
      </c>
      <c r="L76" s="69">
        <f t="shared" si="14"/>
        <v>522082407.44</v>
      </c>
      <c r="M76" s="63"/>
      <c r="N76" s="176"/>
      <c r="O76" s="70">
        <v>15</v>
      </c>
      <c r="P76" s="176"/>
      <c r="Q76" s="68" t="s">
        <v>265</v>
      </c>
      <c r="R76" s="68">
        <v>322923564.19999999</v>
      </c>
      <c r="S76" s="71">
        <v>0</v>
      </c>
      <c r="T76" s="68">
        <v>73207008.049999997</v>
      </c>
      <c r="U76" s="68">
        <v>11883917.167300001</v>
      </c>
      <c r="V76" s="68">
        <f t="shared" si="12"/>
        <v>5941958.5836500004</v>
      </c>
      <c r="W76" s="68">
        <f t="shared" si="13"/>
        <v>5941958.5836500004</v>
      </c>
      <c r="X76" s="68">
        <v>243046721.84</v>
      </c>
      <c r="Y76" s="69">
        <f t="shared" si="8"/>
        <v>645119252.67365003</v>
      </c>
    </row>
    <row r="77" spans="1:25" ht="24.95" customHeight="1">
      <c r="A77" s="174"/>
      <c r="B77" s="177"/>
      <c r="C77" s="64">
        <v>31</v>
      </c>
      <c r="D77" s="68" t="s">
        <v>266</v>
      </c>
      <c r="E77" s="68">
        <v>339918149.13999999</v>
      </c>
      <c r="F77" s="68">
        <v>0</v>
      </c>
      <c r="G77" s="68">
        <v>77059692.870000005</v>
      </c>
      <c r="H77" s="68">
        <v>12509335.259299999</v>
      </c>
      <c r="I77" s="68">
        <v>12509335.259299999</v>
      </c>
      <c r="J77" s="68">
        <f t="shared" si="10"/>
        <v>0</v>
      </c>
      <c r="K77" s="68">
        <v>335296116.89999998</v>
      </c>
      <c r="L77" s="69">
        <f t="shared" si="14"/>
        <v>752273958.90999997</v>
      </c>
      <c r="M77" s="63"/>
      <c r="N77" s="176"/>
      <c r="O77" s="70">
        <v>16</v>
      </c>
      <c r="P77" s="176"/>
      <c r="Q77" s="68" t="s">
        <v>267</v>
      </c>
      <c r="R77" s="68">
        <v>258724354.34999999</v>
      </c>
      <c r="S77" s="71">
        <v>0</v>
      </c>
      <c r="T77" s="68">
        <v>58653000.25</v>
      </c>
      <c r="U77" s="68">
        <v>9521320.6380000003</v>
      </c>
      <c r="V77" s="68">
        <f t="shared" si="12"/>
        <v>4760660.3190000001</v>
      </c>
      <c r="W77" s="68">
        <f t="shared" si="13"/>
        <v>4760660.3190000001</v>
      </c>
      <c r="X77" s="68">
        <v>224022249.03</v>
      </c>
      <c r="Y77" s="69">
        <f t="shared" si="8"/>
        <v>546160263.949</v>
      </c>
    </row>
    <row r="78" spans="1:25" ht="24.95" customHeight="1">
      <c r="A78" s="64"/>
      <c r="B78" s="169" t="s">
        <v>268</v>
      </c>
      <c r="C78" s="170"/>
      <c r="D78" s="72"/>
      <c r="E78" s="72">
        <f t="shared" ref="E78:L78" si="15">SUM(E47:E77)</f>
        <v>7691077561.1799994</v>
      </c>
      <c r="F78" s="68">
        <v>0</v>
      </c>
      <c r="G78" s="72">
        <f t="shared" si="15"/>
        <v>1743572904.9900002</v>
      </c>
      <c r="H78" s="72">
        <f t="shared" si="15"/>
        <v>283039513.98559999</v>
      </c>
      <c r="I78" s="72">
        <f t="shared" si="15"/>
        <v>283039513.98559999</v>
      </c>
      <c r="J78" s="72">
        <f t="shared" si="15"/>
        <v>0</v>
      </c>
      <c r="K78" s="72">
        <f t="shared" si="15"/>
        <v>8273333860.210001</v>
      </c>
      <c r="L78" s="72">
        <f t="shared" si="15"/>
        <v>17707984326.380005</v>
      </c>
      <c r="M78" s="63"/>
      <c r="N78" s="176"/>
      <c r="O78" s="70">
        <v>17</v>
      </c>
      <c r="P78" s="176"/>
      <c r="Q78" s="68" t="s">
        <v>269</v>
      </c>
      <c r="R78" s="68">
        <v>254964783.05000001</v>
      </c>
      <c r="S78" s="71">
        <v>0</v>
      </c>
      <c r="T78" s="68">
        <v>57800702.689999998</v>
      </c>
      <c r="U78" s="68">
        <v>9382964.5721000005</v>
      </c>
      <c r="V78" s="68">
        <f t="shared" si="12"/>
        <v>4691482.2860500002</v>
      </c>
      <c r="W78" s="68">
        <f t="shared" si="13"/>
        <v>4691482.2860500002</v>
      </c>
      <c r="X78" s="68">
        <v>211009614.22999999</v>
      </c>
      <c r="Y78" s="69">
        <f t="shared" si="8"/>
        <v>528466582.25604999</v>
      </c>
    </row>
    <row r="79" spans="1:25" ht="24.95" customHeight="1">
      <c r="A79" s="174">
        <v>4</v>
      </c>
      <c r="B79" s="175" t="s">
        <v>270</v>
      </c>
      <c r="C79" s="64">
        <v>1</v>
      </c>
      <c r="D79" s="68" t="s">
        <v>271</v>
      </c>
      <c r="E79" s="68">
        <v>382332358.89999998</v>
      </c>
      <c r="F79" s="68">
        <v>0</v>
      </c>
      <c r="G79" s="68">
        <v>86675025.230000004</v>
      </c>
      <c r="H79" s="68">
        <v>14070221.5239</v>
      </c>
      <c r="I79" s="68">
        <v>0</v>
      </c>
      <c r="J79" s="68">
        <f t="shared" ref="J79:J99" si="16">H79-I79</f>
        <v>14070221.5239</v>
      </c>
      <c r="K79" s="68">
        <v>327937402.06999999</v>
      </c>
      <c r="L79" s="69">
        <f t="shared" si="14"/>
        <v>811015007.72389996</v>
      </c>
      <c r="M79" s="63"/>
      <c r="N79" s="176"/>
      <c r="O79" s="70">
        <v>18</v>
      </c>
      <c r="P79" s="176"/>
      <c r="Q79" s="68" t="s">
        <v>272</v>
      </c>
      <c r="R79" s="68">
        <v>264589524.44999999</v>
      </c>
      <c r="S79" s="71">
        <v>0</v>
      </c>
      <c r="T79" s="68">
        <v>59982638.600000001</v>
      </c>
      <c r="U79" s="68">
        <v>9737164.8914000001</v>
      </c>
      <c r="V79" s="68">
        <f t="shared" si="12"/>
        <v>4868582.4457</v>
      </c>
      <c r="W79" s="68">
        <f t="shared" si="13"/>
        <v>4868582.4457</v>
      </c>
      <c r="X79" s="68">
        <v>224911452.59</v>
      </c>
      <c r="Y79" s="69">
        <f t="shared" si="8"/>
        <v>554352198.08570004</v>
      </c>
    </row>
    <row r="80" spans="1:25" ht="24.95" customHeight="1">
      <c r="A80" s="174"/>
      <c r="B80" s="176"/>
      <c r="C80" s="64">
        <v>2</v>
      </c>
      <c r="D80" s="68" t="s">
        <v>273</v>
      </c>
      <c r="E80" s="68">
        <v>251443519.34999999</v>
      </c>
      <c r="F80" s="68">
        <v>0</v>
      </c>
      <c r="G80" s="68">
        <v>57002429.630000003</v>
      </c>
      <c r="H80" s="68">
        <v>9253378.4695999995</v>
      </c>
      <c r="I80" s="68">
        <v>0</v>
      </c>
      <c r="J80" s="68">
        <f t="shared" si="16"/>
        <v>9253378.4695999995</v>
      </c>
      <c r="K80" s="68">
        <v>246922364.56</v>
      </c>
      <c r="L80" s="69">
        <f t="shared" si="14"/>
        <v>564621692.00960004</v>
      </c>
      <c r="M80" s="63"/>
      <c r="N80" s="176"/>
      <c r="O80" s="70">
        <v>19</v>
      </c>
      <c r="P80" s="176"/>
      <c r="Q80" s="68" t="s">
        <v>274</v>
      </c>
      <c r="R80" s="68">
        <v>320117928.10000002</v>
      </c>
      <c r="S80" s="71">
        <v>0</v>
      </c>
      <c r="T80" s="68">
        <v>72570968.290000007</v>
      </c>
      <c r="U80" s="68">
        <v>11780666.891899999</v>
      </c>
      <c r="V80" s="68">
        <f t="shared" si="12"/>
        <v>5890333.4459499996</v>
      </c>
      <c r="W80" s="68">
        <f t="shared" si="13"/>
        <v>5890333.4459499996</v>
      </c>
      <c r="X80" s="68">
        <v>233535979.88999999</v>
      </c>
      <c r="Y80" s="69">
        <f t="shared" si="8"/>
        <v>632115209.72595</v>
      </c>
    </row>
    <row r="81" spans="1:25" ht="24.95" customHeight="1">
      <c r="A81" s="174"/>
      <c r="B81" s="176"/>
      <c r="C81" s="64">
        <v>3</v>
      </c>
      <c r="D81" s="68" t="s">
        <v>275</v>
      </c>
      <c r="E81" s="68">
        <v>258664275.19</v>
      </c>
      <c r="F81" s="68">
        <v>0</v>
      </c>
      <c r="G81" s="68">
        <v>58639380.259999998</v>
      </c>
      <c r="H81" s="68">
        <v>9519109.6635999996</v>
      </c>
      <c r="I81" s="68">
        <v>0</v>
      </c>
      <c r="J81" s="68">
        <f t="shared" si="16"/>
        <v>9519109.6635999996</v>
      </c>
      <c r="K81" s="68">
        <v>252184731.00999999</v>
      </c>
      <c r="L81" s="69">
        <f t="shared" si="14"/>
        <v>579007496.12360001</v>
      </c>
      <c r="M81" s="63"/>
      <c r="N81" s="176"/>
      <c r="O81" s="70">
        <v>20</v>
      </c>
      <c r="P81" s="176"/>
      <c r="Q81" s="68" t="s">
        <v>276</v>
      </c>
      <c r="R81" s="68">
        <v>245988496.66</v>
      </c>
      <c r="S81" s="71">
        <v>0</v>
      </c>
      <c r="T81" s="68">
        <v>55765772</v>
      </c>
      <c r="U81" s="68">
        <v>9052628.0598000009</v>
      </c>
      <c r="V81" s="68">
        <f t="shared" si="12"/>
        <v>4526314.0299000004</v>
      </c>
      <c r="W81" s="68">
        <f t="shared" si="13"/>
        <v>4526314.0299000004</v>
      </c>
      <c r="X81" s="68">
        <v>214685985.25999999</v>
      </c>
      <c r="Y81" s="69">
        <f t="shared" si="8"/>
        <v>520966567.94989997</v>
      </c>
    </row>
    <row r="82" spans="1:25" ht="24.95" customHeight="1">
      <c r="A82" s="174"/>
      <c r="B82" s="176"/>
      <c r="C82" s="64">
        <v>4</v>
      </c>
      <c r="D82" s="68" t="s">
        <v>277</v>
      </c>
      <c r="E82" s="68">
        <v>312646238.51999998</v>
      </c>
      <c r="F82" s="68">
        <v>0</v>
      </c>
      <c r="G82" s="68">
        <v>70877130.810000002</v>
      </c>
      <c r="H82" s="68">
        <v>11505701.0799</v>
      </c>
      <c r="I82" s="68">
        <v>0</v>
      </c>
      <c r="J82" s="68">
        <f t="shared" si="16"/>
        <v>11505701.0799</v>
      </c>
      <c r="K82" s="68">
        <v>296116617.50999999</v>
      </c>
      <c r="L82" s="69">
        <f t="shared" si="14"/>
        <v>691145687.91989994</v>
      </c>
      <c r="M82" s="63"/>
      <c r="N82" s="177"/>
      <c r="O82" s="70">
        <v>21</v>
      </c>
      <c r="P82" s="177"/>
      <c r="Q82" s="68" t="s">
        <v>278</v>
      </c>
      <c r="R82" s="68">
        <v>293820435.25</v>
      </c>
      <c r="S82" s="71">
        <v>0</v>
      </c>
      <c r="T82" s="68">
        <v>66609307.439999998</v>
      </c>
      <c r="U82" s="68">
        <v>10812892.2809</v>
      </c>
      <c r="V82" s="68">
        <f t="shared" si="12"/>
        <v>5406446.1404499998</v>
      </c>
      <c r="W82" s="68">
        <f t="shared" si="13"/>
        <v>5406446.1404499998</v>
      </c>
      <c r="X82" s="68">
        <v>239258639.94999999</v>
      </c>
      <c r="Y82" s="69">
        <f t="shared" si="8"/>
        <v>605094828.78044999</v>
      </c>
    </row>
    <row r="83" spans="1:25" ht="24.95" customHeight="1">
      <c r="A83" s="174"/>
      <c r="B83" s="176"/>
      <c r="C83" s="64">
        <v>5</v>
      </c>
      <c r="D83" s="68" t="s">
        <v>279</v>
      </c>
      <c r="E83" s="68">
        <v>237444646.63999999</v>
      </c>
      <c r="F83" s="68">
        <v>0</v>
      </c>
      <c r="G83" s="68">
        <v>53828874.960000001</v>
      </c>
      <c r="H83" s="68">
        <v>8738205.6479000002</v>
      </c>
      <c r="I83" s="68">
        <v>0</v>
      </c>
      <c r="J83" s="68">
        <f t="shared" si="16"/>
        <v>8738205.6479000002</v>
      </c>
      <c r="K83" s="68">
        <v>231707643.30000001</v>
      </c>
      <c r="L83" s="69">
        <f t="shared" si="14"/>
        <v>531719370.54789996</v>
      </c>
      <c r="M83" s="63"/>
      <c r="N83" s="64"/>
      <c r="O83" s="170" t="s">
        <v>280</v>
      </c>
      <c r="P83" s="173"/>
      <c r="Q83" s="72"/>
      <c r="R83" s="72">
        <f t="shared" ref="R83:Y83" si="17">SUM(R62:R82)</f>
        <v>6056237355.3200006</v>
      </c>
      <c r="S83" s="71">
        <v>0</v>
      </c>
      <c r="T83" s="72">
        <f t="shared" si="17"/>
        <v>1372953435.3499999</v>
      </c>
      <c r="U83" s="72">
        <f t="shared" si="17"/>
        <v>222875723.71990004</v>
      </c>
      <c r="V83" s="72">
        <f t="shared" si="17"/>
        <v>111437861.85995002</v>
      </c>
      <c r="W83" s="72">
        <f t="shared" si="17"/>
        <v>111437861.85995002</v>
      </c>
      <c r="X83" s="72">
        <f t="shared" si="17"/>
        <v>4935563762.6500015</v>
      </c>
      <c r="Y83" s="72">
        <f t="shared" si="17"/>
        <v>12476192415.179953</v>
      </c>
    </row>
    <row r="84" spans="1:25" ht="24.95" customHeight="1">
      <c r="A84" s="174"/>
      <c r="B84" s="176"/>
      <c r="C84" s="64">
        <v>6</v>
      </c>
      <c r="D84" s="68" t="s">
        <v>281</v>
      </c>
      <c r="E84" s="68">
        <v>273351735.63</v>
      </c>
      <c r="F84" s="68">
        <v>0</v>
      </c>
      <c r="G84" s="68">
        <v>61969038.280000001</v>
      </c>
      <c r="H84" s="68">
        <v>10059623.2172</v>
      </c>
      <c r="I84" s="68">
        <v>0</v>
      </c>
      <c r="J84" s="68">
        <f t="shared" si="16"/>
        <v>10059623.2172</v>
      </c>
      <c r="K84" s="68">
        <v>260267143.03999999</v>
      </c>
      <c r="L84" s="69">
        <f t="shared" si="14"/>
        <v>605647540.16719997</v>
      </c>
      <c r="M84" s="63"/>
      <c r="N84" s="175">
        <v>22</v>
      </c>
      <c r="O84" s="76">
        <v>1</v>
      </c>
      <c r="P84" s="174" t="s">
        <v>104</v>
      </c>
      <c r="Q84" s="77" t="s">
        <v>282</v>
      </c>
      <c r="R84" s="68">
        <v>313842404.24000001</v>
      </c>
      <c r="S84" s="71">
        <v>0</v>
      </c>
      <c r="T84" s="78">
        <v>71148302.450000003</v>
      </c>
      <c r="U84" s="68">
        <v>11549721.2006</v>
      </c>
      <c r="V84" s="68">
        <f t="shared" ref="V84:V104" si="18">U84/2</f>
        <v>5774860.6003</v>
      </c>
      <c r="W84" s="68">
        <f t="shared" ref="W84:W104" si="19">U84-V84</f>
        <v>5774860.6003</v>
      </c>
      <c r="X84" s="68">
        <v>258776245.94</v>
      </c>
      <c r="Y84" s="69">
        <f t="shared" si="8"/>
        <v>649541813.23029995</v>
      </c>
    </row>
    <row r="85" spans="1:25" ht="24.95" customHeight="1">
      <c r="A85" s="174"/>
      <c r="B85" s="176"/>
      <c r="C85" s="64">
        <v>7</v>
      </c>
      <c r="D85" s="68" t="s">
        <v>283</v>
      </c>
      <c r="E85" s="68">
        <v>253335394.16</v>
      </c>
      <c r="F85" s="68">
        <v>0</v>
      </c>
      <c r="G85" s="68">
        <v>57431319.039999999</v>
      </c>
      <c r="H85" s="68">
        <v>9323001.3959999997</v>
      </c>
      <c r="I85" s="68">
        <v>0</v>
      </c>
      <c r="J85" s="68">
        <f t="shared" si="16"/>
        <v>9323001.3959999997</v>
      </c>
      <c r="K85" s="68">
        <v>248819954.84999999</v>
      </c>
      <c r="L85" s="69">
        <f t="shared" si="14"/>
        <v>568909669.44599998</v>
      </c>
      <c r="M85" s="63"/>
      <c r="N85" s="176"/>
      <c r="O85" s="76">
        <v>2</v>
      </c>
      <c r="P85" s="174"/>
      <c r="Q85" s="77" t="s">
        <v>284</v>
      </c>
      <c r="R85" s="68">
        <v>277507508.70999998</v>
      </c>
      <c r="S85" s="71">
        <v>0</v>
      </c>
      <c r="T85" s="78">
        <v>62911155.07</v>
      </c>
      <c r="U85" s="68">
        <v>10212559.9133</v>
      </c>
      <c r="V85" s="68">
        <f t="shared" si="18"/>
        <v>5106279.9566500001</v>
      </c>
      <c r="W85" s="68">
        <f t="shared" si="19"/>
        <v>5106279.9566500001</v>
      </c>
      <c r="X85" s="68">
        <v>228934499.72</v>
      </c>
      <c r="Y85" s="69">
        <f t="shared" si="8"/>
        <v>574459443.45665002</v>
      </c>
    </row>
    <row r="86" spans="1:25" ht="24.95" customHeight="1">
      <c r="A86" s="174"/>
      <c r="B86" s="176"/>
      <c r="C86" s="64">
        <v>8</v>
      </c>
      <c r="D86" s="68" t="s">
        <v>285</v>
      </c>
      <c r="E86" s="68">
        <v>226513320.21000001</v>
      </c>
      <c r="F86" s="68">
        <v>0</v>
      </c>
      <c r="G86" s="68">
        <v>51350735.259999998</v>
      </c>
      <c r="H86" s="68">
        <v>8335921.6643000003</v>
      </c>
      <c r="I86" s="68">
        <v>0</v>
      </c>
      <c r="J86" s="68">
        <f t="shared" si="16"/>
        <v>8335921.6643000003</v>
      </c>
      <c r="K86" s="68">
        <v>225645367.25999999</v>
      </c>
      <c r="L86" s="69">
        <f t="shared" si="14"/>
        <v>511845344.39430004</v>
      </c>
      <c r="M86" s="63"/>
      <c r="N86" s="176"/>
      <c r="O86" s="76">
        <v>3</v>
      </c>
      <c r="P86" s="174"/>
      <c r="Q86" s="77" t="s">
        <v>286</v>
      </c>
      <c r="R86" s="68">
        <v>350227924.52999997</v>
      </c>
      <c r="S86" s="71">
        <v>0</v>
      </c>
      <c r="T86" s="78">
        <v>79396926.5</v>
      </c>
      <c r="U86" s="68">
        <v>12888745.5308</v>
      </c>
      <c r="V86" s="68">
        <f t="shared" si="18"/>
        <v>6444372.7653999999</v>
      </c>
      <c r="W86" s="68">
        <f t="shared" si="19"/>
        <v>6444372.7653999999</v>
      </c>
      <c r="X86" s="68">
        <v>283120621.91000003</v>
      </c>
      <c r="Y86" s="69">
        <f t="shared" si="8"/>
        <v>719189845.70539999</v>
      </c>
    </row>
    <row r="87" spans="1:25" ht="24.95" customHeight="1">
      <c r="A87" s="174"/>
      <c r="B87" s="176"/>
      <c r="C87" s="64">
        <v>9</v>
      </c>
      <c r="D87" s="68" t="s">
        <v>287</v>
      </c>
      <c r="E87" s="68">
        <v>251585502.75999999</v>
      </c>
      <c r="F87" s="68">
        <v>0</v>
      </c>
      <c r="G87" s="68">
        <v>57034617.369999997</v>
      </c>
      <c r="H87" s="68">
        <v>9258603.6039000005</v>
      </c>
      <c r="I87" s="68">
        <v>0</v>
      </c>
      <c r="J87" s="68">
        <f t="shared" si="16"/>
        <v>9258603.6039000005</v>
      </c>
      <c r="K87" s="68">
        <v>248753077.77000001</v>
      </c>
      <c r="L87" s="69">
        <f t="shared" si="14"/>
        <v>566631801.50390005</v>
      </c>
      <c r="M87" s="63"/>
      <c r="N87" s="176"/>
      <c r="O87" s="76">
        <v>4</v>
      </c>
      <c r="P87" s="174"/>
      <c r="Q87" s="77" t="s">
        <v>288</v>
      </c>
      <c r="R87" s="68">
        <v>277306883.70999998</v>
      </c>
      <c r="S87" s="71">
        <v>0</v>
      </c>
      <c r="T87" s="78">
        <v>62865673.240000002</v>
      </c>
      <c r="U87" s="68">
        <v>10205176.7084</v>
      </c>
      <c r="V87" s="68">
        <f t="shared" si="18"/>
        <v>5102588.3541999999</v>
      </c>
      <c r="W87" s="68">
        <f t="shared" si="19"/>
        <v>5102588.3541999999</v>
      </c>
      <c r="X87" s="68">
        <v>235537022.97</v>
      </c>
      <c r="Y87" s="69">
        <f t="shared" si="8"/>
        <v>580812168.27419996</v>
      </c>
    </row>
    <row r="88" spans="1:25" ht="24.95" customHeight="1">
      <c r="A88" s="174"/>
      <c r="B88" s="176"/>
      <c r="C88" s="64">
        <v>10</v>
      </c>
      <c r="D88" s="68" t="s">
        <v>289</v>
      </c>
      <c r="E88" s="68">
        <v>398017334.63</v>
      </c>
      <c r="F88" s="68">
        <v>0</v>
      </c>
      <c r="G88" s="68">
        <v>90230820.700000003</v>
      </c>
      <c r="H88" s="68">
        <v>14647444.659700001</v>
      </c>
      <c r="I88" s="68">
        <v>0</v>
      </c>
      <c r="J88" s="68">
        <f t="shared" si="16"/>
        <v>14647444.659700001</v>
      </c>
      <c r="K88" s="68">
        <v>350582577.27999997</v>
      </c>
      <c r="L88" s="69">
        <f t="shared" si="14"/>
        <v>853478177.26969993</v>
      </c>
      <c r="M88" s="63"/>
      <c r="N88" s="176"/>
      <c r="O88" s="76">
        <v>5</v>
      </c>
      <c r="P88" s="174"/>
      <c r="Q88" s="77" t="s">
        <v>290</v>
      </c>
      <c r="R88" s="68">
        <v>379164643.85000002</v>
      </c>
      <c r="S88" s="71">
        <v>0</v>
      </c>
      <c r="T88" s="78">
        <v>85956901.920000002</v>
      </c>
      <c r="U88" s="68">
        <v>13953646.3731</v>
      </c>
      <c r="V88" s="68">
        <f t="shared" si="18"/>
        <v>6976823.1865499998</v>
      </c>
      <c r="W88" s="68">
        <f t="shared" si="19"/>
        <v>6976823.1865499998</v>
      </c>
      <c r="X88" s="68">
        <v>280489999.10000002</v>
      </c>
      <c r="Y88" s="69">
        <f t="shared" si="8"/>
        <v>752588368.05655003</v>
      </c>
    </row>
    <row r="89" spans="1:25" ht="24.95" customHeight="1">
      <c r="A89" s="174"/>
      <c r="B89" s="176"/>
      <c r="C89" s="64">
        <v>11</v>
      </c>
      <c r="D89" s="68" t="s">
        <v>291</v>
      </c>
      <c r="E89" s="68">
        <v>276622528.22000003</v>
      </c>
      <c r="F89" s="68">
        <v>0</v>
      </c>
      <c r="G89" s="68">
        <v>62710529.350000001</v>
      </c>
      <c r="H89" s="68">
        <v>10179991.7272</v>
      </c>
      <c r="I89" s="68">
        <v>0</v>
      </c>
      <c r="J89" s="68">
        <f t="shared" si="16"/>
        <v>10179991.7272</v>
      </c>
      <c r="K89" s="68">
        <v>267229083.84999999</v>
      </c>
      <c r="L89" s="69">
        <f t="shared" si="14"/>
        <v>616742133.14719999</v>
      </c>
      <c r="M89" s="63"/>
      <c r="N89" s="176"/>
      <c r="O89" s="76">
        <v>6</v>
      </c>
      <c r="P89" s="174"/>
      <c r="Q89" s="77" t="s">
        <v>292</v>
      </c>
      <c r="R89" s="68">
        <v>294803285.55000001</v>
      </c>
      <c r="S89" s="71">
        <v>0</v>
      </c>
      <c r="T89" s="78">
        <v>66832120.32</v>
      </c>
      <c r="U89" s="68">
        <v>10849062.176100001</v>
      </c>
      <c r="V89" s="68">
        <f t="shared" si="18"/>
        <v>5424531.0880500004</v>
      </c>
      <c r="W89" s="68">
        <f t="shared" si="19"/>
        <v>5424531.0880500004</v>
      </c>
      <c r="X89" s="68">
        <v>231104455.30000001</v>
      </c>
      <c r="Y89" s="69">
        <f t="shared" si="8"/>
        <v>598164392.25804996</v>
      </c>
    </row>
    <row r="90" spans="1:25" ht="24.95" customHeight="1">
      <c r="A90" s="174"/>
      <c r="B90" s="176"/>
      <c r="C90" s="64">
        <v>12</v>
      </c>
      <c r="D90" s="68" t="s">
        <v>293</v>
      </c>
      <c r="E90" s="68">
        <v>338198813.98000002</v>
      </c>
      <c r="F90" s="68">
        <v>0</v>
      </c>
      <c r="G90" s="68">
        <v>76669918.340000004</v>
      </c>
      <c r="H90" s="68">
        <v>12446061.9695</v>
      </c>
      <c r="I90" s="68">
        <v>0</v>
      </c>
      <c r="J90" s="68">
        <f t="shared" si="16"/>
        <v>12446061.9695</v>
      </c>
      <c r="K90" s="68">
        <v>302526355.44</v>
      </c>
      <c r="L90" s="69">
        <f t="shared" si="14"/>
        <v>729841149.72950006</v>
      </c>
      <c r="M90" s="63"/>
      <c r="N90" s="176"/>
      <c r="O90" s="76">
        <v>7</v>
      </c>
      <c r="P90" s="174"/>
      <c r="Q90" s="77" t="s">
        <v>294</v>
      </c>
      <c r="R90" s="68">
        <v>247366729.72999999</v>
      </c>
      <c r="S90" s="71">
        <v>0</v>
      </c>
      <c r="T90" s="78">
        <v>56078218.450000003</v>
      </c>
      <c r="U90" s="68">
        <v>9103348.4452999998</v>
      </c>
      <c r="V90" s="68">
        <f t="shared" si="18"/>
        <v>4551674.2226499999</v>
      </c>
      <c r="W90" s="68">
        <f t="shared" si="19"/>
        <v>4551674.2226499999</v>
      </c>
      <c r="X90" s="68">
        <v>213053623.02000001</v>
      </c>
      <c r="Y90" s="69">
        <f t="shared" si="8"/>
        <v>521050245.42264998</v>
      </c>
    </row>
    <row r="91" spans="1:25" ht="24.95" customHeight="1">
      <c r="A91" s="174"/>
      <c r="B91" s="176"/>
      <c r="C91" s="64">
        <v>13</v>
      </c>
      <c r="D91" s="68" t="s">
        <v>295</v>
      </c>
      <c r="E91" s="68">
        <v>248489805.28</v>
      </c>
      <c r="F91" s="68">
        <v>0</v>
      </c>
      <c r="G91" s="68">
        <v>56332820.490000002</v>
      </c>
      <c r="H91" s="68">
        <v>9144678.7731999997</v>
      </c>
      <c r="I91" s="68">
        <v>0</v>
      </c>
      <c r="J91" s="68">
        <f t="shared" si="16"/>
        <v>9144678.7731999997</v>
      </c>
      <c r="K91" s="68">
        <v>245104354.25</v>
      </c>
      <c r="L91" s="69">
        <f t="shared" si="14"/>
        <v>559071658.79320002</v>
      </c>
      <c r="M91" s="63"/>
      <c r="N91" s="176"/>
      <c r="O91" s="76">
        <v>8</v>
      </c>
      <c r="P91" s="174"/>
      <c r="Q91" s="77" t="s">
        <v>296</v>
      </c>
      <c r="R91" s="68">
        <v>289864741.11000001</v>
      </c>
      <c r="S91" s="71">
        <v>0</v>
      </c>
      <c r="T91" s="78">
        <v>65712548.689999998</v>
      </c>
      <c r="U91" s="68">
        <v>10667318.694</v>
      </c>
      <c r="V91" s="68">
        <f t="shared" si="18"/>
        <v>5333659.3470000001</v>
      </c>
      <c r="W91" s="68">
        <f t="shared" si="19"/>
        <v>5333659.3470000001</v>
      </c>
      <c r="X91" s="68">
        <v>238536030.09999999</v>
      </c>
      <c r="Y91" s="69">
        <f t="shared" si="8"/>
        <v>599446979.24699998</v>
      </c>
    </row>
    <row r="92" spans="1:25" ht="24.95" customHeight="1">
      <c r="A92" s="174"/>
      <c r="B92" s="176"/>
      <c r="C92" s="64">
        <v>14</v>
      </c>
      <c r="D92" s="68" t="s">
        <v>297</v>
      </c>
      <c r="E92" s="68">
        <v>246379120.55000001</v>
      </c>
      <c r="F92" s="68">
        <v>0</v>
      </c>
      <c r="G92" s="68">
        <v>55854326.719999999</v>
      </c>
      <c r="H92" s="68">
        <v>9067003.4182999991</v>
      </c>
      <c r="I92" s="68">
        <v>0</v>
      </c>
      <c r="J92" s="68">
        <f t="shared" si="16"/>
        <v>9067003.4182999991</v>
      </c>
      <c r="K92" s="68">
        <v>248505744.68000001</v>
      </c>
      <c r="L92" s="69">
        <f t="shared" si="14"/>
        <v>559806195.36829996</v>
      </c>
      <c r="M92" s="63"/>
      <c r="N92" s="176"/>
      <c r="O92" s="76">
        <v>9</v>
      </c>
      <c r="P92" s="174"/>
      <c r="Q92" s="77" t="s">
        <v>298</v>
      </c>
      <c r="R92" s="68">
        <v>284271477.13</v>
      </c>
      <c r="S92" s="71">
        <v>0</v>
      </c>
      <c r="T92" s="78">
        <v>64444551.659999996</v>
      </c>
      <c r="U92" s="68">
        <v>10461480.863600001</v>
      </c>
      <c r="V92" s="68">
        <f t="shared" si="18"/>
        <v>5230740.4318000004</v>
      </c>
      <c r="W92" s="68">
        <f t="shared" si="19"/>
        <v>5230740.4318000004</v>
      </c>
      <c r="X92" s="68">
        <v>228040812.78</v>
      </c>
      <c r="Y92" s="69">
        <f t="shared" ref="Y92:Y155" si="20">R92+S92+T92+W92+X92</f>
        <v>581987582.00179994</v>
      </c>
    </row>
    <row r="93" spans="1:25" ht="24.95" customHeight="1">
      <c r="A93" s="174"/>
      <c r="B93" s="176"/>
      <c r="C93" s="64">
        <v>15</v>
      </c>
      <c r="D93" s="68" t="s">
        <v>299</v>
      </c>
      <c r="E93" s="68">
        <v>295708894.57999998</v>
      </c>
      <c r="F93" s="68">
        <v>0</v>
      </c>
      <c r="G93" s="68">
        <v>67037422.549999997</v>
      </c>
      <c r="H93" s="68">
        <v>10882389.514</v>
      </c>
      <c r="I93" s="68">
        <v>0</v>
      </c>
      <c r="J93" s="68">
        <f t="shared" si="16"/>
        <v>10882389.514</v>
      </c>
      <c r="K93" s="68">
        <v>276933731.95999998</v>
      </c>
      <c r="L93" s="69">
        <f t="shared" si="14"/>
        <v>650562438.60399997</v>
      </c>
      <c r="M93" s="63"/>
      <c r="N93" s="176"/>
      <c r="O93" s="76">
        <v>10</v>
      </c>
      <c r="P93" s="174"/>
      <c r="Q93" s="77" t="s">
        <v>300</v>
      </c>
      <c r="R93" s="68">
        <v>300539446.08999997</v>
      </c>
      <c r="S93" s="71">
        <v>0</v>
      </c>
      <c r="T93" s="78">
        <v>68132512.109999999</v>
      </c>
      <c r="U93" s="68">
        <v>11060158.745999999</v>
      </c>
      <c r="V93" s="68">
        <f t="shared" si="18"/>
        <v>5530079.3729999997</v>
      </c>
      <c r="W93" s="68">
        <f t="shared" si="19"/>
        <v>5530079.3729999997</v>
      </c>
      <c r="X93" s="68">
        <v>237574345.24000001</v>
      </c>
      <c r="Y93" s="69">
        <f t="shared" si="20"/>
        <v>611776382.81299996</v>
      </c>
    </row>
    <row r="94" spans="1:25" ht="24.95" customHeight="1">
      <c r="A94" s="174"/>
      <c r="B94" s="176"/>
      <c r="C94" s="64">
        <v>16</v>
      </c>
      <c r="D94" s="68" t="s">
        <v>301</v>
      </c>
      <c r="E94" s="68">
        <v>282558216.55000001</v>
      </c>
      <c r="F94" s="68">
        <v>0</v>
      </c>
      <c r="G94" s="68">
        <v>64056154.229999997</v>
      </c>
      <c r="H94" s="68">
        <v>10398431.123400001</v>
      </c>
      <c r="I94" s="68">
        <v>0</v>
      </c>
      <c r="J94" s="68">
        <f t="shared" si="16"/>
        <v>10398431.123400001</v>
      </c>
      <c r="K94" s="68">
        <v>272532921.56</v>
      </c>
      <c r="L94" s="69">
        <f t="shared" si="14"/>
        <v>629545723.46340001</v>
      </c>
      <c r="M94" s="63"/>
      <c r="N94" s="176"/>
      <c r="O94" s="76">
        <v>11</v>
      </c>
      <c r="P94" s="174"/>
      <c r="Q94" s="77" t="s">
        <v>104</v>
      </c>
      <c r="R94" s="68">
        <v>264561455.08000001</v>
      </c>
      <c r="S94" s="71">
        <v>0</v>
      </c>
      <c r="T94" s="78">
        <v>59976275.25</v>
      </c>
      <c r="U94" s="68">
        <v>9736131.9098000005</v>
      </c>
      <c r="V94" s="68">
        <f t="shared" si="18"/>
        <v>4868065.9549000002</v>
      </c>
      <c r="W94" s="68">
        <f t="shared" si="19"/>
        <v>4868065.9549000002</v>
      </c>
      <c r="X94" s="68">
        <v>226535518.19</v>
      </c>
      <c r="Y94" s="69">
        <f t="shared" si="20"/>
        <v>555941314.47490001</v>
      </c>
    </row>
    <row r="95" spans="1:25" ht="24.95" customHeight="1">
      <c r="A95" s="174"/>
      <c r="B95" s="176"/>
      <c r="C95" s="64">
        <v>17</v>
      </c>
      <c r="D95" s="68" t="s">
        <v>302</v>
      </c>
      <c r="E95" s="68">
        <v>236705738.53</v>
      </c>
      <c r="F95" s="68">
        <v>0</v>
      </c>
      <c r="G95" s="68">
        <v>53661363.950000003</v>
      </c>
      <c r="H95" s="68">
        <v>8711013.0742000006</v>
      </c>
      <c r="I95" s="68">
        <v>0</v>
      </c>
      <c r="J95" s="68">
        <f t="shared" si="16"/>
        <v>8711013.0742000006</v>
      </c>
      <c r="K95" s="68">
        <v>236315809.99000001</v>
      </c>
      <c r="L95" s="69">
        <f t="shared" si="14"/>
        <v>535393925.5442</v>
      </c>
      <c r="M95" s="63"/>
      <c r="N95" s="176"/>
      <c r="O95" s="76">
        <v>12</v>
      </c>
      <c r="P95" s="174"/>
      <c r="Q95" s="77" t="s">
        <v>303</v>
      </c>
      <c r="R95" s="68">
        <v>337767535.73000002</v>
      </c>
      <c r="S95" s="71">
        <v>0</v>
      </c>
      <c r="T95" s="78">
        <v>76572147.239999995</v>
      </c>
      <c r="U95" s="68">
        <v>12430190.4891</v>
      </c>
      <c r="V95" s="68">
        <f t="shared" si="18"/>
        <v>6215095.2445499999</v>
      </c>
      <c r="W95" s="68">
        <f t="shared" si="19"/>
        <v>6215095.2445499999</v>
      </c>
      <c r="X95" s="68">
        <v>256185973.55000001</v>
      </c>
      <c r="Y95" s="69">
        <f t="shared" si="20"/>
        <v>676740751.76454997</v>
      </c>
    </row>
    <row r="96" spans="1:25" ht="24.95" customHeight="1">
      <c r="A96" s="174"/>
      <c r="B96" s="176"/>
      <c r="C96" s="64">
        <v>18</v>
      </c>
      <c r="D96" s="68" t="s">
        <v>304</v>
      </c>
      <c r="E96" s="68">
        <v>245270256.22</v>
      </c>
      <c r="F96" s="68">
        <v>0</v>
      </c>
      <c r="G96" s="68">
        <v>55602946.369999997</v>
      </c>
      <c r="H96" s="68">
        <v>9026196.0778000001</v>
      </c>
      <c r="I96" s="68">
        <v>0</v>
      </c>
      <c r="J96" s="68">
        <f t="shared" si="16"/>
        <v>9026196.0778000001</v>
      </c>
      <c r="K96" s="68">
        <v>240694577.09999999</v>
      </c>
      <c r="L96" s="69">
        <f t="shared" si="14"/>
        <v>550593975.76779997</v>
      </c>
      <c r="M96" s="63"/>
      <c r="N96" s="176"/>
      <c r="O96" s="76">
        <v>13</v>
      </c>
      <c r="P96" s="174"/>
      <c r="Q96" s="77" t="s">
        <v>305</v>
      </c>
      <c r="R96" s="68">
        <v>222946732.06</v>
      </c>
      <c r="S96" s="71">
        <v>0</v>
      </c>
      <c r="T96" s="78">
        <v>50542187.119999997</v>
      </c>
      <c r="U96" s="68">
        <v>8204667.5755000003</v>
      </c>
      <c r="V96" s="68">
        <f t="shared" si="18"/>
        <v>4102333.7877500001</v>
      </c>
      <c r="W96" s="68">
        <f t="shared" si="19"/>
        <v>4102333.7877500001</v>
      </c>
      <c r="X96" s="68">
        <v>199686427.65000001</v>
      </c>
      <c r="Y96" s="69">
        <f t="shared" si="20"/>
        <v>477277680.61775005</v>
      </c>
    </row>
    <row r="97" spans="1:25" ht="24.95" customHeight="1">
      <c r="A97" s="174"/>
      <c r="B97" s="176"/>
      <c r="C97" s="64">
        <v>19</v>
      </c>
      <c r="D97" s="68" t="s">
        <v>306</v>
      </c>
      <c r="E97" s="68">
        <v>264871051.22</v>
      </c>
      <c r="F97" s="68">
        <v>0</v>
      </c>
      <c r="G97" s="68">
        <v>60046460.920000002</v>
      </c>
      <c r="H97" s="68">
        <v>9747525.3643999994</v>
      </c>
      <c r="I97" s="68">
        <v>0</v>
      </c>
      <c r="J97" s="68">
        <f t="shared" si="16"/>
        <v>9747525.3643999994</v>
      </c>
      <c r="K97" s="68">
        <v>254048695.94999999</v>
      </c>
      <c r="L97" s="69">
        <f t="shared" si="14"/>
        <v>588713733.45440006</v>
      </c>
      <c r="M97" s="63"/>
      <c r="N97" s="176"/>
      <c r="O97" s="76">
        <v>14</v>
      </c>
      <c r="P97" s="174"/>
      <c r="Q97" s="77" t="s">
        <v>307</v>
      </c>
      <c r="R97" s="68">
        <v>324131072.80000001</v>
      </c>
      <c r="S97" s="71">
        <v>0</v>
      </c>
      <c r="T97" s="78">
        <v>73480751.129999995</v>
      </c>
      <c r="U97" s="68">
        <v>11928354.717800001</v>
      </c>
      <c r="V97" s="68">
        <f t="shared" si="18"/>
        <v>5964177.3589000003</v>
      </c>
      <c r="W97" s="68">
        <f t="shared" si="19"/>
        <v>5964177.3589000003</v>
      </c>
      <c r="X97" s="68">
        <v>255030756.15000001</v>
      </c>
      <c r="Y97" s="69">
        <f t="shared" si="20"/>
        <v>658606757.43889999</v>
      </c>
    </row>
    <row r="98" spans="1:25" ht="24.95" customHeight="1">
      <c r="A98" s="174"/>
      <c r="B98" s="176"/>
      <c r="C98" s="64">
        <v>20</v>
      </c>
      <c r="D98" s="68" t="s">
        <v>308</v>
      </c>
      <c r="E98" s="68">
        <v>268042806.65000001</v>
      </c>
      <c r="F98" s="68">
        <v>0</v>
      </c>
      <c r="G98" s="68">
        <v>60765500.189999998</v>
      </c>
      <c r="H98" s="68">
        <v>9864249.2047000006</v>
      </c>
      <c r="I98" s="68">
        <v>0</v>
      </c>
      <c r="J98" s="68">
        <f t="shared" si="16"/>
        <v>9864249.2047000006</v>
      </c>
      <c r="K98" s="68">
        <v>259575581.78</v>
      </c>
      <c r="L98" s="69">
        <f t="shared" si="14"/>
        <v>598248137.8247</v>
      </c>
      <c r="M98" s="63"/>
      <c r="N98" s="176"/>
      <c r="O98" s="76">
        <v>15</v>
      </c>
      <c r="P98" s="174"/>
      <c r="Q98" s="77" t="s">
        <v>309</v>
      </c>
      <c r="R98" s="68">
        <v>216441885.19999999</v>
      </c>
      <c r="S98" s="71">
        <v>0</v>
      </c>
      <c r="T98" s="78">
        <v>49067533.579999998</v>
      </c>
      <c r="U98" s="68">
        <v>7965282.5634000003</v>
      </c>
      <c r="V98" s="68">
        <f t="shared" si="18"/>
        <v>3982641.2817000002</v>
      </c>
      <c r="W98" s="68">
        <f t="shared" si="19"/>
        <v>3982641.2817000002</v>
      </c>
      <c r="X98" s="68">
        <v>198036917.68000001</v>
      </c>
      <c r="Y98" s="69">
        <f t="shared" si="20"/>
        <v>467528977.74169999</v>
      </c>
    </row>
    <row r="99" spans="1:25" ht="24.95" customHeight="1">
      <c r="A99" s="174"/>
      <c r="B99" s="177"/>
      <c r="C99" s="64">
        <v>21</v>
      </c>
      <c r="D99" s="68" t="s">
        <v>310</v>
      </c>
      <c r="E99" s="68">
        <v>257360566.37</v>
      </c>
      <c r="F99" s="68">
        <v>0</v>
      </c>
      <c r="G99" s="68">
        <v>58343828.520000003</v>
      </c>
      <c r="H99" s="68">
        <v>9471131.8466999996</v>
      </c>
      <c r="I99" s="68">
        <v>0</v>
      </c>
      <c r="J99" s="68">
        <f t="shared" si="16"/>
        <v>9471131.8466999996</v>
      </c>
      <c r="K99" s="68">
        <v>252413756.97999999</v>
      </c>
      <c r="L99" s="69">
        <f t="shared" si="14"/>
        <v>577589283.71669996</v>
      </c>
      <c r="M99" s="63"/>
      <c r="N99" s="176"/>
      <c r="O99" s="76">
        <v>16</v>
      </c>
      <c r="P99" s="174"/>
      <c r="Q99" s="77" t="s">
        <v>311</v>
      </c>
      <c r="R99" s="68">
        <v>313791405.92000002</v>
      </c>
      <c r="S99" s="71">
        <v>0</v>
      </c>
      <c r="T99" s="78">
        <v>71136741.090000004</v>
      </c>
      <c r="U99" s="68">
        <v>11547844.410499999</v>
      </c>
      <c r="V99" s="68">
        <f t="shared" si="18"/>
        <v>5773922.2052499996</v>
      </c>
      <c r="W99" s="68">
        <f t="shared" si="19"/>
        <v>5773922.2052499996</v>
      </c>
      <c r="X99" s="68">
        <v>257956161.13999999</v>
      </c>
      <c r="Y99" s="69">
        <f t="shared" si="20"/>
        <v>648658230.35525</v>
      </c>
    </row>
    <row r="100" spans="1:25" ht="24.95" customHeight="1">
      <c r="A100" s="64"/>
      <c r="B100" s="169" t="s">
        <v>312</v>
      </c>
      <c r="C100" s="170"/>
      <c r="D100" s="72"/>
      <c r="E100" s="72">
        <f t="shared" ref="E100:L100" si="21">SUM(E79:E99)</f>
        <v>5805542124.1400003</v>
      </c>
      <c r="F100" s="68">
        <v>0</v>
      </c>
      <c r="G100" s="72">
        <f t="shared" si="21"/>
        <v>1316120643.1700001</v>
      </c>
      <c r="H100" s="72">
        <f t="shared" si="21"/>
        <v>213649883.01940003</v>
      </c>
      <c r="I100" s="72">
        <f t="shared" si="21"/>
        <v>0</v>
      </c>
      <c r="J100" s="72">
        <f t="shared" si="21"/>
        <v>213649883.01940003</v>
      </c>
      <c r="K100" s="72">
        <f t="shared" si="21"/>
        <v>5544817492.1899986</v>
      </c>
      <c r="L100" s="72">
        <f t="shared" si="21"/>
        <v>12880130142.5194</v>
      </c>
      <c r="M100" s="63"/>
      <c r="N100" s="176"/>
      <c r="O100" s="76">
        <v>17</v>
      </c>
      <c r="P100" s="174"/>
      <c r="Q100" s="77" t="s">
        <v>313</v>
      </c>
      <c r="R100" s="68">
        <v>392446991.87</v>
      </c>
      <c r="S100" s="71">
        <v>0</v>
      </c>
      <c r="T100" s="78">
        <v>88968019.920000002</v>
      </c>
      <c r="U100" s="68">
        <v>14442450.353700001</v>
      </c>
      <c r="V100" s="68">
        <f t="shared" si="18"/>
        <v>7221225.1768500004</v>
      </c>
      <c r="W100" s="68">
        <f t="shared" si="19"/>
        <v>7221225.1768500004</v>
      </c>
      <c r="X100" s="68">
        <v>302887467.61000001</v>
      </c>
      <c r="Y100" s="69">
        <f t="shared" si="20"/>
        <v>791523704.57685006</v>
      </c>
    </row>
    <row r="101" spans="1:25" ht="24.95" customHeight="1">
      <c r="A101" s="174">
        <v>5</v>
      </c>
      <c r="B101" s="175" t="s">
        <v>314</v>
      </c>
      <c r="C101" s="64">
        <v>1</v>
      </c>
      <c r="D101" s="68" t="s">
        <v>315</v>
      </c>
      <c r="E101" s="68">
        <v>433937738.16000003</v>
      </c>
      <c r="F101" s="68">
        <v>0</v>
      </c>
      <c r="G101" s="68">
        <v>98374002.430000007</v>
      </c>
      <c r="H101" s="68">
        <v>15969352.217900001</v>
      </c>
      <c r="I101" s="68">
        <v>0</v>
      </c>
      <c r="J101" s="68">
        <f t="shared" ref="J101:J120" si="22">H101-I101</f>
        <v>15969352.217900001</v>
      </c>
      <c r="K101" s="68">
        <v>311814577.32999998</v>
      </c>
      <c r="L101" s="69">
        <f t="shared" si="14"/>
        <v>860095670.13790011</v>
      </c>
      <c r="M101" s="63"/>
      <c r="N101" s="176"/>
      <c r="O101" s="76">
        <v>18</v>
      </c>
      <c r="P101" s="174"/>
      <c r="Q101" s="77" t="s">
        <v>316</v>
      </c>
      <c r="R101" s="68">
        <v>296445238.38999999</v>
      </c>
      <c r="S101" s="71">
        <v>0</v>
      </c>
      <c r="T101" s="78">
        <v>67204352.230000004</v>
      </c>
      <c r="U101" s="68">
        <v>10909487.718699999</v>
      </c>
      <c r="V101" s="68">
        <f t="shared" si="18"/>
        <v>5454743.8593499996</v>
      </c>
      <c r="W101" s="68">
        <f t="shared" si="19"/>
        <v>5454743.8593499996</v>
      </c>
      <c r="X101" s="68">
        <v>243068726.56999999</v>
      </c>
      <c r="Y101" s="69">
        <f t="shared" si="20"/>
        <v>612173061.04935002</v>
      </c>
    </row>
    <row r="102" spans="1:25" ht="24.95" customHeight="1">
      <c r="A102" s="174"/>
      <c r="B102" s="176"/>
      <c r="C102" s="64">
        <v>2</v>
      </c>
      <c r="D102" s="68" t="s">
        <v>87</v>
      </c>
      <c r="E102" s="68">
        <v>524025521.75</v>
      </c>
      <c r="F102" s="68">
        <v>0</v>
      </c>
      <c r="G102" s="68">
        <v>118796968.81999999</v>
      </c>
      <c r="H102" s="68">
        <v>19284674.7172</v>
      </c>
      <c r="I102" s="68">
        <v>0</v>
      </c>
      <c r="J102" s="68">
        <f t="shared" si="22"/>
        <v>19284674.7172</v>
      </c>
      <c r="K102" s="68">
        <v>373231643.08999997</v>
      </c>
      <c r="L102" s="69">
        <f t="shared" si="14"/>
        <v>1035338808.3771999</v>
      </c>
      <c r="M102" s="63"/>
      <c r="N102" s="176"/>
      <c r="O102" s="76">
        <v>19</v>
      </c>
      <c r="P102" s="174"/>
      <c r="Q102" s="77" t="s">
        <v>317</v>
      </c>
      <c r="R102" s="68">
        <v>280687971.57999998</v>
      </c>
      <c r="S102" s="71">
        <v>0</v>
      </c>
      <c r="T102" s="78">
        <v>63632168.329999998</v>
      </c>
      <c r="U102" s="68">
        <v>10329604.1974</v>
      </c>
      <c r="V102" s="68">
        <f t="shared" si="18"/>
        <v>5164802.0987</v>
      </c>
      <c r="W102" s="68">
        <f t="shared" si="19"/>
        <v>5164802.0987</v>
      </c>
      <c r="X102" s="68">
        <v>223734153.34999999</v>
      </c>
      <c r="Y102" s="69">
        <f t="shared" si="20"/>
        <v>573219095.35869992</v>
      </c>
    </row>
    <row r="103" spans="1:25" ht="24.95" customHeight="1">
      <c r="A103" s="174"/>
      <c r="B103" s="176"/>
      <c r="C103" s="64">
        <v>3</v>
      </c>
      <c r="D103" s="68" t="s">
        <v>318</v>
      </c>
      <c r="E103" s="68">
        <v>229180710.31999999</v>
      </c>
      <c r="F103" s="68">
        <v>0</v>
      </c>
      <c r="G103" s="68">
        <v>51955434.549999997</v>
      </c>
      <c r="H103" s="68">
        <v>8434084.3462000005</v>
      </c>
      <c r="I103" s="68">
        <v>0</v>
      </c>
      <c r="J103" s="68">
        <f t="shared" si="22"/>
        <v>8434084.3462000005</v>
      </c>
      <c r="K103" s="68">
        <v>220200831.16</v>
      </c>
      <c r="L103" s="69">
        <f t="shared" si="14"/>
        <v>509771060.37619996</v>
      </c>
      <c r="M103" s="63"/>
      <c r="N103" s="176"/>
      <c r="O103" s="76">
        <v>20</v>
      </c>
      <c r="P103" s="174"/>
      <c r="Q103" s="77" t="s">
        <v>319</v>
      </c>
      <c r="R103" s="68">
        <v>300965366.77999997</v>
      </c>
      <c r="S103" s="71">
        <v>0</v>
      </c>
      <c r="T103" s="78">
        <v>68229068.640000001</v>
      </c>
      <c r="U103" s="68">
        <v>11075833.0626</v>
      </c>
      <c r="V103" s="68">
        <f t="shared" si="18"/>
        <v>5537916.5312999999</v>
      </c>
      <c r="W103" s="68">
        <f t="shared" si="19"/>
        <v>5537916.5312999999</v>
      </c>
      <c r="X103" s="68">
        <v>238910765.88999999</v>
      </c>
      <c r="Y103" s="69">
        <f t="shared" si="20"/>
        <v>613643117.84130001</v>
      </c>
    </row>
    <row r="104" spans="1:25" ht="24.95" customHeight="1">
      <c r="A104" s="174"/>
      <c r="B104" s="176"/>
      <c r="C104" s="64">
        <v>4</v>
      </c>
      <c r="D104" s="68" t="s">
        <v>320</v>
      </c>
      <c r="E104" s="68">
        <v>270854154.58999997</v>
      </c>
      <c r="F104" s="68">
        <v>0</v>
      </c>
      <c r="G104" s="68">
        <v>61402834.829999998</v>
      </c>
      <c r="H104" s="68">
        <v>9967709.6824999992</v>
      </c>
      <c r="I104" s="68">
        <v>0</v>
      </c>
      <c r="J104" s="68">
        <f t="shared" si="22"/>
        <v>9967709.6824999992</v>
      </c>
      <c r="K104" s="68">
        <v>245123563.06</v>
      </c>
      <c r="L104" s="69">
        <f t="shared" si="14"/>
        <v>587348262.1624999</v>
      </c>
      <c r="M104" s="63"/>
      <c r="N104" s="177"/>
      <c r="O104" s="76">
        <v>21</v>
      </c>
      <c r="P104" s="174"/>
      <c r="Q104" s="77" t="s">
        <v>321</v>
      </c>
      <c r="R104" s="68">
        <v>294484217.07999998</v>
      </c>
      <c r="S104" s="71">
        <v>0</v>
      </c>
      <c r="T104" s="78">
        <v>66759787.270000003</v>
      </c>
      <c r="U104" s="68">
        <v>10837320.1305</v>
      </c>
      <c r="V104" s="68">
        <f t="shared" si="18"/>
        <v>5418660.06525</v>
      </c>
      <c r="W104" s="68">
        <f t="shared" si="19"/>
        <v>5418660.06525</v>
      </c>
      <c r="X104" s="68">
        <v>235595680.55000001</v>
      </c>
      <c r="Y104" s="69">
        <f t="shared" si="20"/>
        <v>602258344.96525002</v>
      </c>
    </row>
    <row r="105" spans="1:25" ht="24.95" customHeight="1">
      <c r="A105" s="174"/>
      <c r="B105" s="176"/>
      <c r="C105" s="64">
        <v>5</v>
      </c>
      <c r="D105" s="68" t="s">
        <v>322</v>
      </c>
      <c r="E105" s="68">
        <v>343589649.66000003</v>
      </c>
      <c r="F105" s="68">
        <v>0</v>
      </c>
      <c r="G105" s="68">
        <v>77892024.730000004</v>
      </c>
      <c r="H105" s="68">
        <v>12644450.2316</v>
      </c>
      <c r="I105" s="68">
        <v>0</v>
      </c>
      <c r="J105" s="68">
        <f t="shared" si="22"/>
        <v>12644450.2316</v>
      </c>
      <c r="K105" s="68">
        <v>282737247.27999997</v>
      </c>
      <c r="L105" s="69">
        <f t="shared" si="14"/>
        <v>716863371.9016</v>
      </c>
      <c r="M105" s="63"/>
      <c r="N105" s="64"/>
      <c r="O105" s="170" t="s">
        <v>323</v>
      </c>
      <c r="P105" s="173"/>
      <c r="Q105" s="72"/>
      <c r="R105" s="72">
        <f t="shared" ref="R105:Y105" si="23">SUM(R84:R104)</f>
        <v>6259564917.1400003</v>
      </c>
      <c r="S105" s="71">
        <v>0</v>
      </c>
      <c r="T105" s="72">
        <f t="shared" si="23"/>
        <v>1419047942.21</v>
      </c>
      <c r="U105" s="72">
        <f t="shared" si="23"/>
        <v>230358385.78019994</v>
      </c>
      <c r="V105" s="72">
        <f t="shared" si="23"/>
        <v>115179192.89009997</v>
      </c>
      <c r="W105" s="72">
        <f t="shared" si="23"/>
        <v>115179192.89009997</v>
      </c>
      <c r="X105" s="72">
        <f t="shared" si="23"/>
        <v>5072796204.4100008</v>
      </c>
      <c r="Y105" s="72">
        <f t="shared" si="23"/>
        <v>12866588256.650099</v>
      </c>
    </row>
    <row r="106" spans="1:25" ht="24.95" customHeight="1">
      <c r="A106" s="174"/>
      <c r="B106" s="176"/>
      <c r="C106" s="64">
        <v>6</v>
      </c>
      <c r="D106" s="68" t="s">
        <v>324</v>
      </c>
      <c r="E106" s="68">
        <v>227519830.41999999</v>
      </c>
      <c r="F106" s="68">
        <v>0</v>
      </c>
      <c r="G106" s="68">
        <v>51578911.869999997</v>
      </c>
      <c r="H106" s="68">
        <v>8372962.2686999999</v>
      </c>
      <c r="I106" s="68">
        <v>0</v>
      </c>
      <c r="J106" s="68">
        <f t="shared" si="22"/>
        <v>8372962.2686999999</v>
      </c>
      <c r="K106" s="68">
        <v>222340897.53999999</v>
      </c>
      <c r="L106" s="69">
        <f t="shared" si="14"/>
        <v>509812602.09869993</v>
      </c>
      <c r="M106" s="63"/>
      <c r="N106" s="175">
        <v>23</v>
      </c>
      <c r="O106" s="76">
        <v>1</v>
      </c>
      <c r="P106" s="174" t="s">
        <v>105</v>
      </c>
      <c r="Q106" s="77" t="s">
        <v>325</v>
      </c>
      <c r="R106" s="68">
        <v>254332031.87</v>
      </c>
      <c r="S106" s="71">
        <v>0</v>
      </c>
      <c r="T106" s="68">
        <v>57657257.530000001</v>
      </c>
      <c r="U106" s="68">
        <v>9359678.6819000002</v>
      </c>
      <c r="V106" s="68">
        <f t="shared" ref="V106:V121" si="24">U106/2</f>
        <v>4679839.3409500001</v>
      </c>
      <c r="W106" s="68">
        <f t="shared" ref="W106:W121" si="25">U106-V106</f>
        <v>4679839.3409500001</v>
      </c>
      <c r="X106" s="68">
        <v>251909654.59999999</v>
      </c>
      <c r="Y106" s="69">
        <f t="shared" si="20"/>
        <v>568578783.34095001</v>
      </c>
    </row>
    <row r="107" spans="1:25" ht="24.95" customHeight="1">
      <c r="A107" s="174"/>
      <c r="B107" s="176"/>
      <c r="C107" s="64">
        <v>7</v>
      </c>
      <c r="D107" s="68" t="s">
        <v>326</v>
      </c>
      <c r="E107" s="68">
        <v>362978748.67000002</v>
      </c>
      <c r="F107" s="68">
        <v>0</v>
      </c>
      <c r="G107" s="68">
        <v>82287547.650000006</v>
      </c>
      <c r="H107" s="68">
        <v>13357988.8894</v>
      </c>
      <c r="I107" s="68">
        <v>0</v>
      </c>
      <c r="J107" s="68">
        <f t="shared" si="22"/>
        <v>13357988.8894</v>
      </c>
      <c r="K107" s="68">
        <v>295735684.70999998</v>
      </c>
      <c r="L107" s="69">
        <f t="shared" si="14"/>
        <v>754359969.91939998</v>
      </c>
      <c r="M107" s="63"/>
      <c r="N107" s="176"/>
      <c r="O107" s="76">
        <v>2</v>
      </c>
      <c r="P107" s="174"/>
      <c r="Q107" s="77" t="s">
        <v>327</v>
      </c>
      <c r="R107" s="68">
        <v>418234282.41000003</v>
      </c>
      <c r="S107" s="71">
        <v>0</v>
      </c>
      <c r="T107" s="68">
        <v>94814017.530000001</v>
      </c>
      <c r="U107" s="68">
        <v>15391448.998199999</v>
      </c>
      <c r="V107" s="68">
        <f t="shared" si="24"/>
        <v>7695724.4990999997</v>
      </c>
      <c r="W107" s="68">
        <f t="shared" si="25"/>
        <v>7695724.4990999997</v>
      </c>
      <c r="X107" s="68">
        <v>282928661.5</v>
      </c>
      <c r="Y107" s="69">
        <f t="shared" si="20"/>
        <v>803672685.93910003</v>
      </c>
    </row>
    <row r="108" spans="1:25" ht="24.95" customHeight="1">
      <c r="A108" s="174"/>
      <c r="B108" s="176"/>
      <c r="C108" s="64">
        <v>8</v>
      </c>
      <c r="D108" s="68" t="s">
        <v>328</v>
      </c>
      <c r="E108" s="68">
        <v>366416468.07999998</v>
      </c>
      <c r="F108" s="68">
        <v>0</v>
      </c>
      <c r="G108" s="68">
        <v>83066881.150000006</v>
      </c>
      <c r="H108" s="68">
        <v>13484500.4768</v>
      </c>
      <c r="I108" s="68">
        <v>0</v>
      </c>
      <c r="J108" s="68">
        <f t="shared" si="22"/>
        <v>13484500.4768</v>
      </c>
      <c r="K108" s="68">
        <v>282315436.00999999</v>
      </c>
      <c r="L108" s="69">
        <f t="shared" si="14"/>
        <v>745283285.71679997</v>
      </c>
      <c r="M108" s="63"/>
      <c r="N108" s="176"/>
      <c r="O108" s="76">
        <v>3</v>
      </c>
      <c r="P108" s="174"/>
      <c r="Q108" s="77" t="s">
        <v>329</v>
      </c>
      <c r="R108" s="68">
        <v>320550324.54000002</v>
      </c>
      <c r="S108" s="71">
        <v>0</v>
      </c>
      <c r="T108" s="68">
        <v>72668992.879999995</v>
      </c>
      <c r="U108" s="68">
        <v>11796579.522700001</v>
      </c>
      <c r="V108" s="68">
        <f t="shared" si="24"/>
        <v>5898289.7613500003</v>
      </c>
      <c r="W108" s="68">
        <f t="shared" si="25"/>
        <v>5898289.7613500003</v>
      </c>
      <c r="X108" s="68">
        <v>279943478.11000001</v>
      </c>
      <c r="Y108" s="69">
        <f t="shared" si="20"/>
        <v>679061085.29135001</v>
      </c>
    </row>
    <row r="109" spans="1:25" ht="24.95" customHeight="1">
      <c r="A109" s="174"/>
      <c r="B109" s="176"/>
      <c r="C109" s="64">
        <v>9</v>
      </c>
      <c r="D109" s="68" t="s">
        <v>330</v>
      </c>
      <c r="E109" s="68">
        <v>257733428.83000001</v>
      </c>
      <c r="F109" s="68">
        <v>0</v>
      </c>
      <c r="G109" s="68">
        <v>58428356.710000001</v>
      </c>
      <c r="H109" s="68">
        <v>9484853.5662999991</v>
      </c>
      <c r="I109" s="68">
        <v>0</v>
      </c>
      <c r="J109" s="68">
        <f t="shared" si="22"/>
        <v>9484853.5662999991</v>
      </c>
      <c r="K109" s="68">
        <v>247382812.61000001</v>
      </c>
      <c r="L109" s="69">
        <f t="shared" si="14"/>
        <v>573029451.71630001</v>
      </c>
      <c r="M109" s="63"/>
      <c r="N109" s="176"/>
      <c r="O109" s="76">
        <v>4</v>
      </c>
      <c r="P109" s="174"/>
      <c r="Q109" s="77" t="s">
        <v>95</v>
      </c>
      <c r="R109" s="68">
        <v>195208016.58000001</v>
      </c>
      <c r="S109" s="71">
        <v>0</v>
      </c>
      <c r="T109" s="68">
        <v>44253800.049999997</v>
      </c>
      <c r="U109" s="68">
        <v>7183854.4987000003</v>
      </c>
      <c r="V109" s="68">
        <f t="shared" si="24"/>
        <v>3591927.2493500002</v>
      </c>
      <c r="W109" s="68">
        <f t="shared" si="25"/>
        <v>3591927.2493500002</v>
      </c>
      <c r="X109" s="68">
        <v>225164429.02000001</v>
      </c>
      <c r="Y109" s="69">
        <f t="shared" si="20"/>
        <v>468218172.89935005</v>
      </c>
    </row>
    <row r="110" spans="1:25" ht="24.95" customHeight="1">
      <c r="A110" s="174"/>
      <c r="B110" s="176"/>
      <c r="C110" s="64">
        <v>10</v>
      </c>
      <c r="D110" s="68" t="s">
        <v>331</v>
      </c>
      <c r="E110" s="68">
        <v>295179994.75</v>
      </c>
      <c r="F110" s="68">
        <v>0</v>
      </c>
      <c r="G110" s="68">
        <v>66917520.57</v>
      </c>
      <c r="H110" s="68">
        <v>10862925.4597</v>
      </c>
      <c r="I110" s="68">
        <v>0</v>
      </c>
      <c r="J110" s="68">
        <f t="shared" si="22"/>
        <v>10862925.4597</v>
      </c>
      <c r="K110" s="68">
        <v>274666790.93000001</v>
      </c>
      <c r="L110" s="69">
        <f t="shared" si="14"/>
        <v>647627231.70969999</v>
      </c>
      <c r="M110" s="63"/>
      <c r="N110" s="176"/>
      <c r="O110" s="76">
        <v>5</v>
      </c>
      <c r="P110" s="174"/>
      <c r="Q110" s="77" t="s">
        <v>332</v>
      </c>
      <c r="R110" s="68">
        <v>338706280.30000001</v>
      </c>
      <c r="S110" s="71">
        <v>0</v>
      </c>
      <c r="T110" s="68">
        <v>76784961.329999998</v>
      </c>
      <c r="U110" s="68">
        <v>12464737.2489</v>
      </c>
      <c r="V110" s="68">
        <f t="shared" si="24"/>
        <v>6232368.62445</v>
      </c>
      <c r="W110" s="68">
        <f t="shared" si="25"/>
        <v>6232368.62445</v>
      </c>
      <c r="X110" s="68">
        <v>281652019.24000001</v>
      </c>
      <c r="Y110" s="69">
        <f t="shared" si="20"/>
        <v>703375629.49445009</v>
      </c>
    </row>
    <row r="111" spans="1:25" ht="24.95" customHeight="1">
      <c r="A111" s="174"/>
      <c r="B111" s="176"/>
      <c r="C111" s="64">
        <v>11</v>
      </c>
      <c r="D111" s="68" t="s">
        <v>333</v>
      </c>
      <c r="E111" s="68">
        <v>228400946.59</v>
      </c>
      <c r="F111" s="68">
        <v>0</v>
      </c>
      <c r="G111" s="68">
        <v>51778661.539999999</v>
      </c>
      <c r="H111" s="68">
        <v>8405388.2438999992</v>
      </c>
      <c r="I111" s="68">
        <v>0</v>
      </c>
      <c r="J111" s="68">
        <f t="shared" si="22"/>
        <v>8405388.2438999992</v>
      </c>
      <c r="K111" s="68">
        <v>232779699.00999999</v>
      </c>
      <c r="L111" s="69">
        <f t="shared" si="14"/>
        <v>521364695.38389999</v>
      </c>
      <c r="M111" s="63"/>
      <c r="N111" s="176"/>
      <c r="O111" s="76">
        <v>6</v>
      </c>
      <c r="P111" s="174"/>
      <c r="Q111" s="77" t="s">
        <v>334</v>
      </c>
      <c r="R111" s="68">
        <v>291113740.19999999</v>
      </c>
      <c r="S111" s="71">
        <v>0</v>
      </c>
      <c r="T111" s="68">
        <v>65995697.700000003</v>
      </c>
      <c r="U111" s="68">
        <v>10713283.1368</v>
      </c>
      <c r="V111" s="68">
        <f t="shared" si="24"/>
        <v>5356641.5684000002</v>
      </c>
      <c r="W111" s="68">
        <f t="shared" si="25"/>
        <v>5356641.5684000002</v>
      </c>
      <c r="X111" s="68">
        <v>281004918.16000003</v>
      </c>
      <c r="Y111" s="69">
        <f t="shared" si="20"/>
        <v>643470997.62840009</v>
      </c>
    </row>
    <row r="112" spans="1:25" ht="24.95" customHeight="1">
      <c r="A112" s="174"/>
      <c r="B112" s="176"/>
      <c r="C112" s="64">
        <v>12</v>
      </c>
      <c r="D112" s="68" t="s">
        <v>335</v>
      </c>
      <c r="E112" s="68">
        <v>353702666.18000001</v>
      </c>
      <c r="F112" s="68">
        <v>0</v>
      </c>
      <c r="G112" s="68">
        <v>80184652.969999999</v>
      </c>
      <c r="H112" s="68">
        <v>13016619.5744</v>
      </c>
      <c r="I112" s="68">
        <v>0</v>
      </c>
      <c r="J112" s="68">
        <f t="shared" si="22"/>
        <v>13016619.5744</v>
      </c>
      <c r="K112" s="68">
        <v>299315663.07999998</v>
      </c>
      <c r="L112" s="69">
        <f t="shared" si="14"/>
        <v>746219601.80439997</v>
      </c>
      <c r="M112" s="63"/>
      <c r="N112" s="176"/>
      <c r="O112" s="76">
        <v>7</v>
      </c>
      <c r="P112" s="174"/>
      <c r="Q112" s="77" t="s">
        <v>336</v>
      </c>
      <c r="R112" s="68">
        <v>294251136.64999998</v>
      </c>
      <c r="S112" s="71">
        <v>0</v>
      </c>
      <c r="T112" s="68">
        <v>66706947.759999998</v>
      </c>
      <c r="U112" s="68">
        <v>10828742.532299999</v>
      </c>
      <c r="V112" s="68">
        <f t="shared" si="24"/>
        <v>5414371.2661499996</v>
      </c>
      <c r="W112" s="68">
        <f t="shared" si="25"/>
        <v>5414371.2661499996</v>
      </c>
      <c r="X112" s="68">
        <v>282641725.22000003</v>
      </c>
      <c r="Y112" s="69">
        <f t="shared" si="20"/>
        <v>649014180.89614999</v>
      </c>
    </row>
    <row r="113" spans="1:25" ht="24.95" customHeight="1">
      <c r="A113" s="174"/>
      <c r="B113" s="176"/>
      <c r="C113" s="64">
        <v>13</v>
      </c>
      <c r="D113" s="68" t="s">
        <v>337</v>
      </c>
      <c r="E113" s="68">
        <v>290903562.98000002</v>
      </c>
      <c r="F113" s="68">
        <v>0</v>
      </c>
      <c r="G113" s="68">
        <v>65948050.369999997</v>
      </c>
      <c r="H113" s="68">
        <v>10705548.4004</v>
      </c>
      <c r="I113" s="68">
        <v>0</v>
      </c>
      <c r="J113" s="68">
        <f t="shared" si="22"/>
        <v>10705548.4004</v>
      </c>
      <c r="K113" s="68">
        <v>243889139.28999999</v>
      </c>
      <c r="L113" s="69">
        <f t="shared" si="14"/>
        <v>611446301.04040003</v>
      </c>
      <c r="M113" s="63"/>
      <c r="N113" s="176"/>
      <c r="O113" s="76">
        <v>8</v>
      </c>
      <c r="P113" s="174"/>
      <c r="Q113" s="77" t="s">
        <v>338</v>
      </c>
      <c r="R113" s="68">
        <v>346986647.82999998</v>
      </c>
      <c r="S113" s="71">
        <v>0</v>
      </c>
      <c r="T113" s="68">
        <v>78662126.700000003</v>
      </c>
      <c r="U113" s="68">
        <v>12769463.2358</v>
      </c>
      <c r="V113" s="68">
        <f t="shared" si="24"/>
        <v>6384731.6179</v>
      </c>
      <c r="W113" s="68">
        <f t="shared" si="25"/>
        <v>6384731.6179</v>
      </c>
      <c r="X113" s="68">
        <v>340916315.70999998</v>
      </c>
      <c r="Y113" s="69">
        <f t="shared" si="20"/>
        <v>772949821.8578999</v>
      </c>
    </row>
    <row r="114" spans="1:25" ht="24.95" customHeight="1">
      <c r="A114" s="174"/>
      <c r="B114" s="176"/>
      <c r="C114" s="64">
        <v>14</v>
      </c>
      <c r="D114" s="68" t="s">
        <v>339</v>
      </c>
      <c r="E114" s="68">
        <v>339683891.16000003</v>
      </c>
      <c r="F114" s="68">
        <v>0</v>
      </c>
      <c r="G114" s="68">
        <v>77006586.420000002</v>
      </c>
      <c r="H114" s="68">
        <v>12500714.327299999</v>
      </c>
      <c r="I114" s="68">
        <v>0</v>
      </c>
      <c r="J114" s="68">
        <f t="shared" si="22"/>
        <v>12500714.327299999</v>
      </c>
      <c r="K114" s="68">
        <v>287179528.94</v>
      </c>
      <c r="L114" s="69">
        <f t="shared" si="14"/>
        <v>716370720.84730005</v>
      </c>
      <c r="M114" s="63"/>
      <c r="N114" s="176"/>
      <c r="O114" s="76">
        <v>9</v>
      </c>
      <c r="P114" s="174"/>
      <c r="Q114" s="77" t="s">
        <v>340</v>
      </c>
      <c r="R114" s="68">
        <v>250848597.56</v>
      </c>
      <c r="S114" s="71">
        <v>0</v>
      </c>
      <c r="T114" s="68">
        <v>56867560.43</v>
      </c>
      <c r="U114" s="68">
        <v>9231484.7394999992</v>
      </c>
      <c r="V114" s="68">
        <f t="shared" si="24"/>
        <v>4615742.3697499996</v>
      </c>
      <c r="W114" s="68">
        <f t="shared" si="25"/>
        <v>4615742.3697499996</v>
      </c>
      <c r="X114" s="68">
        <v>260194565.93000001</v>
      </c>
      <c r="Y114" s="69">
        <f t="shared" si="20"/>
        <v>572526466.2897501</v>
      </c>
    </row>
    <row r="115" spans="1:25" ht="24.95" customHeight="1">
      <c r="A115" s="174"/>
      <c r="B115" s="176"/>
      <c r="C115" s="64">
        <v>15</v>
      </c>
      <c r="D115" s="68" t="s">
        <v>341</v>
      </c>
      <c r="E115" s="68">
        <v>435297393.36000001</v>
      </c>
      <c r="F115" s="68">
        <v>0</v>
      </c>
      <c r="G115" s="68">
        <v>98682237.260000005</v>
      </c>
      <c r="H115" s="68">
        <v>16019388.9187</v>
      </c>
      <c r="I115" s="68">
        <v>0</v>
      </c>
      <c r="J115" s="68">
        <f t="shared" si="22"/>
        <v>16019388.9187</v>
      </c>
      <c r="K115" s="68">
        <v>333397565.25999999</v>
      </c>
      <c r="L115" s="69">
        <f t="shared" si="14"/>
        <v>883396584.79869998</v>
      </c>
      <c r="M115" s="63"/>
      <c r="N115" s="176"/>
      <c r="O115" s="76">
        <v>10</v>
      </c>
      <c r="P115" s="174"/>
      <c r="Q115" s="77" t="s">
        <v>342</v>
      </c>
      <c r="R115" s="68">
        <v>333585258.91000003</v>
      </c>
      <c r="S115" s="71">
        <v>0</v>
      </c>
      <c r="T115" s="68">
        <v>75624022.030000001</v>
      </c>
      <c r="U115" s="68">
        <v>12276278.428300001</v>
      </c>
      <c r="V115" s="68">
        <f t="shared" si="24"/>
        <v>6138139.2141500004</v>
      </c>
      <c r="W115" s="68">
        <f t="shared" si="25"/>
        <v>6138139.2141500004</v>
      </c>
      <c r="X115" s="68">
        <v>251061175.06999999</v>
      </c>
      <c r="Y115" s="69">
        <f t="shared" si="20"/>
        <v>666408595.22415006</v>
      </c>
    </row>
    <row r="116" spans="1:25" ht="24.95" customHeight="1">
      <c r="A116" s="174"/>
      <c r="B116" s="176"/>
      <c r="C116" s="64">
        <v>16</v>
      </c>
      <c r="D116" s="68" t="s">
        <v>343</v>
      </c>
      <c r="E116" s="68">
        <v>326333811.36000001</v>
      </c>
      <c r="F116" s="68">
        <v>0</v>
      </c>
      <c r="G116" s="68">
        <v>73980113.569999993</v>
      </c>
      <c r="H116" s="68">
        <v>12009417.7479</v>
      </c>
      <c r="I116" s="68">
        <v>0</v>
      </c>
      <c r="J116" s="68">
        <f t="shared" si="22"/>
        <v>12009417.7479</v>
      </c>
      <c r="K116" s="68">
        <v>276167975.76999998</v>
      </c>
      <c r="L116" s="69">
        <f t="shared" si="14"/>
        <v>688491318.44790006</v>
      </c>
      <c r="M116" s="63"/>
      <c r="N116" s="176"/>
      <c r="O116" s="76">
        <v>11</v>
      </c>
      <c r="P116" s="174"/>
      <c r="Q116" s="77" t="s">
        <v>344</v>
      </c>
      <c r="R116" s="68">
        <v>264442826.75999999</v>
      </c>
      <c r="S116" s="71">
        <v>0</v>
      </c>
      <c r="T116" s="68">
        <v>59949382.119999997</v>
      </c>
      <c r="U116" s="68">
        <v>9731766.2665999997</v>
      </c>
      <c r="V116" s="68">
        <f t="shared" si="24"/>
        <v>4865883.1332999999</v>
      </c>
      <c r="W116" s="68">
        <f t="shared" si="25"/>
        <v>4865883.1332999999</v>
      </c>
      <c r="X116" s="68">
        <v>245317966.19</v>
      </c>
      <c r="Y116" s="69">
        <f t="shared" si="20"/>
        <v>574576058.2033</v>
      </c>
    </row>
    <row r="117" spans="1:25" ht="24.95" customHeight="1">
      <c r="A117" s="174"/>
      <c r="B117" s="176"/>
      <c r="C117" s="64">
        <v>17</v>
      </c>
      <c r="D117" s="68" t="s">
        <v>345</v>
      </c>
      <c r="E117" s="68">
        <v>320974325.66000003</v>
      </c>
      <c r="F117" s="68">
        <v>0</v>
      </c>
      <c r="G117" s="68">
        <v>72765114.25</v>
      </c>
      <c r="H117" s="68">
        <v>11812183.1973</v>
      </c>
      <c r="I117" s="68">
        <v>0</v>
      </c>
      <c r="J117" s="68">
        <f t="shared" si="22"/>
        <v>11812183.1973</v>
      </c>
      <c r="K117" s="68">
        <v>270927652.60000002</v>
      </c>
      <c r="L117" s="69">
        <f t="shared" si="14"/>
        <v>676479275.70730007</v>
      </c>
      <c r="M117" s="63"/>
      <c r="N117" s="176"/>
      <c r="O117" s="76">
        <v>12</v>
      </c>
      <c r="P117" s="174"/>
      <c r="Q117" s="77" t="s">
        <v>346</v>
      </c>
      <c r="R117" s="68">
        <v>234886799.62</v>
      </c>
      <c r="S117" s="71">
        <v>0</v>
      </c>
      <c r="T117" s="68">
        <v>53249009.170000002</v>
      </c>
      <c r="U117" s="68">
        <v>8644074.2636999991</v>
      </c>
      <c r="V117" s="68">
        <f t="shared" si="24"/>
        <v>4322037.1318499995</v>
      </c>
      <c r="W117" s="68">
        <f t="shared" si="25"/>
        <v>4322037.1318499995</v>
      </c>
      <c r="X117" s="68">
        <v>238175195.74000001</v>
      </c>
      <c r="Y117" s="69">
        <f t="shared" si="20"/>
        <v>530633041.66185004</v>
      </c>
    </row>
    <row r="118" spans="1:25" ht="24.95" customHeight="1">
      <c r="A118" s="174"/>
      <c r="B118" s="176"/>
      <c r="C118" s="64">
        <v>18</v>
      </c>
      <c r="D118" s="68" t="s">
        <v>347</v>
      </c>
      <c r="E118" s="68">
        <v>451389313.49000001</v>
      </c>
      <c r="F118" s="68">
        <v>0</v>
      </c>
      <c r="G118" s="68">
        <v>102330287.31999999</v>
      </c>
      <c r="H118" s="68">
        <v>16611588.0241</v>
      </c>
      <c r="I118" s="68">
        <v>0</v>
      </c>
      <c r="J118" s="68">
        <f t="shared" si="22"/>
        <v>16611588.0241</v>
      </c>
      <c r="K118" s="68">
        <v>319653018.80000001</v>
      </c>
      <c r="L118" s="69">
        <f t="shared" si="14"/>
        <v>889984207.63409996</v>
      </c>
      <c r="M118" s="63"/>
      <c r="N118" s="176"/>
      <c r="O118" s="76">
        <v>13</v>
      </c>
      <c r="P118" s="174"/>
      <c r="Q118" s="77" t="s">
        <v>348</v>
      </c>
      <c r="R118" s="68">
        <v>196533739.24000001</v>
      </c>
      <c r="S118" s="71">
        <v>0</v>
      </c>
      <c r="T118" s="68">
        <v>44554342.340000004</v>
      </c>
      <c r="U118" s="68">
        <v>7232642.4474999998</v>
      </c>
      <c r="V118" s="68">
        <f t="shared" si="24"/>
        <v>3616321.2237499999</v>
      </c>
      <c r="W118" s="68">
        <f t="shared" si="25"/>
        <v>3616321.2237499999</v>
      </c>
      <c r="X118" s="68">
        <v>226198968.78999999</v>
      </c>
      <c r="Y118" s="69">
        <f t="shared" si="20"/>
        <v>470903371.59375</v>
      </c>
    </row>
    <row r="119" spans="1:25" ht="24.95" customHeight="1">
      <c r="A119" s="174"/>
      <c r="B119" s="176"/>
      <c r="C119" s="64">
        <v>19</v>
      </c>
      <c r="D119" s="68" t="s">
        <v>349</v>
      </c>
      <c r="E119" s="68">
        <v>251224328.59</v>
      </c>
      <c r="F119" s="68">
        <v>0</v>
      </c>
      <c r="G119" s="68">
        <v>56952738.93</v>
      </c>
      <c r="H119" s="68">
        <v>9245312.0255999994</v>
      </c>
      <c r="I119" s="68">
        <v>0</v>
      </c>
      <c r="J119" s="68">
        <f t="shared" si="22"/>
        <v>9245312.0255999994</v>
      </c>
      <c r="K119" s="68">
        <v>231597954.91999999</v>
      </c>
      <c r="L119" s="69">
        <f t="shared" si="14"/>
        <v>549020334.46560001</v>
      </c>
      <c r="M119" s="63"/>
      <c r="N119" s="176"/>
      <c r="O119" s="76">
        <v>14</v>
      </c>
      <c r="P119" s="174"/>
      <c r="Q119" s="77" t="s">
        <v>350</v>
      </c>
      <c r="R119" s="68">
        <v>195700341.62</v>
      </c>
      <c r="S119" s="71">
        <v>0</v>
      </c>
      <c r="T119" s="68">
        <v>44365410.490000002</v>
      </c>
      <c r="U119" s="68">
        <v>7201972.5632999996</v>
      </c>
      <c r="V119" s="68">
        <f t="shared" si="24"/>
        <v>3600986.2816499998</v>
      </c>
      <c r="W119" s="68">
        <f t="shared" si="25"/>
        <v>3600986.2816499998</v>
      </c>
      <c r="X119" s="68">
        <v>226990658.84999999</v>
      </c>
      <c r="Y119" s="69">
        <f t="shared" si="20"/>
        <v>470657397.24164999</v>
      </c>
    </row>
    <row r="120" spans="1:25" ht="24.95" customHeight="1">
      <c r="A120" s="174"/>
      <c r="B120" s="177"/>
      <c r="C120" s="64">
        <v>20</v>
      </c>
      <c r="D120" s="68" t="s">
        <v>351</v>
      </c>
      <c r="E120" s="68">
        <v>281112670.69999999</v>
      </c>
      <c r="F120" s="68">
        <v>0</v>
      </c>
      <c r="G120" s="68">
        <v>63728447.93</v>
      </c>
      <c r="H120" s="68">
        <v>10345233.5593</v>
      </c>
      <c r="I120" s="68">
        <v>0</v>
      </c>
      <c r="J120" s="68">
        <f t="shared" si="22"/>
        <v>10345233.5593</v>
      </c>
      <c r="K120" s="68">
        <v>260268044.71000001</v>
      </c>
      <c r="L120" s="69">
        <f t="shared" si="14"/>
        <v>615454396.89929998</v>
      </c>
      <c r="M120" s="63"/>
      <c r="N120" s="176"/>
      <c r="O120" s="76">
        <v>15</v>
      </c>
      <c r="P120" s="174"/>
      <c r="Q120" s="77" t="s">
        <v>352</v>
      </c>
      <c r="R120" s="68">
        <v>223457234.06999999</v>
      </c>
      <c r="S120" s="71">
        <v>0</v>
      </c>
      <c r="T120" s="68">
        <v>50657918.310000002</v>
      </c>
      <c r="U120" s="68">
        <v>8223454.5718999999</v>
      </c>
      <c r="V120" s="68">
        <f t="shared" si="24"/>
        <v>4111727.2859499999</v>
      </c>
      <c r="W120" s="68">
        <f t="shared" si="25"/>
        <v>4111727.2859499999</v>
      </c>
      <c r="X120" s="68">
        <v>239885978.53999999</v>
      </c>
      <c r="Y120" s="69">
        <f t="shared" si="20"/>
        <v>518112858.20595002</v>
      </c>
    </row>
    <row r="121" spans="1:25" ht="24.95" customHeight="1">
      <c r="A121" s="64"/>
      <c r="B121" s="169" t="s">
        <v>353</v>
      </c>
      <c r="C121" s="170"/>
      <c r="D121" s="72"/>
      <c r="E121" s="72">
        <f t="shared" ref="E121:L121" si="26">SUM(E101:E120)</f>
        <v>6590439155.2999992</v>
      </c>
      <c r="F121" s="68">
        <v>0</v>
      </c>
      <c r="G121" s="72">
        <f t="shared" si="26"/>
        <v>1494057373.8700001</v>
      </c>
      <c r="H121" s="72">
        <f t="shared" si="26"/>
        <v>242534895.87520003</v>
      </c>
      <c r="I121" s="72">
        <f t="shared" si="26"/>
        <v>0</v>
      </c>
      <c r="J121" s="72">
        <f t="shared" si="26"/>
        <v>242534895.87520003</v>
      </c>
      <c r="K121" s="72">
        <f t="shared" si="26"/>
        <v>5510725726.1000004</v>
      </c>
      <c r="L121" s="72">
        <f t="shared" si="26"/>
        <v>13837757151.145199</v>
      </c>
      <c r="M121" s="63"/>
      <c r="N121" s="177"/>
      <c r="O121" s="76">
        <v>16</v>
      </c>
      <c r="P121" s="174"/>
      <c r="Q121" s="77" t="s">
        <v>354</v>
      </c>
      <c r="R121" s="68">
        <v>270460578.33999997</v>
      </c>
      <c r="S121" s="71">
        <v>0</v>
      </c>
      <c r="T121" s="68">
        <v>61313610.810000002</v>
      </c>
      <c r="U121" s="68">
        <v>9953225.6743000001</v>
      </c>
      <c r="V121" s="68">
        <f t="shared" si="24"/>
        <v>4976612.83715</v>
      </c>
      <c r="W121" s="68">
        <f t="shared" si="25"/>
        <v>4976612.83715</v>
      </c>
      <c r="X121" s="68">
        <v>246634958.86000001</v>
      </c>
      <c r="Y121" s="69">
        <f t="shared" si="20"/>
        <v>583385760.84714997</v>
      </c>
    </row>
    <row r="122" spans="1:25" ht="24.95" customHeight="1">
      <c r="A122" s="174">
        <v>6</v>
      </c>
      <c r="B122" s="175" t="s">
        <v>355</v>
      </c>
      <c r="C122" s="64">
        <v>1</v>
      </c>
      <c r="D122" s="68" t="s">
        <v>356</v>
      </c>
      <c r="E122" s="68">
        <v>319224311.63999999</v>
      </c>
      <c r="F122" s="68">
        <v>0</v>
      </c>
      <c r="G122" s="68">
        <v>72368384.790000007</v>
      </c>
      <c r="H122" s="68">
        <v>11747780.892999999</v>
      </c>
      <c r="I122" s="68">
        <v>11747780.892999999</v>
      </c>
      <c r="J122" s="68">
        <f t="shared" ref="J122:J129" si="27">H122-I122</f>
        <v>0</v>
      </c>
      <c r="K122" s="68">
        <v>509533945.95999998</v>
      </c>
      <c r="L122" s="69">
        <f t="shared" si="14"/>
        <v>901126642.38999999</v>
      </c>
      <c r="M122" s="63"/>
      <c r="N122" s="64"/>
      <c r="O122" s="170" t="s">
        <v>357</v>
      </c>
      <c r="P122" s="173"/>
      <c r="Q122" s="72"/>
      <c r="R122" s="72">
        <f t="shared" ref="R122:Y122" si="28">SUM(R106:R121)</f>
        <v>4429297836.499999</v>
      </c>
      <c r="S122" s="71">
        <v>0</v>
      </c>
      <c r="T122" s="72">
        <f t="shared" si="28"/>
        <v>1004125057.1799998</v>
      </c>
      <c r="U122" s="72">
        <f t="shared" si="28"/>
        <v>163002686.81040001</v>
      </c>
      <c r="V122" s="72">
        <f t="shared" si="28"/>
        <v>81501343.405200005</v>
      </c>
      <c r="W122" s="72">
        <f t="shared" si="28"/>
        <v>81501343.405200005</v>
      </c>
      <c r="X122" s="72">
        <f t="shared" si="28"/>
        <v>4160620669.5299997</v>
      </c>
      <c r="Y122" s="72">
        <f t="shared" si="28"/>
        <v>9675544906.6152</v>
      </c>
    </row>
    <row r="123" spans="1:25" ht="24.95" customHeight="1">
      <c r="A123" s="174"/>
      <c r="B123" s="176"/>
      <c r="C123" s="64">
        <v>2</v>
      </c>
      <c r="D123" s="68" t="s">
        <v>358</v>
      </c>
      <c r="E123" s="68">
        <v>366471164.85000002</v>
      </c>
      <c r="F123" s="68">
        <v>0</v>
      </c>
      <c r="G123" s="68">
        <v>83079280.950000003</v>
      </c>
      <c r="H123" s="68">
        <v>13486513.3741</v>
      </c>
      <c r="I123" s="68">
        <v>13486513.3741</v>
      </c>
      <c r="J123" s="68">
        <f t="shared" si="27"/>
        <v>0</v>
      </c>
      <c r="K123" s="68">
        <v>541368927.88999999</v>
      </c>
      <c r="L123" s="69">
        <f t="shared" si="14"/>
        <v>990919373.69000006</v>
      </c>
      <c r="M123" s="63"/>
      <c r="N123" s="175">
        <v>24</v>
      </c>
      <c r="O123" s="70">
        <v>1</v>
      </c>
      <c r="P123" s="175" t="s">
        <v>106</v>
      </c>
      <c r="Q123" s="68" t="s">
        <v>359</v>
      </c>
      <c r="R123" s="68">
        <v>379540676.13999999</v>
      </c>
      <c r="S123" s="71">
        <v>0</v>
      </c>
      <c r="T123" s="68">
        <v>86042148.709999993</v>
      </c>
      <c r="U123" s="68">
        <v>13967484.7456</v>
      </c>
      <c r="V123" s="68">
        <v>0</v>
      </c>
      <c r="W123" s="68">
        <f t="shared" ref="W123:W142" si="29">U123-V123</f>
        <v>13967484.7456</v>
      </c>
      <c r="X123" s="68">
        <v>2228202033.77</v>
      </c>
      <c r="Y123" s="69">
        <f t="shared" si="20"/>
        <v>2707752343.3656001</v>
      </c>
    </row>
    <row r="124" spans="1:25" ht="24.95" customHeight="1">
      <c r="A124" s="174"/>
      <c r="B124" s="176"/>
      <c r="C124" s="64">
        <v>3</v>
      </c>
      <c r="D124" s="79" t="s">
        <v>360</v>
      </c>
      <c r="E124" s="68">
        <v>243886949.47999999</v>
      </c>
      <c r="F124" s="68">
        <v>0</v>
      </c>
      <c r="G124" s="68">
        <v>55289349.719999999</v>
      </c>
      <c r="H124" s="68">
        <v>8975288.9758000001</v>
      </c>
      <c r="I124" s="68">
        <v>8975288.9758000001</v>
      </c>
      <c r="J124" s="68">
        <f t="shared" si="27"/>
        <v>0</v>
      </c>
      <c r="K124" s="68">
        <v>469274320.72000003</v>
      </c>
      <c r="L124" s="69">
        <f t="shared" si="14"/>
        <v>768450619.92000008</v>
      </c>
      <c r="M124" s="63"/>
      <c r="N124" s="176"/>
      <c r="O124" s="70">
        <v>2</v>
      </c>
      <c r="P124" s="176"/>
      <c r="Q124" s="79" t="s">
        <v>361</v>
      </c>
      <c r="R124" s="68">
        <v>487849375.69</v>
      </c>
      <c r="S124" s="71">
        <v>0</v>
      </c>
      <c r="T124" s="68">
        <v>110595810.06999999</v>
      </c>
      <c r="U124" s="68">
        <v>17953355.572900001</v>
      </c>
      <c r="V124" s="68">
        <v>0</v>
      </c>
      <c r="W124" s="68">
        <f t="shared" si="29"/>
        <v>17953355.572900001</v>
      </c>
      <c r="X124" s="68">
        <v>2311953800.7199998</v>
      </c>
      <c r="Y124" s="69">
        <f t="shared" si="20"/>
        <v>2928352342.0528998</v>
      </c>
    </row>
    <row r="125" spans="1:25" ht="24.95" customHeight="1">
      <c r="A125" s="174"/>
      <c r="B125" s="176"/>
      <c r="C125" s="64">
        <v>4</v>
      </c>
      <c r="D125" s="68" t="s">
        <v>362</v>
      </c>
      <c r="E125" s="68">
        <v>300723626.86000001</v>
      </c>
      <c r="F125" s="68">
        <v>0</v>
      </c>
      <c r="G125" s="68">
        <v>68174266.030000001</v>
      </c>
      <c r="H125" s="68">
        <v>11066936.786699999</v>
      </c>
      <c r="I125" s="68">
        <v>11066936.786699999</v>
      </c>
      <c r="J125" s="68">
        <f t="shared" si="27"/>
        <v>0</v>
      </c>
      <c r="K125" s="68">
        <v>489314652.56</v>
      </c>
      <c r="L125" s="69">
        <f t="shared" si="14"/>
        <v>858212545.45000005</v>
      </c>
      <c r="M125" s="63"/>
      <c r="N125" s="176"/>
      <c r="O125" s="70">
        <v>3</v>
      </c>
      <c r="P125" s="176"/>
      <c r="Q125" s="68" t="s">
        <v>363</v>
      </c>
      <c r="R125" s="68">
        <v>786750149.09000003</v>
      </c>
      <c r="S125" s="71">
        <v>0</v>
      </c>
      <c r="T125" s="68">
        <v>178356833.88</v>
      </c>
      <c r="U125" s="68">
        <v>28953209.4892</v>
      </c>
      <c r="V125" s="68">
        <v>0</v>
      </c>
      <c r="W125" s="68">
        <f t="shared" si="29"/>
        <v>28953209.4892</v>
      </c>
      <c r="X125" s="68">
        <v>2533734992.48</v>
      </c>
      <c r="Y125" s="69">
        <f t="shared" si="20"/>
        <v>3527795184.9391999</v>
      </c>
    </row>
    <row r="126" spans="1:25" ht="24.95" customHeight="1">
      <c r="A126" s="174"/>
      <c r="B126" s="176"/>
      <c r="C126" s="64">
        <v>5</v>
      </c>
      <c r="D126" s="68" t="s">
        <v>364</v>
      </c>
      <c r="E126" s="68">
        <v>316034313.50999999</v>
      </c>
      <c r="F126" s="68">
        <v>0</v>
      </c>
      <c r="G126" s="68">
        <v>71645209.879999995</v>
      </c>
      <c r="H126" s="68">
        <v>11630385.7019</v>
      </c>
      <c r="I126" s="68">
        <v>11630385.7019</v>
      </c>
      <c r="J126" s="68">
        <f t="shared" si="27"/>
        <v>0</v>
      </c>
      <c r="K126" s="68">
        <v>507619916.62</v>
      </c>
      <c r="L126" s="69">
        <f t="shared" si="14"/>
        <v>895299440.00999999</v>
      </c>
      <c r="M126" s="63"/>
      <c r="N126" s="176"/>
      <c r="O126" s="70">
        <v>4</v>
      </c>
      <c r="P126" s="176"/>
      <c r="Q126" s="68" t="s">
        <v>365</v>
      </c>
      <c r="R126" s="68">
        <v>307496186.49000001</v>
      </c>
      <c r="S126" s="71">
        <v>0</v>
      </c>
      <c r="T126" s="68">
        <v>69709610.25</v>
      </c>
      <c r="U126" s="68">
        <v>11316173.902000001</v>
      </c>
      <c r="V126" s="68">
        <v>0</v>
      </c>
      <c r="W126" s="68">
        <f t="shared" si="29"/>
        <v>11316173.902000001</v>
      </c>
      <c r="X126" s="68">
        <v>2175233522.6799998</v>
      </c>
      <c r="Y126" s="69">
        <f t="shared" si="20"/>
        <v>2563755493.322</v>
      </c>
    </row>
    <row r="127" spans="1:25" ht="24.95" customHeight="1">
      <c r="A127" s="174"/>
      <c r="B127" s="176"/>
      <c r="C127" s="64">
        <v>6</v>
      </c>
      <c r="D127" s="68" t="s">
        <v>366</v>
      </c>
      <c r="E127" s="68">
        <v>310710789.56</v>
      </c>
      <c r="F127" s="68">
        <v>0</v>
      </c>
      <c r="G127" s="68">
        <v>70438363.109999999</v>
      </c>
      <c r="H127" s="68">
        <v>11434474.58</v>
      </c>
      <c r="I127" s="68">
        <v>11434474.58</v>
      </c>
      <c r="J127" s="68">
        <f t="shared" si="27"/>
        <v>0</v>
      </c>
      <c r="K127" s="68">
        <v>510317416.49000001</v>
      </c>
      <c r="L127" s="69">
        <f t="shared" si="14"/>
        <v>891466569.16000009</v>
      </c>
      <c r="M127" s="63"/>
      <c r="N127" s="176"/>
      <c r="O127" s="70">
        <v>5</v>
      </c>
      <c r="P127" s="176"/>
      <c r="Q127" s="68" t="s">
        <v>367</v>
      </c>
      <c r="R127" s="68">
        <v>258526208.93000001</v>
      </c>
      <c r="S127" s="71">
        <v>0</v>
      </c>
      <c r="T127" s="68">
        <v>58608080.539999999</v>
      </c>
      <c r="U127" s="68">
        <v>9514028.6841000002</v>
      </c>
      <c r="V127" s="68">
        <v>0</v>
      </c>
      <c r="W127" s="68">
        <f t="shared" si="29"/>
        <v>9514028.6841000002</v>
      </c>
      <c r="X127" s="68">
        <v>2137571642.1199999</v>
      </c>
      <c r="Y127" s="69">
        <f t="shared" si="20"/>
        <v>2464219960.2740998</v>
      </c>
    </row>
    <row r="128" spans="1:25" ht="24.95" customHeight="1">
      <c r="A128" s="174"/>
      <c r="B128" s="176"/>
      <c r="C128" s="64">
        <v>7</v>
      </c>
      <c r="D128" s="68" t="s">
        <v>368</v>
      </c>
      <c r="E128" s="68">
        <v>429268209.13</v>
      </c>
      <c r="F128" s="68">
        <v>0</v>
      </c>
      <c r="G128" s="68">
        <v>97315416.790000007</v>
      </c>
      <c r="H128" s="68">
        <v>15797508.7776</v>
      </c>
      <c r="I128" s="68">
        <v>15797508.7776</v>
      </c>
      <c r="J128" s="68">
        <f t="shared" si="27"/>
        <v>0</v>
      </c>
      <c r="K128" s="68">
        <v>559734343.95000005</v>
      </c>
      <c r="L128" s="69">
        <f t="shared" si="14"/>
        <v>1086317969.8700001</v>
      </c>
      <c r="M128" s="63"/>
      <c r="N128" s="176"/>
      <c r="O128" s="70">
        <v>6</v>
      </c>
      <c r="P128" s="176"/>
      <c r="Q128" s="68" t="s">
        <v>369</v>
      </c>
      <c r="R128" s="68">
        <v>289022763.68000001</v>
      </c>
      <c r="S128" s="71">
        <v>0</v>
      </c>
      <c r="T128" s="68">
        <v>65521671.789999999</v>
      </c>
      <c r="U128" s="68">
        <v>10636333.064099999</v>
      </c>
      <c r="V128" s="68">
        <v>0</v>
      </c>
      <c r="W128" s="68">
        <f t="shared" si="29"/>
        <v>10636333.064099999</v>
      </c>
      <c r="X128" s="68">
        <v>2146437898.3</v>
      </c>
      <c r="Y128" s="69">
        <f t="shared" si="20"/>
        <v>2511618666.8340998</v>
      </c>
    </row>
    <row r="129" spans="1:25" ht="24.95" customHeight="1">
      <c r="A129" s="174"/>
      <c r="B129" s="177"/>
      <c r="C129" s="64">
        <v>8</v>
      </c>
      <c r="D129" s="68" t="s">
        <v>370</v>
      </c>
      <c r="E129" s="68">
        <v>396230603.20999998</v>
      </c>
      <c r="F129" s="68">
        <v>0</v>
      </c>
      <c r="G129" s="68">
        <v>89825767.379999995</v>
      </c>
      <c r="H129" s="68">
        <v>14581691.1176</v>
      </c>
      <c r="I129" s="68">
        <v>14581691.1176</v>
      </c>
      <c r="J129" s="68">
        <f t="shared" si="27"/>
        <v>0</v>
      </c>
      <c r="K129" s="68">
        <v>572411472.51999998</v>
      </c>
      <c r="L129" s="69">
        <f t="shared" si="14"/>
        <v>1058467843.1099999</v>
      </c>
      <c r="M129" s="63"/>
      <c r="N129" s="176"/>
      <c r="O129" s="70">
        <v>7</v>
      </c>
      <c r="P129" s="176"/>
      <c r="Q129" s="68" t="s">
        <v>371</v>
      </c>
      <c r="R129" s="68">
        <v>265367053.31</v>
      </c>
      <c r="S129" s="71">
        <v>0</v>
      </c>
      <c r="T129" s="68">
        <v>60158904.960000001</v>
      </c>
      <c r="U129" s="68">
        <v>9765778.7481999993</v>
      </c>
      <c r="V129" s="68">
        <v>0</v>
      </c>
      <c r="W129" s="68">
        <f t="shared" si="29"/>
        <v>9765778.7481999993</v>
      </c>
      <c r="X129" s="68">
        <v>2124139064.1400001</v>
      </c>
      <c r="Y129" s="69">
        <f t="shared" si="20"/>
        <v>2459430801.1582003</v>
      </c>
    </row>
    <row r="130" spans="1:25" ht="24.95" customHeight="1">
      <c r="A130" s="64"/>
      <c r="B130" s="169" t="s">
        <v>372</v>
      </c>
      <c r="C130" s="170"/>
      <c r="D130" s="72"/>
      <c r="E130" s="72">
        <f t="shared" ref="E130:L130" si="30">SUM(E122:E129)</f>
        <v>2682549968.2399998</v>
      </c>
      <c r="F130" s="68">
        <v>0</v>
      </c>
      <c r="G130" s="72">
        <f t="shared" si="30"/>
        <v>608136038.6500001</v>
      </c>
      <c r="H130" s="72">
        <f t="shared" si="30"/>
        <v>98720580.206699997</v>
      </c>
      <c r="I130" s="72">
        <f t="shared" si="30"/>
        <v>98720580.206699997</v>
      </c>
      <c r="J130" s="72">
        <f t="shared" si="30"/>
        <v>0</v>
      </c>
      <c r="K130" s="72">
        <f t="shared" si="30"/>
        <v>4159574996.7099996</v>
      </c>
      <c r="L130" s="72">
        <f t="shared" si="30"/>
        <v>7450261003.5999994</v>
      </c>
      <c r="M130" s="63"/>
      <c r="N130" s="176"/>
      <c r="O130" s="70">
        <v>8</v>
      </c>
      <c r="P130" s="176"/>
      <c r="Q130" s="68" t="s">
        <v>373</v>
      </c>
      <c r="R130" s="68">
        <v>320137118.81999999</v>
      </c>
      <c r="S130" s="71">
        <v>0</v>
      </c>
      <c r="T130" s="68">
        <v>72575318.849999994</v>
      </c>
      <c r="U130" s="68">
        <v>11781373.130100001</v>
      </c>
      <c r="V130" s="68">
        <v>0</v>
      </c>
      <c r="W130" s="68">
        <f t="shared" si="29"/>
        <v>11781373.130100001</v>
      </c>
      <c r="X130" s="68">
        <v>2163882727.1399999</v>
      </c>
      <c r="Y130" s="69">
        <f t="shared" si="20"/>
        <v>2568376537.9400997</v>
      </c>
    </row>
    <row r="131" spans="1:25" ht="24.95" customHeight="1">
      <c r="A131" s="174">
        <v>7</v>
      </c>
      <c r="B131" s="175" t="s">
        <v>374</v>
      </c>
      <c r="C131" s="64">
        <v>1</v>
      </c>
      <c r="D131" s="68" t="s">
        <v>375</v>
      </c>
      <c r="E131" s="68">
        <v>315723867.44999999</v>
      </c>
      <c r="F131" s="68">
        <v>0</v>
      </c>
      <c r="G131" s="68">
        <v>71574831.530000001</v>
      </c>
      <c r="H131" s="68">
        <v>11618960.969599999</v>
      </c>
      <c r="I131" s="68">
        <f t="shared" ref="I131:I153" si="31">H131/2</f>
        <v>5809480.4847999997</v>
      </c>
      <c r="J131" s="68">
        <f t="shared" ref="J131:J153" si="32">H131-I131</f>
        <v>5809480.4847999997</v>
      </c>
      <c r="K131" s="68">
        <v>272321897.55000001</v>
      </c>
      <c r="L131" s="69">
        <f t="shared" si="14"/>
        <v>665430077.01480007</v>
      </c>
      <c r="M131" s="63"/>
      <c r="N131" s="176"/>
      <c r="O131" s="70">
        <v>9</v>
      </c>
      <c r="P131" s="176"/>
      <c r="Q131" s="68" t="s">
        <v>376</v>
      </c>
      <c r="R131" s="68">
        <v>213767262.56999999</v>
      </c>
      <c r="S131" s="71">
        <v>0</v>
      </c>
      <c r="T131" s="68">
        <v>48461194.68</v>
      </c>
      <c r="U131" s="68">
        <v>7866853.7174000004</v>
      </c>
      <c r="V131" s="68">
        <v>0</v>
      </c>
      <c r="W131" s="68">
        <f t="shared" si="29"/>
        <v>7866853.7174000004</v>
      </c>
      <c r="X131" s="68">
        <v>2100254608.1600001</v>
      </c>
      <c r="Y131" s="69">
        <f t="shared" si="20"/>
        <v>2370349919.1273999</v>
      </c>
    </row>
    <row r="132" spans="1:25" ht="24.95" customHeight="1">
      <c r="A132" s="174"/>
      <c r="B132" s="176"/>
      <c r="C132" s="64">
        <v>2</v>
      </c>
      <c r="D132" s="68" t="s">
        <v>377</v>
      </c>
      <c r="E132" s="68">
        <v>278578541.52999997</v>
      </c>
      <c r="F132" s="68">
        <v>0</v>
      </c>
      <c r="G132" s="68">
        <v>63153959</v>
      </c>
      <c r="H132" s="68">
        <v>10251975.015900001</v>
      </c>
      <c r="I132" s="68">
        <f t="shared" si="31"/>
        <v>5125987.5079500005</v>
      </c>
      <c r="J132" s="68">
        <f t="shared" si="32"/>
        <v>5125987.5079500005</v>
      </c>
      <c r="K132" s="68">
        <v>248650028.47999999</v>
      </c>
      <c r="L132" s="69">
        <f t="shared" si="14"/>
        <v>595508516.51794994</v>
      </c>
      <c r="M132" s="63"/>
      <c r="N132" s="176"/>
      <c r="O132" s="70">
        <v>10</v>
      </c>
      <c r="P132" s="176"/>
      <c r="Q132" s="68" t="s">
        <v>378</v>
      </c>
      <c r="R132" s="68">
        <v>364494705.31</v>
      </c>
      <c r="S132" s="71">
        <v>0</v>
      </c>
      <c r="T132" s="68">
        <v>82631216.129999995</v>
      </c>
      <c r="U132" s="68">
        <v>13413777.643200001</v>
      </c>
      <c r="V132" s="68">
        <v>0</v>
      </c>
      <c r="W132" s="68">
        <f t="shared" si="29"/>
        <v>13413777.643200001</v>
      </c>
      <c r="X132" s="68">
        <v>2216223565.1300001</v>
      </c>
      <c r="Y132" s="69">
        <f t="shared" si="20"/>
        <v>2676763264.2132001</v>
      </c>
    </row>
    <row r="133" spans="1:25" ht="24.95" customHeight="1">
      <c r="A133" s="174"/>
      <c r="B133" s="176"/>
      <c r="C133" s="64">
        <v>3</v>
      </c>
      <c r="D133" s="68" t="s">
        <v>379</v>
      </c>
      <c r="E133" s="68">
        <v>269746851.57999998</v>
      </c>
      <c r="F133" s="68">
        <v>0</v>
      </c>
      <c r="G133" s="68">
        <v>61151808.43</v>
      </c>
      <c r="H133" s="68">
        <v>9926959.8001000006</v>
      </c>
      <c r="I133" s="68">
        <f t="shared" si="31"/>
        <v>4963479.9000500003</v>
      </c>
      <c r="J133" s="68">
        <f t="shared" si="32"/>
        <v>4963479.9000500003</v>
      </c>
      <c r="K133" s="68">
        <v>241641759.41</v>
      </c>
      <c r="L133" s="69">
        <f t="shared" si="14"/>
        <v>577503899.32005</v>
      </c>
      <c r="M133" s="63"/>
      <c r="N133" s="176"/>
      <c r="O133" s="70">
        <v>11</v>
      </c>
      <c r="P133" s="176"/>
      <c r="Q133" s="68" t="s">
        <v>380</v>
      </c>
      <c r="R133" s="68">
        <v>315087641.22000003</v>
      </c>
      <c r="S133" s="71">
        <v>0</v>
      </c>
      <c r="T133" s="68">
        <v>71430598.579999998</v>
      </c>
      <c r="U133" s="68">
        <v>11595547.1942</v>
      </c>
      <c r="V133" s="68">
        <v>0</v>
      </c>
      <c r="W133" s="68">
        <f t="shared" si="29"/>
        <v>11595547.1942</v>
      </c>
      <c r="X133" s="68">
        <v>2173376656.4200001</v>
      </c>
      <c r="Y133" s="69">
        <f t="shared" si="20"/>
        <v>2571490443.4141998</v>
      </c>
    </row>
    <row r="134" spans="1:25" ht="24.95" customHeight="1">
      <c r="A134" s="174"/>
      <c r="B134" s="176"/>
      <c r="C134" s="64">
        <v>4</v>
      </c>
      <c r="D134" s="68" t="s">
        <v>381</v>
      </c>
      <c r="E134" s="68">
        <v>319781366.63</v>
      </c>
      <c r="F134" s="68">
        <v>0</v>
      </c>
      <c r="G134" s="68">
        <v>72494669.560000002</v>
      </c>
      <c r="H134" s="68">
        <v>11768281.085899999</v>
      </c>
      <c r="I134" s="68">
        <f t="shared" si="31"/>
        <v>5884140.5429499997</v>
      </c>
      <c r="J134" s="68">
        <f t="shared" si="32"/>
        <v>5884140.5429499997</v>
      </c>
      <c r="K134" s="68">
        <v>281602119.07999998</v>
      </c>
      <c r="L134" s="69">
        <f t="shared" si="14"/>
        <v>679762295.8129499</v>
      </c>
      <c r="M134" s="63"/>
      <c r="N134" s="176"/>
      <c r="O134" s="70">
        <v>12</v>
      </c>
      <c r="P134" s="176"/>
      <c r="Q134" s="68" t="s">
        <v>382</v>
      </c>
      <c r="R134" s="68">
        <v>433229878.57999998</v>
      </c>
      <c r="S134" s="71">
        <v>0</v>
      </c>
      <c r="T134" s="68">
        <v>98213530.150000006</v>
      </c>
      <c r="U134" s="68">
        <v>15943302.261700001</v>
      </c>
      <c r="V134" s="68">
        <v>0</v>
      </c>
      <c r="W134" s="68">
        <f t="shared" si="29"/>
        <v>15943302.261700001</v>
      </c>
      <c r="X134" s="68">
        <v>2256477212.5300002</v>
      </c>
      <c r="Y134" s="69">
        <f t="shared" si="20"/>
        <v>2803863923.5217004</v>
      </c>
    </row>
    <row r="135" spans="1:25" ht="24.95" customHeight="1">
      <c r="A135" s="174"/>
      <c r="B135" s="176"/>
      <c r="C135" s="64">
        <v>5</v>
      </c>
      <c r="D135" s="68" t="s">
        <v>383</v>
      </c>
      <c r="E135" s="68">
        <v>415026425.43000001</v>
      </c>
      <c r="F135" s="68">
        <v>0</v>
      </c>
      <c r="G135" s="68">
        <v>94086794.010000005</v>
      </c>
      <c r="H135" s="68">
        <v>15273396.5833</v>
      </c>
      <c r="I135" s="68">
        <f t="shared" si="31"/>
        <v>7636698.29165</v>
      </c>
      <c r="J135" s="68">
        <f t="shared" si="32"/>
        <v>7636698.29165</v>
      </c>
      <c r="K135" s="68">
        <v>339592762.22000003</v>
      </c>
      <c r="L135" s="69">
        <f t="shared" si="14"/>
        <v>856342679.95165002</v>
      </c>
      <c r="M135" s="63"/>
      <c r="N135" s="176"/>
      <c r="O135" s="70">
        <v>13</v>
      </c>
      <c r="P135" s="176"/>
      <c r="Q135" s="68" t="s">
        <v>384</v>
      </c>
      <c r="R135" s="68">
        <v>468726735.66000003</v>
      </c>
      <c r="S135" s="71">
        <v>0</v>
      </c>
      <c r="T135" s="68">
        <v>106260693.59</v>
      </c>
      <c r="U135" s="68">
        <v>17249622.877500001</v>
      </c>
      <c r="V135" s="68">
        <v>0</v>
      </c>
      <c r="W135" s="68">
        <f t="shared" si="29"/>
        <v>17249622.877500001</v>
      </c>
      <c r="X135" s="68">
        <v>2304962717.9400001</v>
      </c>
      <c r="Y135" s="69">
        <f t="shared" si="20"/>
        <v>2897199770.0675001</v>
      </c>
    </row>
    <row r="136" spans="1:25" ht="24.95" customHeight="1">
      <c r="A136" s="174"/>
      <c r="B136" s="176"/>
      <c r="C136" s="64">
        <v>6</v>
      </c>
      <c r="D136" s="68" t="s">
        <v>385</v>
      </c>
      <c r="E136" s="68">
        <v>339081791.36000001</v>
      </c>
      <c r="F136" s="68">
        <v>0</v>
      </c>
      <c r="G136" s="68">
        <v>76870089.959999993</v>
      </c>
      <c r="H136" s="68">
        <v>12478556.4394</v>
      </c>
      <c r="I136" s="68">
        <f t="shared" si="31"/>
        <v>6239278.2197000002</v>
      </c>
      <c r="J136" s="68">
        <f t="shared" si="32"/>
        <v>6239278.2197000002</v>
      </c>
      <c r="K136" s="68">
        <v>277073158.75999999</v>
      </c>
      <c r="L136" s="69">
        <f t="shared" ref="L136:L199" si="33">E136+F136+G136+J136+K136</f>
        <v>699264318.29970002</v>
      </c>
      <c r="M136" s="63"/>
      <c r="N136" s="176"/>
      <c r="O136" s="70">
        <v>14</v>
      </c>
      <c r="P136" s="176"/>
      <c r="Q136" s="68" t="s">
        <v>386</v>
      </c>
      <c r="R136" s="68">
        <v>252322849.22</v>
      </c>
      <c r="S136" s="71">
        <v>0</v>
      </c>
      <c r="T136" s="68">
        <v>57201774.359999999</v>
      </c>
      <c r="U136" s="68">
        <v>9285738.7072000001</v>
      </c>
      <c r="V136" s="68">
        <v>0</v>
      </c>
      <c r="W136" s="68">
        <f t="shared" si="29"/>
        <v>9285738.7072000001</v>
      </c>
      <c r="X136" s="68">
        <v>2134610743.71</v>
      </c>
      <c r="Y136" s="69">
        <f t="shared" si="20"/>
        <v>2453421105.9972</v>
      </c>
    </row>
    <row r="137" spans="1:25" ht="24.95" customHeight="1">
      <c r="A137" s="174"/>
      <c r="B137" s="176"/>
      <c r="C137" s="64">
        <v>7</v>
      </c>
      <c r="D137" s="68" t="s">
        <v>387</v>
      </c>
      <c r="E137" s="68">
        <v>321650731.87</v>
      </c>
      <c r="F137" s="68">
        <v>0</v>
      </c>
      <c r="G137" s="68">
        <v>72918456.030000001</v>
      </c>
      <c r="H137" s="68">
        <v>11837075.6369</v>
      </c>
      <c r="I137" s="68">
        <f t="shared" si="31"/>
        <v>5918537.8184500001</v>
      </c>
      <c r="J137" s="68">
        <f t="shared" si="32"/>
        <v>5918537.8184500001</v>
      </c>
      <c r="K137" s="68">
        <v>266629873.91999999</v>
      </c>
      <c r="L137" s="69">
        <f t="shared" si="33"/>
        <v>667117599.63844991</v>
      </c>
      <c r="M137" s="63"/>
      <c r="N137" s="176"/>
      <c r="O137" s="70">
        <v>15</v>
      </c>
      <c r="P137" s="176"/>
      <c r="Q137" s="68" t="s">
        <v>388</v>
      </c>
      <c r="R137" s="68">
        <v>304468041.18000001</v>
      </c>
      <c r="S137" s="71">
        <v>0</v>
      </c>
      <c r="T137" s="68">
        <v>69023127.489999995</v>
      </c>
      <c r="U137" s="68">
        <v>11204735.0601</v>
      </c>
      <c r="V137" s="68">
        <v>0</v>
      </c>
      <c r="W137" s="68">
        <f t="shared" si="29"/>
        <v>11204735.0601</v>
      </c>
      <c r="X137" s="68">
        <v>2175066890.4099998</v>
      </c>
      <c r="Y137" s="69">
        <f t="shared" si="20"/>
        <v>2559762794.1401</v>
      </c>
    </row>
    <row r="138" spans="1:25" ht="24.95" customHeight="1">
      <c r="A138" s="174"/>
      <c r="B138" s="176"/>
      <c r="C138" s="64">
        <v>8</v>
      </c>
      <c r="D138" s="68" t="s">
        <v>389</v>
      </c>
      <c r="E138" s="68">
        <v>276411361.18000001</v>
      </c>
      <c r="F138" s="68">
        <v>0</v>
      </c>
      <c r="G138" s="68">
        <v>62662657.630000003</v>
      </c>
      <c r="H138" s="68">
        <v>10172220.564200001</v>
      </c>
      <c r="I138" s="68">
        <f t="shared" si="31"/>
        <v>5086110.2821000004</v>
      </c>
      <c r="J138" s="68">
        <f t="shared" si="32"/>
        <v>5086110.2821000004</v>
      </c>
      <c r="K138" s="68">
        <v>251124106.62</v>
      </c>
      <c r="L138" s="69">
        <f t="shared" si="33"/>
        <v>595284235.71210003</v>
      </c>
      <c r="M138" s="63"/>
      <c r="N138" s="176"/>
      <c r="O138" s="70">
        <v>16</v>
      </c>
      <c r="P138" s="176"/>
      <c r="Q138" s="68" t="s">
        <v>390</v>
      </c>
      <c r="R138" s="68">
        <v>455811532.29000002</v>
      </c>
      <c r="S138" s="71">
        <v>0</v>
      </c>
      <c r="T138" s="68">
        <v>103332807.55</v>
      </c>
      <c r="U138" s="68">
        <v>16774330.1954</v>
      </c>
      <c r="V138" s="68">
        <v>0</v>
      </c>
      <c r="W138" s="68">
        <f t="shared" si="29"/>
        <v>16774330.1954</v>
      </c>
      <c r="X138" s="68">
        <v>2292863571.6799998</v>
      </c>
      <c r="Y138" s="69">
        <f t="shared" si="20"/>
        <v>2868782241.7153997</v>
      </c>
    </row>
    <row r="139" spans="1:25" ht="24.95" customHeight="1">
      <c r="A139" s="174"/>
      <c r="B139" s="176"/>
      <c r="C139" s="64">
        <v>9</v>
      </c>
      <c r="D139" s="68" t="s">
        <v>391</v>
      </c>
      <c r="E139" s="68">
        <v>349178840.77999997</v>
      </c>
      <c r="F139" s="68">
        <v>0</v>
      </c>
      <c r="G139" s="68">
        <v>79159098.439999998</v>
      </c>
      <c r="H139" s="68">
        <v>12850138.1766</v>
      </c>
      <c r="I139" s="68">
        <f t="shared" si="31"/>
        <v>6425069.0882999999</v>
      </c>
      <c r="J139" s="68">
        <f t="shared" si="32"/>
        <v>6425069.0882999999</v>
      </c>
      <c r="K139" s="68">
        <v>289446912.00999999</v>
      </c>
      <c r="L139" s="69">
        <f t="shared" si="33"/>
        <v>724209920.31830001</v>
      </c>
      <c r="M139" s="63"/>
      <c r="N139" s="176"/>
      <c r="O139" s="70">
        <v>17</v>
      </c>
      <c r="P139" s="176"/>
      <c r="Q139" s="68" t="s">
        <v>392</v>
      </c>
      <c r="R139" s="68">
        <v>442282592.01999998</v>
      </c>
      <c r="S139" s="71">
        <v>0</v>
      </c>
      <c r="T139" s="68">
        <v>100265786.90000001</v>
      </c>
      <c r="U139" s="68">
        <v>16276451.367699999</v>
      </c>
      <c r="V139" s="68">
        <v>0</v>
      </c>
      <c r="W139" s="68">
        <f t="shared" si="29"/>
        <v>16276451.367699999</v>
      </c>
      <c r="X139" s="68">
        <v>2279810212.8499999</v>
      </c>
      <c r="Y139" s="69">
        <f t="shared" si="20"/>
        <v>2838635043.1377001</v>
      </c>
    </row>
    <row r="140" spans="1:25" ht="24.95" customHeight="1">
      <c r="A140" s="174"/>
      <c r="B140" s="176"/>
      <c r="C140" s="64">
        <v>10</v>
      </c>
      <c r="D140" s="68" t="s">
        <v>393</v>
      </c>
      <c r="E140" s="68">
        <v>330362767.88</v>
      </c>
      <c r="F140" s="68">
        <v>0</v>
      </c>
      <c r="G140" s="68">
        <v>74893480.959999993</v>
      </c>
      <c r="H140" s="68">
        <v>12157687.4652</v>
      </c>
      <c r="I140" s="68">
        <f t="shared" si="31"/>
        <v>6078843.7325999998</v>
      </c>
      <c r="J140" s="68">
        <f t="shared" si="32"/>
        <v>6078843.7325999998</v>
      </c>
      <c r="K140" s="68">
        <v>289803340.66000003</v>
      </c>
      <c r="L140" s="69">
        <f t="shared" si="33"/>
        <v>701138433.23259997</v>
      </c>
      <c r="M140" s="63"/>
      <c r="N140" s="176"/>
      <c r="O140" s="70">
        <v>18</v>
      </c>
      <c r="P140" s="176"/>
      <c r="Q140" s="68" t="s">
        <v>394</v>
      </c>
      <c r="R140" s="68">
        <v>451607513.75</v>
      </c>
      <c r="S140" s="71">
        <v>0</v>
      </c>
      <c r="T140" s="68">
        <v>102379753.47</v>
      </c>
      <c r="U140" s="68">
        <v>16619618.0166</v>
      </c>
      <c r="V140" s="68">
        <v>0</v>
      </c>
      <c r="W140" s="68">
        <f t="shared" si="29"/>
        <v>16619618.0166</v>
      </c>
      <c r="X140" s="68">
        <v>2288566999.8499999</v>
      </c>
      <c r="Y140" s="69">
        <f t="shared" si="20"/>
        <v>2859173885.0865998</v>
      </c>
    </row>
    <row r="141" spans="1:25" ht="24.95" customHeight="1">
      <c r="A141" s="174"/>
      <c r="B141" s="176"/>
      <c r="C141" s="64">
        <v>11</v>
      </c>
      <c r="D141" s="68" t="s">
        <v>395</v>
      </c>
      <c r="E141" s="68">
        <v>378243320.93000001</v>
      </c>
      <c r="F141" s="68">
        <v>0</v>
      </c>
      <c r="G141" s="68">
        <v>85748037.340000004</v>
      </c>
      <c r="H141" s="68">
        <v>13919740.748199999</v>
      </c>
      <c r="I141" s="68">
        <f t="shared" si="31"/>
        <v>6959870.3740999997</v>
      </c>
      <c r="J141" s="68">
        <f t="shared" si="32"/>
        <v>6959870.3740999997</v>
      </c>
      <c r="K141" s="68">
        <v>298405824.69</v>
      </c>
      <c r="L141" s="69">
        <f t="shared" si="33"/>
        <v>769357053.33410001</v>
      </c>
      <c r="M141" s="63"/>
      <c r="N141" s="176"/>
      <c r="O141" s="70">
        <v>19</v>
      </c>
      <c r="P141" s="176"/>
      <c r="Q141" s="68" t="s">
        <v>396</v>
      </c>
      <c r="R141" s="68">
        <v>349276184.48000002</v>
      </c>
      <c r="S141" s="71">
        <v>0</v>
      </c>
      <c r="T141" s="68">
        <v>79181166.329999998</v>
      </c>
      <c r="U141" s="68">
        <v>12853720.5244</v>
      </c>
      <c r="V141" s="68">
        <v>0</v>
      </c>
      <c r="W141" s="68">
        <f t="shared" si="29"/>
        <v>12853720.5244</v>
      </c>
      <c r="X141" s="68">
        <v>2206806600.5300002</v>
      </c>
      <c r="Y141" s="69">
        <f t="shared" si="20"/>
        <v>2648117671.8644004</v>
      </c>
    </row>
    <row r="142" spans="1:25" ht="24.95" customHeight="1">
      <c r="A142" s="174"/>
      <c r="B142" s="176"/>
      <c r="C142" s="64">
        <v>12</v>
      </c>
      <c r="D142" s="68" t="s">
        <v>397</v>
      </c>
      <c r="E142" s="68">
        <v>290468591.56999999</v>
      </c>
      <c r="F142" s="68">
        <v>0</v>
      </c>
      <c r="G142" s="68">
        <v>65849442.030000001</v>
      </c>
      <c r="H142" s="68">
        <v>10689541.007999999</v>
      </c>
      <c r="I142" s="68">
        <f t="shared" si="31"/>
        <v>5344770.5039999997</v>
      </c>
      <c r="J142" s="68">
        <f t="shared" si="32"/>
        <v>5344770.5039999997</v>
      </c>
      <c r="K142" s="68">
        <v>268653372.44999999</v>
      </c>
      <c r="L142" s="69">
        <f t="shared" si="33"/>
        <v>630316176.55400002</v>
      </c>
      <c r="M142" s="63"/>
      <c r="N142" s="177"/>
      <c r="O142" s="70">
        <v>20</v>
      </c>
      <c r="P142" s="177"/>
      <c r="Q142" s="68" t="s">
        <v>398</v>
      </c>
      <c r="R142" s="68">
        <v>399527512.06</v>
      </c>
      <c r="S142" s="71">
        <v>0</v>
      </c>
      <c r="T142" s="68">
        <v>90573179.019999996</v>
      </c>
      <c r="U142" s="68">
        <v>14703020.7326</v>
      </c>
      <c r="V142" s="68">
        <v>0</v>
      </c>
      <c r="W142" s="68">
        <f t="shared" si="29"/>
        <v>14703020.7326</v>
      </c>
      <c r="X142" s="68">
        <v>2244654541.3299999</v>
      </c>
      <c r="Y142" s="69">
        <f t="shared" si="20"/>
        <v>2749458253.1426001</v>
      </c>
    </row>
    <row r="143" spans="1:25" ht="24.95" customHeight="1">
      <c r="A143" s="174"/>
      <c r="B143" s="176"/>
      <c r="C143" s="64">
        <v>13</v>
      </c>
      <c r="D143" s="68" t="s">
        <v>399</v>
      </c>
      <c r="E143" s="68">
        <v>348921051.06</v>
      </c>
      <c r="F143" s="68">
        <v>0</v>
      </c>
      <c r="G143" s="68">
        <v>79100657.319999993</v>
      </c>
      <c r="H143" s="68">
        <v>12840651.251399999</v>
      </c>
      <c r="I143" s="68">
        <f t="shared" si="31"/>
        <v>6420325.6256999997</v>
      </c>
      <c r="J143" s="68">
        <f t="shared" si="32"/>
        <v>6420325.6256999997</v>
      </c>
      <c r="K143" s="68">
        <v>316601245.94999999</v>
      </c>
      <c r="L143" s="69">
        <f t="shared" si="33"/>
        <v>751043279.95569992</v>
      </c>
      <c r="M143" s="63"/>
      <c r="N143" s="64"/>
      <c r="O143" s="170" t="s">
        <v>400</v>
      </c>
      <c r="P143" s="173"/>
      <c r="Q143" s="72"/>
      <c r="R143" s="72">
        <f t="shared" ref="R143:Y143" si="34">SUM(R123:R142)</f>
        <v>7545291980.4900007</v>
      </c>
      <c r="S143" s="71">
        <v>0</v>
      </c>
      <c r="T143" s="72">
        <f t="shared" si="34"/>
        <v>1710523207.3</v>
      </c>
      <c r="U143" s="72">
        <f t="shared" si="34"/>
        <v>277674455.63419998</v>
      </c>
      <c r="V143" s="72">
        <f t="shared" si="34"/>
        <v>0</v>
      </c>
      <c r="W143" s="72">
        <f t="shared" si="34"/>
        <v>277674455.63419998</v>
      </c>
      <c r="X143" s="72">
        <f t="shared" si="34"/>
        <v>44494830001.889992</v>
      </c>
      <c r="Y143" s="72">
        <f t="shared" si="34"/>
        <v>54028319645.314209</v>
      </c>
    </row>
    <row r="144" spans="1:25" ht="24.95" customHeight="1">
      <c r="A144" s="174"/>
      <c r="B144" s="176"/>
      <c r="C144" s="64">
        <v>14</v>
      </c>
      <c r="D144" s="68" t="s">
        <v>401</v>
      </c>
      <c r="E144" s="68">
        <v>257749376.59</v>
      </c>
      <c r="F144" s="68">
        <v>0</v>
      </c>
      <c r="G144" s="68">
        <v>58431972.079999998</v>
      </c>
      <c r="H144" s="68">
        <v>9485440.4600000009</v>
      </c>
      <c r="I144" s="68">
        <f t="shared" si="31"/>
        <v>4742720.2300000004</v>
      </c>
      <c r="J144" s="68">
        <f t="shared" si="32"/>
        <v>4742720.2300000004</v>
      </c>
      <c r="K144" s="68">
        <v>242422614.63999999</v>
      </c>
      <c r="L144" s="69">
        <f t="shared" si="33"/>
        <v>563346683.53999996</v>
      </c>
      <c r="M144" s="63"/>
      <c r="N144" s="175">
        <v>25</v>
      </c>
      <c r="O144" s="70">
        <v>1</v>
      </c>
      <c r="P144" s="175" t="s">
        <v>107</v>
      </c>
      <c r="Q144" s="68" t="s">
        <v>402</v>
      </c>
      <c r="R144" s="68">
        <v>261411367.03999999</v>
      </c>
      <c r="S144" s="71">
        <v>0</v>
      </c>
      <c r="T144" s="68">
        <v>59262147.990000002</v>
      </c>
      <c r="U144" s="68">
        <v>9620205.4509999994</v>
      </c>
      <c r="V144" s="68">
        <f t="shared" ref="V144:V156" si="35">U144/2</f>
        <v>4810102.7254999997</v>
      </c>
      <c r="W144" s="68">
        <f t="shared" ref="W144:W175" si="36">U144-V144</f>
        <v>4810102.7254999997</v>
      </c>
      <c r="X144" s="68">
        <v>224032739.33000001</v>
      </c>
      <c r="Y144" s="69">
        <f t="shared" si="20"/>
        <v>549516357.0855</v>
      </c>
    </row>
    <row r="145" spans="1:25" ht="24.95" customHeight="1">
      <c r="A145" s="174"/>
      <c r="B145" s="176"/>
      <c r="C145" s="64">
        <v>15</v>
      </c>
      <c r="D145" s="68" t="s">
        <v>403</v>
      </c>
      <c r="E145" s="68">
        <v>270771174.02999997</v>
      </c>
      <c r="F145" s="68">
        <v>0</v>
      </c>
      <c r="G145" s="68">
        <v>61384023.079999998</v>
      </c>
      <c r="H145" s="68">
        <v>9964655.9133000001</v>
      </c>
      <c r="I145" s="68">
        <f t="shared" si="31"/>
        <v>4982327.9566500001</v>
      </c>
      <c r="J145" s="68">
        <f t="shared" si="32"/>
        <v>4982327.9566500001</v>
      </c>
      <c r="K145" s="68">
        <v>253575767.87</v>
      </c>
      <c r="L145" s="69">
        <f t="shared" si="33"/>
        <v>590713292.93665004</v>
      </c>
      <c r="M145" s="63"/>
      <c r="N145" s="176"/>
      <c r="O145" s="70">
        <v>2</v>
      </c>
      <c r="P145" s="176"/>
      <c r="Q145" s="68" t="s">
        <v>404</v>
      </c>
      <c r="R145" s="68">
        <v>294657811.14999998</v>
      </c>
      <c r="S145" s="71">
        <v>0</v>
      </c>
      <c r="T145" s="68">
        <v>66799141.170000002</v>
      </c>
      <c r="U145" s="68">
        <v>10843708.569499999</v>
      </c>
      <c r="V145" s="68">
        <f t="shared" si="35"/>
        <v>5421854.2847499996</v>
      </c>
      <c r="W145" s="68">
        <f t="shared" si="36"/>
        <v>5421854.2847499996</v>
      </c>
      <c r="X145" s="68">
        <v>223712924.94</v>
      </c>
      <c r="Y145" s="69">
        <f t="shared" si="20"/>
        <v>590591731.54474998</v>
      </c>
    </row>
    <row r="146" spans="1:25" ht="24.95" customHeight="1">
      <c r="A146" s="174"/>
      <c r="B146" s="176"/>
      <c r="C146" s="64">
        <v>16</v>
      </c>
      <c r="D146" s="68" t="s">
        <v>405</v>
      </c>
      <c r="E146" s="68">
        <v>246976332.08000001</v>
      </c>
      <c r="F146" s="68">
        <v>0</v>
      </c>
      <c r="G146" s="68">
        <v>55989715.009999998</v>
      </c>
      <c r="H146" s="68">
        <v>9088981.4129000008</v>
      </c>
      <c r="I146" s="68">
        <f t="shared" si="31"/>
        <v>4544490.7064500004</v>
      </c>
      <c r="J146" s="68">
        <f t="shared" si="32"/>
        <v>4544490.7064500004</v>
      </c>
      <c r="K146" s="68">
        <v>232195652.84999999</v>
      </c>
      <c r="L146" s="69">
        <f t="shared" si="33"/>
        <v>539706190.64645004</v>
      </c>
      <c r="M146" s="63"/>
      <c r="N146" s="176"/>
      <c r="O146" s="70">
        <v>3</v>
      </c>
      <c r="P146" s="176"/>
      <c r="Q146" s="68" t="s">
        <v>406</v>
      </c>
      <c r="R146" s="68">
        <v>301703441.93000001</v>
      </c>
      <c r="S146" s="71">
        <v>0</v>
      </c>
      <c r="T146" s="68">
        <v>68396390.819999993</v>
      </c>
      <c r="U146" s="68">
        <v>11102994.9825</v>
      </c>
      <c r="V146" s="68">
        <f t="shared" si="35"/>
        <v>5551497.49125</v>
      </c>
      <c r="W146" s="68">
        <f t="shared" si="36"/>
        <v>5551497.49125</v>
      </c>
      <c r="X146" s="68">
        <v>233812857.65000001</v>
      </c>
      <c r="Y146" s="69">
        <f t="shared" si="20"/>
        <v>609464187.89125001</v>
      </c>
    </row>
    <row r="147" spans="1:25" ht="24.95" customHeight="1">
      <c r="A147" s="174"/>
      <c r="B147" s="176"/>
      <c r="C147" s="64">
        <v>17</v>
      </c>
      <c r="D147" s="68" t="s">
        <v>407</v>
      </c>
      <c r="E147" s="68">
        <v>312500508.31</v>
      </c>
      <c r="F147" s="68">
        <v>0</v>
      </c>
      <c r="G147" s="68">
        <v>70844093.659999996</v>
      </c>
      <c r="H147" s="68">
        <v>11500338.0591</v>
      </c>
      <c r="I147" s="68">
        <f t="shared" si="31"/>
        <v>5750169.0295500001</v>
      </c>
      <c r="J147" s="68">
        <f t="shared" si="32"/>
        <v>5750169.0295500001</v>
      </c>
      <c r="K147" s="68">
        <v>269091622.76999998</v>
      </c>
      <c r="L147" s="69">
        <f t="shared" si="33"/>
        <v>658186393.76955009</v>
      </c>
      <c r="M147" s="63"/>
      <c r="N147" s="176"/>
      <c r="O147" s="70">
        <v>4</v>
      </c>
      <c r="P147" s="176"/>
      <c r="Q147" s="68" t="s">
        <v>408</v>
      </c>
      <c r="R147" s="68">
        <v>355968946.89999998</v>
      </c>
      <c r="S147" s="71">
        <v>0</v>
      </c>
      <c r="T147" s="68">
        <v>80698420.459999993</v>
      </c>
      <c r="U147" s="68">
        <v>13100021.0207</v>
      </c>
      <c r="V147" s="68">
        <f t="shared" si="35"/>
        <v>6550010.5103500001</v>
      </c>
      <c r="W147" s="68">
        <f t="shared" si="36"/>
        <v>6550010.5103500001</v>
      </c>
      <c r="X147" s="68">
        <v>258422873.84</v>
      </c>
      <c r="Y147" s="69">
        <f t="shared" si="20"/>
        <v>701640251.71034992</v>
      </c>
    </row>
    <row r="148" spans="1:25" ht="24.95" customHeight="1">
      <c r="A148" s="174"/>
      <c r="B148" s="176"/>
      <c r="C148" s="64">
        <v>18</v>
      </c>
      <c r="D148" s="68" t="s">
        <v>409</v>
      </c>
      <c r="E148" s="68">
        <v>292844731.19999999</v>
      </c>
      <c r="F148" s="68">
        <v>0</v>
      </c>
      <c r="G148" s="68">
        <v>66388114.619999997</v>
      </c>
      <c r="H148" s="68">
        <v>10776985.374500001</v>
      </c>
      <c r="I148" s="68">
        <f t="shared" si="31"/>
        <v>5388492.6872500004</v>
      </c>
      <c r="J148" s="68">
        <f t="shared" si="32"/>
        <v>5388492.6872500004</v>
      </c>
      <c r="K148" s="68">
        <v>271486868.16000003</v>
      </c>
      <c r="L148" s="69">
        <f t="shared" si="33"/>
        <v>636108206.66725004</v>
      </c>
      <c r="M148" s="63"/>
      <c r="N148" s="176"/>
      <c r="O148" s="70">
        <v>5</v>
      </c>
      <c r="P148" s="176"/>
      <c r="Q148" s="68" t="s">
        <v>410</v>
      </c>
      <c r="R148" s="68">
        <v>254177146.97</v>
      </c>
      <c r="S148" s="71">
        <v>0</v>
      </c>
      <c r="T148" s="68">
        <v>57622145.009999998</v>
      </c>
      <c r="U148" s="68">
        <v>9353978.7592999991</v>
      </c>
      <c r="V148" s="68">
        <f t="shared" si="35"/>
        <v>4676989.3796499996</v>
      </c>
      <c r="W148" s="68">
        <f t="shared" si="36"/>
        <v>4676989.3796499996</v>
      </c>
      <c r="X148" s="68">
        <v>211263701.47999999</v>
      </c>
      <c r="Y148" s="69">
        <f t="shared" si="20"/>
        <v>527739982.83965003</v>
      </c>
    </row>
    <row r="149" spans="1:25" ht="24.95" customHeight="1">
      <c r="A149" s="174"/>
      <c r="B149" s="176"/>
      <c r="C149" s="64">
        <v>19</v>
      </c>
      <c r="D149" s="68" t="s">
        <v>411</v>
      </c>
      <c r="E149" s="68">
        <v>342975084.88999999</v>
      </c>
      <c r="F149" s="68">
        <v>0</v>
      </c>
      <c r="G149" s="68">
        <v>77752702.450000003</v>
      </c>
      <c r="H149" s="68">
        <v>12621833.620200001</v>
      </c>
      <c r="I149" s="68">
        <f t="shared" si="31"/>
        <v>6310916.8101000004</v>
      </c>
      <c r="J149" s="68">
        <f t="shared" si="32"/>
        <v>6310916.8101000004</v>
      </c>
      <c r="K149" s="68">
        <v>303251236.86000001</v>
      </c>
      <c r="L149" s="69">
        <f t="shared" si="33"/>
        <v>730289941.01010001</v>
      </c>
      <c r="M149" s="63"/>
      <c r="N149" s="176"/>
      <c r="O149" s="70">
        <v>6</v>
      </c>
      <c r="P149" s="176"/>
      <c r="Q149" s="68" t="s">
        <v>412</v>
      </c>
      <c r="R149" s="68">
        <v>239011492.25999999</v>
      </c>
      <c r="S149" s="71">
        <v>0</v>
      </c>
      <c r="T149" s="68">
        <v>54184080</v>
      </c>
      <c r="U149" s="68">
        <v>8795867.1679999996</v>
      </c>
      <c r="V149" s="68">
        <f t="shared" si="35"/>
        <v>4397933.5839999998</v>
      </c>
      <c r="W149" s="68">
        <f t="shared" si="36"/>
        <v>4397933.5839999998</v>
      </c>
      <c r="X149" s="68">
        <v>216274251.46000001</v>
      </c>
      <c r="Y149" s="69">
        <f t="shared" si="20"/>
        <v>513867757.30400002</v>
      </c>
    </row>
    <row r="150" spans="1:25" ht="24.95" customHeight="1">
      <c r="A150" s="174"/>
      <c r="B150" s="176"/>
      <c r="C150" s="64">
        <v>20</v>
      </c>
      <c r="D150" s="68" t="s">
        <v>413</v>
      </c>
      <c r="E150" s="68">
        <v>237708400.31</v>
      </c>
      <c r="F150" s="68">
        <v>0</v>
      </c>
      <c r="G150" s="68">
        <v>53888668.109999999</v>
      </c>
      <c r="H150" s="68">
        <v>8747912.0525000002</v>
      </c>
      <c r="I150" s="68">
        <f t="shared" si="31"/>
        <v>4373956.0262500001</v>
      </c>
      <c r="J150" s="68">
        <f t="shared" si="32"/>
        <v>4373956.0262500001</v>
      </c>
      <c r="K150" s="68">
        <v>235189055.75999999</v>
      </c>
      <c r="L150" s="69">
        <f t="shared" si="33"/>
        <v>531160080.20625001</v>
      </c>
      <c r="M150" s="63"/>
      <c r="N150" s="176"/>
      <c r="O150" s="70">
        <v>7</v>
      </c>
      <c r="P150" s="176"/>
      <c r="Q150" s="68" t="s">
        <v>414</v>
      </c>
      <c r="R150" s="68">
        <v>273092097.29000002</v>
      </c>
      <c r="S150" s="71">
        <v>0</v>
      </c>
      <c r="T150" s="68">
        <v>61910178.079999998</v>
      </c>
      <c r="U150" s="68">
        <v>10050068.2611</v>
      </c>
      <c r="V150" s="68">
        <f t="shared" si="35"/>
        <v>5025034.1305499999</v>
      </c>
      <c r="W150" s="68">
        <f t="shared" si="36"/>
        <v>5025034.1305499999</v>
      </c>
      <c r="X150" s="68">
        <v>222657462.72999999</v>
      </c>
      <c r="Y150" s="69">
        <f t="shared" si="20"/>
        <v>562684772.23055005</v>
      </c>
    </row>
    <row r="151" spans="1:25" ht="24.95" customHeight="1">
      <c r="A151" s="174"/>
      <c r="B151" s="176"/>
      <c r="C151" s="64">
        <v>21</v>
      </c>
      <c r="D151" s="68" t="s">
        <v>415</v>
      </c>
      <c r="E151" s="68">
        <v>325024243.20999998</v>
      </c>
      <c r="F151" s="68">
        <v>0</v>
      </c>
      <c r="G151" s="68">
        <v>73683233.519999996</v>
      </c>
      <c r="H151" s="68">
        <v>11961224.301899999</v>
      </c>
      <c r="I151" s="68">
        <f t="shared" si="31"/>
        <v>5980612.1509499997</v>
      </c>
      <c r="J151" s="68">
        <f t="shared" si="32"/>
        <v>5980612.1509499997</v>
      </c>
      <c r="K151" s="68">
        <v>286537198.85000002</v>
      </c>
      <c r="L151" s="69">
        <f t="shared" si="33"/>
        <v>691225287.73095</v>
      </c>
      <c r="M151" s="63"/>
      <c r="N151" s="176"/>
      <c r="O151" s="70">
        <v>8</v>
      </c>
      <c r="P151" s="176"/>
      <c r="Q151" s="68" t="s">
        <v>416</v>
      </c>
      <c r="R151" s="68">
        <v>427323277.94999999</v>
      </c>
      <c r="S151" s="71">
        <v>0</v>
      </c>
      <c r="T151" s="68">
        <v>96874499.469999999</v>
      </c>
      <c r="U151" s="68">
        <v>15725933.3224</v>
      </c>
      <c r="V151" s="68">
        <f t="shared" si="35"/>
        <v>7862966.6612</v>
      </c>
      <c r="W151" s="68">
        <f t="shared" si="36"/>
        <v>7862966.6612</v>
      </c>
      <c r="X151" s="68">
        <v>305212541.02999997</v>
      </c>
      <c r="Y151" s="69">
        <f t="shared" si="20"/>
        <v>837273285.11119986</v>
      </c>
    </row>
    <row r="152" spans="1:25" ht="24.95" customHeight="1">
      <c r="A152" s="174"/>
      <c r="B152" s="176"/>
      <c r="C152" s="64">
        <v>22</v>
      </c>
      <c r="D152" s="68" t="s">
        <v>417</v>
      </c>
      <c r="E152" s="68">
        <v>316481998.80000001</v>
      </c>
      <c r="F152" s="68">
        <v>0</v>
      </c>
      <c r="G152" s="68">
        <v>71746700.459999993</v>
      </c>
      <c r="H152" s="68">
        <v>11646860.9778</v>
      </c>
      <c r="I152" s="68">
        <f t="shared" si="31"/>
        <v>5823430.4889000002</v>
      </c>
      <c r="J152" s="68">
        <f t="shared" si="32"/>
        <v>5823430.4889000002</v>
      </c>
      <c r="K152" s="68">
        <v>275855921.29000002</v>
      </c>
      <c r="L152" s="69">
        <f t="shared" si="33"/>
        <v>669908051.03890002</v>
      </c>
      <c r="M152" s="63"/>
      <c r="N152" s="176"/>
      <c r="O152" s="70">
        <v>9</v>
      </c>
      <c r="P152" s="176"/>
      <c r="Q152" s="68" t="s">
        <v>418</v>
      </c>
      <c r="R152" s="68">
        <v>396019518.37</v>
      </c>
      <c r="S152" s="71">
        <v>0</v>
      </c>
      <c r="T152" s="68">
        <v>89777914.290000007</v>
      </c>
      <c r="U152" s="68">
        <v>14573922.979900001</v>
      </c>
      <c r="V152" s="68">
        <f t="shared" si="35"/>
        <v>7286961.4899500003</v>
      </c>
      <c r="W152" s="68">
        <f t="shared" si="36"/>
        <v>7286961.4899500003</v>
      </c>
      <c r="X152" s="68">
        <v>252578788.93000001</v>
      </c>
      <c r="Y152" s="69">
        <f t="shared" si="20"/>
        <v>745663183.07995009</v>
      </c>
    </row>
    <row r="153" spans="1:25" ht="24.95" customHeight="1">
      <c r="A153" s="174"/>
      <c r="B153" s="177"/>
      <c r="C153" s="64">
        <v>23</v>
      </c>
      <c r="D153" s="68" t="s">
        <v>419</v>
      </c>
      <c r="E153" s="68">
        <v>335210436.22000003</v>
      </c>
      <c r="F153" s="68">
        <v>0</v>
      </c>
      <c r="G153" s="68">
        <v>75992450.920000002</v>
      </c>
      <c r="H153" s="68">
        <v>12336086.614</v>
      </c>
      <c r="I153" s="68">
        <f t="shared" si="31"/>
        <v>6168043.307</v>
      </c>
      <c r="J153" s="68">
        <f t="shared" si="32"/>
        <v>6168043.307</v>
      </c>
      <c r="K153" s="68">
        <v>291465179.92000002</v>
      </c>
      <c r="L153" s="69">
        <f t="shared" si="33"/>
        <v>708836110.3670001</v>
      </c>
      <c r="M153" s="63"/>
      <c r="N153" s="176"/>
      <c r="O153" s="70">
        <v>10</v>
      </c>
      <c r="P153" s="176"/>
      <c r="Q153" s="80" t="s">
        <v>420</v>
      </c>
      <c r="R153" s="68">
        <v>302948902.13999999</v>
      </c>
      <c r="S153" s="71">
        <v>0</v>
      </c>
      <c r="T153" s="68">
        <v>68678737.560000002</v>
      </c>
      <c r="U153" s="68">
        <v>11148829.191</v>
      </c>
      <c r="V153" s="68">
        <f t="shared" si="35"/>
        <v>5574414.5954999998</v>
      </c>
      <c r="W153" s="68">
        <f t="shared" si="36"/>
        <v>5574414.5954999998</v>
      </c>
      <c r="X153" s="68">
        <v>237370419.13</v>
      </c>
      <c r="Y153" s="69">
        <f t="shared" si="20"/>
        <v>614572473.42549992</v>
      </c>
    </row>
    <row r="154" spans="1:25" ht="24.95" customHeight="1">
      <c r="A154" s="64"/>
      <c r="B154" s="169" t="s">
        <v>421</v>
      </c>
      <c r="C154" s="170"/>
      <c r="D154" s="72"/>
      <c r="E154" s="72">
        <f t="shared" ref="E154:L154" si="37">SUM(E131:E153)</f>
        <v>7171417794.8900003</v>
      </c>
      <c r="F154" s="68">
        <v>0</v>
      </c>
      <c r="G154" s="72">
        <f t="shared" si="37"/>
        <v>1625765656.1500001</v>
      </c>
      <c r="H154" s="72">
        <f t="shared" si="37"/>
        <v>263915503.53090003</v>
      </c>
      <c r="I154" s="72">
        <f t="shared" si="37"/>
        <v>131957751.76545002</v>
      </c>
      <c r="J154" s="72">
        <f t="shared" si="37"/>
        <v>131957751.76545002</v>
      </c>
      <c r="K154" s="72">
        <f t="shared" si="37"/>
        <v>6302617520.7700005</v>
      </c>
      <c r="L154" s="72">
        <f t="shared" si="37"/>
        <v>15231758723.575449</v>
      </c>
      <c r="M154" s="63"/>
      <c r="N154" s="176"/>
      <c r="O154" s="70">
        <v>11</v>
      </c>
      <c r="P154" s="176"/>
      <c r="Q154" s="68" t="s">
        <v>401</v>
      </c>
      <c r="R154" s="68">
        <v>289980643.22000003</v>
      </c>
      <c r="S154" s="71">
        <v>0</v>
      </c>
      <c r="T154" s="68">
        <v>65738823.780000001</v>
      </c>
      <c r="U154" s="68">
        <v>10671584.0101</v>
      </c>
      <c r="V154" s="68">
        <f t="shared" si="35"/>
        <v>5335792.0050499998</v>
      </c>
      <c r="W154" s="68">
        <f t="shared" si="36"/>
        <v>5335792.0050499998</v>
      </c>
      <c r="X154" s="68">
        <v>237275147.31999999</v>
      </c>
      <c r="Y154" s="69">
        <f t="shared" si="20"/>
        <v>598330406.32505</v>
      </c>
    </row>
    <row r="155" spans="1:25" ht="24.95" customHeight="1">
      <c r="A155" s="174">
        <v>8</v>
      </c>
      <c r="B155" s="175" t="s">
        <v>422</v>
      </c>
      <c r="C155" s="64">
        <v>1</v>
      </c>
      <c r="D155" s="68" t="s">
        <v>423</v>
      </c>
      <c r="E155" s="68">
        <v>281509635.25999999</v>
      </c>
      <c r="F155" s="68">
        <v>0</v>
      </c>
      <c r="G155" s="68">
        <v>63818440.090000004</v>
      </c>
      <c r="H155" s="68">
        <v>10359842.260500001</v>
      </c>
      <c r="I155" s="68">
        <v>0</v>
      </c>
      <c r="J155" s="68">
        <f t="shared" ref="J155:J181" si="38">H155-I155</f>
        <v>10359842.260500001</v>
      </c>
      <c r="K155" s="68">
        <v>232667720.06999999</v>
      </c>
      <c r="L155" s="69">
        <f t="shared" si="33"/>
        <v>588355637.68050003</v>
      </c>
      <c r="M155" s="63"/>
      <c r="N155" s="176"/>
      <c r="O155" s="70">
        <v>12</v>
      </c>
      <c r="P155" s="176"/>
      <c r="Q155" s="68" t="s">
        <v>424</v>
      </c>
      <c r="R155" s="68">
        <v>308083619.81</v>
      </c>
      <c r="S155" s="71">
        <v>0</v>
      </c>
      <c r="T155" s="68">
        <v>69842781.810000002</v>
      </c>
      <c r="U155" s="68">
        <v>11337792.0484</v>
      </c>
      <c r="V155" s="68">
        <f t="shared" si="35"/>
        <v>5668896.0241999999</v>
      </c>
      <c r="W155" s="68">
        <f t="shared" si="36"/>
        <v>5668896.0241999999</v>
      </c>
      <c r="X155" s="68">
        <v>226142542.91</v>
      </c>
      <c r="Y155" s="69">
        <f t="shared" si="20"/>
        <v>609737840.55420005</v>
      </c>
    </row>
    <row r="156" spans="1:25" ht="24.95" customHeight="1">
      <c r="A156" s="174"/>
      <c r="B156" s="176"/>
      <c r="C156" s="64">
        <v>2</v>
      </c>
      <c r="D156" s="68" t="s">
        <v>425</v>
      </c>
      <c r="E156" s="68">
        <v>272209533.23000002</v>
      </c>
      <c r="F156" s="68">
        <v>0</v>
      </c>
      <c r="G156" s="68">
        <v>61710100.159999996</v>
      </c>
      <c r="H156" s="68">
        <v>10017589.001499999</v>
      </c>
      <c r="I156" s="68">
        <v>0</v>
      </c>
      <c r="J156" s="68">
        <f t="shared" si="38"/>
        <v>10017589.001499999</v>
      </c>
      <c r="K156" s="68">
        <v>246831836.12</v>
      </c>
      <c r="L156" s="69">
        <f t="shared" si="33"/>
        <v>590769058.5115</v>
      </c>
      <c r="M156" s="63"/>
      <c r="N156" s="177"/>
      <c r="O156" s="70">
        <v>13</v>
      </c>
      <c r="P156" s="177"/>
      <c r="Q156" s="68" t="s">
        <v>426</v>
      </c>
      <c r="R156" s="68">
        <v>247318813.97999999</v>
      </c>
      <c r="S156" s="71">
        <v>0</v>
      </c>
      <c r="T156" s="68">
        <v>56067355.909999996</v>
      </c>
      <c r="U156" s="68">
        <v>9101585.0967999995</v>
      </c>
      <c r="V156" s="68">
        <f t="shared" si="35"/>
        <v>4550792.5483999997</v>
      </c>
      <c r="W156" s="68">
        <f t="shared" si="36"/>
        <v>4550792.5483999997</v>
      </c>
      <c r="X156" s="68">
        <v>208887884.06999999</v>
      </c>
      <c r="Y156" s="69">
        <f t="shared" ref="Y156:Y219" si="39">R156+S156+T156+W156+X156</f>
        <v>516824846.50839996</v>
      </c>
    </row>
    <row r="157" spans="1:25" ht="24.95" customHeight="1">
      <c r="A157" s="174"/>
      <c r="B157" s="176"/>
      <c r="C157" s="64">
        <v>3</v>
      </c>
      <c r="D157" s="68" t="s">
        <v>427</v>
      </c>
      <c r="E157" s="68">
        <v>381898182.66000003</v>
      </c>
      <c r="F157" s="68">
        <v>0</v>
      </c>
      <c r="G157" s="68">
        <v>86576597.159999996</v>
      </c>
      <c r="H157" s="68">
        <v>14054243.3948</v>
      </c>
      <c r="I157" s="68">
        <v>0</v>
      </c>
      <c r="J157" s="68">
        <f t="shared" si="38"/>
        <v>14054243.3948</v>
      </c>
      <c r="K157" s="68">
        <v>296109778.81999999</v>
      </c>
      <c r="L157" s="69">
        <f t="shared" si="33"/>
        <v>778638802.03480005</v>
      </c>
      <c r="M157" s="63"/>
      <c r="N157" s="64"/>
      <c r="O157" s="170" t="s">
        <v>428</v>
      </c>
      <c r="P157" s="171"/>
      <c r="Q157" s="72"/>
      <c r="R157" s="72">
        <f t="shared" ref="R157:V157" si="40">SUM(R144:R156)</f>
        <v>3951697079.0099993</v>
      </c>
      <c r="S157" s="71">
        <v>0</v>
      </c>
      <c r="T157" s="72">
        <f t="shared" si="40"/>
        <v>895852616.34999979</v>
      </c>
      <c r="U157" s="72">
        <f t="shared" si="40"/>
        <v>145426490.86069998</v>
      </c>
      <c r="V157" s="72">
        <f t="shared" si="40"/>
        <v>72713245.430349991</v>
      </c>
      <c r="W157" s="72">
        <f t="shared" si="36"/>
        <v>72713245.430349991</v>
      </c>
      <c r="X157" s="72">
        <f>SUM(X144:X156)</f>
        <v>3057644134.8200002</v>
      </c>
      <c r="Y157" s="69">
        <f t="shared" si="39"/>
        <v>7977907075.6103497</v>
      </c>
    </row>
    <row r="158" spans="1:25" ht="24.95" customHeight="1">
      <c r="A158" s="174"/>
      <c r="B158" s="176"/>
      <c r="C158" s="64">
        <v>4</v>
      </c>
      <c r="D158" s="68" t="s">
        <v>429</v>
      </c>
      <c r="E158" s="68">
        <v>219984900.65000001</v>
      </c>
      <c r="F158" s="68">
        <v>0</v>
      </c>
      <c r="G158" s="68">
        <v>49870737.780000001</v>
      </c>
      <c r="H158" s="68">
        <v>8095669.1529999999</v>
      </c>
      <c r="I158" s="68">
        <v>0</v>
      </c>
      <c r="J158" s="68">
        <f t="shared" si="38"/>
        <v>8095669.1529999999</v>
      </c>
      <c r="K158" s="68">
        <v>224746336.09</v>
      </c>
      <c r="L158" s="69">
        <f t="shared" si="33"/>
        <v>502697643.67299998</v>
      </c>
      <c r="M158" s="63"/>
      <c r="N158" s="175">
        <v>26</v>
      </c>
      <c r="O158" s="70">
        <v>1</v>
      </c>
      <c r="P158" s="175" t="s">
        <v>108</v>
      </c>
      <c r="Q158" s="68" t="s">
        <v>430</v>
      </c>
      <c r="R158" s="68">
        <v>271945416.13</v>
      </c>
      <c r="S158" s="71">
        <v>0</v>
      </c>
      <c r="T158" s="68">
        <v>61650224.619999997</v>
      </c>
      <c r="U158" s="68">
        <v>10007869.2224</v>
      </c>
      <c r="V158" s="68">
        <f t="shared" ref="V158:V182" si="41">U158/2</f>
        <v>5003934.6112000002</v>
      </c>
      <c r="W158" s="68">
        <f t="shared" si="36"/>
        <v>5003934.6112000002</v>
      </c>
      <c r="X158" s="68">
        <v>229040101.77000001</v>
      </c>
      <c r="Y158" s="69">
        <f t="shared" si="39"/>
        <v>567639677.13119996</v>
      </c>
    </row>
    <row r="159" spans="1:25" ht="24.95" customHeight="1">
      <c r="A159" s="174"/>
      <c r="B159" s="176"/>
      <c r="C159" s="64">
        <v>5</v>
      </c>
      <c r="D159" s="68" t="s">
        <v>431</v>
      </c>
      <c r="E159" s="68">
        <v>304476974.82999998</v>
      </c>
      <c r="F159" s="68">
        <v>0</v>
      </c>
      <c r="G159" s="68">
        <v>69025152.75</v>
      </c>
      <c r="H159" s="68">
        <v>11205063.827500001</v>
      </c>
      <c r="I159" s="68">
        <v>0</v>
      </c>
      <c r="J159" s="68">
        <f t="shared" si="38"/>
        <v>11205063.827500001</v>
      </c>
      <c r="K159" s="68">
        <v>261022105.21000001</v>
      </c>
      <c r="L159" s="69">
        <f t="shared" si="33"/>
        <v>645729296.61749995</v>
      </c>
      <c r="M159" s="63"/>
      <c r="N159" s="176"/>
      <c r="O159" s="70">
        <v>2</v>
      </c>
      <c r="P159" s="176"/>
      <c r="Q159" s="68" t="s">
        <v>432</v>
      </c>
      <c r="R159" s="68">
        <v>233483681.93000001</v>
      </c>
      <c r="S159" s="71">
        <v>0</v>
      </c>
      <c r="T159" s="68">
        <v>52930921.359999999</v>
      </c>
      <c r="U159" s="68">
        <v>8592438.0985000003</v>
      </c>
      <c r="V159" s="68">
        <f t="shared" si="41"/>
        <v>4296219.0492500002</v>
      </c>
      <c r="W159" s="68">
        <f t="shared" si="36"/>
        <v>4296219.0492500002</v>
      </c>
      <c r="X159" s="68">
        <v>200834415.38</v>
      </c>
      <c r="Y159" s="69">
        <f t="shared" si="39"/>
        <v>491545237.71925002</v>
      </c>
    </row>
    <row r="160" spans="1:25" ht="24.95" customHeight="1">
      <c r="A160" s="174"/>
      <c r="B160" s="176"/>
      <c r="C160" s="64">
        <v>6</v>
      </c>
      <c r="D160" s="68" t="s">
        <v>433</v>
      </c>
      <c r="E160" s="68">
        <v>219343819.81</v>
      </c>
      <c r="F160" s="68">
        <v>0</v>
      </c>
      <c r="G160" s="68">
        <v>49725404.280000001</v>
      </c>
      <c r="H160" s="68">
        <v>8072076.7229000004</v>
      </c>
      <c r="I160" s="68">
        <v>0</v>
      </c>
      <c r="J160" s="68">
        <f t="shared" si="38"/>
        <v>8072076.7229000004</v>
      </c>
      <c r="K160" s="68">
        <v>219936790.94999999</v>
      </c>
      <c r="L160" s="69">
        <f t="shared" si="33"/>
        <v>497078091.76289999</v>
      </c>
      <c r="M160" s="63"/>
      <c r="N160" s="176"/>
      <c r="O160" s="70">
        <v>3</v>
      </c>
      <c r="P160" s="176"/>
      <c r="Q160" s="68" t="s">
        <v>434</v>
      </c>
      <c r="R160" s="68">
        <v>267387288.06999999</v>
      </c>
      <c r="S160" s="71">
        <v>0</v>
      </c>
      <c r="T160" s="68">
        <v>60616893.659999996</v>
      </c>
      <c r="U160" s="68">
        <v>9840125.4518999998</v>
      </c>
      <c r="V160" s="68">
        <f t="shared" si="41"/>
        <v>4920062.7259499999</v>
      </c>
      <c r="W160" s="68">
        <f t="shared" si="36"/>
        <v>4920062.7259499999</v>
      </c>
      <c r="X160" s="68">
        <v>249691294.03999999</v>
      </c>
      <c r="Y160" s="69">
        <f t="shared" si="39"/>
        <v>582615538.49594998</v>
      </c>
    </row>
    <row r="161" spans="1:25" ht="24.95" customHeight="1">
      <c r="A161" s="174"/>
      <c r="B161" s="176"/>
      <c r="C161" s="64">
        <v>7</v>
      </c>
      <c r="D161" s="68" t="s">
        <v>435</v>
      </c>
      <c r="E161" s="68">
        <v>367691405.27999997</v>
      </c>
      <c r="F161" s="68">
        <v>0</v>
      </c>
      <c r="G161" s="68">
        <v>83355910.349999994</v>
      </c>
      <c r="H161" s="68">
        <v>13531419.468900001</v>
      </c>
      <c r="I161" s="68">
        <v>0</v>
      </c>
      <c r="J161" s="68">
        <f t="shared" si="38"/>
        <v>13531419.468900001</v>
      </c>
      <c r="K161" s="68">
        <v>281758108.06999999</v>
      </c>
      <c r="L161" s="69">
        <f t="shared" si="33"/>
        <v>746336843.16890001</v>
      </c>
      <c r="M161" s="63"/>
      <c r="N161" s="176"/>
      <c r="O161" s="70">
        <v>4</v>
      </c>
      <c r="P161" s="176"/>
      <c r="Q161" s="68" t="s">
        <v>436</v>
      </c>
      <c r="R161" s="68">
        <v>435267226.60000002</v>
      </c>
      <c r="S161" s="71">
        <v>0</v>
      </c>
      <c r="T161" s="68">
        <v>98675398.430000007</v>
      </c>
      <c r="U161" s="68">
        <v>16018278.751</v>
      </c>
      <c r="V161" s="68">
        <f t="shared" si="41"/>
        <v>8009139.3755000001</v>
      </c>
      <c r="W161" s="68">
        <f t="shared" si="36"/>
        <v>8009139.3755000001</v>
      </c>
      <c r="X161" s="68">
        <v>243632754.15000001</v>
      </c>
      <c r="Y161" s="69">
        <f t="shared" si="39"/>
        <v>785584518.55550003</v>
      </c>
    </row>
    <row r="162" spans="1:25" ht="24.95" customHeight="1">
      <c r="A162" s="174"/>
      <c r="B162" s="176"/>
      <c r="C162" s="64">
        <v>8</v>
      </c>
      <c r="D162" s="68" t="s">
        <v>437</v>
      </c>
      <c r="E162" s="68">
        <v>243325499.03</v>
      </c>
      <c r="F162" s="68">
        <v>0</v>
      </c>
      <c r="G162" s="68">
        <v>55162068.490000002</v>
      </c>
      <c r="H162" s="68">
        <v>8954627.0254999995</v>
      </c>
      <c r="I162" s="68">
        <v>0</v>
      </c>
      <c r="J162" s="68">
        <f t="shared" si="38"/>
        <v>8954627.0254999995</v>
      </c>
      <c r="K162" s="68">
        <v>234808160.06999999</v>
      </c>
      <c r="L162" s="69">
        <f t="shared" si="33"/>
        <v>542250354.61549997</v>
      </c>
      <c r="M162" s="63"/>
      <c r="N162" s="176"/>
      <c r="O162" s="70">
        <v>5</v>
      </c>
      <c r="P162" s="176"/>
      <c r="Q162" s="68" t="s">
        <v>438</v>
      </c>
      <c r="R162" s="68">
        <v>261271634.80000001</v>
      </c>
      <c r="S162" s="71">
        <v>0</v>
      </c>
      <c r="T162" s="68">
        <v>59230470.590000004</v>
      </c>
      <c r="U162" s="68">
        <v>9615063.1614999995</v>
      </c>
      <c r="V162" s="68">
        <f t="shared" si="41"/>
        <v>4807531.5807499997</v>
      </c>
      <c r="W162" s="68">
        <f t="shared" si="36"/>
        <v>4807531.5807499997</v>
      </c>
      <c r="X162" s="68">
        <v>234439584.90000001</v>
      </c>
      <c r="Y162" s="69">
        <f t="shared" si="39"/>
        <v>559749221.87074995</v>
      </c>
    </row>
    <row r="163" spans="1:25" ht="24.95" customHeight="1">
      <c r="A163" s="174"/>
      <c r="B163" s="176"/>
      <c r="C163" s="64">
        <v>9</v>
      </c>
      <c r="D163" s="68" t="s">
        <v>439</v>
      </c>
      <c r="E163" s="68">
        <v>288985927.01999998</v>
      </c>
      <c r="F163" s="68">
        <v>0</v>
      </c>
      <c r="G163" s="68">
        <v>65513320.890000001</v>
      </c>
      <c r="H163" s="68">
        <v>10634977.4374</v>
      </c>
      <c r="I163" s="68">
        <v>0</v>
      </c>
      <c r="J163" s="68">
        <f t="shared" si="38"/>
        <v>10634977.4374</v>
      </c>
      <c r="K163" s="68">
        <v>252319118.75999999</v>
      </c>
      <c r="L163" s="69">
        <f t="shared" si="33"/>
        <v>617453344.10739994</v>
      </c>
      <c r="M163" s="63"/>
      <c r="N163" s="176"/>
      <c r="O163" s="70">
        <v>6</v>
      </c>
      <c r="P163" s="176"/>
      <c r="Q163" s="68" t="s">
        <v>440</v>
      </c>
      <c r="R163" s="68">
        <v>275174405.75999999</v>
      </c>
      <c r="S163" s="71">
        <v>0</v>
      </c>
      <c r="T163" s="68">
        <v>62382238.93</v>
      </c>
      <c r="U163" s="68">
        <v>10126699.340600001</v>
      </c>
      <c r="V163" s="68">
        <f t="shared" si="41"/>
        <v>5063349.6703000003</v>
      </c>
      <c r="W163" s="68">
        <f t="shared" si="36"/>
        <v>5063349.6703000003</v>
      </c>
      <c r="X163" s="68">
        <v>239282381.77000001</v>
      </c>
      <c r="Y163" s="69">
        <f t="shared" si="39"/>
        <v>581902376.13030005</v>
      </c>
    </row>
    <row r="164" spans="1:25" ht="24.95" customHeight="1">
      <c r="A164" s="174"/>
      <c r="B164" s="176"/>
      <c r="C164" s="64">
        <v>10</v>
      </c>
      <c r="D164" s="68" t="s">
        <v>441</v>
      </c>
      <c r="E164" s="68">
        <v>246320638.5</v>
      </c>
      <c r="F164" s="68">
        <v>0</v>
      </c>
      <c r="G164" s="68">
        <v>55841068.799999997</v>
      </c>
      <c r="H164" s="68">
        <v>9064851.2188000008</v>
      </c>
      <c r="I164" s="68">
        <v>0</v>
      </c>
      <c r="J164" s="68">
        <f t="shared" si="38"/>
        <v>9064851.2188000008</v>
      </c>
      <c r="K164" s="68">
        <v>230974497.16</v>
      </c>
      <c r="L164" s="69">
        <f t="shared" si="33"/>
        <v>542201055.67879999</v>
      </c>
      <c r="M164" s="63"/>
      <c r="N164" s="176"/>
      <c r="O164" s="70">
        <v>7</v>
      </c>
      <c r="P164" s="176"/>
      <c r="Q164" s="68" t="s">
        <v>442</v>
      </c>
      <c r="R164" s="68">
        <v>260641806.97</v>
      </c>
      <c r="S164" s="71">
        <v>0</v>
      </c>
      <c r="T164" s="68">
        <v>59087688.159999996</v>
      </c>
      <c r="U164" s="68">
        <v>9591884.8539000005</v>
      </c>
      <c r="V164" s="68">
        <f t="shared" si="41"/>
        <v>4795942.4269500002</v>
      </c>
      <c r="W164" s="68">
        <f t="shared" si="36"/>
        <v>4795942.4269500002</v>
      </c>
      <c r="X164" s="68">
        <v>227007262.87</v>
      </c>
      <c r="Y164" s="69">
        <f t="shared" si="39"/>
        <v>551532700.42694998</v>
      </c>
    </row>
    <row r="165" spans="1:25" ht="24.95" customHeight="1">
      <c r="A165" s="174"/>
      <c r="B165" s="176"/>
      <c r="C165" s="64">
        <v>11</v>
      </c>
      <c r="D165" s="68" t="s">
        <v>443</v>
      </c>
      <c r="E165" s="68">
        <v>354898177.26999998</v>
      </c>
      <c r="F165" s="68">
        <v>0</v>
      </c>
      <c r="G165" s="68">
        <v>80455676.200000003</v>
      </c>
      <c r="H165" s="68">
        <v>13060615.6043</v>
      </c>
      <c r="I165" s="68">
        <v>0</v>
      </c>
      <c r="J165" s="68">
        <f t="shared" si="38"/>
        <v>13060615.6043</v>
      </c>
      <c r="K165" s="68">
        <v>298473266.93000001</v>
      </c>
      <c r="L165" s="69">
        <f t="shared" si="33"/>
        <v>746887736.0043</v>
      </c>
      <c r="M165" s="63"/>
      <c r="N165" s="176"/>
      <c r="O165" s="70">
        <v>8</v>
      </c>
      <c r="P165" s="176"/>
      <c r="Q165" s="68" t="s">
        <v>444</v>
      </c>
      <c r="R165" s="68">
        <v>232899968.16999999</v>
      </c>
      <c r="S165" s="71">
        <v>0</v>
      </c>
      <c r="T165" s="68">
        <v>52798593.020000003</v>
      </c>
      <c r="U165" s="68">
        <v>8570956.8356999997</v>
      </c>
      <c r="V165" s="68">
        <f t="shared" si="41"/>
        <v>4285478.4178499999</v>
      </c>
      <c r="W165" s="68">
        <f t="shared" si="36"/>
        <v>4285478.4178499999</v>
      </c>
      <c r="X165" s="68">
        <v>213373306.43000001</v>
      </c>
      <c r="Y165" s="69">
        <f t="shared" si="39"/>
        <v>503357346.03785002</v>
      </c>
    </row>
    <row r="166" spans="1:25" ht="24.95" customHeight="1">
      <c r="A166" s="174"/>
      <c r="B166" s="176"/>
      <c r="C166" s="64">
        <v>12</v>
      </c>
      <c r="D166" s="68" t="s">
        <v>445</v>
      </c>
      <c r="E166" s="68">
        <v>251344556.78</v>
      </c>
      <c r="F166" s="68">
        <v>0</v>
      </c>
      <c r="G166" s="68">
        <v>56979994.740000002</v>
      </c>
      <c r="H166" s="68">
        <v>9249736.5456000008</v>
      </c>
      <c r="I166" s="68">
        <v>0</v>
      </c>
      <c r="J166" s="68">
        <f t="shared" si="38"/>
        <v>9249736.5456000008</v>
      </c>
      <c r="K166" s="68">
        <v>240190083.30000001</v>
      </c>
      <c r="L166" s="69">
        <f t="shared" si="33"/>
        <v>557764371.36559999</v>
      </c>
      <c r="M166" s="63"/>
      <c r="N166" s="176"/>
      <c r="O166" s="70">
        <v>9</v>
      </c>
      <c r="P166" s="176"/>
      <c r="Q166" s="68" t="s">
        <v>446</v>
      </c>
      <c r="R166" s="68">
        <v>251312472.96000001</v>
      </c>
      <c r="S166" s="71">
        <v>0</v>
      </c>
      <c r="T166" s="68">
        <v>56972721.32</v>
      </c>
      <c r="U166" s="68">
        <v>9248555.8285000008</v>
      </c>
      <c r="V166" s="68">
        <f t="shared" si="41"/>
        <v>4624277.9142500004</v>
      </c>
      <c r="W166" s="68">
        <f t="shared" si="36"/>
        <v>4624277.9142500004</v>
      </c>
      <c r="X166" s="68">
        <v>225030839.83000001</v>
      </c>
      <c r="Y166" s="69">
        <f t="shared" si="39"/>
        <v>537940312.02425003</v>
      </c>
    </row>
    <row r="167" spans="1:25" ht="24.95" customHeight="1">
      <c r="A167" s="174"/>
      <c r="B167" s="176"/>
      <c r="C167" s="64">
        <v>13</v>
      </c>
      <c r="D167" s="68" t="s">
        <v>447</v>
      </c>
      <c r="E167" s="68">
        <v>289993075.66000003</v>
      </c>
      <c r="F167" s="68">
        <v>0</v>
      </c>
      <c r="G167" s="68">
        <v>65741642.229999997</v>
      </c>
      <c r="H167" s="68">
        <v>10672041.536699999</v>
      </c>
      <c r="I167" s="68">
        <v>0</v>
      </c>
      <c r="J167" s="68">
        <f t="shared" si="38"/>
        <v>10672041.536699999</v>
      </c>
      <c r="K167" s="68">
        <v>274147945.32999998</v>
      </c>
      <c r="L167" s="69">
        <f t="shared" si="33"/>
        <v>640554704.75670004</v>
      </c>
      <c r="M167" s="63"/>
      <c r="N167" s="176"/>
      <c r="O167" s="70">
        <v>10</v>
      </c>
      <c r="P167" s="176"/>
      <c r="Q167" s="68" t="s">
        <v>448</v>
      </c>
      <c r="R167" s="68">
        <v>276765628.23000002</v>
      </c>
      <c r="S167" s="71">
        <v>0</v>
      </c>
      <c r="T167" s="68">
        <v>62742970.219999999</v>
      </c>
      <c r="U167" s="68">
        <v>10185257.953500001</v>
      </c>
      <c r="V167" s="68">
        <f t="shared" si="41"/>
        <v>5092628.9767500004</v>
      </c>
      <c r="W167" s="68">
        <f t="shared" si="36"/>
        <v>5092628.9767500004</v>
      </c>
      <c r="X167" s="68">
        <v>236152609.40000001</v>
      </c>
      <c r="Y167" s="69">
        <f t="shared" si="39"/>
        <v>580753836.82675004</v>
      </c>
    </row>
    <row r="168" spans="1:25" ht="24.95" customHeight="1">
      <c r="A168" s="174"/>
      <c r="B168" s="176"/>
      <c r="C168" s="64">
        <v>14</v>
      </c>
      <c r="D168" s="68" t="s">
        <v>449</v>
      </c>
      <c r="E168" s="68">
        <v>256338769.36000001</v>
      </c>
      <c r="F168" s="68">
        <v>0</v>
      </c>
      <c r="G168" s="68">
        <v>58112186.390000001</v>
      </c>
      <c r="H168" s="68">
        <v>9433528.6725999992</v>
      </c>
      <c r="I168" s="68">
        <v>0</v>
      </c>
      <c r="J168" s="68">
        <f t="shared" si="38"/>
        <v>9433528.6725999992</v>
      </c>
      <c r="K168" s="68">
        <v>228869924.19</v>
      </c>
      <c r="L168" s="69">
        <f t="shared" si="33"/>
        <v>552754408.61259997</v>
      </c>
      <c r="M168" s="63"/>
      <c r="N168" s="176"/>
      <c r="O168" s="70">
        <v>11</v>
      </c>
      <c r="P168" s="176"/>
      <c r="Q168" s="68" t="s">
        <v>450</v>
      </c>
      <c r="R168" s="68">
        <v>270343200.48000002</v>
      </c>
      <c r="S168" s="71">
        <v>0</v>
      </c>
      <c r="T168" s="68">
        <v>61287001.159999996</v>
      </c>
      <c r="U168" s="68">
        <v>9948906.0491000004</v>
      </c>
      <c r="V168" s="68">
        <f t="shared" si="41"/>
        <v>4974453.0245500002</v>
      </c>
      <c r="W168" s="68">
        <f t="shared" si="36"/>
        <v>4974453.0245500002</v>
      </c>
      <c r="X168" s="68">
        <v>220529153.40000001</v>
      </c>
      <c r="Y168" s="69">
        <f t="shared" si="39"/>
        <v>557133808.06455004</v>
      </c>
    </row>
    <row r="169" spans="1:25" ht="24.95" customHeight="1">
      <c r="A169" s="174"/>
      <c r="B169" s="176"/>
      <c r="C169" s="64">
        <v>15</v>
      </c>
      <c r="D169" s="68" t="s">
        <v>451</v>
      </c>
      <c r="E169" s="68">
        <v>235903327.37</v>
      </c>
      <c r="F169" s="68">
        <v>0</v>
      </c>
      <c r="G169" s="68">
        <v>53479456.75</v>
      </c>
      <c r="H169" s="68">
        <v>8681483.5237000007</v>
      </c>
      <c r="I169" s="68">
        <v>0</v>
      </c>
      <c r="J169" s="68">
        <f t="shared" si="38"/>
        <v>8681483.5237000007</v>
      </c>
      <c r="K169" s="68">
        <v>217953642.84</v>
      </c>
      <c r="L169" s="69">
        <f t="shared" si="33"/>
        <v>516017910.48370004</v>
      </c>
      <c r="M169" s="63"/>
      <c r="N169" s="176"/>
      <c r="O169" s="70">
        <v>12</v>
      </c>
      <c r="P169" s="176"/>
      <c r="Q169" s="68" t="s">
        <v>452</v>
      </c>
      <c r="R169" s="68">
        <v>314576978.45999998</v>
      </c>
      <c r="S169" s="71">
        <v>0</v>
      </c>
      <c r="T169" s="68">
        <v>71314830.959999993</v>
      </c>
      <c r="U169" s="68">
        <v>11576754.282500001</v>
      </c>
      <c r="V169" s="68">
        <f t="shared" si="41"/>
        <v>5788377.1412500003</v>
      </c>
      <c r="W169" s="68">
        <f t="shared" si="36"/>
        <v>5788377.1412500003</v>
      </c>
      <c r="X169" s="68">
        <v>257812188.40000001</v>
      </c>
      <c r="Y169" s="69">
        <f t="shared" si="39"/>
        <v>649492374.96124995</v>
      </c>
    </row>
    <row r="170" spans="1:25" ht="24.95" customHeight="1">
      <c r="A170" s="174"/>
      <c r="B170" s="176"/>
      <c r="C170" s="64">
        <v>16</v>
      </c>
      <c r="D170" s="68" t="s">
        <v>453</v>
      </c>
      <c r="E170" s="68">
        <v>345664403.5</v>
      </c>
      <c r="F170" s="68">
        <v>0</v>
      </c>
      <c r="G170" s="68">
        <v>78362372.939999998</v>
      </c>
      <c r="H170" s="68">
        <v>12720803.293199999</v>
      </c>
      <c r="I170" s="68">
        <v>0</v>
      </c>
      <c r="J170" s="68">
        <f t="shared" si="38"/>
        <v>12720803.293199999</v>
      </c>
      <c r="K170" s="68">
        <v>253733624.93000001</v>
      </c>
      <c r="L170" s="69">
        <f t="shared" si="33"/>
        <v>690481204.66320002</v>
      </c>
      <c r="M170" s="63"/>
      <c r="N170" s="176"/>
      <c r="O170" s="70">
        <v>13</v>
      </c>
      <c r="P170" s="176"/>
      <c r="Q170" s="68" t="s">
        <v>454</v>
      </c>
      <c r="R170" s="68">
        <v>322243554.00999999</v>
      </c>
      <c r="S170" s="71">
        <v>0</v>
      </c>
      <c r="T170" s="68">
        <v>73052849.239999995</v>
      </c>
      <c r="U170" s="68">
        <v>11858892.0975</v>
      </c>
      <c r="V170" s="68">
        <f t="shared" si="41"/>
        <v>5929446.0487500001</v>
      </c>
      <c r="W170" s="68">
        <f t="shared" si="36"/>
        <v>5929446.0487500001</v>
      </c>
      <c r="X170" s="68">
        <v>247252335.69999999</v>
      </c>
      <c r="Y170" s="69">
        <f t="shared" si="39"/>
        <v>648478184.99874997</v>
      </c>
    </row>
    <row r="171" spans="1:25" ht="24.95" customHeight="1">
      <c r="A171" s="174"/>
      <c r="B171" s="176"/>
      <c r="C171" s="64">
        <v>17</v>
      </c>
      <c r="D171" s="68" t="s">
        <v>455</v>
      </c>
      <c r="E171" s="68">
        <v>356242306.07999998</v>
      </c>
      <c r="F171" s="68">
        <v>0</v>
      </c>
      <c r="G171" s="68">
        <v>80760391.189999998</v>
      </c>
      <c r="H171" s="68">
        <v>13110080.918</v>
      </c>
      <c r="I171" s="68">
        <v>0</v>
      </c>
      <c r="J171" s="68">
        <f t="shared" si="38"/>
        <v>13110080.918</v>
      </c>
      <c r="K171" s="68">
        <v>271405611.66000003</v>
      </c>
      <c r="L171" s="69">
        <f t="shared" si="33"/>
        <v>721518389.84800005</v>
      </c>
      <c r="M171" s="63"/>
      <c r="N171" s="176"/>
      <c r="O171" s="70">
        <v>14</v>
      </c>
      <c r="P171" s="176"/>
      <c r="Q171" s="68" t="s">
        <v>456</v>
      </c>
      <c r="R171" s="68">
        <v>356809137.43000001</v>
      </c>
      <c r="S171" s="71">
        <v>0</v>
      </c>
      <c r="T171" s="68">
        <v>80888892.269999996</v>
      </c>
      <c r="U171" s="68">
        <v>13130940.891100001</v>
      </c>
      <c r="V171" s="68">
        <f t="shared" si="41"/>
        <v>6565470.4455500003</v>
      </c>
      <c r="W171" s="68">
        <f t="shared" si="36"/>
        <v>6565470.4455500003</v>
      </c>
      <c r="X171" s="68">
        <v>253894088.50999999</v>
      </c>
      <c r="Y171" s="69">
        <f t="shared" si="39"/>
        <v>698157588.65555</v>
      </c>
    </row>
    <row r="172" spans="1:25" ht="24.95" customHeight="1">
      <c r="A172" s="174"/>
      <c r="B172" s="176"/>
      <c r="C172" s="64">
        <v>18</v>
      </c>
      <c r="D172" s="68" t="s">
        <v>457</v>
      </c>
      <c r="E172" s="68">
        <v>198355890.43000001</v>
      </c>
      <c r="F172" s="68">
        <v>0</v>
      </c>
      <c r="G172" s="68">
        <v>44967425.350000001</v>
      </c>
      <c r="H172" s="68">
        <v>7299699.4733999996</v>
      </c>
      <c r="I172" s="68">
        <v>0</v>
      </c>
      <c r="J172" s="68">
        <f t="shared" si="38"/>
        <v>7299699.4733999996</v>
      </c>
      <c r="K172" s="68">
        <v>216348219.43000001</v>
      </c>
      <c r="L172" s="69">
        <f t="shared" si="33"/>
        <v>466971234.68340003</v>
      </c>
      <c r="M172" s="63"/>
      <c r="N172" s="176"/>
      <c r="O172" s="70">
        <v>15</v>
      </c>
      <c r="P172" s="176"/>
      <c r="Q172" s="68" t="s">
        <v>458</v>
      </c>
      <c r="R172" s="68">
        <v>421012597.49000001</v>
      </c>
      <c r="S172" s="71">
        <v>0</v>
      </c>
      <c r="T172" s="68">
        <v>95443863.590000004</v>
      </c>
      <c r="U172" s="68">
        <v>15493693.8324</v>
      </c>
      <c r="V172" s="68">
        <f t="shared" si="41"/>
        <v>7746846.9161999999</v>
      </c>
      <c r="W172" s="68">
        <f t="shared" si="36"/>
        <v>7746846.9161999999</v>
      </c>
      <c r="X172" s="68">
        <v>259719492.68000001</v>
      </c>
      <c r="Y172" s="69">
        <f t="shared" si="39"/>
        <v>783922800.67620003</v>
      </c>
    </row>
    <row r="173" spans="1:25" ht="24.95" customHeight="1">
      <c r="A173" s="174"/>
      <c r="B173" s="176"/>
      <c r="C173" s="64">
        <v>19</v>
      </c>
      <c r="D173" s="68" t="s">
        <v>459</v>
      </c>
      <c r="E173" s="68">
        <v>267223966.5</v>
      </c>
      <c r="F173" s="68">
        <v>0</v>
      </c>
      <c r="G173" s="68">
        <v>60579868.539999999</v>
      </c>
      <c r="H173" s="68">
        <v>9834115.0512000006</v>
      </c>
      <c r="I173" s="68">
        <v>0</v>
      </c>
      <c r="J173" s="68">
        <f t="shared" si="38"/>
        <v>9834115.0512000006</v>
      </c>
      <c r="K173" s="68">
        <v>233914846.75</v>
      </c>
      <c r="L173" s="69">
        <f t="shared" si="33"/>
        <v>571552796.84119999</v>
      </c>
      <c r="M173" s="63"/>
      <c r="N173" s="176"/>
      <c r="O173" s="70">
        <v>16</v>
      </c>
      <c r="P173" s="176"/>
      <c r="Q173" s="68" t="s">
        <v>460</v>
      </c>
      <c r="R173" s="68">
        <v>266640836.97</v>
      </c>
      <c r="S173" s="71">
        <v>0</v>
      </c>
      <c r="T173" s="68">
        <v>60447672.649999999</v>
      </c>
      <c r="U173" s="68">
        <v>9812655.2885999996</v>
      </c>
      <c r="V173" s="68">
        <f t="shared" si="41"/>
        <v>4906327.6442999998</v>
      </c>
      <c r="W173" s="68">
        <f t="shared" si="36"/>
        <v>4906327.6442999998</v>
      </c>
      <c r="X173" s="68">
        <v>254640944.78</v>
      </c>
      <c r="Y173" s="69">
        <f t="shared" si="39"/>
        <v>586635782.04429996</v>
      </c>
    </row>
    <row r="174" spans="1:25" ht="24.95" customHeight="1">
      <c r="A174" s="174"/>
      <c r="B174" s="176"/>
      <c r="C174" s="64">
        <v>20</v>
      </c>
      <c r="D174" s="68" t="s">
        <v>461</v>
      </c>
      <c r="E174" s="68">
        <v>316230606.37</v>
      </c>
      <c r="F174" s="68">
        <v>0</v>
      </c>
      <c r="G174" s="68">
        <v>71689709.620000005</v>
      </c>
      <c r="H174" s="68">
        <v>11637609.479499999</v>
      </c>
      <c r="I174" s="68">
        <v>0</v>
      </c>
      <c r="J174" s="68">
        <f t="shared" si="38"/>
        <v>11637609.479499999</v>
      </c>
      <c r="K174" s="68">
        <v>247631372.09</v>
      </c>
      <c r="L174" s="69">
        <f t="shared" si="33"/>
        <v>647189297.55949998</v>
      </c>
      <c r="M174" s="63"/>
      <c r="N174" s="176"/>
      <c r="O174" s="70">
        <v>17</v>
      </c>
      <c r="P174" s="176"/>
      <c r="Q174" s="68" t="s">
        <v>462</v>
      </c>
      <c r="R174" s="68">
        <v>361911844.51999998</v>
      </c>
      <c r="S174" s="71">
        <v>0</v>
      </c>
      <c r="T174" s="68">
        <v>82045679.700000003</v>
      </c>
      <c r="U174" s="68">
        <v>13318725.726399999</v>
      </c>
      <c r="V174" s="68">
        <f t="shared" si="41"/>
        <v>6659362.8631999996</v>
      </c>
      <c r="W174" s="68">
        <f t="shared" si="36"/>
        <v>6659362.8631999996</v>
      </c>
      <c r="X174" s="68">
        <v>270896183.64999998</v>
      </c>
      <c r="Y174" s="69">
        <f t="shared" si="39"/>
        <v>721513070.73319995</v>
      </c>
    </row>
    <row r="175" spans="1:25" ht="24.95" customHeight="1">
      <c r="A175" s="174"/>
      <c r="B175" s="176"/>
      <c r="C175" s="64">
        <v>21</v>
      </c>
      <c r="D175" s="68" t="s">
        <v>463</v>
      </c>
      <c r="E175" s="68">
        <v>460507328.25</v>
      </c>
      <c r="F175" s="68">
        <v>0</v>
      </c>
      <c r="G175" s="68">
        <v>104397347.93000001</v>
      </c>
      <c r="H175" s="68">
        <v>16947140.285300002</v>
      </c>
      <c r="I175" s="68">
        <v>0</v>
      </c>
      <c r="J175" s="68">
        <f t="shared" si="38"/>
        <v>16947140.285300002</v>
      </c>
      <c r="K175" s="68">
        <v>390076178.26999998</v>
      </c>
      <c r="L175" s="69">
        <f t="shared" si="33"/>
        <v>971927994.73530006</v>
      </c>
      <c r="M175" s="63"/>
      <c r="N175" s="176"/>
      <c r="O175" s="70">
        <v>18</v>
      </c>
      <c r="P175" s="176"/>
      <c r="Q175" s="68" t="s">
        <v>464</v>
      </c>
      <c r="R175" s="68">
        <v>244463675.02000001</v>
      </c>
      <c r="S175" s="71">
        <v>0</v>
      </c>
      <c r="T175" s="68">
        <v>55420093.82</v>
      </c>
      <c r="U175" s="68">
        <v>8996513.0651999991</v>
      </c>
      <c r="V175" s="68">
        <f t="shared" si="41"/>
        <v>4498256.5325999996</v>
      </c>
      <c r="W175" s="68">
        <f t="shared" si="36"/>
        <v>4498256.5325999996</v>
      </c>
      <c r="X175" s="68">
        <v>218109623.03999999</v>
      </c>
      <c r="Y175" s="69">
        <f t="shared" si="39"/>
        <v>522491648.41260004</v>
      </c>
    </row>
    <row r="176" spans="1:25" ht="24.95" customHeight="1">
      <c r="A176" s="174"/>
      <c r="B176" s="176"/>
      <c r="C176" s="64">
        <v>22</v>
      </c>
      <c r="D176" s="68" t="s">
        <v>465</v>
      </c>
      <c r="E176" s="68">
        <v>287567990.07999998</v>
      </c>
      <c r="F176" s="68">
        <v>0</v>
      </c>
      <c r="G176" s="68">
        <v>65191873.549999997</v>
      </c>
      <c r="H176" s="68">
        <v>10582795.909</v>
      </c>
      <c r="I176" s="68">
        <v>0</v>
      </c>
      <c r="J176" s="68">
        <f t="shared" si="38"/>
        <v>10582795.909</v>
      </c>
      <c r="K176" s="68">
        <v>243573540.21000001</v>
      </c>
      <c r="L176" s="69">
        <f t="shared" si="33"/>
        <v>606916199.74899995</v>
      </c>
      <c r="M176" s="63"/>
      <c r="N176" s="176"/>
      <c r="O176" s="70">
        <v>19</v>
      </c>
      <c r="P176" s="176"/>
      <c r="Q176" s="68" t="s">
        <v>466</v>
      </c>
      <c r="R176" s="68">
        <v>281349533.57999998</v>
      </c>
      <c r="S176" s="71">
        <v>0</v>
      </c>
      <c r="T176" s="68">
        <v>63782144.920000002</v>
      </c>
      <c r="U176" s="68">
        <v>10353950.355</v>
      </c>
      <c r="V176" s="68">
        <f t="shared" si="41"/>
        <v>5176975.1775000002</v>
      </c>
      <c r="W176" s="68">
        <f t="shared" ref="W176:W207" si="42">U176-V176</f>
        <v>5176975.1775000002</v>
      </c>
      <c r="X176" s="68">
        <v>238447352.38</v>
      </c>
      <c r="Y176" s="69">
        <f t="shared" si="39"/>
        <v>588756006.0575</v>
      </c>
    </row>
    <row r="177" spans="1:26" ht="24.95" customHeight="1">
      <c r="A177" s="174"/>
      <c r="B177" s="176"/>
      <c r="C177" s="64">
        <v>23</v>
      </c>
      <c r="D177" s="68" t="s">
        <v>467</v>
      </c>
      <c r="E177" s="68">
        <v>267788856.06999999</v>
      </c>
      <c r="F177" s="68">
        <v>0</v>
      </c>
      <c r="G177" s="68">
        <v>60707929.409999996</v>
      </c>
      <c r="H177" s="68">
        <v>9854903.5645000003</v>
      </c>
      <c r="I177" s="68">
        <v>0</v>
      </c>
      <c r="J177" s="68">
        <f t="shared" si="38"/>
        <v>9854903.5645000003</v>
      </c>
      <c r="K177" s="68">
        <v>238822652.62</v>
      </c>
      <c r="L177" s="69">
        <f t="shared" si="33"/>
        <v>577174341.6645</v>
      </c>
      <c r="M177" s="63"/>
      <c r="N177" s="176"/>
      <c r="O177" s="70">
        <v>20</v>
      </c>
      <c r="P177" s="176"/>
      <c r="Q177" s="68" t="s">
        <v>468</v>
      </c>
      <c r="R177" s="68">
        <v>324505177.68000001</v>
      </c>
      <c r="S177" s="71">
        <v>0</v>
      </c>
      <c r="T177" s="68">
        <v>73565560.980000004</v>
      </c>
      <c r="U177" s="68">
        <v>11942122.16</v>
      </c>
      <c r="V177" s="68">
        <f t="shared" si="41"/>
        <v>5971061.0800000001</v>
      </c>
      <c r="W177" s="68">
        <f t="shared" si="42"/>
        <v>5971061.0800000001</v>
      </c>
      <c r="X177" s="68">
        <v>247355453.41999999</v>
      </c>
      <c r="Y177" s="69">
        <f t="shared" si="39"/>
        <v>651397253.15999997</v>
      </c>
    </row>
    <row r="178" spans="1:26" ht="24.95" customHeight="1">
      <c r="A178" s="174"/>
      <c r="B178" s="176"/>
      <c r="C178" s="64">
        <v>24</v>
      </c>
      <c r="D178" s="68" t="s">
        <v>469</v>
      </c>
      <c r="E178" s="68">
        <v>261387313.53999999</v>
      </c>
      <c r="F178" s="68">
        <v>0</v>
      </c>
      <c r="G178" s="68">
        <v>59256695.039999999</v>
      </c>
      <c r="H178" s="68">
        <v>9619320.2576000001</v>
      </c>
      <c r="I178" s="68">
        <v>0</v>
      </c>
      <c r="J178" s="68">
        <f t="shared" si="38"/>
        <v>9619320.2576000001</v>
      </c>
      <c r="K178" s="68">
        <v>236280950.16999999</v>
      </c>
      <c r="L178" s="69">
        <f t="shared" si="33"/>
        <v>566544279.00759995</v>
      </c>
      <c r="M178" s="63"/>
      <c r="N178" s="176"/>
      <c r="O178" s="70">
        <v>21</v>
      </c>
      <c r="P178" s="176"/>
      <c r="Q178" s="68" t="s">
        <v>470</v>
      </c>
      <c r="R178" s="68">
        <v>305271918.76999998</v>
      </c>
      <c r="S178" s="71">
        <v>0</v>
      </c>
      <c r="T178" s="68">
        <v>69205367.129999995</v>
      </c>
      <c r="U178" s="68">
        <v>11234318.577099999</v>
      </c>
      <c r="V178" s="68">
        <f t="shared" si="41"/>
        <v>5617159.2885499997</v>
      </c>
      <c r="W178" s="68">
        <f t="shared" si="42"/>
        <v>5617159.2885499997</v>
      </c>
      <c r="X178" s="68">
        <v>245160092.03</v>
      </c>
      <c r="Y178" s="69">
        <f t="shared" si="39"/>
        <v>625254537.21854997</v>
      </c>
    </row>
    <row r="179" spans="1:26" ht="24.95" customHeight="1">
      <c r="A179" s="174"/>
      <c r="B179" s="176"/>
      <c r="C179" s="64">
        <v>25</v>
      </c>
      <c r="D179" s="68" t="s">
        <v>471</v>
      </c>
      <c r="E179" s="68">
        <v>298940514.66000003</v>
      </c>
      <c r="F179" s="68">
        <v>0</v>
      </c>
      <c r="G179" s="68">
        <v>67770033.189999998</v>
      </c>
      <c r="H179" s="68">
        <v>11001316.4353</v>
      </c>
      <c r="I179" s="68">
        <v>0</v>
      </c>
      <c r="J179" s="68">
        <f t="shared" si="38"/>
        <v>11001316.4353</v>
      </c>
      <c r="K179" s="68">
        <v>283812243.01999998</v>
      </c>
      <c r="L179" s="69">
        <f t="shared" si="33"/>
        <v>661524107.3053</v>
      </c>
      <c r="M179" s="63"/>
      <c r="N179" s="176"/>
      <c r="O179" s="70">
        <v>22</v>
      </c>
      <c r="P179" s="176"/>
      <c r="Q179" s="68" t="s">
        <v>472</v>
      </c>
      <c r="R179" s="68">
        <v>360878181.20999998</v>
      </c>
      <c r="S179" s="71">
        <v>0</v>
      </c>
      <c r="T179" s="68">
        <v>81811347.469999999</v>
      </c>
      <c r="U179" s="68">
        <v>13280685.860400001</v>
      </c>
      <c r="V179" s="68">
        <f t="shared" si="41"/>
        <v>6640342.9302000003</v>
      </c>
      <c r="W179" s="68">
        <f t="shared" si="42"/>
        <v>6640342.9302000003</v>
      </c>
      <c r="X179" s="68">
        <v>267334512.41</v>
      </c>
      <c r="Y179" s="69">
        <f t="shared" si="39"/>
        <v>716664384.02019989</v>
      </c>
    </row>
    <row r="180" spans="1:26" ht="24.95" customHeight="1">
      <c r="A180" s="174"/>
      <c r="B180" s="176"/>
      <c r="C180" s="64">
        <v>26</v>
      </c>
      <c r="D180" s="68" t="s">
        <v>473</v>
      </c>
      <c r="E180" s="68">
        <v>259853753.53999999</v>
      </c>
      <c r="F180" s="68">
        <v>0</v>
      </c>
      <c r="G180" s="68">
        <v>58909035.869999997</v>
      </c>
      <c r="H180" s="68">
        <v>9562883.6821999997</v>
      </c>
      <c r="I180" s="68">
        <v>0</v>
      </c>
      <c r="J180" s="68">
        <f t="shared" si="38"/>
        <v>9562883.6821999997</v>
      </c>
      <c r="K180" s="68">
        <v>232525372.78</v>
      </c>
      <c r="L180" s="69">
        <f t="shared" si="33"/>
        <v>560851045.87220001</v>
      </c>
      <c r="M180" s="63"/>
      <c r="N180" s="176"/>
      <c r="O180" s="70">
        <v>23</v>
      </c>
      <c r="P180" s="176"/>
      <c r="Q180" s="68" t="s">
        <v>474</v>
      </c>
      <c r="R180" s="68">
        <v>263919275.80000001</v>
      </c>
      <c r="S180" s="71">
        <v>0</v>
      </c>
      <c r="T180" s="68">
        <v>59830692.740000002</v>
      </c>
      <c r="U180" s="68">
        <v>9712499.0562999994</v>
      </c>
      <c r="V180" s="68">
        <f t="shared" si="41"/>
        <v>4856249.5281499997</v>
      </c>
      <c r="W180" s="68">
        <f t="shared" si="42"/>
        <v>4856249.5281499997</v>
      </c>
      <c r="X180" s="68">
        <v>260300837.53</v>
      </c>
      <c r="Y180" s="69">
        <f t="shared" si="39"/>
        <v>588907055.59815001</v>
      </c>
    </row>
    <row r="181" spans="1:26" ht="24.95" customHeight="1">
      <c r="A181" s="174"/>
      <c r="B181" s="177"/>
      <c r="C181" s="64">
        <v>27</v>
      </c>
      <c r="D181" s="68" t="s">
        <v>475</v>
      </c>
      <c r="E181" s="68">
        <v>252023271</v>
      </c>
      <c r="F181" s="68">
        <v>0</v>
      </c>
      <c r="G181" s="68">
        <v>57133859.759999998</v>
      </c>
      <c r="H181" s="68">
        <v>9274713.9225999992</v>
      </c>
      <c r="I181" s="68">
        <v>0</v>
      </c>
      <c r="J181" s="68">
        <f t="shared" si="38"/>
        <v>9274713.9225999992</v>
      </c>
      <c r="K181" s="68">
        <v>233466135.22</v>
      </c>
      <c r="L181" s="69">
        <f t="shared" si="33"/>
        <v>551897979.90259993</v>
      </c>
      <c r="M181" s="63"/>
      <c r="N181" s="176"/>
      <c r="O181" s="70">
        <v>24</v>
      </c>
      <c r="P181" s="176"/>
      <c r="Q181" s="68" t="s">
        <v>476</v>
      </c>
      <c r="R181" s="68">
        <v>214788399.28999999</v>
      </c>
      <c r="S181" s="71">
        <v>0</v>
      </c>
      <c r="T181" s="68">
        <v>48692687.119999997</v>
      </c>
      <c r="U181" s="68">
        <v>7904432.5922999997</v>
      </c>
      <c r="V181" s="68">
        <f t="shared" si="41"/>
        <v>3952216.2961499998</v>
      </c>
      <c r="W181" s="68">
        <f t="shared" si="42"/>
        <v>3952216.2961499998</v>
      </c>
      <c r="X181" s="68">
        <v>210597347.40000001</v>
      </c>
      <c r="Y181" s="69">
        <f t="shared" si="39"/>
        <v>478030650.10615003</v>
      </c>
    </row>
    <row r="182" spans="1:26" ht="24.95" customHeight="1">
      <c r="A182" s="64"/>
      <c r="B182" s="169" t="s">
        <v>477</v>
      </c>
      <c r="C182" s="170"/>
      <c r="D182" s="72"/>
      <c r="E182" s="72">
        <f t="shared" ref="E182:L182" si="43">SUM(E155:E181)</f>
        <v>7786010622.7299995</v>
      </c>
      <c r="F182" s="68">
        <v>0</v>
      </c>
      <c r="G182" s="72">
        <f t="shared" si="43"/>
        <v>1765094299.4499998</v>
      </c>
      <c r="H182" s="72">
        <f t="shared" si="43"/>
        <v>286533147.66549999</v>
      </c>
      <c r="I182" s="72">
        <f t="shared" si="43"/>
        <v>0</v>
      </c>
      <c r="J182" s="72">
        <f t="shared" si="43"/>
        <v>286533147.66549999</v>
      </c>
      <c r="K182" s="72">
        <f t="shared" si="43"/>
        <v>6822400061.0599995</v>
      </c>
      <c r="L182" s="72">
        <f t="shared" si="43"/>
        <v>16660038130.905499</v>
      </c>
      <c r="M182" s="63"/>
      <c r="N182" s="177"/>
      <c r="O182" s="70">
        <v>25</v>
      </c>
      <c r="P182" s="177"/>
      <c r="Q182" s="68" t="s">
        <v>478</v>
      </c>
      <c r="R182" s="68">
        <v>239422630.33000001</v>
      </c>
      <c r="S182" s="71">
        <v>0</v>
      </c>
      <c r="T182" s="68">
        <v>54277285.310000002</v>
      </c>
      <c r="U182" s="68">
        <v>8810997.4692000002</v>
      </c>
      <c r="V182" s="68">
        <f t="shared" si="41"/>
        <v>4405498.7346000001</v>
      </c>
      <c r="W182" s="68">
        <f t="shared" si="42"/>
        <v>4405498.7346000001</v>
      </c>
      <c r="X182" s="68">
        <v>209939411.5</v>
      </c>
      <c r="Y182" s="69">
        <f t="shared" si="39"/>
        <v>508044825.87459999</v>
      </c>
    </row>
    <row r="183" spans="1:26" ht="24.95" customHeight="1">
      <c r="A183" s="174">
        <v>9</v>
      </c>
      <c r="B183" s="175" t="s">
        <v>479</v>
      </c>
      <c r="C183" s="64">
        <v>1</v>
      </c>
      <c r="D183" s="68" t="s">
        <v>480</v>
      </c>
      <c r="E183" s="68">
        <v>267178139.81999999</v>
      </c>
      <c r="F183" s="68">
        <v>0</v>
      </c>
      <c r="G183" s="68">
        <v>60569479.590000004</v>
      </c>
      <c r="H183" s="68">
        <v>9832428.5823999997</v>
      </c>
      <c r="I183" s="68">
        <v>9832428.5823999997</v>
      </c>
      <c r="J183" s="68">
        <f t="shared" ref="J183:J200" si="44">H183-I183</f>
        <v>0</v>
      </c>
      <c r="K183" s="68">
        <v>231223598.90000001</v>
      </c>
      <c r="L183" s="69">
        <f t="shared" si="33"/>
        <v>558971218.30999994</v>
      </c>
      <c r="M183" s="63"/>
      <c r="N183" s="64"/>
      <c r="O183" s="169" t="s">
        <v>481</v>
      </c>
      <c r="P183" s="171"/>
      <c r="Q183" s="72"/>
      <c r="R183" s="72">
        <f t="shared" ref="R183:V183" si="45">SUM(R158:R182)</f>
        <v>7314286470.6600008</v>
      </c>
      <c r="S183" s="71">
        <v>0</v>
      </c>
      <c r="T183" s="72">
        <f t="shared" si="45"/>
        <v>1658154089.3699999</v>
      </c>
      <c r="U183" s="72">
        <f t="shared" si="45"/>
        <v>269173216.80059999</v>
      </c>
      <c r="V183" s="72">
        <f t="shared" si="45"/>
        <v>134586608.4003</v>
      </c>
      <c r="W183" s="72">
        <f t="shared" si="42"/>
        <v>134586608.4003</v>
      </c>
      <c r="X183" s="72">
        <f>SUM(X158:X182)</f>
        <v>5960473567.3699989</v>
      </c>
      <c r="Y183" s="72">
        <f>SUM(Y158:Y182)</f>
        <v>15067500735.800301</v>
      </c>
      <c r="Z183" s="81"/>
    </row>
    <row r="184" spans="1:26" ht="24.95" customHeight="1">
      <c r="A184" s="174"/>
      <c r="B184" s="176"/>
      <c r="C184" s="64">
        <v>2</v>
      </c>
      <c r="D184" s="68" t="s">
        <v>482</v>
      </c>
      <c r="E184" s="68">
        <v>335839680.5</v>
      </c>
      <c r="F184" s="68">
        <v>0</v>
      </c>
      <c r="G184" s="68">
        <v>76135101.049999997</v>
      </c>
      <c r="H184" s="68">
        <v>12359243.4465</v>
      </c>
      <c r="I184" s="68">
        <v>12359243.4465</v>
      </c>
      <c r="J184" s="68">
        <f t="shared" si="44"/>
        <v>0</v>
      </c>
      <c r="K184" s="68">
        <v>233585966.16999999</v>
      </c>
      <c r="L184" s="69">
        <f t="shared" si="33"/>
        <v>645560747.72000003</v>
      </c>
      <c r="M184" s="63"/>
      <c r="N184" s="175">
        <v>27</v>
      </c>
      <c r="O184" s="70">
        <v>1</v>
      </c>
      <c r="P184" s="175" t="s">
        <v>109</v>
      </c>
      <c r="Q184" s="68" t="s">
        <v>483</v>
      </c>
      <c r="R184" s="68">
        <v>268803318.48000002</v>
      </c>
      <c r="S184" s="71">
        <v>0</v>
      </c>
      <c r="T184" s="68">
        <v>60937908.780000001</v>
      </c>
      <c r="U184" s="68">
        <v>9892236.8179000001</v>
      </c>
      <c r="V184" s="68">
        <v>0</v>
      </c>
      <c r="W184" s="68">
        <f t="shared" si="42"/>
        <v>9892236.8179000001</v>
      </c>
      <c r="X184" s="68">
        <v>301569886.52999997</v>
      </c>
      <c r="Y184" s="69">
        <f t="shared" si="39"/>
        <v>641203350.6078999</v>
      </c>
    </row>
    <row r="185" spans="1:26" ht="24.95" customHeight="1">
      <c r="A185" s="174"/>
      <c r="B185" s="176"/>
      <c r="C185" s="64">
        <v>3</v>
      </c>
      <c r="D185" s="68" t="s">
        <v>484</v>
      </c>
      <c r="E185" s="68">
        <v>321497468.79000002</v>
      </c>
      <c r="F185" s="68">
        <v>0</v>
      </c>
      <c r="G185" s="68">
        <v>72883711.180000007</v>
      </c>
      <c r="H185" s="68">
        <v>11831435.3991</v>
      </c>
      <c r="I185" s="68">
        <v>11831435.3991</v>
      </c>
      <c r="J185" s="68">
        <f t="shared" si="44"/>
        <v>0</v>
      </c>
      <c r="K185" s="68">
        <v>278520635.18000001</v>
      </c>
      <c r="L185" s="69">
        <f t="shared" si="33"/>
        <v>672901815.1500001</v>
      </c>
      <c r="M185" s="63"/>
      <c r="N185" s="176"/>
      <c r="O185" s="70">
        <v>2</v>
      </c>
      <c r="P185" s="176"/>
      <c r="Q185" s="68" t="s">
        <v>485</v>
      </c>
      <c r="R185" s="68">
        <v>277498296.48000002</v>
      </c>
      <c r="S185" s="71">
        <v>0</v>
      </c>
      <c r="T185" s="68">
        <v>62909066.649999999</v>
      </c>
      <c r="U185" s="68">
        <v>10212220.893999999</v>
      </c>
      <c r="V185" s="68">
        <v>0</v>
      </c>
      <c r="W185" s="68">
        <f t="shared" si="42"/>
        <v>10212220.893999999</v>
      </c>
      <c r="X185" s="68">
        <v>319857964.30000001</v>
      </c>
      <c r="Y185" s="69">
        <f t="shared" si="39"/>
        <v>670477548.324</v>
      </c>
    </row>
    <row r="186" spans="1:26" ht="24.95" customHeight="1">
      <c r="A186" s="174"/>
      <c r="B186" s="176"/>
      <c r="C186" s="64">
        <v>4</v>
      </c>
      <c r="D186" s="68" t="s">
        <v>486</v>
      </c>
      <c r="E186" s="68">
        <v>207435796.53999999</v>
      </c>
      <c r="F186" s="68">
        <v>0</v>
      </c>
      <c r="G186" s="68">
        <v>47025846.700000003</v>
      </c>
      <c r="H186" s="68">
        <v>7633849.2971999999</v>
      </c>
      <c r="I186" s="68">
        <v>7633849.2971999999</v>
      </c>
      <c r="J186" s="68">
        <f t="shared" si="44"/>
        <v>0</v>
      </c>
      <c r="K186" s="68">
        <v>189222928.03</v>
      </c>
      <c r="L186" s="69">
        <f t="shared" si="33"/>
        <v>443684571.26999998</v>
      </c>
      <c r="M186" s="63"/>
      <c r="N186" s="176"/>
      <c r="O186" s="70">
        <v>3</v>
      </c>
      <c r="P186" s="176"/>
      <c r="Q186" s="68" t="s">
        <v>487</v>
      </c>
      <c r="R186" s="68">
        <v>426524068.13999999</v>
      </c>
      <c r="S186" s="71">
        <v>0</v>
      </c>
      <c r="T186" s="68">
        <v>96693318.019999996</v>
      </c>
      <c r="U186" s="68">
        <v>15696521.584799999</v>
      </c>
      <c r="V186" s="68">
        <v>0</v>
      </c>
      <c r="W186" s="68">
        <f t="shared" si="42"/>
        <v>15696521.584799999</v>
      </c>
      <c r="X186" s="68">
        <v>423082915.61000001</v>
      </c>
      <c r="Y186" s="69">
        <f t="shared" si="39"/>
        <v>961996823.35479999</v>
      </c>
    </row>
    <row r="187" spans="1:26" ht="24.95" customHeight="1">
      <c r="A187" s="174"/>
      <c r="B187" s="176"/>
      <c r="C187" s="64">
        <v>5</v>
      </c>
      <c r="D187" s="68" t="s">
        <v>488</v>
      </c>
      <c r="E187" s="68">
        <v>247796909.88999999</v>
      </c>
      <c r="F187" s="68">
        <v>0</v>
      </c>
      <c r="G187" s="68">
        <v>56175740.600000001</v>
      </c>
      <c r="H187" s="68">
        <v>9119179.5145999994</v>
      </c>
      <c r="I187" s="68">
        <v>9119179.5145999994</v>
      </c>
      <c r="J187" s="68">
        <f t="shared" si="44"/>
        <v>0</v>
      </c>
      <c r="K187" s="68">
        <v>216660088.47999999</v>
      </c>
      <c r="L187" s="69">
        <f t="shared" si="33"/>
        <v>520632738.97000003</v>
      </c>
      <c r="M187" s="63"/>
      <c r="N187" s="176"/>
      <c r="O187" s="70">
        <v>4</v>
      </c>
      <c r="P187" s="176"/>
      <c r="Q187" s="68" t="s">
        <v>489</v>
      </c>
      <c r="R187" s="68">
        <v>280443155.38</v>
      </c>
      <c r="S187" s="71">
        <v>0</v>
      </c>
      <c r="T187" s="68">
        <v>63576668.32</v>
      </c>
      <c r="U187" s="68">
        <v>10320594.710899999</v>
      </c>
      <c r="V187" s="68">
        <v>0</v>
      </c>
      <c r="W187" s="68">
        <f t="shared" si="42"/>
        <v>10320594.710899999</v>
      </c>
      <c r="X187" s="68">
        <v>294283274.32999998</v>
      </c>
      <c r="Y187" s="69">
        <f t="shared" si="39"/>
        <v>648623692.74090004</v>
      </c>
    </row>
    <row r="188" spans="1:26" ht="24.95" customHeight="1">
      <c r="A188" s="174"/>
      <c r="B188" s="176"/>
      <c r="C188" s="64">
        <v>6</v>
      </c>
      <c r="D188" s="68" t="s">
        <v>490</v>
      </c>
      <c r="E188" s="68">
        <v>285071964.76999998</v>
      </c>
      <c r="F188" s="68">
        <v>0</v>
      </c>
      <c r="G188" s="68">
        <v>64626022.789999999</v>
      </c>
      <c r="H188" s="68">
        <v>10490939.626800001</v>
      </c>
      <c r="I188" s="68">
        <v>10490939.626800001</v>
      </c>
      <c r="J188" s="68">
        <f t="shared" si="44"/>
        <v>0</v>
      </c>
      <c r="K188" s="68">
        <v>240332704.78</v>
      </c>
      <c r="L188" s="69">
        <f t="shared" si="33"/>
        <v>590030692.34000003</v>
      </c>
      <c r="M188" s="63"/>
      <c r="N188" s="176"/>
      <c r="O188" s="70">
        <v>5</v>
      </c>
      <c r="P188" s="176"/>
      <c r="Q188" s="68" t="s">
        <v>491</v>
      </c>
      <c r="R188" s="68">
        <v>251327172.37</v>
      </c>
      <c r="S188" s="71">
        <v>0</v>
      </c>
      <c r="T188" s="68">
        <v>56976053.689999998</v>
      </c>
      <c r="U188" s="68">
        <v>9249096.7816000003</v>
      </c>
      <c r="V188" s="68">
        <v>0</v>
      </c>
      <c r="W188" s="68">
        <f t="shared" si="42"/>
        <v>9249096.7816000003</v>
      </c>
      <c r="X188" s="68">
        <v>289435246.85000002</v>
      </c>
      <c r="Y188" s="69">
        <f t="shared" si="39"/>
        <v>606987569.69160008</v>
      </c>
    </row>
    <row r="189" spans="1:26" ht="24.95" customHeight="1">
      <c r="A189" s="174"/>
      <c r="B189" s="176"/>
      <c r="C189" s="64">
        <v>7</v>
      </c>
      <c r="D189" s="68" t="s">
        <v>492</v>
      </c>
      <c r="E189" s="68">
        <v>326819975.63999999</v>
      </c>
      <c r="F189" s="68">
        <v>0</v>
      </c>
      <c r="G189" s="68">
        <v>74090327.370000005</v>
      </c>
      <c r="H189" s="68">
        <v>12027309.090299999</v>
      </c>
      <c r="I189" s="68">
        <v>12027309.090299999</v>
      </c>
      <c r="J189" s="68">
        <f t="shared" si="44"/>
        <v>0</v>
      </c>
      <c r="K189" s="68">
        <v>246668466.96000001</v>
      </c>
      <c r="L189" s="69">
        <f t="shared" si="33"/>
        <v>647578769.97000003</v>
      </c>
      <c r="M189" s="63"/>
      <c r="N189" s="176"/>
      <c r="O189" s="70">
        <v>6</v>
      </c>
      <c r="P189" s="176"/>
      <c r="Q189" s="68" t="s">
        <v>493</v>
      </c>
      <c r="R189" s="68">
        <v>191178244.28</v>
      </c>
      <c r="S189" s="71">
        <v>0</v>
      </c>
      <c r="T189" s="68">
        <v>43340247.719999999</v>
      </c>
      <c r="U189" s="68">
        <v>7035554.7600999996</v>
      </c>
      <c r="V189" s="68">
        <v>0</v>
      </c>
      <c r="W189" s="68">
        <f t="shared" si="42"/>
        <v>7035554.7600999996</v>
      </c>
      <c r="X189" s="68">
        <v>246957469.69999999</v>
      </c>
      <c r="Y189" s="69">
        <f t="shared" si="39"/>
        <v>488511516.4601</v>
      </c>
    </row>
    <row r="190" spans="1:26" ht="24.95" customHeight="1">
      <c r="A190" s="174"/>
      <c r="B190" s="176"/>
      <c r="C190" s="64">
        <v>8</v>
      </c>
      <c r="D190" s="68" t="s">
        <v>494</v>
      </c>
      <c r="E190" s="68">
        <v>258891731.38999999</v>
      </c>
      <c r="F190" s="68">
        <v>0</v>
      </c>
      <c r="G190" s="68">
        <v>58690944.75</v>
      </c>
      <c r="H190" s="68">
        <v>9527480.2840999998</v>
      </c>
      <c r="I190" s="68">
        <v>9527480.2840999998</v>
      </c>
      <c r="J190" s="68">
        <f t="shared" si="44"/>
        <v>0</v>
      </c>
      <c r="K190" s="68">
        <v>244146939.72</v>
      </c>
      <c r="L190" s="69">
        <f t="shared" si="33"/>
        <v>561729615.86000001</v>
      </c>
      <c r="M190" s="63"/>
      <c r="N190" s="176"/>
      <c r="O190" s="70">
        <v>7</v>
      </c>
      <c r="P190" s="176"/>
      <c r="Q190" s="68" t="s">
        <v>495</v>
      </c>
      <c r="R190" s="68">
        <v>418197156.38</v>
      </c>
      <c r="S190" s="71">
        <v>0</v>
      </c>
      <c r="T190" s="68">
        <v>42221060.039999999</v>
      </c>
      <c r="U190" s="68">
        <v>6853873.6056000004</v>
      </c>
      <c r="V190" s="68">
        <v>0</v>
      </c>
      <c r="W190" s="68">
        <f t="shared" si="42"/>
        <v>6853873.6056000004</v>
      </c>
      <c r="X190" s="68">
        <v>422437308.99000001</v>
      </c>
      <c r="Y190" s="69">
        <f t="shared" si="39"/>
        <v>889709399.01559997</v>
      </c>
    </row>
    <row r="191" spans="1:26" ht="24.95" customHeight="1">
      <c r="A191" s="174"/>
      <c r="B191" s="176"/>
      <c r="C191" s="64">
        <v>9</v>
      </c>
      <c r="D191" s="68" t="s">
        <v>496</v>
      </c>
      <c r="E191" s="68">
        <v>275946674.60000002</v>
      </c>
      <c r="F191" s="68">
        <v>0</v>
      </c>
      <c r="G191" s="68">
        <v>62557312.840000004</v>
      </c>
      <c r="H191" s="68">
        <v>10155119.623199999</v>
      </c>
      <c r="I191" s="68">
        <v>10155119.623199999</v>
      </c>
      <c r="J191" s="68">
        <f t="shared" si="44"/>
        <v>0</v>
      </c>
      <c r="K191" s="68">
        <v>248719239.37</v>
      </c>
      <c r="L191" s="69">
        <f t="shared" si="33"/>
        <v>587223226.81000006</v>
      </c>
      <c r="M191" s="63"/>
      <c r="N191" s="176"/>
      <c r="O191" s="70">
        <v>8</v>
      </c>
      <c r="P191" s="176"/>
      <c r="Q191" s="68" t="s">
        <v>497</v>
      </c>
      <c r="R191" s="68">
        <v>248879309.99000001</v>
      </c>
      <c r="S191" s="71">
        <v>0</v>
      </c>
      <c r="T191" s="68">
        <v>94805601.040000007</v>
      </c>
      <c r="U191" s="68">
        <v>15390082.7225</v>
      </c>
      <c r="V191" s="68">
        <v>0</v>
      </c>
      <c r="W191" s="68">
        <f t="shared" si="42"/>
        <v>15390082.7225</v>
      </c>
      <c r="X191" s="68">
        <v>267521236.06999999</v>
      </c>
      <c r="Y191" s="69">
        <f t="shared" si="39"/>
        <v>626596229.82249999</v>
      </c>
    </row>
    <row r="192" spans="1:26" ht="24.95" customHeight="1">
      <c r="A192" s="174"/>
      <c r="B192" s="176"/>
      <c r="C192" s="64">
        <v>10</v>
      </c>
      <c r="D192" s="68" t="s">
        <v>498</v>
      </c>
      <c r="E192" s="68">
        <v>216077000.22999999</v>
      </c>
      <c r="F192" s="68">
        <v>0</v>
      </c>
      <c r="G192" s="68">
        <v>48984813.899999999</v>
      </c>
      <c r="H192" s="68">
        <v>7951854.4238</v>
      </c>
      <c r="I192" s="68">
        <v>7951854.4238</v>
      </c>
      <c r="J192" s="68">
        <f t="shared" si="44"/>
        <v>0</v>
      </c>
      <c r="K192" s="68">
        <v>207085831.99000001</v>
      </c>
      <c r="L192" s="69">
        <f t="shared" si="33"/>
        <v>472147646.12</v>
      </c>
      <c r="M192" s="63"/>
      <c r="N192" s="176"/>
      <c r="O192" s="70">
        <v>9</v>
      </c>
      <c r="P192" s="176"/>
      <c r="Q192" s="68" t="s">
        <v>499</v>
      </c>
      <c r="R192" s="68">
        <v>310950362.13999999</v>
      </c>
      <c r="S192" s="71">
        <v>0</v>
      </c>
      <c r="T192" s="68">
        <v>56421121.5</v>
      </c>
      <c r="U192" s="68">
        <v>9159012.9445999991</v>
      </c>
      <c r="V192" s="68">
        <v>0</v>
      </c>
      <c r="W192" s="68">
        <f t="shared" si="42"/>
        <v>9159012.9445999991</v>
      </c>
      <c r="X192" s="68">
        <v>332582541.97000003</v>
      </c>
      <c r="Y192" s="69">
        <f t="shared" si="39"/>
        <v>709113038.5546</v>
      </c>
    </row>
    <row r="193" spans="1:25" ht="24.95" customHeight="1">
      <c r="A193" s="174"/>
      <c r="B193" s="176"/>
      <c r="C193" s="64">
        <v>11</v>
      </c>
      <c r="D193" s="68" t="s">
        <v>500</v>
      </c>
      <c r="E193" s="68">
        <v>294834020.02999997</v>
      </c>
      <c r="F193" s="68">
        <v>0</v>
      </c>
      <c r="G193" s="68">
        <v>66839087.850000001</v>
      </c>
      <c r="H193" s="68">
        <v>10850193.236400001</v>
      </c>
      <c r="I193" s="68">
        <v>10850193.236400001</v>
      </c>
      <c r="J193" s="68">
        <f t="shared" si="44"/>
        <v>0</v>
      </c>
      <c r="K193" s="68">
        <v>237792123.18000001</v>
      </c>
      <c r="L193" s="69">
        <f t="shared" si="33"/>
        <v>599465231.05999994</v>
      </c>
      <c r="M193" s="63"/>
      <c r="N193" s="176"/>
      <c r="O193" s="70">
        <v>10</v>
      </c>
      <c r="P193" s="176"/>
      <c r="Q193" s="68" t="s">
        <v>501</v>
      </c>
      <c r="R193" s="68">
        <v>195444911.46000001</v>
      </c>
      <c r="S193" s="71">
        <v>0</v>
      </c>
      <c r="T193" s="68">
        <v>70492674.390000001</v>
      </c>
      <c r="U193" s="68">
        <v>11443291.096000001</v>
      </c>
      <c r="V193" s="68">
        <v>0</v>
      </c>
      <c r="W193" s="68">
        <f t="shared" si="42"/>
        <v>11443291.096000001</v>
      </c>
      <c r="X193" s="68">
        <v>251619436.94</v>
      </c>
      <c r="Y193" s="69">
        <f t="shared" si="39"/>
        <v>529000313.88600004</v>
      </c>
    </row>
    <row r="194" spans="1:25" ht="24.95" customHeight="1">
      <c r="A194" s="174"/>
      <c r="B194" s="176"/>
      <c r="C194" s="64">
        <v>12</v>
      </c>
      <c r="D194" s="68" t="s">
        <v>502</v>
      </c>
      <c r="E194" s="68">
        <v>254435809.22999999</v>
      </c>
      <c r="F194" s="68">
        <v>0</v>
      </c>
      <c r="G194" s="68">
        <v>57680783.93</v>
      </c>
      <c r="H194" s="68">
        <v>9363497.7948000003</v>
      </c>
      <c r="I194" s="68">
        <v>9363497.7948000003</v>
      </c>
      <c r="J194" s="68">
        <f t="shared" si="44"/>
        <v>0</v>
      </c>
      <c r="K194" s="68">
        <v>218342102.94999999</v>
      </c>
      <c r="L194" s="69">
        <f t="shared" si="33"/>
        <v>530458696.10999995</v>
      </c>
      <c r="M194" s="63"/>
      <c r="N194" s="176"/>
      <c r="O194" s="70">
        <v>11</v>
      </c>
      <c r="P194" s="176"/>
      <c r="Q194" s="68" t="s">
        <v>503</v>
      </c>
      <c r="R194" s="68">
        <v>239898340.47</v>
      </c>
      <c r="S194" s="71">
        <v>0</v>
      </c>
      <c r="T194" s="68">
        <v>54385129.140000001</v>
      </c>
      <c r="U194" s="68">
        <v>8828504.0881999992</v>
      </c>
      <c r="V194" s="68">
        <v>0</v>
      </c>
      <c r="W194" s="68">
        <f t="shared" si="42"/>
        <v>8828504.0881999992</v>
      </c>
      <c r="X194" s="68">
        <v>283899020.63999999</v>
      </c>
      <c r="Y194" s="69">
        <f t="shared" si="39"/>
        <v>587010994.33819997</v>
      </c>
    </row>
    <row r="195" spans="1:25" ht="24.95" customHeight="1">
      <c r="A195" s="174"/>
      <c r="B195" s="176"/>
      <c r="C195" s="64">
        <v>13</v>
      </c>
      <c r="D195" s="68" t="s">
        <v>504</v>
      </c>
      <c r="E195" s="68">
        <v>280426706.67000002</v>
      </c>
      <c r="F195" s="68">
        <v>0</v>
      </c>
      <c r="G195" s="68">
        <v>63572939.380000003</v>
      </c>
      <c r="H195" s="68">
        <v>10319989.3817</v>
      </c>
      <c r="I195" s="68">
        <v>10319989.3817</v>
      </c>
      <c r="J195" s="68">
        <f t="shared" si="44"/>
        <v>0</v>
      </c>
      <c r="K195" s="68">
        <v>241551063.11000001</v>
      </c>
      <c r="L195" s="69">
        <f t="shared" si="33"/>
        <v>585550709.16000009</v>
      </c>
      <c r="M195" s="63"/>
      <c r="N195" s="176"/>
      <c r="O195" s="70">
        <v>12</v>
      </c>
      <c r="P195" s="176"/>
      <c r="Q195" s="68" t="s">
        <v>505</v>
      </c>
      <c r="R195" s="68">
        <v>216737656.72999999</v>
      </c>
      <c r="S195" s="71">
        <v>0</v>
      </c>
      <c r="T195" s="68">
        <v>49134585.210000001</v>
      </c>
      <c r="U195" s="68">
        <v>7976167.2582999999</v>
      </c>
      <c r="V195" s="68">
        <v>0</v>
      </c>
      <c r="W195" s="68">
        <f t="shared" si="42"/>
        <v>7976167.2582999999</v>
      </c>
      <c r="X195" s="68">
        <v>270711534.06</v>
      </c>
      <c r="Y195" s="69">
        <f t="shared" si="39"/>
        <v>544559943.25830007</v>
      </c>
    </row>
    <row r="196" spans="1:25" ht="24.95" customHeight="1">
      <c r="A196" s="174"/>
      <c r="B196" s="176"/>
      <c r="C196" s="64">
        <v>14</v>
      </c>
      <c r="D196" s="68" t="s">
        <v>506</v>
      </c>
      <c r="E196" s="68">
        <v>265490175.97999999</v>
      </c>
      <c r="F196" s="68">
        <v>0</v>
      </c>
      <c r="G196" s="68">
        <v>60186816.960000001</v>
      </c>
      <c r="H196" s="68">
        <v>9770309.7880000006</v>
      </c>
      <c r="I196" s="68">
        <v>9770309.7880000006</v>
      </c>
      <c r="J196" s="68">
        <f t="shared" si="44"/>
        <v>0</v>
      </c>
      <c r="K196" s="68">
        <v>236941401.96000001</v>
      </c>
      <c r="L196" s="69">
        <f t="shared" si="33"/>
        <v>562618394.89999998</v>
      </c>
      <c r="M196" s="63"/>
      <c r="N196" s="176"/>
      <c r="O196" s="70">
        <v>13</v>
      </c>
      <c r="P196" s="176"/>
      <c r="Q196" s="68" t="s">
        <v>507</v>
      </c>
      <c r="R196" s="68">
        <v>224688746.09999999</v>
      </c>
      <c r="S196" s="71">
        <v>0</v>
      </c>
      <c r="T196" s="68">
        <v>44307504.289999999</v>
      </c>
      <c r="U196" s="68">
        <v>7192572.4725000001</v>
      </c>
      <c r="V196" s="68">
        <v>0</v>
      </c>
      <c r="W196" s="68">
        <f t="shared" si="42"/>
        <v>7192572.4725000001</v>
      </c>
      <c r="X196" s="68">
        <v>257067863.63</v>
      </c>
      <c r="Y196" s="69">
        <f t="shared" si="39"/>
        <v>533256686.49250001</v>
      </c>
    </row>
    <row r="197" spans="1:25" ht="24.95" customHeight="1">
      <c r="A197" s="174"/>
      <c r="B197" s="176"/>
      <c r="C197" s="64">
        <v>15</v>
      </c>
      <c r="D197" s="68" t="s">
        <v>508</v>
      </c>
      <c r="E197" s="68">
        <v>301144231</v>
      </c>
      <c r="F197" s="68">
        <v>0</v>
      </c>
      <c r="G197" s="68">
        <v>68269617.290000007</v>
      </c>
      <c r="H197" s="68">
        <v>11082415.448799999</v>
      </c>
      <c r="I197" s="68">
        <v>11082415.448799999</v>
      </c>
      <c r="J197" s="68">
        <f t="shared" si="44"/>
        <v>0</v>
      </c>
      <c r="K197" s="68">
        <v>249023361.94</v>
      </c>
      <c r="L197" s="69">
        <f t="shared" si="33"/>
        <v>618437210.23000002</v>
      </c>
      <c r="M197" s="63"/>
      <c r="N197" s="176"/>
      <c r="O197" s="70">
        <v>14</v>
      </c>
      <c r="P197" s="176"/>
      <c r="Q197" s="68" t="s">
        <v>509</v>
      </c>
      <c r="R197" s="68">
        <v>235343068.16</v>
      </c>
      <c r="S197" s="71">
        <v>0</v>
      </c>
      <c r="T197" s="68">
        <v>50937102.979999997</v>
      </c>
      <c r="U197" s="68">
        <v>8268775.4725000001</v>
      </c>
      <c r="V197" s="68">
        <v>0</v>
      </c>
      <c r="W197" s="68">
        <f t="shared" si="42"/>
        <v>8268775.4725000001</v>
      </c>
      <c r="X197" s="68">
        <v>282551765.17000002</v>
      </c>
      <c r="Y197" s="69">
        <f t="shared" si="39"/>
        <v>577100711.78250003</v>
      </c>
    </row>
    <row r="198" spans="1:25" ht="24.95" customHeight="1">
      <c r="A198" s="174"/>
      <c r="B198" s="176"/>
      <c r="C198" s="64">
        <v>16</v>
      </c>
      <c r="D198" s="68" t="s">
        <v>510</v>
      </c>
      <c r="E198" s="68">
        <v>283023916.06</v>
      </c>
      <c r="F198" s="68">
        <v>0</v>
      </c>
      <c r="G198" s="68">
        <v>64161728.649999999</v>
      </c>
      <c r="H198" s="68">
        <v>10415569.341399999</v>
      </c>
      <c r="I198" s="68">
        <v>10415569.341399999</v>
      </c>
      <c r="J198" s="68">
        <f t="shared" si="44"/>
        <v>0</v>
      </c>
      <c r="K198" s="68">
        <v>241348190.19</v>
      </c>
      <c r="L198" s="69">
        <f t="shared" si="33"/>
        <v>588533834.89999998</v>
      </c>
      <c r="M198" s="63"/>
      <c r="N198" s="176"/>
      <c r="O198" s="70">
        <v>15</v>
      </c>
      <c r="P198" s="176"/>
      <c r="Q198" s="68" t="s">
        <v>511</v>
      </c>
      <c r="R198" s="68">
        <v>285354178.04000002</v>
      </c>
      <c r="S198" s="71">
        <v>0</v>
      </c>
      <c r="T198" s="68">
        <v>53352445.579999998</v>
      </c>
      <c r="U198" s="68">
        <v>8660865.4120000005</v>
      </c>
      <c r="V198" s="68">
        <v>0</v>
      </c>
      <c r="W198" s="68">
        <f t="shared" si="42"/>
        <v>8660865.4120000005</v>
      </c>
      <c r="X198" s="68">
        <v>311852516.94999999</v>
      </c>
      <c r="Y198" s="69">
        <f t="shared" si="39"/>
        <v>659220005.98199999</v>
      </c>
    </row>
    <row r="199" spans="1:25" ht="24.95" customHeight="1">
      <c r="A199" s="174"/>
      <c r="B199" s="176"/>
      <c r="C199" s="64">
        <v>17</v>
      </c>
      <c r="D199" s="68" t="s">
        <v>512</v>
      </c>
      <c r="E199" s="68">
        <v>284139660.48000002</v>
      </c>
      <c r="F199" s="68">
        <v>0</v>
      </c>
      <c r="G199" s="68">
        <v>64414668.729999997</v>
      </c>
      <c r="H199" s="68">
        <v>10456629.8762</v>
      </c>
      <c r="I199" s="68">
        <v>10456629.8762</v>
      </c>
      <c r="J199" s="68">
        <f t="shared" si="44"/>
        <v>0</v>
      </c>
      <c r="K199" s="68">
        <v>250520063.38999999</v>
      </c>
      <c r="L199" s="69">
        <f t="shared" si="33"/>
        <v>599074392.60000002</v>
      </c>
      <c r="M199" s="63"/>
      <c r="N199" s="176"/>
      <c r="O199" s="70">
        <v>16</v>
      </c>
      <c r="P199" s="176"/>
      <c r="Q199" s="68" t="s">
        <v>513</v>
      </c>
      <c r="R199" s="68">
        <v>239549133.69999999</v>
      </c>
      <c r="S199" s="71">
        <v>0</v>
      </c>
      <c r="T199" s="68">
        <v>64690000.740000002</v>
      </c>
      <c r="U199" s="68">
        <v>10501325.363399999</v>
      </c>
      <c r="V199" s="68">
        <v>0</v>
      </c>
      <c r="W199" s="68">
        <f t="shared" si="42"/>
        <v>10501325.363399999</v>
      </c>
      <c r="X199" s="68">
        <v>267242145.71000001</v>
      </c>
      <c r="Y199" s="69">
        <f t="shared" si="39"/>
        <v>581982605.51339996</v>
      </c>
    </row>
    <row r="200" spans="1:25" ht="24.95" customHeight="1">
      <c r="A200" s="174"/>
      <c r="B200" s="177"/>
      <c r="C200" s="64">
        <v>18</v>
      </c>
      <c r="D200" s="68" t="s">
        <v>514</v>
      </c>
      <c r="E200" s="68">
        <v>313345959.41000003</v>
      </c>
      <c r="F200" s="68">
        <v>0</v>
      </c>
      <c r="G200" s="68">
        <v>71035758.040000007</v>
      </c>
      <c r="H200" s="68">
        <v>11531451.523600001</v>
      </c>
      <c r="I200" s="68">
        <v>11531451.523600001</v>
      </c>
      <c r="J200" s="68">
        <f t="shared" si="44"/>
        <v>0</v>
      </c>
      <c r="K200" s="68">
        <v>255897503.25</v>
      </c>
      <c r="L200" s="69">
        <f t="shared" ref="L200:L263" si="46">E200+F200+G200+J200+K200</f>
        <v>640279220.70000005</v>
      </c>
      <c r="M200" s="63"/>
      <c r="N200" s="176"/>
      <c r="O200" s="70">
        <v>17</v>
      </c>
      <c r="P200" s="176"/>
      <c r="Q200" s="68" t="s">
        <v>515</v>
      </c>
      <c r="R200" s="68">
        <v>222636000.13</v>
      </c>
      <c r="S200" s="71">
        <v>0</v>
      </c>
      <c r="T200" s="68">
        <v>54305963.710000001</v>
      </c>
      <c r="U200" s="68">
        <v>8815652.9221999999</v>
      </c>
      <c r="V200" s="68">
        <v>0</v>
      </c>
      <c r="W200" s="68">
        <f t="shared" si="42"/>
        <v>8815652.9221999999</v>
      </c>
      <c r="X200" s="68">
        <v>273845416.19</v>
      </c>
      <c r="Y200" s="69">
        <f t="shared" si="39"/>
        <v>559603032.95219994</v>
      </c>
    </row>
    <row r="201" spans="1:25" ht="24.95" customHeight="1">
      <c r="A201" s="64"/>
      <c r="B201" s="169" t="s">
        <v>516</v>
      </c>
      <c r="C201" s="170"/>
      <c r="D201" s="72"/>
      <c r="E201" s="72">
        <f t="shared" ref="E201:L201" si="47">SUM(E183:E200)</f>
        <v>5019395821.0300007</v>
      </c>
      <c r="F201" s="68">
        <v>0</v>
      </c>
      <c r="G201" s="72">
        <f t="shared" si="47"/>
        <v>1137900701.5999999</v>
      </c>
      <c r="H201" s="72">
        <f t="shared" si="47"/>
        <v>184718895.67889997</v>
      </c>
      <c r="I201" s="72">
        <f t="shared" si="47"/>
        <v>184718895.67889997</v>
      </c>
      <c r="J201" s="72">
        <f t="shared" si="47"/>
        <v>0</v>
      </c>
      <c r="K201" s="72">
        <f t="shared" si="47"/>
        <v>4267582209.5499997</v>
      </c>
      <c r="L201" s="72">
        <f t="shared" si="47"/>
        <v>10424878732.18</v>
      </c>
      <c r="M201" s="63"/>
      <c r="N201" s="176"/>
      <c r="O201" s="70">
        <v>18</v>
      </c>
      <c r="P201" s="176"/>
      <c r="Q201" s="68" t="s">
        <v>517</v>
      </c>
      <c r="R201" s="68">
        <v>211469067.88999999</v>
      </c>
      <c r="S201" s="71">
        <v>0</v>
      </c>
      <c r="T201" s="68">
        <v>50471743.969999999</v>
      </c>
      <c r="U201" s="68">
        <v>8193232.3230999997</v>
      </c>
      <c r="V201" s="68">
        <v>0</v>
      </c>
      <c r="W201" s="68">
        <f t="shared" si="42"/>
        <v>8193232.3230999997</v>
      </c>
      <c r="X201" s="68">
        <v>253599969.74000001</v>
      </c>
      <c r="Y201" s="69">
        <f t="shared" si="39"/>
        <v>523734013.92309999</v>
      </c>
    </row>
    <row r="202" spans="1:25" ht="24.95" customHeight="1">
      <c r="A202" s="174">
        <v>10</v>
      </c>
      <c r="B202" s="175" t="s">
        <v>518</v>
      </c>
      <c r="C202" s="64">
        <v>1</v>
      </c>
      <c r="D202" s="68" t="s">
        <v>519</v>
      </c>
      <c r="E202" s="68">
        <v>219424013.38</v>
      </c>
      <c r="F202" s="68">
        <v>0</v>
      </c>
      <c r="G202" s="68">
        <v>49743584.219999999</v>
      </c>
      <c r="H202" s="68">
        <v>8075027.9282</v>
      </c>
      <c r="I202" s="68">
        <v>8075027.9282</v>
      </c>
      <c r="J202" s="68">
        <f t="shared" ref="J202:J226" si="48">H202-I202</f>
        <v>0</v>
      </c>
      <c r="K202" s="82">
        <v>339764130.68000001</v>
      </c>
      <c r="L202" s="69">
        <f t="shared" si="46"/>
        <v>608931728.27999997</v>
      </c>
      <c r="M202" s="63"/>
      <c r="N202" s="176"/>
      <c r="O202" s="70">
        <v>19</v>
      </c>
      <c r="P202" s="176"/>
      <c r="Q202" s="68" t="s">
        <v>520</v>
      </c>
      <c r="R202" s="68">
        <v>186241393.47999999</v>
      </c>
      <c r="S202" s="71">
        <v>0</v>
      </c>
      <c r="T202" s="68">
        <v>47940192.270000003</v>
      </c>
      <c r="U202" s="68">
        <v>7782277.8046000004</v>
      </c>
      <c r="V202" s="68">
        <v>0</v>
      </c>
      <c r="W202" s="68">
        <f t="shared" si="42"/>
        <v>7782277.8046000004</v>
      </c>
      <c r="X202" s="68">
        <v>248734008.74000001</v>
      </c>
      <c r="Y202" s="69">
        <f t="shared" si="39"/>
        <v>490697872.29460001</v>
      </c>
    </row>
    <row r="203" spans="1:25" ht="24.95" customHeight="1">
      <c r="A203" s="174"/>
      <c r="B203" s="176"/>
      <c r="C203" s="64">
        <v>2</v>
      </c>
      <c r="D203" s="68" t="s">
        <v>521</v>
      </c>
      <c r="E203" s="68">
        <v>239163468.49000001</v>
      </c>
      <c r="F203" s="68">
        <v>0</v>
      </c>
      <c r="G203" s="68">
        <v>54218533.130000003</v>
      </c>
      <c r="H203" s="68">
        <v>8801460.0482999999</v>
      </c>
      <c r="I203" s="68">
        <v>8801460.0482999999</v>
      </c>
      <c r="J203" s="68">
        <f t="shared" si="48"/>
        <v>0</v>
      </c>
      <c r="K203" s="82">
        <v>353174291.77999997</v>
      </c>
      <c r="L203" s="69">
        <f t="shared" si="46"/>
        <v>646556293.39999998</v>
      </c>
      <c r="M203" s="63"/>
      <c r="N203" s="177"/>
      <c r="O203" s="70">
        <v>20</v>
      </c>
      <c r="P203" s="177"/>
      <c r="Q203" s="68" t="s">
        <v>522</v>
      </c>
      <c r="R203" s="68">
        <v>286821942.57999998</v>
      </c>
      <c r="S203" s="71">
        <v>0</v>
      </c>
      <c r="T203" s="68">
        <v>65022744.039999999</v>
      </c>
      <c r="U203" s="68">
        <v>10555340.5984</v>
      </c>
      <c r="V203" s="68">
        <v>0</v>
      </c>
      <c r="W203" s="68">
        <f t="shared" si="42"/>
        <v>10555340.5984</v>
      </c>
      <c r="X203" s="68">
        <v>321028873.51999998</v>
      </c>
      <c r="Y203" s="69">
        <f t="shared" si="39"/>
        <v>683428900.73839998</v>
      </c>
    </row>
    <row r="204" spans="1:25" ht="24.95" customHeight="1">
      <c r="A204" s="174"/>
      <c r="B204" s="176"/>
      <c r="C204" s="64">
        <v>3</v>
      </c>
      <c r="D204" s="68" t="s">
        <v>523</v>
      </c>
      <c r="E204" s="68">
        <v>204445353.34999999</v>
      </c>
      <c r="F204" s="68">
        <v>0</v>
      </c>
      <c r="G204" s="68">
        <v>46347911.049999997</v>
      </c>
      <c r="H204" s="68">
        <v>7523797.9319000002</v>
      </c>
      <c r="I204" s="68">
        <v>7523797.9319000002</v>
      </c>
      <c r="J204" s="68">
        <f t="shared" si="48"/>
        <v>0</v>
      </c>
      <c r="K204" s="82">
        <v>333014029.54000002</v>
      </c>
      <c r="L204" s="69">
        <f t="shared" si="46"/>
        <v>583807293.94000006</v>
      </c>
      <c r="M204" s="63"/>
      <c r="N204" s="64"/>
      <c r="O204" s="170" t="s">
        <v>524</v>
      </c>
      <c r="P204" s="171"/>
      <c r="Q204" s="72"/>
      <c r="R204" s="72">
        <f t="shared" ref="R204:V204" si="49">SUM(R184:R203)</f>
        <v>5217985522.3799992</v>
      </c>
      <c r="S204" s="71">
        <v>0</v>
      </c>
      <c r="T204" s="72">
        <f>SUM(T184:T203)</f>
        <v>1182921132.0800002</v>
      </c>
      <c r="U204" s="72">
        <f t="shared" si="49"/>
        <v>192027199.63320002</v>
      </c>
      <c r="V204" s="72">
        <f t="shared" si="49"/>
        <v>0</v>
      </c>
      <c r="W204" s="72">
        <f t="shared" si="42"/>
        <v>192027199.63320002</v>
      </c>
      <c r="X204" s="72">
        <f>SUM(X184:X203)</f>
        <v>5919880395.6399994</v>
      </c>
      <c r="Y204" s="72">
        <f>SUM(Y184:Y203)</f>
        <v>12512814249.733198</v>
      </c>
    </row>
    <row r="205" spans="1:25" ht="33.75" customHeight="1">
      <c r="A205" s="174"/>
      <c r="B205" s="176"/>
      <c r="C205" s="64">
        <v>4</v>
      </c>
      <c r="D205" s="68" t="s">
        <v>525</v>
      </c>
      <c r="E205" s="68">
        <v>293824940.49000001</v>
      </c>
      <c r="F205" s="68">
        <v>0</v>
      </c>
      <c r="G205" s="68">
        <v>66610328.780000001</v>
      </c>
      <c r="H205" s="68">
        <v>10813058.078199999</v>
      </c>
      <c r="I205" s="68">
        <v>10813058.078199999</v>
      </c>
      <c r="J205" s="68">
        <f t="shared" si="48"/>
        <v>0</v>
      </c>
      <c r="K205" s="82">
        <v>378976886.86000001</v>
      </c>
      <c r="L205" s="69">
        <f t="shared" si="46"/>
        <v>739412156.13</v>
      </c>
      <c r="M205" s="63"/>
      <c r="N205" s="175">
        <v>28</v>
      </c>
      <c r="O205" s="70">
        <v>1</v>
      </c>
      <c r="P205" s="183" t="s">
        <v>110</v>
      </c>
      <c r="Q205" s="79" t="s">
        <v>526</v>
      </c>
      <c r="R205" s="68">
        <v>276473294.01999998</v>
      </c>
      <c r="S205" s="71">
        <v>0</v>
      </c>
      <c r="T205" s="68">
        <v>62676697.850000001</v>
      </c>
      <c r="U205" s="68">
        <v>10174499.755999999</v>
      </c>
      <c r="V205" s="68">
        <v>10174499.755999999</v>
      </c>
      <c r="W205" s="68">
        <f t="shared" si="42"/>
        <v>0</v>
      </c>
      <c r="X205" s="68">
        <v>272055000.10000002</v>
      </c>
      <c r="Y205" s="69">
        <f t="shared" si="39"/>
        <v>611204991.97000003</v>
      </c>
    </row>
    <row r="206" spans="1:25" ht="24.95" customHeight="1">
      <c r="A206" s="174"/>
      <c r="B206" s="176"/>
      <c r="C206" s="64">
        <v>5</v>
      </c>
      <c r="D206" s="68" t="s">
        <v>527</v>
      </c>
      <c r="E206" s="68">
        <v>267335038.87</v>
      </c>
      <c r="F206" s="68">
        <v>0</v>
      </c>
      <c r="G206" s="68">
        <v>60605048.719999999</v>
      </c>
      <c r="H206" s="68">
        <v>9838202.6278000008</v>
      </c>
      <c r="I206" s="68">
        <v>9838202.6278000008</v>
      </c>
      <c r="J206" s="68">
        <f t="shared" si="48"/>
        <v>0</v>
      </c>
      <c r="K206" s="82">
        <v>375661427.87</v>
      </c>
      <c r="L206" s="69">
        <f t="shared" si="46"/>
        <v>703601515.46000004</v>
      </c>
      <c r="M206" s="63"/>
      <c r="N206" s="176"/>
      <c r="O206" s="70">
        <v>2</v>
      </c>
      <c r="P206" s="184"/>
      <c r="Q206" s="79" t="s">
        <v>528</v>
      </c>
      <c r="R206" s="68">
        <v>292464405.22000003</v>
      </c>
      <c r="S206" s="71">
        <v>0</v>
      </c>
      <c r="T206" s="68">
        <v>66301894.439999998</v>
      </c>
      <c r="U206" s="68">
        <v>10762988.99</v>
      </c>
      <c r="V206" s="68">
        <v>10762988.99</v>
      </c>
      <c r="W206" s="68">
        <f t="shared" si="42"/>
        <v>0</v>
      </c>
      <c r="X206" s="68">
        <v>286395462.39999998</v>
      </c>
      <c r="Y206" s="69">
        <f t="shared" si="39"/>
        <v>645161762.05999994</v>
      </c>
    </row>
    <row r="207" spans="1:25" ht="24.95" customHeight="1">
      <c r="A207" s="174"/>
      <c r="B207" s="176"/>
      <c r="C207" s="64">
        <v>6</v>
      </c>
      <c r="D207" s="68" t="s">
        <v>529</v>
      </c>
      <c r="E207" s="68">
        <v>273842167.80000001</v>
      </c>
      <c r="F207" s="68">
        <v>0</v>
      </c>
      <c r="G207" s="68">
        <v>62080219.609999999</v>
      </c>
      <c r="H207" s="68">
        <v>10077671.622099999</v>
      </c>
      <c r="I207" s="68">
        <v>10077671.622099999</v>
      </c>
      <c r="J207" s="68">
        <f t="shared" si="48"/>
        <v>0</v>
      </c>
      <c r="K207" s="82">
        <v>376707549.70999998</v>
      </c>
      <c r="L207" s="69">
        <f t="shared" si="46"/>
        <v>712629937.12</v>
      </c>
      <c r="M207" s="63"/>
      <c r="N207" s="176"/>
      <c r="O207" s="70">
        <v>3</v>
      </c>
      <c r="P207" s="184"/>
      <c r="Q207" s="79" t="s">
        <v>530</v>
      </c>
      <c r="R207" s="68">
        <v>220848388.41</v>
      </c>
      <c r="S207" s="71">
        <v>0</v>
      </c>
      <c r="T207" s="68">
        <v>67500785.939999998</v>
      </c>
      <c r="U207" s="68">
        <v>10957608.7071</v>
      </c>
      <c r="V207" s="68">
        <v>10957608.7071</v>
      </c>
      <c r="W207" s="68">
        <f t="shared" si="42"/>
        <v>0</v>
      </c>
      <c r="X207" s="68">
        <v>237315162</v>
      </c>
      <c r="Y207" s="69">
        <f t="shared" si="39"/>
        <v>525664336.35000002</v>
      </c>
    </row>
    <row r="208" spans="1:25" ht="24.95" customHeight="1">
      <c r="A208" s="174"/>
      <c r="B208" s="176"/>
      <c r="C208" s="64">
        <v>7</v>
      </c>
      <c r="D208" s="68" t="s">
        <v>531</v>
      </c>
      <c r="E208" s="68">
        <v>290323228.19999999</v>
      </c>
      <c r="F208" s="68">
        <v>0</v>
      </c>
      <c r="G208" s="68">
        <v>65816488.049999997</v>
      </c>
      <c r="H208" s="68">
        <v>10684191.487299999</v>
      </c>
      <c r="I208" s="68">
        <v>10684191.487299999</v>
      </c>
      <c r="J208" s="68">
        <f t="shared" si="48"/>
        <v>0</v>
      </c>
      <c r="K208" s="82">
        <v>369259535.85000002</v>
      </c>
      <c r="L208" s="69">
        <f t="shared" si="46"/>
        <v>725399252.10000002</v>
      </c>
      <c r="M208" s="63"/>
      <c r="N208" s="176"/>
      <c r="O208" s="70">
        <v>4</v>
      </c>
      <c r="P208" s="184"/>
      <c r="Q208" s="79" t="s">
        <v>532</v>
      </c>
      <c r="R208" s="68">
        <v>297752837.63</v>
      </c>
      <c r="S208" s="71">
        <v>0</v>
      </c>
      <c r="T208" s="68">
        <v>50066491.079999998</v>
      </c>
      <c r="U208" s="68">
        <v>8127446.3847000003</v>
      </c>
      <c r="V208" s="68">
        <v>8127446.3847000003</v>
      </c>
      <c r="W208" s="68">
        <f t="shared" ref="W208:W239" si="50">U208-V208</f>
        <v>0</v>
      </c>
      <c r="X208" s="68">
        <v>292258975.29000002</v>
      </c>
      <c r="Y208" s="69">
        <f t="shared" si="39"/>
        <v>640078304</v>
      </c>
    </row>
    <row r="209" spans="1:25" ht="24.95" customHeight="1">
      <c r="A209" s="174"/>
      <c r="B209" s="176"/>
      <c r="C209" s="64">
        <v>8</v>
      </c>
      <c r="D209" s="68" t="s">
        <v>533</v>
      </c>
      <c r="E209" s="68">
        <v>273053243.49000001</v>
      </c>
      <c r="F209" s="68">
        <v>0</v>
      </c>
      <c r="G209" s="68">
        <v>61901369.890000001</v>
      </c>
      <c r="H209" s="68">
        <v>10048638.4014</v>
      </c>
      <c r="I209" s="68">
        <v>10048638.4014</v>
      </c>
      <c r="J209" s="68">
        <f t="shared" si="48"/>
        <v>0</v>
      </c>
      <c r="K209" s="82">
        <v>361390084.33999997</v>
      </c>
      <c r="L209" s="69">
        <f t="shared" si="46"/>
        <v>696344697.72000003</v>
      </c>
      <c r="M209" s="63"/>
      <c r="N209" s="176"/>
      <c r="O209" s="70">
        <v>5</v>
      </c>
      <c r="P209" s="184"/>
      <c r="Q209" s="68" t="s">
        <v>534</v>
      </c>
      <c r="R209" s="68">
        <v>231422383.50999999</v>
      </c>
      <c r="S209" s="71">
        <v>0</v>
      </c>
      <c r="T209" s="68">
        <v>52463623.5</v>
      </c>
      <c r="U209" s="68">
        <v>8516580.2103000004</v>
      </c>
      <c r="V209" s="68">
        <v>8516580.2103000004</v>
      </c>
      <c r="W209" s="68">
        <f t="shared" si="50"/>
        <v>0</v>
      </c>
      <c r="X209" s="68">
        <v>255682446.13999999</v>
      </c>
      <c r="Y209" s="69">
        <f t="shared" si="39"/>
        <v>539568453.14999998</v>
      </c>
    </row>
    <row r="210" spans="1:25" ht="24.95" customHeight="1">
      <c r="A210" s="174"/>
      <c r="B210" s="176"/>
      <c r="C210" s="64">
        <v>9</v>
      </c>
      <c r="D210" s="68" t="s">
        <v>535</v>
      </c>
      <c r="E210" s="68">
        <v>256922979.83000001</v>
      </c>
      <c r="F210" s="68">
        <v>0</v>
      </c>
      <c r="G210" s="68">
        <v>58244627.329999998</v>
      </c>
      <c r="H210" s="68">
        <v>9455028.2149</v>
      </c>
      <c r="I210" s="68">
        <v>9455028.2149</v>
      </c>
      <c r="J210" s="68">
        <f t="shared" si="48"/>
        <v>0</v>
      </c>
      <c r="K210" s="82">
        <v>354500998.43000001</v>
      </c>
      <c r="L210" s="69">
        <f t="shared" si="46"/>
        <v>669668605.59000003</v>
      </c>
      <c r="M210" s="63"/>
      <c r="N210" s="176"/>
      <c r="O210" s="70">
        <v>6</v>
      </c>
      <c r="P210" s="184"/>
      <c r="Q210" s="68" t="s">
        <v>536</v>
      </c>
      <c r="R210" s="68">
        <v>355641781.56</v>
      </c>
      <c r="S210" s="71">
        <v>0</v>
      </c>
      <c r="T210" s="68">
        <v>80624251.840000004</v>
      </c>
      <c r="U210" s="68">
        <v>13087981.002</v>
      </c>
      <c r="V210" s="68">
        <v>13087981.002</v>
      </c>
      <c r="W210" s="68">
        <f t="shared" si="50"/>
        <v>0</v>
      </c>
      <c r="X210" s="68">
        <v>338484483.91000003</v>
      </c>
      <c r="Y210" s="69">
        <f t="shared" si="39"/>
        <v>774750517.30999994</v>
      </c>
    </row>
    <row r="211" spans="1:25" ht="24.95" customHeight="1">
      <c r="A211" s="174"/>
      <c r="B211" s="176"/>
      <c r="C211" s="64">
        <v>10</v>
      </c>
      <c r="D211" s="68" t="s">
        <v>537</v>
      </c>
      <c r="E211" s="68">
        <v>287297235.51999998</v>
      </c>
      <c r="F211" s="68">
        <v>0</v>
      </c>
      <c r="G211" s="68">
        <v>65130493.299999997</v>
      </c>
      <c r="H211" s="68">
        <v>10572831.864600001</v>
      </c>
      <c r="I211" s="68">
        <v>10572831.864600001</v>
      </c>
      <c r="J211" s="68">
        <f t="shared" si="48"/>
        <v>0</v>
      </c>
      <c r="K211" s="82">
        <v>385719142.08999997</v>
      </c>
      <c r="L211" s="69">
        <f t="shared" si="46"/>
        <v>738146870.90999997</v>
      </c>
      <c r="M211" s="63"/>
      <c r="N211" s="176"/>
      <c r="O211" s="70">
        <v>7</v>
      </c>
      <c r="P211" s="184"/>
      <c r="Q211" s="68" t="s">
        <v>538</v>
      </c>
      <c r="R211" s="68">
        <v>250471952.46000001</v>
      </c>
      <c r="S211" s="71">
        <v>0</v>
      </c>
      <c r="T211" s="68">
        <v>56782174.710000001</v>
      </c>
      <c r="U211" s="68">
        <v>9217623.8151999991</v>
      </c>
      <c r="V211" s="68">
        <v>9217623.8151999991</v>
      </c>
      <c r="W211" s="68">
        <f t="shared" si="50"/>
        <v>0</v>
      </c>
      <c r="X211" s="68">
        <v>264421673.22999999</v>
      </c>
      <c r="Y211" s="69">
        <f t="shared" si="39"/>
        <v>571675800.39999998</v>
      </c>
    </row>
    <row r="212" spans="1:25" ht="24.95" customHeight="1">
      <c r="A212" s="174"/>
      <c r="B212" s="176"/>
      <c r="C212" s="64">
        <v>11</v>
      </c>
      <c r="D212" s="68" t="s">
        <v>539</v>
      </c>
      <c r="E212" s="68">
        <v>241418226.00999999</v>
      </c>
      <c r="F212" s="68">
        <v>0</v>
      </c>
      <c r="G212" s="68">
        <v>54729688.299999997</v>
      </c>
      <c r="H212" s="68">
        <v>8884437.4295000006</v>
      </c>
      <c r="I212" s="68">
        <v>8884437.4295000006</v>
      </c>
      <c r="J212" s="68">
        <f t="shared" si="48"/>
        <v>0</v>
      </c>
      <c r="K212" s="82">
        <v>339188763.67000002</v>
      </c>
      <c r="L212" s="69">
        <f t="shared" si="46"/>
        <v>635336677.98000002</v>
      </c>
      <c r="M212" s="63"/>
      <c r="N212" s="176"/>
      <c r="O212" s="70">
        <v>8</v>
      </c>
      <c r="P212" s="184"/>
      <c r="Q212" s="68" t="s">
        <v>540</v>
      </c>
      <c r="R212" s="68">
        <v>252351639.24000001</v>
      </c>
      <c r="S212" s="71">
        <v>0</v>
      </c>
      <c r="T212" s="68">
        <v>57208301.079999998</v>
      </c>
      <c r="U212" s="68">
        <v>9286798.2094999999</v>
      </c>
      <c r="V212" s="68">
        <v>9286798.2094999999</v>
      </c>
      <c r="W212" s="68">
        <f t="shared" si="50"/>
        <v>0</v>
      </c>
      <c r="X212" s="68">
        <v>254724871.03999999</v>
      </c>
      <c r="Y212" s="69">
        <f t="shared" si="39"/>
        <v>564284811.36000001</v>
      </c>
    </row>
    <row r="213" spans="1:25" ht="24.95" customHeight="1">
      <c r="A213" s="174"/>
      <c r="B213" s="176"/>
      <c r="C213" s="64">
        <v>12</v>
      </c>
      <c r="D213" s="68" t="s">
        <v>541</v>
      </c>
      <c r="E213" s="68">
        <v>248986389.19</v>
      </c>
      <c r="F213" s="68">
        <v>0</v>
      </c>
      <c r="G213" s="68">
        <v>56445396.43</v>
      </c>
      <c r="H213" s="68">
        <v>9162953.5687000006</v>
      </c>
      <c r="I213" s="68">
        <v>9162953.5687000006</v>
      </c>
      <c r="J213" s="68">
        <f t="shared" si="48"/>
        <v>0</v>
      </c>
      <c r="K213" s="82">
        <v>356432587.68000001</v>
      </c>
      <c r="L213" s="69">
        <f t="shared" si="46"/>
        <v>661864373.29999995</v>
      </c>
      <c r="M213" s="63"/>
      <c r="N213" s="176"/>
      <c r="O213" s="70">
        <v>9</v>
      </c>
      <c r="P213" s="184"/>
      <c r="Q213" s="68" t="s">
        <v>542</v>
      </c>
      <c r="R213" s="68">
        <v>303388290.04000002</v>
      </c>
      <c r="S213" s="71">
        <v>0</v>
      </c>
      <c r="T213" s="68">
        <v>68778347.120000005</v>
      </c>
      <c r="U213" s="68">
        <v>11164999.114600001</v>
      </c>
      <c r="V213" s="68">
        <v>11164999.114600001</v>
      </c>
      <c r="W213" s="68">
        <f t="shared" si="50"/>
        <v>0</v>
      </c>
      <c r="X213" s="68">
        <v>272397978.62</v>
      </c>
      <c r="Y213" s="69">
        <f t="shared" si="39"/>
        <v>644564615.77999997</v>
      </c>
    </row>
    <row r="214" spans="1:25" ht="24.95" customHeight="1">
      <c r="A214" s="174"/>
      <c r="B214" s="176"/>
      <c r="C214" s="64">
        <v>13</v>
      </c>
      <c r="D214" s="68" t="s">
        <v>543</v>
      </c>
      <c r="E214" s="68">
        <v>228066159.13</v>
      </c>
      <c r="F214" s="68">
        <v>0</v>
      </c>
      <c r="G214" s="68">
        <v>51702764.979999997</v>
      </c>
      <c r="H214" s="68">
        <v>8393067.7233000007</v>
      </c>
      <c r="I214" s="68">
        <v>8393067.7233000007</v>
      </c>
      <c r="J214" s="68">
        <f t="shared" si="48"/>
        <v>0</v>
      </c>
      <c r="K214" s="82">
        <v>349223313.76999998</v>
      </c>
      <c r="L214" s="69">
        <f t="shared" si="46"/>
        <v>628992237.88</v>
      </c>
      <c r="M214" s="63"/>
      <c r="N214" s="176"/>
      <c r="O214" s="70">
        <v>10</v>
      </c>
      <c r="P214" s="184"/>
      <c r="Q214" s="68" t="s">
        <v>544</v>
      </c>
      <c r="R214" s="68">
        <v>329213525.31</v>
      </c>
      <c r="S214" s="71">
        <v>0</v>
      </c>
      <c r="T214" s="68">
        <v>74632946.829999998</v>
      </c>
      <c r="U214" s="68">
        <v>12115394.164100001</v>
      </c>
      <c r="V214" s="68">
        <v>12115394.164100001</v>
      </c>
      <c r="W214" s="68">
        <f t="shared" si="50"/>
        <v>0</v>
      </c>
      <c r="X214" s="68">
        <v>315097683.04000002</v>
      </c>
      <c r="Y214" s="69">
        <f t="shared" si="39"/>
        <v>718944155.18000007</v>
      </c>
    </row>
    <row r="215" spans="1:25" ht="24.95" customHeight="1">
      <c r="A215" s="174"/>
      <c r="B215" s="176"/>
      <c r="C215" s="64">
        <v>14</v>
      </c>
      <c r="D215" s="68" t="s">
        <v>545</v>
      </c>
      <c r="E215" s="68">
        <v>223360025.36000001</v>
      </c>
      <c r="F215" s="68">
        <v>0</v>
      </c>
      <c r="G215" s="68">
        <v>50635881.020000003</v>
      </c>
      <c r="H215" s="68">
        <v>8219877.1913000001</v>
      </c>
      <c r="I215" s="68">
        <v>8219877.1913000001</v>
      </c>
      <c r="J215" s="68">
        <f t="shared" si="48"/>
        <v>0</v>
      </c>
      <c r="K215" s="82">
        <v>343726317.13999999</v>
      </c>
      <c r="L215" s="69">
        <f t="shared" si="46"/>
        <v>617722223.51999998</v>
      </c>
      <c r="M215" s="63"/>
      <c r="N215" s="176"/>
      <c r="O215" s="70">
        <v>11</v>
      </c>
      <c r="P215" s="184"/>
      <c r="Q215" s="68" t="s">
        <v>546</v>
      </c>
      <c r="R215" s="68">
        <v>251897490.84999999</v>
      </c>
      <c r="S215" s="71">
        <v>0</v>
      </c>
      <c r="T215" s="68">
        <v>57105345.299999997</v>
      </c>
      <c r="U215" s="68">
        <v>9270085.0844999999</v>
      </c>
      <c r="V215" s="68">
        <v>9270085.0844999999</v>
      </c>
      <c r="W215" s="68">
        <f t="shared" si="50"/>
        <v>0</v>
      </c>
      <c r="X215" s="68">
        <v>271106391.76999998</v>
      </c>
      <c r="Y215" s="69">
        <f t="shared" si="39"/>
        <v>580109227.91999996</v>
      </c>
    </row>
    <row r="216" spans="1:25" ht="24.95" customHeight="1">
      <c r="A216" s="174"/>
      <c r="B216" s="176"/>
      <c r="C216" s="64">
        <v>15</v>
      </c>
      <c r="D216" s="68" t="s">
        <v>547</v>
      </c>
      <c r="E216" s="68">
        <v>242371390.06999999</v>
      </c>
      <c r="F216" s="68">
        <v>0</v>
      </c>
      <c r="G216" s="68">
        <v>54945771.289999999</v>
      </c>
      <c r="H216" s="68">
        <v>8919514.841</v>
      </c>
      <c r="I216" s="68">
        <v>8919514.841</v>
      </c>
      <c r="J216" s="68">
        <f t="shared" si="48"/>
        <v>0</v>
      </c>
      <c r="K216" s="82">
        <v>356536452.63</v>
      </c>
      <c r="L216" s="69">
        <f t="shared" si="46"/>
        <v>653853613.99000001</v>
      </c>
      <c r="M216" s="63"/>
      <c r="N216" s="176"/>
      <c r="O216" s="70">
        <v>12</v>
      </c>
      <c r="P216" s="184"/>
      <c r="Q216" s="68" t="s">
        <v>548</v>
      </c>
      <c r="R216" s="68">
        <v>260730414.49000001</v>
      </c>
      <c r="S216" s="71">
        <v>0</v>
      </c>
      <c r="T216" s="68">
        <v>59107775.549999997</v>
      </c>
      <c r="U216" s="68">
        <v>9595145.7009999994</v>
      </c>
      <c r="V216" s="68">
        <v>9595145.7009999994</v>
      </c>
      <c r="W216" s="68">
        <f t="shared" si="50"/>
        <v>0</v>
      </c>
      <c r="X216" s="68">
        <v>260755763.43000001</v>
      </c>
      <c r="Y216" s="69">
        <f t="shared" si="39"/>
        <v>580593953.47000003</v>
      </c>
    </row>
    <row r="217" spans="1:25" ht="24.95" customHeight="1">
      <c r="A217" s="174"/>
      <c r="B217" s="176"/>
      <c r="C217" s="64">
        <v>16</v>
      </c>
      <c r="D217" s="68" t="s">
        <v>549</v>
      </c>
      <c r="E217" s="68">
        <v>200160617.11000001</v>
      </c>
      <c r="F217" s="68">
        <v>0</v>
      </c>
      <c r="G217" s="68">
        <v>45376558.210000001</v>
      </c>
      <c r="H217" s="68">
        <v>7366115.2597000003</v>
      </c>
      <c r="I217" s="68">
        <v>7366115.2597000003</v>
      </c>
      <c r="J217" s="68">
        <f t="shared" si="48"/>
        <v>0</v>
      </c>
      <c r="K217" s="82">
        <v>325938883.38999999</v>
      </c>
      <c r="L217" s="69">
        <f t="shared" si="46"/>
        <v>571476058.71000004</v>
      </c>
      <c r="M217" s="63"/>
      <c r="N217" s="176"/>
      <c r="O217" s="70">
        <v>13</v>
      </c>
      <c r="P217" s="184"/>
      <c r="Q217" s="68" t="s">
        <v>550</v>
      </c>
      <c r="R217" s="68">
        <v>242301047.91</v>
      </c>
      <c r="S217" s="71">
        <v>0</v>
      </c>
      <c r="T217" s="68">
        <v>54929824.68</v>
      </c>
      <c r="U217" s="68">
        <v>8916926.1776999999</v>
      </c>
      <c r="V217" s="68">
        <v>8916926.1776999999</v>
      </c>
      <c r="W217" s="68">
        <f t="shared" si="50"/>
        <v>0</v>
      </c>
      <c r="X217" s="68">
        <v>292582152.20999998</v>
      </c>
      <c r="Y217" s="69">
        <f t="shared" si="39"/>
        <v>589813024.79999995</v>
      </c>
    </row>
    <row r="218" spans="1:25" ht="24.95" customHeight="1">
      <c r="A218" s="174"/>
      <c r="B218" s="176"/>
      <c r="C218" s="64">
        <v>17</v>
      </c>
      <c r="D218" s="68" t="s">
        <v>551</v>
      </c>
      <c r="E218" s="68">
        <v>252117771.21000001</v>
      </c>
      <c r="F218" s="68">
        <v>0</v>
      </c>
      <c r="G218" s="68">
        <v>57155283.020000003</v>
      </c>
      <c r="H218" s="68">
        <v>9278191.6271000002</v>
      </c>
      <c r="I218" s="68">
        <v>9278191.6271000002</v>
      </c>
      <c r="J218" s="68">
        <f t="shared" si="48"/>
        <v>0</v>
      </c>
      <c r="K218" s="82">
        <v>364862461.60000002</v>
      </c>
      <c r="L218" s="69">
        <f t="shared" si="46"/>
        <v>674135515.83000004</v>
      </c>
      <c r="M218" s="63"/>
      <c r="N218" s="176"/>
      <c r="O218" s="70">
        <v>14</v>
      </c>
      <c r="P218" s="184"/>
      <c r="Q218" s="68" t="s">
        <v>552</v>
      </c>
      <c r="R218" s="68">
        <v>303030524.76999998</v>
      </c>
      <c r="S218" s="71">
        <v>0</v>
      </c>
      <c r="T218" s="68">
        <v>68697241.469999999</v>
      </c>
      <c r="U218" s="68">
        <v>11151832.9871</v>
      </c>
      <c r="V218" s="68">
        <v>11151832.9871</v>
      </c>
      <c r="W218" s="68">
        <f t="shared" si="50"/>
        <v>0</v>
      </c>
      <c r="X218" s="68">
        <v>293782950.63</v>
      </c>
      <c r="Y218" s="69">
        <f t="shared" si="39"/>
        <v>665510716.87</v>
      </c>
    </row>
    <row r="219" spans="1:25" ht="24.95" customHeight="1">
      <c r="A219" s="174"/>
      <c r="B219" s="176"/>
      <c r="C219" s="64">
        <v>18</v>
      </c>
      <c r="D219" s="68" t="s">
        <v>553</v>
      </c>
      <c r="E219" s="68">
        <v>265075725.56</v>
      </c>
      <c r="F219" s="68">
        <v>0</v>
      </c>
      <c r="G219" s="68">
        <v>60092860.740000002</v>
      </c>
      <c r="H219" s="68">
        <v>9755057.5889999997</v>
      </c>
      <c r="I219" s="68">
        <v>9755057.5889999997</v>
      </c>
      <c r="J219" s="68">
        <f t="shared" si="48"/>
        <v>0</v>
      </c>
      <c r="K219" s="82">
        <v>354204348.17000002</v>
      </c>
      <c r="L219" s="69">
        <f t="shared" si="46"/>
        <v>679372934.47000003</v>
      </c>
      <c r="M219" s="63"/>
      <c r="N219" s="176"/>
      <c r="O219" s="70">
        <v>15</v>
      </c>
      <c r="P219" s="184"/>
      <c r="Q219" s="68" t="s">
        <v>554</v>
      </c>
      <c r="R219" s="68">
        <v>201111809.81</v>
      </c>
      <c r="S219" s="71">
        <v>0</v>
      </c>
      <c r="T219" s="68">
        <v>45592194.289999999</v>
      </c>
      <c r="U219" s="68">
        <v>7401120.1231000004</v>
      </c>
      <c r="V219" s="68">
        <v>7401120.1231000004</v>
      </c>
      <c r="W219" s="68">
        <f t="shared" si="50"/>
        <v>0</v>
      </c>
      <c r="X219" s="68">
        <v>234450282.63</v>
      </c>
      <c r="Y219" s="69">
        <f t="shared" si="39"/>
        <v>481154286.73000002</v>
      </c>
    </row>
    <row r="220" spans="1:25" ht="24.95" customHeight="1">
      <c r="A220" s="174"/>
      <c r="B220" s="176"/>
      <c r="C220" s="64">
        <v>19</v>
      </c>
      <c r="D220" s="68" t="s">
        <v>555</v>
      </c>
      <c r="E220" s="68">
        <v>346181182.18000001</v>
      </c>
      <c r="F220" s="68">
        <v>0</v>
      </c>
      <c r="G220" s="68">
        <v>78479527.049999997</v>
      </c>
      <c r="H220" s="68">
        <v>12739821.276799999</v>
      </c>
      <c r="I220" s="68">
        <v>12739821.276799999</v>
      </c>
      <c r="J220" s="68">
        <f t="shared" si="48"/>
        <v>0</v>
      </c>
      <c r="K220" s="82">
        <v>420583393.97000003</v>
      </c>
      <c r="L220" s="69">
        <f t="shared" si="46"/>
        <v>845244103.20000005</v>
      </c>
      <c r="M220" s="63"/>
      <c r="N220" s="176"/>
      <c r="O220" s="70">
        <v>16</v>
      </c>
      <c r="P220" s="184"/>
      <c r="Q220" s="68" t="s">
        <v>556</v>
      </c>
      <c r="R220" s="68">
        <v>332383081.36000001</v>
      </c>
      <c r="S220" s="71">
        <v>0</v>
      </c>
      <c r="T220" s="68">
        <v>75351487.5</v>
      </c>
      <c r="U220" s="68">
        <v>12232037.0659</v>
      </c>
      <c r="V220" s="68">
        <v>12232037.0659</v>
      </c>
      <c r="W220" s="68">
        <f t="shared" si="50"/>
        <v>0</v>
      </c>
      <c r="X220" s="68">
        <v>312503674.5</v>
      </c>
      <c r="Y220" s="69">
        <f t="shared" ref="Y220:Y283" si="51">R220+S220+T220+W220+X220</f>
        <v>720238243.36000001</v>
      </c>
    </row>
    <row r="221" spans="1:25" ht="24.95" customHeight="1">
      <c r="A221" s="174"/>
      <c r="B221" s="176"/>
      <c r="C221" s="64">
        <v>20</v>
      </c>
      <c r="D221" s="68" t="s">
        <v>557</v>
      </c>
      <c r="E221" s="68">
        <v>274423172.43000001</v>
      </c>
      <c r="F221" s="68">
        <v>0</v>
      </c>
      <c r="G221" s="68">
        <v>62211933.780000001</v>
      </c>
      <c r="H221" s="68">
        <v>10099053.1865</v>
      </c>
      <c r="I221" s="68">
        <v>10099053.1865</v>
      </c>
      <c r="J221" s="68">
        <f t="shared" si="48"/>
        <v>0</v>
      </c>
      <c r="K221" s="82">
        <v>380437721.27999997</v>
      </c>
      <c r="L221" s="69">
        <f t="shared" si="46"/>
        <v>717072827.49000001</v>
      </c>
      <c r="M221" s="63"/>
      <c r="N221" s="176"/>
      <c r="O221" s="70">
        <v>17</v>
      </c>
      <c r="P221" s="184"/>
      <c r="Q221" s="68" t="s">
        <v>558</v>
      </c>
      <c r="R221" s="68">
        <v>267810590.56</v>
      </c>
      <c r="S221" s="71">
        <v>0</v>
      </c>
      <c r="T221" s="68">
        <v>60712856.640000001</v>
      </c>
      <c r="U221" s="68">
        <v>9855703.4158999994</v>
      </c>
      <c r="V221" s="68">
        <v>9855703.4158999994</v>
      </c>
      <c r="W221" s="68">
        <f t="shared" si="50"/>
        <v>0</v>
      </c>
      <c r="X221" s="68">
        <v>260656755.47</v>
      </c>
      <c r="Y221" s="69">
        <f t="shared" si="51"/>
        <v>589180202.66999996</v>
      </c>
    </row>
    <row r="222" spans="1:25" ht="24.95" customHeight="1">
      <c r="A222" s="174"/>
      <c r="B222" s="176"/>
      <c r="C222" s="64">
        <v>21</v>
      </c>
      <c r="D222" s="68" t="s">
        <v>559</v>
      </c>
      <c r="E222" s="68">
        <v>217641945.69999999</v>
      </c>
      <c r="F222" s="68">
        <v>0</v>
      </c>
      <c r="G222" s="68">
        <v>49339588.18</v>
      </c>
      <c r="H222" s="68">
        <v>8009446.0162000004</v>
      </c>
      <c r="I222" s="68">
        <v>8009446.0162000004</v>
      </c>
      <c r="J222" s="68">
        <f t="shared" si="48"/>
        <v>0</v>
      </c>
      <c r="K222" s="82">
        <v>345622039.35000002</v>
      </c>
      <c r="L222" s="69">
        <f t="shared" si="46"/>
        <v>612603573.23000002</v>
      </c>
      <c r="M222" s="63"/>
      <c r="N222" s="177"/>
      <c r="O222" s="70">
        <v>18</v>
      </c>
      <c r="P222" s="185"/>
      <c r="Q222" s="68" t="s">
        <v>560</v>
      </c>
      <c r="R222" s="68">
        <v>314212777.47000003</v>
      </c>
      <c r="S222" s="71">
        <v>0</v>
      </c>
      <c r="T222" s="68">
        <v>71232266.329999998</v>
      </c>
      <c r="U222" s="68">
        <v>11563351.313999999</v>
      </c>
      <c r="V222" s="68">
        <v>11563351.313999999</v>
      </c>
      <c r="W222" s="68">
        <f t="shared" si="50"/>
        <v>0</v>
      </c>
      <c r="X222" s="68">
        <v>288298656.91000003</v>
      </c>
      <c r="Y222" s="69">
        <f t="shared" si="51"/>
        <v>673743700.71000004</v>
      </c>
    </row>
    <row r="223" spans="1:25" ht="24.95" customHeight="1">
      <c r="A223" s="174"/>
      <c r="B223" s="176"/>
      <c r="C223" s="64">
        <v>22</v>
      </c>
      <c r="D223" s="68" t="s">
        <v>561</v>
      </c>
      <c r="E223" s="68">
        <v>255726388.22999999</v>
      </c>
      <c r="F223" s="68">
        <v>0</v>
      </c>
      <c r="G223" s="68">
        <v>57973359.140000001</v>
      </c>
      <c r="H223" s="68">
        <v>9410992.4211999997</v>
      </c>
      <c r="I223" s="68">
        <v>9410992.4211999997</v>
      </c>
      <c r="J223" s="68">
        <f t="shared" si="48"/>
        <v>0</v>
      </c>
      <c r="K223" s="82">
        <v>372179336.62</v>
      </c>
      <c r="L223" s="69">
        <f t="shared" si="46"/>
        <v>685879083.99000001</v>
      </c>
      <c r="M223" s="63"/>
      <c r="N223" s="64"/>
      <c r="O223" s="170" t="s">
        <v>562</v>
      </c>
      <c r="P223" s="171"/>
      <c r="Q223" s="72"/>
      <c r="R223" s="72">
        <f t="shared" ref="R223:V223" si="52">SUM(R205:R222)</f>
        <v>4983506234.6199999</v>
      </c>
      <c r="S223" s="71">
        <v>0</v>
      </c>
      <c r="T223" s="72">
        <f t="shared" si="52"/>
        <v>1129764506.1499999</v>
      </c>
      <c r="U223" s="72">
        <f t="shared" si="52"/>
        <v>183398122.22270003</v>
      </c>
      <c r="V223" s="72">
        <f t="shared" si="52"/>
        <v>183398122.22270003</v>
      </c>
      <c r="W223" s="72">
        <f t="shared" si="50"/>
        <v>0</v>
      </c>
      <c r="X223" s="72">
        <f>SUM(X205:X222)</f>
        <v>5002970363.3200006</v>
      </c>
      <c r="Y223" s="72">
        <f>SUM(Y205:Y222)</f>
        <v>11116241104.09</v>
      </c>
    </row>
    <row r="224" spans="1:25" ht="24.95" customHeight="1">
      <c r="A224" s="174"/>
      <c r="B224" s="176"/>
      <c r="C224" s="64">
        <v>23</v>
      </c>
      <c r="D224" s="68" t="s">
        <v>563</v>
      </c>
      <c r="E224" s="68">
        <v>261526143.13</v>
      </c>
      <c r="F224" s="68">
        <v>0</v>
      </c>
      <c r="G224" s="68">
        <v>72044215.849999994</v>
      </c>
      <c r="H224" s="68">
        <v>11695157.558900001</v>
      </c>
      <c r="I224" s="68">
        <v>11695157.558900001</v>
      </c>
      <c r="J224" s="68">
        <f t="shared" si="48"/>
        <v>0</v>
      </c>
      <c r="K224" s="82">
        <v>351939868.00999999</v>
      </c>
      <c r="L224" s="69">
        <f t="shared" si="46"/>
        <v>685510226.99000001</v>
      </c>
      <c r="M224" s="63"/>
      <c r="N224" s="175">
        <v>29</v>
      </c>
      <c r="O224" s="70">
        <v>1</v>
      </c>
      <c r="P224" s="175" t="s">
        <v>111</v>
      </c>
      <c r="Q224" s="68" t="s">
        <v>564</v>
      </c>
      <c r="R224" s="68">
        <v>196368288.15000001</v>
      </c>
      <c r="S224" s="71">
        <v>0</v>
      </c>
      <c r="T224" s="68">
        <v>44516834.460000001</v>
      </c>
      <c r="U224" s="68">
        <v>7226553.6782</v>
      </c>
      <c r="V224" s="68">
        <v>0</v>
      </c>
      <c r="W224" s="68">
        <f t="shared" si="50"/>
        <v>7226553.6782</v>
      </c>
      <c r="X224" s="68">
        <v>215419676.59999999</v>
      </c>
      <c r="Y224" s="69">
        <f t="shared" si="51"/>
        <v>463531352.88820004</v>
      </c>
    </row>
    <row r="225" spans="1:25" ht="24.95" customHeight="1">
      <c r="A225" s="174"/>
      <c r="B225" s="176"/>
      <c r="C225" s="64">
        <v>24</v>
      </c>
      <c r="D225" s="68" t="s">
        <v>565</v>
      </c>
      <c r="E225" s="68">
        <v>317794369.44999999</v>
      </c>
      <c r="F225" s="68">
        <v>0</v>
      </c>
      <c r="G225" s="68">
        <v>59288167.810000002</v>
      </c>
      <c r="H225" s="68">
        <v>9624429.3281999994</v>
      </c>
      <c r="I225" s="68">
        <v>9624429.3281999994</v>
      </c>
      <c r="J225" s="68">
        <f t="shared" si="48"/>
        <v>0</v>
      </c>
      <c r="K225" s="82">
        <v>414003661.23000002</v>
      </c>
      <c r="L225" s="69">
        <f t="shared" si="46"/>
        <v>791086198.49000001</v>
      </c>
      <c r="M225" s="63"/>
      <c r="N225" s="176"/>
      <c r="O225" s="70">
        <v>2</v>
      </c>
      <c r="P225" s="176"/>
      <c r="Q225" s="68" t="s">
        <v>566</v>
      </c>
      <c r="R225" s="68">
        <v>196919128.37</v>
      </c>
      <c r="S225" s="71">
        <v>0</v>
      </c>
      <c r="T225" s="68">
        <v>44641710.340000004</v>
      </c>
      <c r="U225" s="68">
        <v>7246825.1613999996</v>
      </c>
      <c r="V225" s="68">
        <v>0</v>
      </c>
      <c r="W225" s="68">
        <f t="shared" si="50"/>
        <v>7246825.1613999996</v>
      </c>
      <c r="X225" s="68">
        <v>212597389.33000001</v>
      </c>
      <c r="Y225" s="69">
        <f t="shared" si="51"/>
        <v>461405053.20140004</v>
      </c>
    </row>
    <row r="226" spans="1:25" ht="24.95" customHeight="1">
      <c r="A226" s="174"/>
      <c r="B226" s="177"/>
      <c r="C226" s="64">
        <v>25</v>
      </c>
      <c r="D226" s="68" t="s">
        <v>567</v>
      </c>
      <c r="E226" s="68">
        <v>251154678.84</v>
      </c>
      <c r="F226" s="68">
        <v>0</v>
      </c>
      <c r="G226" s="68">
        <v>56936949.280000001</v>
      </c>
      <c r="H226" s="68">
        <v>9242748.8433999997</v>
      </c>
      <c r="I226" s="68">
        <v>9242748.8433999997</v>
      </c>
      <c r="J226" s="68">
        <f t="shared" si="48"/>
        <v>0</v>
      </c>
      <c r="K226" s="82">
        <v>344236301.54000002</v>
      </c>
      <c r="L226" s="69">
        <f t="shared" si="46"/>
        <v>652327929.66000009</v>
      </c>
      <c r="M226" s="63"/>
      <c r="N226" s="176"/>
      <c r="O226" s="70">
        <v>3</v>
      </c>
      <c r="P226" s="176"/>
      <c r="Q226" s="68" t="s">
        <v>568</v>
      </c>
      <c r="R226" s="68">
        <v>245328156.66</v>
      </c>
      <c r="S226" s="71">
        <v>0</v>
      </c>
      <c r="T226" s="68">
        <v>55616072.439999998</v>
      </c>
      <c r="U226" s="68">
        <v>9028326.8729999997</v>
      </c>
      <c r="V226" s="68">
        <v>0</v>
      </c>
      <c r="W226" s="68">
        <f t="shared" si="50"/>
        <v>9028326.8729999997</v>
      </c>
      <c r="X226" s="68">
        <v>243140037.18000001</v>
      </c>
      <c r="Y226" s="69">
        <f t="shared" si="51"/>
        <v>553112593.15300012</v>
      </c>
    </row>
    <row r="227" spans="1:25" ht="24.95" customHeight="1">
      <c r="A227" s="64"/>
      <c r="B227" s="169" t="s">
        <v>569</v>
      </c>
      <c r="C227" s="170"/>
      <c r="D227" s="72"/>
      <c r="E227" s="72">
        <f t="shared" ref="E227:L227" si="53">SUM(E202:E226)</f>
        <v>6431635853.0200014</v>
      </c>
      <c r="F227" s="68">
        <v>0</v>
      </c>
      <c r="G227" s="72">
        <f t="shared" si="53"/>
        <v>1458056549.1599998</v>
      </c>
      <c r="H227" s="72">
        <f t="shared" si="53"/>
        <v>236690772.06550002</v>
      </c>
      <c r="I227" s="72">
        <f t="shared" si="53"/>
        <v>236690772.06550002</v>
      </c>
      <c r="J227" s="72">
        <f t="shared" si="53"/>
        <v>0</v>
      </c>
      <c r="K227" s="72">
        <f t="shared" si="53"/>
        <v>9047283527.2000027</v>
      </c>
      <c r="L227" s="72">
        <f t="shared" si="53"/>
        <v>16936975929.380001</v>
      </c>
      <c r="M227" s="63"/>
      <c r="N227" s="176"/>
      <c r="O227" s="70">
        <v>4</v>
      </c>
      <c r="P227" s="176"/>
      <c r="Q227" s="68" t="s">
        <v>570</v>
      </c>
      <c r="R227" s="68">
        <v>216864667.94</v>
      </c>
      <c r="S227" s="71">
        <v>0</v>
      </c>
      <c r="T227" s="68">
        <v>49163378.740000002</v>
      </c>
      <c r="U227" s="68">
        <v>7980841.4006000003</v>
      </c>
      <c r="V227" s="68">
        <v>0</v>
      </c>
      <c r="W227" s="68">
        <f t="shared" si="50"/>
        <v>7980841.4006000003</v>
      </c>
      <c r="X227" s="68">
        <v>215288537.75999999</v>
      </c>
      <c r="Y227" s="69">
        <f t="shared" si="51"/>
        <v>489297425.84060001</v>
      </c>
    </row>
    <row r="228" spans="1:25" ht="24.95" customHeight="1">
      <c r="A228" s="174"/>
      <c r="B228" s="175" t="s">
        <v>571</v>
      </c>
      <c r="C228" s="64">
        <v>1</v>
      </c>
      <c r="D228" s="68" t="s">
        <v>572</v>
      </c>
      <c r="E228" s="68">
        <v>285202958.11119998</v>
      </c>
      <c r="F228" s="68">
        <f>-2937590.4685</f>
        <v>-2937590.4685</v>
      </c>
      <c r="G228" s="68">
        <v>64655719.079999998</v>
      </c>
      <c r="H228" s="68">
        <v>10495760.3156</v>
      </c>
      <c r="I228" s="68">
        <v>0</v>
      </c>
      <c r="J228" s="68">
        <f t="shared" ref="J228:J240" si="54">H228-I228</f>
        <v>10495760.3156</v>
      </c>
      <c r="K228" s="82">
        <v>237320581.78999999</v>
      </c>
      <c r="L228" s="69">
        <f t="shared" si="46"/>
        <v>594737428.82829988</v>
      </c>
      <c r="M228" s="63"/>
      <c r="N228" s="176"/>
      <c r="O228" s="70">
        <v>5</v>
      </c>
      <c r="P228" s="176"/>
      <c r="Q228" s="68" t="s">
        <v>573</v>
      </c>
      <c r="R228" s="68">
        <v>205222020.28</v>
      </c>
      <c r="S228" s="71">
        <v>0</v>
      </c>
      <c r="T228" s="68">
        <v>46523982.009999998</v>
      </c>
      <c r="U228" s="68">
        <v>7552380.0685000001</v>
      </c>
      <c r="V228" s="68">
        <v>0</v>
      </c>
      <c r="W228" s="68">
        <f t="shared" si="50"/>
        <v>7552380.0685000001</v>
      </c>
      <c r="X228" s="68">
        <v>213393936.38999999</v>
      </c>
      <c r="Y228" s="69">
        <f t="shared" si="51"/>
        <v>472692318.74849999</v>
      </c>
    </row>
    <row r="229" spans="1:25" ht="24.95" customHeight="1">
      <c r="A229" s="174"/>
      <c r="B229" s="176"/>
      <c r="C229" s="64">
        <v>2</v>
      </c>
      <c r="D229" s="68" t="s">
        <v>574</v>
      </c>
      <c r="E229" s="68">
        <v>267805129.52559999</v>
      </c>
      <c r="F229" s="68">
        <f>-2758392.8341</f>
        <v>-2758392.8341000001</v>
      </c>
      <c r="G229" s="68">
        <v>60711618.619999997</v>
      </c>
      <c r="H229" s="68">
        <v>9855502.4443999995</v>
      </c>
      <c r="I229" s="68">
        <v>0</v>
      </c>
      <c r="J229" s="68">
        <f t="shared" si="54"/>
        <v>9855502.4443999995</v>
      </c>
      <c r="K229" s="82">
        <v>239146811.62</v>
      </c>
      <c r="L229" s="69">
        <f t="shared" si="46"/>
        <v>574760669.37590003</v>
      </c>
      <c r="M229" s="63"/>
      <c r="N229" s="176"/>
      <c r="O229" s="70">
        <v>6</v>
      </c>
      <c r="P229" s="176"/>
      <c r="Q229" s="68" t="s">
        <v>575</v>
      </c>
      <c r="R229" s="68">
        <v>233737801.18000001</v>
      </c>
      <c r="S229" s="71">
        <v>0</v>
      </c>
      <c r="T229" s="68">
        <v>52988530.380000003</v>
      </c>
      <c r="U229" s="68">
        <v>8601789.9467999991</v>
      </c>
      <c r="V229" s="68">
        <v>0</v>
      </c>
      <c r="W229" s="68">
        <f t="shared" si="50"/>
        <v>8601789.9467999991</v>
      </c>
      <c r="X229" s="68">
        <v>239017569.91999999</v>
      </c>
      <c r="Y229" s="69">
        <f t="shared" si="51"/>
        <v>534345691.42680001</v>
      </c>
    </row>
    <row r="230" spans="1:25" ht="24.95" customHeight="1">
      <c r="A230" s="174"/>
      <c r="B230" s="176"/>
      <c r="C230" s="64">
        <v>3</v>
      </c>
      <c r="D230" s="68" t="s">
        <v>576</v>
      </c>
      <c r="E230" s="68">
        <v>270110560.34350002</v>
      </c>
      <c r="F230" s="68">
        <f>-2782138.7715</f>
        <v>-2782138.7714999998</v>
      </c>
      <c r="G230" s="68">
        <v>61234261.469999999</v>
      </c>
      <c r="H230" s="68">
        <v>9940344.6544000003</v>
      </c>
      <c r="I230" s="68">
        <v>0</v>
      </c>
      <c r="J230" s="68">
        <f t="shared" si="54"/>
        <v>9940344.6544000003</v>
      </c>
      <c r="K230" s="82">
        <v>239319048.11000001</v>
      </c>
      <c r="L230" s="69">
        <f t="shared" si="46"/>
        <v>577822075.80640006</v>
      </c>
      <c r="M230" s="63"/>
      <c r="N230" s="176"/>
      <c r="O230" s="70">
        <v>7</v>
      </c>
      <c r="P230" s="176"/>
      <c r="Q230" s="68" t="s">
        <v>577</v>
      </c>
      <c r="R230" s="68">
        <v>195907005.34</v>
      </c>
      <c r="S230" s="71">
        <v>0</v>
      </c>
      <c r="T230" s="68">
        <v>44412261.310000002</v>
      </c>
      <c r="U230" s="68">
        <v>7209577.9994000001</v>
      </c>
      <c r="V230" s="68">
        <v>0</v>
      </c>
      <c r="W230" s="68">
        <f t="shared" si="50"/>
        <v>7209577.9994000001</v>
      </c>
      <c r="X230" s="68">
        <v>218271853.06</v>
      </c>
      <c r="Y230" s="69">
        <f t="shared" si="51"/>
        <v>465800697.7094</v>
      </c>
    </row>
    <row r="231" spans="1:25" ht="24.95" customHeight="1">
      <c r="A231" s="174"/>
      <c r="B231" s="176"/>
      <c r="C231" s="64">
        <v>4</v>
      </c>
      <c r="D231" s="68" t="s">
        <v>93</v>
      </c>
      <c r="E231" s="68">
        <v>260462056.37729999</v>
      </c>
      <c r="F231" s="68">
        <f>-2682759.1807</f>
        <v>-2682759.1806999999</v>
      </c>
      <c r="G231" s="68">
        <v>59046938.57</v>
      </c>
      <c r="H231" s="68">
        <v>9585269.8484000005</v>
      </c>
      <c r="I231" s="68">
        <v>0</v>
      </c>
      <c r="J231" s="68">
        <f t="shared" si="54"/>
        <v>9585269.8484000005</v>
      </c>
      <c r="K231" s="82">
        <v>228022800.36000001</v>
      </c>
      <c r="L231" s="69">
        <f t="shared" si="46"/>
        <v>554434305.97500002</v>
      </c>
      <c r="M231" s="63"/>
      <c r="N231" s="176"/>
      <c r="O231" s="70">
        <v>8</v>
      </c>
      <c r="P231" s="176"/>
      <c r="Q231" s="68" t="s">
        <v>578</v>
      </c>
      <c r="R231" s="68">
        <v>203459482.52000001</v>
      </c>
      <c r="S231" s="71">
        <v>0</v>
      </c>
      <c r="T231" s="68">
        <v>46124413.409999996</v>
      </c>
      <c r="U231" s="68">
        <v>7487516.8779999996</v>
      </c>
      <c r="V231" s="68">
        <v>0</v>
      </c>
      <c r="W231" s="68">
        <f t="shared" si="50"/>
        <v>7487516.8779999996</v>
      </c>
      <c r="X231" s="68">
        <v>215359150.97999999</v>
      </c>
      <c r="Y231" s="69">
        <f t="shared" si="51"/>
        <v>472430563.78799999</v>
      </c>
    </row>
    <row r="232" spans="1:25" ht="24.95" customHeight="1">
      <c r="A232" s="174"/>
      <c r="B232" s="176"/>
      <c r="C232" s="64">
        <v>5</v>
      </c>
      <c r="D232" s="68" t="s">
        <v>579</v>
      </c>
      <c r="E232" s="68">
        <v>259616842.6665</v>
      </c>
      <c r="F232" s="68">
        <f>-2674053.4795</f>
        <v>-2674053.4794999999</v>
      </c>
      <c r="G232" s="68">
        <v>58855328</v>
      </c>
      <c r="H232" s="68">
        <v>9554165.1201000009</v>
      </c>
      <c r="I232" s="68">
        <v>0</v>
      </c>
      <c r="J232" s="68">
        <f t="shared" si="54"/>
        <v>9554165.1201000009</v>
      </c>
      <c r="K232" s="82">
        <v>235040036.19</v>
      </c>
      <c r="L232" s="69">
        <f t="shared" si="46"/>
        <v>560392318.49710011</v>
      </c>
      <c r="M232" s="63"/>
      <c r="N232" s="176"/>
      <c r="O232" s="70">
        <v>9</v>
      </c>
      <c r="P232" s="176"/>
      <c r="Q232" s="68" t="s">
        <v>580</v>
      </c>
      <c r="R232" s="68">
        <v>200112496.44</v>
      </c>
      <c r="S232" s="71">
        <v>0</v>
      </c>
      <c r="T232" s="68">
        <v>45365649.219999999</v>
      </c>
      <c r="U232" s="68">
        <v>7364344.3696999997</v>
      </c>
      <c r="V232" s="68">
        <v>0</v>
      </c>
      <c r="W232" s="68">
        <f t="shared" si="50"/>
        <v>7364344.3696999997</v>
      </c>
      <c r="X232" s="68">
        <v>214761367.08000001</v>
      </c>
      <c r="Y232" s="69">
        <f t="shared" si="51"/>
        <v>467603857.10969996</v>
      </c>
    </row>
    <row r="233" spans="1:25" ht="24.95" customHeight="1">
      <c r="A233" s="174"/>
      <c r="B233" s="176"/>
      <c r="C233" s="64">
        <v>6</v>
      </c>
      <c r="D233" s="68" t="s">
        <v>581</v>
      </c>
      <c r="E233" s="68">
        <v>269843663.0539</v>
      </c>
      <c r="F233" s="68">
        <f>-2779389.7295</f>
        <v>-2779389.7294999999</v>
      </c>
      <c r="G233" s="68">
        <v>61173755.659999996</v>
      </c>
      <c r="H233" s="68">
        <v>9930522.5614</v>
      </c>
      <c r="I233" s="68">
        <v>0</v>
      </c>
      <c r="J233" s="68">
        <f t="shared" si="54"/>
        <v>9930522.5614</v>
      </c>
      <c r="K233" s="82">
        <v>230401980.30000001</v>
      </c>
      <c r="L233" s="69">
        <f t="shared" si="46"/>
        <v>568570531.84580004</v>
      </c>
      <c r="M233" s="63"/>
      <c r="N233" s="176"/>
      <c r="O233" s="70">
        <v>10</v>
      </c>
      <c r="P233" s="176"/>
      <c r="Q233" s="68" t="s">
        <v>582</v>
      </c>
      <c r="R233" s="68">
        <v>227167227.15000001</v>
      </c>
      <c r="S233" s="71">
        <v>0</v>
      </c>
      <c r="T233" s="68">
        <v>51498976.450000003</v>
      </c>
      <c r="U233" s="68">
        <v>8359986.1079000002</v>
      </c>
      <c r="V233" s="68">
        <v>0</v>
      </c>
      <c r="W233" s="68">
        <f t="shared" si="50"/>
        <v>8359986.1079000002</v>
      </c>
      <c r="X233" s="68">
        <v>236507998.34999999</v>
      </c>
      <c r="Y233" s="69">
        <f t="shared" si="51"/>
        <v>523534188.05790007</v>
      </c>
    </row>
    <row r="234" spans="1:25" ht="24.95" customHeight="1">
      <c r="A234" s="174"/>
      <c r="B234" s="176"/>
      <c r="C234" s="64">
        <v>7</v>
      </c>
      <c r="D234" s="68" t="s">
        <v>583</v>
      </c>
      <c r="E234" s="68">
        <v>315291763.64420003</v>
      </c>
      <c r="F234" s="68">
        <f>-3247505.1655</f>
        <v>-3247505.1655000001</v>
      </c>
      <c r="G234" s="68">
        <v>71476873.280000001</v>
      </c>
      <c r="H234" s="68">
        <v>11603059.107799999</v>
      </c>
      <c r="I234" s="68">
        <v>0</v>
      </c>
      <c r="J234" s="68">
        <f t="shared" si="54"/>
        <v>11603059.107799999</v>
      </c>
      <c r="K234" s="82">
        <v>260813862.91999999</v>
      </c>
      <c r="L234" s="69">
        <f t="shared" si="46"/>
        <v>655938053.78649998</v>
      </c>
      <c r="M234" s="63"/>
      <c r="N234" s="176"/>
      <c r="O234" s="70">
        <v>11</v>
      </c>
      <c r="P234" s="176"/>
      <c r="Q234" s="68" t="s">
        <v>584</v>
      </c>
      <c r="R234" s="68">
        <v>240531615.21000001</v>
      </c>
      <c r="S234" s="71">
        <v>0</v>
      </c>
      <c r="T234" s="68">
        <v>54528692.990000002</v>
      </c>
      <c r="U234" s="68">
        <v>8851809.2457999997</v>
      </c>
      <c r="V234" s="68">
        <v>0</v>
      </c>
      <c r="W234" s="68">
        <f t="shared" si="50"/>
        <v>8851809.2457999997</v>
      </c>
      <c r="X234" s="68">
        <v>249439932.31999999</v>
      </c>
      <c r="Y234" s="69">
        <f t="shared" si="51"/>
        <v>553352049.7658</v>
      </c>
    </row>
    <row r="235" spans="1:25" ht="24.95" customHeight="1">
      <c r="A235" s="174"/>
      <c r="B235" s="176"/>
      <c r="C235" s="64">
        <v>8</v>
      </c>
      <c r="D235" s="68" t="s">
        <v>585</v>
      </c>
      <c r="E235" s="68">
        <v>279277044.02999997</v>
      </c>
      <c r="F235" s="68">
        <f>-2876553.5535</f>
        <v>-2876553.5534999999</v>
      </c>
      <c r="G235" s="68">
        <v>63312310.020000003</v>
      </c>
      <c r="H235" s="68">
        <v>10277680.6216</v>
      </c>
      <c r="I235" s="68">
        <v>0</v>
      </c>
      <c r="J235" s="68">
        <f t="shared" si="54"/>
        <v>10277680.6216</v>
      </c>
      <c r="K235" s="82">
        <v>237068391.69999999</v>
      </c>
      <c r="L235" s="69">
        <f t="shared" si="46"/>
        <v>587058872.81809998</v>
      </c>
      <c r="M235" s="63"/>
      <c r="N235" s="176"/>
      <c r="O235" s="70">
        <v>12</v>
      </c>
      <c r="P235" s="176"/>
      <c r="Q235" s="68" t="s">
        <v>586</v>
      </c>
      <c r="R235" s="68">
        <v>277999117.36000001</v>
      </c>
      <c r="S235" s="71">
        <v>0</v>
      </c>
      <c r="T235" s="68">
        <v>63022603.109999999</v>
      </c>
      <c r="U235" s="68">
        <v>10230651.6142</v>
      </c>
      <c r="V235" s="68">
        <v>0</v>
      </c>
      <c r="W235" s="68">
        <f t="shared" si="50"/>
        <v>10230651.6142</v>
      </c>
      <c r="X235" s="68">
        <v>257223452.40000001</v>
      </c>
      <c r="Y235" s="69">
        <f t="shared" si="51"/>
        <v>608475824.4842</v>
      </c>
    </row>
    <row r="236" spans="1:25" ht="24.95" customHeight="1">
      <c r="A236" s="174"/>
      <c r="B236" s="176"/>
      <c r="C236" s="64">
        <v>9</v>
      </c>
      <c r="D236" s="68" t="s">
        <v>587</v>
      </c>
      <c r="E236" s="68">
        <v>252678814.98019999</v>
      </c>
      <c r="F236" s="68">
        <f>-2602591.7943</f>
        <v>-2602591.7943000002</v>
      </c>
      <c r="G236" s="68">
        <v>57282472.049999997</v>
      </c>
      <c r="H236" s="68">
        <v>9298838.6109999996</v>
      </c>
      <c r="I236" s="68">
        <v>0</v>
      </c>
      <c r="J236" s="68">
        <f t="shared" si="54"/>
        <v>9298838.6109999996</v>
      </c>
      <c r="K236" s="82">
        <v>225811747.13</v>
      </c>
      <c r="L236" s="69">
        <f t="shared" si="46"/>
        <v>542469280.97689998</v>
      </c>
      <c r="M236" s="63"/>
      <c r="N236" s="176"/>
      <c r="O236" s="70">
        <v>13</v>
      </c>
      <c r="P236" s="176"/>
      <c r="Q236" s="68" t="s">
        <v>588</v>
      </c>
      <c r="R236" s="68">
        <v>259135276.34999999</v>
      </c>
      <c r="S236" s="71">
        <v>0</v>
      </c>
      <c r="T236" s="68">
        <v>58746156.57</v>
      </c>
      <c r="U236" s="68">
        <v>9536442.9876000006</v>
      </c>
      <c r="V236" s="68">
        <v>0</v>
      </c>
      <c r="W236" s="68">
        <f t="shared" si="50"/>
        <v>9536442.9876000006</v>
      </c>
      <c r="X236" s="68">
        <v>244373713.72</v>
      </c>
      <c r="Y236" s="69">
        <f t="shared" si="51"/>
        <v>571791589.62760007</v>
      </c>
    </row>
    <row r="237" spans="1:25" ht="24.95" customHeight="1">
      <c r="A237" s="174"/>
      <c r="B237" s="176"/>
      <c r="C237" s="64">
        <v>10</v>
      </c>
      <c r="D237" s="68" t="s">
        <v>589</v>
      </c>
      <c r="E237" s="68">
        <v>350969780.94400001</v>
      </c>
      <c r="F237" s="68">
        <f>-3614988.7437</f>
        <v>-3614988.7437</v>
      </c>
      <c r="G237" s="68">
        <v>79565105.890000001</v>
      </c>
      <c r="H237" s="68">
        <v>12916046.604900001</v>
      </c>
      <c r="I237" s="68">
        <v>0</v>
      </c>
      <c r="J237" s="68">
        <f t="shared" si="54"/>
        <v>12916046.604900001</v>
      </c>
      <c r="K237" s="82">
        <v>268087398.59999999</v>
      </c>
      <c r="L237" s="69">
        <f t="shared" si="46"/>
        <v>707923343.29519999</v>
      </c>
      <c r="M237" s="63"/>
      <c r="N237" s="176"/>
      <c r="O237" s="70">
        <v>14</v>
      </c>
      <c r="P237" s="176"/>
      <c r="Q237" s="68" t="s">
        <v>590</v>
      </c>
      <c r="R237" s="68">
        <v>225885703.16999999</v>
      </c>
      <c r="S237" s="71">
        <v>0</v>
      </c>
      <c r="T237" s="68">
        <v>51208454.020000003</v>
      </c>
      <c r="U237" s="68">
        <v>8312824.7158000004</v>
      </c>
      <c r="V237" s="68">
        <v>0</v>
      </c>
      <c r="W237" s="68">
        <f t="shared" si="50"/>
        <v>8312824.7158000004</v>
      </c>
      <c r="X237" s="68">
        <v>237515637.84999999</v>
      </c>
      <c r="Y237" s="69">
        <f t="shared" si="51"/>
        <v>522922619.75580001</v>
      </c>
    </row>
    <row r="238" spans="1:25" ht="24.95" customHeight="1">
      <c r="A238" s="174"/>
      <c r="B238" s="176"/>
      <c r="C238" s="64">
        <v>11</v>
      </c>
      <c r="D238" s="68" t="s">
        <v>591</v>
      </c>
      <c r="E238" s="68">
        <v>272277115.17500001</v>
      </c>
      <c r="F238" s="68">
        <f>-2804454.2863</f>
        <v>-2804454.2862999998</v>
      </c>
      <c r="G238" s="68">
        <v>61725421.030000001</v>
      </c>
      <c r="H238" s="68">
        <v>10020076.086200001</v>
      </c>
      <c r="I238" s="68">
        <v>0</v>
      </c>
      <c r="J238" s="68">
        <f t="shared" si="54"/>
        <v>10020076.086200001</v>
      </c>
      <c r="K238" s="82">
        <v>236163496.31999999</v>
      </c>
      <c r="L238" s="69">
        <f t="shared" si="46"/>
        <v>577381654.32489991</v>
      </c>
      <c r="M238" s="63"/>
      <c r="N238" s="176"/>
      <c r="O238" s="70">
        <v>15</v>
      </c>
      <c r="P238" s="176"/>
      <c r="Q238" s="68" t="s">
        <v>592</v>
      </c>
      <c r="R238" s="68">
        <v>177505786.90000001</v>
      </c>
      <c r="S238" s="71">
        <v>0</v>
      </c>
      <c r="T238" s="68">
        <v>40240691.640000001</v>
      </c>
      <c r="U238" s="68">
        <v>6532394.3563000001</v>
      </c>
      <c r="V238" s="68">
        <v>0</v>
      </c>
      <c r="W238" s="68">
        <f t="shared" si="50"/>
        <v>6532394.3563000001</v>
      </c>
      <c r="X238" s="68">
        <v>200796761.41</v>
      </c>
      <c r="Y238" s="69">
        <f t="shared" si="51"/>
        <v>425075634.30630004</v>
      </c>
    </row>
    <row r="239" spans="1:25" ht="24.95" customHeight="1">
      <c r="A239" s="174"/>
      <c r="B239" s="176"/>
      <c r="C239" s="64">
        <v>12</v>
      </c>
      <c r="D239" s="68" t="s">
        <v>593</v>
      </c>
      <c r="E239" s="68">
        <v>300436881.56199998</v>
      </c>
      <c r="F239" s="68">
        <f>-3094499.8801</f>
        <v>-3094499.8801000002</v>
      </c>
      <c r="G239" s="68">
        <v>68109260.659999996</v>
      </c>
      <c r="H239" s="68">
        <v>11056384.2666</v>
      </c>
      <c r="I239" s="68">
        <v>0</v>
      </c>
      <c r="J239" s="68">
        <f t="shared" si="54"/>
        <v>11056384.2666</v>
      </c>
      <c r="K239" s="82">
        <v>253989038.78</v>
      </c>
      <c r="L239" s="69">
        <f t="shared" si="46"/>
        <v>630497065.38849998</v>
      </c>
      <c r="M239" s="63"/>
      <c r="N239" s="176"/>
      <c r="O239" s="70">
        <v>16</v>
      </c>
      <c r="P239" s="176"/>
      <c r="Q239" s="68" t="s">
        <v>332</v>
      </c>
      <c r="R239" s="68">
        <v>228733005.94</v>
      </c>
      <c r="S239" s="71">
        <v>0</v>
      </c>
      <c r="T239" s="68">
        <v>51853939.640000001</v>
      </c>
      <c r="U239" s="68">
        <v>8417608.3673999999</v>
      </c>
      <c r="V239" s="68">
        <v>0</v>
      </c>
      <c r="W239" s="68">
        <f t="shared" si="50"/>
        <v>8417608.3673999999</v>
      </c>
      <c r="X239" s="68">
        <v>223097837.25999999</v>
      </c>
      <c r="Y239" s="69">
        <f t="shared" si="51"/>
        <v>512102391.20739996</v>
      </c>
    </row>
    <row r="240" spans="1:25" ht="24.95" customHeight="1">
      <c r="A240" s="174"/>
      <c r="B240" s="177"/>
      <c r="C240" s="64">
        <v>13</v>
      </c>
      <c r="D240" s="68" t="s">
        <v>594</v>
      </c>
      <c r="E240" s="68">
        <v>329052931.14609998</v>
      </c>
      <c r="F240" s="68">
        <f>-3389245.1908</f>
        <v>-3389245.1908</v>
      </c>
      <c r="G240" s="68">
        <v>74596540.019999996</v>
      </c>
      <c r="H240" s="68">
        <v>12109484.1349</v>
      </c>
      <c r="I240" s="68">
        <v>0</v>
      </c>
      <c r="J240" s="68">
        <f t="shared" si="54"/>
        <v>12109484.1349</v>
      </c>
      <c r="K240" s="82">
        <v>269117081.38</v>
      </c>
      <c r="L240" s="69">
        <f t="shared" si="46"/>
        <v>681486791.49019992</v>
      </c>
      <c r="M240" s="63"/>
      <c r="N240" s="176"/>
      <c r="O240" s="70">
        <v>17</v>
      </c>
      <c r="P240" s="176"/>
      <c r="Q240" s="68" t="s">
        <v>595</v>
      </c>
      <c r="R240" s="68">
        <v>201659418.27000001</v>
      </c>
      <c r="S240" s="71">
        <v>0</v>
      </c>
      <c r="T240" s="68">
        <v>45716337.530000001</v>
      </c>
      <c r="U240" s="68">
        <v>7421272.6739999996</v>
      </c>
      <c r="V240" s="68">
        <v>0</v>
      </c>
      <c r="W240" s="68">
        <f t="shared" ref="W240:W253" si="55">U240-V240</f>
        <v>7421272.6739999996</v>
      </c>
      <c r="X240" s="68">
        <v>210133772.41</v>
      </c>
      <c r="Y240" s="69">
        <f t="shared" si="51"/>
        <v>464930800.884</v>
      </c>
    </row>
    <row r="241" spans="1:25" ht="24.95" customHeight="1">
      <c r="A241" s="64"/>
      <c r="B241" s="169" t="s">
        <v>596</v>
      </c>
      <c r="C241" s="170"/>
      <c r="D241" s="72"/>
      <c r="E241" s="72">
        <f>SUM(E228:E240)</f>
        <v>3713025541.5595002</v>
      </c>
      <c r="F241" s="72">
        <f t="shared" ref="F241:L241" si="56">SUM(F228:F240)</f>
        <v>-38244163.077999994</v>
      </c>
      <c r="G241" s="72">
        <f t="shared" si="56"/>
        <v>841745604.34999979</v>
      </c>
      <c r="H241" s="72">
        <f t="shared" si="56"/>
        <v>136643134.37729999</v>
      </c>
      <c r="I241" s="72">
        <f t="shared" si="56"/>
        <v>0</v>
      </c>
      <c r="J241" s="72">
        <f t="shared" si="56"/>
        <v>136643134.37729999</v>
      </c>
      <c r="K241" s="72">
        <f t="shared" si="56"/>
        <v>3160302275.2000003</v>
      </c>
      <c r="L241" s="72">
        <f t="shared" si="56"/>
        <v>7813472392.4088001</v>
      </c>
      <c r="M241" s="63"/>
      <c r="N241" s="176"/>
      <c r="O241" s="70">
        <v>18</v>
      </c>
      <c r="P241" s="176"/>
      <c r="Q241" s="68" t="s">
        <v>597</v>
      </c>
      <c r="R241" s="68">
        <v>210232126.72999999</v>
      </c>
      <c r="S241" s="71">
        <v>0</v>
      </c>
      <c r="T241" s="68">
        <v>47659776.799999997</v>
      </c>
      <c r="U241" s="68">
        <v>7736757.1061000004</v>
      </c>
      <c r="V241" s="68">
        <v>0</v>
      </c>
      <c r="W241" s="68">
        <f t="shared" si="55"/>
        <v>7736757.1061000004</v>
      </c>
      <c r="X241" s="68">
        <v>226773461.06</v>
      </c>
      <c r="Y241" s="69">
        <f t="shared" si="51"/>
        <v>492402121.6961</v>
      </c>
    </row>
    <row r="242" spans="1:25" ht="24.95" customHeight="1">
      <c r="A242" s="174">
        <v>12</v>
      </c>
      <c r="B242" s="175" t="s">
        <v>598</v>
      </c>
      <c r="C242" s="64">
        <v>1</v>
      </c>
      <c r="D242" s="68" t="s">
        <v>599</v>
      </c>
      <c r="E242" s="68">
        <v>341626874.82999998</v>
      </c>
      <c r="F242" s="68">
        <v>0</v>
      </c>
      <c r="G242" s="68">
        <v>77447062.239999995</v>
      </c>
      <c r="H242" s="68">
        <v>12572218.112199999</v>
      </c>
      <c r="I242" s="68">
        <v>12572218.112199999</v>
      </c>
      <c r="J242" s="68">
        <f t="shared" ref="J242:J259" si="57">H242-I242</f>
        <v>0</v>
      </c>
      <c r="K242" s="82">
        <v>307632928.39999998</v>
      </c>
      <c r="L242" s="69">
        <f t="shared" si="46"/>
        <v>726706865.47000003</v>
      </c>
      <c r="M242" s="63"/>
      <c r="N242" s="176"/>
      <c r="O242" s="70">
        <v>19</v>
      </c>
      <c r="P242" s="176"/>
      <c r="Q242" s="68" t="s">
        <v>600</v>
      </c>
      <c r="R242" s="68">
        <v>222781805.38999999</v>
      </c>
      <c r="S242" s="71">
        <v>0</v>
      </c>
      <c r="T242" s="68">
        <v>50504798.130000003</v>
      </c>
      <c r="U242" s="68">
        <v>8198598.1056000004</v>
      </c>
      <c r="V242" s="68">
        <v>0</v>
      </c>
      <c r="W242" s="68">
        <f t="shared" si="55"/>
        <v>8198598.1056000004</v>
      </c>
      <c r="X242" s="68">
        <v>225641034.16999999</v>
      </c>
      <c r="Y242" s="69">
        <f t="shared" si="51"/>
        <v>507126235.79559994</v>
      </c>
    </row>
    <row r="243" spans="1:25" ht="24.95" customHeight="1">
      <c r="A243" s="174"/>
      <c r="B243" s="176"/>
      <c r="C243" s="64">
        <v>2</v>
      </c>
      <c r="D243" s="68" t="s">
        <v>601</v>
      </c>
      <c r="E243" s="68">
        <v>324471193.62</v>
      </c>
      <c r="F243" s="68">
        <v>0</v>
      </c>
      <c r="G243" s="68">
        <v>73557856.769999996</v>
      </c>
      <c r="H243" s="68">
        <v>11940871.511600001</v>
      </c>
      <c r="I243" s="68">
        <v>11940871.511600001</v>
      </c>
      <c r="J243" s="68">
        <f t="shared" si="57"/>
        <v>0</v>
      </c>
      <c r="K243" s="82">
        <v>336696061.07999998</v>
      </c>
      <c r="L243" s="69">
        <f t="shared" si="46"/>
        <v>734725111.47000003</v>
      </c>
      <c r="M243" s="63"/>
      <c r="N243" s="176"/>
      <c r="O243" s="70">
        <v>20</v>
      </c>
      <c r="P243" s="176"/>
      <c r="Q243" s="68" t="s">
        <v>340</v>
      </c>
      <c r="R243" s="68">
        <v>220475518.25999999</v>
      </c>
      <c r="S243" s="71">
        <v>0</v>
      </c>
      <c r="T243" s="68">
        <v>49981961.149999999</v>
      </c>
      <c r="U243" s="68">
        <v>8113724.3822999997</v>
      </c>
      <c r="V243" s="68">
        <v>0</v>
      </c>
      <c r="W243" s="68">
        <f t="shared" si="55"/>
        <v>8113724.3822999997</v>
      </c>
      <c r="X243" s="68">
        <v>231597203.56</v>
      </c>
      <c r="Y243" s="69">
        <f t="shared" si="51"/>
        <v>510168407.35229999</v>
      </c>
    </row>
    <row r="244" spans="1:25" ht="24.95" customHeight="1">
      <c r="A244" s="174"/>
      <c r="B244" s="176"/>
      <c r="C244" s="64">
        <v>3</v>
      </c>
      <c r="D244" s="68" t="s">
        <v>602</v>
      </c>
      <c r="E244" s="68">
        <v>214708531.81</v>
      </c>
      <c r="F244" s="68">
        <v>0</v>
      </c>
      <c r="G244" s="68">
        <v>48674581.109999999</v>
      </c>
      <c r="H244" s="68">
        <v>7901493.3876</v>
      </c>
      <c r="I244" s="68">
        <v>7901493.3876</v>
      </c>
      <c r="J244" s="68">
        <f t="shared" si="57"/>
        <v>0</v>
      </c>
      <c r="K244" s="82">
        <v>249050105.59</v>
      </c>
      <c r="L244" s="69">
        <f t="shared" si="46"/>
        <v>512433218.50999999</v>
      </c>
      <c r="M244" s="63"/>
      <c r="N244" s="176"/>
      <c r="O244" s="70">
        <v>21</v>
      </c>
      <c r="P244" s="176"/>
      <c r="Q244" s="68" t="s">
        <v>603</v>
      </c>
      <c r="R244" s="68">
        <v>238546201.47</v>
      </c>
      <c r="S244" s="71">
        <v>0</v>
      </c>
      <c r="T244" s="68">
        <v>54078598.240000002</v>
      </c>
      <c r="U244" s="68">
        <v>8778743.9912999999</v>
      </c>
      <c r="V244" s="68">
        <v>0</v>
      </c>
      <c r="W244" s="68">
        <f t="shared" si="55"/>
        <v>8778743.9912999999</v>
      </c>
      <c r="X244" s="68">
        <v>240602070.88</v>
      </c>
      <c r="Y244" s="69">
        <f t="shared" si="51"/>
        <v>542005614.58130002</v>
      </c>
    </row>
    <row r="245" spans="1:25" ht="24.95" customHeight="1">
      <c r="A245" s="174"/>
      <c r="B245" s="176"/>
      <c r="C245" s="64">
        <v>4</v>
      </c>
      <c r="D245" s="68" t="s">
        <v>604</v>
      </c>
      <c r="E245" s="68">
        <v>221048759.55000001</v>
      </c>
      <c r="F245" s="68">
        <v>0</v>
      </c>
      <c r="G245" s="68">
        <v>50111915.369999997</v>
      </c>
      <c r="H245" s="68">
        <v>8134820.2474999996</v>
      </c>
      <c r="I245" s="68">
        <v>8134820.2474999996</v>
      </c>
      <c r="J245" s="68">
        <f t="shared" si="57"/>
        <v>0</v>
      </c>
      <c r="K245" s="82">
        <v>254294164.90000001</v>
      </c>
      <c r="L245" s="69">
        <f t="shared" si="46"/>
        <v>525454839.82000005</v>
      </c>
      <c r="M245" s="63"/>
      <c r="N245" s="176"/>
      <c r="O245" s="70">
        <v>22</v>
      </c>
      <c r="P245" s="176"/>
      <c r="Q245" s="68" t="s">
        <v>605</v>
      </c>
      <c r="R245" s="68">
        <v>216520241.88999999</v>
      </c>
      <c r="S245" s="71">
        <v>0</v>
      </c>
      <c r="T245" s="68">
        <v>49085297.100000001</v>
      </c>
      <c r="U245" s="68">
        <v>7968166.1697000004</v>
      </c>
      <c r="V245" s="68">
        <v>0</v>
      </c>
      <c r="W245" s="68">
        <f t="shared" si="55"/>
        <v>7968166.1697000004</v>
      </c>
      <c r="X245" s="68">
        <v>225499807.72</v>
      </c>
      <c r="Y245" s="69">
        <f t="shared" si="51"/>
        <v>499073512.87969995</v>
      </c>
    </row>
    <row r="246" spans="1:25" ht="24.95" customHeight="1">
      <c r="A246" s="174"/>
      <c r="B246" s="176"/>
      <c r="C246" s="64">
        <v>5</v>
      </c>
      <c r="D246" s="68" t="s">
        <v>606</v>
      </c>
      <c r="E246" s="68">
        <v>264671605.69999999</v>
      </c>
      <c r="F246" s="68">
        <v>0</v>
      </c>
      <c r="G246" s="68">
        <v>60001246.479999997</v>
      </c>
      <c r="H246" s="68">
        <v>9740185.5654000007</v>
      </c>
      <c r="I246" s="68">
        <v>9740185.5654000007</v>
      </c>
      <c r="J246" s="68">
        <f t="shared" si="57"/>
        <v>0</v>
      </c>
      <c r="K246" s="82">
        <v>272367787.69999999</v>
      </c>
      <c r="L246" s="69">
        <f t="shared" si="46"/>
        <v>597040639.88</v>
      </c>
      <c r="M246" s="63"/>
      <c r="N246" s="176"/>
      <c r="O246" s="70">
        <v>23</v>
      </c>
      <c r="P246" s="176"/>
      <c r="Q246" s="68" t="s">
        <v>607</v>
      </c>
      <c r="R246" s="68">
        <v>266242021.84</v>
      </c>
      <c r="S246" s="71">
        <v>0</v>
      </c>
      <c r="T246" s="68">
        <v>60357260.960000001</v>
      </c>
      <c r="U246" s="68">
        <v>9797978.4842000008</v>
      </c>
      <c r="V246" s="68">
        <v>0</v>
      </c>
      <c r="W246" s="68">
        <f t="shared" si="55"/>
        <v>9797978.4842000008</v>
      </c>
      <c r="X246" s="68">
        <v>258452645.55000001</v>
      </c>
      <c r="Y246" s="69">
        <f t="shared" si="51"/>
        <v>594849906.83420002</v>
      </c>
    </row>
    <row r="247" spans="1:25" ht="24.95" customHeight="1">
      <c r="A247" s="174"/>
      <c r="B247" s="176"/>
      <c r="C247" s="64">
        <v>6</v>
      </c>
      <c r="D247" s="68" t="s">
        <v>608</v>
      </c>
      <c r="E247" s="68">
        <v>224961296.41</v>
      </c>
      <c r="F247" s="68">
        <v>0</v>
      </c>
      <c r="G247" s="68">
        <v>50998890.340000004</v>
      </c>
      <c r="H247" s="68">
        <v>8278805.6025</v>
      </c>
      <c r="I247" s="68">
        <v>8278805.6025</v>
      </c>
      <c r="J247" s="68">
        <f t="shared" si="57"/>
        <v>0</v>
      </c>
      <c r="K247" s="82">
        <v>256721167.56</v>
      </c>
      <c r="L247" s="69">
        <f t="shared" si="46"/>
        <v>532681354.31</v>
      </c>
      <c r="M247" s="63"/>
      <c r="N247" s="176"/>
      <c r="O247" s="70">
        <v>24</v>
      </c>
      <c r="P247" s="176"/>
      <c r="Q247" s="68" t="s">
        <v>609</v>
      </c>
      <c r="R247" s="68">
        <v>220784792.34</v>
      </c>
      <c r="S247" s="71">
        <v>0</v>
      </c>
      <c r="T247" s="68">
        <v>50052073.810000002</v>
      </c>
      <c r="U247" s="68">
        <v>8125105.9845000003</v>
      </c>
      <c r="V247" s="68">
        <v>0</v>
      </c>
      <c r="W247" s="68">
        <f t="shared" si="55"/>
        <v>8125105.9845000003</v>
      </c>
      <c r="X247" s="68">
        <v>230481589.34999999</v>
      </c>
      <c r="Y247" s="69">
        <f t="shared" si="51"/>
        <v>509443561.48449993</v>
      </c>
    </row>
    <row r="248" spans="1:25" ht="24.95" customHeight="1">
      <c r="A248" s="174"/>
      <c r="B248" s="176"/>
      <c r="C248" s="64">
        <v>7</v>
      </c>
      <c r="D248" s="68" t="s">
        <v>610</v>
      </c>
      <c r="E248" s="68">
        <v>225168211.97</v>
      </c>
      <c r="F248" s="68">
        <v>0</v>
      </c>
      <c r="G248" s="68">
        <v>51045798.240000002</v>
      </c>
      <c r="H248" s="68">
        <v>8286420.3064999999</v>
      </c>
      <c r="I248" s="68">
        <v>8286420.3064999999</v>
      </c>
      <c r="J248" s="68">
        <f t="shared" si="57"/>
        <v>0</v>
      </c>
      <c r="K248" s="82">
        <v>245039349.19</v>
      </c>
      <c r="L248" s="69">
        <f t="shared" si="46"/>
        <v>521253359.39999998</v>
      </c>
      <c r="M248" s="63"/>
      <c r="N248" s="176"/>
      <c r="O248" s="70">
        <v>25</v>
      </c>
      <c r="P248" s="176"/>
      <c r="Q248" s="68" t="s">
        <v>611</v>
      </c>
      <c r="R248" s="68">
        <v>290881216.54000002</v>
      </c>
      <c r="S248" s="71">
        <v>0</v>
      </c>
      <c r="T248" s="68">
        <v>65942984.409999996</v>
      </c>
      <c r="U248" s="68">
        <v>10704726.0287</v>
      </c>
      <c r="V248" s="68">
        <v>0</v>
      </c>
      <c r="W248" s="68">
        <f t="shared" si="55"/>
        <v>10704726.0287</v>
      </c>
      <c r="X248" s="68">
        <v>237056838.69999999</v>
      </c>
      <c r="Y248" s="69">
        <f t="shared" si="51"/>
        <v>604585765.67869997</v>
      </c>
    </row>
    <row r="249" spans="1:25" ht="24.95" customHeight="1">
      <c r="A249" s="174"/>
      <c r="B249" s="176"/>
      <c r="C249" s="64">
        <v>8</v>
      </c>
      <c r="D249" s="68" t="s">
        <v>612</v>
      </c>
      <c r="E249" s="68">
        <v>261213897.69999999</v>
      </c>
      <c r="F249" s="68">
        <v>0</v>
      </c>
      <c r="G249" s="68">
        <v>59217381.549999997</v>
      </c>
      <c r="H249" s="68">
        <v>9612938.3772999998</v>
      </c>
      <c r="I249" s="68">
        <v>9612938.3772999998</v>
      </c>
      <c r="J249" s="68">
        <f t="shared" si="57"/>
        <v>0</v>
      </c>
      <c r="K249" s="82">
        <v>264251003.09</v>
      </c>
      <c r="L249" s="69">
        <f t="shared" si="46"/>
        <v>584682282.34000003</v>
      </c>
      <c r="M249" s="63"/>
      <c r="N249" s="176"/>
      <c r="O249" s="70">
        <v>26</v>
      </c>
      <c r="P249" s="176"/>
      <c r="Q249" s="68" t="s">
        <v>613</v>
      </c>
      <c r="R249" s="68">
        <v>199101410.38</v>
      </c>
      <c r="S249" s="71">
        <v>0</v>
      </c>
      <c r="T249" s="68">
        <v>45136435.270000003</v>
      </c>
      <c r="U249" s="68">
        <v>7327135.3693000004</v>
      </c>
      <c r="V249" s="68">
        <v>0</v>
      </c>
      <c r="W249" s="68">
        <f t="shared" si="55"/>
        <v>7327135.3693000004</v>
      </c>
      <c r="X249" s="68">
        <v>215567628.12</v>
      </c>
      <c r="Y249" s="69">
        <f t="shared" si="51"/>
        <v>467132609.13929999</v>
      </c>
    </row>
    <row r="250" spans="1:25" ht="24.95" customHeight="1">
      <c r="A250" s="174"/>
      <c r="B250" s="176"/>
      <c r="C250" s="64">
        <v>9</v>
      </c>
      <c r="D250" s="68" t="s">
        <v>614</v>
      </c>
      <c r="E250" s="68">
        <v>287497956.13999999</v>
      </c>
      <c r="F250" s="68">
        <v>0</v>
      </c>
      <c r="G250" s="68">
        <v>65175996.810000002</v>
      </c>
      <c r="H250" s="68">
        <v>10580218.588500001</v>
      </c>
      <c r="I250" s="68">
        <v>10580218.588500001</v>
      </c>
      <c r="J250" s="68">
        <f t="shared" si="57"/>
        <v>0</v>
      </c>
      <c r="K250" s="82">
        <v>283534391.06</v>
      </c>
      <c r="L250" s="69">
        <f t="shared" si="46"/>
        <v>636208344.00999999</v>
      </c>
      <c r="M250" s="63"/>
      <c r="N250" s="176"/>
      <c r="O250" s="70">
        <v>27</v>
      </c>
      <c r="P250" s="176"/>
      <c r="Q250" s="68" t="s">
        <v>615</v>
      </c>
      <c r="R250" s="68">
        <v>240822649.18000001</v>
      </c>
      <c r="S250" s="71">
        <v>0</v>
      </c>
      <c r="T250" s="68">
        <v>54594670.600000001</v>
      </c>
      <c r="U250" s="68">
        <v>8862519.5932999998</v>
      </c>
      <c r="V250" s="68">
        <v>0</v>
      </c>
      <c r="W250" s="68">
        <f t="shared" si="55"/>
        <v>8862519.5932999998</v>
      </c>
      <c r="X250" s="68">
        <v>236179217.21000001</v>
      </c>
      <c r="Y250" s="69">
        <f t="shared" si="51"/>
        <v>540459056.58329999</v>
      </c>
    </row>
    <row r="251" spans="1:25" ht="24.95" customHeight="1">
      <c r="A251" s="174"/>
      <c r="B251" s="176"/>
      <c r="C251" s="64">
        <v>10</v>
      </c>
      <c r="D251" s="68" t="s">
        <v>616</v>
      </c>
      <c r="E251" s="68">
        <v>209196951.81</v>
      </c>
      <c r="F251" s="68">
        <v>0</v>
      </c>
      <c r="G251" s="68">
        <v>47425101.890000001</v>
      </c>
      <c r="H251" s="68">
        <v>7698661.6111000003</v>
      </c>
      <c r="I251" s="68">
        <v>7698661.6111000003</v>
      </c>
      <c r="J251" s="68">
        <f t="shared" si="57"/>
        <v>0</v>
      </c>
      <c r="K251" s="82">
        <v>235722887.00999999</v>
      </c>
      <c r="L251" s="69">
        <f t="shared" si="46"/>
        <v>492344940.70999998</v>
      </c>
      <c r="M251" s="63"/>
      <c r="N251" s="176"/>
      <c r="O251" s="70">
        <v>28</v>
      </c>
      <c r="P251" s="176"/>
      <c r="Q251" s="68" t="s">
        <v>617</v>
      </c>
      <c r="R251" s="68">
        <v>241594812.06</v>
      </c>
      <c r="S251" s="71">
        <v>0</v>
      </c>
      <c r="T251" s="68">
        <v>54769720.490000002</v>
      </c>
      <c r="U251" s="68">
        <v>8890935.9763999991</v>
      </c>
      <c r="V251" s="68">
        <v>0</v>
      </c>
      <c r="W251" s="68">
        <f t="shared" si="55"/>
        <v>8890935.9763999991</v>
      </c>
      <c r="X251" s="68">
        <v>242476870.66</v>
      </c>
      <c r="Y251" s="69">
        <f t="shared" si="51"/>
        <v>547732339.18640006</v>
      </c>
    </row>
    <row r="252" spans="1:25" ht="24.95" customHeight="1">
      <c r="A252" s="174"/>
      <c r="B252" s="176"/>
      <c r="C252" s="64">
        <v>11</v>
      </c>
      <c r="D252" s="68" t="s">
        <v>618</v>
      </c>
      <c r="E252" s="68">
        <v>358958638.98000002</v>
      </c>
      <c r="F252" s="68">
        <v>0</v>
      </c>
      <c r="G252" s="68">
        <v>81376185.840000004</v>
      </c>
      <c r="H252" s="68">
        <v>13210044.7448</v>
      </c>
      <c r="I252" s="68">
        <v>13210044.7448</v>
      </c>
      <c r="J252" s="68">
        <f t="shared" si="57"/>
        <v>0</v>
      </c>
      <c r="K252" s="82">
        <v>348355462.55000001</v>
      </c>
      <c r="L252" s="69">
        <f t="shared" si="46"/>
        <v>788690287.37000012</v>
      </c>
      <c r="M252" s="63"/>
      <c r="N252" s="176"/>
      <c r="O252" s="70">
        <v>29</v>
      </c>
      <c r="P252" s="176"/>
      <c r="Q252" s="68" t="s">
        <v>619</v>
      </c>
      <c r="R252" s="68">
        <v>212899531.47999999</v>
      </c>
      <c r="S252" s="71">
        <v>0</v>
      </c>
      <c r="T252" s="68">
        <v>48264479.409999996</v>
      </c>
      <c r="U252" s="68">
        <v>7834920.3265000004</v>
      </c>
      <c r="V252" s="68">
        <v>0</v>
      </c>
      <c r="W252" s="68">
        <f t="shared" si="55"/>
        <v>7834920.3265000004</v>
      </c>
      <c r="X252" s="68">
        <v>225462446.22999999</v>
      </c>
      <c r="Y252" s="69">
        <f t="shared" si="51"/>
        <v>494461377.44649994</v>
      </c>
    </row>
    <row r="253" spans="1:25" ht="24.95" customHeight="1">
      <c r="A253" s="174"/>
      <c r="B253" s="176"/>
      <c r="C253" s="64">
        <v>12</v>
      </c>
      <c r="D253" s="68" t="s">
        <v>620</v>
      </c>
      <c r="E253" s="68">
        <v>369425547.44</v>
      </c>
      <c r="F253" s="68">
        <v>0</v>
      </c>
      <c r="G253" s="68">
        <v>83749041.640000001</v>
      </c>
      <c r="H253" s="68">
        <v>13595237.6724</v>
      </c>
      <c r="I253" s="68">
        <v>13595237.6724</v>
      </c>
      <c r="J253" s="68">
        <f t="shared" si="57"/>
        <v>0</v>
      </c>
      <c r="K253" s="82">
        <v>349687399.81999999</v>
      </c>
      <c r="L253" s="69">
        <f t="shared" si="46"/>
        <v>802861988.89999998</v>
      </c>
      <c r="M253" s="63"/>
      <c r="N253" s="177"/>
      <c r="O253" s="70">
        <v>30</v>
      </c>
      <c r="P253" s="177"/>
      <c r="Q253" s="68" t="s">
        <v>621</v>
      </c>
      <c r="R253" s="68">
        <v>236866669.06</v>
      </c>
      <c r="S253" s="71">
        <v>0</v>
      </c>
      <c r="T253" s="68">
        <v>53697847.020000003</v>
      </c>
      <c r="U253" s="68">
        <v>8716935.4823000003</v>
      </c>
      <c r="V253" s="68">
        <v>0</v>
      </c>
      <c r="W253" s="68">
        <f t="shared" si="55"/>
        <v>8716935.4823000003</v>
      </c>
      <c r="X253" s="68">
        <v>245494558.55000001</v>
      </c>
      <c r="Y253" s="69">
        <f t="shared" si="51"/>
        <v>544776010.11229992</v>
      </c>
    </row>
    <row r="254" spans="1:25" ht="24.95" customHeight="1">
      <c r="A254" s="174"/>
      <c r="B254" s="176"/>
      <c r="C254" s="64">
        <v>13</v>
      </c>
      <c r="D254" s="68" t="s">
        <v>622</v>
      </c>
      <c r="E254" s="68">
        <v>289558429.63</v>
      </c>
      <c r="F254" s="68">
        <v>0</v>
      </c>
      <c r="G254" s="68">
        <v>65643107.649999999</v>
      </c>
      <c r="H254" s="68">
        <v>10656046.1186</v>
      </c>
      <c r="I254" s="68">
        <v>10656046.1186</v>
      </c>
      <c r="J254" s="68">
        <f t="shared" si="57"/>
        <v>0</v>
      </c>
      <c r="K254" s="82">
        <v>277970517.36000001</v>
      </c>
      <c r="L254" s="69">
        <f t="shared" si="46"/>
        <v>633172054.63999999</v>
      </c>
      <c r="M254" s="63"/>
      <c r="N254" s="64"/>
      <c r="O254" s="170" t="s">
        <v>623</v>
      </c>
      <c r="P254" s="171"/>
      <c r="Q254" s="72"/>
      <c r="R254" s="72">
        <f t="shared" ref="R254:Y254" si="58">SUM(R224:R253)</f>
        <v>6750285193.8500013</v>
      </c>
      <c r="S254" s="71">
        <v>0</v>
      </c>
      <c r="T254" s="72">
        <f t="shared" si="58"/>
        <v>1530294587.6499999</v>
      </c>
      <c r="U254" s="72">
        <f t="shared" si="58"/>
        <v>248417393.44479996</v>
      </c>
      <c r="V254" s="72">
        <f t="shared" si="58"/>
        <v>0</v>
      </c>
      <c r="W254" s="72">
        <f t="shared" si="58"/>
        <v>248417393.44479996</v>
      </c>
      <c r="X254" s="72">
        <f t="shared" si="58"/>
        <v>6887623995.7799997</v>
      </c>
      <c r="Y254" s="72">
        <f t="shared" si="58"/>
        <v>15416621170.7248</v>
      </c>
    </row>
    <row r="255" spans="1:25" ht="24.95" customHeight="1">
      <c r="A255" s="174"/>
      <c r="B255" s="176"/>
      <c r="C255" s="64">
        <v>14</v>
      </c>
      <c r="D255" s="68" t="s">
        <v>624</v>
      </c>
      <c r="E255" s="68">
        <v>276144696.62</v>
      </c>
      <c r="F255" s="68">
        <v>0</v>
      </c>
      <c r="G255" s="68">
        <v>62602204.57</v>
      </c>
      <c r="H255" s="68">
        <v>10162407.035800001</v>
      </c>
      <c r="I255" s="68">
        <v>10162407.035800001</v>
      </c>
      <c r="J255" s="68">
        <f t="shared" si="57"/>
        <v>0</v>
      </c>
      <c r="K255" s="82">
        <v>267185001.22999999</v>
      </c>
      <c r="L255" s="69">
        <f t="shared" si="46"/>
        <v>605931902.41999996</v>
      </c>
      <c r="M255" s="63"/>
      <c r="N255" s="175">
        <v>30</v>
      </c>
      <c r="O255" s="70">
        <v>1</v>
      </c>
      <c r="P255" s="175" t="s">
        <v>112</v>
      </c>
      <c r="Q255" s="68" t="s">
        <v>625</v>
      </c>
      <c r="R255" s="83">
        <v>233121831.69</v>
      </c>
      <c r="S255" s="71">
        <v>0</v>
      </c>
      <c r="T255" s="68">
        <v>52848889.649999999</v>
      </c>
      <c r="U255" s="68">
        <v>8579121.6400000006</v>
      </c>
      <c r="V255" s="68">
        <v>0</v>
      </c>
      <c r="W255" s="68">
        <f t="shared" ref="W255:W286" si="59">U255-V255</f>
        <v>8579121.6400000006</v>
      </c>
      <c r="X255" s="68">
        <v>406166413.35000002</v>
      </c>
      <c r="Y255" s="69">
        <f t="shared" si="51"/>
        <v>700716256.32999992</v>
      </c>
    </row>
    <row r="256" spans="1:25" ht="24.95" customHeight="1">
      <c r="A256" s="174"/>
      <c r="B256" s="176"/>
      <c r="C256" s="64">
        <v>15</v>
      </c>
      <c r="D256" s="68" t="s">
        <v>626</v>
      </c>
      <c r="E256" s="68">
        <v>301389215.13</v>
      </c>
      <c r="F256" s="68">
        <v>0</v>
      </c>
      <c r="G256" s="68">
        <v>68325155.370000005</v>
      </c>
      <c r="H256" s="68">
        <v>11091431.115</v>
      </c>
      <c r="I256" s="68">
        <v>11091431.115</v>
      </c>
      <c r="J256" s="68">
        <f t="shared" si="57"/>
        <v>0</v>
      </c>
      <c r="K256" s="82">
        <v>260275740.12</v>
      </c>
      <c r="L256" s="69">
        <f t="shared" si="46"/>
        <v>629990110.62</v>
      </c>
      <c r="M256" s="63"/>
      <c r="N256" s="176"/>
      <c r="O256" s="70">
        <v>2</v>
      </c>
      <c r="P256" s="176"/>
      <c r="Q256" s="68" t="s">
        <v>627</v>
      </c>
      <c r="R256" s="83">
        <v>270723991.38999999</v>
      </c>
      <c r="S256" s="71">
        <v>0</v>
      </c>
      <c r="T256" s="68">
        <v>61373326.740000002</v>
      </c>
      <c r="U256" s="68">
        <v>9962919.5438000001</v>
      </c>
      <c r="V256" s="68">
        <v>0</v>
      </c>
      <c r="W256" s="68">
        <f t="shared" si="59"/>
        <v>9962919.5438000001</v>
      </c>
      <c r="X256" s="68">
        <v>435004256.22000003</v>
      </c>
      <c r="Y256" s="69">
        <f t="shared" si="51"/>
        <v>777064493.89380002</v>
      </c>
    </row>
    <row r="257" spans="1:25" ht="24.95" customHeight="1">
      <c r="A257" s="174"/>
      <c r="B257" s="176"/>
      <c r="C257" s="64">
        <v>16</v>
      </c>
      <c r="D257" s="68" t="s">
        <v>628</v>
      </c>
      <c r="E257" s="68">
        <v>264380950.38</v>
      </c>
      <c r="F257" s="68">
        <v>0</v>
      </c>
      <c r="G257" s="68">
        <v>59935354.700000003</v>
      </c>
      <c r="H257" s="68">
        <v>9729489.1524999999</v>
      </c>
      <c r="I257" s="68">
        <v>9729489.1524999999</v>
      </c>
      <c r="J257" s="68">
        <f t="shared" si="57"/>
        <v>0</v>
      </c>
      <c r="K257" s="82">
        <v>267385258.84</v>
      </c>
      <c r="L257" s="69">
        <f t="shared" si="46"/>
        <v>591701563.91999996</v>
      </c>
      <c r="M257" s="63"/>
      <c r="N257" s="176"/>
      <c r="O257" s="70">
        <v>3</v>
      </c>
      <c r="P257" s="176"/>
      <c r="Q257" s="68" t="s">
        <v>629</v>
      </c>
      <c r="R257" s="83">
        <v>269670677.24000001</v>
      </c>
      <c r="S257" s="71">
        <v>0</v>
      </c>
      <c r="T257" s="68">
        <v>61134539.649999999</v>
      </c>
      <c r="U257" s="68">
        <v>9924156.5067999996</v>
      </c>
      <c r="V257" s="68">
        <v>0</v>
      </c>
      <c r="W257" s="68">
        <f t="shared" si="59"/>
        <v>9924156.5067999996</v>
      </c>
      <c r="X257" s="68">
        <v>419440578.60000002</v>
      </c>
      <c r="Y257" s="69">
        <f t="shared" si="51"/>
        <v>760169951.99679995</v>
      </c>
    </row>
    <row r="258" spans="1:25" ht="24.95" customHeight="1">
      <c r="A258" s="174"/>
      <c r="B258" s="176"/>
      <c r="C258" s="64">
        <v>17</v>
      </c>
      <c r="D258" s="68" t="s">
        <v>630</v>
      </c>
      <c r="E258" s="68">
        <v>216828278.84</v>
      </c>
      <c r="F258" s="68">
        <v>0</v>
      </c>
      <c r="G258" s="68">
        <v>49155129.310000002</v>
      </c>
      <c r="H258" s="68">
        <v>7979502.2445</v>
      </c>
      <c r="I258" s="68">
        <v>7979502.2445</v>
      </c>
      <c r="J258" s="68">
        <f t="shared" si="57"/>
        <v>0</v>
      </c>
      <c r="K258" s="82">
        <v>246090328.02000001</v>
      </c>
      <c r="L258" s="69">
        <f t="shared" si="46"/>
        <v>512073736.17000002</v>
      </c>
      <c r="M258" s="63"/>
      <c r="N258" s="176"/>
      <c r="O258" s="70">
        <v>4</v>
      </c>
      <c r="P258" s="176"/>
      <c r="Q258" s="68" t="s">
        <v>631</v>
      </c>
      <c r="R258" s="83">
        <v>288920402.44</v>
      </c>
      <c r="S258" s="71">
        <v>0</v>
      </c>
      <c r="T258" s="68">
        <v>65498466.420000002</v>
      </c>
      <c r="U258" s="68">
        <v>10632566.0658</v>
      </c>
      <c r="V258" s="68">
        <v>0</v>
      </c>
      <c r="W258" s="68">
        <f t="shared" si="59"/>
        <v>10632566.0658</v>
      </c>
      <c r="X258" s="68">
        <v>397430922.41000003</v>
      </c>
      <c r="Y258" s="69">
        <f t="shared" si="51"/>
        <v>762482357.33580005</v>
      </c>
    </row>
    <row r="259" spans="1:25" ht="24.95" customHeight="1">
      <c r="A259" s="174"/>
      <c r="B259" s="177"/>
      <c r="C259" s="64">
        <v>18</v>
      </c>
      <c r="D259" s="68" t="s">
        <v>632</v>
      </c>
      <c r="E259" s="68">
        <v>269820918.06999999</v>
      </c>
      <c r="F259" s="68">
        <v>0</v>
      </c>
      <c r="G259" s="68">
        <v>61168599.350000001</v>
      </c>
      <c r="H259" s="68">
        <v>9929685.5217000004</v>
      </c>
      <c r="I259" s="68">
        <v>9929685.5217000004</v>
      </c>
      <c r="J259" s="68">
        <f t="shared" si="57"/>
        <v>0</v>
      </c>
      <c r="K259" s="82">
        <v>254842258.02000001</v>
      </c>
      <c r="L259" s="69">
        <f t="shared" si="46"/>
        <v>585831775.44000006</v>
      </c>
      <c r="M259" s="63"/>
      <c r="N259" s="176"/>
      <c r="O259" s="70">
        <v>5</v>
      </c>
      <c r="P259" s="176"/>
      <c r="Q259" s="68" t="s">
        <v>633</v>
      </c>
      <c r="R259" s="83">
        <v>293138731.49000001</v>
      </c>
      <c r="S259" s="71">
        <v>0</v>
      </c>
      <c r="T259" s="68">
        <v>66454764.700000003</v>
      </c>
      <c r="U259" s="68">
        <v>10787804.8858</v>
      </c>
      <c r="V259" s="68">
        <v>0</v>
      </c>
      <c r="W259" s="68">
        <f t="shared" si="59"/>
        <v>10787804.8858</v>
      </c>
      <c r="X259" s="68">
        <v>461237255.70999998</v>
      </c>
      <c r="Y259" s="69">
        <f t="shared" si="51"/>
        <v>831618556.78579998</v>
      </c>
    </row>
    <row r="260" spans="1:25" ht="24.95" customHeight="1">
      <c r="A260" s="64"/>
      <c r="B260" s="169" t="s">
        <v>598</v>
      </c>
      <c r="C260" s="170"/>
      <c r="D260" s="72"/>
      <c r="E260" s="72">
        <f t="shared" ref="E260:L260" si="60">SUM(E242:E259)</f>
        <v>4921071954.6300001</v>
      </c>
      <c r="F260" s="68">
        <v>0</v>
      </c>
      <c r="G260" s="72">
        <f t="shared" si="60"/>
        <v>1115610609.23</v>
      </c>
      <c r="H260" s="72">
        <f t="shared" si="60"/>
        <v>181100476.91550004</v>
      </c>
      <c r="I260" s="72">
        <f t="shared" si="60"/>
        <v>181100476.91550004</v>
      </c>
      <c r="J260" s="72">
        <f t="shared" si="60"/>
        <v>0</v>
      </c>
      <c r="K260" s="72">
        <f t="shared" si="60"/>
        <v>4977101811.5400009</v>
      </c>
      <c r="L260" s="72">
        <f t="shared" si="60"/>
        <v>11013784375.400002</v>
      </c>
      <c r="M260" s="63"/>
      <c r="N260" s="176"/>
      <c r="O260" s="70">
        <v>6</v>
      </c>
      <c r="P260" s="176"/>
      <c r="Q260" s="68" t="s">
        <v>634</v>
      </c>
      <c r="R260" s="83">
        <v>301286947.16000003</v>
      </c>
      <c r="S260" s="71">
        <v>0</v>
      </c>
      <c r="T260" s="68">
        <v>68301971.150000006</v>
      </c>
      <c r="U260" s="68">
        <v>11087667.5493</v>
      </c>
      <c r="V260" s="68">
        <v>0</v>
      </c>
      <c r="W260" s="68">
        <f t="shared" si="59"/>
        <v>11087667.5493</v>
      </c>
      <c r="X260" s="68">
        <v>470660571.76999998</v>
      </c>
      <c r="Y260" s="69">
        <f t="shared" si="51"/>
        <v>851337157.62930012</v>
      </c>
    </row>
    <row r="261" spans="1:25" ht="24.95" customHeight="1">
      <c r="A261" s="174">
        <v>13</v>
      </c>
      <c r="B261" s="175" t="s">
        <v>635</v>
      </c>
      <c r="C261" s="64">
        <v>1</v>
      </c>
      <c r="D261" s="68" t="s">
        <v>636</v>
      </c>
      <c r="E261" s="68">
        <v>317045319.99000001</v>
      </c>
      <c r="F261" s="68">
        <v>0</v>
      </c>
      <c r="G261" s="68">
        <v>71874405.790000007</v>
      </c>
      <c r="H261" s="68">
        <v>11667591.773399999</v>
      </c>
      <c r="I261" s="68">
        <v>0</v>
      </c>
      <c r="J261" s="68">
        <f t="shared" ref="J261:J276" si="61">H261-I261</f>
        <v>11667591.773399999</v>
      </c>
      <c r="K261" s="82">
        <v>322099449.36000001</v>
      </c>
      <c r="L261" s="69">
        <f t="shared" si="46"/>
        <v>722686766.91340005</v>
      </c>
      <c r="M261" s="63"/>
      <c r="N261" s="176"/>
      <c r="O261" s="70">
        <v>7</v>
      </c>
      <c r="P261" s="176"/>
      <c r="Q261" s="68" t="s">
        <v>637</v>
      </c>
      <c r="R261" s="83">
        <v>326637333.85000002</v>
      </c>
      <c r="S261" s="71">
        <v>0</v>
      </c>
      <c r="T261" s="68">
        <v>74048922.340000004</v>
      </c>
      <c r="U261" s="68">
        <v>12020587.685900001</v>
      </c>
      <c r="V261" s="68">
        <v>0</v>
      </c>
      <c r="W261" s="68">
        <f t="shared" si="59"/>
        <v>12020587.685900001</v>
      </c>
      <c r="X261" s="68">
        <v>479479378.83999997</v>
      </c>
      <c r="Y261" s="69">
        <f t="shared" si="51"/>
        <v>892186222.71589994</v>
      </c>
    </row>
    <row r="262" spans="1:25" ht="24.95" customHeight="1">
      <c r="A262" s="174"/>
      <c r="B262" s="176"/>
      <c r="C262" s="64">
        <v>2</v>
      </c>
      <c r="D262" s="68" t="s">
        <v>638</v>
      </c>
      <c r="E262" s="68">
        <v>241250064.65000001</v>
      </c>
      <c r="F262" s="68">
        <v>0</v>
      </c>
      <c r="G262" s="68">
        <v>54691566</v>
      </c>
      <c r="H262" s="68">
        <v>8878248.9193999991</v>
      </c>
      <c r="I262" s="68">
        <v>0</v>
      </c>
      <c r="J262" s="68">
        <f t="shared" si="61"/>
        <v>8878248.9193999991</v>
      </c>
      <c r="K262" s="82">
        <v>262161151.53999999</v>
      </c>
      <c r="L262" s="69">
        <f t="shared" si="46"/>
        <v>566981031.10939991</v>
      </c>
      <c r="M262" s="63"/>
      <c r="N262" s="176"/>
      <c r="O262" s="70">
        <v>8</v>
      </c>
      <c r="P262" s="176"/>
      <c r="Q262" s="68" t="s">
        <v>639</v>
      </c>
      <c r="R262" s="83">
        <v>240393090.53999999</v>
      </c>
      <c r="S262" s="71">
        <v>0</v>
      </c>
      <c r="T262" s="68">
        <v>54497289.340000004</v>
      </c>
      <c r="U262" s="68">
        <v>8846711.3966000006</v>
      </c>
      <c r="V262" s="68">
        <v>0</v>
      </c>
      <c r="W262" s="68">
        <f t="shared" si="59"/>
        <v>8846711.3966000006</v>
      </c>
      <c r="X262" s="68">
        <v>413138441.76999998</v>
      </c>
      <c r="Y262" s="69">
        <f t="shared" si="51"/>
        <v>716875533.04659998</v>
      </c>
    </row>
    <row r="263" spans="1:25" ht="24.95" customHeight="1">
      <c r="A263" s="174"/>
      <c r="B263" s="176"/>
      <c r="C263" s="64">
        <v>3</v>
      </c>
      <c r="D263" s="68" t="s">
        <v>640</v>
      </c>
      <c r="E263" s="68">
        <v>230028544.52000001</v>
      </c>
      <c r="F263" s="68">
        <v>0</v>
      </c>
      <c r="G263" s="68">
        <v>52147639.189999998</v>
      </c>
      <c r="H263" s="68">
        <v>8465285.5112999994</v>
      </c>
      <c r="I263" s="68">
        <v>0</v>
      </c>
      <c r="J263" s="68">
        <f t="shared" si="61"/>
        <v>8465285.5112999994</v>
      </c>
      <c r="K263" s="82">
        <v>239276489.15000001</v>
      </c>
      <c r="L263" s="69">
        <f t="shared" si="46"/>
        <v>529917958.3713001</v>
      </c>
      <c r="M263" s="63"/>
      <c r="N263" s="176"/>
      <c r="O263" s="70">
        <v>9</v>
      </c>
      <c r="P263" s="176"/>
      <c r="Q263" s="68" t="s">
        <v>641</v>
      </c>
      <c r="R263" s="83">
        <v>285295865.80000001</v>
      </c>
      <c r="S263" s="71">
        <v>0</v>
      </c>
      <c r="T263" s="68">
        <v>64676781.32</v>
      </c>
      <c r="U263" s="68">
        <v>10499179.4136</v>
      </c>
      <c r="V263" s="68">
        <v>0</v>
      </c>
      <c r="W263" s="68">
        <f t="shared" si="59"/>
        <v>10499179.4136</v>
      </c>
      <c r="X263" s="68">
        <v>455436136.51999998</v>
      </c>
      <c r="Y263" s="69">
        <f t="shared" si="51"/>
        <v>815907963.05360007</v>
      </c>
    </row>
    <row r="264" spans="1:25" ht="24.95" customHeight="1">
      <c r="A264" s="174"/>
      <c r="B264" s="176"/>
      <c r="C264" s="64">
        <v>4</v>
      </c>
      <c r="D264" s="68" t="s">
        <v>642</v>
      </c>
      <c r="E264" s="68">
        <v>237516960.16999999</v>
      </c>
      <c r="F264" s="68">
        <v>0</v>
      </c>
      <c r="G264" s="68">
        <v>53845268.490000002</v>
      </c>
      <c r="H264" s="68">
        <v>8740866.8596000001</v>
      </c>
      <c r="I264" s="68">
        <v>0</v>
      </c>
      <c r="J264" s="68">
        <f t="shared" si="61"/>
        <v>8740866.8596000001</v>
      </c>
      <c r="K264" s="82">
        <v>258336081.77000001</v>
      </c>
      <c r="L264" s="69">
        <f t="shared" ref="L264:L327" si="62">E264+F264+G264+J264+K264</f>
        <v>558439177.28960001</v>
      </c>
      <c r="M264" s="63"/>
      <c r="N264" s="176"/>
      <c r="O264" s="70">
        <v>10</v>
      </c>
      <c r="P264" s="176"/>
      <c r="Q264" s="68" t="s">
        <v>643</v>
      </c>
      <c r="R264" s="83">
        <v>298691661.54000002</v>
      </c>
      <c r="S264" s="71">
        <v>0</v>
      </c>
      <c r="T264" s="68">
        <v>67713618</v>
      </c>
      <c r="U264" s="68">
        <v>10992158.386299999</v>
      </c>
      <c r="V264" s="68">
        <v>0</v>
      </c>
      <c r="W264" s="68">
        <f t="shared" si="59"/>
        <v>10992158.386299999</v>
      </c>
      <c r="X264" s="68">
        <v>461615354.04000002</v>
      </c>
      <c r="Y264" s="69">
        <f t="shared" si="51"/>
        <v>839012791.96630001</v>
      </c>
    </row>
    <row r="265" spans="1:25" ht="24.95" customHeight="1">
      <c r="A265" s="174"/>
      <c r="B265" s="176"/>
      <c r="C265" s="64">
        <v>5</v>
      </c>
      <c r="D265" s="68" t="s">
        <v>644</v>
      </c>
      <c r="E265" s="68">
        <v>251576745.96000001</v>
      </c>
      <c r="F265" s="68">
        <v>0</v>
      </c>
      <c r="G265" s="68">
        <v>57032632.200000003</v>
      </c>
      <c r="H265" s="68">
        <v>9258281.3450000007</v>
      </c>
      <c r="I265" s="68">
        <v>0</v>
      </c>
      <c r="J265" s="68">
        <f t="shared" si="61"/>
        <v>9258281.3450000007</v>
      </c>
      <c r="K265" s="82">
        <v>268543989.19999999</v>
      </c>
      <c r="L265" s="69">
        <f t="shared" si="62"/>
        <v>586411648.70500004</v>
      </c>
      <c r="M265" s="63"/>
      <c r="N265" s="176"/>
      <c r="O265" s="70">
        <v>11</v>
      </c>
      <c r="P265" s="176"/>
      <c r="Q265" s="68" t="s">
        <v>645</v>
      </c>
      <c r="R265" s="83">
        <v>216024499.19999999</v>
      </c>
      <c r="S265" s="71">
        <v>0</v>
      </c>
      <c r="T265" s="68">
        <v>48972911.869999997</v>
      </c>
      <c r="U265" s="68">
        <v>7949922.3322999999</v>
      </c>
      <c r="V265" s="68">
        <v>0</v>
      </c>
      <c r="W265" s="68">
        <f t="shared" si="59"/>
        <v>7949922.3322999999</v>
      </c>
      <c r="X265" s="68">
        <v>394511868.87</v>
      </c>
      <c r="Y265" s="69">
        <f t="shared" si="51"/>
        <v>667459202.2723</v>
      </c>
    </row>
    <row r="266" spans="1:25" ht="24.95" customHeight="1">
      <c r="A266" s="174"/>
      <c r="B266" s="176"/>
      <c r="C266" s="64">
        <v>6</v>
      </c>
      <c r="D266" s="68" t="s">
        <v>646</v>
      </c>
      <c r="E266" s="68">
        <v>256459413.99000001</v>
      </c>
      <c r="F266" s="68">
        <v>0</v>
      </c>
      <c r="G266" s="68">
        <v>58139536.609999999</v>
      </c>
      <c r="H266" s="68">
        <v>9437968.5181000009</v>
      </c>
      <c r="I266" s="68">
        <v>0</v>
      </c>
      <c r="J266" s="68">
        <f t="shared" si="61"/>
        <v>9437968.5181000009</v>
      </c>
      <c r="K266" s="82">
        <v>274004371.56</v>
      </c>
      <c r="L266" s="69">
        <f t="shared" si="62"/>
        <v>598041290.67810011</v>
      </c>
      <c r="M266" s="63"/>
      <c r="N266" s="176"/>
      <c r="O266" s="70">
        <v>12</v>
      </c>
      <c r="P266" s="176"/>
      <c r="Q266" s="68" t="s">
        <v>647</v>
      </c>
      <c r="R266" s="83">
        <v>223679634.97999999</v>
      </c>
      <c r="S266" s="71">
        <v>0</v>
      </c>
      <c r="T266" s="68">
        <v>51072889.619999997</v>
      </c>
      <c r="U266" s="68">
        <v>8290818.1327</v>
      </c>
      <c r="V266" s="68">
        <v>0</v>
      </c>
      <c r="W266" s="68">
        <f t="shared" si="59"/>
        <v>8290818.1327</v>
      </c>
      <c r="X266" s="68">
        <v>393806857.47000003</v>
      </c>
      <c r="Y266" s="69">
        <f t="shared" si="51"/>
        <v>676850200.20270002</v>
      </c>
    </row>
    <row r="267" spans="1:25" ht="24.95" customHeight="1">
      <c r="A267" s="174"/>
      <c r="B267" s="176"/>
      <c r="C267" s="64">
        <v>7</v>
      </c>
      <c r="D267" s="68" t="s">
        <v>648</v>
      </c>
      <c r="E267" s="68">
        <v>211324149.62</v>
      </c>
      <c r="F267" s="68">
        <v>0</v>
      </c>
      <c r="G267" s="68">
        <v>47907339.189999998</v>
      </c>
      <c r="H267" s="68">
        <v>7776944.6644000001</v>
      </c>
      <c r="I267" s="68">
        <v>0</v>
      </c>
      <c r="J267" s="68">
        <f t="shared" si="61"/>
        <v>7776944.6644000001</v>
      </c>
      <c r="K267" s="82">
        <v>241870497.68000001</v>
      </c>
      <c r="L267" s="69">
        <f t="shared" si="62"/>
        <v>508878931.15439999</v>
      </c>
      <c r="M267" s="63"/>
      <c r="N267" s="176"/>
      <c r="O267" s="70">
        <v>13</v>
      </c>
      <c r="P267" s="176"/>
      <c r="Q267" s="68" t="s">
        <v>649</v>
      </c>
      <c r="R267" s="83">
        <v>225287714.80000001</v>
      </c>
      <c r="S267" s="71">
        <v>0</v>
      </c>
      <c r="T267" s="68">
        <v>50066916.310000002</v>
      </c>
      <c r="U267" s="68">
        <v>8127515.4123999998</v>
      </c>
      <c r="V267" s="68">
        <v>0</v>
      </c>
      <c r="W267" s="68">
        <f t="shared" si="59"/>
        <v>8127515.4123999998</v>
      </c>
      <c r="X267" s="68">
        <v>394617228.27999997</v>
      </c>
      <c r="Y267" s="69">
        <f t="shared" si="51"/>
        <v>678099374.80239999</v>
      </c>
    </row>
    <row r="268" spans="1:25" ht="24.95" customHeight="1">
      <c r="A268" s="174"/>
      <c r="B268" s="176"/>
      <c r="C268" s="64">
        <v>8</v>
      </c>
      <c r="D268" s="68" t="s">
        <v>650</v>
      </c>
      <c r="E268" s="68">
        <v>260334447.21000001</v>
      </c>
      <c r="F268" s="68">
        <v>0</v>
      </c>
      <c r="G268" s="68">
        <v>59018009.479999997</v>
      </c>
      <c r="H268" s="68">
        <v>9580573.7004000004</v>
      </c>
      <c r="I268" s="68">
        <v>0</v>
      </c>
      <c r="J268" s="68">
        <f t="shared" si="61"/>
        <v>9580573.7004000004</v>
      </c>
      <c r="K268" s="82">
        <v>266241400.31</v>
      </c>
      <c r="L268" s="69">
        <f t="shared" si="62"/>
        <v>595174430.70039999</v>
      </c>
      <c r="M268" s="63"/>
      <c r="N268" s="176"/>
      <c r="O268" s="70">
        <v>14</v>
      </c>
      <c r="P268" s="176"/>
      <c r="Q268" s="68" t="s">
        <v>651</v>
      </c>
      <c r="R268" s="83">
        <v>220850264.11000001</v>
      </c>
      <c r="S268" s="71">
        <v>0</v>
      </c>
      <c r="T268" s="68">
        <v>74362586.379999995</v>
      </c>
      <c r="U268" s="68">
        <v>12071505.727299999</v>
      </c>
      <c r="V268" s="68">
        <v>0</v>
      </c>
      <c r="W268" s="68">
        <f t="shared" si="59"/>
        <v>12071505.727299999</v>
      </c>
      <c r="X268" s="68">
        <v>409116850.54000002</v>
      </c>
      <c r="Y268" s="69">
        <f t="shared" si="51"/>
        <v>716401206.75730002</v>
      </c>
    </row>
    <row r="269" spans="1:25" ht="24.95" customHeight="1">
      <c r="A269" s="174"/>
      <c r="B269" s="176"/>
      <c r="C269" s="64">
        <v>9</v>
      </c>
      <c r="D269" s="68" t="s">
        <v>652</v>
      </c>
      <c r="E269" s="68">
        <v>278547510.73000002</v>
      </c>
      <c r="F269" s="68">
        <v>0</v>
      </c>
      <c r="G269" s="68">
        <v>63146924.289999999</v>
      </c>
      <c r="H269" s="68">
        <v>10250833.0506</v>
      </c>
      <c r="I269" s="68">
        <v>0</v>
      </c>
      <c r="J269" s="68">
        <f t="shared" si="61"/>
        <v>10250833.0506</v>
      </c>
      <c r="K269" s="82">
        <v>289514248.63</v>
      </c>
      <c r="L269" s="69">
        <f t="shared" si="62"/>
        <v>641459516.70060003</v>
      </c>
      <c r="M269" s="63"/>
      <c r="N269" s="176"/>
      <c r="O269" s="70">
        <v>15</v>
      </c>
      <c r="P269" s="176"/>
      <c r="Q269" s="68" t="s">
        <v>653</v>
      </c>
      <c r="R269" s="83">
        <v>263873149.12</v>
      </c>
      <c r="S269" s="71">
        <v>0</v>
      </c>
      <c r="T269" s="68">
        <v>50708336.75</v>
      </c>
      <c r="U269" s="68">
        <v>8231639.1520999996</v>
      </c>
      <c r="V269" s="68">
        <v>0</v>
      </c>
      <c r="W269" s="68">
        <f t="shared" si="59"/>
        <v>8231639.1520999996</v>
      </c>
      <c r="X269" s="68">
        <v>400208375.88</v>
      </c>
      <c r="Y269" s="69">
        <f t="shared" si="51"/>
        <v>723021500.90210009</v>
      </c>
    </row>
    <row r="270" spans="1:25" ht="24.95" customHeight="1">
      <c r="A270" s="174"/>
      <c r="B270" s="176"/>
      <c r="C270" s="64">
        <v>10</v>
      </c>
      <c r="D270" s="68" t="s">
        <v>654</v>
      </c>
      <c r="E270" s="68">
        <v>243233146.31</v>
      </c>
      <c r="F270" s="68">
        <v>0</v>
      </c>
      <c r="G270" s="68">
        <v>55141132.060000002</v>
      </c>
      <c r="H270" s="68">
        <v>8951228.3512999993</v>
      </c>
      <c r="I270" s="68">
        <v>0</v>
      </c>
      <c r="J270" s="68">
        <f t="shared" si="61"/>
        <v>8951228.3512999993</v>
      </c>
      <c r="K270" s="82">
        <v>261848062.22</v>
      </c>
      <c r="L270" s="69">
        <f t="shared" si="62"/>
        <v>569173568.94130003</v>
      </c>
      <c r="M270" s="63"/>
      <c r="N270" s="176"/>
      <c r="O270" s="70">
        <v>16</v>
      </c>
      <c r="P270" s="176"/>
      <c r="Q270" s="68" t="s">
        <v>655</v>
      </c>
      <c r="R270" s="83">
        <v>234720027.41999999</v>
      </c>
      <c r="S270" s="71">
        <v>0</v>
      </c>
      <c r="T270" s="68">
        <v>53211201.789999999</v>
      </c>
      <c r="U270" s="68">
        <v>8637936.8763999995</v>
      </c>
      <c r="V270" s="68">
        <v>0</v>
      </c>
      <c r="W270" s="68">
        <f t="shared" si="59"/>
        <v>8637936.8763999995</v>
      </c>
      <c r="X270" s="68">
        <v>401825007.73000002</v>
      </c>
      <c r="Y270" s="69">
        <f t="shared" si="51"/>
        <v>698394173.81640005</v>
      </c>
    </row>
    <row r="271" spans="1:25" ht="24.95" customHeight="1">
      <c r="A271" s="174"/>
      <c r="B271" s="176"/>
      <c r="C271" s="64">
        <v>11</v>
      </c>
      <c r="D271" s="68" t="s">
        <v>656</v>
      </c>
      <c r="E271" s="68">
        <v>260664421.11000001</v>
      </c>
      <c r="F271" s="68">
        <v>0</v>
      </c>
      <c r="G271" s="68">
        <v>59092814.799999997</v>
      </c>
      <c r="H271" s="68">
        <v>9592717.0772999991</v>
      </c>
      <c r="I271" s="68">
        <v>0</v>
      </c>
      <c r="J271" s="68">
        <f t="shared" si="61"/>
        <v>9592717.0772999991</v>
      </c>
      <c r="K271" s="82">
        <v>269724238.80000001</v>
      </c>
      <c r="L271" s="69">
        <f t="shared" si="62"/>
        <v>599074191.78730011</v>
      </c>
      <c r="M271" s="63"/>
      <c r="N271" s="176"/>
      <c r="O271" s="70">
        <v>17</v>
      </c>
      <c r="P271" s="176"/>
      <c r="Q271" s="68" t="s">
        <v>657</v>
      </c>
      <c r="R271" s="83">
        <v>306665674.64999998</v>
      </c>
      <c r="S271" s="71">
        <v>0</v>
      </c>
      <c r="T271" s="68">
        <v>69521332.599999994</v>
      </c>
      <c r="U271" s="68">
        <v>11285610.217700001</v>
      </c>
      <c r="V271" s="68">
        <v>0</v>
      </c>
      <c r="W271" s="68">
        <f t="shared" si="59"/>
        <v>11285610.217700001</v>
      </c>
      <c r="X271" s="68">
        <v>452028768.25</v>
      </c>
      <c r="Y271" s="69">
        <f t="shared" si="51"/>
        <v>839501385.7177</v>
      </c>
    </row>
    <row r="272" spans="1:25" ht="24.95" customHeight="1">
      <c r="A272" s="174"/>
      <c r="B272" s="176"/>
      <c r="C272" s="64">
        <v>12</v>
      </c>
      <c r="D272" s="68" t="s">
        <v>658</v>
      </c>
      <c r="E272" s="68">
        <v>182923938.88999999</v>
      </c>
      <c r="F272" s="68">
        <v>0</v>
      </c>
      <c r="G272" s="68">
        <v>41468990.659999996</v>
      </c>
      <c r="H272" s="68">
        <v>6731787.8864000002</v>
      </c>
      <c r="I272" s="68">
        <v>0</v>
      </c>
      <c r="J272" s="68">
        <f t="shared" si="61"/>
        <v>6731787.8864000002</v>
      </c>
      <c r="K272" s="82">
        <v>223057490.91999999</v>
      </c>
      <c r="L272" s="69">
        <f t="shared" si="62"/>
        <v>454182208.35640001</v>
      </c>
      <c r="M272" s="63"/>
      <c r="N272" s="176"/>
      <c r="O272" s="70">
        <v>18</v>
      </c>
      <c r="P272" s="176"/>
      <c r="Q272" s="68" t="s">
        <v>659</v>
      </c>
      <c r="R272" s="83">
        <v>265166199.16999999</v>
      </c>
      <c r="S272" s="71">
        <v>0</v>
      </c>
      <c r="T272" s="68">
        <v>60113371.18</v>
      </c>
      <c r="U272" s="68">
        <v>9758387.1105000004</v>
      </c>
      <c r="V272" s="68">
        <v>0</v>
      </c>
      <c r="W272" s="68">
        <f t="shared" si="59"/>
        <v>9758387.1105000004</v>
      </c>
      <c r="X272" s="68">
        <v>404103685.25999999</v>
      </c>
      <c r="Y272" s="69">
        <f t="shared" si="51"/>
        <v>739141642.72049999</v>
      </c>
    </row>
    <row r="273" spans="1:25" ht="24.95" customHeight="1">
      <c r="A273" s="174"/>
      <c r="B273" s="176"/>
      <c r="C273" s="64">
        <v>13</v>
      </c>
      <c r="D273" s="68" t="s">
        <v>660</v>
      </c>
      <c r="E273" s="68">
        <v>231843748.94</v>
      </c>
      <c r="F273" s="68">
        <v>0</v>
      </c>
      <c r="G273" s="68">
        <v>52559147.350000001</v>
      </c>
      <c r="H273" s="68">
        <v>8532086.8888000008</v>
      </c>
      <c r="I273" s="68">
        <v>0</v>
      </c>
      <c r="J273" s="68">
        <f t="shared" si="61"/>
        <v>8532086.8888000008</v>
      </c>
      <c r="K273" s="82">
        <v>255046028.59</v>
      </c>
      <c r="L273" s="69">
        <f t="shared" si="62"/>
        <v>547981011.76880002</v>
      </c>
      <c r="M273" s="63"/>
      <c r="N273" s="176"/>
      <c r="O273" s="70">
        <v>19</v>
      </c>
      <c r="P273" s="176"/>
      <c r="Q273" s="68" t="s">
        <v>661</v>
      </c>
      <c r="R273" s="83">
        <v>243426447.84</v>
      </c>
      <c r="S273" s="71">
        <v>0</v>
      </c>
      <c r="T273" s="68">
        <v>55184953.659999996</v>
      </c>
      <c r="U273" s="68">
        <v>8958342.0449999999</v>
      </c>
      <c r="V273" s="68">
        <v>0</v>
      </c>
      <c r="W273" s="68">
        <f t="shared" si="59"/>
        <v>8958342.0449999999</v>
      </c>
      <c r="X273" s="68">
        <v>394512242.48000002</v>
      </c>
      <c r="Y273" s="69">
        <f t="shared" si="51"/>
        <v>702081986.0250001</v>
      </c>
    </row>
    <row r="274" spans="1:25" ht="24.95" customHeight="1">
      <c r="A274" s="174"/>
      <c r="B274" s="176"/>
      <c r="C274" s="64">
        <v>14</v>
      </c>
      <c r="D274" s="68" t="s">
        <v>662</v>
      </c>
      <c r="E274" s="68">
        <v>226241740.88</v>
      </c>
      <c r="F274" s="68">
        <v>0</v>
      </c>
      <c r="G274" s="68">
        <v>51289168.030000001</v>
      </c>
      <c r="H274" s="68">
        <v>8325927.2671999997</v>
      </c>
      <c r="I274" s="68">
        <v>0</v>
      </c>
      <c r="J274" s="68">
        <f t="shared" si="61"/>
        <v>8325927.2671999997</v>
      </c>
      <c r="K274" s="82">
        <v>249294226.56999999</v>
      </c>
      <c r="L274" s="69">
        <f t="shared" si="62"/>
        <v>535151062.74719995</v>
      </c>
      <c r="M274" s="63"/>
      <c r="N274" s="176"/>
      <c r="O274" s="70">
        <v>20</v>
      </c>
      <c r="P274" s="176"/>
      <c r="Q274" s="68" t="s">
        <v>663</v>
      </c>
      <c r="R274" s="83">
        <v>219800202.03</v>
      </c>
      <c r="S274" s="71">
        <v>0</v>
      </c>
      <c r="T274" s="68">
        <v>49828866.469999999</v>
      </c>
      <c r="U274" s="68">
        <v>8088872.0549999997</v>
      </c>
      <c r="V274" s="68">
        <v>0</v>
      </c>
      <c r="W274" s="68">
        <f t="shared" si="59"/>
        <v>8088872.0549999997</v>
      </c>
      <c r="X274" s="68">
        <v>431132858.19999999</v>
      </c>
      <c r="Y274" s="69">
        <f t="shared" si="51"/>
        <v>708850798.755</v>
      </c>
    </row>
    <row r="275" spans="1:25" ht="24.95" customHeight="1">
      <c r="A275" s="174"/>
      <c r="B275" s="176"/>
      <c r="C275" s="64">
        <v>15</v>
      </c>
      <c r="D275" s="68" t="s">
        <v>664</v>
      </c>
      <c r="E275" s="68">
        <v>242647318.86000001</v>
      </c>
      <c r="F275" s="68">
        <v>0</v>
      </c>
      <c r="G275" s="68">
        <v>55008324.549999997</v>
      </c>
      <c r="H275" s="68">
        <v>8929669.3025000002</v>
      </c>
      <c r="I275" s="68">
        <v>0</v>
      </c>
      <c r="J275" s="68">
        <f t="shared" si="61"/>
        <v>8929669.3025000002</v>
      </c>
      <c r="K275" s="82">
        <v>261527126.97999999</v>
      </c>
      <c r="L275" s="69">
        <f t="shared" si="62"/>
        <v>568112439.6925</v>
      </c>
      <c r="M275" s="63"/>
      <c r="N275" s="176"/>
      <c r="O275" s="70">
        <v>21</v>
      </c>
      <c r="P275" s="176"/>
      <c r="Q275" s="68" t="s">
        <v>665</v>
      </c>
      <c r="R275" s="83">
        <v>271451954.99000001</v>
      </c>
      <c r="S275" s="71">
        <v>0</v>
      </c>
      <c r="T275" s="68">
        <v>61538356.619999997</v>
      </c>
      <c r="U275" s="68">
        <v>9989709.3482000008</v>
      </c>
      <c r="V275" s="68">
        <v>0</v>
      </c>
      <c r="W275" s="68">
        <f t="shared" si="59"/>
        <v>9989709.3482000008</v>
      </c>
      <c r="X275" s="68">
        <v>411316321.69999999</v>
      </c>
      <c r="Y275" s="69">
        <f t="shared" si="51"/>
        <v>754296342.65820003</v>
      </c>
    </row>
    <row r="276" spans="1:25" ht="24.95" customHeight="1">
      <c r="A276" s="174"/>
      <c r="B276" s="177"/>
      <c r="C276" s="64">
        <v>16</v>
      </c>
      <c r="D276" s="68" t="s">
        <v>666</v>
      </c>
      <c r="E276" s="68">
        <v>235872119.61000001</v>
      </c>
      <c r="F276" s="68">
        <v>0</v>
      </c>
      <c r="G276" s="68">
        <v>53472381.93</v>
      </c>
      <c r="H276" s="68">
        <v>8680335.0461999997</v>
      </c>
      <c r="I276" s="68">
        <v>0</v>
      </c>
      <c r="J276" s="68">
        <f t="shared" si="61"/>
        <v>8680335.0461999997</v>
      </c>
      <c r="K276" s="82">
        <v>256936893.81</v>
      </c>
      <c r="L276" s="69">
        <f t="shared" si="62"/>
        <v>554961730.39619994</v>
      </c>
      <c r="M276" s="63"/>
      <c r="N276" s="176"/>
      <c r="O276" s="70">
        <v>22</v>
      </c>
      <c r="P276" s="176"/>
      <c r="Q276" s="68" t="s">
        <v>667</v>
      </c>
      <c r="R276" s="83">
        <v>251436344.30000001</v>
      </c>
      <c r="S276" s="71">
        <v>0</v>
      </c>
      <c r="T276" s="68">
        <v>57000803.039999999</v>
      </c>
      <c r="U276" s="68">
        <v>9253114.4203999992</v>
      </c>
      <c r="V276" s="68">
        <v>0</v>
      </c>
      <c r="W276" s="68">
        <f t="shared" si="59"/>
        <v>9253114.4203999992</v>
      </c>
      <c r="X276" s="68">
        <v>430282136.97000003</v>
      </c>
      <c r="Y276" s="69">
        <f t="shared" si="51"/>
        <v>747972398.73040009</v>
      </c>
    </row>
    <row r="277" spans="1:25" ht="24.95" customHeight="1">
      <c r="A277" s="64"/>
      <c r="B277" s="169" t="s">
        <v>668</v>
      </c>
      <c r="C277" s="170"/>
      <c r="D277" s="72"/>
      <c r="E277" s="72">
        <f t="shared" ref="E277:L277" si="63">SUM(E261:E276)</f>
        <v>3907509591.4400005</v>
      </c>
      <c r="F277" s="68">
        <v>0</v>
      </c>
      <c r="G277" s="72">
        <f t="shared" si="63"/>
        <v>885835280.61999989</v>
      </c>
      <c r="H277" s="72">
        <f t="shared" si="63"/>
        <v>143800346.16189998</v>
      </c>
      <c r="I277" s="72">
        <f t="shared" si="63"/>
        <v>0</v>
      </c>
      <c r="J277" s="72">
        <f t="shared" si="63"/>
        <v>143800346.16189998</v>
      </c>
      <c r="K277" s="72">
        <f t="shared" si="63"/>
        <v>4199481747.0900002</v>
      </c>
      <c r="L277" s="72">
        <f t="shared" si="63"/>
        <v>9136626965.3119011</v>
      </c>
      <c r="M277" s="63"/>
      <c r="N277" s="176"/>
      <c r="O277" s="70">
        <v>23</v>
      </c>
      <c r="P277" s="176"/>
      <c r="Q277" s="68" t="s">
        <v>669</v>
      </c>
      <c r="R277" s="83">
        <v>260299780.47999999</v>
      </c>
      <c r="S277" s="71">
        <v>0</v>
      </c>
      <c r="T277" s="68">
        <v>59010150.5</v>
      </c>
      <c r="U277" s="68">
        <v>9579297.9295000006</v>
      </c>
      <c r="V277" s="68">
        <v>0</v>
      </c>
      <c r="W277" s="68">
        <f t="shared" si="59"/>
        <v>9579297.9295000006</v>
      </c>
      <c r="X277" s="68">
        <v>393703366.13999999</v>
      </c>
      <c r="Y277" s="69">
        <f t="shared" si="51"/>
        <v>722592595.04949999</v>
      </c>
    </row>
    <row r="278" spans="1:25" ht="24.95" customHeight="1">
      <c r="A278" s="174">
        <v>14</v>
      </c>
      <c r="B278" s="175" t="s">
        <v>96</v>
      </c>
      <c r="C278" s="64">
        <v>1</v>
      </c>
      <c r="D278" s="68" t="s">
        <v>670</v>
      </c>
      <c r="E278" s="68">
        <v>295470448.82999998</v>
      </c>
      <c r="F278" s="68">
        <v>0</v>
      </c>
      <c r="G278" s="68">
        <v>66983366.729999997</v>
      </c>
      <c r="H278" s="68">
        <v>10873614.466600001</v>
      </c>
      <c r="I278" s="68">
        <v>0</v>
      </c>
      <c r="J278" s="68">
        <f t="shared" ref="J278:J294" si="64">H278-I278</f>
        <v>10873614.466600001</v>
      </c>
      <c r="K278" s="82">
        <v>252216165.75</v>
      </c>
      <c r="L278" s="69">
        <f t="shared" si="62"/>
        <v>625543595.7766</v>
      </c>
      <c r="M278" s="63"/>
      <c r="N278" s="176"/>
      <c r="O278" s="70">
        <v>24</v>
      </c>
      <c r="P278" s="176"/>
      <c r="Q278" s="68" t="s">
        <v>671</v>
      </c>
      <c r="R278" s="83">
        <v>222835595.19999999</v>
      </c>
      <c r="S278" s="71">
        <v>0</v>
      </c>
      <c r="T278" s="68">
        <v>50516992.32</v>
      </c>
      <c r="U278" s="68">
        <v>8200577.6255999999</v>
      </c>
      <c r="V278" s="68">
        <v>0</v>
      </c>
      <c r="W278" s="68">
        <f t="shared" si="59"/>
        <v>8200577.6255999999</v>
      </c>
      <c r="X278" s="68">
        <v>380391092.16000003</v>
      </c>
      <c r="Y278" s="69">
        <f t="shared" si="51"/>
        <v>661944257.30559993</v>
      </c>
    </row>
    <row r="279" spans="1:25" ht="24.95" customHeight="1">
      <c r="A279" s="174"/>
      <c r="B279" s="176"/>
      <c r="C279" s="64">
        <v>2</v>
      </c>
      <c r="D279" s="68" t="s">
        <v>672</v>
      </c>
      <c r="E279" s="68">
        <v>248955087.74000001</v>
      </c>
      <c r="F279" s="68">
        <v>0</v>
      </c>
      <c r="G279" s="68">
        <v>56438300.369999997</v>
      </c>
      <c r="H279" s="68">
        <v>9161801.6433000006</v>
      </c>
      <c r="I279" s="68">
        <v>0</v>
      </c>
      <c r="J279" s="68">
        <f t="shared" si="64"/>
        <v>9161801.6433000006</v>
      </c>
      <c r="K279" s="82">
        <v>228151253.75999999</v>
      </c>
      <c r="L279" s="69">
        <f t="shared" si="62"/>
        <v>542706443.51329994</v>
      </c>
      <c r="M279" s="63"/>
      <c r="N279" s="176"/>
      <c r="O279" s="70">
        <v>25</v>
      </c>
      <c r="P279" s="176"/>
      <c r="Q279" s="68" t="s">
        <v>673</v>
      </c>
      <c r="R279" s="83">
        <v>203916516.12</v>
      </c>
      <c r="S279" s="71">
        <v>0</v>
      </c>
      <c r="T279" s="68">
        <v>46228023.259999998</v>
      </c>
      <c r="U279" s="68">
        <v>7504336.1814000001</v>
      </c>
      <c r="V279" s="68">
        <v>0</v>
      </c>
      <c r="W279" s="68">
        <f t="shared" si="59"/>
        <v>7504336.1814000001</v>
      </c>
      <c r="X279" s="68">
        <v>386583759.81</v>
      </c>
      <c r="Y279" s="69">
        <f t="shared" si="51"/>
        <v>644232635.3714</v>
      </c>
    </row>
    <row r="280" spans="1:25" ht="24.95" customHeight="1">
      <c r="A280" s="174"/>
      <c r="B280" s="176"/>
      <c r="C280" s="64">
        <v>3</v>
      </c>
      <c r="D280" s="68" t="s">
        <v>674</v>
      </c>
      <c r="E280" s="68">
        <v>336987097.81</v>
      </c>
      <c r="F280" s="68">
        <v>0</v>
      </c>
      <c r="G280" s="68">
        <v>76395221.400000006</v>
      </c>
      <c r="H280" s="68">
        <v>12401469.576400001</v>
      </c>
      <c r="I280" s="68">
        <v>0</v>
      </c>
      <c r="J280" s="68">
        <f t="shared" si="64"/>
        <v>12401469.576400001</v>
      </c>
      <c r="K280" s="82">
        <v>282462163.32999998</v>
      </c>
      <c r="L280" s="69">
        <f t="shared" si="62"/>
        <v>708245952.1164</v>
      </c>
      <c r="M280" s="63"/>
      <c r="N280" s="176"/>
      <c r="O280" s="70">
        <v>26</v>
      </c>
      <c r="P280" s="176"/>
      <c r="Q280" s="68" t="s">
        <v>675</v>
      </c>
      <c r="R280" s="83">
        <v>270302956.77999997</v>
      </c>
      <c r="S280" s="71">
        <v>0</v>
      </c>
      <c r="T280" s="68">
        <v>61277877.880000003</v>
      </c>
      <c r="U280" s="68">
        <v>9947425.0397999994</v>
      </c>
      <c r="V280" s="68">
        <v>0</v>
      </c>
      <c r="W280" s="68">
        <f t="shared" si="59"/>
        <v>9947425.0397999994</v>
      </c>
      <c r="X280" s="68">
        <v>431778464.81</v>
      </c>
      <c r="Y280" s="69">
        <f t="shared" si="51"/>
        <v>773306724.50979996</v>
      </c>
    </row>
    <row r="281" spans="1:25" ht="24.95" customHeight="1">
      <c r="A281" s="174"/>
      <c r="B281" s="176"/>
      <c r="C281" s="64">
        <v>4</v>
      </c>
      <c r="D281" s="68" t="s">
        <v>676</v>
      </c>
      <c r="E281" s="68">
        <v>316780250.89999998</v>
      </c>
      <c r="F281" s="68">
        <v>0</v>
      </c>
      <c r="G281" s="68">
        <v>71814314.430000007</v>
      </c>
      <c r="H281" s="68">
        <v>11657836.959899999</v>
      </c>
      <c r="I281" s="68">
        <v>0</v>
      </c>
      <c r="J281" s="68">
        <f t="shared" si="64"/>
        <v>11657836.959899999</v>
      </c>
      <c r="K281" s="82">
        <v>269670708.57999998</v>
      </c>
      <c r="L281" s="69">
        <f t="shared" si="62"/>
        <v>669923110.86989999</v>
      </c>
      <c r="M281" s="63"/>
      <c r="N281" s="176"/>
      <c r="O281" s="70">
        <v>27</v>
      </c>
      <c r="P281" s="176"/>
      <c r="Q281" s="68" t="s">
        <v>677</v>
      </c>
      <c r="R281" s="83">
        <v>294502626.31</v>
      </c>
      <c r="S281" s="71">
        <v>0</v>
      </c>
      <c r="T281" s="68">
        <v>66763960.649999999</v>
      </c>
      <c r="U281" s="68">
        <v>10837997.6088</v>
      </c>
      <c r="V281" s="68">
        <v>0</v>
      </c>
      <c r="W281" s="68">
        <f t="shared" si="59"/>
        <v>10837997.6088</v>
      </c>
      <c r="X281" s="68">
        <v>455067378.56999999</v>
      </c>
      <c r="Y281" s="69">
        <f t="shared" si="51"/>
        <v>827171963.13879991</v>
      </c>
    </row>
    <row r="282" spans="1:25" ht="24.95" customHeight="1">
      <c r="A282" s="174"/>
      <c r="B282" s="176"/>
      <c r="C282" s="64">
        <v>5</v>
      </c>
      <c r="D282" s="68" t="s">
        <v>678</v>
      </c>
      <c r="E282" s="68">
        <v>306290021.35000002</v>
      </c>
      <c r="F282" s="68">
        <v>0</v>
      </c>
      <c r="G282" s="68">
        <v>69436171.730000004</v>
      </c>
      <c r="H282" s="68">
        <v>11271785.792300001</v>
      </c>
      <c r="I282" s="68">
        <v>0</v>
      </c>
      <c r="J282" s="68">
        <f t="shared" si="64"/>
        <v>11271785.792300001</v>
      </c>
      <c r="K282" s="82">
        <v>252436224.94999999</v>
      </c>
      <c r="L282" s="69">
        <f t="shared" si="62"/>
        <v>639434203.82229996</v>
      </c>
      <c r="M282" s="63"/>
      <c r="N282" s="176"/>
      <c r="O282" s="70">
        <v>28</v>
      </c>
      <c r="P282" s="176"/>
      <c r="Q282" s="68" t="s">
        <v>679</v>
      </c>
      <c r="R282" s="83">
        <v>225561012.90000001</v>
      </c>
      <c r="S282" s="71">
        <v>0</v>
      </c>
      <c r="T282" s="68">
        <v>51134846.5</v>
      </c>
      <c r="U282" s="68">
        <v>8300875.7822000002</v>
      </c>
      <c r="V282" s="68">
        <v>0</v>
      </c>
      <c r="W282" s="68">
        <f t="shared" si="59"/>
        <v>8300875.7822000002</v>
      </c>
      <c r="X282" s="68">
        <v>395058093.91000003</v>
      </c>
      <c r="Y282" s="69">
        <f t="shared" si="51"/>
        <v>680054829.09220004</v>
      </c>
    </row>
    <row r="283" spans="1:25" ht="24.95" customHeight="1">
      <c r="A283" s="174"/>
      <c r="B283" s="176"/>
      <c r="C283" s="64">
        <v>6</v>
      </c>
      <c r="D283" s="68" t="s">
        <v>680</v>
      </c>
      <c r="E283" s="68">
        <v>294488140.13999999</v>
      </c>
      <c r="F283" s="68">
        <v>0</v>
      </c>
      <c r="G283" s="68">
        <v>66760676.630000003</v>
      </c>
      <c r="H283" s="68">
        <v>10837464.5032</v>
      </c>
      <c r="I283" s="68">
        <v>0</v>
      </c>
      <c r="J283" s="68">
        <f t="shared" si="64"/>
        <v>10837464.5032</v>
      </c>
      <c r="K283" s="82">
        <v>241599523.58000001</v>
      </c>
      <c r="L283" s="69">
        <f t="shared" si="62"/>
        <v>613685804.85319996</v>
      </c>
      <c r="M283" s="63"/>
      <c r="N283" s="176"/>
      <c r="O283" s="70">
        <v>29</v>
      </c>
      <c r="P283" s="176"/>
      <c r="Q283" s="68" t="s">
        <v>681</v>
      </c>
      <c r="R283" s="83">
        <v>271263258.42000002</v>
      </c>
      <c r="S283" s="71">
        <v>0</v>
      </c>
      <c r="T283" s="68">
        <v>61495578.969999999</v>
      </c>
      <c r="U283" s="68">
        <v>9982765.1215000004</v>
      </c>
      <c r="V283" s="68">
        <v>0</v>
      </c>
      <c r="W283" s="68">
        <f t="shared" si="59"/>
        <v>9982765.1215000004</v>
      </c>
      <c r="X283" s="68">
        <v>412314247.20999998</v>
      </c>
      <c r="Y283" s="69">
        <f t="shared" si="51"/>
        <v>755055849.72149992</v>
      </c>
    </row>
    <row r="284" spans="1:25" ht="24.95" customHeight="1">
      <c r="A284" s="174"/>
      <c r="B284" s="176"/>
      <c r="C284" s="64">
        <v>7</v>
      </c>
      <c r="D284" s="68" t="s">
        <v>682</v>
      </c>
      <c r="E284" s="68">
        <v>297340527.32999998</v>
      </c>
      <c r="F284" s="68">
        <v>0</v>
      </c>
      <c r="G284" s="68">
        <v>67407314.890000001</v>
      </c>
      <c r="H284" s="68">
        <v>10942435.2665</v>
      </c>
      <c r="I284" s="68">
        <v>0</v>
      </c>
      <c r="J284" s="68">
        <f t="shared" si="64"/>
        <v>10942435.2665</v>
      </c>
      <c r="K284" s="82">
        <v>256368522.21000001</v>
      </c>
      <c r="L284" s="69">
        <f t="shared" si="62"/>
        <v>632058799.69649994</v>
      </c>
      <c r="M284" s="63"/>
      <c r="N284" s="176"/>
      <c r="O284" s="70">
        <v>30</v>
      </c>
      <c r="P284" s="176"/>
      <c r="Q284" s="68" t="s">
        <v>683</v>
      </c>
      <c r="R284" s="83">
        <v>229036700.86000001</v>
      </c>
      <c r="S284" s="71">
        <v>0</v>
      </c>
      <c r="T284" s="68">
        <v>51922787.5</v>
      </c>
      <c r="U284" s="68">
        <v>8428784.6510000005</v>
      </c>
      <c r="V284" s="68">
        <v>0</v>
      </c>
      <c r="W284" s="68">
        <f t="shared" si="59"/>
        <v>8428784.6510000005</v>
      </c>
      <c r="X284" s="68">
        <v>402308091.85000002</v>
      </c>
      <c r="Y284" s="69">
        <f t="shared" ref="Y284:Y347" si="65">R284+S284+T284+W284+X284</f>
        <v>691696364.86100006</v>
      </c>
    </row>
    <row r="285" spans="1:25" ht="24.95" customHeight="1">
      <c r="A285" s="174"/>
      <c r="B285" s="176"/>
      <c r="C285" s="64">
        <v>8</v>
      </c>
      <c r="D285" s="68" t="s">
        <v>684</v>
      </c>
      <c r="E285" s="68">
        <v>321816790.13999999</v>
      </c>
      <c r="F285" s="68">
        <v>0</v>
      </c>
      <c r="G285" s="68">
        <v>72956101.560000002</v>
      </c>
      <c r="H285" s="68">
        <v>11843186.7509</v>
      </c>
      <c r="I285" s="68">
        <v>0</v>
      </c>
      <c r="J285" s="68">
        <f t="shared" si="64"/>
        <v>11843186.7509</v>
      </c>
      <c r="K285" s="82">
        <v>275117640.81999999</v>
      </c>
      <c r="L285" s="69">
        <f t="shared" si="62"/>
        <v>681733719.27090001</v>
      </c>
      <c r="M285" s="63"/>
      <c r="N285" s="176"/>
      <c r="O285" s="70">
        <v>31</v>
      </c>
      <c r="P285" s="176"/>
      <c r="Q285" s="68" t="s">
        <v>685</v>
      </c>
      <c r="R285" s="83">
        <v>230036548.38999999</v>
      </c>
      <c r="S285" s="71">
        <v>0</v>
      </c>
      <c r="T285" s="68">
        <v>52149453.670000002</v>
      </c>
      <c r="U285" s="68">
        <v>8465580.0616999995</v>
      </c>
      <c r="V285" s="68">
        <v>0</v>
      </c>
      <c r="W285" s="68">
        <f t="shared" si="59"/>
        <v>8465580.0616999995</v>
      </c>
      <c r="X285" s="68">
        <v>406937180.98000002</v>
      </c>
      <c r="Y285" s="69">
        <f t="shared" si="65"/>
        <v>697588763.10170007</v>
      </c>
    </row>
    <row r="286" spans="1:25" ht="24.95" customHeight="1">
      <c r="A286" s="174"/>
      <c r="B286" s="176"/>
      <c r="C286" s="64">
        <v>9</v>
      </c>
      <c r="D286" s="68" t="s">
        <v>686</v>
      </c>
      <c r="E286" s="68">
        <v>292829575.77999997</v>
      </c>
      <c r="F286" s="68">
        <v>0</v>
      </c>
      <c r="G286" s="68">
        <v>66384678.880000003</v>
      </c>
      <c r="H286" s="68">
        <v>10776427.639599999</v>
      </c>
      <c r="I286" s="68">
        <v>0</v>
      </c>
      <c r="J286" s="68">
        <f t="shared" si="64"/>
        <v>10776427.639599999</v>
      </c>
      <c r="K286" s="82">
        <v>233234285.03999999</v>
      </c>
      <c r="L286" s="69">
        <f t="shared" si="62"/>
        <v>603224967.33959997</v>
      </c>
      <c r="M286" s="63"/>
      <c r="N286" s="176"/>
      <c r="O286" s="70">
        <v>32</v>
      </c>
      <c r="P286" s="176"/>
      <c r="Q286" s="68" t="s">
        <v>687</v>
      </c>
      <c r="R286" s="83">
        <v>228919506.44</v>
      </c>
      <c r="S286" s="71">
        <v>0</v>
      </c>
      <c r="T286" s="68">
        <v>51896219.460000001</v>
      </c>
      <c r="U286" s="68">
        <v>8424471.7763999999</v>
      </c>
      <c r="V286" s="68">
        <v>0</v>
      </c>
      <c r="W286" s="68">
        <f t="shared" si="59"/>
        <v>8424471.7763999999</v>
      </c>
      <c r="X286" s="68">
        <v>397218335.5</v>
      </c>
      <c r="Y286" s="69">
        <f t="shared" si="65"/>
        <v>686458533.17639995</v>
      </c>
    </row>
    <row r="287" spans="1:25" ht="24.95" customHeight="1">
      <c r="A287" s="174"/>
      <c r="B287" s="176"/>
      <c r="C287" s="64">
        <v>10</v>
      </c>
      <c r="D287" s="68" t="s">
        <v>688</v>
      </c>
      <c r="E287" s="68">
        <v>273844704.98000002</v>
      </c>
      <c r="F287" s="68">
        <v>0</v>
      </c>
      <c r="G287" s="68">
        <v>62080794.789999999</v>
      </c>
      <c r="H287" s="68">
        <v>10077764.993100001</v>
      </c>
      <c r="I287" s="68">
        <v>0</v>
      </c>
      <c r="J287" s="68">
        <f t="shared" si="64"/>
        <v>10077764.993100001</v>
      </c>
      <c r="K287" s="82">
        <v>233640404.47999999</v>
      </c>
      <c r="L287" s="69">
        <f t="shared" si="62"/>
        <v>579643669.24310005</v>
      </c>
      <c r="M287" s="63"/>
      <c r="N287" s="177"/>
      <c r="O287" s="70">
        <v>33</v>
      </c>
      <c r="P287" s="177"/>
      <c r="Q287" s="68" t="s">
        <v>689</v>
      </c>
      <c r="R287" s="83">
        <v>328020937.88999999</v>
      </c>
      <c r="S287" s="71">
        <v>0</v>
      </c>
      <c r="T287" s="68">
        <v>59820235.789999999</v>
      </c>
      <c r="U287" s="68">
        <v>9710801.5472999997</v>
      </c>
      <c r="V287" s="68">
        <v>0</v>
      </c>
      <c r="W287" s="68">
        <f t="shared" ref="W287:W318" si="66">U287-V287</f>
        <v>9710801.5472999997</v>
      </c>
      <c r="X287" s="68">
        <v>459903076.79000002</v>
      </c>
      <c r="Y287" s="69">
        <f t="shared" si="65"/>
        <v>857455052.01730001</v>
      </c>
    </row>
    <row r="288" spans="1:25" ht="24.95" customHeight="1">
      <c r="A288" s="174"/>
      <c r="B288" s="176"/>
      <c r="C288" s="64">
        <v>11</v>
      </c>
      <c r="D288" s="68" t="s">
        <v>690</v>
      </c>
      <c r="E288" s="68">
        <v>286696998.33999997</v>
      </c>
      <c r="F288" s="68">
        <v>0</v>
      </c>
      <c r="G288" s="68">
        <v>64994419.090000004</v>
      </c>
      <c r="H288" s="68">
        <v>10550742.522700001</v>
      </c>
      <c r="I288" s="68">
        <v>0</v>
      </c>
      <c r="J288" s="68">
        <f t="shared" si="64"/>
        <v>10550742.522700001</v>
      </c>
      <c r="K288" s="82">
        <v>233774532.24000001</v>
      </c>
      <c r="L288" s="69">
        <f t="shared" si="62"/>
        <v>596016692.19269991</v>
      </c>
      <c r="M288" s="63"/>
      <c r="N288" s="64"/>
      <c r="O288" s="170" t="s">
        <v>691</v>
      </c>
      <c r="P288" s="171"/>
      <c r="Q288" s="72"/>
      <c r="R288" s="72">
        <f>SUM(R255:R287)</f>
        <v>8514958085.539999</v>
      </c>
      <c r="S288" s="71">
        <v>0</v>
      </c>
      <c r="T288" s="72">
        <f t="shared" ref="T288:V288" si="67">SUM(T255:T287)</f>
        <v>1930347222.1000004</v>
      </c>
      <c r="U288" s="72">
        <f t="shared" si="67"/>
        <v>313359159.22909999</v>
      </c>
      <c r="V288" s="72">
        <f t="shared" si="67"/>
        <v>0</v>
      </c>
      <c r="W288" s="72">
        <f t="shared" si="66"/>
        <v>313359159.22909999</v>
      </c>
      <c r="X288" s="72">
        <f>SUM(X255:X287)</f>
        <v>13838334598.589996</v>
      </c>
      <c r="Y288" s="72">
        <f>SUM(Y255:Y287)</f>
        <v>24596999065.459099</v>
      </c>
    </row>
    <row r="289" spans="1:25" ht="24.95" customHeight="1">
      <c r="A289" s="174"/>
      <c r="B289" s="176"/>
      <c r="C289" s="64">
        <v>12</v>
      </c>
      <c r="D289" s="68" t="s">
        <v>692</v>
      </c>
      <c r="E289" s="68">
        <v>278362687.00999999</v>
      </c>
      <c r="F289" s="68">
        <v>0</v>
      </c>
      <c r="G289" s="68">
        <v>63105024.619999997</v>
      </c>
      <c r="H289" s="68">
        <v>10244031.348999999</v>
      </c>
      <c r="I289" s="68">
        <v>0</v>
      </c>
      <c r="J289" s="68">
        <f t="shared" si="64"/>
        <v>10244031.348999999</v>
      </c>
      <c r="K289" s="82">
        <v>232997786.78</v>
      </c>
      <c r="L289" s="69">
        <f t="shared" si="62"/>
        <v>584709529.75899994</v>
      </c>
      <c r="M289" s="63"/>
      <c r="N289" s="175">
        <v>31</v>
      </c>
      <c r="O289" s="70">
        <v>1</v>
      </c>
      <c r="P289" s="175" t="s">
        <v>113</v>
      </c>
      <c r="Q289" s="68" t="s">
        <v>693</v>
      </c>
      <c r="R289" s="84">
        <v>311261267.17000002</v>
      </c>
      <c r="S289" s="71">
        <v>0</v>
      </c>
      <c r="T289" s="68">
        <v>70563156.790000007</v>
      </c>
      <c r="U289" s="68">
        <v>11454732.718699999</v>
      </c>
      <c r="V289" s="68">
        <f t="shared" ref="V289:V305" si="68">U289/2</f>
        <v>5727366.3593499996</v>
      </c>
      <c r="W289" s="68">
        <f t="shared" si="66"/>
        <v>5727366.3593499996</v>
      </c>
      <c r="X289" s="68">
        <v>265819969.94999999</v>
      </c>
      <c r="Y289" s="69">
        <f t="shared" si="65"/>
        <v>653371760.26935005</v>
      </c>
    </row>
    <row r="290" spans="1:25" ht="24.95" customHeight="1">
      <c r="A290" s="174"/>
      <c r="B290" s="176"/>
      <c r="C290" s="64">
        <v>13</v>
      </c>
      <c r="D290" s="68" t="s">
        <v>694</v>
      </c>
      <c r="E290" s="68">
        <v>360516094.48000002</v>
      </c>
      <c r="F290" s="68">
        <v>0</v>
      </c>
      <c r="G290" s="68">
        <v>81729262.140000001</v>
      </c>
      <c r="H290" s="68">
        <v>13267360.6987</v>
      </c>
      <c r="I290" s="68">
        <v>0</v>
      </c>
      <c r="J290" s="68">
        <f t="shared" si="64"/>
        <v>13267360.6987</v>
      </c>
      <c r="K290" s="82">
        <v>293873858.10000002</v>
      </c>
      <c r="L290" s="69">
        <f t="shared" si="62"/>
        <v>749386575.41869998</v>
      </c>
      <c r="M290" s="63"/>
      <c r="N290" s="176"/>
      <c r="O290" s="70">
        <v>2</v>
      </c>
      <c r="P290" s="176"/>
      <c r="Q290" s="68" t="s">
        <v>288</v>
      </c>
      <c r="R290" s="84">
        <v>313985983.04000002</v>
      </c>
      <c r="S290" s="71">
        <v>0</v>
      </c>
      <c r="T290" s="68">
        <v>71180851.870000005</v>
      </c>
      <c r="U290" s="68">
        <v>11555005.0472</v>
      </c>
      <c r="V290" s="68">
        <f t="shared" si="68"/>
        <v>5777502.5236</v>
      </c>
      <c r="W290" s="68">
        <f t="shared" si="66"/>
        <v>5777502.5236</v>
      </c>
      <c r="X290" s="68">
        <v>270150914.35000002</v>
      </c>
      <c r="Y290" s="69">
        <f t="shared" si="65"/>
        <v>661095251.78360009</v>
      </c>
    </row>
    <row r="291" spans="1:25" ht="24.95" customHeight="1">
      <c r="A291" s="174"/>
      <c r="B291" s="176"/>
      <c r="C291" s="64">
        <v>14</v>
      </c>
      <c r="D291" s="68" t="s">
        <v>695</v>
      </c>
      <c r="E291" s="68">
        <v>247364750.99000001</v>
      </c>
      <c r="F291" s="68">
        <v>0</v>
      </c>
      <c r="G291" s="68">
        <v>56077769.859999999</v>
      </c>
      <c r="H291" s="68">
        <v>9103275.6257000007</v>
      </c>
      <c r="I291" s="68">
        <v>0</v>
      </c>
      <c r="J291" s="68">
        <f t="shared" si="64"/>
        <v>9103275.6257000007</v>
      </c>
      <c r="K291" s="82">
        <v>225485137.53999999</v>
      </c>
      <c r="L291" s="69">
        <f t="shared" si="62"/>
        <v>538030934.01569998</v>
      </c>
      <c r="M291" s="63"/>
      <c r="N291" s="176"/>
      <c r="O291" s="70">
        <v>3</v>
      </c>
      <c r="P291" s="176"/>
      <c r="Q291" s="68" t="s">
        <v>696</v>
      </c>
      <c r="R291" s="84">
        <v>312617755.05000001</v>
      </c>
      <c r="S291" s="71">
        <v>0</v>
      </c>
      <c r="T291" s="68">
        <v>70870673.579999998</v>
      </c>
      <c r="U291" s="68">
        <v>11504652.858899999</v>
      </c>
      <c r="V291" s="68">
        <f t="shared" si="68"/>
        <v>5752326.4294499997</v>
      </c>
      <c r="W291" s="68">
        <f t="shared" si="66"/>
        <v>5752326.4294499997</v>
      </c>
      <c r="X291" s="68">
        <v>267010680.77000001</v>
      </c>
      <c r="Y291" s="69">
        <f t="shared" si="65"/>
        <v>656251435.82945001</v>
      </c>
    </row>
    <row r="292" spans="1:25" ht="24.95" customHeight="1">
      <c r="A292" s="174"/>
      <c r="B292" s="176"/>
      <c r="C292" s="64">
        <v>15</v>
      </c>
      <c r="D292" s="68" t="s">
        <v>697</v>
      </c>
      <c r="E292" s="68">
        <v>273792775.99000001</v>
      </c>
      <c r="F292" s="68">
        <v>0</v>
      </c>
      <c r="G292" s="68">
        <v>62069022.450000003</v>
      </c>
      <c r="H292" s="68">
        <v>10075853.953199999</v>
      </c>
      <c r="I292" s="68">
        <v>0</v>
      </c>
      <c r="J292" s="68">
        <f t="shared" si="64"/>
        <v>10075853.953199999</v>
      </c>
      <c r="K292" s="82">
        <v>244867907.08000001</v>
      </c>
      <c r="L292" s="69">
        <f t="shared" si="62"/>
        <v>590805559.47319996</v>
      </c>
      <c r="M292" s="63"/>
      <c r="N292" s="176"/>
      <c r="O292" s="70">
        <v>4</v>
      </c>
      <c r="P292" s="176"/>
      <c r="Q292" s="68" t="s">
        <v>698</v>
      </c>
      <c r="R292" s="84">
        <v>237337060.22999999</v>
      </c>
      <c r="S292" s="71">
        <v>0</v>
      </c>
      <c r="T292" s="68">
        <v>53804485.039999999</v>
      </c>
      <c r="U292" s="68">
        <v>8734246.3581000008</v>
      </c>
      <c r="V292" s="68">
        <f t="shared" si="68"/>
        <v>4367123.1790500004</v>
      </c>
      <c r="W292" s="68">
        <f t="shared" si="66"/>
        <v>4367123.1790500004</v>
      </c>
      <c r="X292" s="68">
        <v>232319786.22999999</v>
      </c>
      <c r="Y292" s="69">
        <f t="shared" si="65"/>
        <v>527828454.67904997</v>
      </c>
    </row>
    <row r="293" spans="1:25" ht="24.95" customHeight="1">
      <c r="A293" s="174"/>
      <c r="B293" s="176"/>
      <c r="C293" s="64">
        <v>16</v>
      </c>
      <c r="D293" s="68" t="s">
        <v>699</v>
      </c>
      <c r="E293" s="68">
        <v>310888046.47000003</v>
      </c>
      <c r="F293" s="68">
        <v>0</v>
      </c>
      <c r="G293" s="68">
        <v>70478547.379999995</v>
      </c>
      <c r="H293" s="68">
        <v>11440997.8157</v>
      </c>
      <c r="I293" s="68">
        <v>0</v>
      </c>
      <c r="J293" s="68">
        <f t="shared" si="64"/>
        <v>11440997.8157</v>
      </c>
      <c r="K293" s="82">
        <v>265616986.47</v>
      </c>
      <c r="L293" s="69">
        <f t="shared" si="62"/>
        <v>658424578.13569999</v>
      </c>
      <c r="M293" s="63"/>
      <c r="N293" s="176"/>
      <c r="O293" s="70">
        <v>5</v>
      </c>
      <c r="P293" s="176"/>
      <c r="Q293" s="68" t="s">
        <v>700</v>
      </c>
      <c r="R293" s="84">
        <v>412934093.75999999</v>
      </c>
      <c r="S293" s="71">
        <v>0</v>
      </c>
      <c r="T293" s="68">
        <v>93612460.890000001</v>
      </c>
      <c r="U293" s="68">
        <v>15196396.6395</v>
      </c>
      <c r="V293" s="68">
        <f t="shared" si="68"/>
        <v>7598198.3197499998</v>
      </c>
      <c r="W293" s="68">
        <f t="shared" si="66"/>
        <v>7598198.3197499998</v>
      </c>
      <c r="X293" s="68">
        <v>360730494.36000001</v>
      </c>
      <c r="Y293" s="69">
        <f t="shared" si="65"/>
        <v>874875247.32975006</v>
      </c>
    </row>
    <row r="294" spans="1:25" ht="24.95" customHeight="1">
      <c r="A294" s="174"/>
      <c r="B294" s="177"/>
      <c r="C294" s="64">
        <v>17</v>
      </c>
      <c r="D294" s="68" t="s">
        <v>701</v>
      </c>
      <c r="E294" s="68">
        <v>257458269.21000001</v>
      </c>
      <c r="F294" s="68">
        <v>0</v>
      </c>
      <c r="G294" s="68">
        <v>58365977.82</v>
      </c>
      <c r="H294" s="68">
        <v>9474727.4108000007</v>
      </c>
      <c r="I294" s="68">
        <v>0</v>
      </c>
      <c r="J294" s="68">
        <f t="shared" si="64"/>
        <v>9474727.4108000007</v>
      </c>
      <c r="K294" s="82">
        <v>224697930.86000001</v>
      </c>
      <c r="L294" s="69">
        <f t="shared" si="62"/>
        <v>549996905.30080009</v>
      </c>
      <c r="M294" s="63"/>
      <c r="N294" s="176"/>
      <c r="O294" s="70">
        <v>6</v>
      </c>
      <c r="P294" s="176"/>
      <c r="Q294" s="68" t="s">
        <v>702</v>
      </c>
      <c r="R294" s="84">
        <v>357082930.52999997</v>
      </c>
      <c r="S294" s="71">
        <v>0</v>
      </c>
      <c r="T294" s="68">
        <v>80950961.370000005</v>
      </c>
      <c r="U294" s="68">
        <v>13141016.756899999</v>
      </c>
      <c r="V294" s="68">
        <f t="shared" si="68"/>
        <v>6570508.3784499997</v>
      </c>
      <c r="W294" s="68">
        <f t="shared" si="66"/>
        <v>6570508.3784499997</v>
      </c>
      <c r="X294" s="68">
        <v>314931280.38</v>
      </c>
      <c r="Y294" s="69">
        <f t="shared" si="65"/>
        <v>759535680.65844989</v>
      </c>
    </row>
    <row r="295" spans="1:25" ht="24.95" customHeight="1">
      <c r="A295" s="64"/>
      <c r="B295" s="169" t="s">
        <v>703</v>
      </c>
      <c r="C295" s="170"/>
      <c r="D295" s="72"/>
      <c r="E295" s="72">
        <f t="shared" ref="E295:L295" si="69">SUM(E278:E294)</f>
        <v>4999882267.4899998</v>
      </c>
      <c r="F295" s="68">
        <v>0</v>
      </c>
      <c r="G295" s="72">
        <f t="shared" si="69"/>
        <v>1133476964.77</v>
      </c>
      <c r="H295" s="72">
        <f t="shared" si="69"/>
        <v>184000776.96760002</v>
      </c>
      <c r="I295" s="72">
        <f t="shared" si="69"/>
        <v>0</v>
      </c>
      <c r="J295" s="72">
        <f t="shared" si="69"/>
        <v>184000776.96760002</v>
      </c>
      <c r="K295" s="72">
        <f t="shared" si="69"/>
        <v>4246211031.5699997</v>
      </c>
      <c r="L295" s="72">
        <f t="shared" si="69"/>
        <v>10563571040.7976</v>
      </c>
      <c r="M295" s="63"/>
      <c r="N295" s="176"/>
      <c r="O295" s="70">
        <v>7</v>
      </c>
      <c r="P295" s="176"/>
      <c r="Q295" s="68" t="s">
        <v>704</v>
      </c>
      <c r="R295" s="84">
        <v>313462929.58999997</v>
      </c>
      <c r="S295" s="71">
        <v>0</v>
      </c>
      <c r="T295" s="68">
        <v>71062275.269999996</v>
      </c>
      <c r="U295" s="68">
        <v>11535756.1456</v>
      </c>
      <c r="V295" s="68">
        <f t="shared" si="68"/>
        <v>5767878.0728000002</v>
      </c>
      <c r="W295" s="68">
        <f t="shared" si="66"/>
        <v>5767878.0728000002</v>
      </c>
      <c r="X295" s="68">
        <v>262319571.56999999</v>
      </c>
      <c r="Y295" s="69">
        <f t="shared" si="65"/>
        <v>652612654.50279999</v>
      </c>
    </row>
    <row r="296" spans="1:25" ht="24.95" customHeight="1">
      <c r="A296" s="174">
        <v>15</v>
      </c>
      <c r="B296" s="175" t="s">
        <v>705</v>
      </c>
      <c r="C296" s="64">
        <v>1</v>
      </c>
      <c r="D296" s="68" t="s">
        <v>706</v>
      </c>
      <c r="E296" s="68">
        <v>410779202.37</v>
      </c>
      <c r="F296" s="68">
        <v>0</v>
      </c>
      <c r="G296" s="68">
        <v>93123945.439999998</v>
      </c>
      <c r="H296" s="68">
        <v>15117094.4345</v>
      </c>
      <c r="I296" s="68">
        <f t="shared" ref="I296:I306" si="70">H296/2</f>
        <v>7558547.2172499998</v>
      </c>
      <c r="J296" s="68">
        <f t="shared" ref="J296:J306" si="71">H296-I296</f>
        <v>7558547.2172499998</v>
      </c>
      <c r="K296" s="82">
        <v>359074051.33999997</v>
      </c>
      <c r="L296" s="69">
        <f t="shared" si="62"/>
        <v>870535746.36724997</v>
      </c>
      <c r="M296" s="63"/>
      <c r="N296" s="176"/>
      <c r="O296" s="70">
        <v>8</v>
      </c>
      <c r="P296" s="176"/>
      <c r="Q296" s="68" t="s">
        <v>707</v>
      </c>
      <c r="R296" s="84">
        <v>276838332.44</v>
      </c>
      <c r="S296" s="71">
        <v>0</v>
      </c>
      <c r="T296" s="68">
        <v>62759452.32</v>
      </c>
      <c r="U296" s="68">
        <v>10187933.5427</v>
      </c>
      <c r="V296" s="68">
        <f t="shared" si="68"/>
        <v>5093966.7713500001</v>
      </c>
      <c r="W296" s="68">
        <f t="shared" si="66"/>
        <v>5093966.7713500001</v>
      </c>
      <c r="X296" s="68">
        <v>245703420.66</v>
      </c>
      <c r="Y296" s="69">
        <f t="shared" si="65"/>
        <v>590395172.19134998</v>
      </c>
    </row>
    <row r="297" spans="1:25" ht="24.95" customHeight="1">
      <c r="A297" s="174"/>
      <c r="B297" s="176"/>
      <c r="C297" s="64">
        <v>2</v>
      </c>
      <c r="D297" s="68" t="s">
        <v>708</v>
      </c>
      <c r="E297" s="68">
        <v>298321204.88999999</v>
      </c>
      <c r="F297" s="68">
        <v>0</v>
      </c>
      <c r="G297" s="68">
        <v>67629635.209999993</v>
      </c>
      <c r="H297" s="68">
        <v>10978525.2029</v>
      </c>
      <c r="I297" s="68">
        <f t="shared" si="70"/>
        <v>5489262.60145</v>
      </c>
      <c r="J297" s="68">
        <f t="shared" si="71"/>
        <v>5489262.60145</v>
      </c>
      <c r="K297" s="82">
        <v>312258604.72000003</v>
      </c>
      <c r="L297" s="69">
        <f t="shared" si="62"/>
        <v>683698707.42145002</v>
      </c>
      <c r="M297" s="63"/>
      <c r="N297" s="176"/>
      <c r="O297" s="70">
        <v>9</v>
      </c>
      <c r="P297" s="176"/>
      <c r="Q297" s="68" t="s">
        <v>709</v>
      </c>
      <c r="R297" s="84">
        <v>283946356.88</v>
      </c>
      <c r="S297" s="71">
        <v>0</v>
      </c>
      <c r="T297" s="68">
        <v>64370846.659999996</v>
      </c>
      <c r="U297" s="68">
        <v>10449516.106000001</v>
      </c>
      <c r="V297" s="68">
        <f t="shared" si="68"/>
        <v>5224758.0530000003</v>
      </c>
      <c r="W297" s="68">
        <f t="shared" si="66"/>
        <v>5224758.0530000003</v>
      </c>
      <c r="X297" s="68">
        <v>252883926.22</v>
      </c>
      <c r="Y297" s="69">
        <f t="shared" si="65"/>
        <v>606425887.81299996</v>
      </c>
    </row>
    <row r="298" spans="1:25" ht="24.95" customHeight="1">
      <c r="A298" s="174"/>
      <c r="B298" s="176"/>
      <c r="C298" s="64">
        <v>3</v>
      </c>
      <c r="D298" s="68" t="s">
        <v>710</v>
      </c>
      <c r="E298" s="68">
        <v>300253738.36000001</v>
      </c>
      <c r="F298" s="68">
        <v>0</v>
      </c>
      <c r="G298" s="68">
        <v>68067741.959999993</v>
      </c>
      <c r="H298" s="68">
        <v>11049644.409700001</v>
      </c>
      <c r="I298" s="68">
        <f t="shared" si="70"/>
        <v>5524822.2048500003</v>
      </c>
      <c r="J298" s="68">
        <f t="shared" si="71"/>
        <v>5524822.2048500003</v>
      </c>
      <c r="K298" s="82">
        <v>308371141.25999999</v>
      </c>
      <c r="L298" s="69">
        <f t="shared" si="62"/>
        <v>682217443.78485</v>
      </c>
      <c r="M298" s="63"/>
      <c r="N298" s="176"/>
      <c r="O298" s="70">
        <v>10</v>
      </c>
      <c r="P298" s="176"/>
      <c r="Q298" s="68" t="s">
        <v>711</v>
      </c>
      <c r="R298" s="84">
        <v>269364269.88</v>
      </c>
      <c r="S298" s="71">
        <v>0</v>
      </c>
      <c r="T298" s="68">
        <v>61065076.880000003</v>
      </c>
      <c r="U298" s="68">
        <v>9912880.4025999997</v>
      </c>
      <c r="V298" s="68">
        <f t="shared" si="68"/>
        <v>4956440.2012999998</v>
      </c>
      <c r="W298" s="68">
        <f t="shared" si="66"/>
        <v>4956440.2012999998</v>
      </c>
      <c r="X298" s="68">
        <v>240054736.36000001</v>
      </c>
      <c r="Y298" s="69">
        <f t="shared" si="65"/>
        <v>575440523.32130003</v>
      </c>
    </row>
    <row r="299" spans="1:25" ht="24.95" customHeight="1">
      <c r="A299" s="174"/>
      <c r="B299" s="176"/>
      <c r="C299" s="64">
        <v>4</v>
      </c>
      <c r="D299" s="68" t="s">
        <v>712</v>
      </c>
      <c r="E299" s="68">
        <v>327166963.70999998</v>
      </c>
      <c r="F299" s="68">
        <v>0</v>
      </c>
      <c r="G299" s="68">
        <v>74168989.819999993</v>
      </c>
      <c r="H299" s="68">
        <v>12040078.606000001</v>
      </c>
      <c r="I299" s="68">
        <f t="shared" si="70"/>
        <v>6020039.3030000003</v>
      </c>
      <c r="J299" s="68">
        <f t="shared" si="71"/>
        <v>6020039.3030000003</v>
      </c>
      <c r="K299" s="82">
        <v>310256402.25</v>
      </c>
      <c r="L299" s="69">
        <f t="shared" si="62"/>
        <v>717612395.08299994</v>
      </c>
      <c r="M299" s="63"/>
      <c r="N299" s="176"/>
      <c r="O299" s="70">
        <v>11</v>
      </c>
      <c r="P299" s="176"/>
      <c r="Q299" s="68" t="s">
        <v>713</v>
      </c>
      <c r="R299" s="84">
        <v>372161673.31999999</v>
      </c>
      <c r="S299" s="71">
        <v>0</v>
      </c>
      <c r="T299" s="68">
        <v>84369323.379999995</v>
      </c>
      <c r="U299" s="68">
        <v>13695929.901000001</v>
      </c>
      <c r="V299" s="68">
        <f t="shared" si="68"/>
        <v>6847964.9505000003</v>
      </c>
      <c r="W299" s="68">
        <f t="shared" si="66"/>
        <v>6847964.9505000003</v>
      </c>
      <c r="X299" s="68">
        <v>310528228.30000001</v>
      </c>
      <c r="Y299" s="69">
        <f t="shared" si="65"/>
        <v>773907189.95050001</v>
      </c>
    </row>
    <row r="300" spans="1:25" ht="24.95" customHeight="1">
      <c r="A300" s="174"/>
      <c r="B300" s="176"/>
      <c r="C300" s="64">
        <v>5</v>
      </c>
      <c r="D300" s="68" t="s">
        <v>714</v>
      </c>
      <c r="E300" s="68">
        <v>318214647.58999997</v>
      </c>
      <c r="F300" s="68">
        <v>0</v>
      </c>
      <c r="G300" s="68">
        <v>72139493.209999993</v>
      </c>
      <c r="H300" s="68">
        <v>11710624.224199999</v>
      </c>
      <c r="I300" s="68">
        <f t="shared" si="70"/>
        <v>5855312.1120999996</v>
      </c>
      <c r="J300" s="68">
        <f t="shared" si="71"/>
        <v>5855312.1120999996</v>
      </c>
      <c r="K300" s="82">
        <v>321052753.20999998</v>
      </c>
      <c r="L300" s="69">
        <f t="shared" si="62"/>
        <v>717262206.12209988</v>
      </c>
      <c r="M300" s="63"/>
      <c r="N300" s="176"/>
      <c r="O300" s="70">
        <v>12</v>
      </c>
      <c r="P300" s="176"/>
      <c r="Q300" s="68" t="s">
        <v>715</v>
      </c>
      <c r="R300" s="84">
        <v>250558715.69999999</v>
      </c>
      <c r="S300" s="71">
        <v>0</v>
      </c>
      <c r="T300" s="68">
        <v>56801844</v>
      </c>
      <c r="U300" s="68">
        <v>9220816.7908999994</v>
      </c>
      <c r="V300" s="68">
        <f t="shared" si="68"/>
        <v>4610408.3954499997</v>
      </c>
      <c r="W300" s="68">
        <f t="shared" si="66"/>
        <v>4610408.3954499997</v>
      </c>
      <c r="X300" s="68">
        <v>236731805.06999999</v>
      </c>
      <c r="Y300" s="69">
        <f t="shared" si="65"/>
        <v>548702773.16544998</v>
      </c>
    </row>
    <row r="301" spans="1:25" ht="24.95" customHeight="1">
      <c r="A301" s="174"/>
      <c r="B301" s="176"/>
      <c r="C301" s="64">
        <v>6</v>
      </c>
      <c r="D301" s="68" t="s">
        <v>97</v>
      </c>
      <c r="E301" s="68">
        <v>346495328.73000002</v>
      </c>
      <c r="F301" s="68">
        <v>0</v>
      </c>
      <c r="G301" s="68">
        <v>78550744.299999997</v>
      </c>
      <c r="H301" s="68">
        <v>12751382.191</v>
      </c>
      <c r="I301" s="68">
        <f t="shared" si="70"/>
        <v>6375691.0954999998</v>
      </c>
      <c r="J301" s="68">
        <f t="shared" si="71"/>
        <v>6375691.0954999998</v>
      </c>
      <c r="K301" s="82">
        <v>332975926.83999997</v>
      </c>
      <c r="L301" s="69">
        <f t="shared" si="62"/>
        <v>764397690.9655</v>
      </c>
      <c r="M301" s="63"/>
      <c r="N301" s="176"/>
      <c r="O301" s="70">
        <v>13</v>
      </c>
      <c r="P301" s="176"/>
      <c r="Q301" s="68" t="s">
        <v>716</v>
      </c>
      <c r="R301" s="84">
        <v>334500733.87</v>
      </c>
      <c r="S301" s="71">
        <v>0</v>
      </c>
      <c r="T301" s="68">
        <v>75831560.879999995</v>
      </c>
      <c r="U301" s="68">
        <v>12309968.842499999</v>
      </c>
      <c r="V301" s="68">
        <f t="shared" si="68"/>
        <v>6154984.4212499997</v>
      </c>
      <c r="W301" s="68">
        <f t="shared" si="66"/>
        <v>6154984.4212499997</v>
      </c>
      <c r="X301" s="68">
        <v>271953980.06</v>
      </c>
      <c r="Y301" s="69">
        <f t="shared" si="65"/>
        <v>688441259.23125005</v>
      </c>
    </row>
    <row r="302" spans="1:25" ht="24.95" customHeight="1">
      <c r="A302" s="174"/>
      <c r="B302" s="176"/>
      <c r="C302" s="64">
        <v>7</v>
      </c>
      <c r="D302" s="68" t="s">
        <v>717</v>
      </c>
      <c r="E302" s="68">
        <v>271684356.39999998</v>
      </c>
      <c r="F302" s="68">
        <v>0</v>
      </c>
      <c r="G302" s="68">
        <v>61591042.189999998</v>
      </c>
      <c r="H302" s="68">
        <v>9998261.9576999992</v>
      </c>
      <c r="I302" s="68">
        <f t="shared" si="70"/>
        <v>4999130.9788499996</v>
      </c>
      <c r="J302" s="68">
        <f t="shared" si="71"/>
        <v>4999130.9788499996</v>
      </c>
      <c r="K302" s="82">
        <v>288816508.83999997</v>
      </c>
      <c r="L302" s="69">
        <f t="shared" si="62"/>
        <v>627091038.40884995</v>
      </c>
      <c r="M302" s="63"/>
      <c r="N302" s="176"/>
      <c r="O302" s="70">
        <v>14</v>
      </c>
      <c r="P302" s="176"/>
      <c r="Q302" s="68" t="s">
        <v>718</v>
      </c>
      <c r="R302" s="84">
        <v>334016935.19</v>
      </c>
      <c r="S302" s="71">
        <v>0</v>
      </c>
      <c r="T302" s="68">
        <v>75721883.359999999</v>
      </c>
      <c r="U302" s="68">
        <v>12292164.556700001</v>
      </c>
      <c r="V302" s="68">
        <f t="shared" si="68"/>
        <v>6146082.2783500003</v>
      </c>
      <c r="W302" s="68">
        <f t="shared" si="66"/>
        <v>6146082.2783500003</v>
      </c>
      <c r="X302" s="68">
        <v>273913216.81</v>
      </c>
      <c r="Y302" s="69">
        <f t="shared" si="65"/>
        <v>689798117.63835001</v>
      </c>
    </row>
    <row r="303" spans="1:25" ht="24.95" customHeight="1">
      <c r="A303" s="174"/>
      <c r="B303" s="176"/>
      <c r="C303" s="64">
        <v>8</v>
      </c>
      <c r="D303" s="68" t="s">
        <v>719</v>
      </c>
      <c r="E303" s="68">
        <v>291431516.89999998</v>
      </c>
      <c r="F303" s="68">
        <v>0</v>
      </c>
      <c r="G303" s="68">
        <v>66067737.909999996</v>
      </c>
      <c r="H303" s="68">
        <v>10724977.644200001</v>
      </c>
      <c r="I303" s="68">
        <f t="shared" si="70"/>
        <v>5362488.8221000005</v>
      </c>
      <c r="J303" s="68">
        <f t="shared" si="71"/>
        <v>5362488.8221000005</v>
      </c>
      <c r="K303" s="82">
        <v>305813373.37</v>
      </c>
      <c r="L303" s="69">
        <f t="shared" si="62"/>
        <v>668675117.00209999</v>
      </c>
      <c r="M303" s="63"/>
      <c r="N303" s="176"/>
      <c r="O303" s="70">
        <v>15</v>
      </c>
      <c r="P303" s="176"/>
      <c r="Q303" s="68" t="s">
        <v>720</v>
      </c>
      <c r="R303" s="84">
        <v>263965657.34</v>
      </c>
      <c r="S303" s="71">
        <v>0</v>
      </c>
      <c r="T303" s="68">
        <v>59841207.469999999</v>
      </c>
      <c r="U303" s="68">
        <v>9714205.9441</v>
      </c>
      <c r="V303" s="68">
        <f t="shared" si="68"/>
        <v>4857102.97205</v>
      </c>
      <c r="W303" s="68">
        <f t="shared" si="66"/>
        <v>4857102.97205</v>
      </c>
      <c r="X303" s="68">
        <v>249489260.86000001</v>
      </c>
      <c r="Y303" s="69">
        <f t="shared" si="65"/>
        <v>578153228.64205003</v>
      </c>
    </row>
    <row r="304" spans="1:25" ht="24.95" customHeight="1">
      <c r="A304" s="174"/>
      <c r="B304" s="176"/>
      <c r="C304" s="64">
        <v>9</v>
      </c>
      <c r="D304" s="68" t="s">
        <v>721</v>
      </c>
      <c r="E304" s="68">
        <v>265693022.41999999</v>
      </c>
      <c r="F304" s="68">
        <v>0</v>
      </c>
      <c r="G304" s="68">
        <v>60232802.390000001</v>
      </c>
      <c r="H304" s="68">
        <v>9777774.7444000002</v>
      </c>
      <c r="I304" s="68">
        <f t="shared" si="70"/>
        <v>4888887.3722000001</v>
      </c>
      <c r="J304" s="68">
        <f t="shared" si="71"/>
        <v>4888887.3722000001</v>
      </c>
      <c r="K304" s="82">
        <v>284475103.22000003</v>
      </c>
      <c r="L304" s="69">
        <f t="shared" si="62"/>
        <v>615289815.40219998</v>
      </c>
      <c r="M304" s="63"/>
      <c r="N304" s="176"/>
      <c r="O304" s="70">
        <v>16</v>
      </c>
      <c r="P304" s="176"/>
      <c r="Q304" s="68" t="s">
        <v>722</v>
      </c>
      <c r="R304" s="84">
        <v>336340190.88</v>
      </c>
      <c r="S304" s="71">
        <v>0</v>
      </c>
      <c r="T304" s="68">
        <v>76248567.120000005</v>
      </c>
      <c r="U304" s="68">
        <v>12377662.74</v>
      </c>
      <c r="V304" s="68">
        <f t="shared" si="68"/>
        <v>6188831.3700000001</v>
      </c>
      <c r="W304" s="68">
        <f t="shared" si="66"/>
        <v>6188831.3700000001</v>
      </c>
      <c r="X304" s="68">
        <v>278055859.27999997</v>
      </c>
      <c r="Y304" s="69">
        <f t="shared" si="65"/>
        <v>696833448.64999998</v>
      </c>
    </row>
    <row r="305" spans="1:25" ht="24.95" customHeight="1">
      <c r="A305" s="174"/>
      <c r="B305" s="176"/>
      <c r="C305" s="64">
        <v>10</v>
      </c>
      <c r="D305" s="68" t="s">
        <v>723</v>
      </c>
      <c r="E305" s="68">
        <v>251976196.69</v>
      </c>
      <c r="F305" s="68">
        <v>0</v>
      </c>
      <c r="G305" s="68">
        <v>57123187.979999997</v>
      </c>
      <c r="H305" s="68">
        <v>9272981.5401000008</v>
      </c>
      <c r="I305" s="68">
        <f t="shared" si="70"/>
        <v>4636490.7700500004</v>
      </c>
      <c r="J305" s="68">
        <f t="shared" si="71"/>
        <v>4636490.7700500004</v>
      </c>
      <c r="K305" s="82">
        <v>289457258.45999998</v>
      </c>
      <c r="L305" s="69">
        <f t="shared" si="62"/>
        <v>603193133.90004992</v>
      </c>
      <c r="M305" s="63"/>
      <c r="N305" s="177"/>
      <c r="O305" s="70">
        <v>17</v>
      </c>
      <c r="P305" s="177"/>
      <c r="Q305" s="68" t="s">
        <v>724</v>
      </c>
      <c r="R305" s="84">
        <v>357362950.02999997</v>
      </c>
      <c r="S305" s="71">
        <v>0</v>
      </c>
      <c r="T305" s="68">
        <v>81014441.980000004</v>
      </c>
      <c r="U305" s="68">
        <v>13151321.7612</v>
      </c>
      <c r="V305" s="68">
        <f t="shared" si="68"/>
        <v>6575660.8805999998</v>
      </c>
      <c r="W305" s="68">
        <f t="shared" si="66"/>
        <v>6575660.8805999998</v>
      </c>
      <c r="X305" s="68">
        <v>260756366.66</v>
      </c>
      <c r="Y305" s="69">
        <f t="shared" si="65"/>
        <v>705709419.55059993</v>
      </c>
    </row>
    <row r="306" spans="1:25" ht="24.95" customHeight="1">
      <c r="A306" s="174"/>
      <c r="B306" s="177"/>
      <c r="C306" s="64">
        <v>11</v>
      </c>
      <c r="D306" s="68" t="s">
        <v>725</v>
      </c>
      <c r="E306" s="68">
        <v>343906643.67000002</v>
      </c>
      <c r="F306" s="68">
        <v>0</v>
      </c>
      <c r="G306" s="68">
        <v>77963887.5</v>
      </c>
      <c r="H306" s="68">
        <v>12656115.934599999</v>
      </c>
      <c r="I306" s="68">
        <f t="shared" si="70"/>
        <v>6328057.9672999997</v>
      </c>
      <c r="J306" s="68">
        <f t="shared" si="71"/>
        <v>6328057.9672999997</v>
      </c>
      <c r="K306" s="82">
        <v>328211589.11000001</v>
      </c>
      <c r="L306" s="69">
        <f t="shared" si="62"/>
        <v>756410178.24730003</v>
      </c>
      <c r="M306" s="63"/>
      <c r="N306" s="64"/>
      <c r="O306" s="170" t="s">
        <v>726</v>
      </c>
      <c r="P306" s="171"/>
      <c r="Q306" s="72"/>
      <c r="R306" s="72">
        <f t="shared" ref="R306:V306" si="72">SUM(R289:R305)</f>
        <v>5337737834.8999996</v>
      </c>
      <c r="S306" s="71">
        <v>0</v>
      </c>
      <c r="T306" s="72">
        <f t="shared" si="72"/>
        <v>1210069068.8600001</v>
      </c>
      <c r="U306" s="72">
        <f t="shared" si="72"/>
        <v>196434207.11260003</v>
      </c>
      <c r="V306" s="72">
        <f t="shared" si="72"/>
        <v>98217103.556300014</v>
      </c>
      <c r="W306" s="72">
        <f t="shared" si="66"/>
        <v>98217103.556300014</v>
      </c>
      <c r="X306" s="72">
        <f>SUM(X289:X305)</f>
        <v>4593353497.8900003</v>
      </c>
      <c r="Y306" s="72">
        <f>SUM(Y289:Y305)</f>
        <v>11239377505.206299</v>
      </c>
    </row>
    <row r="307" spans="1:25" ht="24.95" customHeight="1">
      <c r="A307" s="64"/>
      <c r="B307" s="169" t="s">
        <v>727</v>
      </c>
      <c r="C307" s="170"/>
      <c r="D307" s="72"/>
      <c r="E307" s="72">
        <f t="shared" ref="E307:L307" si="73">SUM(E296:E306)</f>
        <v>3425922821.73</v>
      </c>
      <c r="F307" s="68">
        <v>0</v>
      </c>
      <c r="G307" s="72">
        <f t="shared" si="73"/>
        <v>776659207.90999997</v>
      </c>
      <c r="H307" s="72">
        <f t="shared" si="73"/>
        <v>126077460.88929999</v>
      </c>
      <c r="I307" s="72">
        <f t="shared" si="73"/>
        <v>63038730.444649994</v>
      </c>
      <c r="J307" s="72">
        <f t="shared" si="73"/>
        <v>63038730.444649994</v>
      </c>
      <c r="K307" s="72">
        <f t="shared" si="73"/>
        <v>3440762712.6200004</v>
      </c>
      <c r="L307" s="72">
        <f t="shared" si="73"/>
        <v>7706383472.7046499</v>
      </c>
      <c r="M307" s="63"/>
      <c r="N307" s="175">
        <v>32</v>
      </c>
      <c r="O307" s="70">
        <v>1</v>
      </c>
      <c r="P307" s="175" t="s">
        <v>114</v>
      </c>
      <c r="Q307" s="68" t="s">
        <v>728</v>
      </c>
      <c r="R307" s="68">
        <v>237773787.75999999</v>
      </c>
      <c r="S307" s="71">
        <v>0</v>
      </c>
      <c r="T307" s="68">
        <v>53903491.490000002</v>
      </c>
      <c r="U307" s="68">
        <v>8750318.3775999993</v>
      </c>
      <c r="V307" s="68">
        <v>8750318.3775999993</v>
      </c>
      <c r="W307" s="68">
        <f t="shared" si="66"/>
        <v>0</v>
      </c>
      <c r="X307" s="68">
        <v>635067765.86000001</v>
      </c>
      <c r="Y307" s="69">
        <f t="shared" si="65"/>
        <v>926745045.11000001</v>
      </c>
    </row>
    <row r="308" spans="1:25" ht="24.95" customHeight="1">
      <c r="A308" s="174">
        <v>16</v>
      </c>
      <c r="B308" s="175" t="s">
        <v>729</v>
      </c>
      <c r="C308" s="64">
        <v>1</v>
      </c>
      <c r="D308" s="68" t="s">
        <v>730</v>
      </c>
      <c r="E308" s="68">
        <v>268830507.94999999</v>
      </c>
      <c r="F308" s="68">
        <v>0</v>
      </c>
      <c r="G308" s="68">
        <v>60944072.659999996</v>
      </c>
      <c r="H308" s="68">
        <v>9893237.4182999991</v>
      </c>
      <c r="I308" s="68">
        <v>9893237.4182999991</v>
      </c>
      <c r="J308" s="68">
        <f t="shared" ref="J308:J334" si="74">H308-I308</f>
        <v>0</v>
      </c>
      <c r="K308" s="82">
        <v>252231788.38999999</v>
      </c>
      <c r="L308" s="69">
        <f t="shared" si="62"/>
        <v>582006369</v>
      </c>
      <c r="M308" s="63"/>
      <c r="N308" s="176"/>
      <c r="O308" s="70">
        <v>2</v>
      </c>
      <c r="P308" s="176"/>
      <c r="Q308" s="68" t="s">
        <v>731</v>
      </c>
      <c r="R308" s="68">
        <v>297079881.69999999</v>
      </c>
      <c r="S308" s="71">
        <v>0</v>
      </c>
      <c r="T308" s="68">
        <v>67348226.329999998</v>
      </c>
      <c r="U308" s="68">
        <v>10932843.240900001</v>
      </c>
      <c r="V308" s="68">
        <v>10932843.240900001</v>
      </c>
      <c r="W308" s="68">
        <f t="shared" si="66"/>
        <v>0</v>
      </c>
      <c r="X308" s="68">
        <v>665957501.99000001</v>
      </c>
      <c r="Y308" s="69">
        <f t="shared" si="65"/>
        <v>1030385610.02</v>
      </c>
    </row>
    <row r="309" spans="1:25" ht="24.95" customHeight="1">
      <c r="A309" s="174"/>
      <c r="B309" s="176"/>
      <c r="C309" s="64">
        <v>2</v>
      </c>
      <c r="D309" s="68" t="s">
        <v>732</v>
      </c>
      <c r="E309" s="68">
        <v>252983058.75999999</v>
      </c>
      <c r="F309" s="68">
        <v>0</v>
      </c>
      <c r="G309" s="68">
        <v>57351444.340000004</v>
      </c>
      <c r="H309" s="68">
        <v>9310035.0931000002</v>
      </c>
      <c r="I309" s="68">
        <v>9310035.0931000002</v>
      </c>
      <c r="J309" s="68">
        <f t="shared" si="74"/>
        <v>0</v>
      </c>
      <c r="K309" s="82">
        <v>242984818.59</v>
      </c>
      <c r="L309" s="69">
        <f t="shared" si="62"/>
        <v>553319321.69000006</v>
      </c>
      <c r="M309" s="63"/>
      <c r="N309" s="176"/>
      <c r="O309" s="70">
        <v>3</v>
      </c>
      <c r="P309" s="176"/>
      <c r="Q309" s="68" t="s">
        <v>733</v>
      </c>
      <c r="R309" s="68">
        <v>273672885.80000001</v>
      </c>
      <c r="S309" s="71">
        <v>0</v>
      </c>
      <c r="T309" s="68">
        <v>62041843.259999998</v>
      </c>
      <c r="U309" s="68">
        <v>10071441.8717</v>
      </c>
      <c r="V309" s="68">
        <v>10071441.8717</v>
      </c>
      <c r="W309" s="68">
        <f t="shared" si="66"/>
        <v>0</v>
      </c>
      <c r="X309" s="68">
        <v>631054767.77999997</v>
      </c>
      <c r="Y309" s="69">
        <f t="shared" si="65"/>
        <v>966769496.83999991</v>
      </c>
    </row>
    <row r="310" spans="1:25" ht="24.95" customHeight="1">
      <c r="A310" s="174"/>
      <c r="B310" s="176"/>
      <c r="C310" s="64">
        <v>3</v>
      </c>
      <c r="D310" s="68" t="s">
        <v>734</v>
      </c>
      <c r="E310" s="68">
        <v>232412899.44</v>
      </c>
      <c r="F310" s="68">
        <v>0</v>
      </c>
      <c r="G310" s="68">
        <v>52688174.189999998</v>
      </c>
      <c r="H310" s="68">
        <v>8553032.2087999992</v>
      </c>
      <c r="I310" s="68">
        <v>8553032.2087999992</v>
      </c>
      <c r="J310" s="68">
        <f t="shared" si="74"/>
        <v>0</v>
      </c>
      <c r="K310" s="82">
        <v>228051055.77000001</v>
      </c>
      <c r="L310" s="69">
        <f t="shared" si="62"/>
        <v>513152129.39999998</v>
      </c>
      <c r="M310" s="63"/>
      <c r="N310" s="176"/>
      <c r="O310" s="70">
        <v>4</v>
      </c>
      <c r="P310" s="176"/>
      <c r="Q310" s="68" t="s">
        <v>735</v>
      </c>
      <c r="R310" s="68">
        <v>292140322.25</v>
      </c>
      <c r="S310" s="71">
        <v>0</v>
      </c>
      <c r="T310" s="68">
        <v>66228424.600000001</v>
      </c>
      <c r="U310" s="68">
        <v>10751062.405300001</v>
      </c>
      <c r="V310" s="68">
        <v>10751062.405300001</v>
      </c>
      <c r="W310" s="68">
        <f t="shared" si="66"/>
        <v>0</v>
      </c>
      <c r="X310" s="68">
        <v>651604710.39999998</v>
      </c>
      <c r="Y310" s="69">
        <f t="shared" si="65"/>
        <v>1009973457.25</v>
      </c>
    </row>
    <row r="311" spans="1:25" ht="24.95" customHeight="1">
      <c r="A311" s="174"/>
      <c r="B311" s="176"/>
      <c r="C311" s="64">
        <v>4</v>
      </c>
      <c r="D311" s="68" t="s">
        <v>736</v>
      </c>
      <c r="E311" s="68">
        <v>247189047.19</v>
      </c>
      <c r="F311" s="68">
        <v>0</v>
      </c>
      <c r="G311" s="68">
        <v>56037937.68</v>
      </c>
      <c r="H311" s="68">
        <v>9096809.5461999997</v>
      </c>
      <c r="I311" s="68">
        <v>9096809.5461999997</v>
      </c>
      <c r="J311" s="68">
        <f t="shared" si="74"/>
        <v>0</v>
      </c>
      <c r="K311" s="82">
        <v>241001296.87</v>
      </c>
      <c r="L311" s="69">
        <f t="shared" si="62"/>
        <v>544228281.74000001</v>
      </c>
      <c r="M311" s="63"/>
      <c r="N311" s="176"/>
      <c r="O311" s="70">
        <v>5</v>
      </c>
      <c r="P311" s="176"/>
      <c r="Q311" s="68" t="s">
        <v>737</v>
      </c>
      <c r="R311" s="68">
        <v>271179307.19999999</v>
      </c>
      <c r="S311" s="71">
        <v>0</v>
      </c>
      <c r="T311" s="68">
        <v>61476547.159999996</v>
      </c>
      <c r="U311" s="68">
        <v>9979675.6309999991</v>
      </c>
      <c r="V311" s="68">
        <v>9979675.6309999991</v>
      </c>
      <c r="W311" s="68">
        <f t="shared" si="66"/>
        <v>0</v>
      </c>
      <c r="X311" s="68">
        <v>655001243.83000004</v>
      </c>
      <c r="Y311" s="69">
        <f t="shared" si="65"/>
        <v>987657098.19000006</v>
      </c>
    </row>
    <row r="312" spans="1:25" ht="24.95" customHeight="1">
      <c r="A312" s="174"/>
      <c r="B312" s="176"/>
      <c r="C312" s="64">
        <v>5</v>
      </c>
      <c r="D312" s="68" t="s">
        <v>738</v>
      </c>
      <c r="E312" s="68">
        <v>265062374.88</v>
      </c>
      <c r="F312" s="68">
        <v>0</v>
      </c>
      <c r="G312" s="68">
        <v>60089834.140000001</v>
      </c>
      <c r="H312" s="68">
        <v>9754566.2706000004</v>
      </c>
      <c r="I312" s="68">
        <v>9754566.2706000004</v>
      </c>
      <c r="J312" s="68">
        <f t="shared" si="74"/>
        <v>0</v>
      </c>
      <c r="K312" s="82">
        <v>238316126.28</v>
      </c>
      <c r="L312" s="69">
        <f t="shared" si="62"/>
        <v>563468335.29999995</v>
      </c>
      <c r="M312" s="63"/>
      <c r="N312" s="176"/>
      <c r="O312" s="70">
        <v>6</v>
      </c>
      <c r="P312" s="176"/>
      <c r="Q312" s="68" t="s">
        <v>739</v>
      </c>
      <c r="R312" s="68">
        <v>271133993.60000002</v>
      </c>
      <c r="S312" s="71">
        <v>0</v>
      </c>
      <c r="T312" s="68">
        <v>61466274.539999999</v>
      </c>
      <c r="U312" s="68">
        <v>9978008.0439999998</v>
      </c>
      <c r="V312" s="68">
        <v>9978008.0439999998</v>
      </c>
      <c r="W312" s="68">
        <f t="shared" si="66"/>
        <v>0</v>
      </c>
      <c r="X312" s="68">
        <v>653229561.77999997</v>
      </c>
      <c r="Y312" s="69">
        <f t="shared" si="65"/>
        <v>985829829.92000008</v>
      </c>
    </row>
    <row r="313" spans="1:25" ht="24.95" customHeight="1">
      <c r="A313" s="174"/>
      <c r="B313" s="176"/>
      <c r="C313" s="64">
        <v>6</v>
      </c>
      <c r="D313" s="68" t="s">
        <v>740</v>
      </c>
      <c r="E313" s="68">
        <v>265949929.15000001</v>
      </c>
      <c r="F313" s="68">
        <v>0</v>
      </c>
      <c r="G313" s="68">
        <v>60291043.340000004</v>
      </c>
      <c r="H313" s="68">
        <v>9787229.1745999996</v>
      </c>
      <c r="I313" s="68">
        <v>9787229.1745999996</v>
      </c>
      <c r="J313" s="68">
        <f t="shared" si="74"/>
        <v>0</v>
      </c>
      <c r="K313" s="82">
        <v>238866461.09</v>
      </c>
      <c r="L313" s="69">
        <f t="shared" si="62"/>
        <v>565107433.58000004</v>
      </c>
      <c r="M313" s="63"/>
      <c r="N313" s="176"/>
      <c r="O313" s="70">
        <v>7</v>
      </c>
      <c r="P313" s="176"/>
      <c r="Q313" s="68" t="s">
        <v>741</v>
      </c>
      <c r="R313" s="68">
        <v>293847207.94999999</v>
      </c>
      <c r="S313" s="71">
        <v>0</v>
      </c>
      <c r="T313" s="68">
        <v>66615376.829999998</v>
      </c>
      <c r="U313" s="68">
        <v>10813877.543400001</v>
      </c>
      <c r="V313" s="68">
        <v>10813877.543400001</v>
      </c>
      <c r="W313" s="68">
        <f t="shared" si="66"/>
        <v>0</v>
      </c>
      <c r="X313" s="68">
        <v>666087519.99000001</v>
      </c>
      <c r="Y313" s="69">
        <f t="shared" si="65"/>
        <v>1026550104.77</v>
      </c>
    </row>
    <row r="314" spans="1:25" ht="24.95" customHeight="1">
      <c r="A314" s="174"/>
      <c r="B314" s="176"/>
      <c r="C314" s="64">
        <v>7</v>
      </c>
      <c r="D314" s="68" t="s">
        <v>742</v>
      </c>
      <c r="E314" s="68">
        <v>238039213.34999999</v>
      </c>
      <c r="F314" s="68">
        <v>0</v>
      </c>
      <c r="G314" s="68">
        <v>53963663.659999996</v>
      </c>
      <c r="H314" s="68">
        <v>8760086.3103</v>
      </c>
      <c r="I314" s="68">
        <v>8760086.3103</v>
      </c>
      <c r="J314" s="68">
        <f t="shared" si="74"/>
        <v>0</v>
      </c>
      <c r="K314" s="82">
        <v>224245040.36000001</v>
      </c>
      <c r="L314" s="69">
        <f t="shared" si="62"/>
        <v>516247917.37</v>
      </c>
      <c r="M314" s="63"/>
      <c r="N314" s="176"/>
      <c r="O314" s="70">
        <v>8</v>
      </c>
      <c r="P314" s="176"/>
      <c r="Q314" s="68" t="s">
        <v>743</v>
      </c>
      <c r="R314" s="68">
        <v>284682359.97000003</v>
      </c>
      <c r="S314" s="71">
        <v>0</v>
      </c>
      <c r="T314" s="68">
        <v>64537699.100000001</v>
      </c>
      <c r="U314" s="68">
        <v>10476601.772</v>
      </c>
      <c r="V314" s="68">
        <v>10476601.772</v>
      </c>
      <c r="W314" s="68">
        <f t="shared" si="66"/>
        <v>0</v>
      </c>
      <c r="X314" s="68">
        <v>644085709.71000004</v>
      </c>
      <c r="Y314" s="69">
        <f t="shared" si="65"/>
        <v>993305768.78000009</v>
      </c>
    </row>
    <row r="315" spans="1:25" ht="24.95" customHeight="1">
      <c r="A315" s="174"/>
      <c r="B315" s="176"/>
      <c r="C315" s="64">
        <v>8</v>
      </c>
      <c r="D315" s="68" t="s">
        <v>744</v>
      </c>
      <c r="E315" s="68">
        <v>252132827.12</v>
      </c>
      <c r="F315" s="68">
        <v>0</v>
      </c>
      <c r="G315" s="68">
        <v>57158696.210000001</v>
      </c>
      <c r="H315" s="68">
        <v>9278745.6999999993</v>
      </c>
      <c r="I315" s="68">
        <v>9278745.6999999993</v>
      </c>
      <c r="J315" s="68">
        <f t="shared" si="74"/>
        <v>0</v>
      </c>
      <c r="K315" s="82">
        <v>234919966.46000001</v>
      </c>
      <c r="L315" s="69">
        <f t="shared" si="62"/>
        <v>544211489.78999996</v>
      </c>
      <c r="M315" s="63"/>
      <c r="N315" s="176"/>
      <c r="O315" s="70">
        <v>9</v>
      </c>
      <c r="P315" s="176"/>
      <c r="Q315" s="68" t="s">
        <v>745</v>
      </c>
      <c r="R315" s="68">
        <v>271537641.75</v>
      </c>
      <c r="S315" s="71">
        <v>0</v>
      </c>
      <c r="T315" s="68">
        <v>61557781.869999997</v>
      </c>
      <c r="U315" s="68">
        <v>9992862.7086999994</v>
      </c>
      <c r="V315" s="68">
        <v>9992862.7086999994</v>
      </c>
      <c r="W315" s="68">
        <f t="shared" si="66"/>
        <v>0</v>
      </c>
      <c r="X315" s="68">
        <v>648201825.50999999</v>
      </c>
      <c r="Y315" s="69">
        <f t="shared" si="65"/>
        <v>981297249.13</v>
      </c>
    </row>
    <row r="316" spans="1:25" ht="24.95" customHeight="1">
      <c r="A316" s="174"/>
      <c r="B316" s="176"/>
      <c r="C316" s="64">
        <v>9</v>
      </c>
      <c r="D316" s="68" t="s">
        <v>746</v>
      </c>
      <c r="E316" s="68">
        <v>283669822.32999998</v>
      </c>
      <c r="F316" s="68">
        <v>0</v>
      </c>
      <c r="G316" s="68">
        <v>64308156.079999998</v>
      </c>
      <c r="H316" s="68">
        <v>10439339.352299999</v>
      </c>
      <c r="I316" s="68">
        <v>10439339.352299999</v>
      </c>
      <c r="J316" s="68">
        <f t="shared" si="74"/>
        <v>0</v>
      </c>
      <c r="K316" s="82">
        <v>253384016.87</v>
      </c>
      <c r="L316" s="69">
        <f t="shared" si="62"/>
        <v>601361995.27999997</v>
      </c>
      <c r="M316" s="63"/>
      <c r="N316" s="176"/>
      <c r="O316" s="70">
        <v>10</v>
      </c>
      <c r="P316" s="176"/>
      <c r="Q316" s="68" t="s">
        <v>747</v>
      </c>
      <c r="R316" s="68">
        <v>318421588.08999997</v>
      </c>
      <c r="S316" s="71">
        <v>0</v>
      </c>
      <c r="T316" s="68">
        <v>72186406.769999996</v>
      </c>
      <c r="U316" s="68">
        <v>11718239.845799999</v>
      </c>
      <c r="V316" s="68">
        <v>11718239.845799999</v>
      </c>
      <c r="W316" s="68">
        <f t="shared" si="66"/>
        <v>0</v>
      </c>
      <c r="X316" s="68">
        <v>665968336.82000005</v>
      </c>
      <c r="Y316" s="69">
        <f t="shared" si="65"/>
        <v>1056576331.6800001</v>
      </c>
    </row>
    <row r="317" spans="1:25" ht="24.95" customHeight="1">
      <c r="A317" s="174"/>
      <c r="B317" s="176"/>
      <c r="C317" s="64">
        <v>10</v>
      </c>
      <c r="D317" s="68" t="s">
        <v>748</v>
      </c>
      <c r="E317" s="68">
        <v>250724421.63</v>
      </c>
      <c r="F317" s="68">
        <v>0</v>
      </c>
      <c r="G317" s="68">
        <v>56839409.649999999</v>
      </c>
      <c r="H317" s="68">
        <v>9226914.9385000002</v>
      </c>
      <c r="I317" s="68">
        <v>9226914.9385000002</v>
      </c>
      <c r="J317" s="68">
        <f t="shared" si="74"/>
        <v>0</v>
      </c>
      <c r="K317" s="82">
        <v>240580980.06</v>
      </c>
      <c r="L317" s="69">
        <f t="shared" si="62"/>
        <v>548144811.33999991</v>
      </c>
      <c r="M317" s="63"/>
      <c r="N317" s="176"/>
      <c r="O317" s="70">
        <v>11</v>
      </c>
      <c r="P317" s="176"/>
      <c r="Q317" s="68" t="s">
        <v>749</v>
      </c>
      <c r="R317" s="68">
        <v>283586359.11000001</v>
      </c>
      <c r="S317" s="71">
        <v>0</v>
      </c>
      <c r="T317" s="68">
        <v>64289234.899999999</v>
      </c>
      <c r="U317" s="68">
        <v>10436267.8202</v>
      </c>
      <c r="V317" s="68">
        <v>10436267.8202</v>
      </c>
      <c r="W317" s="68">
        <f t="shared" si="66"/>
        <v>0</v>
      </c>
      <c r="X317" s="68">
        <v>658262155.03999996</v>
      </c>
      <c r="Y317" s="69">
        <f t="shared" si="65"/>
        <v>1006137749.05</v>
      </c>
    </row>
    <row r="318" spans="1:25" ht="24.95" customHeight="1">
      <c r="A318" s="174"/>
      <c r="B318" s="176"/>
      <c r="C318" s="64">
        <v>11</v>
      </c>
      <c r="D318" s="68" t="s">
        <v>750</v>
      </c>
      <c r="E318" s="68">
        <v>309258051.30000001</v>
      </c>
      <c r="F318" s="68">
        <v>0</v>
      </c>
      <c r="G318" s="68">
        <v>70109026.290000007</v>
      </c>
      <c r="H318" s="68">
        <v>11381012.3277</v>
      </c>
      <c r="I318" s="68">
        <v>11381012.3277</v>
      </c>
      <c r="J318" s="68">
        <f t="shared" si="74"/>
        <v>0</v>
      </c>
      <c r="K318" s="82">
        <v>267887375.28</v>
      </c>
      <c r="L318" s="69">
        <f t="shared" si="62"/>
        <v>647254452.87</v>
      </c>
      <c r="M318" s="63"/>
      <c r="N318" s="176"/>
      <c r="O318" s="70">
        <v>12</v>
      </c>
      <c r="P318" s="176"/>
      <c r="Q318" s="68" t="s">
        <v>751</v>
      </c>
      <c r="R318" s="68">
        <v>271416473.01999998</v>
      </c>
      <c r="S318" s="71">
        <v>0</v>
      </c>
      <c r="T318" s="68">
        <v>61530312.829999998</v>
      </c>
      <c r="U318" s="68">
        <v>9988403.5755000003</v>
      </c>
      <c r="V318" s="68">
        <v>9988403.5755000003</v>
      </c>
      <c r="W318" s="68">
        <f t="shared" si="66"/>
        <v>0</v>
      </c>
      <c r="X318" s="68">
        <v>643653063.60000002</v>
      </c>
      <c r="Y318" s="69">
        <f t="shared" si="65"/>
        <v>976599849.45000005</v>
      </c>
    </row>
    <row r="319" spans="1:25" ht="24.95" customHeight="1">
      <c r="A319" s="174"/>
      <c r="B319" s="176"/>
      <c r="C319" s="64">
        <v>12</v>
      </c>
      <c r="D319" s="68" t="s">
        <v>752</v>
      </c>
      <c r="E319" s="68">
        <v>262651435.09999999</v>
      </c>
      <c r="F319" s="68">
        <v>0</v>
      </c>
      <c r="G319" s="68">
        <v>59543272.32</v>
      </c>
      <c r="H319" s="68">
        <v>9665841.2226</v>
      </c>
      <c r="I319" s="68">
        <v>9665841.2226</v>
      </c>
      <c r="J319" s="68">
        <f t="shared" si="74"/>
        <v>0</v>
      </c>
      <c r="K319" s="82">
        <v>238886262.68000001</v>
      </c>
      <c r="L319" s="69">
        <f t="shared" si="62"/>
        <v>561080970.10000002</v>
      </c>
      <c r="M319" s="63"/>
      <c r="N319" s="176"/>
      <c r="O319" s="70">
        <v>13</v>
      </c>
      <c r="P319" s="176"/>
      <c r="Q319" s="68" t="s">
        <v>753</v>
      </c>
      <c r="R319" s="68">
        <v>322218529.39999998</v>
      </c>
      <c r="S319" s="71">
        <v>0</v>
      </c>
      <c r="T319" s="68">
        <v>73047176.150000006</v>
      </c>
      <c r="U319" s="68">
        <v>11857971.1665</v>
      </c>
      <c r="V319" s="68">
        <v>11857971.1665</v>
      </c>
      <c r="W319" s="68">
        <f t="shared" ref="W319:W350" si="75">U319-V319</f>
        <v>0</v>
      </c>
      <c r="X319" s="68">
        <v>682692462.45000005</v>
      </c>
      <c r="Y319" s="69">
        <f t="shared" si="65"/>
        <v>1077958168</v>
      </c>
    </row>
    <row r="320" spans="1:25" ht="24.95" customHeight="1">
      <c r="A320" s="174"/>
      <c r="B320" s="176"/>
      <c r="C320" s="64">
        <v>13</v>
      </c>
      <c r="D320" s="68" t="s">
        <v>754</v>
      </c>
      <c r="E320" s="68">
        <v>237272506.03999999</v>
      </c>
      <c r="F320" s="68">
        <v>0</v>
      </c>
      <c r="G320" s="68">
        <v>53789850.560000002</v>
      </c>
      <c r="H320" s="68">
        <v>8731870.6980000008</v>
      </c>
      <c r="I320" s="68">
        <v>8731870.6980000008</v>
      </c>
      <c r="J320" s="68">
        <f t="shared" si="74"/>
        <v>0</v>
      </c>
      <c r="K320" s="82">
        <v>233348542.02000001</v>
      </c>
      <c r="L320" s="69">
        <f t="shared" si="62"/>
        <v>524410898.62</v>
      </c>
      <c r="M320" s="63"/>
      <c r="N320" s="176"/>
      <c r="O320" s="70">
        <v>14</v>
      </c>
      <c r="P320" s="176"/>
      <c r="Q320" s="68" t="s">
        <v>755</v>
      </c>
      <c r="R320" s="68">
        <v>394591536.38</v>
      </c>
      <c r="S320" s="71">
        <v>0</v>
      </c>
      <c r="T320" s="68">
        <v>89454189.730000004</v>
      </c>
      <c r="U320" s="68">
        <v>14521371.783299999</v>
      </c>
      <c r="V320" s="68">
        <v>14521371.783299999</v>
      </c>
      <c r="W320" s="68">
        <f t="shared" si="75"/>
        <v>0</v>
      </c>
      <c r="X320" s="68">
        <v>746420710.23000002</v>
      </c>
      <c r="Y320" s="69">
        <f t="shared" si="65"/>
        <v>1230466436.3400002</v>
      </c>
    </row>
    <row r="321" spans="1:25" ht="24.95" customHeight="1">
      <c r="A321" s="174"/>
      <c r="B321" s="176"/>
      <c r="C321" s="64">
        <v>14</v>
      </c>
      <c r="D321" s="68" t="s">
        <v>756</v>
      </c>
      <c r="E321" s="68">
        <v>230904795.88</v>
      </c>
      <c r="F321" s="68">
        <v>0</v>
      </c>
      <c r="G321" s="68">
        <v>52346286.009999998</v>
      </c>
      <c r="H321" s="68">
        <v>8497532.4568000007</v>
      </c>
      <c r="I321" s="68">
        <v>8497532.4568000007</v>
      </c>
      <c r="J321" s="68">
        <f t="shared" si="74"/>
        <v>0</v>
      </c>
      <c r="K321" s="82">
        <v>227132336.63</v>
      </c>
      <c r="L321" s="69">
        <f t="shared" si="62"/>
        <v>510383418.51999998</v>
      </c>
      <c r="M321" s="63"/>
      <c r="N321" s="176"/>
      <c r="O321" s="70">
        <v>15</v>
      </c>
      <c r="P321" s="176"/>
      <c r="Q321" s="68" t="s">
        <v>757</v>
      </c>
      <c r="R321" s="68">
        <v>318570826.88</v>
      </c>
      <c r="S321" s="71">
        <v>0</v>
      </c>
      <c r="T321" s="68">
        <v>72220239.319999993</v>
      </c>
      <c r="U321" s="68">
        <v>11723731.986</v>
      </c>
      <c r="V321" s="68">
        <v>11723731.986</v>
      </c>
      <c r="W321" s="68">
        <f t="shared" si="75"/>
        <v>0</v>
      </c>
      <c r="X321" s="68">
        <v>678497140.26999998</v>
      </c>
      <c r="Y321" s="69">
        <f t="shared" si="65"/>
        <v>1069288206.47</v>
      </c>
    </row>
    <row r="322" spans="1:25" ht="24.95" customHeight="1">
      <c r="A322" s="174"/>
      <c r="B322" s="176"/>
      <c r="C322" s="64">
        <v>15</v>
      </c>
      <c r="D322" s="68" t="s">
        <v>758</v>
      </c>
      <c r="E322" s="68">
        <v>205699571.03</v>
      </c>
      <c r="F322" s="68">
        <v>0</v>
      </c>
      <c r="G322" s="68">
        <v>46632243.109999999</v>
      </c>
      <c r="H322" s="68">
        <v>7569954.4241000004</v>
      </c>
      <c r="I322" s="68">
        <v>7569954.4241000004</v>
      </c>
      <c r="J322" s="68">
        <f t="shared" si="74"/>
        <v>0</v>
      </c>
      <c r="K322" s="82">
        <v>209079262.66</v>
      </c>
      <c r="L322" s="69">
        <f t="shared" si="62"/>
        <v>461411076.79999995</v>
      </c>
      <c r="M322" s="63"/>
      <c r="N322" s="176"/>
      <c r="O322" s="70">
        <v>16</v>
      </c>
      <c r="P322" s="176"/>
      <c r="Q322" s="68" t="s">
        <v>759</v>
      </c>
      <c r="R322" s="68">
        <v>321465896.77999997</v>
      </c>
      <c r="S322" s="71">
        <v>0</v>
      </c>
      <c r="T322" s="68">
        <v>72876553.780000001</v>
      </c>
      <c r="U322" s="68">
        <v>11830273.5167</v>
      </c>
      <c r="V322" s="68">
        <v>11830273.5167</v>
      </c>
      <c r="W322" s="68">
        <f t="shared" si="75"/>
        <v>0</v>
      </c>
      <c r="X322" s="68">
        <v>678878974.74000001</v>
      </c>
      <c r="Y322" s="69">
        <f t="shared" si="65"/>
        <v>1073221425.3</v>
      </c>
    </row>
    <row r="323" spans="1:25" ht="24.95" customHeight="1">
      <c r="A323" s="174"/>
      <c r="B323" s="176"/>
      <c r="C323" s="64">
        <v>16</v>
      </c>
      <c r="D323" s="68" t="s">
        <v>760</v>
      </c>
      <c r="E323" s="68">
        <v>222975648.46000001</v>
      </c>
      <c r="F323" s="68">
        <v>0</v>
      </c>
      <c r="G323" s="68">
        <v>50548742.490000002</v>
      </c>
      <c r="H323" s="68">
        <v>8205731.7286</v>
      </c>
      <c r="I323" s="68">
        <v>8205731.7286</v>
      </c>
      <c r="J323" s="68">
        <f t="shared" si="74"/>
        <v>0</v>
      </c>
      <c r="K323" s="82">
        <v>223262433.06</v>
      </c>
      <c r="L323" s="69">
        <f t="shared" si="62"/>
        <v>496786824.00999999</v>
      </c>
      <c r="M323" s="63"/>
      <c r="N323" s="176"/>
      <c r="O323" s="70">
        <v>17</v>
      </c>
      <c r="P323" s="176"/>
      <c r="Q323" s="68" t="s">
        <v>761</v>
      </c>
      <c r="R323" s="68">
        <v>220861430.24000001</v>
      </c>
      <c r="S323" s="71">
        <v>0</v>
      </c>
      <c r="T323" s="68">
        <v>50069447.68</v>
      </c>
      <c r="U323" s="68">
        <v>8127926.3373999996</v>
      </c>
      <c r="V323" s="68">
        <v>8127926.3373999996</v>
      </c>
      <c r="W323" s="68">
        <f t="shared" si="75"/>
        <v>0</v>
      </c>
      <c r="X323" s="68">
        <v>600671279.89999998</v>
      </c>
      <c r="Y323" s="69">
        <f t="shared" si="65"/>
        <v>871602157.81999993</v>
      </c>
    </row>
    <row r="324" spans="1:25" ht="24.95" customHeight="1">
      <c r="A324" s="174"/>
      <c r="B324" s="176"/>
      <c r="C324" s="64">
        <v>17</v>
      </c>
      <c r="D324" s="68" t="s">
        <v>762</v>
      </c>
      <c r="E324" s="68">
        <v>261765413.09</v>
      </c>
      <c r="F324" s="68">
        <v>0</v>
      </c>
      <c r="G324" s="68">
        <v>59342410.490000002</v>
      </c>
      <c r="H324" s="68">
        <v>9633234.7074999996</v>
      </c>
      <c r="I324" s="68">
        <v>9633234.7074999996</v>
      </c>
      <c r="J324" s="68">
        <f t="shared" si="74"/>
        <v>0</v>
      </c>
      <c r="K324" s="82">
        <v>232563203.41</v>
      </c>
      <c r="L324" s="69">
        <f t="shared" si="62"/>
        <v>553671026.99000001</v>
      </c>
      <c r="M324" s="63"/>
      <c r="N324" s="176"/>
      <c r="O324" s="70">
        <v>18</v>
      </c>
      <c r="P324" s="176"/>
      <c r="Q324" s="68" t="s">
        <v>763</v>
      </c>
      <c r="R324" s="68">
        <v>271770933.31</v>
      </c>
      <c r="S324" s="71">
        <v>0</v>
      </c>
      <c r="T324" s="68">
        <v>61610669.229999997</v>
      </c>
      <c r="U324" s="68">
        <v>10001448.076199999</v>
      </c>
      <c r="V324" s="68">
        <v>10001448.076199999</v>
      </c>
      <c r="W324" s="68">
        <f t="shared" si="75"/>
        <v>0</v>
      </c>
      <c r="X324" s="68">
        <v>655720826.21000004</v>
      </c>
      <c r="Y324" s="69">
        <f t="shared" si="65"/>
        <v>989102428.75</v>
      </c>
    </row>
    <row r="325" spans="1:25" ht="24.95" customHeight="1">
      <c r="A325" s="174"/>
      <c r="B325" s="176"/>
      <c r="C325" s="64">
        <v>18</v>
      </c>
      <c r="D325" s="68" t="s">
        <v>764</v>
      </c>
      <c r="E325" s="68">
        <v>283330257.56999999</v>
      </c>
      <c r="F325" s="68">
        <v>0</v>
      </c>
      <c r="G325" s="68">
        <v>64231176.490000002</v>
      </c>
      <c r="H325" s="68">
        <v>10426843.0218</v>
      </c>
      <c r="I325" s="68">
        <v>10426843.0218</v>
      </c>
      <c r="J325" s="68">
        <f t="shared" si="74"/>
        <v>0</v>
      </c>
      <c r="K325" s="82">
        <v>247332202.05000001</v>
      </c>
      <c r="L325" s="69">
        <f t="shared" si="62"/>
        <v>594893636.11000001</v>
      </c>
      <c r="M325" s="63"/>
      <c r="N325" s="176"/>
      <c r="O325" s="70">
        <v>19</v>
      </c>
      <c r="P325" s="176"/>
      <c r="Q325" s="68" t="s">
        <v>765</v>
      </c>
      <c r="R325" s="68">
        <v>215405260.63</v>
      </c>
      <c r="S325" s="71">
        <v>0</v>
      </c>
      <c r="T325" s="68">
        <v>48832530.039999999</v>
      </c>
      <c r="U325" s="68">
        <v>7927133.7202000003</v>
      </c>
      <c r="V325" s="68">
        <v>7927133.7202000003</v>
      </c>
      <c r="W325" s="68">
        <f t="shared" si="75"/>
        <v>0</v>
      </c>
      <c r="X325" s="68">
        <v>610266832.44000006</v>
      </c>
      <c r="Y325" s="69">
        <f t="shared" si="65"/>
        <v>874504623.11000001</v>
      </c>
    </row>
    <row r="326" spans="1:25" ht="24.95" customHeight="1">
      <c r="A326" s="174"/>
      <c r="B326" s="176"/>
      <c r="C326" s="64">
        <v>19</v>
      </c>
      <c r="D326" s="68" t="s">
        <v>766</v>
      </c>
      <c r="E326" s="68">
        <v>248238764.68000001</v>
      </c>
      <c r="F326" s="68">
        <v>0</v>
      </c>
      <c r="G326" s="68">
        <v>56275909.409999996</v>
      </c>
      <c r="H326" s="68">
        <v>9135440.2225000001</v>
      </c>
      <c r="I326" s="68">
        <v>9135440.2225000001</v>
      </c>
      <c r="J326" s="68">
        <f t="shared" si="74"/>
        <v>0</v>
      </c>
      <c r="K326" s="82">
        <v>228538996.88</v>
      </c>
      <c r="L326" s="69">
        <f t="shared" si="62"/>
        <v>533053670.97000003</v>
      </c>
      <c r="M326" s="63"/>
      <c r="N326" s="176"/>
      <c r="O326" s="70">
        <v>20</v>
      </c>
      <c r="P326" s="176"/>
      <c r="Q326" s="68" t="s">
        <v>767</v>
      </c>
      <c r="R326" s="68">
        <v>232997278.78</v>
      </c>
      <c r="S326" s="71">
        <v>0</v>
      </c>
      <c r="T326" s="68">
        <v>52820653.409999996</v>
      </c>
      <c r="U326" s="68">
        <v>8574537.9656000007</v>
      </c>
      <c r="V326" s="68">
        <v>8574537.9656000007</v>
      </c>
      <c r="W326" s="68">
        <f t="shared" si="75"/>
        <v>0</v>
      </c>
      <c r="X326" s="68">
        <v>629375368.62</v>
      </c>
      <c r="Y326" s="69">
        <f t="shared" si="65"/>
        <v>915193300.80999994</v>
      </c>
    </row>
    <row r="327" spans="1:25" ht="24.95" customHeight="1">
      <c r="A327" s="174"/>
      <c r="B327" s="176"/>
      <c r="C327" s="64">
        <v>20</v>
      </c>
      <c r="D327" s="68" t="s">
        <v>768</v>
      </c>
      <c r="E327" s="68">
        <v>220534140.77000001</v>
      </c>
      <c r="F327" s="68">
        <v>0</v>
      </c>
      <c r="G327" s="68">
        <v>49995250.909999996</v>
      </c>
      <c r="H327" s="68">
        <v>8115881.7504000003</v>
      </c>
      <c r="I327" s="68">
        <v>8115881.7504000003</v>
      </c>
      <c r="J327" s="68">
        <f t="shared" si="74"/>
        <v>0</v>
      </c>
      <c r="K327" s="82">
        <v>216213439.96000001</v>
      </c>
      <c r="L327" s="69">
        <f t="shared" si="62"/>
        <v>486742831.63999999</v>
      </c>
      <c r="M327" s="63"/>
      <c r="N327" s="176"/>
      <c r="O327" s="70">
        <v>21</v>
      </c>
      <c r="P327" s="176"/>
      <c r="Q327" s="68" t="s">
        <v>769</v>
      </c>
      <c r="R327" s="68">
        <v>240643780.69</v>
      </c>
      <c r="S327" s="71">
        <v>0</v>
      </c>
      <c r="T327" s="68">
        <v>54554120.990000002</v>
      </c>
      <c r="U327" s="68">
        <v>8855937.0503000002</v>
      </c>
      <c r="V327" s="68">
        <v>8855937.0503000002</v>
      </c>
      <c r="W327" s="68">
        <f t="shared" si="75"/>
        <v>0</v>
      </c>
      <c r="X327" s="68">
        <v>618606291.54999995</v>
      </c>
      <c r="Y327" s="69">
        <f t="shared" si="65"/>
        <v>913804193.23000002</v>
      </c>
    </row>
    <row r="328" spans="1:25" ht="24.95" customHeight="1">
      <c r="A328" s="174"/>
      <c r="B328" s="176"/>
      <c r="C328" s="64">
        <v>21</v>
      </c>
      <c r="D328" s="68" t="s">
        <v>770</v>
      </c>
      <c r="E328" s="68">
        <v>242557250.83000001</v>
      </c>
      <c r="F328" s="68">
        <v>0</v>
      </c>
      <c r="G328" s="68">
        <v>54987906.060000002</v>
      </c>
      <c r="H328" s="68">
        <v>8926354.7068000007</v>
      </c>
      <c r="I328" s="68">
        <v>8926354.7068000007</v>
      </c>
      <c r="J328" s="68">
        <f t="shared" si="74"/>
        <v>0</v>
      </c>
      <c r="K328" s="82">
        <v>232454481.47</v>
      </c>
      <c r="L328" s="69">
        <f t="shared" ref="L328:L386" si="76">E328+F328+G328+J328+K328</f>
        <v>529999638.36000001</v>
      </c>
      <c r="M328" s="63"/>
      <c r="N328" s="176"/>
      <c r="O328" s="70">
        <v>22</v>
      </c>
      <c r="P328" s="176"/>
      <c r="Q328" s="68" t="s">
        <v>771</v>
      </c>
      <c r="R328" s="68">
        <v>446906746.19999999</v>
      </c>
      <c r="S328" s="71">
        <v>0</v>
      </c>
      <c r="T328" s="68">
        <v>101314086.04000001</v>
      </c>
      <c r="U328" s="68">
        <v>16446624.9672</v>
      </c>
      <c r="V328" s="68">
        <v>16446624.9672</v>
      </c>
      <c r="W328" s="68">
        <f t="shared" si="75"/>
        <v>0</v>
      </c>
      <c r="X328" s="68">
        <v>774937244.25</v>
      </c>
      <c r="Y328" s="69">
        <f t="shared" si="65"/>
        <v>1323158076.49</v>
      </c>
    </row>
    <row r="329" spans="1:25" ht="24.95" customHeight="1">
      <c r="A329" s="174"/>
      <c r="B329" s="176"/>
      <c r="C329" s="64">
        <v>22</v>
      </c>
      <c r="D329" s="68" t="s">
        <v>772</v>
      </c>
      <c r="E329" s="68">
        <v>235955597.25</v>
      </c>
      <c r="F329" s="68">
        <v>0</v>
      </c>
      <c r="G329" s="68">
        <v>53491306.369999997</v>
      </c>
      <c r="H329" s="68">
        <v>8683407.1085999999</v>
      </c>
      <c r="I329" s="68">
        <v>8683407.1085999999</v>
      </c>
      <c r="J329" s="68">
        <f t="shared" si="74"/>
        <v>0</v>
      </c>
      <c r="K329" s="82">
        <v>223968191.69</v>
      </c>
      <c r="L329" s="69">
        <f t="shared" si="76"/>
        <v>513415095.31</v>
      </c>
      <c r="M329" s="63"/>
      <c r="N329" s="177"/>
      <c r="O329" s="70">
        <v>23</v>
      </c>
      <c r="P329" s="177"/>
      <c r="Q329" s="68" t="s">
        <v>773</v>
      </c>
      <c r="R329" s="68">
        <v>264517926.50999999</v>
      </c>
      <c r="S329" s="71">
        <v>0</v>
      </c>
      <c r="T329" s="68">
        <v>59966407.280000001</v>
      </c>
      <c r="U329" s="68">
        <v>9734530.0139000006</v>
      </c>
      <c r="V329" s="68">
        <v>9734530.0139000006</v>
      </c>
      <c r="W329" s="68">
        <f t="shared" si="75"/>
        <v>0</v>
      </c>
      <c r="X329" s="68">
        <v>616779314.48000002</v>
      </c>
      <c r="Y329" s="69">
        <f t="shared" si="65"/>
        <v>941263648.26999998</v>
      </c>
    </row>
    <row r="330" spans="1:25" ht="24.95" customHeight="1">
      <c r="A330" s="174"/>
      <c r="B330" s="176"/>
      <c r="C330" s="64">
        <v>23</v>
      </c>
      <c r="D330" s="68" t="s">
        <v>774</v>
      </c>
      <c r="E330" s="68">
        <v>228229952.56999999</v>
      </c>
      <c r="F330" s="68">
        <v>0</v>
      </c>
      <c r="G330" s="68">
        <v>51739897.079999998</v>
      </c>
      <c r="H330" s="68">
        <v>8399095.4893999994</v>
      </c>
      <c r="I330" s="68">
        <v>8399095.4893999994</v>
      </c>
      <c r="J330" s="68">
        <f t="shared" si="74"/>
        <v>0</v>
      </c>
      <c r="K330" s="82">
        <v>220911647.84999999</v>
      </c>
      <c r="L330" s="69">
        <f t="shared" si="76"/>
        <v>500881497.5</v>
      </c>
      <c r="M330" s="63"/>
      <c r="N330" s="64"/>
      <c r="O330" s="170" t="s">
        <v>775</v>
      </c>
      <c r="P330" s="171"/>
      <c r="Q330" s="72"/>
      <c r="R330" s="72">
        <f t="shared" ref="R330:V330" si="77">SUM(R307:R329)</f>
        <v>6616421954</v>
      </c>
      <c r="S330" s="71">
        <v>0</v>
      </c>
      <c r="T330" s="72">
        <f t="shared" si="77"/>
        <v>1499947693.3299999</v>
      </c>
      <c r="U330" s="72">
        <f t="shared" si="77"/>
        <v>243491089.41940004</v>
      </c>
      <c r="V330" s="72">
        <f t="shared" si="77"/>
        <v>243491089.41940004</v>
      </c>
      <c r="W330" s="72">
        <f t="shared" si="75"/>
        <v>0</v>
      </c>
      <c r="X330" s="72">
        <f>SUM(X307:X329)</f>
        <v>15111020607.450001</v>
      </c>
      <c r="Y330" s="72">
        <f>SUM(Y307:Y329)</f>
        <v>23227390254.780003</v>
      </c>
    </row>
    <row r="331" spans="1:25" ht="24.95" customHeight="1">
      <c r="A331" s="174"/>
      <c r="B331" s="176"/>
      <c r="C331" s="64">
        <v>24</v>
      </c>
      <c r="D331" s="68" t="s">
        <v>776</v>
      </c>
      <c r="E331" s="68">
        <v>236100880.96000001</v>
      </c>
      <c r="F331" s="68">
        <v>0</v>
      </c>
      <c r="G331" s="68">
        <v>53524242.289999999</v>
      </c>
      <c r="H331" s="68">
        <v>8688753.6975999996</v>
      </c>
      <c r="I331" s="68">
        <v>8688753.6975999996</v>
      </c>
      <c r="J331" s="68">
        <f t="shared" si="74"/>
        <v>0</v>
      </c>
      <c r="K331" s="82">
        <v>223030044.56999999</v>
      </c>
      <c r="L331" s="69">
        <f t="shared" si="76"/>
        <v>512655167.81999999</v>
      </c>
      <c r="M331" s="63"/>
      <c r="N331" s="175">
        <v>33</v>
      </c>
      <c r="O331" s="70">
        <v>1</v>
      </c>
      <c r="P331" s="186" t="s">
        <v>115</v>
      </c>
      <c r="Q331" s="68" t="s">
        <v>777</v>
      </c>
      <c r="R331" s="68">
        <v>247830293.47999999</v>
      </c>
      <c r="S331" s="71">
        <v>0</v>
      </c>
      <c r="T331" s="68">
        <v>56183308.689999998</v>
      </c>
      <c r="U331" s="68">
        <v>9120408.0648999996</v>
      </c>
      <c r="V331" s="68">
        <v>0</v>
      </c>
      <c r="W331" s="68">
        <f t="shared" si="75"/>
        <v>9120408.0648999996</v>
      </c>
      <c r="X331" s="68">
        <v>234441145.53999999</v>
      </c>
      <c r="Y331" s="69">
        <f t="shared" si="65"/>
        <v>547575155.77489996</v>
      </c>
    </row>
    <row r="332" spans="1:25" ht="24.95" customHeight="1">
      <c r="A332" s="174"/>
      <c r="B332" s="176"/>
      <c r="C332" s="64">
        <v>25</v>
      </c>
      <c r="D332" s="68" t="s">
        <v>778</v>
      </c>
      <c r="E332" s="68">
        <v>238263063.84999999</v>
      </c>
      <c r="F332" s="68">
        <v>0</v>
      </c>
      <c r="G332" s="68">
        <v>54014410.740000002</v>
      </c>
      <c r="H332" s="68">
        <v>8768324.2376000006</v>
      </c>
      <c r="I332" s="68">
        <v>8768324.2376000006</v>
      </c>
      <c r="J332" s="68">
        <f t="shared" si="74"/>
        <v>0</v>
      </c>
      <c r="K332" s="82">
        <v>226661955.41</v>
      </c>
      <c r="L332" s="69">
        <f t="shared" si="76"/>
        <v>518939430</v>
      </c>
      <c r="M332" s="63"/>
      <c r="N332" s="176"/>
      <c r="O332" s="70">
        <v>2</v>
      </c>
      <c r="P332" s="187"/>
      <c r="Q332" s="68" t="s">
        <v>779</v>
      </c>
      <c r="R332" s="68">
        <v>282113916.18000001</v>
      </c>
      <c r="S332" s="71">
        <v>0</v>
      </c>
      <c r="T332" s="68">
        <v>63955431.009999998</v>
      </c>
      <c r="U332" s="68">
        <v>10382080.4158</v>
      </c>
      <c r="V332" s="68">
        <v>0</v>
      </c>
      <c r="W332" s="68">
        <f t="shared" si="75"/>
        <v>10382080.4158</v>
      </c>
      <c r="X332" s="68">
        <v>260735791.5</v>
      </c>
      <c r="Y332" s="69">
        <f t="shared" si="65"/>
        <v>617187219.10579991</v>
      </c>
    </row>
    <row r="333" spans="1:25" ht="24.95" customHeight="1">
      <c r="A333" s="174"/>
      <c r="B333" s="176"/>
      <c r="C333" s="64">
        <v>26</v>
      </c>
      <c r="D333" s="68" t="s">
        <v>780</v>
      </c>
      <c r="E333" s="68">
        <v>253471399.16</v>
      </c>
      <c r="F333" s="68">
        <v>0</v>
      </c>
      <c r="G333" s="68">
        <v>57462151.469999999</v>
      </c>
      <c r="H333" s="68">
        <v>9328006.5187999997</v>
      </c>
      <c r="I333" s="68">
        <v>9328006.5187999997</v>
      </c>
      <c r="J333" s="68">
        <f t="shared" si="74"/>
        <v>0</v>
      </c>
      <c r="K333" s="82">
        <v>244663470.52000001</v>
      </c>
      <c r="L333" s="69">
        <f t="shared" si="76"/>
        <v>555597021.14999998</v>
      </c>
      <c r="M333" s="63"/>
      <c r="N333" s="176"/>
      <c r="O333" s="70">
        <v>3</v>
      </c>
      <c r="P333" s="187"/>
      <c r="Q333" s="68" t="s">
        <v>781</v>
      </c>
      <c r="R333" s="68">
        <v>304024640.35000002</v>
      </c>
      <c r="S333" s="71">
        <v>0</v>
      </c>
      <c r="T333" s="68">
        <v>68922608.200000003</v>
      </c>
      <c r="U333" s="68">
        <v>11188417.4563</v>
      </c>
      <c r="V333" s="68">
        <v>0</v>
      </c>
      <c r="W333" s="68">
        <f t="shared" si="75"/>
        <v>11188417.4563</v>
      </c>
      <c r="X333" s="68">
        <v>267886781.47999999</v>
      </c>
      <c r="Y333" s="69">
        <f t="shared" si="65"/>
        <v>652022447.48629999</v>
      </c>
    </row>
    <row r="334" spans="1:25" ht="24.95" customHeight="1">
      <c r="A334" s="174"/>
      <c r="B334" s="177"/>
      <c r="C334" s="64">
        <v>27</v>
      </c>
      <c r="D334" s="68" t="s">
        <v>782</v>
      </c>
      <c r="E334" s="68">
        <v>226751622.59999999</v>
      </c>
      <c r="F334" s="68">
        <v>0</v>
      </c>
      <c r="G334" s="68">
        <v>51404758.590000004</v>
      </c>
      <c r="H334" s="68">
        <v>8344691.4358000001</v>
      </c>
      <c r="I334" s="68">
        <v>8344691.4358000001</v>
      </c>
      <c r="J334" s="68">
        <f t="shared" si="74"/>
        <v>0</v>
      </c>
      <c r="K334" s="82">
        <v>216220165.02000001</v>
      </c>
      <c r="L334" s="69">
        <f t="shared" si="76"/>
        <v>494376546.21000004</v>
      </c>
      <c r="M334" s="63"/>
      <c r="N334" s="176"/>
      <c r="O334" s="70">
        <v>4</v>
      </c>
      <c r="P334" s="187"/>
      <c r="Q334" s="68" t="s">
        <v>783</v>
      </c>
      <c r="R334" s="68">
        <v>330098497.22000003</v>
      </c>
      <c r="S334" s="71">
        <v>0</v>
      </c>
      <c r="T334" s="68">
        <v>74833570.609999999</v>
      </c>
      <c r="U334" s="68">
        <v>12147962.0348</v>
      </c>
      <c r="V334" s="68">
        <v>0</v>
      </c>
      <c r="W334" s="68">
        <f t="shared" si="75"/>
        <v>12147962.0348</v>
      </c>
      <c r="X334" s="68">
        <v>287957749.74000001</v>
      </c>
      <c r="Y334" s="69">
        <f t="shared" si="65"/>
        <v>705037779.60479999</v>
      </c>
    </row>
    <row r="335" spans="1:25" ht="24.95" customHeight="1">
      <c r="A335" s="64"/>
      <c r="B335" s="169" t="s">
        <v>784</v>
      </c>
      <c r="C335" s="170"/>
      <c r="D335" s="72"/>
      <c r="E335" s="72">
        <f t="shared" ref="E335:M335" si="78">SUM(E308:E334)</f>
        <v>6700954452.9400015</v>
      </c>
      <c r="F335" s="68">
        <v>0</v>
      </c>
      <c r="G335" s="72">
        <f t="shared" si="78"/>
        <v>1519111272.6299996</v>
      </c>
      <c r="H335" s="72">
        <f t="shared" si="78"/>
        <v>246601971.76730001</v>
      </c>
      <c r="I335" s="72">
        <f t="shared" si="78"/>
        <v>246601971.76730001</v>
      </c>
      <c r="J335" s="72">
        <f t="shared" si="78"/>
        <v>0</v>
      </c>
      <c r="K335" s="72">
        <f t="shared" si="78"/>
        <v>6306735561.9000006</v>
      </c>
      <c r="L335" s="72">
        <f t="shared" si="78"/>
        <v>14526801287.469997</v>
      </c>
      <c r="M335" s="72">
        <f t="shared" si="78"/>
        <v>0</v>
      </c>
      <c r="N335" s="176"/>
      <c r="O335" s="70">
        <v>5</v>
      </c>
      <c r="P335" s="187"/>
      <c r="Q335" s="68" t="s">
        <v>785</v>
      </c>
      <c r="R335" s="68">
        <v>310525278.86000001</v>
      </c>
      <c r="S335" s="71">
        <v>0</v>
      </c>
      <c r="T335" s="68">
        <v>70396307.700000003</v>
      </c>
      <c r="U335" s="68">
        <v>11427647.5967</v>
      </c>
      <c r="V335" s="68">
        <v>0</v>
      </c>
      <c r="W335" s="68">
        <f t="shared" si="75"/>
        <v>11427647.5967</v>
      </c>
      <c r="X335" s="68">
        <v>263309998.44</v>
      </c>
      <c r="Y335" s="69">
        <f t="shared" si="65"/>
        <v>655659232.59669995</v>
      </c>
    </row>
    <row r="336" spans="1:25" ht="24.95" customHeight="1">
      <c r="A336" s="174">
        <v>17</v>
      </c>
      <c r="B336" s="175" t="s">
        <v>786</v>
      </c>
      <c r="C336" s="64">
        <v>1</v>
      </c>
      <c r="D336" s="68" t="s">
        <v>787</v>
      </c>
      <c r="E336" s="68">
        <v>236791771.05000001</v>
      </c>
      <c r="F336" s="68">
        <v>0</v>
      </c>
      <c r="G336" s="68">
        <v>53680867.579999998</v>
      </c>
      <c r="H336" s="68">
        <v>8714179.1589000002</v>
      </c>
      <c r="I336" s="68">
        <v>0</v>
      </c>
      <c r="J336" s="68">
        <f t="shared" ref="J336:J362" si="79">H336-I336</f>
        <v>8714179.1589000002</v>
      </c>
      <c r="K336" s="82">
        <v>224807409.40000001</v>
      </c>
      <c r="L336" s="69">
        <f t="shared" si="76"/>
        <v>523994227.18889999</v>
      </c>
      <c r="M336" s="63"/>
      <c r="N336" s="176"/>
      <c r="O336" s="70">
        <v>6</v>
      </c>
      <c r="P336" s="187"/>
      <c r="Q336" s="68" t="s">
        <v>788</v>
      </c>
      <c r="R336" s="68">
        <v>281371051.25</v>
      </c>
      <c r="S336" s="71">
        <v>0</v>
      </c>
      <c r="T336" s="68">
        <v>63787022.990000002</v>
      </c>
      <c r="U336" s="68">
        <v>10354742.2271</v>
      </c>
      <c r="V336" s="68">
        <v>0</v>
      </c>
      <c r="W336" s="68">
        <f t="shared" si="75"/>
        <v>10354742.2271</v>
      </c>
      <c r="X336" s="68">
        <v>230898155.05000001</v>
      </c>
      <c r="Y336" s="69">
        <f t="shared" si="65"/>
        <v>586410971.5171001</v>
      </c>
    </row>
    <row r="337" spans="1:25" ht="24.95" customHeight="1">
      <c r="A337" s="174"/>
      <c r="B337" s="176"/>
      <c r="C337" s="64">
        <v>2</v>
      </c>
      <c r="D337" s="68" t="s">
        <v>789</v>
      </c>
      <c r="E337" s="68">
        <v>280056287.72000003</v>
      </c>
      <c r="F337" s="68">
        <v>0</v>
      </c>
      <c r="G337" s="68">
        <v>63488965.140000001</v>
      </c>
      <c r="H337" s="68">
        <v>10306357.585899999</v>
      </c>
      <c r="I337" s="68">
        <v>0</v>
      </c>
      <c r="J337" s="68">
        <f t="shared" si="79"/>
        <v>10306357.585899999</v>
      </c>
      <c r="K337" s="82">
        <v>253239506.44999999</v>
      </c>
      <c r="L337" s="69">
        <f t="shared" si="76"/>
        <v>607091116.89590001</v>
      </c>
      <c r="M337" s="63"/>
      <c r="N337" s="176"/>
      <c r="O337" s="70">
        <v>7</v>
      </c>
      <c r="P337" s="187"/>
      <c r="Q337" s="68" t="s">
        <v>790</v>
      </c>
      <c r="R337" s="68">
        <v>321365890.31999999</v>
      </c>
      <c r="S337" s="71">
        <v>0</v>
      </c>
      <c r="T337" s="68">
        <v>72853882.239999995</v>
      </c>
      <c r="U337" s="68">
        <v>11826593.1768</v>
      </c>
      <c r="V337" s="68">
        <v>0</v>
      </c>
      <c r="W337" s="68">
        <f t="shared" si="75"/>
        <v>11826593.1768</v>
      </c>
      <c r="X337" s="68">
        <v>281640294.69999999</v>
      </c>
      <c r="Y337" s="69">
        <f t="shared" si="65"/>
        <v>687686660.4368</v>
      </c>
    </row>
    <row r="338" spans="1:25" ht="24.95" customHeight="1">
      <c r="A338" s="174"/>
      <c r="B338" s="176"/>
      <c r="C338" s="64">
        <v>3</v>
      </c>
      <c r="D338" s="68" t="s">
        <v>791</v>
      </c>
      <c r="E338" s="68">
        <v>347557490.77999997</v>
      </c>
      <c r="F338" s="68">
        <v>0</v>
      </c>
      <c r="G338" s="68">
        <v>78791537.209999993</v>
      </c>
      <c r="H338" s="68">
        <v>12790470.8397</v>
      </c>
      <c r="I338" s="68">
        <v>0</v>
      </c>
      <c r="J338" s="68">
        <f t="shared" si="79"/>
        <v>12790470.8397</v>
      </c>
      <c r="K338" s="82">
        <v>292570698.56</v>
      </c>
      <c r="L338" s="69">
        <f t="shared" si="76"/>
        <v>731710197.38969994</v>
      </c>
      <c r="M338" s="63"/>
      <c r="N338" s="176"/>
      <c r="O338" s="70">
        <v>8</v>
      </c>
      <c r="P338" s="187"/>
      <c r="Q338" s="68" t="s">
        <v>792</v>
      </c>
      <c r="R338" s="68">
        <v>274224959.66000003</v>
      </c>
      <c r="S338" s="71">
        <v>0</v>
      </c>
      <c r="T338" s="68">
        <v>62166998.799999997</v>
      </c>
      <c r="U338" s="68">
        <v>10091758.753900001</v>
      </c>
      <c r="V338" s="68">
        <v>0</v>
      </c>
      <c r="W338" s="68">
        <f t="shared" si="75"/>
        <v>10091758.753900001</v>
      </c>
      <c r="X338" s="68">
        <v>251426428</v>
      </c>
      <c r="Y338" s="69">
        <f t="shared" si="65"/>
        <v>597910145.21390009</v>
      </c>
    </row>
    <row r="339" spans="1:25" ht="24.95" customHeight="1">
      <c r="A339" s="174"/>
      <c r="B339" s="176"/>
      <c r="C339" s="64">
        <v>4</v>
      </c>
      <c r="D339" s="68" t="s">
        <v>793</v>
      </c>
      <c r="E339" s="68">
        <v>262886612.88</v>
      </c>
      <c r="F339" s="68">
        <v>0</v>
      </c>
      <c r="G339" s="68">
        <v>59596587.299999997</v>
      </c>
      <c r="H339" s="68">
        <v>9674496.0055</v>
      </c>
      <c r="I339" s="68">
        <v>0</v>
      </c>
      <c r="J339" s="68">
        <f t="shared" si="79"/>
        <v>9674496.0055</v>
      </c>
      <c r="K339" s="82">
        <v>228666104.52000001</v>
      </c>
      <c r="L339" s="69">
        <f t="shared" si="76"/>
        <v>560823800.70550001</v>
      </c>
      <c r="M339" s="63"/>
      <c r="N339" s="176"/>
      <c r="O339" s="70">
        <v>9</v>
      </c>
      <c r="P339" s="187"/>
      <c r="Q339" s="68" t="s">
        <v>794</v>
      </c>
      <c r="R339" s="68">
        <v>310402228.63999999</v>
      </c>
      <c r="S339" s="71">
        <v>0</v>
      </c>
      <c r="T339" s="68">
        <v>70368412.129999995</v>
      </c>
      <c r="U339" s="68">
        <v>11423119.223099999</v>
      </c>
      <c r="V339" s="68">
        <v>0</v>
      </c>
      <c r="W339" s="68">
        <f t="shared" si="75"/>
        <v>11423119.223099999</v>
      </c>
      <c r="X339" s="68">
        <v>249787752.87</v>
      </c>
      <c r="Y339" s="69">
        <f t="shared" si="65"/>
        <v>641981512.86310005</v>
      </c>
    </row>
    <row r="340" spans="1:25" ht="24.95" customHeight="1">
      <c r="A340" s="174"/>
      <c r="B340" s="176"/>
      <c r="C340" s="64">
        <v>5</v>
      </c>
      <c r="D340" s="68" t="s">
        <v>795</v>
      </c>
      <c r="E340" s="68">
        <v>221287642.72999999</v>
      </c>
      <c r="F340" s="68">
        <v>0</v>
      </c>
      <c r="G340" s="68">
        <v>51139070.729999997</v>
      </c>
      <c r="H340" s="68">
        <v>8301561.5147000002</v>
      </c>
      <c r="I340" s="68">
        <v>0</v>
      </c>
      <c r="J340" s="68">
        <f t="shared" si="79"/>
        <v>8301561.5147000002</v>
      </c>
      <c r="K340" s="82">
        <v>211869123.97999999</v>
      </c>
      <c r="L340" s="69">
        <f t="shared" si="76"/>
        <v>492597398.95469999</v>
      </c>
      <c r="M340" s="63"/>
      <c r="N340" s="176"/>
      <c r="O340" s="70">
        <v>10</v>
      </c>
      <c r="P340" s="187"/>
      <c r="Q340" s="68" t="s">
        <v>796</v>
      </c>
      <c r="R340" s="68">
        <v>280249997.87</v>
      </c>
      <c r="S340" s="71">
        <v>0</v>
      </c>
      <c r="T340" s="68">
        <v>63532879.369999997</v>
      </c>
      <c r="U340" s="68">
        <v>10313486.317299999</v>
      </c>
      <c r="V340" s="68">
        <v>0</v>
      </c>
      <c r="W340" s="68">
        <f t="shared" si="75"/>
        <v>10313486.317299999</v>
      </c>
      <c r="X340" s="68">
        <v>241775580.44999999</v>
      </c>
      <c r="Y340" s="69">
        <f t="shared" si="65"/>
        <v>595871944.00730002</v>
      </c>
    </row>
    <row r="341" spans="1:25" ht="24.95" customHeight="1">
      <c r="A341" s="174"/>
      <c r="B341" s="176"/>
      <c r="C341" s="64">
        <v>6</v>
      </c>
      <c r="D341" s="68" t="s">
        <v>797</v>
      </c>
      <c r="E341" s="68">
        <v>310627098.56</v>
      </c>
      <c r="F341" s="68">
        <v>0</v>
      </c>
      <c r="G341" s="68">
        <v>50166070.359999999</v>
      </c>
      <c r="H341" s="68">
        <v>8143611.3927999996</v>
      </c>
      <c r="I341" s="68">
        <v>0</v>
      </c>
      <c r="J341" s="68">
        <f t="shared" si="79"/>
        <v>8143611.3927999996</v>
      </c>
      <c r="K341" s="82">
        <v>267452566.05000001</v>
      </c>
      <c r="L341" s="69">
        <f t="shared" si="76"/>
        <v>636389346.3628</v>
      </c>
      <c r="M341" s="63"/>
      <c r="N341" s="176"/>
      <c r="O341" s="70">
        <v>11</v>
      </c>
      <c r="P341" s="187"/>
      <c r="Q341" s="68" t="s">
        <v>798</v>
      </c>
      <c r="R341" s="68">
        <v>259877817.83000001</v>
      </c>
      <c r="S341" s="71">
        <v>0</v>
      </c>
      <c r="T341" s="68">
        <v>58914491.259999998</v>
      </c>
      <c r="U341" s="68">
        <v>9563769.2728000004</v>
      </c>
      <c r="V341" s="68">
        <v>0</v>
      </c>
      <c r="W341" s="68">
        <f t="shared" si="75"/>
        <v>9563769.2728000004</v>
      </c>
      <c r="X341" s="68">
        <v>245228156.12</v>
      </c>
      <c r="Y341" s="69">
        <f t="shared" si="65"/>
        <v>573584234.48280001</v>
      </c>
    </row>
    <row r="342" spans="1:25" ht="24.95" customHeight="1">
      <c r="A342" s="174"/>
      <c r="B342" s="176"/>
      <c r="C342" s="64">
        <v>7</v>
      </c>
      <c r="D342" s="68" t="s">
        <v>799</v>
      </c>
      <c r="E342" s="68">
        <v>225579646.41999999</v>
      </c>
      <c r="F342" s="68">
        <v>0</v>
      </c>
      <c r="G342" s="68">
        <v>70419390.299999997</v>
      </c>
      <c r="H342" s="68">
        <v>11431394.665899999</v>
      </c>
      <c r="I342" s="68">
        <v>0</v>
      </c>
      <c r="J342" s="68">
        <f t="shared" si="79"/>
        <v>11431394.665899999</v>
      </c>
      <c r="K342" s="82">
        <v>205526263.12</v>
      </c>
      <c r="L342" s="69">
        <f t="shared" si="76"/>
        <v>512956694.50589997</v>
      </c>
      <c r="M342" s="63"/>
      <c r="N342" s="176"/>
      <c r="O342" s="70">
        <v>12</v>
      </c>
      <c r="P342" s="187"/>
      <c r="Q342" s="68" t="s">
        <v>800</v>
      </c>
      <c r="R342" s="68">
        <v>309416161.25999999</v>
      </c>
      <c r="S342" s="71">
        <v>0</v>
      </c>
      <c r="T342" s="68">
        <v>70144869.930000007</v>
      </c>
      <c r="U342" s="68">
        <v>11386830.935799999</v>
      </c>
      <c r="V342" s="68">
        <v>0</v>
      </c>
      <c r="W342" s="68">
        <f t="shared" si="75"/>
        <v>11386830.935799999</v>
      </c>
      <c r="X342" s="68">
        <v>250931761.81999999</v>
      </c>
      <c r="Y342" s="69">
        <f t="shared" si="65"/>
        <v>641879623.94580007</v>
      </c>
    </row>
    <row r="343" spans="1:25" ht="24.95" customHeight="1">
      <c r="A343" s="174"/>
      <c r="B343" s="176"/>
      <c r="C343" s="64">
        <v>8</v>
      </c>
      <c r="D343" s="68" t="s">
        <v>801</v>
      </c>
      <c r="E343" s="68">
        <v>260699695.5</v>
      </c>
      <c r="F343" s="68">
        <v>0</v>
      </c>
      <c r="G343" s="68">
        <v>59100811.530000001</v>
      </c>
      <c r="H343" s="68">
        <v>9594015.2108999994</v>
      </c>
      <c r="I343" s="68">
        <v>0</v>
      </c>
      <c r="J343" s="68">
        <f t="shared" si="79"/>
        <v>9594015.2108999994</v>
      </c>
      <c r="K343" s="82">
        <v>232366386.90000001</v>
      </c>
      <c r="L343" s="69">
        <f t="shared" si="76"/>
        <v>561760909.14090002</v>
      </c>
      <c r="M343" s="63"/>
      <c r="N343" s="176"/>
      <c r="O343" s="70">
        <v>13</v>
      </c>
      <c r="P343" s="187"/>
      <c r="Q343" s="68" t="s">
        <v>802</v>
      </c>
      <c r="R343" s="68">
        <v>324639991.35000002</v>
      </c>
      <c r="S343" s="71">
        <v>0</v>
      </c>
      <c r="T343" s="68">
        <v>73596123.340000004</v>
      </c>
      <c r="U343" s="68">
        <v>11947083.4405</v>
      </c>
      <c r="V343" s="68">
        <v>0</v>
      </c>
      <c r="W343" s="68">
        <f t="shared" si="75"/>
        <v>11947083.4405</v>
      </c>
      <c r="X343" s="68">
        <v>272763577.31</v>
      </c>
      <c r="Y343" s="69">
        <f t="shared" si="65"/>
        <v>682946775.44050002</v>
      </c>
    </row>
    <row r="344" spans="1:25" ht="24.95" customHeight="1">
      <c r="A344" s="174"/>
      <c r="B344" s="176"/>
      <c r="C344" s="64">
        <v>9</v>
      </c>
      <c r="D344" s="68" t="s">
        <v>803</v>
      </c>
      <c r="E344" s="68">
        <v>228355632.08000001</v>
      </c>
      <c r="F344" s="68">
        <v>0</v>
      </c>
      <c r="G344" s="68">
        <v>51768388.710000001</v>
      </c>
      <c r="H344" s="68">
        <v>8403720.6239</v>
      </c>
      <c r="I344" s="68">
        <v>0</v>
      </c>
      <c r="J344" s="68">
        <f t="shared" si="79"/>
        <v>8403720.6239</v>
      </c>
      <c r="K344" s="82">
        <v>215526814.25999999</v>
      </c>
      <c r="L344" s="69">
        <f t="shared" si="76"/>
        <v>504054555.67390001</v>
      </c>
      <c r="M344" s="63"/>
      <c r="N344" s="176"/>
      <c r="O344" s="70">
        <v>14</v>
      </c>
      <c r="P344" s="187"/>
      <c r="Q344" s="68" t="s">
        <v>804</v>
      </c>
      <c r="R344" s="68">
        <v>292517830.54000002</v>
      </c>
      <c r="S344" s="71">
        <v>0</v>
      </c>
      <c r="T344" s="68">
        <v>66314006</v>
      </c>
      <c r="U344" s="68">
        <v>10764955.0964</v>
      </c>
      <c r="V344" s="68">
        <v>0</v>
      </c>
      <c r="W344" s="68">
        <f t="shared" si="75"/>
        <v>10764955.0964</v>
      </c>
      <c r="X344" s="68">
        <v>253639722.91</v>
      </c>
      <c r="Y344" s="69">
        <f t="shared" si="65"/>
        <v>623236514.54640007</v>
      </c>
    </row>
    <row r="345" spans="1:25" ht="24.95" customHeight="1">
      <c r="A345" s="174"/>
      <c r="B345" s="176"/>
      <c r="C345" s="64">
        <v>10</v>
      </c>
      <c r="D345" s="68" t="s">
        <v>805</v>
      </c>
      <c r="E345" s="68">
        <v>241245295.41999999</v>
      </c>
      <c r="F345" s="68">
        <v>0</v>
      </c>
      <c r="G345" s="68">
        <v>54690484.810000002</v>
      </c>
      <c r="H345" s="68">
        <v>8878073.4069999997</v>
      </c>
      <c r="I345" s="68">
        <v>0</v>
      </c>
      <c r="J345" s="68">
        <f t="shared" si="79"/>
        <v>8878073.4069999997</v>
      </c>
      <c r="K345" s="82">
        <v>218462306.84999999</v>
      </c>
      <c r="L345" s="69">
        <f t="shared" si="76"/>
        <v>523276160.48699999</v>
      </c>
      <c r="M345" s="63"/>
      <c r="N345" s="176"/>
      <c r="O345" s="70">
        <v>15</v>
      </c>
      <c r="P345" s="187"/>
      <c r="Q345" s="68" t="s">
        <v>806</v>
      </c>
      <c r="R345" s="68">
        <v>261931797.78999999</v>
      </c>
      <c r="S345" s="71">
        <v>0</v>
      </c>
      <c r="T345" s="68">
        <v>59380130.020000003</v>
      </c>
      <c r="U345" s="68">
        <v>9639357.8342000004</v>
      </c>
      <c r="V345" s="68">
        <v>0</v>
      </c>
      <c r="W345" s="68">
        <f t="shared" si="75"/>
        <v>9639357.8342000004</v>
      </c>
      <c r="X345" s="68">
        <v>234198669.44</v>
      </c>
      <c r="Y345" s="69">
        <f t="shared" si="65"/>
        <v>565149955.08420002</v>
      </c>
    </row>
    <row r="346" spans="1:25" ht="24.95" customHeight="1">
      <c r="A346" s="174"/>
      <c r="B346" s="176"/>
      <c r="C346" s="64">
        <v>11</v>
      </c>
      <c r="D346" s="68" t="s">
        <v>807</v>
      </c>
      <c r="E346" s="68">
        <v>335586203.56</v>
      </c>
      <c r="F346" s="68">
        <v>0</v>
      </c>
      <c r="G346" s="68">
        <v>76077637.650000006</v>
      </c>
      <c r="H346" s="68">
        <v>12349915.236099999</v>
      </c>
      <c r="I346" s="68">
        <v>0</v>
      </c>
      <c r="J346" s="68">
        <f t="shared" si="79"/>
        <v>12349915.236099999</v>
      </c>
      <c r="K346" s="82">
        <v>277330571.48000002</v>
      </c>
      <c r="L346" s="69">
        <f t="shared" si="76"/>
        <v>701344327.92610002</v>
      </c>
      <c r="M346" s="63"/>
      <c r="N346" s="176"/>
      <c r="O346" s="70">
        <v>16</v>
      </c>
      <c r="P346" s="187"/>
      <c r="Q346" s="68" t="s">
        <v>808</v>
      </c>
      <c r="R346" s="68">
        <v>291068539.11000001</v>
      </c>
      <c r="S346" s="71">
        <v>0</v>
      </c>
      <c r="T346" s="68">
        <v>65985450.579999998</v>
      </c>
      <c r="U346" s="68">
        <v>10711619.6906</v>
      </c>
      <c r="V346" s="68">
        <v>0</v>
      </c>
      <c r="W346" s="68">
        <f t="shared" si="75"/>
        <v>10711619.6906</v>
      </c>
      <c r="X346" s="68">
        <v>282196233.73000002</v>
      </c>
      <c r="Y346" s="69">
        <f t="shared" si="65"/>
        <v>649961843.11059999</v>
      </c>
    </row>
    <row r="347" spans="1:25" ht="24.95" customHeight="1">
      <c r="A347" s="174"/>
      <c r="B347" s="176"/>
      <c r="C347" s="64">
        <v>12</v>
      </c>
      <c r="D347" s="68" t="s">
        <v>809</v>
      </c>
      <c r="E347" s="68">
        <v>248120205.53999999</v>
      </c>
      <c r="F347" s="68">
        <v>0</v>
      </c>
      <c r="G347" s="68">
        <v>56249031.960000001</v>
      </c>
      <c r="H347" s="68">
        <v>9131077.1250999998</v>
      </c>
      <c r="I347" s="68">
        <v>0</v>
      </c>
      <c r="J347" s="68">
        <f t="shared" si="79"/>
        <v>9131077.1250999998</v>
      </c>
      <c r="K347" s="82">
        <v>222011275.18000001</v>
      </c>
      <c r="L347" s="69">
        <f t="shared" si="76"/>
        <v>535511589.80510002</v>
      </c>
      <c r="M347" s="63"/>
      <c r="N347" s="176"/>
      <c r="O347" s="70">
        <v>17</v>
      </c>
      <c r="P347" s="187"/>
      <c r="Q347" s="68" t="s">
        <v>810</v>
      </c>
      <c r="R347" s="68">
        <v>288717142.36000001</v>
      </c>
      <c r="S347" s="71">
        <v>0</v>
      </c>
      <c r="T347" s="68">
        <v>65452387.219999999</v>
      </c>
      <c r="U347" s="68">
        <v>10625085.887399999</v>
      </c>
      <c r="V347" s="68">
        <v>0</v>
      </c>
      <c r="W347" s="68">
        <f t="shared" si="75"/>
        <v>10625085.887399999</v>
      </c>
      <c r="X347" s="68">
        <v>268024271.77000001</v>
      </c>
      <c r="Y347" s="69">
        <f t="shared" si="65"/>
        <v>632818887.23740005</v>
      </c>
    </row>
    <row r="348" spans="1:25" ht="24.95" customHeight="1">
      <c r="A348" s="174"/>
      <c r="B348" s="176"/>
      <c r="C348" s="64">
        <v>13</v>
      </c>
      <c r="D348" s="68" t="s">
        <v>811</v>
      </c>
      <c r="E348" s="68">
        <v>209453897.71000001</v>
      </c>
      <c r="F348" s="68">
        <v>0</v>
      </c>
      <c r="G348" s="68">
        <v>47483351.710000001</v>
      </c>
      <c r="H348" s="68">
        <v>7708117.4825999998</v>
      </c>
      <c r="I348" s="68">
        <v>0</v>
      </c>
      <c r="J348" s="68">
        <f t="shared" si="79"/>
        <v>7708117.4825999998</v>
      </c>
      <c r="K348" s="82">
        <v>214954062.56</v>
      </c>
      <c r="L348" s="69">
        <f t="shared" si="76"/>
        <v>479599429.46259999</v>
      </c>
      <c r="M348" s="63"/>
      <c r="N348" s="176"/>
      <c r="O348" s="70">
        <v>18</v>
      </c>
      <c r="P348" s="187"/>
      <c r="Q348" s="68" t="s">
        <v>812</v>
      </c>
      <c r="R348" s="68">
        <v>323281351.51999998</v>
      </c>
      <c r="S348" s="71">
        <v>0</v>
      </c>
      <c r="T348" s="68">
        <v>73288118.700000003</v>
      </c>
      <c r="U348" s="68">
        <v>11897084.1064</v>
      </c>
      <c r="V348" s="68">
        <v>0</v>
      </c>
      <c r="W348" s="68">
        <f t="shared" si="75"/>
        <v>11897084.1064</v>
      </c>
      <c r="X348" s="68">
        <v>279239071.47000003</v>
      </c>
      <c r="Y348" s="69">
        <f t="shared" ref="Y348:Y410" si="80">R348+S348+T348+W348+X348</f>
        <v>687705625.79640007</v>
      </c>
    </row>
    <row r="349" spans="1:25" ht="24.95" customHeight="1">
      <c r="A349" s="174"/>
      <c r="B349" s="176"/>
      <c r="C349" s="64">
        <v>14</v>
      </c>
      <c r="D349" s="68" t="s">
        <v>813</v>
      </c>
      <c r="E349" s="68">
        <v>287887698.63</v>
      </c>
      <c r="F349" s="68">
        <v>0</v>
      </c>
      <c r="G349" s="68">
        <v>65264351.710000001</v>
      </c>
      <c r="H349" s="68">
        <v>10594561.510299999</v>
      </c>
      <c r="I349" s="68">
        <v>0</v>
      </c>
      <c r="J349" s="68">
        <f t="shared" si="79"/>
        <v>10594561.510299999</v>
      </c>
      <c r="K349" s="82">
        <v>261082804.91</v>
      </c>
      <c r="L349" s="69">
        <f t="shared" si="76"/>
        <v>624829416.76029992</v>
      </c>
      <c r="M349" s="63"/>
      <c r="N349" s="176"/>
      <c r="O349" s="70">
        <v>19</v>
      </c>
      <c r="P349" s="187"/>
      <c r="Q349" s="68" t="s">
        <v>814</v>
      </c>
      <c r="R349" s="68">
        <v>298052377.82999998</v>
      </c>
      <c r="S349" s="71">
        <v>0</v>
      </c>
      <c r="T349" s="68">
        <v>67568691.920000002</v>
      </c>
      <c r="U349" s="68">
        <v>10968632.0923</v>
      </c>
      <c r="V349" s="68">
        <v>0</v>
      </c>
      <c r="W349" s="68">
        <f t="shared" si="75"/>
        <v>10968632.0923</v>
      </c>
      <c r="X349" s="68">
        <v>237738671.00999999</v>
      </c>
      <c r="Y349" s="69">
        <f t="shared" si="80"/>
        <v>614328372.85229993</v>
      </c>
    </row>
    <row r="350" spans="1:25" ht="24.95" customHeight="1">
      <c r="A350" s="174"/>
      <c r="B350" s="176"/>
      <c r="C350" s="64">
        <v>15</v>
      </c>
      <c r="D350" s="68" t="s">
        <v>815</v>
      </c>
      <c r="E350" s="68">
        <v>323799960.75999999</v>
      </c>
      <c r="F350" s="68">
        <v>0</v>
      </c>
      <c r="G350" s="68">
        <v>73405687.790000007</v>
      </c>
      <c r="H350" s="68">
        <v>11916169.4564</v>
      </c>
      <c r="I350" s="68">
        <v>0</v>
      </c>
      <c r="J350" s="68">
        <f t="shared" si="79"/>
        <v>11916169.4564</v>
      </c>
      <c r="K350" s="82">
        <v>276761182.31</v>
      </c>
      <c r="L350" s="69">
        <f t="shared" si="76"/>
        <v>685883000.31640005</v>
      </c>
      <c r="M350" s="63"/>
      <c r="N350" s="176"/>
      <c r="O350" s="70">
        <v>20</v>
      </c>
      <c r="P350" s="187"/>
      <c r="Q350" s="68" t="s">
        <v>816</v>
      </c>
      <c r="R350" s="68">
        <v>271232012.67000002</v>
      </c>
      <c r="S350" s="71">
        <v>0</v>
      </c>
      <c r="T350" s="68">
        <v>61488495.530000001</v>
      </c>
      <c r="U350" s="68">
        <v>9981615.2460999992</v>
      </c>
      <c r="V350" s="68">
        <v>0</v>
      </c>
      <c r="W350" s="68">
        <f t="shared" si="75"/>
        <v>9981615.2460999992</v>
      </c>
      <c r="X350" s="68">
        <v>220745542.63</v>
      </c>
      <c r="Y350" s="69">
        <f t="shared" si="80"/>
        <v>563447666.07610011</v>
      </c>
    </row>
    <row r="351" spans="1:25" ht="24.95" customHeight="1">
      <c r="A351" s="174"/>
      <c r="B351" s="176"/>
      <c r="C351" s="64">
        <v>16</v>
      </c>
      <c r="D351" s="68" t="s">
        <v>817</v>
      </c>
      <c r="E351" s="68">
        <v>237314191.31</v>
      </c>
      <c r="F351" s="68">
        <v>0</v>
      </c>
      <c r="G351" s="68">
        <v>53799300.640000001</v>
      </c>
      <c r="H351" s="68">
        <v>8733404.7585000005</v>
      </c>
      <c r="I351" s="68">
        <v>0</v>
      </c>
      <c r="J351" s="68">
        <f t="shared" si="79"/>
        <v>8733404.7585000005</v>
      </c>
      <c r="K351" s="82">
        <v>223296136.97</v>
      </c>
      <c r="L351" s="69">
        <f t="shared" si="76"/>
        <v>523143033.67849994</v>
      </c>
      <c r="M351" s="63"/>
      <c r="N351" s="176"/>
      <c r="O351" s="70">
        <v>21</v>
      </c>
      <c r="P351" s="187"/>
      <c r="Q351" s="68" t="s">
        <v>818</v>
      </c>
      <c r="R351" s="68">
        <v>279598473.48000002</v>
      </c>
      <c r="S351" s="71">
        <v>0</v>
      </c>
      <c r="T351" s="68">
        <v>63385178.310000002</v>
      </c>
      <c r="U351" s="68">
        <v>10289509.5539</v>
      </c>
      <c r="V351" s="68">
        <v>0</v>
      </c>
      <c r="W351" s="68">
        <f t="shared" ref="W351:W382" si="81">U351-V351</f>
        <v>10289509.5539</v>
      </c>
      <c r="X351" s="68">
        <v>262309831.24000001</v>
      </c>
      <c r="Y351" s="69">
        <f t="shared" si="80"/>
        <v>615582992.58389997</v>
      </c>
    </row>
    <row r="352" spans="1:25" ht="24.95" customHeight="1">
      <c r="A352" s="174"/>
      <c r="B352" s="176"/>
      <c r="C352" s="64">
        <v>17</v>
      </c>
      <c r="D352" s="68" t="s">
        <v>819</v>
      </c>
      <c r="E352" s="68">
        <v>251123399.97999999</v>
      </c>
      <c r="F352" s="68">
        <v>0</v>
      </c>
      <c r="G352" s="68">
        <v>56929858.340000004</v>
      </c>
      <c r="H352" s="68">
        <v>9241597.7495000008</v>
      </c>
      <c r="I352" s="68">
        <v>0</v>
      </c>
      <c r="J352" s="68">
        <f t="shared" si="79"/>
        <v>9241597.7495000008</v>
      </c>
      <c r="K352" s="82">
        <v>235826434.87</v>
      </c>
      <c r="L352" s="69">
        <f t="shared" si="76"/>
        <v>553121290.93949997</v>
      </c>
      <c r="M352" s="63"/>
      <c r="N352" s="176"/>
      <c r="O352" s="70">
        <v>22</v>
      </c>
      <c r="P352" s="187"/>
      <c r="Q352" s="68" t="s">
        <v>820</v>
      </c>
      <c r="R352" s="68">
        <v>269017176.88999999</v>
      </c>
      <c r="S352" s="71">
        <v>0</v>
      </c>
      <c r="T352" s="68">
        <v>60986390.640000001</v>
      </c>
      <c r="U352" s="68">
        <v>9900107.0259000007</v>
      </c>
      <c r="V352" s="68">
        <v>0</v>
      </c>
      <c r="W352" s="68">
        <f t="shared" si="81"/>
        <v>9900107.0259000007</v>
      </c>
      <c r="X352" s="68">
        <v>255841809.38</v>
      </c>
      <c r="Y352" s="69">
        <f t="shared" si="80"/>
        <v>595745483.93589997</v>
      </c>
    </row>
    <row r="353" spans="1:25" ht="24.95" customHeight="1">
      <c r="A353" s="174"/>
      <c r="B353" s="176"/>
      <c r="C353" s="64">
        <v>18</v>
      </c>
      <c r="D353" s="68" t="s">
        <v>821</v>
      </c>
      <c r="E353" s="68">
        <v>261917316.11000001</v>
      </c>
      <c r="F353" s="68">
        <v>0</v>
      </c>
      <c r="G353" s="68">
        <v>59376847.009999998</v>
      </c>
      <c r="H353" s="68">
        <v>9638824.8937999997</v>
      </c>
      <c r="I353" s="68">
        <v>0</v>
      </c>
      <c r="J353" s="68">
        <f t="shared" si="79"/>
        <v>9638824.8937999997</v>
      </c>
      <c r="K353" s="82">
        <v>247045717.94999999</v>
      </c>
      <c r="L353" s="69">
        <f t="shared" si="76"/>
        <v>577978705.96379995</v>
      </c>
      <c r="M353" s="63"/>
      <c r="N353" s="177"/>
      <c r="O353" s="70">
        <v>23</v>
      </c>
      <c r="P353" s="188"/>
      <c r="Q353" s="68" t="s">
        <v>822</v>
      </c>
      <c r="R353" s="68">
        <v>252203544.09999999</v>
      </c>
      <c r="S353" s="71">
        <v>0</v>
      </c>
      <c r="T353" s="68">
        <v>57174727.799999997</v>
      </c>
      <c r="U353" s="68">
        <v>9281348.1577000003</v>
      </c>
      <c r="V353" s="68">
        <v>0</v>
      </c>
      <c r="W353" s="68">
        <f t="shared" si="81"/>
        <v>9281348.1577000003</v>
      </c>
      <c r="X353" s="68">
        <v>238171317.09999999</v>
      </c>
      <c r="Y353" s="69">
        <f t="shared" si="80"/>
        <v>556830937.15769994</v>
      </c>
    </row>
    <row r="354" spans="1:25" ht="24.95" customHeight="1">
      <c r="A354" s="174"/>
      <c r="B354" s="176"/>
      <c r="C354" s="64">
        <v>19</v>
      </c>
      <c r="D354" s="68" t="s">
        <v>823</v>
      </c>
      <c r="E354" s="68">
        <v>270598982.36000001</v>
      </c>
      <c r="F354" s="68">
        <v>0</v>
      </c>
      <c r="G354" s="68">
        <v>61344987.100000001</v>
      </c>
      <c r="H354" s="68">
        <v>9958319.0837999992</v>
      </c>
      <c r="I354" s="68">
        <v>0</v>
      </c>
      <c r="J354" s="68">
        <f t="shared" si="79"/>
        <v>9958319.0837999992</v>
      </c>
      <c r="K354" s="82">
        <v>240092743.88999999</v>
      </c>
      <c r="L354" s="69">
        <f t="shared" si="76"/>
        <v>581995032.43379998</v>
      </c>
      <c r="M354" s="63"/>
      <c r="N354" s="64"/>
      <c r="O354" s="170" t="s">
        <v>824</v>
      </c>
      <c r="P354" s="171"/>
      <c r="Q354" s="72"/>
      <c r="R354" s="72">
        <f t="shared" ref="R354:V354" si="82">SUM(R331:R353)</f>
        <v>6663760970.5600004</v>
      </c>
      <c r="S354" s="71">
        <v>0</v>
      </c>
      <c r="T354" s="72">
        <f t="shared" si="82"/>
        <v>1510679482.9900002</v>
      </c>
      <c r="U354" s="72">
        <f t="shared" si="82"/>
        <v>245233213.60670003</v>
      </c>
      <c r="V354" s="72">
        <f t="shared" si="82"/>
        <v>0</v>
      </c>
      <c r="W354" s="72">
        <f t="shared" si="81"/>
        <v>245233213.60670003</v>
      </c>
      <c r="X354" s="72">
        <f>SUM(X331:X353)</f>
        <v>5870888313.7000008</v>
      </c>
      <c r="Y354" s="72">
        <f>SUM(Y331:Y353)</f>
        <v>14290561980.856701</v>
      </c>
    </row>
    <row r="355" spans="1:25" ht="24.95" customHeight="1">
      <c r="A355" s="174"/>
      <c r="B355" s="176"/>
      <c r="C355" s="64">
        <v>20</v>
      </c>
      <c r="D355" s="68" t="s">
        <v>825</v>
      </c>
      <c r="E355" s="68">
        <v>272938766.61000001</v>
      </c>
      <c r="F355" s="68">
        <v>0</v>
      </c>
      <c r="G355" s="68">
        <v>61875417.899999999</v>
      </c>
      <c r="H355" s="68">
        <v>10044425.5353</v>
      </c>
      <c r="I355" s="68">
        <v>0</v>
      </c>
      <c r="J355" s="68">
        <f t="shared" si="79"/>
        <v>10044425.5353</v>
      </c>
      <c r="K355" s="82">
        <v>242634072.72</v>
      </c>
      <c r="L355" s="69">
        <f t="shared" si="76"/>
        <v>587492682.76530004</v>
      </c>
      <c r="M355" s="63"/>
      <c r="N355" s="175">
        <v>34</v>
      </c>
      <c r="O355" s="70">
        <v>1</v>
      </c>
      <c r="P355" s="175" t="s">
        <v>116</v>
      </c>
      <c r="Q355" s="68" t="s">
        <v>826</v>
      </c>
      <c r="R355" s="68">
        <v>250330298.03999999</v>
      </c>
      <c r="S355" s="71">
        <v>0</v>
      </c>
      <c r="T355" s="68">
        <v>56750061.549999997</v>
      </c>
      <c r="U355" s="68">
        <v>9212410.7875999995</v>
      </c>
      <c r="V355" s="68">
        <f t="shared" ref="V355:V370" si="83">U355/2</f>
        <v>4606205.3937999997</v>
      </c>
      <c r="W355" s="68">
        <f t="shared" si="81"/>
        <v>4606205.3937999997</v>
      </c>
      <c r="X355" s="68">
        <v>223815400.74000001</v>
      </c>
      <c r="Y355" s="69">
        <f t="shared" si="80"/>
        <v>535501965.7238</v>
      </c>
    </row>
    <row r="356" spans="1:25" ht="24.95" customHeight="1">
      <c r="A356" s="174"/>
      <c r="B356" s="176"/>
      <c r="C356" s="64">
        <v>21</v>
      </c>
      <c r="D356" s="68" t="s">
        <v>827</v>
      </c>
      <c r="E356" s="68">
        <v>255688897.09</v>
      </c>
      <c r="F356" s="68">
        <v>0</v>
      </c>
      <c r="G356" s="68">
        <v>57964859.869999997</v>
      </c>
      <c r="H356" s="68">
        <v>9409612.7089000009</v>
      </c>
      <c r="I356" s="68">
        <v>0</v>
      </c>
      <c r="J356" s="68">
        <f t="shared" si="79"/>
        <v>9409612.7089000009</v>
      </c>
      <c r="K356" s="82">
        <v>235796172.06</v>
      </c>
      <c r="L356" s="69">
        <f t="shared" si="76"/>
        <v>558859541.72889996</v>
      </c>
      <c r="M356" s="63"/>
      <c r="N356" s="176"/>
      <c r="O356" s="70">
        <v>2</v>
      </c>
      <c r="P356" s="176"/>
      <c r="Q356" s="68" t="s">
        <v>828</v>
      </c>
      <c r="R356" s="68">
        <v>428372788.14999998</v>
      </c>
      <c r="S356" s="71">
        <v>0</v>
      </c>
      <c r="T356" s="68">
        <v>97112424.200000003</v>
      </c>
      <c r="U356" s="68">
        <v>15764556.3705</v>
      </c>
      <c r="V356" s="68">
        <f t="shared" si="83"/>
        <v>7882278.1852500001</v>
      </c>
      <c r="W356" s="68">
        <f t="shared" si="81"/>
        <v>7882278.1852500001</v>
      </c>
      <c r="X356" s="68">
        <v>269401654.19999999</v>
      </c>
      <c r="Y356" s="69">
        <f t="shared" si="80"/>
        <v>802769144.73525</v>
      </c>
    </row>
    <row r="357" spans="1:25" ht="24.95" customHeight="1">
      <c r="A357" s="174"/>
      <c r="B357" s="176"/>
      <c r="C357" s="64">
        <v>22</v>
      </c>
      <c r="D357" s="68" t="s">
        <v>829</v>
      </c>
      <c r="E357" s="68">
        <v>234532972.44</v>
      </c>
      <c r="F357" s="68">
        <v>0</v>
      </c>
      <c r="G357" s="68">
        <v>53168796.289999999</v>
      </c>
      <c r="H357" s="68">
        <v>8631053.0618999992</v>
      </c>
      <c r="I357" s="68">
        <v>0</v>
      </c>
      <c r="J357" s="68">
        <f t="shared" si="79"/>
        <v>8631053.0618999992</v>
      </c>
      <c r="K357" s="82">
        <v>223470988.75999999</v>
      </c>
      <c r="L357" s="69">
        <f t="shared" si="76"/>
        <v>519803810.55190003</v>
      </c>
      <c r="M357" s="63"/>
      <c r="N357" s="176"/>
      <c r="O357" s="70">
        <v>3</v>
      </c>
      <c r="P357" s="176"/>
      <c r="Q357" s="68" t="s">
        <v>830</v>
      </c>
      <c r="R357" s="68">
        <v>294213307.83999997</v>
      </c>
      <c r="S357" s="71">
        <v>0</v>
      </c>
      <c r="T357" s="68">
        <v>66698371.950000003</v>
      </c>
      <c r="U357" s="68">
        <v>10827350.3936</v>
      </c>
      <c r="V357" s="68">
        <f t="shared" si="83"/>
        <v>5413675.1968</v>
      </c>
      <c r="W357" s="68">
        <f t="shared" si="81"/>
        <v>5413675.1968</v>
      </c>
      <c r="X357" s="68">
        <v>241446289.83000001</v>
      </c>
      <c r="Y357" s="69">
        <f t="shared" si="80"/>
        <v>607771644.8168</v>
      </c>
    </row>
    <row r="358" spans="1:25" ht="24.95" customHeight="1">
      <c r="A358" s="174"/>
      <c r="B358" s="176"/>
      <c r="C358" s="64">
        <v>23</v>
      </c>
      <c r="D358" s="68" t="s">
        <v>831</v>
      </c>
      <c r="E358" s="68">
        <v>287823202.24000001</v>
      </c>
      <c r="F358" s="68">
        <v>0</v>
      </c>
      <c r="G358" s="68">
        <v>65249730.340000004</v>
      </c>
      <c r="H358" s="68">
        <v>10592187.977299999</v>
      </c>
      <c r="I358" s="68">
        <v>0</v>
      </c>
      <c r="J358" s="68">
        <f t="shared" si="79"/>
        <v>10592187.977299999</v>
      </c>
      <c r="K358" s="82">
        <v>247232899.03</v>
      </c>
      <c r="L358" s="69">
        <f t="shared" si="76"/>
        <v>610898019.58730006</v>
      </c>
      <c r="M358" s="63"/>
      <c r="N358" s="176"/>
      <c r="O358" s="70">
        <v>4</v>
      </c>
      <c r="P358" s="176"/>
      <c r="Q358" s="68" t="s">
        <v>832</v>
      </c>
      <c r="R358" s="68">
        <v>351292449.05000001</v>
      </c>
      <c r="S358" s="71">
        <v>0</v>
      </c>
      <c r="T358" s="68">
        <v>79638254.980000004</v>
      </c>
      <c r="U358" s="68">
        <v>12927921.1209</v>
      </c>
      <c r="V358" s="68">
        <f t="shared" si="83"/>
        <v>6463960.5604499998</v>
      </c>
      <c r="W358" s="68">
        <f t="shared" si="81"/>
        <v>6463960.5604499998</v>
      </c>
      <c r="X358" s="68">
        <v>224136709.59</v>
      </c>
      <c r="Y358" s="69">
        <f t="shared" si="80"/>
        <v>661531374.18045008</v>
      </c>
    </row>
    <row r="359" spans="1:25" ht="24.95" customHeight="1">
      <c r="A359" s="174"/>
      <c r="B359" s="176"/>
      <c r="C359" s="64">
        <v>24</v>
      </c>
      <c r="D359" s="68" t="s">
        <v>833</v>
      </c>
      <c r="E359" s="68">
        <v>212847692.03999999</v>
      </c>
      <c r="F359" s="68">
        <v>0</v>
      </c>
      <c r="G359" s="68">
        <v>48252727.369999997</v>
      </c>
      <c r="H359" s="68">
        <v>7833012.5822999999</v>
      </c>
      <c r="I359" s="68">
        <v>0</v>
      </c>
      <c r="J359" s="68">
        <f t="shared" si="79"/>
        <v>7833012.5822999999</v>
      </c>
      <c r="K359" s="82">
        <v>204564204.65000001</v>
      </c>
      <c r="L359" s="69">
        <f t="shared" si="76"/>
        <v>473497636.64230001</v>
      </c>
      <c r="M359" s="63"/>
      <c r="N359" s="176"/>
      <c r="O359" s="70">
        <v>5</v>
      </c>
      <c r="P359" s="176"/>
      <c r="Q359" s="68" t="s">
        <v>834</v>
      </c>
      <c r="R359" s="68">
        <v>379517204.88</v>
      </c>
      <c r="S359" s="71">
        <v>0</v>
      </c>
      <c r="T359" s="68">
        <v>86036827.760000005</v>
      </c>
      <c r="U359" s="68">
        <v>13966620.9793</v>
      </c>
      <c r="V359" s="68">
        <f t="shared" si="83"/>
        <v>6983310.4896499999</v>
      </c>
      <c r="W359" s="68">
        <f t="shared" si="81"/>
        <v>6983310.4896499999</v>
      </c>
      <c r="X359" s="68">
        <v>282782299.70999998</v>
      </c>
      <c r="Y359" s="69">
        <f t="shared" si="80"/>
        <v>755319642.83964992</v>
      </c>
    </row>
    <row r="360" spans="1:25" ht="24.95" customHeight="1">
      <c r="A360" s="174"/>
      <c r="B360" s="176"/>
      <c r="C360" s="64">
        <v>25</v>
      </c>
      <c r="D360" s="68" t="s">
        <v>835</v>
      </c>
      <c r="E360" s="68">
        <v>267149270.38999999</v>
      </c>
      <c r="F360" s="68">
        <v>0</v>
      </c>
      <c r="G360" s="68">
        <v>60562934.869999997</v>
      </c>
      <c r="H360" s="68">
        <v>9831366.1579999998</v>
      </c>
      <c r="I360" s="68">
        <v>0</v>
      </c>
      <c r="J360" s="68">
        <f t="shared" si="79"/>
        <v>9831366.1579999998</v>
      </c>
      <c r="K360" s="82">
        <v>224377004.99000001</v>
      </c>
      <c r="L360" s="69">
        <f t="shared" si="76"/>
        <v>561920576.40799999</v>
      </c>
      <c r="M360" s="63"/>
      <c r="N360" s="176"/>
      <c r="O360" s="70">
        <v>6</v>
      </c>
      <c r="P360" s="176"/>
      <c r="Q360" s="68" t="s">
        <v>836</v>
      </c>
      <c r="R360" s="68">
        <v>262910722.47999999</v>
      </c>
      <c r="S360" s="71">
        <v>0</v>
      </c>
      <c r="T360" s="68">
        <v>59602052.960000001</v>
      </c>
      <c r="U360" s="68">
        <v>9675383.2632999998</v>
      </c>
      <c r="V360" s="68">
        <f t="shared" si="83"/>
        <v>4837691.6316499999</v>
      </c>
      <c r="W360" s="68">
        <f t="shared" si="81"/>
        <v>4837691.6316499999</v>
      </c>
      <c r="X360" s="68">
        <v>222744246.69999999</v>
      </c>
      <c r="Y360" s="69">
        <f t="shared" si="80"/>
        <v>550094713.77164996</v>
      </c>
    </row>
    <row r="361" spans="1:25" ht="24.95" customHeight="1">
      <c r="A361" s="174"/>
      <c r="B361" s="176"/>
      <c r="C361" s="64">
        <v>26</v>
      </c>
      <c r="D361" s="68" t="s">
        <v>837</v>
      </c>
      <c r="E361" s="68">
        <v>242970907.44999999</v>
      </c>
      <c r="F361" s="68">
        <v>0</v>
      </c>
      <c r="G361" s="68">
        <v>55081682.340000004</v>
      </c>
      <c r="H361" s="68">
        <v>8941577.6930999998</v>
      </c>
      <c r="I361" s="68">
        <v>0</v>
      </c>
      <c r="J361" s="68">
        <f t="shared" si="79"/>
        <v>8941577.6930999998</v>
      </c>
      <c r="K361" s="82">
        <v>224716247.37</v>
      </c>
      <c r="L361" s="69">
        <f t="shared" si="76"/>
        <v>531710414.85309994</v>
      </c>
      <c r="M361" s="63"/>
      <c r="N361" s="176"/>
      <c r="O361" s="70">
        <v>7</v>
      </c>
      <c r="P361" s="176"/>
      <c r="Q361" s="68" t="s">
        <v>838</v>
      </c>
      <c r="R361" s="68">
        <v>252874921.99000001</v>
      </c>
      <c r="S361" s="71">
        <v>0</v>
      </c>
      <c r="T361" s="68">
        <v>57326929.659999996</v>
      </c>
      <c r="U361" s="68">
        <v>9306055.5493000001</v>
      </c>
      <c r="V361" s="68">
        <f t="shared" si="83"/>
        <v>4653027.77465</v>
      </c>
      <c r="W361" s="68">
        <f t="shared" si="81"/>
        <v>4653027.77465</v>
      </c>
      <c r="X361" s="68">
        <v>243588597.90000001</v>
      </c>
      <c r="Y361" s="69">
        <f t="shared" si="80"/>
        <v>558443477.32464993</v>
      </c>
    </row>
    <row r="362" spans="1:25" ht="24.95" customHeight="1">
      <c r="A362" s="174"/>
      <c r="B362" s="177"/>
      <c r="C362" s="64">
        <v>27</v>
      </c>
      <c r="D362" s="68" t="s">
        <v>839</v>
      </c>
      <c r="E362" s="68">
        <v>225142831.66</v>
      </c>
      <c r="F362" s="68">
        <v>0</v>
      </c>
      <c r="G362" s="68">
        <v>51040044.5</v>
      </c>
      <c r="H362" s="68">
        <v>8285486.2844000002</v>
      </c>
      <c r="I362" s="68">
        <v>0</v>
      </c>
      <c r="J362" s="68">
        <f t="shared" si="79"/>
        <v>8285486.2844000002</v>
      </c>
      <c r="K362" s="82">
        <v>211266856.69999999</v>
      </c>
      <c r="L362" s="69">
        <f t="shared" si="76"/>
        <v>495735219.14439994</v>
      </c>
      <c r="M362" s="63"/>
      <c r="N362" s="176"/>
      <c r="O362" s="70">
        <v>8</v>
      </c>
      <c r="P362" s="176"/>
      <c r="Q362" s="68" t="s">
        <v>840</v>
      </c>
      <c r="R362" s="68">
        <v>392496461.81999999</v>
      </c>
      <c r="S362" s="71">
        <v>0</v>
      </c>
      <c r="T362" s="68">
        <v>88979234.790000007</v>
      </c>
      <c r="U362" s="68">
        <v>14444270.8983</v>
      </c>
      <c r="V362" s="68">
        <f t="shared" si="83"/>
        <v>7222135.4491499998</v>
      </c>
      <c r="W362" s="68">
        <f t="shared" si="81"/>
        <v>7222135.4491499998</v>
      </c>
      <c r="X362" s="68">
        <v>264510661</v>
      </c>
      <c r="Y362" s="69">
        <f t="shared" si="80"/>
        <v>753208493.05914998</v>
      </c>
    </row>
    <row r="363" spans="1:25" ht="24.95" customHeight="1">
      <c r="A363" s="64"/>
      <c r="B363" s="169" t="s">
        <v>841</v>
      </c>
      <c r="C363" s="170"/>
      <c r="D363" s="72"/>
      <c r="E363" s="72">
        <f t="shared" ref="E363:L363" si="84">SUM(E336:E362)</f>
        <v>7039983569.0199986</v>
      </c>
      <c r="F363" s="68">
        <v>0</v>
      </c>
      <c r="G363" s="72">
        <f t="shared" si="84"/>
        <v>1595969421.0599997</v>
      </c>
      <c r="H363" s="72">
        <f t="shared" si="84"/>
        <v>259078589.70249996</v>
      </c>
      <c r="I363" s="72">
        <f t="shared" si="84"/>
        <v>0</v>
      </c>
      <c r="J363" s="72">
        <f t="shared" si="84"/>
        <v>259078589.70249996</v>
      </c>
      <c r="K363" s="72">
        <f t="shared" si="84"/>
        <v>6362946556.4899998</v>
      </c>
      <c r="L363" s="72">
        <f t="shared" si="84"/>
        <v>15257978136.272497</v>
      </c>
      <c r="M363" s="63"/>
      <c r="N363" s="176"/>
      <c r="O363" s="70">
        <v>9</v>
      </c>
      <c r="P363" s="176"/>
      <c r="Q363" s="68" t="s">
        <v>842</v>
      </c>
      <c r="R363" s="68">
        <v>279394396.91000003</v>
      </c>
      <c r="S363" s="71">
        <v>0</v>
      </c>
      <c r="T363" s="68">
        <v>63338914.009999998</v>
      </c>
      <c r="U363" s="68">
        <v>10281999.327500001</v>
      </c>
      <c r="V363" s="68">
        <f t="shared" si="83"/>
        <v>5140999.6637500003</v>
      </c>
      <c r="W363" s="68">
        <f t="shared" si="81"/>
        <v>5140999.6637500003</v>
      </c>
      <c r="X363" s="68">
        <v>225537765.62</v>
      </c>
      <c r="Y363" s="69">
        <f t="shared" si="80"/>
        <v>573412076.20375001</v>
      </c>
    </row>
    <row r="364" spans="1:25" ht="24.95" customHeight="1">
      <c r="A364" s="174">
        <v>18</v>
      </c>
      <c r="B364" s="175" t="s">
        <v>843</v>
      </c>
      <c r="C364" s="64">
        <v>1</v>
      </c>
      <c r="D364" s="68" t="s">
        <v>844</v>
      </c>
      <c r="E364" s="68">
        <v>421532289.87</v>
      </c>
      <c r="F364" s="68">
        <v>0</v>
      </c>
      <c r="G364" s="68">
        <v>95561678.239999995</v>
      </c>
      <c r="H364" s="68">
        <v>15512819.043099999</v>
      </c>
      <c r="I364" s="68">
        <f t="shared" ref="I364:I386" si="85">H364/2</f>
        <v>7756409.5215499997</v>
      </c>
      <c r="J364" s="68">
        <f>H364-I364</f>
        <v>7756409.5215499997</v>
      </c>
      <c r="K364" s="82">
        <v>274180948.18000001</v>
      </c>
      <c r="L364" s="69">
        <f t="shared" si="76"/>
        <v>799031325.81155002</v>
      </c>
      <c r="M364" s="63"/>
      <c r="N364" s="176"/>
      <c r="O364" s="70">
        <v>10</v>
      </c>
      <c r="P364" s="176"/>
      <c r="Q364" s="68" t="s">
        <v>845</v>
      </c>
      <c r="R364" s="68">
        <v>257964208.31999999</v>
      </c>
      <c r="S364" s="71">
        <v>0</v>
      </c>
      <c r="T364" s="68">
        <v>58480674.590000004</v>
      </c>
      <c r="U364" s="68">
        <v>9493346.4874000009</v>
      </c>
      <c r="V364" s="68">
        <f t="shared" si="83"/>
        <v>4746673.2437000005</v>
      </c>
      <c r="W364" s="68">
        <f t="shared" si="81"/>
        <v>4746673.2437000005</v>
      </c>
      <c r="X364" s="68">
        <v>227427883.61000001</v>
      </c>
      <c r="Y364" s="69">
        <f t="shared" si="80"/>
        <v>548619439.76370001</v>
      </c>
    </row>
    <row r="365" spans="1:25" ht="24.95" customHeight="1">
      <c r="A365" s="174"/>
      <c r="B365" s="176"/>
      <c r="C365" s="64">
        <v>2</v>
      </c>
      <c r="D365" s="68" t="s">
        <v>846</v>
      </c>
      <c r="E365" s="68">
        <v>428625135.27999997</v>
      </c>
      <c r="F365" s="68">
        <v>0</v>
      </c>
      <c r="G365" s="68">
        <v>97169631.480000004</v>
      </c>
      <c r="H365" s="68">
        <v>15773843.002699999</v>
      </c>
      <c r="I365" s="68">
        <f t="shared" si="85"/>
        <v>7886921.5013499996</v>
      </c>
      <c r="J365" s="68">
        <f t="shared" ref="J365:J386" si="86">H365-I365</f>
        <v>7886921.5013499996</v>
      </c>
      <c r="K365" s="82">
        <v>317478062.89999998</v>
      </c>
      <c r="L365" s="69">
        <f t="shared" si="76"/>
        <v>851159751.16135001</v>
      </c>
      <c r="M365" s="63"/>
      <c r="N365" s="176"/>
      <c r="O365" s="70">
        <v>11</v>
      </c>
      <c r="P365" s="176"/>
      <c r="Q365" s="68" t="s">
        <v>847</v>
      </c>
      <c r="R365" s="68">
        <v>384964637.62</v>
      </c>
      <c r="S365" s="71">
        <v>0</v>
      </c>
      <c r="T365" s="68">
        <v>87271764.739999995</v>
      </c>
      <c r="U365" s="68">
        <v>14167092.070900001</v>
      </c>
      <c r="V365" s="68">
        <f t="shared" si="83"/>
        <v>7083546.0354500003</v>
      </c>
      <c r="W365" s="68">
        <f t="shared" si="81"/>
        <v>7083546.0354500003</v>
      </c>
      <c r="X365" s="68">
        <v>275193433.01999998</v>
      </c>
      <c r="Y365" s="69">
        <f t="shared" si="80"/>
        <v>754513381.41544998</v>
      </c>
    </row>
    <row r="366" spans="1:25" ht="24.95" customHeight="1">
      <c r="A366" s="174"/>
      <c r="B366" s="176"/>
      <c r="C366" s="64">
        <v>3</v>
      </c>
      <c r="D366" s="68" t="s">
        <v>848</v>
      </c>
      <c r="E366" s="68">
        <v>354721528.56</v>
      </c>
      <c r="F366" s="68">
        <v>0</v>
      </c>
      <c r="G366" s="68">
        <v>80415629.810000002</v>
      </c>
      <c r="H366" s="68">
        <v>13054114.7513</v>
      </c>
      <c r="I366" s="68">
        <f t="shared" si="85"/>
        <v>6527057.3756499998</v>
      </c>
      <c r="J366" s="68">
        <f t="shared" si="86"/>
        <v>6527057.3756499998</v>
      </c>
      <c r="K366" s="82">
        <v>286907767.55000001</v>
      </c>
      <c r="L366" s="69">
        <f t="shared" si="76"/>
        <v>728571983.29565001</v>
      </c>
      <c r="M366" s="63"/>
      <c r="N366" s="176"/>
      <c r="O366" s="70">
        <v>12</v>
      </c>
      <c r="P366" s="176"/>
      <c r="Q366" s="68" t="s">
        <v>849</v>
      </c>
      <c r="R366" s="68">
        <v>304711956.48000002</v>
      </c>
      <c r="S366" s="71">
        <v>0</v>
      </c>
      <c r="T366" s="68">
        <v>69078423.269999996</v>
      </c>
      <c r="U366" s="68">
        <v>11213711.3925</v>
      </c>
      <c r="V366" s="68">
        <f t="shared" si="83"/>
        <v>5606855.69625</v>
      </c>
      <c r="W366" s="68">
        <f t="shared" si="81"/>
        <v>5606855.69625</v>
      </c>
      <c r="X366" s="68">
        <v>241908825.12</v>
      </c>
      <c r="Y366" s="69">
        <f t="shared" si="80"/>
        <v>621306060.56625009</v>
      </c>
    </row>
    <row r="367" spans="1:25" ht="24.95" customHeight="1">
      <c r="A367" s="174"/>
      <c r="B367" s="176"/>
      <c r="C367" s="64">
        <v>4</v>
      </c>
      <c r="D367" s="68" t="s">
        <v>850</v>
      </c>
      <c r="E367" s="68">
        <v>449014215.73000002</v>
      </c>
      <c r="F367" s="68">
        <v>0</v>
      </c>
      <c r="G367" s="68">
        <v>61918884.520000003</v>
      </c>
      <c r="H367" s="68">
        <v>10051481.6054</v>
      </c>
      <c r="I367" s="68">
        <f t="shared" si="85"/>
        <v>5025740.8026999999</v>
      </c>
      <c r="J367" s="68">
        <f t="shared" si="86"/>
        <v>5025740.8026999999</v>
      </c>
      <c r="K367" s="82">
        <v>340634343.35000002</v>
      </c>
      <c r="L367" s="69">
        <f t="shared" si="76"/>
        <v>856593184.40269995</v>
      </c>
      <c r="M367" s="63"/>
      <c r="N367" s="176"/>
      <c r="O367" s="70">
        <v>13</v>
      </c>
      <c r="P367" s="176"/>
      <c r="Q367" s="68" t="s">
        <v>851</v>
      </c>
      <c r="R367" s="68">
        <v>261895861.27000001</v>
      </c>
      <c r="S367" s="71">
        <v>0</v>
      </c>
      <c r="T367" s="68">
        <v>59371983.189999998</v>
      </c>
      <c r="U367" s="68">
        <v>9638035.3335999995</v>
      </c>
      <c r="V367" s="68">
        <f t="shared" si="83"/>
        <v>4819017.6667999998</v>
      </c>
      <c r="W367" s="68">
        <f t="shared" si="81"/>
        <v>4819017.6667999998</v>
      </c>
      <c r="X367" s="68">
        <v>233286165.88999999</v>
      </c>
      <c r="Y367" s="69">
        <f t="shared" si="80"/>
        <v>559373028.01680005</v>
      </c>
    </row>
    <row r="368" spans="1:25" ht="24.95" customHeight="1">
      <c r="A368" s="174"/>
      <c r="B368" s="176"/>
      <c r="C368" s="64">
        <v>5</v>
      </c>
      <c r="D368" s="68" t="s">
        <v>852</v>
      </c>
      <c r="E368" s="68">
        <v>300799021.22000003</v>
      </c>
      <c r="F368" s="68">
        <v>0</v>
      </c>
      <c r="G368" s="68">
        <v>101791850.92</v>
      </c>
      <c r="H368" s="68">
        <v>16524181.999600001</v>
      </c>
      <c r="I368" s="68">
        <f t="shared" si="85"/>
        <v>8262090.9998000003</v>
      </c>
      <c r="J368" s="68">
        <f t="shared" si="86"/>
        <v>8262090.9998000003</v>
      </c>
      <c r="K368" s="82">
        <v>252348011.84999999</v>
      </c>
      <c r="L368" s="69">
        <f t="shared" si="76"/>
        <v>663200974.9898001</v>
      </c>
      <c r="M368" s="63"/>
      <c r="N368" s="176"/>
      <c r="O368" s="70">
        <v>14</v>
      </c>
      <c r="P368" s="176"/>
      <c r="Q368" s="68" t="s">
        <v>853</v>
      </c>
      <c r="R368" s="68">
        <v>375128626.12</v>
      </c>
      <c r="S368" s="71">
        <v>0</v>
      </c>
      <c r="T368" s="68">
        <v>85041933.75</v>
      </c>
      <c r="U368" s="68">
        <v>13805116.796</v>
      </c>
      <c r="V368" s="68">
        <f t="shared" si="83"/>
        <v>6902558.398</v>
      </c>
      <c r="W368" s="68">
        <f t="shared" si="81"/>
        <v>6902558.398</v>
      </c>
      <c r="X368" s="68">
        <v>281585611.06</v>
      </c>
      <c r="Y368" s="69">
        <f t="shared" si="80"/>
        <v>748658729.32800007</v>
      </c>
    </row>
    <row r="369" spans="1:25" ht="24.95" customHeight="1">
      <c r="A369" s="174"/>
      <c r="B369" s="176"/>
      <c r="C369" s="64">
        <v>6</v>
      </c>
      <c r="D369" s="68" t="s">
        <v>854</v>
      </c>
      <c r="E369" s="68">
        <v>262296154.87</v>
      </c>
      <c r="F369" s="68">
        <v>0</v>
      </c>
      <c r="G369" s="68">
        <v>68191357.980000004</v>
      </c>
      <c r="H369" s="68">
        <v>11069711.3761</v>
      </c>
      <c r="I369" s="68">
        <f t="shared" si="85"/>
        <v>5534855.68805</v>
      </c>
      <c r="J369" s="68">
        <f t="shared" si="86"/>
        <v>5534855.68805</v>
      </c>
      <c r="K369" s="82">
        <v>237945529.47999999</v>
      </c>
      <c r="L369" s="69">
        <f t="shared" si="76"/>
        <v>573967898.01804996</v>
      </c>
      <c r="M369" s="63"/>
      <c r="N369" s="176"/>
      <c r="O369" s="70">
        <v>15</v>
      </c>
      <c r="P369" s="176"/>
      <c r="Q369" s="68" t="s">
        <v>855</v>
      </c>
      <c r="R369" s="68">
        <v>248677753.50999999</v>
      </c>
      <c r="S369" s="71">
        <v>0</v>
      </c>
      <c r="T369" s="68">
        <v>56375428.5</v>
      </c>
      <c r="U369" s="68">
        <v>9151595.4603000004</v>
      </c>
      <c r="V369" s="68">
        <f t="shared" si="83"/>
        <v>4575797.7301500002</v>
      </c>
      <c r="W369" s="68">
        <f t="shared" si="81"/>
        <v>4575797.7301500002</v>
      </c>
      <c r="X369" s="68">
        <v>224745328.33000001</v>
      </c>
      <c r="Y369" s="69">
        <f t="shared" si="80"/>
        <v>534374308.07015002</v>
      </c>
    </row>
    <row r="370" spans="1:25" ht="24.95" customHeight="1">
      <c r="A370" s="174"/>
      <c r="B370" s="176"/>
      <c r="C370" s="64">
        <v>7</v>
      </c>
      <c r="D370" s="68" t="s">
        <v>856</v>
      </c>
      <c r="E370" s="68">
        <v>349492428.60000002</v>
      </c>
      <c r="F370" s="68">
        <v>0</v>
      </c>
      <c r="G370" s="68">
        <v>59462730.039999999</v>
      </c>
      <c r="H370" s="68">
        <v>9652766.5471000001</v>
      </c>
      <c r="I370" s="68">
        <f t="shared" si="85"/>
        <v>4826383.27355</v>
      </c>
      <c r="J370" s="68">
        <f t="shared" si="86"/>
        <v>4826383.27355</v>
      </c>
      <c r="K370" s="82">
        <v>284033921.42000002</v>
      </c>
      <c r="L370" s="69">
        <f t="shared" si="76"/>
        <v>697815463.33354998</v>
      </c>
      <c r="M370" s="63"/>
      <c r="N370" s="177"/>
      <c r="O370" s="70">
        <v>16</v>
      </c>
      <c r="P370" s="177"/>
      <c r="Q370" s="68" t="s">
        <v>857</v>
      </c>
      <c r="R370" s="68">
        <v>269765546.98000002</v>
      </c>
      <c r="S370" s="71">
        <v>0</v>
      </c>
      <c r="T370" s="68">
        <v>61156046.689999998</v>
      </c>
      <c r="U370" s="68">
        <v>9927647.8099000007</v>
      </c>
      <c r="V370" s="68">
        <f t="shared" si="83"/>
        <v>4963823.9049500003</v>
      </c>
      <c r="W370" s="68">
        <f t="shared" si="81"/>
        <v>4963823.9049500003</v>
      </c>
      <c r="X370" s="68">
        <v>238925136.19999999</v>
      </c>
      <c r="Y370" s="69">
        <f t="shared" si="80"/>
        <v>574810553.77495003</v>
      </c>
    </row>
    <row r="371" spans="1:25" ht="24.95" customHeight="1">
      <c r="A371" s="174"/>
      <c r="B371" s="176"/>
      <c r="C371" s="64">
        <v>8</v>
      </c>
      <c r="D371" s="68" t="s">
        <v>858</v>
      </c>
      <c r="E371" s="68">
        <v>385526503.75</v>
      </c>
      <c r="F371" s="68">
        <v>0</v>
      </c>
      <c r="G371" s="68">
        <v>79230189.030000001</v>
      </c>
      <c r="H371" s="68">
        <v>12861678.528999999</v>
      </c>
      <c r="I371" s="68">
        <f t="shared" si="85"/>
        <v>6430839.2644999996</v>
      </c>
      <c r="J371" s="68">
        <f t="shared" si="86"/>
        <v>6430839.2644999996</v>
      </c>
      <c r="K371" s="82">
        <v>271158776.92000002</v>
      </c>
      <c r="L371" s="69">
        <f t="shared" si="76"/>
        <v>742346308.96449995</v>
      </c>
      <c r="M371" s="63"/>
      <c r="N371" s="64"/>
      <c r="O371" s="170" t="s">
        <v>859</v>
      </c>
      <c r="P371" s="171"/>
      <c r="Q371" s="72"/>
      <c r="R371" s="72">
        <f t="shared" ref="R371:V371" si="87">SUM(R355:R370)</f>
        <v>4994511141.460001</v>
      </c>
      <c r="S371" s="71">
        <v>0</v>
      </c>
      <c r="T371" s="72">
        <f t="shared" si="87"/>
        <v>1132259326.5899999</v>
      </c>
      <c r="U371" s="72">
        <f t="shared" si="87"/>
        <v>183803114.04090005</v>
      </c>
      <c r="V371" s="72">
        <f t="shared" si="87"/>
        <v>91901557.020450026</v>
      </c>
      <c r="W371" s="72">
        <f t="shared" si="81"/>
        <v>91901557.020450026</v>
      </c>
      <c r="X371" s="72">
        <f>SUM(X355:X370)</f>
        <v>3921036008.5199995</v>
      </c>
      <c r="Y371" s="72">
        <f>SUM(Y355:Y370)</f>
        <v>10139708033.59045</v>
      </c>
    </row>
    <row r="372" spans="1:25" ht="24.95" customHeight="1">
      <c r="A372" s="174"/>
      <c r="B372" s="176"/>
      <c r="C372" s="64">
        <v>9</v>
      </c>
      <c r="D372" s="68" t="s">
        <v>860</v>
      </c>
      <c r="E372" s="68">
        <v>364207232.29000002</v>
      </c>
      <c r="F372" s="68">
        <v>0</v>
      </c>
      <c r="G372" s="68">
        <v>87399140.200000003</v>
      </c>
      <c r="H372" s="68">
        <v>14187769.318499999</v>
      </c>
      <c r="I372" s="68">
        <f t="shared" si="85"/>
        <v>7093884.6592499996</v>
      </c>
      <c r="J372" s="68">
        <f t="shared" si="86"/>
        <v>7093884.6592499996</v>
      </c>
      <c r="K372" s="82">
        <v>313534183.57999998</v>
      </c>
      <c r="L372" s="69">
        <f t="shared" si="76"/>
        <v>772234440.72924995</v>
      </c>
      <c r="M372" s="63"/>
      <c r="N372" s="175">
        <v>35</v>
      </c>
      <c r="O372" s="70">
        <v>1</v>
      </c>
      <c r="P372" s="66"/>
      <c r="Q372" s="68" t="s">
        <v>861</v>
      </c>
      <c r="R372" s="68">
        <v>278786650.93000001</v>
      </c>
      <c r="S372" s="71">
        <v>0</v>
      </c>
      <c r="T372" s="68">
        <v>63201137.549999997</v>
      </c>
      <c r="U372" s="68">
        <v>10259633.654200001</v>
      </c>
      <c r="V372" s="68">
        <v>0</v>
      </c>
      <c r="W372" s="68">
        <f t="shared" si="81"/>
        <v>10259633.654200001</v>
      </c>
      <c r="X372" s="68">
        <v>259922066.77000001</v>
      </c>
      <c r="Y372" s="69">
        <f t="shared" si="80"/>
        <v>612169488.90420008</v>
      </c>
    </row>
    <row r="373" spans="1:25" ht="24.95" customHeight="1">
      <c r="A373" s="174"/>
      <c r="B373" s="176"/>
      <c r="C373" s="64">
        <v>10</v>
      </c>
      <c r="D373" s="68" t="s">
        <v>862</v>
      </c>
      <c r="E373" s="68">
        <v>388848192.64999998</v>
      </c>
      <c r="F373" s="68">
        <v>0</v>
      </c>
      <c r="G373" s="68">
        <v>82566045.780000001</v>
      </c>
      <c r="H373" s="68">
        <v>13403198.3422</v>
      </c>
      <c r="I373" s="68">
        <f t="shared" si="85"/>
        <v>6701599.1710999999</v>
      </c>
      <c r="J373" s="68">
        <f t="shared" si="86"/>
        <v>6701599.1710999999</v>
      </c>
      <c r="K373" s="82">
        <v>330233277</v>
      </c>
      <c r="L373" s="69">
        <f t="shared" si="76"/>
        <v>808349114.60109997</v>
      </c>
      <c r="M373" s="63"/>
      <c r="N373" s="176"/>
      <c r="O373" s="70">
        <v>2</v>
      </c>
      <c r="P373" s="175" t="s">
        <v>117</v>
      </c>
      <c r="Q373" s="68" t="s">
        <v>863</v>
      </c>
      <c r="R373" s="68">
        <v>308505030.05000001</v>
      </c>
      <c r="S373" s="71">
        <v>0</v>
      </c>
      <c r="T373" s="68">
        <v>69938315.819999993</v>
      </c>
      <c r="U373" s="68">
        <v>11353300.3762</v>
      </c>
      <c r="V373" s="68">
        <v>0</v>
      </c>
      <c r="W373" s="68">
        <f t="shared" si="81"/>
        <v>11353300.3762</v>
      </c>
      <c r="X373" s="68">
        <v>248467779.88999999</v>
      </c>
      <c r="Y373" s="69">
        <f t="shared" si="80"/>
        <v>638264426.13619995</v>
      </c>
    </row>
    <row r="374" spans="1:25" ht="24.95" customHeight="1">
      <c r="A374" s="174"/>
      <c r="B374" s="176"/>
      <c r="C374" s="64">
        <v>11</v>
      </c>
      <c r="D374" s="68" t="s">
        <v>864</v>
      </c>
      <c r="E374" s="68">
        <v>336032523.24000001</v>
      </c>
      <c r="F374" s="68">
        <v>0</v>
      </c>
      <c r="G374" s="68">
        <v>88152169.510000005</v>
      </c>
      <c r="H374" s="68">
        <v>14310010.864800001</v>
      </c>
      <c r="I374" s="68">
        <f t="shared" si="85"/>
        <v>7155005.4324000003</v>
      </c>
      <c r="J374" s="68">
        <f t="shared" si="86"/>
        <v>7155005.4324000003</v>
      </c>
      <c r="K374" s="82">
        <v>269914265.55000001</v>
      </c>
      <c r="L374" s="69">
        <f t="shared" si="76"/>
        <v>701253963.73239994</v>
      </c>
      <c r="M374" s="63"/>
      <c r="N374" s="176"/>
      <c r="O374" s="70">
        <v>3</v>
      </c>
      <c r="P374" s="176"/>
      <c r="Q374" s="68" t="s">
        <v>865</v>
      </c>
      <c r="R374" s="68">
        <v>258308146.75999999</v>
      </c>
      <c r="S374" s="71">
        <v>0</v>
      </c>
      <c r="T374" s="68">
        <v>58558645.68</v>
      </c>
      <c r="U374" s="68">
        <v>9506003.7731999997</v>
      </c>
      <c r="V374" s="68">
        <v>0</v>
      </c>
      <c r="W374" s="68">
        <f t="shared" si="81"/>
        <v>9506003.7731999997</v>
      </c>
      <c r="X374" s="68">
        <v>240580768.47999999</v>
      </c>
      <c r="Y374" s="69">
        <f t="shared" si="80"/>
        <v>566953564.69319999</v>
      </c>
    </row>
    <row r="375" spans="1:25" ht="24.95" customHeight="1">
      <c r="A375" s="174"/>
      <c r="B375" s="176"/>
      <c r="C375" s="64">
        <v>12</v>
      </c>
      <c r="D375" s="68" t="s">
        <v>866</v>
      </c>
      <c r="E375" s="68">
        <v>273130502.31999999</v>
      </c>
      <c r="F375" s="68">
        <v>0</v>
      </c>
      <c r="G375" s="68">
        <v>76178818.650000006</v>
      </c>
      <c r="H375" s="68">
        <v>12366340.2567</v>
      </c>
      <c r="I375" s="68">
        <f t="shared" si="85"/>
        <v>6183170.1283499999</v>
      </c>
      <c r="J375" s="68">
        <f t="shared" si="86"/>
        <v>6183170.1283499999</v>
      </c>
      <c r="K375" s="82">
        <v>221316302.05000001</v>
      </c>
      <c r="L375" s="69">
        <f t="shared" si="76"/>
        <v>576808793.14835</v>
      </c>
      <c r="M375" s="63"/>
      <c r="N375" s="176"/>
      <c r="O375" s="70">
        <v>4</v>
      </c>
      <c r="P375" s="176"/>
      <c r="Q375" s="68" t="s">
        <v>867</v>
      </c>
      <c r="R375" s="68">
        <v>289210949.99000001</v>
      </c>
      <c r="S375" s="71">
        <v>0</v>
      </c>
      <c r="T375" s="68">
        <v>65564333.759999998</v>
      </c>
      <c r="U375" s="68">
        <v>10643258.512599999</v>
      </c>
      <c r="V375" s="68">
        <v>0</v>
      </c>
      <c r="W375" s="68">
        <f t="shared" si="81"/>
        <v>10643258.512599999</v>
      </c>
      <c r="X375" s="68">
        <v>258843440.43000001</v>
      </c>
      <c r="Y375" s="69">
        <f t="shared" si="80"/>
        <v>624261982.69260001</v>
      </c>
    </row>
    <row r="376" spans="1:25" ht="24.95" customHeight="1">
      <c r="A376" s="174"/>
      <c r="B376" s="176"/>
      <c r="C376" s="64">
        <v>13</v>
      </c>
      <c r="D376" s="68" t="s">
        <v>868</v>
      </c>
      <c r="E376" s="68">
        <v>291127723.58999997</v>
      </c>
      <c r="F376" s="68">
        <v>0</v>
      </c>
      <c r="G376" s="68">
        <v>65998867.740000002</v>
      </c>
      <c r="H376" s="68">
        <v>10713797.7401</v>
      </c>
      <c r="I376" s="68">
        <f t="shared" si="85"/>
        <v>5356898.87005</v>
      </c>
      <c r="J376" s="68">
        <f t="shared" si="86"/>
        <v>5356898.87005</v>
      </c>
      <c r="K376" s="82">
        <v>263053200.77000001</v>
      </c>
      <c r="L376" s="69">
        <f t="shared" si="76"/>
        <v>625536690.97004998</v>
      </c>
      <c r="M376" s="63"/>
      <c r="N376" s="176"/>
      <c r="O376" s="70">
        <v>5</v>
      </c>
      <c r="P376" s="176"/>
      <c r="Q376" s="68" t="s">
        <v>869</v>
      </c>
      <c r="R376" s="68">
        <v>405640482.12</v>
      </c>
      <c r="S376" s="71">
        <v>0</v>
      </c>
      <c r="T376" s="68">
        <v>91958993.810000002</v>
      </c>
      <c r="U376" s="68">
        <v>14927984.277799999</v>
      </c>
      <c r="V376" s="68">
        <v>0</v>
      </c>
      <c r="W376" s="68">
        <f t="shared" si="81"/>
        <v>14927984.277799999</v>
      </c>
      <c r="X376" s="68">
        <v>320065852.81</v>
      </c>
      <c r="Y376" s="69">
        <f t="shared" si="80"/>
        <v>832593313.01780009</v>
      </c>
    </row>
    <row r="377" spans="1:25" ht="24.95" customHeight="1">
      <c r="A377" s="174"/>
      <c r="B377" s="176"/>
      <c r="C377" s="64">
        <v>14</v>
      </c>
      <c r="D377" s="68" t="s">
        <v>870</v>
      </c>
      <c r="E377" s="68">
        <v>299765998.22000003</v>
      </c>
      <c r="F377" s="68">
        <v>0</v>
      </c>
      <c r="G377" s="68">
        <v>67957170.909999996</v>
      </c>
      <c r="H377" s="68">
        <v>11031695.073999999</v>
      </c>
      <c r="I377" s="68">
        <f t="shared" si="85"/>
        <v>5515847.5369999995</v>
      </c>
      <c r="J377" s="68">
        <f t="shared" si="86"/>
        <v>5515847.5369999995</v>
      </c>
      <c r="K377" s="82">
        <v>243411889.68000001</v>
      </c>
      <c r="L377" s="69">
        <f t="shared" si="76"/>
        <v>616650906.347</v>
      </c>
      <c r="M377" s="63"/>
      <c r="N377" s="176"/>
      <c r="O377" s="70">
        <v>6</v>
      </c>
      <c r="P377" s="176"/>
      <c r="Q377" s="68" t="s">
        <v>871</v>
      </c>
      <c r="R377" s="68">
        <v>336171191.81999999</v>
      </c>
      <c r="S377" s="71">
        <v>0</v>
      </c>
      <c r="T377" s="68">
        <v>76210254.909999996</v>
      </c>
      <c r="U377" s="68">
        <v>12371443.401900001</v>
      </c>
      <c r="V377" s="68">
        <v>0</v>
      </c>
      <c r="W377" s="68">
        <f t="shared" si="81"/>
        <v>12371443.401900001</v>
      </c>
      <c r="X377" s="68">
        <v>266465185.24000001</v>
      </c>
      <c r="Y377" s="69">
        <f t="shared" si="80"/>
        <v>691218075.37190008</v>
      </c>
    </row>
    <row r="378" spans="1:25" ht="24.95" customHeight="1">
      <c r="A378" s="174"/>
      <c r="B378" s="176"/>
      <c r="C378" s="64">
        <v>15</v>
      </c>
      <c r="D378" s="68" t="s">
        <v>872</v>
      </c>
      <c r="E378" s="68">
        <v>347008488.20999998</v>
      </c>
      <c r="F378" s="68">
        <v>0</v>
      </c>
      <c r="G378" s="68">
        <v>78667077.930000007</v>
      </c>
      <c r="H378" s="68">
        <v>12770266.983999999</v>
      </c>
      <c r="I378" s="68">
        <f t="shared" si="85"/>
        <v>6385133.4919999996</v>
      </c>
      <c r="J378" s="68">
        <f t="shared" si="86"/>
        <v>6385133.4919999996</v>
      </c>
      <c r="K378" s="82">
        <v>285270586.87</v>
      </c>
      <c r="L378" s="69">
        <f t="shared" si="76"/>
        <v>717331286.50199997</v>
      </c>
      <c r="M378" s="63"/>
      <c r="N378" s="176"/>
      <c r="O378" s="70">
        <v>7</v>
      </c>
      <c r="P378" s="176"/>
      <c r="Q378" s="68" t="s">
        <v>873</v>
      </c>
      <c r="R378" s="68">
        <v>309502790.79000002</v>
      </c>
      <c r="S378" s="71">
        <v>0</v>
      </c>
      <c r="T378" s="68">
        <v>70164508.909999996</v>
      </c>
      <c r="U378" s="68">
        <v>11390018.990900001</v>
      </c>
      <c r="V378" s="68">
        <v>0</v>
      </c>
      <c r="W378" s="68">
        <f t="shared" si="81"/>
        <v>11390018.990900001</v>
      </c>
      <c r="X378" s="68">
        <v>256300243.53</v>
      </c>
      <c r="Y378" s="69">
        <f t="shared" si="80"/>
        <v>647357562.22090006</v>
      </c>
    </row>
    <row r="379" spans="1:25" ht="24.95" customHeight="1">
      <c r="A379" s="174"/>
      <c r="B379" s="176"/>
      <c r="C379" s="64">
        <v>16</v>
      </c>
      <c r="D379" s="68" t="s">
        <v>874</v>
      </c>
      <c r="E379" s="68">
        <v>269151426.87</v>
      </c>
      <c r="F379" s="68">
        <v>0</v>
      </c>
      <c r="G379" s="68">
        <v>61016825.210000001</v>
      </c>
      <c r="H379" s="68">
        <v>9905047.5625</v>
      </c>
      <c r="I379" s="68">
        <f t="shared" si="85"/>
        <v>4952523.78125</v>
      </c>
      <c r="J379" s="68">
        <f t="shared" si="86"/>
        <v>4952523.78125</v>
      </c>
      <c r="K379" s="82">
        <v>231823848.66</v>
      </c>
      <c r="L379" s="69">
        <f t="shared" si="76"/>
        <v>566944624.52125001</v>
      </c>
      <c r="M379" s="63"/>
      <c r="N379" s="176"/>
      <c r="O379" s="70">
        <v>8</v>
      </c>
      <c r="P379" s="176"/>
      <c r="Q379" s="68" t="s">
        <v>875</v>
      </c>
      <c r="R379" s="68">
        <v>268894442.01999998</v>
      </c>
      <c r="S379" s="71">
        <v>0</v>
      </c>
      <c r="T379" s="68">
        <v>60958566.560000002</v>
      </c>
      <c r="U379" s="68">
        <v>9895590.2573000006</v>
      </c>
      <c r="V379" s="68">
        <v>0</v>
      </c>
      <c r="W379" s="68">
        <f t="shared" si="81"/>
        <v>9895590.2573000006</v>
      </c>
      <c r="X379" s="68">
        <v>246370305.61000001</v>
      </c>
      <c r="Y379" s="69">
        <f t="shared" si="80"/>
        <v>586118904.44729996</v>
      </c>
    </row>
    <row r="380" spans="1:25" ht="24.95" customHeight="1">
      <c r="A380" s="174"/>
      <c r="B380" s="176"/>
      <c r="C380" s="64">
        <v>17</v>
      </c>
      <c r="D380" s="68" t="s">
        <v>876</v>
      </c>
      <c r="E380" s="68">
        <v>374503496.63999999</v>
      </c>
      <c r="F380" s="68">
        <v>0</v>
      </c>
      <c r="G380" s="68">
        <v>84900216.439999998</v>
      </c>
      <c r="H380" s="68">
        <v>13782111.392200001</v>
      </c>
      <c r="I380" s="68">
        <f t="shared" si="85"/>
        <v>6891055.6961000003</v>
      </c>
      <c r="J380" s="68">
        <f t="shared" si="86"/>
        <v>6891055.6961000003</v>
      </c>
      <c r="K380" s="82">
        <v>303621058.33999997</v>
      </c>
      <c r="L380" s="69">
        <f t="shared" si="76"/>
        <v>769915827.11609995</v>
      </c>
      <c r="M380" s="63"/>
      <c r="N380" s="176"/>
      <c r="O380" s="70">
        <v>9</v>
      </c>
      <c r="P380" s="176"/>
      <c r="Q380" s="68" t="s">
        <v>877</v>
      </c>
      <c r="R380" s="68">
        <v>354628743.57999998</v>
      </c>
      <c r="S380" s="71">
        <v>0</v>
      </c>
      <c r="T380" s="68">
        <v>80394595.390000001</v>
      </c>
      <c r="U380" s="68">
        <v>13050700.1691</v>
      </c>
      <c r="V380" s="68">
        <v>0</v>
      </c>
      <c r="W380" s="68">
        <f t="shared" si="81"/>
        <v>13050700.1691</v>
      </c>
      <c r="X380" s="68">
        <v>293286254.64999998</v>
      </c>
      <c r="Y380" s="69">
        <f t="shared" si="80"/>
        <v>741360293.78909993</v>
      </c>
    </row>
    <row r="381" spans="1:25" ht="24.95" customHeight="1">
      <c r="A381" s="174"/>
      <c r="B381" s="176"/>
      <c r="C381" s="64">
        <v>18</v>
      </c>
      <c r="D381" s="68" t="s">
        <v>878</v>
      </c>
      <c r="E381" s="68">
        <v>251896339.34999999</v>
      </c>
      <c r="F381" s="68">
        <v>0</v>
      </c>
      <c r="G381" s="68">
        <v>57105084.259999998</v>
      </c>
      <c r="H381" s="68">
        <v>9270042.7083000001</v>
      </c>
      <c r="I381" s="68">
        <f t="shared" si="85"/>
        <v>4635021.35415</v>
      </c>
      <c r="J381" s="68">
        <f t="shared" si="86"/>
        <v>4635021.35415</v>
      </c>
      <c r="K381" s="82">
        <v>234538908.44</v>
      </c>
      <c r="L381" s="69">
        <f t="shared" si="76"/>
        <v>548175353.40415001</v>
      </c>
      <c r="M381" s="63"/>
      <c r="N381" s="176"/>
      <c r="O381" s="70">
        <v>10</v>
      </c>
      <c r="P381" s="176"/>
      <c r="Q381" s="68" t="s">
        <v>879</v>
      </c>
      <c r="R381" s="68">
        <v>250103549.63</v>
      </c>
      <c r="S381" s="71">
        <v>0</v>
      </c>
      <c r="T381" s="68">
        <v>56698657.520000003</v>
      </c>
      <c r="U381" s="68">
        <v>9204066.2142999992</v>
      </c>
      <c r="V381" s="68">
        <v>0</v>
      </c>
      <c r="W381" s="68">
        <f t="shared" si="81"/>
        <v>9204066.2142999992</v>
      </c>
      <c r="X381" s="68">
        <v>247671232.84</v>
      </c>
      <c r="Y381" s="69">
        <f t="shared" si="80"/>
        <v>563677506.20429993</v>
      </c>
    </row>
    <row r="382" spans="1:25" ht="24.95" customHeight="1">
      <c r="A382" s="174"/>
      <c r="B382" s="176"/>
      <c r="C382" s="64">
        <v>19</v>
      </c>
      <c r="D382" s="68" t="s">
        <v>880</v>
      </c>
      <c r="E382" s="68">
        <v>332376898.49000001</v>
      </c>
      <c r="F382" s="68">
        <v>0</v>
      </c>
      <c r="G382" s="68">
        <v>75350085.840000004</v>
      </c>
      <c r="H382" s="68">
        <v>12231809.529999999</v>
      </c>
      <c r="I382" s="68">
        <f t="shared" si="85"/>
        <v>6115904.7649999997</v>
      </c>
      <c r="J382" s="68">
        <f t="shared" si="86"/>
        <v>6115904.7649999997</v>
      </c>
      <c r="K382" s="82">
        <v>287073652.57999998</v>
      </c>
      <c r="L382" s="69">
        <f t="shared" si="76"/>
        <v>700916541.67499995</v>
      </c>
      <c r="M382" s="63"/>
      <c r="N382" s="176"/>
      <c r="O382" s="70">
        <v>11</v>
      </c>
      <c r="P382" s="176"/>
      <c r="Q382" s="68" t="s">
        <v>881</v>
      </c>
      <c r="R382" s="68">
        <v>239559435.78999999</v>
      </c>
      <c r="S382" s="71">
        <v>0</v>
      </c>
      <c r="T382" s="68">
        <v>54308299.200000003</v>
      </c>
      <c r="U382" s="68">
        <v>8816032.0499000009</v>
      </c>
      <c r="V382" s="68">
        <v>0</v>
      </c>
      <c r="W382" s="68">
        <f t="shared" si="81"/>
        <v>8816032.0499000009</v>
      </c>
      <c r="X382" s="68">
        <v>230714345.11000001</v>
      </c>
      <c r="Y382" s="69">
        <f t="shared" si="80"/>
        <v>533398112.14990002</v>
      </c>
    </row>
    <row r="383" spans="1:25" ht="24.95" customHeight="1">
      <c r="A383" s="174"/>
      <c r="B383" s="176"/>
      <c r="C383" s="64">
        <v>20</v>
      </c>
      <c r="D383" s="68" t="s">
        <v>882</v>
      </c>
      <c r="E383" s="68">
        <v>278673787.69</v>
      </c>
      <c r="F383" s="68">
        <v>0</v>
      </c>
      <c r="G383" s="68">
        <v>63175551.369999997</v>
      </c>
      <c r="H383" s="68">
        <v>10255480.1719</v>
      </c>
      <c r="I383" s="68">
        <f t="shared" si="85"/>
        <v>5127740.0859500002</v>
      </c>
      <c r="J383" s="68">
        <f t="shared" si="86"/>
        <v>5127740.0859500002</v>
      </c>
      <c r="K383" s="82">
        <v>235687400.77000001</v>
      </c>
      <c r="L383" s="69">
        <f t="shared" si="76"/>
        <v>582664479.91595006</v>
      </c>
      <c r="M383" s="63"/>
      <c r="N383" s="176"/>
      <c r="O383" s="70">
        <v>12</v>
      </c>
      <c r="P383" s="176"/>
      <c r="Q383" s="68" t="s">
        <v>883</v>
      </c>
      <c r="R383" s="68">
        <v>256844350.18000001</v>
      </c>
      <c r="S383" s="71">
        <v>0</v>
      </c>
      <c r="T383" s="68">
        <v>58226801.93</v>
      </c>
      <c r="U383" s="68">
        <v>9452134.5634000003</v>
      </c>
      <c r="V383" s="68">
        <v>0</v>
      </c>
      <c r="W383" s="68">
        <f t="shared" ref="W383:W412" si="88">U383-V383</f>
        <v>9452134.5634000003</v>
      </c>
      <c r="X383" s="68">
        <v>240509408.03</v>
      </c>
      <c r="Y383" s="69">
        <f t="shared" si="80"/>
        <v>565032694.70340002</v>
      </c>
    </row>
    <row r="384" spans="1:25" ht="24.95" customHeight="1">
      <c r="A384" s="174"/>
      <c r="B384" s="176"/>
      <c r="C384" s="64">
        <v>21</v>
      </c>
      <c r="D384" s="68" t="s">
        <v>884</v>
      </c>
      <c r="E384" s="68">
        <v>355207419.92000002</v>
      </c>
      <c r="F384" s="68">
        <v>0</v>
      </c>
      <c r="G384" s="68">
        <v>80525781.739999995</v>
      </c>
      <c r="H384" s="68">
        <v>13071996.049799999</v>
      </c>
      <c r="I384" s="68">
        <f t="shared" si="85"/>
        <v>6535998.0248999996</v>
      </c>
      <c r="J384" s="68">
        <f t="shared" si="86"/>
        <v>6535998.0248999996</v>
      </c>
      <c r="K384" s="82">
        <v>289464414.58999997</v>
      </c>
      <c r="L384" s="69">
        <f t="shared" si="76"/>
        <v>731733614.27489996</v>
      </c>
      <c r="M384" s="63"/>
      <c r="N384" s="176"/>
      <c r="O384" s="70">
        <v>13</v>
      </c>
      <c r="P384" s="176"/>
      <c r="Q384" s="68" t="s">
        <v>885</v>
      </c>
      <c r="R384" s="68">
        <v>279348608.62</v>
      </c>
      <c r="S384" s="71">
        <v>0</v>
      </c>
      <c r="T384" s="68">
        <v>63328533.770000003</v>
      </c>
      <c r="U384" s="68">
        <v>10280314.271500001</v>
      </c>
      <c r="V384" s="68">
        <v>0</v>
      </c>
      <c r="W384" s="68">
        <f t="shared" si="88"/>
        <v>10280314.271500001</v>
      </c>
      <c r="X384" s="68">
        <v>263975788.88</v>
      </c>
      <c r="Y384" s="69">
        <f t="shared" si="80"/>
        <v>616933245.54149997</v>
      </c>
    </row>
    <row r="385" spans="1:25" ht="24.95" customHeight="1">
      <c r="A385" s="174"/>
      <c r="B385" s="176"/>
      <c r="C385" s="64">
        <v>22</v>
      </c>
      <c r="D385" s="68" t="s">
        <v>886</v>
      </c>
      <c r="E385" s="68">
        <v>397405491.06999999</v>
      </c>
      <c r="F385" s="68">
        <v>0</v>
      </c>
      <c r="G385" s="68">
        <v>90092115.310000002</v>
      </c>
      <c r="H385" s="68">
        <v>14624928.191500001</v>
      </c>
      <c r="I385" s="68">
        <f t="shared" si="85"/>
        <v>7312464.0957500003</v>
      </c>
      <c r="J385" s="68">
        <f t="shared" si="86"/>
        <v>7312464.0957500003</v>
      </c>
      <c r="K385" s="82">
        <v>298094919.74000001</v>
      </c>
      <c r="L385" s="69">
        <f t="shared" si="76"/>
        <v>792904990.21574998</v>
      </c>
      <c r="M385" s="63"/>
      <c r="N385" s="176"/>
      <c r="O385" s="70">
        <v>14</v>
      </c>
      <c r="P385" s="176"/>
      <c r="Q385" s="68" t="s">
        <v>887</v>
      </c>
      <c r="R385" s="68">
        <v>307391365.45999998</v>
      </c>
      <c r="S385" s="71">
        <v>0</v>
      </c>
      <c r="T385" s="68">
        <v>69685847.239999995</v>
      </c>
      <c r="U385" s="68">
        <v>11312316.381200001</v>
      </c>
      <c r="V385" s="68">
        <v>0</v>
      </c>
      <c r="W385" s="68">
        <f t="shared" si="88"/>
        <v>11312316.381200001</v>
      </c>
      <c r="X385" s="68">
        <v>284615772.70999998</v>
      </c>
      <c r="Y385" s="69">
        <f t="shared" si="80"/>
        <v>673005301.79119992</v>
      </c>
    </row>
    <row r="386" spans="1:25" ht="24.95" customHeight="1">
      <c r="A386" s="174"/>
      <c r="B386" s="177"/>
      <c r="C386" s="64">
        <v>23</v>
      </c>
      <c r="D386" s="68" t="s">
        <v>888</v>
      </c>
      <c r="E386" s="68">
        <v>405785341.24000001</v>
      </c>
      <c r="F386" s="68">
        <v>0</v>
      </c>
      <c r="G386" s="68">
        <v>91991833.469999999</v>
      </c>
      <c r="H386" s="68">
        <v>14933315.240900001</v>
      </c>
      <c r="I386" s="68">
        <f t="shared" si="85"/>
        <v>7466657.6204500003</v>
      </c>
      <c r="J386" s="68">
        <f t="shared" si="86"/>
        <v>7466657.6204500003</v>
      </c>
      <c r="K386" s="82">
        <v>332403232.57999998</v>
      </c>
      <c r="L386" s="69">
        <f t="shared" si="76"/>
        <v>837647064.91044998</v>
      </c>
      <c r="M386" s="63"/>
      <c r="N386" s="176"/>
      <c r="O386" s="70">
        <v>15</v>
      </c>
      <c r="P386" s="176"/>
      <c r="Q386" s="68" t="s">
        <v>889</v>
      </c>
      <c r="R386" s="68">
        <v>285102417.06</v>
      </c>
      <c r="S386" s="71">
        <v>0</v>
      </c>
      <c r="T386" s="68">
        <v>64632926.350000001</v>
      </c>
      <c r="U386" s="68">
        <v>10492060.302300001</v>
      </c>
      <c r="V386" s="68">
        <v>0</v>
      </c>
      <c r="W386" s="68">
        <f t="shared" si="88"/>
        <v>10492060.302300001</v>
      </c>
      <c r="X386" s="68">
        <v>236541990.97</v>
      </c>
      <c r="Y386" s="69">
        <f t="shared" si="80"/>
        <v>596769394.68229997</v>
      </c>
    </row>
    <row r="387" spans="1:25" ht="24.95" customHeight="1">
      <c r="A387" s="64"/>
      <c r="B387" s="169" t="s">
        <v>890</v>
      </c>
      <c r="C387" s="170"/>
      <c r="D387" s="72"/>
      <c r="E387" s="72">
        <f t="shared" ref="E387:L387" si="89">SUM(E364:E386)</f>
        <v>7917128139.6700001</v>
      </c>
      <c r="F387" s="68">
        <v>0</v>
      </c>
      <c r="G387" s="72">
        <f t="shared" si="89"/>
        <v>1794818736.3799999</v>
      </c>
      <c r="H387" s="72">
        <f t="shared" si="89"/>
        <v>291358406.28169996</v>
      </c>
      <c r="I387" s="72">
        <f t="shared" si="89"/>
        <v>145679203.14084998</v>
      </c>
      <c r="J387" s="72">
        <f t="shared" si="89"/>
        <v>145679203.14084998</v>
      </c>
      <c r="K387" s="72">
        <f t="shared" si="89"/>
        <v>6404128502.8500004</v>
      </c>
      <c r="L387" s="72">
        <f t="shared" si="89"/>
        <v>16261754582.040852</v>
      </c>
      <c r="M387" s="85"/>
      <c r="N387" s="176"/>
      <c r="O387" s="70">
        <v>16</v>
      </c>
      <c r="P387" s="176"/>
      <c r="Q387" s="68" t="s">
        <v>891</v>
      </c>
      <c r="R387" s="68">
        <v>297125583.19</v>
      </c>
      <c r="S387" s="71">
        <v>0</v>
      </c>
      <c r="T387" s="68">
        <v>67358586.900000006</v>
      </c>
      <c r="U387" s="68">
        <v>10934525.102600001</v>
      </c>
      <c r="V387" s="68">
        <v>0</v>
      </c>
      <c r="W387" s="68">
        <f t="shared" si="88"/>
        <v>10934525.102600001</v>
      </c>
      <c r="X387" s="68">
        <v>254706028.56999999</v>
      </c>
      <c r="Y387" s="69">
        <f t="shared" si="80"/>
        <v>630124723.76259995</v>
      </c>
    </row>
    <row r="388" spans="1:25" ht="24.95" customHeight="1">
      <c r="A388" s="174">
        <v>19</v>
      </c>
      <c r="B388" s="175" t="s">
        <v>101</v>
      </c>
      <c r="C388" s="64">
        <v>1</v>
      </c>
      <c r="D388" s="68" t="s">
        <v>892</v>
      </c>
      <c r="E388" s="68">
        <v>260400618.12</v>
      </c>
      <c r="F388" s="68">
        <v>0</v>
      </c>
      <c r="G388" s="68">
        <v>59033010.469999999</v>
      </c>
      <c r="H388" s="68">
        <v>9583008.8577999994</v>
      </c>
      <c r="I388" s="68">
        <v>0</v>
      </c>
      <c r="J388" s="68">
        <f t="shared" ref="J388:J412" si="90">H388-I388</f>
        <v>9583008.8577999994</v>
      </c>
      <c r="K388" s="82">
        <v>270116809.38999999</v>
      </c>
      <c r="L388" s="69">
        <f t="shared" ref="L388:L391" si="91">E388+F388+G388+H388+I388</f>
        <v>329016637.44780004</v>
      </c>
      <c r="M388" s="63"/>
      <c r="N388" s="177"/>
      <c r="O388" s="70">
        <v>17</v>
      </c>
      <c r="P388" s="177"/>
      <c r="Q388" s="68" t="s">
        <v>893</v>
      </c>
      <c r="R388" s="68">
        <v>296419508.86000001</v>
      </c>
      <c r="S388" s="71">
        <v>0</v>
      </c>
      <c r="T388" s="68">
        <v>67198519.319999993</v>
      </c>
      <c r="U388" s="68">
        <v>10908540.845699999</v>
      </c>
      <c r="V388" s="68">
        <v>0</v>
      </c>
      <c r="W388" s="68">
        <f t="shared" si="88"/>
        <v>10908540.845699999</v>
      </c>
      <c r="X388" s="68">
        <v>249200812.40000001</v>
      </c>
      <c r="Y388" s="69">
        <f t="shared" si="80"/>
        <v>623727381.42570007</v>
      </c>
    </row>
    <row r="389" spans="1:25" ht="24.95" customHeight="1">
      <c r="A389" s="174"/>
      <c r="B389" s="176"/>
      <c r="C389" s="64">
        <v>2</v>
      </c>
      <c r="D389" s="68" t="s">
        <v>894</v>
      </c>
      <c r="E389" s="68">
        <v>266718667.50999999</v>
      </c>
      <c r="F389" s="68">
        <v>0</v>
      </c>
      <c r="G389" s="68">
        <v>60465316.890000001</v>
      </c>
      <c r="H389" s="68">
        <v>9815519.5319999997</v>
      </c>
      <c r="I389" s="68">
        <v>0</v>
      </c>
      <c r="J389" s="68">
        <f t="shared" si="90"/>
        <v>9815519.5319999997</v>
      </c>
      <c r="K389" s="82">
        <v>276100626.29000002</v>
      </c>
      <c r="L389" s="69">
        <f t="shared" si="91"/>
        <v>336999503.93199998</v>
      </c>
      <c r="M389" s="63"/>
      <c r="N389" s="64"/>
      <c r="O389" s="170" t="s">
        <v>895</v>
      </c>
      <c r="P389" s="171"/>
      <c r="Q389" s="72"/>
      <c r="R389" s="72">
        <f t="shared" ref="R389:V389" si="92">SUM(R372:R388)</f>
        <v>5021543246.8499994</v>
      </c>
      <c r="S389" s="71">
        <v>0</v>
      </c>
      <c r="T389" s="72">
        <f t="shared" si="92"/>
        <v>1138387524.6199999</v>
      </c>
      <c r="U389" s="72">
        <f t="shared" si="92"/>
        <v>184797923.14409998</v>
      </c>
      <c r="V389" s="72">
        <f t="shared" si="92"/>
        <v>0</v>
      </c>
      <c r="W389" s="72">
        <f t="shared" si="88"/>
        <v>184797923.14409998</v>
      </c>
      <c r="X389" s="72">
        <f>SUM(X372:X388)</f>
        <v>4398237276.9200001</v>
      </c>
      <c r="Y389" s="72">
        <f>SUM(Y372:Y388)</f>
        <v>10742965971.5341</v>
      </c>
    </row>
    <row r="390" spans="1:25" ht="24.95" customHeight="1">
      <c r="A390" s="174"/>
      <c r="B390" s="176"/>
      <c r="C390" s="64">
        <v>3</v>
      </c>
      <c r="D390" s="68" t="s">
        <v>896</v>
      </c>
      <c r="E390" s="68">
        <v>243194877.06</v>
      </c>
      <c r="F390" s="68">
        <v>0</v>
      </c>
      <c r="G390" s="68">
        <v>55132456.390000001</v>
      </c>
      <c r="H390" s="68">
        <v>8949820.0034999996</v>
      </c>
      <c r="I390" s="68">
        <v>0</v>
      </c>
      <c r="J390" s="68">
        <f t="shared" si="90"/>
        <v>8949820.0034999996</v>
      </c>
      <c r="K390" s="82">
        <v>265898696.69999999</v>
      </c>
      <c r="L390" s="69">
        <f t="shared" si="91"/>
        <v>307277153.45349997</v>
      </c>
      <c r="M390" s="63"/>
      <c r="N390" s="175">
        <v>36</v>
      </c>
      <c r="O390" s="70">
        <v>1</v>
      </c>
      <c r="P390" s="175" t="s">
        <v>118</v>
      </c>
      <c r="Q390" s="68" t="s">
        <v>897</v>
      </c>
      <c r="R390" s="68">
        <v>279010916.23000002</v>
      </c>
      <c r="S390" s="71">
        <v>0</v>
      </c>
      <c r="T390" s="68">
        <v>63251978.659999996</v>
      </c>
      <c r="U390" s="68">
        <v>10267886.8467</v>
      </c>
      <c r="V390" s="68">
        <v>0</v>
      </c>
      <c r="W390" s="68">
        <f t="shared" si="88"/>
        <v>10267886.8467</v>
      </c>
      <c r="X390" s="68">
        <v>273595933.06999999</v>
      </c>
      <c r="Y390" s="69">
        <f t="shared" si="80"/>
        <v>626126714.80669999</v>
      </c>
    </row>
    <row r="391" spans="1:25" ht="24.95" customHeight="1">
      <c r="A391" s="174"/>
      <c r="B391" s="176"/>
      <c r="C391" s="64">
        <v>4</v>
      </c>
      <c r="D391" s="68" t="s">
        <v>898</v>
      </c>
      <c r="E391" s="68">
        <v>263832820.09</v>
      </c>
      <c r="F391" s="68">
        <v>0</v>
      </c>
      <c r="G391" s="68">
        <v>59811093.170000002</v>
      </c>
      <c r="H391" s="68">
        <v>9709317.3978000004</v>
      </c>
      <c r="I391" s="68">
        <v>0</v>
      </c>
      <c r="J391" s="68">
        <f t="shared" si="90"/>
        <v>9709317.3978000004</v>
      </c>
      <c r="K391" s="82">
        <v>275617168.56</v>
      </c>
      <c r="L391" s="69">
        <f t="shared" si="91"/>
        <v>333353230.65780002</v>
      </c>
      <c r="M391" s="63"/>
      <c r="N391" s="176"/>
      <c r="O391" s="70">
        <v>2</v>
      </c>
      <c r="P391" s="176"/>
      <c r="Q391" s="68" t="s">
        <v>899</v>
      </c>
      <c r="R391" s="68">
        <v>270152301.10000002</v>
      </c>
      <c r="S391" s="71">
        <v>0</v>
      </c>
      <c r="T391" s="68">
        <v>61243724.130000003</v>
      </c>
      <c r="U391" s="68">
        <v>9941880.7568999995</v>
      </c>
      <c r="V391" s="68">
        <v>0</v>
      </c>
      <c r="W391" s="68">
        <f t="shared" si="88"/>
        <v>9941880.7568999995</v>
      </c>
      <c r="X391" s="68">
        <v>290268499.82999998</v>
      </c>
      <c r="Y391" s="69">
        <f t="shared" si="80"/>
        <v>631606405.81690001</v>
      </c>
    </row>
    <row r="392" spans="1:25" ht="24.95" customHeight="1">
      <c r="A392" s="174"/>
      <c r="B392" s="176"/>
      <c r="C392" s="64">
        <v>5</v>
      </c>
      <c r="D392" s="68" t="s">
        <v>900</v>
      </c>
      <c r="E392" s="68">
        <v>319774063.11000001</v>
      </c>
      <c r="F392" s="68">
        <v>0</v>
      </c>
      <c r="G392" s="68">
        <v>72493013.849999994</v>
      </c>
      <c r="H392" s="68">
        <v>11768012.308700001</v>
      </c>
      <c r="I392" s="68">
        <v>0</v>
      </c>
      <c r="J392" s="68">
        <f t="shared" si="90"/>
        <v>11768012.308700001</v>
      </c>
      <c r="K392" s="82">
        <v>308584950.99000001</v>
      </c>
      <c r="L392" s="69">
        <f t="shared" ref="L392:L412" si="93">E392+F392+G392+H392+I392</f>
        <v>404035089.26870006</v>
      </c>
      <c r="M392" s="63"/>
      <c r="N392" s="176"/>
      <c r="O392" s="70">
        <v>3</v>
      </c>
      <c r="P392" s="176"/>
      <c r="Q392" s="68" t="s">
        <v>901</v>
      </c>
      <c r="R392" s="68">
        <v>318823965.55000001</v>
      </c>
      <c r="S392" s="71">
        <v>0</v>
      </c>
      <c r="T392" s="68">
        <v>72277626.040000007</v>
      </c>
      <c r="U392" s="68">
        <v>11733047.7477</v>
      </c>
      <c r="V392" s="68">
        <v>0</v>
      </c>
      <c r="W392" s="68">
        <f t="shared" si="88"/>
        <v>11733047.7477</v>
      </c>
      <c r="X392" s="68">
        <v>299507250.10000002</v>
      </c>
      <c r="Y392" s="69">
        <f t="shared" si="80"/>
        <v>702341889.43770003</v>
      </c>
    </row>
    <row r="393" spans="1:25" ht="24.95" customHeight="1">
      <c r="A393" s="174"/>
      <c r="B393" s="176"/>
      <c r="C393" s="64">
        <v>6</v>
      </c>
      <c r="D393" s="68" t="s">
        <v>902</v>
      </c>
      <c r="E393" s="68">
        <v>254765569.11000001</v>
      </c>
      <c r="F393" s="68">
        <v>0</v>
      </c>
      <c r="G393" s="68">
        <v>57755540.740000002</v>
      </c>
      <c r="H393" s="68">
        <v>9375633.2953999992</v>
      </c>
      <c r="I393" s="68">
        <v>0</v>
      </c>
      <c r="J393" s="68">
        <f t="shared" si="90"/>
        <v>9375633.2953999992</v>
      </c>
      <c r="K393" s="82">
        <v>268904055.29000002</v>
      </c>
      <c r="L393" s="69">
        <f t="shared" si="93"/>
        <v>321896743.14540005</v>
      </c>
      <c r="M393" s="63"/>
      <c r="N393" s="176"/>
      <c r="O393" s="70">
        <v>4</v>
      </c>
      <c r="P393" s="176"/>
      <c r="Q393" s="68" t="s">
        <v>903</v>
      </c>
      <c r="R393" s="68">
        <v>351888645.86000001</v>
      </c>
      <c r="S393" s="71">
        <v>0</v>
      </c>
      <c r="T393" s="68">
        <v>79773413.230000004</v>
      </c>
      <c r="U393" s="68">
        <v>12949861.7729</v>
      </c>
      <c r="V393" s="68">
        <v>0</v>
      </c>
      <c r="W393" s="68">
        <f t="shared" si="88"/>
        <v>12949861.7729</v>
      </c>
      <c r="X393" s="68">
        <v>316799644.05000001</v>
      </c>
      <c r="Y393" s="69">
        <f t="shared" si="80"/>
        <v>761411564.91289997</v>
      </c>
    </row>
    <row r="394" spans="1:25" ht="24.95" customHeight="1">
      <c r="A394" s="174"/>
      <c r="B394" s="176"/>
      <c r="C394" s="64">
        <v>7</v>
      </c>
      <c r="D394" s="68" t="s">
        <v>904</v>
      </c>
      <c r="E394" s="68">
        <v>411219339.25999999</v>
      </c>
      <c r="F394" s="68">
        <v>0</v>
      </c>
      <c r="G394" s="68">
        <v>93223724.799999997</v>
      </c>
      <c r="H394" s="68">
        <v>15133291.921700001</v>
      </c>
      <c r="I394" s="68">
        <v>0</v>
      </c>
      <c r="J394" s="68">
        <f t="shared" si="90"/>
        <v>15133291.921700001</v>
      </c>
      <c r="K394" s="82">
        <v>361517968.66000003</v>
      </c>
      <c r="L394" s="69">
        <f t="shared" si="93"/>
        <v>519576355.9817</v>
      </c>
      <c r="M394" s="63"/>
      <c r="N394" s="176"/>
      <c r="O394" s="70">
        <v>5</v>
      </c>
      <c r="P394" s="176"/>
      <c r="Q394" s="68" t="s">
        <v>905</v>
      </c>
      <c r="R394" s="68">
        <v>306281564.83999997</v>
      </c>
      <c r="S394" s="71">
        <v>0</v>
      </c>
      <c r="T394" s="68">
        <v>69434254.629999995</v>
      </c>
      <c r="U394" s="68">
        <v>11271474.584100001</v>
      </c>
      <c r="V394" s="68">
        <v>0</v>
      </c>
      <c r="W394" s="68">
        <f t="shared" si="88"/>
        <v>11271474.584100001</v>
      </c>
      <c r="X394" s="68">
        <v>296856825.70999998</v>
      </c>
      <c r="Y394" s="69">
        <f t="shared" si="80"/>
        <v>683844119.76409996</v>
      </c>
    </row>
    <row r="395" spans="1:25" ht="24.95" customHeight="1">
      <c r="A395" s="174"/>
      <c r="B395" s="176"/>
      <c r="C395" s="64">
        <v>8</v>
      </c>
      <c r="D395" s="68" t="s">
        <v>906</v>
      </c>
      <c r="E395" s="68">
        <v>280170227.62</v>
      </c>
      <c r="F395" s="68">
        <v>0</v>
      </c>
      <c r="G395" s="68">
        <v>63514795.399999999</v>
      </c>
      <c r="H395" s="68">
        <v>10310550.6905</v>
      </c>
      <c r="I395" s="68">
        <v>0</v>
      </c>
      <c r="J395" s="68">
        <f t="shared" si="90"/>
        <v>10310550.6905</v>
      </c>
      <c r="K395" s="82">
        <v>282756576.48000002</v>
      </c>
      <c r="L395" s="69">
        <f t="shared" si="93"/>
        <v>353995573.7105</v>
      </c>
      <c r="M395" s="63"/>
      <c r="N395" s="176"/>
      <c r="O395" s="70">
        <v>6</v>
      </c>
      <c r="P395" s="176"/>
      <c r="Q395" s="68" t="s">
        <v>907</v>
      </c>
      <c r="R395" s="68">
        <v>425289599.88</v>
      </c>
      <c r="S395" s="71">
        <v>0</v>
      </c>
      <c r="T395" s="68">
        <v>96413463.159999996</v>
      </c>
      <c r="U395" s="68">
        <v>15651091.8914</v>
      </c>
      <c r="V395" s="68">
        <v>0</v>
      </c>
      <c r="W395" s="68">
        <f t="shared" si="88"/>
        <v>15651091.8914</v>
      </c>
      <c r="X395" s="68">
        <v>363593047.38999999</v>
      </c>
      <c r="Y395" s="69">
        <f t="shared" si="80"/>
        <v>900947202.32139993</v>
      </c>
    </row>
    <row r="396" spans="1:25" ht="24.95" customHeight="1">
      <c r="A396" s="174"/>
      <c r="B396" s="176"/>
      <c r="C396" s="64">
        <v>9</v>
      </c>
      <c r="D396" s="68" t="s">
        <v>908</v>
      </c>
      <c r="E396" s="68">
        <v>301172119.25</v>
      </c>
      <c r="F396" s="68">
        <v>0</v>
      </c>
      <c r="G396" s="68">
        <v>68275939.579999998</v>
      </c>
      <c r="H396" s="68">
        <v>11083441.764799999</v>
      </c>
      <c r="I396" s="68">
        <v>0</v>
      </c>
      <c r="J396" s="68">
        <f t="shared" si="90"/>
        <v>11083441.764799999</v>
      </c>
      <c r="K396" s="82">
        <v>289265322.37</v>
      </c>
      <c r="L396" s="69">
        <f t="shared" si="93"/>
        <v>380531500.5948</v>
      </c>
      <c r="M396" s="63"/>
      <c r="N396" s="176"/>
      <c r="O396" s="70">
        <v>7</v>
      </c>
      <c r="P396" s="176"/>
      <c r="Q396" s="68" t="s">
        <v>909</v>
      </c>
      <c r="R396" s="68">
        <v>322989000.29000002</v>
      </c>
      <c r="S396" s="71">
        <v>0</v>
      </c>
      <c r="T396" s="68">
        <v>73221842.459999993</v>
      </c>
      <c r="U396" s="68">
        <v>11886325.282600001</v>
      </c>
      <c r="V396" s="68">
        <v>0</v>
      </c>
      <c r="W396" s="68">
        <f t="shared" si="88"/>
        <v>11886325.282600001</v>
      </c>
      <c r="X396" s="68">
        <v>325560914.43000001</v>
      </c>
      <c r="Y396" s="69">
        <f t="shared" si="80"/>
        <v>733658082.46259999</v>
      </c>
    </row>
    <row r="397" spans="1:25" ht="24.95" customHeight="1">
      <c r="A397" s="174"/>
      <c r="B397" s="176"/>
      <c r="C397" s="64">
        <v>10</v>
      </c>
      <c r="D397" s="68" t="s">
        <v>910</v>
      </c>
      <c r="E397" s="68">
        <v>303281443.44</v>
      </c>
      <c r="F397" s="68">
        <v>0</v>
      </c>
      <c r="G397" s="68">
        <v>68754124.920000002</v>
      </c>
      <c r="H397" s="68">
        <v>11161067.050799999</v>
      </c>
      <c r="I397" s="68">
        <v>0</v>
      </c>
      <c r="J397" s="68">
        <f t="shared" si="90"/>
        <v>11161067.050799999</v>
      </c>
      <c r="K397" s="82">
        <v>297666427.94</v>
      </c>
      <c r="L397" s="69">
        <f t="shared" si="93"/>
        <v>383196635.41080004</v>
      </c>
      <c r="M397" s="63"/>
      <c r="N397" s="176"/>
      <c r="O397" s="70">
        <v>8</v>
      </c>
      <c r="P397" s="176"/>
      <c r="Q397" s="68" t="s">
        <v>823</v>
      </c>
      <c r="R397" s="68">
        <v>293038966.75</v>
      </c>
      <c r="S397" s="71">
        <v>0</v>
      </c>
      <c r="T397" s="68">
        <v>66432147.960000001</v>
      </c>
      <c r="U397" s="68">
        <v>10784133.441500001</v>
      </c>
      <c r="V397" s="68">
        <v>0</v>
      </c>
      <c r="W397" s="68">
        <f t="shared" si="88"/>
        <v>10784133.441500001</v>
      </c>
      <c r="X397" s="68">
        <v>287172726.43000001</v>
      </c>
      <c r="Y397" s="69">
        <f t="shared" si="80"/>
        <v>657427974.58150005</v>
      </c>
    </row>
    <row r="398" spans="1:25" ht="24.95" customHeight="1">
      <c r="A398" s="174"/>
      <c r="B398" s="176"/>
      <c r="C398" s="64">
        <v>11</v>
      </c>
      <c r="D398" s="68" t="s">
        <v>911</v>
      </c>
      <c r="E398" s="68">
        <v>281099982.87</v>
      </c>
      <c r="F398" s="68">
        <v>0</v>
      </c>
      <c r="G398" s="68">
        <v>63725571.590000004</v>
      </c>
      <c r="H398" s="68">
        <v>10344766.6337</v>
      </c>
      <c r="I398" s="68">
        <v>0</v>
      </c>
      <c r="J398" s="68">
        <f t="shared" si="90"/>
        <v>10344766.6337</v>
      </c>
      <c r="K398" s="82">
        <v>261540104.80000001</v>
      </c>
      <c r="L398" s="69">
        <f t="shared" si="93"/>
        <v>355170321.09370005</v>
      </c>
      <c r="M398" s="63"/>
      <c r="N398" s="176"/>
      <c r="O398" s="70">
        <v>9</v>
      </c>
      <c r="P398" s="176"/>
      <c r="Q398" s="68" t="s">
        <v>912</v>
      </c>
      <c r="R398" s="68">
        <v>316783409.91000003</v>
      </c>
      <c r="S398" s="71">
        <v>0</v>
      </c>
      <c r="T398" s="68">
        <v>71815030.579999998</v>
      </c>
      <c r="U398" s="68">
        <v>11657953.2147</v>
      </c>
      <c r="V398" s="68">
        <v>0</v>
      </c>
      <c r="W398" s="68">
        <f t="shared" si="88"/>
        <v>11657953.2147</v>
      </c>
      <c r="X398" s="68">
        <v>299215456.83999997</v>
      </c>
      <c r="Y398" s="69">
        <f t="shared" si="80"/>
        <v>699471850.54469991</v>
      </c>
    </row>
    <row r="399" spans="1:25" ht="24.95" customHeight="1">
      <c r="A399" s="174"/>
      <c r="B399" s="176"/>
      <c r="C399" s="64">
        <v>12</v>
      </c>
      <c r="D399" s="68" t="s">
        <v>913</v>
      </c>
      <c r="E399" s="68">
        <v>275389130.56</v>
      </c>
      <c r="F399" s="68">
        <v>0</v>
      </c>
      <c r="G399" s="68">
        <v>62430917.200000003</v>
      </c>
      <c r="H399" s="68">
        <v>10134601.432700001</v>
      </c>
      <c r="I399" s="68">
        <v>0</v>
      </c>
      <c r="J399" s="68">
        <f t="shared" si="90"/>
        <v>10134601.432700001</v>
      </c>
      <c r="K399" s="82">
        <v>279341735.91000003</v>
      </c>
      <c r="L399" s="69">
        <f t="shared" si="93"/>
        <v>347954649.19269997</v>
      </c>
      <c r="M399" s="63"/>
      <c r="N399" s="176"/>
      <c r="O399" s="70">
        <v>10</v>
      </c>
      <c r="P399" s="176"/>
      <c r="Q399" s="68" t="s">
        <v>914</v>
      </c>
      <c r="R399" s="68">
        <v>418128266.36000001</v>
      </c>
      <c r="S399" s="71">
        <v>0</v>
      </c>
      <c r="T399" s="68">
        <v>94789983.620000005</v>
      </c>
      <c r="U399" s="68">
        <v>15387547.499600001</v>
      </c>
      <c r="V399" s="68">
        <v>0</v>
      </c>
      <c r="W399" s="68">
        <f t="shared" si="88"/>
        <v>15387547.499600001</v>
      </c>
      <c r="X399" s="68">
        <v>329496200.61000001</v>
      </c>
      <c r="Y399" s="69">
        <f t="shared" si="80"/>
        <v>857801998.08960009</v>
      </c>
    </row>
    <row r="400" spans="1:25" ht="24.95" customHeight="1">
      <c r="A400" s="174"/>
      <c r="B400" s="176"/>
      <c r="C400" s="64">
        <v>13</v>
      </c>
      <c r="D400" s="68" t="s">
        <v>915</v>
      </c>
      <c r="E400" s="68">
        <v>287742706.00999999</v>
      </c>
      <c r="F400" s="68">
        <v>0</v>
      </c>
      <c r="G400" s="68">
        <v>65231481.780000001</v>
      </c>
      <c r="H400" s="68">
        <v>10589225.6336</v>
      </c>
      <c r="I400" s="68">
        <v>0</v>
      </c>
      <c r="J400" s="68">
        <f t="shared" si="90"/>
        <v>10589225.6336</v>
      </c>
      <c r="K400" s="82">
        <v>283909925.80000001</v>
      </c>
      <c r="L400" s="69">
        <f t="shared" si="93"/>
        <v>363563413.42359996</v>
      </c>
      <c r="M400" s="63"/>
      <c r="N400" s="176"/>
      <c r="O400" s="70">
        <v>11</v>
      </c>
      <c r="P400" s="176"/>
      <c r="Q400" s="68" t="s">
        <v>916</v>
      </c>
      <c r="R400" s="68">
        <v>261070913.22999999</v>
      </c>
      <c r="S400" s="71">
        <v>0</v>
      </c>
      <c r="T400" s="68">
        <v>59184966.859999999</v>
      </c>
      <c r="U400" s="68">
        <v>9607676.4028999992</v>
      </c>
      <c r="V400" s="68">
        <v>0</v>
      </c>
      <c r="W400" s="68">
        <f t="shared" si="88"/>
        <v>9607676.4028999992</v>
      </c>
      <c r="X400" s="68">
        <v>271118492.39999998</v>
      </c>
      <c r="Y400" s="69">
        <f t="shared" si="80"/>
        <v>600982048.89289999</v>
      </c>
    </row>
    <row r="401" spans="1:25" ht="24.95" customHeight="1">
      <c r="A401" s="174"/>
      <c r="B401" s="176"/>
      <c r="C401" s="64">
        <v>14</v>
      </c>
      <c r="D401" s="68" t="s">
        <v>917</v>
      </c>
      <c r="E401" s="68">
        <v>256667784.97</v>
      </c>
      <c r="F401" s="68">
        <v>0</v>
      </c>
      <c r="G401" s="68">
        <v>58186774.469999999</v>
      </c>
      <c r="H401" s="68">
        <v>9445636.7829999998</v>
      </c>
      <c r="I401" s="68">
        <v>0</v>
      </c>
      <c r="J401" s="68">
        <f t="shared" si="90"/>
        <v>9445636.7829999998</v>
      </c>
      <c r="K401" s="82">
        <v>265769052.31999999</v>
      </c>
      <c r="L401" s="69">
        <f t="shared" si="93"/>
        <v>324300196.22299999</v>
      </c>
      <c r="M401" s="63"/>
      <c r="N401" s="176"/>
      <c r="O401" s="70">
        <v>12</v>
      </c>
      <c r="P401" s="176"/>
      <c r="Q401" s="68" t="s">
        <v>918</v>
      </c>
      <c r="R401" s="68">
        <v>301541219.93000001</v>
      </c>
      <c r="S401" s="71">
        <v>0</v>
      </c>
      <c r="T401" s="68">
        <v>68359614.969999999</v>
      </c>
      <c r="U401" s="68">
        <v>11097025.047</v>
      </c>
      <c r="V401" s="68">
        <v>0</v>
      </c>
      <c r="W401" s="68">
        <f t="shared" si="88"/>
        <v>11097025.047</v>
      </c>
      <c r="X401" s="68">
        <v>300831715.06999999</v>
      </c>
      <c r="Y401" s="69">
        <f t="shared" si="80"/>
        <v>681829575.01699996</v>
      </c>
    </row>
    <row r="402" spans="1:25" ht="24.95" customHeight="1">
      <c r="A402" s="174"/>
      <c r="B402" s="176"/>
      <c r="C402" s="64">
        <v>15</v>
      </c>
      <c r="D402" s="68" t="s">
        <v>919</v>
      </c>
      <c r="E402" s="68">
        <v>255328430.38</v>
      </c>
      <c r="F402" s="68">
        <v>0</v>
      </c>
      <c r="G402" s="68">
        <v>57883141.799999997</v>
      </c>
      <c r="H402" s="68">
        <v>9396347.1655000001</v>
      </c>
      <c r="I402" s="68">
        <v>0</v>
      </c>
      <c r="J402" s="68">
        <f t="shared" si="90"/>
        <v>9396347.1655000001</v>
      </c>
      <c r="K402" s="82">
        <v>248580523.33000001</v>
      </c>
      <c r="L402" s="69">
        <f t="shared" si="93"/>
        <v>322607919.34549999</v>
      </c>
      <c r="M402" s="63"/>
      <c r="N402" s="176"/>
      <c r="O402" s="70">
        <v>13</v>
      </c>
      <c r="P402" s="176"/>
      <c r="Q402" s="68" t="s">
        <v>920</v>
      </c>
      <c r="R402" s="68">
        <v>319473009.62</v>
      </c>
      <c r="S402" s="71">
        <v>0</v>
      </c>
      <c r="T402" s="68">
        <v>72424764.799999997</v>
      </c>
      <c r="U402" s="68">
        <v>11756933.232799999</v>
      </c>
      <c r="V402" s="68">
        <v>0</v>
      </c>
      <c r="W402" s="68">
        <f t="shared" si="88"/>
        <v>11756933.232799999</v>
      </c>
      <c r="X402" s="68">
        <v>319822562.54000002</v>
      </c>
      <c r="Y402" s="69">
        <f t="shared" si="80"/>
        <v>723477270.19280005</v>
      </c>
    </row>
    <row r="403" spans="1:25" ht="24.95" customHeight="1">
      <c r="A403" s="174"/>
      <c r="B403" s="176"/>
      <c r="C403" s="64">
        <v>16</v>
      </c>
      <c r="D403" s="68" t="s">
        <v>921</v>
      </c>
      <c r="E403" s="68">
        <v>275951528.24000001</v>
      </c>
      <c r="F403" s="68">
        <v>0</v>
      </c>
      <c r="G403" s="68">
        <v>62558413.159999996</v>
      </c>
      <c r="H403" s="68">
        <v>10155298.241900001</v>
      </c>
      <c r="I403" s="68">
        <v>0</v>
      </c>
      <c r="J403" s="68">
        <f t="shared" si="90"/>
        <v>10155298.241900001</v>
      </c>
      <c r="K403" s="82">
        <v>280159205.39999998</v>
      </c>
      <c r="L403" s="69">
        <f t="shared" si="93"/>
        <v>348665239.6419</v>
      </c>
      <c r="M403" s="63"/>
      <c r="N403" s="177"/>
      <c r="O403" s="70">
        <v>14</v>
      </c>
      <c r="P403" s="177"/>
      <c r="Q403" s="68" t="s">
        <v>922</v>
      </c>
      <c r="R403" s="68">
        <v>352828224.77999997</v>
      </c>
      <c r="S403" s="71">
        <v>0</v>
      </c>
      <c r="T403" s="68">
        <v>79986416.480000004</v>
      </c>
      <c r="U403" s="68">
        <v>12984439.2366</v>
      </c>
      <c r="V403" s="68">
        <v>0</v>
      </c>
      <c r="W403" s="68">
        <f t="shared" si="88"/>
        <v>12984439.2366</v>
      </c>
      <c r="X403" s="68">
        <v>330219892.75</v>
      </c>
      <c r="Y403" s="69">
        <f t="shared" si="80"/>
        <v>776018973.24659991</v>
      </c>
    </row>
    <row r="404" spans="1:25" ht="24.95" customHeight="1">
      <c r="A404" s="174"/>
      <c r="B404" s="176"/>
      <c r="C404" s="64">
        <v>17</v>
      </c>
      <c r="D404" s="68" t="s">
        <v>923</v>
      </c>
      <c r="E404" s="68">
        <v>315117515.60000002</v>
      </c>
      <c r="F404" s="68">
        <v>0</v>
      </c>
      <c r="G404" s="68">
        <v>71437371.120000005</v>
      </c>
      <c r="H404" s="68">
        <v>11596646.601600001</v>
      </c>
      <c r="I404" s="68">
        <v>0</v>
      </c>
      <c r="J404" s="68">
        <f t="shared" si="90"/>
        <v>11596646.601600001</v>
      </c>
      <c r="K404" s="82">
        <v>310441817.25</v>
      </c>
      <c r="L404" s="69">
        <f t="shared" si="93"/>
        <v>398151533.32160002</v>
      </c>
      <c r="M404" s="63"/>
      <c r="N404" s="64"/>
      <c r="O404" s="170" t="s">
        <v>924</v>
      </c>
      <c r="P404" s="171"/>
      <c r="Q404" s="72"/>
      <c r="R404" s="72">
        <f>SUM(R390:R403)</f>
        <v>4537300004.3299999</v>
      </c>
      <c r="S404" s="71">
        <v>0</v>
      </c>
      <c r="T404" s="72">
        <f t="shared" ref="T404:V404" si="94">SUM(T390:T403)</f>
        <v>1028609227.58</v>
      </c>
      <c r="U404" s="72">
        <f t="shared" si="94"/>
        <v>166977276.95740002</v>
      </c>
      <c r="V404" s="72">
        <f t="shared" si="94"/>
        <v>0</v>
      </c>
      <c r="W404" s="72">
        <f t="shared" si="88"/>
        <v>166977276.95740002</v>
      </c>
      <c r="X404" s="72">
        <f>SUM(X390:X403)</f>
        <v>4304059161.2200003</v>
      </c>
      <c r="Y404" s="72">
        <f>SUM(Y390:Y403)</f>
        <v>10036945670.0874</v>
      </c>
    </row>
    <row r="405" spans="1:25" ht="24.95" customHeight="1">
      <c r="A405" s="174"/>
      <c r="B405" s="176"/>
      <c r="C405" s="64">
        <v>18</v>
      </c>
      <c r="D405" s="68" t="s">
        <v>925</v>
      </c>
      <c r="E405" s="68">
        <v>378856861.87</v>
      </c>
      <c r="F405" s="68">
        <v>0</v>
      </c>
      <c r="G405" s="68">
        <v>85887127.519999996</v>
      </c>
      <c r="H405" s="68">
        <v>13942319.681700001</v>
      </c>
      <c r="I405" s="68">
        <v>0</v>
      </c>
      <c r="J405" s="68">
        <f t="shared" si="90"/>
        <v>13942319.681700001</v>
      </c>
      <c r="K405" s="82">
        <v>340327276.41000003</v>
      </c>
      <c r="L405" s="69">
        <f t="shared" si="93"/>
        <v>478686309.07169998</v>
      </c>
      <c r="M405" s="63"/>
      <c r="N405" s="175">
        <v>37</v>
      </c>
      <c r="O405" s="70">
        <v>1</v>
      </c>
      <c r="P405" s="175" t="s">
        <v>926</v>
      </c>
      <c r="Q405" s="68" t="s">
        <v>927</v>
      </c>
      <c r="R405" s="68">
        <v>233068009.19999999</v>
      </c>
      <c r="S405" s="71">
        <v>0</v>
      </c>
      <c r="T405" s="68">
        <v>52836688.049999997</v>
      </c>
      <c r="U405" s="68">
        <v>8577140.9175000004</v>
      </c>
      <c r="V405" s="68">
        <v>0</v>
      </c>
      <c r="W405" s="68">
        <f t="shared" si="88"/>
        <v>8577140.9175000004</v>
      </c>
      <c r="X405" s="68">
        <v>678645572.25</v>
      </c>
      <c r="Y405" s="69">
        <f t="shared" si="80"/>
        <v>973127410.41750002</v>
      </c>
    </row>
    <row r="406" spans="1:25" ht="24.95" customHeight="1">
      <c r="A406" s="174"/>
      <c r="B406" s="176"/>
      <c r="C406" s="64">
        <v>19</v>
      </c>
      <c r="D406" s="68" t="s">
        <v>928</v>
      </c>
      <c r="E406" s="68">
        <v>260473451.46000001</v>
      </c>
      <c r="F406" s="68">
        <v>0</v>
      </c>
      <c r="G406" s="68">
        <v>59049521.840000004</v>
      </c>
      <c r="H406" s="68">
        <v>9585689.1992000006</v>
      </c>
      <c r="I406" s="68">
        <v>0</v>
      </c>
      <c r="J406" s="68">
        <f t="shared" si="90"/>
        <v>9585689.1992000006</v>
      </c>
      <c r="K406" s="82">
        <v>273796916.56999999</v>
      </c>
      <c r="L406" s="69">
        <f t="shared" si="93"/>
        <v>329108662.49919999</v>
      </c>
      <c r="M406" s="63"/>
      <c r="N406" s="176"/>
      <c r="O406" s="70">
        <v>2</v>
      </c>
      <c r="P406" s="176"/>
      <c r="Q406" s="68" t="s">
        <v>929</v>
      </c>
      <c r="R406" s="68">
        <v>594967462.24000001</v>
      </c>
      <c r="S406" s="71">
        <v>0</v>
      </c>
      <c r="T406" s="68">
        <v>134879558.59</v>
      </c>
      <c r="U406" s="68">
        <v>21895410.6248</v>
      </c>
      <c r="V406" s="68">
        <v>0</v>
      </c>
      <c r="W406" s="68">
        <f t="shared" si="88"/>
        <v>21895410.6248</v>
      </c>
      <c r="X406" s="68">
        <v>947694284.70000005</v>
      </c>
      <c r="Y406" s="69">
        <f t="shared" si="80"/>
        <v>1699436716.1547999</v>
      </c>
    </row>
    <row r="407" spans="1:25" ht="24.95" customHeight="1">
      <c r="A407" s="174"/>
      <c r="B407" s="176"/>
      <c r="C407" s="64">
        <v>20</v>
      </c>
      <c r="D407" s="68" t="s">
        <v>930</v>
      </c>
      <c r="E407" s="68">
        <v>250983518.44999999</v>
      </c>
      <c r="F407" s="68">
        <v>0</v>
      </c>
      <c r="G407" s="68">
        <v>56898147.090000004</v>
      </c>
      <c r="H407" s="68">
        <v>9236449.9660999998</v>
      </c>
      <c r="I407" s="68">
        <v>0</v>
      </c>
      <c r="J407" s="68">
        <f t="shared" si="90"/>
        <v>9236449.9660999998</v>
      </c>
      <c r="K407" s="82">
        <v>262529063.55000001</v>
      </c>
      <c r="L407" s="69">
        <f t="shared" si="93"/>
        <v>317118115.50609994</v>
      </c>
      <c r="M407" s="63"/>
      <c r="N407" s="176"/>
      <c r="O407" s="70">
        <v>3</v>
      </c>
      <c r="P407" s="176"/>
      <c r="Q407" s="68" t="s">
        <v>931</v>
      </c>
      <c r="R407" s="68">
        <v>335128901.22000003</v>
      </c>
      <c r="S407" s="71">
        <v>0</v>
      </c>
      <c r="T407" s="68">
        <v>75973966.870000005</v>
      </c>
      <c r="U407" s="68">
        <v>12333086.0429</v>
      </c>
      <c r="V407" s="68">
        <v>0</v>
      </c>
      <c r="W407" s="68">
        <f t="shared" si="88"/>
        <v>12333086.0429</v>
      </c>
      <c r="X407" s="68">
        <v>741701313.13999999</v>
      </c>
      <c r="Y407" s="69">
        <f t="shared" si="80"/>
        <v>1165137267.2729001</v>
      </c>
    </row>
    <row r="408" spans="1:25" ht="24.95" customHeight="1">
      <c r="A408" s="174"/>
      <c r="B408" s="176"/>
      <c r="C408" s="64">
        <v>21</v>
      </c>
      <c r="D408" s="68" t="s">
        <v>932</v>
      </c>
      <c r="E408" s="68">
        <v>365685579.76999998</v>
      </c>
      <c r="F408" s="68">
        <v>0</v>
      </c>
      <c r="G408" s="68">
        <v>82901188.239999995</v>
      </c>
      <c r="H408" s="68">
        <v>13457603.040200001</v>
      </c>
      <c r="I408" s="68">
        <v>0</v>
      </c>
      <c r="J408" s="68">
        <f t="shared" si="90"/>
        <v>13457603.040200001</v>
      </c>
      <c r="K408" s="82">
        <v>341622225.80000001</v>
      </c>
      <c r="L408" s="69">
        <f t="shared" si="93"/>
        <v>462044371.05019999</v>
      </c>
      <c r="M408" s="63"/>
      <c r="N408" s="176"/>
      <c r="O408" s="70">
        <v>4</v>
      </c>
      <c r="P408" s="176"/>
      <c r="Q408" s="68" t="s">
        <v>933</v>
      </c>
      <c r="R408" s="68">
        <v>287209911.35000002</v>
      </c>
      <c r="S408" s="71">
        <v>0</v>
      </c>
      <c r="T408" s="68">
        <v>65110696.840000004</v>
      </c>
      <c r="U408" s="68">
        <v>10569618.2456</v>
      </c>
      <c r="V408" s="68">
        <v>0</v>
      </c>
      <c r="W408" s="68">
        <f t="shared" si="88"/>
        <v>10569618.2456</v>
      </c>
      <c r="X408" s="68">
        <v>715755249.91999996</v>
      </c>
      <c r="Y408" s="69">
        <f t="shared" si="80"/>
        <v>1078645476.3555999</v>
      </c>
    </row>
    <row r="409" spans="1:25" ht="24.95" customHeight="1">
      <c r="A409" s="174"/>
      <c r="B409" s="176"/>
      <c r="C409" s="64">
        <v>22</v>
      </c>
      <c r="D409" s="68" t="s">
        <v>934</v>
      </c>
      <c r="E409" s="68">
        <v>243377960.97</v>
      </c>
      <c r="F409" s="68">
        <v>0</v>
      </c>
      <c r="G409" s="68">
        <v>55173961.649999999</v>
      </c>
      <c r="H409" s="68">
        <v>8956557.6785000004</v>
      </c>
      <c r="I409" s="68">
        <v>0</v>
      </c>
      <c r="J409" s="68">
        <f t="shared" si="90"/>
        <v>8956557.6785000004</v>
      </c>
      <c r="K409" s="82">
        <v>257888392.36000001</v>
      </c>
      <c r="L409" s="69">
        <f t="shared" si="93"/>
        <v>307508480.2985</v>
      </c>
      <c r="M409" s="63"/>
      <c r="N409" s="176"/>
      <c r="O409" s="70">
        <v>5</v>
      </c>
      <c r="P409" s="176"/>
      <c r="Q409" s="68" t="s">
        <v>935</v>
      </c>
      <c r="R409" s="68">
        <v>272898252.24000001</v>
      </c>
      <c r="S409" s="71">
        <v>0</v>
      </c>
      <c r="T409" s="68">
        <v>61866233.259999998</v>
      </c>
      <c r="U409" s="68">
        <v>10042934.5649</v>
      </c>
      <c r="V409" s="68">
        <v>0</v>
      </c>
      <c r="W409" s="68">
        <f t="shared" si="88"/>
        <v>10042934.5649</v>
      </c>
      <c r="X409" s="68">
        <v>693187786.62</v>
      </c>
      <c r="Y409" s="69">
        <f t="shared" si="80"/>
        <v>1037995206.6849</v>
      </c>
    </row>
    <row r="410" spans="1:25" ht="24.95" customHeight="1">
      <c r="A410" s="174"/>
      <c r="B410" s="176"/>
      <c r="C410" s="64">
        <v>23</v>
      </c>
      <c r="D410" s="68" t="s">
        <v>936</v>
      </c>
      <c r="E410" s="68">
        <v>245618217.72</v>
      </c>
      <c r="F410" s="68">
        <v>0</v>
      </c>
      <c r="G410" s="68">
        <v>55681829.5</v>
      </c>
      <c r="H410" s="68">
        <v>9039001.4166000001</v>
      </c>
      <c r="I410" s="68">
        <v>0</v>
      </c>
      <c r="J410" s="68">
        <f t="shared" si="90"/>
        <v>9039001.4166000001</v>
      </c>
      <c r="K410" s="82">
        <v>256143236.97</v>
      </c>
      <c r="L410" s="69">
        <f t="shared" si="93"/>
        <v>310339048.63660002</v>
      </c>
      <c r="M410" s="63"/>
      <c r="N410" s="177"/>
      <c r="O410" s="70">
        <v>6</v>
      </c>
      <c r="P410" s="177"/>
      <c r="Q410" s="68" t="s">
        <v>937</v>
      </c>
      <c r="R410" s="68">
        <v>280713499.12</v>
      </c>
      <c r="S410" s="71">
        <v>0</v>
      </c>
      <c r="T410" s="68">
        <v>63637955.439999998</v>
      </c>
      <c r="U410" s="68">
        <v>10330543.637</v>
      </c>
      <c r="V410" s="68">
        <v>0</v>
      </c>
      <c r="W410" s="68">
        <f t="shared" si="88"/>
        <v>10330543.637</v>
      </c>
      <c r="X410" s="68">
        <v>688880006.35000002</v>
      </c>
      <c r="Y410" s="69">
        <f t="shared" si="80"/>
        <v>1043562004.5470001</v>
      </c>
    </row>
    <row r="411" spans="1:25" ht="24.95" customHeight="1">
      <c r="A411" s="174"/>
      <c r="B411" s="176"/>
      <c r="C411" s="64">
        <v>24</v>
      </c>
      <c r="D411" s="68" t="s">
        <v>938</v>
      </c>
      <c r="E411" s="68">
        <v>316877054</v>
      </c>
      <c r="F411" s="68">
        <v>0</v>
      </c>
      <c r="G411" s="68">
        <v>71836259.769999996</v>
      </c>
      <c r="H411" s="68">
        <v>11661399.412900001</v>
      </c>
      <c r="I411" s="68">
        <v>0</v>
      </c>
      <c r="J411" s="68">
        <f t="shared" si="90"/>
        <v>11661399.412900001</v>
      </c>
      <c r="K411" s="82">
        <v>303982762.13999999</v>
      </c>
      <c r="L411" s="69">
        <f t="shared" si="93"/>
        <v>400374713.18289995</v>
      </c>
      <c r="M411" s="63"/>
      <c r="N411" s="64"/>
      <c r="O411" s="170" t="s">
        <v>939</v>
      </c>
      <c r="P411" s="171"/>
      <c r="Q411" s="71"/>
      <c r="R411" s="71">
        <f t="shared" ref="R411:V411" si="95">SUM(R405:R410)</f>
        <v>2003986035.3700004</v>
      </c>
      <c r="S411" s="71">
        <v>0</v>
      </c>
      <c r="T411" s="71">
        <f t="shared" si="95"/>
        <v>454305099.05000001</v>
      </c>
      <c r="U411" s="71">
        <f t="shared" si="95"/>
        <v>73748734.032699987</v>
      </c>
      <c r="V411" s="71">
        <f t="shared" si="95"/>
        <v>0</v>
      </c>
      <c r="W411" s="72">
        <f t="shared" si="88"/>
        <v>73748734.032699987</v>
      </c>
      <c r="X411" s="71">
        <f>SUM(X405:X410)</f>
        <v>4465864212.9800005</v>
      </c>
      <c r="Y411" s="71">
        <f>SUM(Y405:Y410)</f>
        <v>6997904081.4327002</v>
      </c>
    </row>
    <row r="412" spans="1:25" ht="24.95" customHeight="1">
      <c r="A412" s="175"/>
      <c r="B412" s="176"/>
      <c r="C412" s="64">
        <v>25</v>
      </c>
      <c r="D412" s="68" t="s">
        <v>940</v>
      </c>
      <c r="E412" s="68">
        <v>323778085.94999999</v>
      </c>
      <c r="F412" s="68">
        <v>0</v>
      </c>
      <c r="G412" s="68">
        <v>73400728.75</v>
      </c>
      <c r="H412" s="68">
        <v>11915364.441</v>
      </c>
      <c r="I412" s="68">
        <v>0</v>
      </c>
      <c r="J412" s="68">
        <f t="shared" si="90"/>
        <v>11915364.441</v>
      </c>
      <c r="K412" s="82">
        <v>315638801.07999998</v>
      </c>
      <c r="L412" s="69">
        <f t="shared" si="93"/>
        <v>409094179.14099997</v>
      </c>
      <c r="M412" s="63"/>
      <c r="N412" s="169" t="s">
        <v>941</v>
      </c>
      <c r="O412" s="178"/>
      <c r="P412" s="173"/>
      <c r="Q412" s="86"/>
      <c r="R412" s="87">
        <v>220555089468.98999</v>
      </c>
      <c r="S412" s="87">
        <f>-38244163.08</f>
        <v>-38244163.079999998</v>
      </c>
      <c r="T412" s="87">
        <v>50000000000</v>
      </c>
      <c r="U412" s="87">
        <v>8116652684.0699997</v>
      </c>
      <c r="V412" s="87">
        <v>2872444635.9899998</v>
      </c>
      <c r="W412" s="88">
        <f t="shared" si="88"/>
        <v>5244208048.0799999</v>
      </c>
      <c r="X412" s="87">
        <v>261481033465.10001</v>
      </c>
      <c r="Y412" s="69">
        <f>R412+S412+T412+W412+X412</f>
        <v>537242086819.08997</v>
      </c>
    </row>
    <row r="413" spans="1:25">
      <c r="A413" s="64"/>
      <c r="B413" s="66"/>
      <c r="C413" s="89"/>
      <c r="D413" s="90"/>
      <c r="E413" s="91">
        <f>SUM(E388:E412)</f>
        <v>7237477553.3900003</v>
      </c>
      <c r="F413" s="91">
        <f t="shared" ref="F413:L413" si="96">SUM(F388:F412)</f>
        <v>0</v>
      </c>
      <c r="G413" s="91">
        <f t="shared" si="96"/>
        <v>1640741451.6899998</v>
      </c>
      <c r="H413" s="91">
        <f t="shared" si="96"/>
        <v>266346570.15119994</v>
      </c>
      <c r="I413" s="91">
        <f t="shared" si="96"/>
        <v>0</v>
      </c>
      <c r="J413" s="91">
        <f t="shared" si="96"/>
        <v>266346570.15119994</v>
      </c>
      <c r="K413" s="91">
        <f t="shared" si="96"/>
        <v>7178099642.3600006</v>
      </c>
      <c r="L413" s="91">
        <f t="shared" si="96"/>
        <v>9144565575.2312012</v>
      </c>
      <c r="M413" s="91">
        <f t="shared" ref="M413" si="97">SUM(M388:M412)</f>
        <v>0</v>
      </c>
      <c r="N413" s="92"/>
      <c r="O413" s="179"/>
      <c r="P413" s="178"/>
      <c r="Q413" s="173"/>
      <c r="R413" s="93"/>
      <c r="S413" s="93"/>
      <c r="T413" s="93"/>
      <c r="U413" s="93"/>
      <c r="V413" s="93"/>
      <c r="W413" s="93"/>
      <c r="X413" s="93"/>
      <c r="Y413" s="93"/>
    </row>
    <row r="414" spans="1:25" ht="16.149999999999999">
      <c r="D414" s="94"/>
      <c r="E414" s="95"/>
      <c r="F414" s="95"/>
      <c r="G414" s="95"/>
      <c r="H414" s="95"/>
      <c r="I414" s="95"/>
      <c r="J414" s="95"/>
      <c r="K414" s="95"/>
      <c r="L414" s="95"/>
      <c r="Q414" s="81"/>
      <c r="R414" s="19"/>
      <c r="S414" s="19"/>
      <c r="T414" s="96"/>
      <c r="U414" s="19"/>
      <c r="V414" s="19"/>
      <c r="W414" s="19"/>
      <c r="X414" s="97"/>
      <c r="Y414" s="81"/>
    </row>
    <row r="415" spans="1:25">
      <c r="C415" s="98"/>
      <c r="D415" s="93"/>
      <c r="E415" s="93"/>
      <c r="F415" s="93"/>
      <c r="G415" s="93"/>
      <c r="H415" s="93"/>
      <c r="I415" s="93"/>
      <c r="J415" s="93"/>
      <c r="K415" s="93"/>
      <c r="L415" s="93"/>
      <c r="R415" s="97"/>
      <c r="S415" s="97"/>
      <c r="U415" s="97"/>
      <c r="V415" s="97"/>
      <c r="W415" s="97"/>
      <c r="X415" s="97"/>
    </row>
    <row r="419" spans="11:19">
      <c r="K419" s="81"/>
    </row>
    <row r="421" spans="11:19">
      <c r="R421" s="19"/>
      <c r="S421" s="19"/>
    </row>
    <row r="422" spans="11:19">
      <c r="R422" s="19"/>
      <c r="S422" s="19"/>
    </row>
    <row r="423" spans="11:19">
      <c r="R423" s="19"/>
      <c r="S423" s="19"/>
    </row>
    <row r="424" spans="11:19">
      <c r="R424" s="19"/>
      <c r="S424" s="19"/>
    </row>
  </sheetData>
  <mergeCells count="118">
    <mergeCell ref="N372:N388"/>
    <mergeCell ref="N390:N403"/>
    <mergeCell ref="N405:N410"/>
    <mergeCell ref="P7:P25"/>
    <mergeCell ref="P27:P60"/>
    <mergeCell ref="P62:P82"/>
    <mergeCell ref="P84:P104"/>
    <mergeCell ref="P106:P121"/>
    <mergeCell ref="P123:P142"/>
    <mergeCell ref="P144:P156"/>
    <mergeCell ref="P158:P182"/>
    <mergeCell ref="P184:P203"/>
    <mergeCell ref="P205:P222"/>
    <mergeCell ref="P224:P253"/>
    <mergeCell ref="P255:P287"/>
    <mergeCell ref="P289:P305"/>
    <mergeCell ref="P307:P329"/>
    <mergeCell ref="P331:P353"/>
    <mergeCell ref="P355:P370"/>
    <mergeCell ref="P373:P388"/>
    <mergeCell ref="P390:P403"/>
    <mergeCell ref="P405:P410"/>
    <mergeCell ref="O389:P389"/>
    <mergeCell ref="O404:P404"/>
    <mergeCell ref="A388:A412"/>
    <mergeCell ref="B7:B23"/>
    <mergeCell ref="B25:B45"/>
    <mergeCell ref="B47:B77"/>
    <mergeCell ref="B79:B99"/>
    <mergeCell ref="B101:B120"/>
    <mergeCell ref="B122:B129"/>
    <mergeCell ref="B131:B153"/>
    <mergeCell ref="B155:B181"/>
    <mergeCell ref="B183:B200"/>
    <mergeCell ref="B202:B226"/>
    <mergeCell ref="B228:B240"/>
    <mergeCell ref="B242:B259"/>
    <mergeCell ref="B261:B276"/>
    <mergeCell ref="B278:B294"/>
    <mergeCell ref="B296:B306"/>
    <mergeCell ref="B308:B334"/>
    <mergeCell ref="B336:B362"/>
    <mergeCell ref="B364:B386"/>
    <mergeCell ref="B388:B412"/>
    <mergeCell ref="B387:C387"/>
    <mergeCell ref="B307:C307"/>
    <mergeCell ref="B100:C100"/>
    <mergeCell ref="O411:P411"/>
    <mergeCell ref="N412:P412"/>
    <mergeCell ref="O413:Q413"/>
    <mergeCell ref="A7:A23"/>
    <mergeCell ref="A25:A45"/>
    <mergeCell ref="A47:A77"/>
    <mergeCell ref="A79:A99"/>
    <mergeCell ref="A101:A120"/>
    <mergeCell ref="A122:A129"/>
    <mergeCell ref="A131:A153"/>
    <mergeCell ref="A155:A181"/>
    <mergeCell ref="A183:A200"/>
    <mergeCell ref="A202:A226"/>
    <mergeCell ref="A228:A240"/>
    <mergeCell ref="A242:A259"/>
    <mergeCell ref="A261:A276"/>
    <mergeCell ref="A278:A294"/>
    <mergeCell ref="A296:A306"/>
    <mergeCell ref="A308:A334"/>
    <mergeCell ref="A336:A362"/>
    <mergeCell ref="A364:A386"/>
    <mergeCell ref="O288:P288"/>
    <mergeCell ref="B295:C295"/>
    <mergeCell ref="O306:P306"/>
    <mergeCell ref="O330:P330"/>
    <mergeCell ref="B335:C335"/>
    <mergeCell ref="O354:P354"/>
    <mergeCell ref="B363:C363"/>
    <mergeCell ref="O371:P371"/>
    <mergeCell ref="N289:N305"/>
    <mergeCell ref="N307:N329"/>
    <mergeCell ref="N331:N353"/>
    <mergeCell ref="N355:N370"/>
    <mergeCell ref="O183:P183"/>
    <mergeCell ref="B201:C201"/>
    <mergeCell ref="O204:P204"/>
    <mergeCell ref="O223:P223"/>
    <mergeCell ref="B227:C227"/>
    <mergeCell ref="B241:C241"/>
    <mergeCell ref="O254:P254"/>
    <mergeCell ref="B260:C260"/>
    <mergeCell ref="B277:C277"/>
    <mergeCell ref="N184:N203"/>
    <mergeCell ref="N205:N222"/>
    <mergeCell ref="N224:N253"/>
    <mergeCell ref="N255:N287"/>
    <mergeCell ref="O105:P105"/>
    <mergeCell ref="B121:C121"/>
    <mergeCell ref="O122:P122"/>
    <mergeCell ref="B130:C130"/>
    <mergeCell ref="O143:P143"/>
    <mergeCell ref="B154:C154"/>
    <mergeCell ref="O157:P157"/>
    <mergeCell ref="B182:C182"/>
    <mergeCell ref="N84:N104"/>
    <mergeCell ref="N106:N121"/>
    <mergeCell ref="N123:N142"/>
    <mergeCell ref="N144:N156"/>
    <mergeCell ref="N158:N182"/>
    <mergeCell ref="A1:X1"/>
    <mergeCell ref="A2:Y2"/>
    <mergeCell ref="A3:Y3"/>
    <mergeCell ref="B24:C24"/>
    <mergeCell ref="O26:P26"/>
    <mergeCell ref="B46:C46"/>
    <mergeCell ref="O61:P61"/>
    <mergeCell ref="B78:C78"/>
    <mergeCell ref="O83:P83"/>
    <mergeCell ref="N7:N25"/>
    <mergeCell ref="N27:N60"/>
    <mergeCell ref="N62:N82"/>
  </mergeCells>
  <pageMargins left="0.15748031496063" right="0.15748031496063" top="0.196850393700787" bottom="0.196850393700787" header="0.511811023622047" footer="0.511811023622047"/>
  <pageSetup paperSize="9" scale="62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N47"/>
  <sheetViews>
    <sheetView topLeftCell="A3" workbookViewId="0">
      <pane xSplit="2" ySplit="3" topLeftCell="G6" activePane="bottomRight" state="frozen"/>
      <selection pane="topRight"/>
      <selection pane="bottomLeft"/>
      <selection pane="bottomRight" activeCell="A3" sqref="A3:J3"/>
    </sheetView>
  </sheetViews>
  <sheetFormatPr defaultColWidth="8.86328125" defaultRowHeight="17.649999999999999"/>
  <cols>
    <col min="1" max="1" width="8.86328125" style="29"/>
    <col min="2" max="2" width="19.73046875" style="29" customWidth="1"/>
    <col min="3" max="4" width="27" style="29" customWidth="1"/>
    <col min="5" max="5" width="24.86328125" style="29" customWidth="1"/>
    <col min="6" max="7" width="25.3984375" style="29" customWidth="1"/>
    <col min="8" max="8" width="24.73046875" style="29" customWidth="1"/>
    <col min="9" max="9" width="26.265625" style="29" customWidth="1"/>
    <col min="10" max="10" width="27.265625" style="29" customWidth="1"/>
    <col min="11" max="11" width="25.59765625" style="29"/>
    <col min="12" max="12" width="23.86328125" style="29" customWidth="1"/>
    <col min="13" max="13" width="8.86328125" style="29" customWidth="1"/>
    <col min="14" max="16384" width="8.86328125" style="29"/>
  </cols>
  <sheetData>
    <row r="1" spans="1:820" ht="30.4">
      <c r="A1" s="189" t="s">
        <v>58</v>
      </c>
      <c r="B1" s="190"/>
      <c r="C1" s="190"/>
      <c r="D1" s="190"/>
      <c r="E1" s="190"/>
      <c r="F1" s="190"/>
      <c r="G1" s="190"/>
      <c r="H1" s="190"/>
      <c r="I1" s="190"/>
      <c r="J1" s="191"/>
    </row>
    <row r="2" spans="1:820" ht="26.25" customHeight="1">
      <c r="A2" s="192" t="s">
        <v>59</v>
      </c>
      <c r="B2" s="193"/>
      <c r="C2" s="193"/>
      <c r="D2" s="193"/>
      <c r="E2" s="193"/>
      <c r="F2" s="193"/>
      <c r="G2" s="193"/>
      <c r="H2" s="193"/>
      <c r="I2" s="193"/>
      <c r="J2" s="194"/>
    </row>
    <row r="3" spans="1:820" ht="31.5" customHeight="1">
      <c r="A3" s="195" t="s">
        <v>942</v>
      </c>
      <c r="B3" s="196"/>
      <c r="C3" s="196"/>
      <c r="D3" s="196"/>
      <c r="E3" s="196"/>
      <c r="F3" s="196"/>
      <c r="G3" s="196"/>
      <c r="H3" s="196"/>
      <c r="I3" s="196"/>
      <c r="J3" s="197"/>
      <c r="AEN3" s="29" t="s">
        <v>943</v>
      </c>
    </row>
    <row r="4" spans="1:820" ht="61.15" customHeight="1">
      <c r="A4" s="48" t="s">
        <v>21</v>
      </c>
      <c r="B4" s="48" t="s">
        <v>125</v>
      </c>
      <c r="C4" s="49" t="s">
        <v>44</v>
      </c>
      <c r="D4" s="49" t="s">
        <v>123</v>
      </c>
      <c r="E4" s="50" t="s">
        <v>993</v>
      </c>
      <c r="F4" s="49" t="s">
        <v>944</v>
      </c>
      <c r="G4" s="51" t="s">
        <v>73</v>
      </c>
      <c r="H4" s="53" t="s">
        <v>74</v>
      </c>
      <c r="I4" s="53" t="s">
        <v>945</v>
      </c>
      <c r="J4" s="3" t="s">
        <v>124</v>
      </c>
      <c r="L4" s="43"/>
      <c r="BL4" s="29">
        <v>0</v>
      </c>
    </row>
    <row r="5" spans="1:820">
      <c r="A5" s="48"/>
      <c r="B5" s="48"/>
      <c r="C5" s="144" t="s">
        <v>26</v>
      </c>
      <c r="D5" s="144" t="s">
        <v>26</v>
      </c>
      <c r="E5" s="144" t="s">
        <v>26</v>
      </c>
      <c r="F5" s="144" t="s">
        <v>26</v>
      </c>
      <c r="G5" s="144" t="s">
        <v>26</v>
      </c>
      <c r="H5" s="144" t="s">
        <v>26</v>
      </c>
      <c r="I5" s="144" t="s">
        <v>26</v>
      </c>
      <c r="J5" s="144" t="s">
        <v>26</v>
      </c>
    </row>
    <row r="6" spans="1:820">
      <c r="A6" s="54">
        <v>1</v>
      </c>
      <c r="B6" s="55" t="s">
        <v>83</v>
      </c>
      <c r="C6" s="56">
        <v>4577878737.5984497</v>
      </c>
      <c r="D6" s="56">
        <v>0</v>
      </c>
      <c r="E6" s="56">
        <v>1037808456.0688</v>
      </c>
      <c r="F6" s="56">
        <v>168470615.80989999</v>
      </c>
      <c r="G6" s="57">
        <f>F6</f>
        <v>168470615.80989999</v>
      </c>
      <c r="H6" s="57">
        <f>F6-G6</f>
        <v>0</v>
      </c>
      <c r="I6" s="56">
        <v>4173601950.4025002</v>
      </c>
      <c r="J6" s="58">
        <f>C6+D6+E6+H6+I6</f>
        <v>9789289144.0697498</v>
      </c>
      <c r="L6" s="59"/>
    </row>
    <row r="7" spans="1:820">
      <c r="A7" s="54">
        <v>2</v>
      </c>
      <c r="B7" s="55" t="s">
        <v>84</v>
      </c>
      <c r="C7" s="56">
        <v>5774336994.82932</v>
      </c>
      <c r="D7" s="56">
        <v>0</v>
      </c>
      <c r="E7" s="56">
        <v>1309046417.5486</v>
      </c>
      <c r="F7" s="56">
        <v>212501502.37110001</v>
      </c>
      <c r="G7" s="56">
        <v>0</v>
      </c>
      <c r="H7" s="57">
        <f t="shared" ref="H7:H42" si="0">F7-G7</f>
        <v>212501502.37110001</v>
      </c>
      <c r="I7" s="56">
        <v>5266022236.0654001</v>
      </c>
      <c r="J7" s="58">
        <f t="shared" ref="J7:J42" si="1">C7+D7+E7+H7+I7</f>
        <v>12561907150.814421</v>
      </c>
    </row>
    <row r="8" spans="1:820">
      <c r="A8" s="54">
        <v>3</v>
      </c>
      <c r="B8" s="55" t="s">
        <v>85</v>
      </c>
      <c r="C8" s="56">
        <v>7691077561.1774797</v>
      </c>
      <c r="D8" s="56">
        <v>0</v>
      </c>
      <c r="E8" s="56">
        <v>1743572905.0039001</v>
      </c>
      <c r="F8" s="56">
        <v>283039513.98559999</v>
      </c>
      <c r="G8" s="56">
        <f>F8</f>
        <v>283039513.98559999</v>
      </c>
      <c r="H8" s="57">
        <f t="shared" si="0"/>
        <v>0</v>
      </c>
      <c r="I8" s="56">
        <v>8273333860.2024002</v>
      </c>
      <c r="J8" s="58">
        <f t="shared" si="1"/>
        <v>17707984326.383781</v>
      </c>
    </row>
    <row r="9" spans="1:820">
      <c r="A9" s="54">
        <v>4</v>
      </c>
      <c r="B9" s="55" t="s">
        <v>86</v>
      </c>
      <c r="C9" s="56">
        <v>5805542124.1426201</v>
      </c>
      <c r="D9" s="56">
        <v>0</v>
      </c>
      <c r="E9" s="56">
        <v>1316120643.1735001</v>
      </c>
      <c r="F9" s="56">
        <v>213649883.0194</v>
      </c>
      <c r="G9" s="56">
        <v>0</v>
      </c>
      <c r="H9" s="57">
        <f t="shared" si="0"/>
        <v>213649883.0194</v>
      </c>
      <c r="I9" s="56">
        <v>5544817492.1864004</v>
      </c>
      <c r="J9" s="58">
        <f t="shared" si="1"/>
        <v>12880130142.521919</v>
      </c>
    </row>
    <row r="10" spans="1:820">
      <c r="A10" s="54">
        <v>5</v>
      </c>
      <c r="B10" s="55" t="s">
        <v>87</v>
      </c>
      <c r="C10" s="56">
        <v>6590439155.2966995</v>
      </c>
      <c r="D10" s="56">
        <v>0</v>
      </c>
      <c r="E10" s="56">
        <v>1494057373.8659999</v>
      </c>
      <c r="F10" s="56">
        <v>242534895.8752</v>
      </c>
      <c r="G10" s="56">
        <v>0</v>
      </c>
      <c r="H10" s="57">
        <f t="shared" si="0"/>
        <v>242534895.8752</v>
      </c>
      <c r="I10" s="56">
        <v>5510725726.1019001</v>
      </c>
      <c r="J10" s="58">
        <f t="shared" si="1"/>
        <v>13837757151.139801</v>
      </c>
    </row>
    <row r="11" spans="1:820">
      <c r="A11" s="54">
        <v>6</v>
      </c>
      <c r="B11" s="55" t="s">
        <v>88</v>
      </c>
      <c r="C11" s="56">
        <v>2682549968.2446599</v>
      </c>
      <c r="D11" s="56">
        <v>0</v>
      </c>
      <c r="E11" s="56">
        <v>608136038.64310002</v>
      </c>
      <c r="F11" s="56">
        <v>98720580.206699997</v>
      </c>
      <c r="G11" s="56">
        <f>F11</f>
        <v>98720580.206699997</v>
      </c>
      <c r="H11" s="57">
        <f t="shared" si="0"/>
        <v>0</v>
      </c>
      <c r="I11" s="56">
        <v>4159574996.7105999</v>
      </c>
      <c r="J11" s="58">
        <f t="shared" si="1"/>
        <v>7450261003.5983601</v>
      </c>
    </row>
    <row r="12" spans="1:820">
      <c r="A12" s="54">
        <v>7</v>
      </c>
      <c r="B12" s="55" t="s">
        <v>89</v>
      </c>
      <c r="C12" s="56">
        <v>7171417794.8926201</v>
      </c>
      <c r="D12" s="56">
        <v>0</v>
      </c>
      <c r="E12" s="56">
        <v>1625765656.1357</v>
      </c>
      <c r="F12" s="56">
        <v>263915503.5309</v>
      </c>
      <c r="G12" s="57">
        <f>F12/2</f>
        <v>131957751.76545</v>
      </c>
      <c r="H12" s="57">
        <f t="shared" si="0"/>
        <v>131957751.76545</v>
      </c>
      <c r="I12" s="56">
        <v>6302617520.7831001</v>
      </c>
      <c r="J12" s="58">
        <f t="shared" si="1"/>
        <v>15231758723.57687</v>
      </c>
    </row>
    <row r="13" spans="1:820">
      <c r="A13" s="54">
        <v>8</v>
      </c>
      <c r="B13" s="55" t="s">
        <v>90</v>
      </c>
      <c r="C13" s="56">
        <v>7786010622.73874</v>
      </c>
      <c r="D13" s="56">
        <v>0</v>
      </c>
      <c r="E13" s="56">
        <v>1765094299.4528</v>
      </c>
      <c r="F13" s="56">
        <v>286533147.66549999</v>
      </c>
      <c r="G13" s="56">
        <v>0</v>
      </c>
      <c r="H13" s="57">
        <f t="shared" si="0"/>
        <v>286533147.66549999</v>
      </c>
      <c r="I13" s="56">
        <v>6822400061.0577002</v>
      </c>
      <c r="J13" s="58">
        <f t="shared" si="1"/>
        <v>16660038130.914742</v>
      </c>
    </row>
    <row r="14" spans="1:820">
      <c r="A14" s="54">
        <v>9</v>
      </c>
      <c r="B14" s="55" t="s">
        <v>91</v>
      </c>
      <c r="C14" s="56">
        <v>5019395821.0213604</v>
      </c>
      <c r="D14" s="56">
        <v>0</v>
      </c>
      <c r="E14" s="56">
        <v>1137900701.6127999</v>
      </c>
      <c r="F14" s="56">
        <v>184718895.6789</v>
      </c>
      <c r="G14" s="56">
        <f>F14</f>
        <v>184718895.6789</v>
      </c>
      <c r="H14" s="57">
        <f t="shared" si="0"/>
        <v>0</v>
      </c>
      <c r="I14" s="56">
        <v>4267582209.5510998</v>
      </c>
      <c r="J14" s="58">
        <f t="shared" si="1"/>
        <v>10424878732.185261</v>
      </c>
    </row>
    <row r="15" spans="1:820">
      <c r="A15" s="54">
        <v>10</v>
      </c>
      <c r="B15" s="55" t="s">
        <v>92</v>
      </c>
      <c r="C15" s="56">
        <v>6431635853.0216503</v>
      </c>
      <c r="D15" s="56">
        <v>0</v>
      </c>
      <c r="E15" s="56">
        <v>1458056549.1610999</v>
      </c>
      <c r="F15" s="56">
        <v>236690772.06549999</v>
      </c>
      <c r="G15" s="56">
        <f>F15</f>
        <v>236690772.06549999</v>
      </c>
      <c r="H15" s="57">
        <f t="shared" si="0"/>
        <v>0</v>
      </c>
      <c r="I15" s="56">
        <v>9047283527.2014008</v>
      </c>
      <c r="J15" s="58">
        <f t="shared" si="1"/>
        <v>16936975929.384151</v>
      </c>
    </row>
    <row r="16" spans="1:820">
      <c r="A16" s="54">
        <v>11</v>
      </c>
      <c r="B16" s="55" t="s">
        <v>93</v>
      </c>
      <c r="C16" s="56">
        <v>3713025541.5594201</v>
      </c>
      <c r="D16" s="56">
        <f>-38244163.0779</f>
        <v>-38244163.0779</v>
      </c>
      <c r="E16" s="56">
        <v>841745604.35210001</v>
      </c>
      <c r="F16" s="56">
        <v>136643134.37729999</v>
      </c>
      <c r="G16" s="56">
        <v>0</v>
      </c>
      <c r="H16" s="57">
        <f t="shared" si="0"/>
        <v>136643134.37729999</v>
      </c>
      <c r="I16" s="56">
        <v>3160302275.2002001</v>
      </c>
      <c r="J16" s="58">
        <f t="shared" si="1"/>
        <v>7813472392.4111204</v>
      </c>
    </row>
    <row r="17" spans="1:10">
      <c r="A17" s="54">
        <v>12</v>
      </c>
      <c r="B17" s="55" t="s">
        <v>94</v>
      </c>
      <c r="C17" s="56">
        <v>4921071954.6258202</v>
      </c>
      <c r="D17" s="56">
        <v>0</v>
      </c>
      <c r="E17" s="56">
        <v>1115610609.2302999</v>
      </c>
      <c r="F17" s="56">
        <v>181100476.91549999</v>
      </c>
      <c r="G17" s="56">
        <f>F17</f>
        <v>181100476.91549999</v>
      </c>
      <c r="H17" s="57">
        <f t="shared" si="0"/>
        <v>0</v>
      </c>
      <c r="I17" s="56">
        <v>4977101811.5438995</v>
      </c>
      <c r="J17" s="58">
        <f t="shared" si="1"/>
        <v>11013784375.400021</v>
      </c>
    </row>
    <row r="18" spans="1:10">
      <c r="A18" s="54">
        <v>13</v>
      </c>
      <c r="B18" s="55" t="s">
        <v>95</v>
      </c>
      <c r="C18" s="56">
        <v>3907509591.4458299</v>
      </c>
      <c r="D18" s="56">
        <v>0</v>
      </c>
      <c r="E18" s="56">
        <v>885835280.62179995</v>
      </c>
      <c r="F18" s="56">
        <v>143800346.16190001</v>
      </c>
      <c r="G18" s="56">
        <v>0</v>
      </c>
      <c r="H18" s="57">
        <f t="shared" si="0"/>
        <v>143800346.16190001</v>
      </c>
      <c r="I18" s="56">
        <v>4199481747.0777001</v>
      </c>
      <c r="J18" s="58">
        <f t="shared" si="1"/>
        <v>9136626965.30723</v>
      </c>
    </row>
    <row r="19" spans="1:10">
      <c r="A19" s="54">
        <v>14</v>
      </c>
      <c r="B19" s="55" t="s">
        <v>96</v>
      </c>
      <c r="C19" s="56">
        <v>4999882267.4867001</v>
      </c>
      <c r="D19" s="56">
        <v>0</v>
      </c>
      <c r="E19" s="56">
        <v>1133476964.7627001</v>
      </c>
      <c r="F19" s="56">
        <v>184000776.96759999</v>
      </c>
      <c r="G19" s="56">
        <v>0</v>
      </c>
      <c r="H19" s="57">
        <f t="shared" si="0"/>
        <v>184000776.96759999</v>
      </c>
      <c r="I19" s="56">
        <v>4246211031.5865002</v>
      </c>
      <c r="J19" s="58">
        <f t="shared" si="1"/>
        <v>10563571040.803501</v>
      </c>
    </row>
    <row r="20" spans="1:10">
      <c r="A20" s="54">
        <v>15</v>
      </c>
      <c r="B20" s="55" t="s">
        <v>97</v>
      </c>
      <c r="C20" s="56">
        <v>3425922821.73243</v>
      </c>
      <c r="D20" s="56">
        <v>0</v>
      </c>
      <c r="E20" s="56">
        <v>776659207.90579998</v>
      </c>
      <c r="F20" s="56">
        <v>126077460.8893</v>
      </c>
      <c r="G20" s="56">
        <f>F20/2</f>
        <v>63038730.444650002</v>
      </c>
      <c r="H20" s="57">
        <f t="shared" si="0"/>
        <v>63038730.444650002</v>
      </c>
      <c r="I20" s="56">
        <v>3440762712.6197</v>
      </c>
      <c r="J20" s="58">
        <f t="shared" si="1"/>
        <v>7706383472.7025795</v>
      </c>
    </row>
    <row r="21" spans="1:10">
      <c r="A21" s="54">
        <v>16</v>
      </c>
      <c r="B21" s="55" t="s">
        <v>98</v>
      </c>
      <c r="C21" s="56">
        <v>6700954452.9545603</v>
      </c>
      <c r="D21" s="56">
        <v>0</v>
      </c>
      <c r="E21" s="56">
        <v>1519111272.6276</v>
      </c>
      <c r="F21" s="56">
        <v>246601971.76730001</v>
      </c>
      <c r="G21" s="56">
        <f>F21</f>
        <v>246601971.76730001</v>
      </c>
      <c r="H21" s="57">
        <f t="shared" si="0"/>
        <v>0</v>
      </c>
      <c r="I21" s="56">
        <v>6306735561.8900003</v>
      </c>
      <c r="J21" s="58">
        <f t="shared" si="1"/>
        <v>14526801287.47216</v>
      </c>
    </row>
    <row r="22" spans="1:10">
      <c r="A22" s="54">
        <v>17</v>
      </c>
      <c r="B22" s="55" t="s">
        <v>99</v>
      </c>
      <c r="C22" s="56">
        <v>7039983569.02495</v>
      </c>
      <c r="D22" s="56">
        <v>0</v>
      </c>
      <c r="E22" s="56">
        <v>1595969421.0583</v>
      </c>
      <c r="F22" s="56">
        <v>259078589.70249999</v>
      </c>
      <c r="G22" s="56">
        <v>0</v>
      </c>
      <c r="H22" s="57">
        <f t="shared" si="0"/>
        <v>259078589.70249999</v>
      </c>
      <c r="I22" s="56">
        <v>6362946556.4877005</v>
      </c>
      <c r="J22" s="58">
        <f t="shared" si="1"/>
        <v>15257978136.273449</v>
      </c>
    </row>
    <row r="23" spans="1:10">
      <c r="A23" s="54">
        <v>18</v>
      </c>
      <c r="B23" s="55" t="s">
        <v>100</v>
      </c>
      <c r="C23" s="56">
        <v>7917128139.6725197</v>
      </c>
      <c r="D23" s="56">
        <v>0</v>
      </c>
      <c r="E23" s="56">
        <v>1794818736.3831</v>
      </c>
      <c r="F23" s="56">
        <v>291358406.28170002</v>
      </c>
      <c r="G23" s="56">
        <f>F23/2</f>
        <v>145679203.14085001</v>
      </c>
      <c r="H23" s="57">
        <f t="shared" si="0"/>
        <v>145679203.14085001</v>
      </c>
      <c r="I23" s="56">
        <v>6404128502.8421001</v>
      </c>
      <c r="J23" s="58">
        <f t="shared" si="1"/>
        <v>16261754582.03857</v>
      </c>
    </row>
    <row r="24" spans="1:10">
      <c r="A24" s="54">
        <v>19</v>
      </c>
      <c r="B24" s="55" t="s">
        <v>101</v>
      </c>
      <c r="C24" s="56">
        <v>12604746541.5966</v>
      </c>
      <c r="D24" s="56">
        <v>0</v>
      </c>
      <c r="E24" s="56">
        <v>2857505254.5700002</v>
      </c>
      <c r="F24" s="56">
        <v>463867553.8854</v>
      </c>
      <c r="G24" s="56">
        <v>0</v>
      </c>
      <c r="H24" s="57">
        <f t="shared" si="0"/>
        <v>463867553.8854</v>
      </c>
      <c r="I24" s="56">
        <v>12528375271.619499</v>
      </c>
      <c r="J24" s="58">
        <f t="shared" si="1"/>
        <v>28454494621.671501</v>
      </c>
    </row>
    <row r="25" spans="1:10">
      <c r="A25" s="54">
        <v>20</v>
      </c>
      <c r="B25" s="55" t="s">
        <v>102</v>
      </c>
      <c r="C25" s="56">
        <v>9596208092.9482498</v>
      </c>
      <c r="D25" s="56">
        <v>0</v>
      </c>
      <c r="E25" s="56">
        <v>2175467389.1342001</v>
      </c>
      <c r="F25" s="56">
        <v>353150264.46270001</v>
      </c>
      <c r="G25" s="56">
        <v>0</v>
      </c>
      <c r="H25" s="57">
        <f t="shared" si="0"/>
        <v>353150264.46270001</v>
      </c>
      <c r="I25" s="56">
        <v>8491831641.2212</v>
      </c>
      <c r="J25" s="58">
        <f t="shared" si="1"/>
        <v>20616657387.76635</v>
      </c>
    </row>
    <row r="26" spans="1:10">
      <c r="A26" s="54">
        <v>21</v>
      </c>
      <c r="B26" s="55" t="s">
        <v>103</v>
      </c>
      <c r="C26" s="56">
        <v>6056237355.3359203</v>
      </c>
      <c r="D26" s="56">
        <v>0</v>
      </c>
      <c r="E26" s="56">
        <v>1372953435.3338001</v>
      </c>
      <c r="F26" s="56">
        <v>222875723.71990001</v>
      </c>
      <c r="G26" s="57">
        <f>F26/2</f>
        <v>111437861.85995001</v>
      </c>
      <c r="H26" s="57">
        <f t="shared" si="0"/>
        <v>111437861.85995001</v>
      </c>
      <c r="I26" s="56">
        <v>4935563762.6529999</v>
      </c>
      <c r="J26" s="58">
        <f t="shared" si="1"/>
        <v>12476192415.182671</v>
      </c>
    </row>
    <row r="27" spans="1:10">
      <c r="A27" s="54">
        <v>22</v>
      </c>
      <c r="B27" s="55" t="s">
        <v>104</v>
      </c>
      <c r="C27" s="56">
        <v>6259564917.1310701</v>
      </c>
      <c r="D27" s="56">
        <v>0</v>
      </c>
      <c r="E27" s="56">
        <v>1419047942.2177</v>
      </c>
      <c r="F27" s="56">
        <v>230358385.7802</v>
      </c>
      <c r="G27" s="57">
        <f>F27/2</f>
        <v>115179192.8901</v>
      </c>
      <c r="H27" s="57">
        <f t="shared" si="0"/>
        <v>115179192.8901</v>
      </c>
      <c r="I27" s="56">
        <v>5072796204.4064999</v>
      </c>
      <c r="J27" s="58">
        <f t="shared" si="1"/>
        <v>12866588256.64537</v>
      </c>
    </row>
    <row r="28" spans="1:10">
      <c r="A28" s="54">
        <v>23</v>
      </c>
      <c r="B28" s="55" t="s">
        <v>105</v>
      </c>
      <c r="C28" s="56">
        <v>4429297836.4976702</v>
      </c>
      <c r="D28" s="56">
        <v>0</v>
      </c>
      <c r="E28" s="56">
        <v>1004125057.1824</v>
      </c>
      <c r="F28" s="56">
        <v>163002686.81040001</v>
      </c>
      <c r="G28" s="57">
        <f>F28/2</f>
        <v>81501343.405200005</v>
      </c>
      <c r="H28" s="57">
        <f t="shared" si="0"/>
        <v>81501343.405200005</v>
      </c>
      <c r="I28" s="56">
        <v>4160620669.5344</v>
      </c>
      <c r="J28" s="58">
        <f t="shared" si="1"/>
        <v>9675544906.6196709</v>
      </c>
    </row>
    <row r="29" spans="1:10">
      <c r="A29" s="54">
        <v>24</v>
      </c>
      <c r="B29" s="55" t="s">
        <v>106</v>
      </c>
      <c r="C29" s="56">
        <v>7545291980.5062103</v>
      </c>
      <c r="D29" s="56">
        <v>0</v>
      </c>
      <c r="E29" s="56">
        <v>1710523207.3020999</v>
      </c>
      <c r="F29" s="56">
        <v>277674455.63419998</v>
      </c>
      <c r="G29" s="56">
        <v>0</v>
      </c>
      <c r="H29" s="57">
        <f t="shared" si="0"/>
        <v>277674455.63419998</v>
      </c>
      <c r="I29" s="56">
        <v>44494830001.882301</v>
      </c>
      <c r="J29" s="58">
        <f t="shared" si="1"/>
        <v>54028319645.324814</v>
      </c>
    </row>
    <row r="30" spans="1:10">
      <c r="A30" s="54">
        <v>25</v>
      </c>
      <c r="B30" s="55" t="s">
        <v>107</v>
      </c>
      <c r="C30" s="56">
        <v>3951697079.0094199</v>
      </c>
      <c r="D30" s="56">
        <v>0</v>
      </c>
      <c r="E30" s="56">
        <v>895852616.35179996</v>
      </c>
      <c r="F30" s="56">
        <v>145426490.86070001</v>
      </c>
      <c r="G30" s="56">
        <f>F30/2</f>
        <v>72713245.430350006</v>
      </c>
      <c r="H30" s="57">
        <f t="shared" si="0"/>
        <v>72713245.430350006</v>
      </c>
      <c r="I30" s="56">
        <v>3057644134.8305998</v>
      </c>
      <c r="J30" s="58">
        <f t="shared" si="1"/>
        <v>7977907075.6221695</v>
      </c>
    </row>
    <row r="31" spans="1:10">
      <c r="A31" s="54">
        <v>26</v>
      </c>
      <c r="B31" s="55" t="s">
        <v>108</v>
      </c>
      <c r="C31" s="56">
        <v>7314286470.6609697</v>
      </c>
      <c r="D31" s="56">
        <v>0</v>
      </c>
      <c r="E31" s="56">
        <v>1658154089.3643</v>
      </c>
      <c r="F31" s="56">
        <v>269173216.80059999</v>
      </c>
      <c r="G31" s="57">
        <f>F31/2</f>
        <v>134586608.4003</v>
      </c>
      <c r="H31" s="57">
        <f t="shared" si="0"/>
        <v>134586608.4003</v>
      </c>
      <c r="I31" s="56">
        <v>5960473567.3718996</v>
      </c>
      <c r="J31" s="58">
        <f t="shared" si="1"/>
        <v>15067500735.79747</v>
      </c>
    </row>
    <row r="32" spans="1:10">
      <c r="A32" s="54">
        <v>27</v>
      </c>
      <c r="B32" s="55" t="s">
        <v>109</v>
      </c>
      <c r="C32" s="56">
        <v>5217985522.3731098</v>
      </c>
      <c r="D32" s="56">
        <v>0</v>
      </c>
      <c r="E32" s="56">
        <v>1182921132.0711</v>
      </c>
      <c r="F32" s="56">
        <v>192027199.63319999</v>
      </c>
      <c r="G32" s="56">
        <v>0</v>
      </c>
      <c r="H32" s="57">
        <f t="shared" si="0"/>
        <v>192027199.63319999</v>
      </c>
      <c r="I32" s="56">
        <v>5919880395.6329002</v>
      </c>
      <c r="J32" s="58">
        <f t="shared" si="1"/>
        <v>12512814249.71031</v>
      </c>
    </row>
    <row r="33" spans="1:11">
      <c r="A33" s="54">
        <v>28</v>
      </c>
      <c r="B33" s="55" t="s">
        <v>110</v>
      </c>
      <c r="C33" s="56">
        <v>4983506234.6076698</v>
      </c>
      <c r="D33" s="56">
        <v>0</v>
      </c>
      <c r="E33" s="56">
        <v>1129764506.1387999</v>
      </c>
      <c r="F33" s="56">
        <v>183398122.2227</v>
      </c>
      <c r="G33" s="56">
        <f>F33</f>
        <v>183398122.2227</v>
      </c>
      <c r="H33" s="57">
        <f t="shared" si="0"/>
        <v>0</v>
      </c>
      <c r="I33" s="56">
        <v>5002970363.3390999</v>
      </c>
      <c r="J33" s="58">
        <f t="shared" si="1"/>
        <v>11116241104.085569</v>
      </c>
    </row>
    <row r="34" spans="1:11">
      <c r="A34" s="54">
        <v>29</v>
      </c>
      <c r="B34" s="55" t="s">
        <v>111</v>
      </c>
      <c r="C34" s="56">
        <v>6750285193.8483496</v>
      </c>
      <c r="D34" s="56">
        <v>0</v>
      </c>
      <c r="E34" s="56">
        <v>1530294587.6472001</v>
      </c>
      <c r="F34" s="56">
        <v>248417393.44479999</v>
      </c>
      <c r="G34" s="56">
        <v>0</v>
      </c>
      <c r="H34" s="57">
        <f t="shared" si="0"/>
        <v>248417393.44479999</v>
      </c>
      <c r="I34" s="56">
        <v>6887623995.7772999</v>
      </c>
      <c r="J34" s="58">
        <f t="shared" si="1"/>
        <v>15416621170.717651</v>
      </c>
    </row>
    <row r="35" spans="1:11">
      <c r="A35" s="54">
        <v>30</v>
      </c>
      <c r="B35" s="55" t="s">
        <v>112</v>
      </c>
      <c r="C35" s="56">
        <v>8514958085.5409698</v>
      </c>
      <c r="D35" s="56">
        <v>0</v>
      </c>
      <c r="E35" s="56">
        <v>1930347222.1027</v>
      </c>
      <c r="F35" s="56">
        <v>313359159.22909999</v>
      </c>
      <c r="G35" s="56">
        <v>0</v>
      </c>
      <c r="H35" s="57">
        <f t="shared" si="0"/>
        <v>313359159.22909999</v>
      </c>
      <c r="I35" s="56">
        <v>13838334598.586201</v>
      </c>
      <c r="J35" s="58">
        <f t="shared" si="1"/>
        <v>24596999065.458969</v>
      </c>
    </row>
    <row r="36" spans="1:11">
      <c r="A36" s="54">
        <v>31</v>
      </c>
      <c r="B36" s="55" t="s">
        <v>113</v>
      </c>
      <c r="C36" s="56">
        <v>5337737834.9002895</v>
      </c>
      <c r="D36" s="56">
        <v>0</v>
      </c>
      <c r="E36" s="56">
        <v>1210069068.8552001</v>
      </c>
      <c r="F36" s="56">
        <v>196434207.1126</v>
      </c>
      <c r="G36" s="57">
        <f>F36/2</f>
        <v>98217103.556299999</v>
      </c>
      <c r="H36" s="57">
        <f t="shared" si="0"/>
        <v>98217103.556299999</v>
      </c>
      <c r="I36" s="56">
        <v>4593353497.8936996</v>
      </c>
      <c r="J36" s="58">
        <f t="shared" si="1"/>
        <v>11239377505.20549</v>
      </c>
    </row>
    <row r="37" spans="1:11">
      <c r="A37" s="54">
        <v>32</v>
      </c>
      <c r="B37" s="55" t="s">
        <v>114</v>
      </c>
      <c r="C37" s="56">
        <v>6616421953.9951496</v>
      </c>
      <c r="D37" s="56">
        <v>0</v>
      </c>
      <c r="E37" s="56">
        <v>1499947693.3232999</v>
      </c>
      <c r="F37" s="56">
        <v>243491089.41940001</v>
      </c>
      <c r="G37" s="56">
        <f>F37</f>
        <v>243491089.41940001</v>
      </c>
      <c r="H37" s="57">
        <f t="shared" si="0"/>
        <v>0</v>
      </c>
      <c r="I37" s="56">
        <v>15111020607.4582</v>
      </c>
      <c r="J37" s="58">
        <f t="shared" si="1"/>
        <v>23227390254.776649</v>
      </c>
    </row>
    <row r="38" spans="1:11">
      <c r="A38" s="54">
        <v>33</v>
      </c>
      <c r="B38" s="55" t="s">
        <v>115</v>
      </c>
      <c r="C38" s="56">
        <v>6663760970.5643702</v>
      </c>
      <c r="D38" s="56">
        <v>0</v>
      </c>
      <c r="E38" s="56">
        <v>1510679482.9826</v>
      </c>
      <c r="F38" s="56">
        <v>245233213.6067</v>
      </c>
      <c r="G38" s="56">
        <v>0</v>
      </c>
      <c r="H38" s="57">
        <f t="shared" si="0"/>
        <v>245233213.6067</v>
      </c>
      <c r="I38" s="56">
        <v>5870888313.7021999</v>
      </c>
      <c r="J38" s="58">
        <f t="shared" si="1"/>
        <v>14290561980.855869</v>
      </c>
    </row>
    <row r="39" spans="1:11">
      <c r="A39" s="54">
        <v>34</v>
      </c>
      <c r="B39" s="55" t="s">
        <v>116</v>
      </c>
      <c r="C39" s="56">
        <v>4994511141.4590302</v>
      </c>
      <c r="D39" s="56">
        <v>0</v>
      </c>
      <c r="E39" s="56">
        <v>1132259326.5664999</v>
      </c>
      <c r="F39" s="56">
        <v>183803114.04089999</v>
      </c>
      <c r="G39" s="57">
        <f>F39/2</f>
        <v>91901557.020449996</v>
      </c>
      <c r="H39" s="57">
        <f t="shared" si="0"/>
        <v>91901557.020449996</v>
      </c>
      <c r="I39" s="56">
        <v>3921036008.5521998</v>
      </c>
      <c r="J39" s="58">
        <f t="shared" si="1"/>
        <v>10139708033.598179</v>
      </c>
    </row>
    <row r="40" spans="1:11">
      <c r="A40" s="54">
        <v>35</v>
      </c>
      <c r="B40" s="55" t="s">
        <v>117</v>
      </c>
      <c r="C40" s="56">
        <v>5021543246.8474798</v>
      </c>
      <c r="D40" s="56">
        <v>0</v>
      </c>
      <c r="E40" s="56">
        <v>1138387524.6175001</v>
      </c>
      <c r="F40" s="56">
        <v>184797923.14410001</v>
      </c>
      <c r="G40" s="56">
        <v>0</v>
      </c>
      <c r="H40" s="57">
        <f t="shared" si="0"/>
        <v>184797923.14410001</v>
      </c>
      <c r="I40" s="56">
        <v>4398237276.9230003</v>
      </c>
      <c r="J40" s="58">
        <f t="shared" si="1"/>
        <v>10742965971.532082</v>
      </c>
    </row>
    <row r="41" spans="1:11">
      <c r="A41" s="54">
        <v>36</v>
      </c>
      <c r="B41" s="55" t="s">
        <v>118</v>
      </c>
      <c r="C41" s="56">
        <v>4537300004.3367004</v>
      </c>
      <c r="D41" s="56">
        <v>0</v>
      </c>
      <c r="E41" s="56">
        <v>1028609227.5767</v>
      </c>
      <c r="F41" s="56">
        <v>166977276.95739999</v>
      </c>
      <c r="G41" s="56">
        <v>0</v>
      </c>
      <c r="H41" s="57">
        <f t="shared" si="0"/>
        <v>166977276.95739999</v>
      </c>
      <c r="I41" s="56">
        <v>4304059161.2238998</v>
      </c>
      <c r="J41" s="58">
        <f t="shared" si="1"/>
        <v>10036945670.0947</v>
      </c>
    </row>
    <row r="42" spans="1:11">
      <c r="A42" s="54">
        <v>37</v>
      </c>
      <c r="B42" s="55" t="s">
        <v>926</v>
      </c>
      <c r="C42" s="56">
        <v>2003986035.3639801</v>
      </c>
      <c r="D42" s="56">
        <v>0</v>
      </c>
      <c r="E42" s="56">
        <v>454305099.05470002</v>
      </c>
      <c r="F42" s="56">
        <v>73748734.032700002</v>
      </c>
      <c r="G42" s="56">
        <v>0</v>
      </c>
      <c r="H42" s="57">
        <f t="shared" si="0"/>
        <v>73748734.032700002</v>
      </c>
      <c r="I42" s="56">
        <v>4465864212.9769001</v>
      </c>
      <c r="J42" s="58">
        <f t="shared" si="1"/>
        <v>6997904081.4282799</v>
      </c>
    </row>
    <row r="43" spans="1:11">
      <c r="A43" s="20"/>
      <c r="B43" s="20"/>
      <c r="C43" s="45">
        <f>SUM(C6:C42)</f>
        <v>220555089468.98907</v>
      </c>
      <c r="D43" s="45">
        <f t="shared" ref="D43:J43" si="2">SUM(D6:D42)</f>
        <v>-38244163.0779</v>
      </c>
      <c r="E43" s="45">
        <f t="shared" si="2"/>
        <v>50000000000.00061</v>
      </c>
      <c r="F43" s="45">
        <f t="shared" si="2"/>
        <v>8116652684.0695009</v>
      </c>
      <c r="G43" s="45">
        <f t="shared" si="2"/>
        <v>2872444635.9851003</v>
      </c>
      <c r="H43" s="45">
        <f t="shared" si="2"/>
        <v>5244208048.0844002</v>
      </c>
      <c r="I43" s="45">
        <f t="shared" si="2"/>
        <v>261481033465.09534</v>
      </c>
      <c r="J43" s="45">
        <f t="shared" si="2"/>
        <v>537242086819.09174</v>
      </c>
      <c r="K43" s="44"/>
    </row>
    <row r="45" spans="1:11">
      <c r="H45" s="43"/>
      <c r="J45" s="44"/>
    </row>
    <row r="46" spans="1:11">
      <c r="C46" s="43"/>
      <c r="D46" s="43"/>
      <c r="J46" s="44"/>
    </row>
    <row r="47" spans="1:11">
      <c r="K47" s="44"/>
    </row>
  </sheetData>
  <mergeCells count="3">
    <mergeCell ref="A1:J1"/>
    <mergeCell ref="A2:J2"/>
    <mergeCell ref="A3:J3"/>
  </mergeCells>
  <printOptions horizontalCentered="1"/>
  <pageMargins left="0.118110236220472" right="0.118110236220472" top="0.35433070866141703" bottom="0.35433070866141703" header="0.31496062992126" footer="0.31496062992126"/>
  <pageSetup paperSize="9" scale="52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49"/>
  <sheetViews>
    <sheetView zoomScale="96" zoomScaleNormal="96" workbookViewId="0">
      <selection activeCell="D4" sqref="D4"/>
    </sheetView>
  </sheetViews>
  <sheetFormatPr defaultColWidth="8.86328125" defaultRowHeight="17.649999999999999"/>
  <cols>
    <col min="1" max="1" width="8.86328125" style="29"/>
    <col min="2" max="2" width="20.1328125" style="29" customWidth="1"/>
    <col min="3" max="3" width="26.265625" style="29" customWidth="1"/>
    <col min="4" max="4" width="23.265625" style="29" customWidth="1"/>
    <col min="5" max="6" width="24.86328125" style="29" customWidth="1"/>
    <col min="7" max="7" width="19.59765625" style="29" customWidth="1"/>
    <col min="8" max="8" width="23" style="29" customWidth="1"/>
    <col min="9" max="9" width="21.73046875" style="29" customWidth="1"/>
    <col min="10" max="10" width="22.73046875" style="29" customWidth="1"/>
    <col min="11" max="16384" width="8.86328125" style="29"/>
  </cols>
  <sheetData>
    <row r="1" spans="1:10" ht="19.899999999999999">
      <c r="A1" s="161" t="s">
        <v>119</v>
      </c>
      <c r="B1" s="161"/>
      <c r="C1" s="161"/>
      <c r="D1" s="161"/>
      <c r="E1" s="161"/>
      <c r="F1" s="30"/>
    </row>
    <row r="2" spans="1:10" ht="19.899999999999999">
      <c r="A2" s="161" t="s">
        <v>59</v>
      </c>
      <c r="B2" s="161"/>
      <c r="C2" s="161"/>
      <c r="D2" s="161"/>
      <c r="E2" s="161"/>
      <c r="F2" s="30"/>
    </row>
    <row r="3" spans="1:10" ht="45.75" customHeight="1">
      <c r="A3" s="198" t="s">
        <v>946</v>
      </c>
      <c r="B3" s="198"/>
      <c r="C3" s="198"/>
      <c r="D3" s="198"/>
      <c r="E3" s="198"/>
      <c r="F3" s="31"/>
    </row>
    <row r="4" spans="1:10" ht="99" customHeight="1">
      <c r="A4" s="32" t="s">
        <v>947</v>
      </c>
      <c r="B4" s="33" t="s">
        <v>121</v>
      </c>
      <c r="C4" s="8" t="s">
        <v>948</v>
      </c>
      <c r="D4" s="8" t="s">
        <v>949</v>
      </c>
      <c r="E4" s="33" t="s">
        <v>944</v>
      </c>
      <c r="F4" s="34"/>
      <c r="G4" s="35"/>
      <c r="H4" s="36"/>
      <c r="I4" s="36"/>
    </row>
    <row r="5" spans="1:10">
      <c r="A5" s="37"/>
      <c r="B5" s="37"/>
      <c r="C5" s="144" t="s">
        <v>26</v>
      </c>
      <c r="D5" s="144" t="s">
        <v>26</v>
      </c>
      <c r="E5" s="144" t="s">
        <v>26</v>
      </c>
      <c r="F5" s="38"/>
    </row>
    <row r="6" spans="1:10">
      <c r="A6" s="39">
        <v>1</v>
      </c>
      <c r="B6" s="40" t="s">
        <v>83</v>
      </c>
      <c r="C6" s="41">
        <v>196064667.60479999</v>
      </c>
      <c r="D6" s="41">
        <v>44448003.461800002</v>
      </c>
      <c r="E6" s="42">
        <f>C6+D6</f>
        <v>240512671.06659999</v>
      </c>
      <c r="F6" s="43"/>
      <c r="G6" s="44"/>
      <c r="H6" s="44"/>
      <c r="I6" s="44"/>
      <c r="J6" s="44"/>
    </row>
    <row r="7" spans="1:10">
      <c r="A7" s="39">
        <v>2</v>
      </c>
      <c r="B7" s="40" t="s">
        <v>84</v>
      </c>
      <c r="C7" s="41">
        <v>208579089.79949999</v>
      </c>
      <c r="D7" s="41">
        <v>47285032.120899998</v>
      </c>
      <c r="E7" s="42">
        <f t="shared" ref="E7:E41" si="0">C7+D7</f>
        <v>255864121.92039999</v>
      </c>
      <c r="F7" s="43"/>
      <c r="G7" s="44"/>
      <c r="H7" s="44"/>
      <c r="I7" s="44"/>
      <c r="J7" s="44"/>
    </row>
    <row r="8" spans="1:10">
      <c r="A8" s="39">
        <v>3</v>
      </c>
      <c r="B8" s="40" t="s">
        <v>85</v>
      </c>
      <c r="C8" s="41">
        <v>210517398.889</v>
      </c>
      <c r="D8" s="41">
        <v>47724448.208400004</v>
      </c>
      <c r="E8" s="42">
        <f t="shared" si="0"/>
        <v>258241847.09740001</v>
      </c>
      <c r="F8" s="43"/>
      <c r="G8" s="44"/>
      <c r="H8" s="44"/>
      <c r="I8" s="44"/>
      <c r="J8" s="44"/>
    </row>
    <row r="9" spans="1:10">
      <c r="A9" s="39">
        <v>4</v>
      </c>
      <c r="B9" s="40" t="s">
        <v>86</v>
      </c>
      <c r="C9" s="41">
        <v>208188341.43059999</v>
      </c>
      <c r="D9" s="41">
        <v>47196449.180100001</v>
      </c>
      <c r="E9" s="42">
        <f t="shared" si="0"/>
        <v>255384790.61069998</v>
      </c>
      <c r="F9" s="43"/>
      <c r="G9" s="44"/>
      <c r="H9" s="44"/>
      <c r="I9" s="44"/>
      <c r="J9" s="44"/>
    </row>
    <row r="10" spans="1:10">
      <c r="A10" s="39">
        <v>5</v>
      </c>
      <c r="B10" s="40" t="s">
        <v>87</v>
      </c>
      <c r="C10" s="41">
        <v>250457549.8687</v>
      </c>
      <c r="D10" s="41">
        <v>56778909.630199999</v>
      </c>
      <c r="E10" s="42">
        <f t="shared" si="0"/>
        <v>307236459.4989</v>
      </c>
      <c r="F10" s="43"/>
      <c r="G10" s="44"/>
      <c r="H10" s="44"/>
      <c r="I10" s="44"/>
      <c r="J10" s="44"/>
    </row>
    <row r="11" spans="1:10">
      <c r="A11" s="39">
        <v>6</v>
      </c>
      <c r="B11" s="40" t="s">
        <v>88</v>
      </c>
      <c r="C11" s="41">
        <v>185267398.79100001</v>
      </c>
      <c r="D11" s="41">
        <v>42000254.7293</v>
      </c>
      <c r="E11" s="42">
        <f t="shared" si="0"/>
        <v>227267653.5203</v>
      </c>
      <c r="F11" s="43"/>
      <c r="G11" s="44"/>
      <c r="H11" s="44"/>
      <c r="I11" s="44"/>
      <c r="J11" s="44"/>
    </row>
    <row r="12" spans="1:10" ht="30" customHeight="1">
      <c r="A12" s="39">
        <v>7</v>
      </c>
      <c r="B12" s="40" t="s">
        <v>89</v>
      </c>
      <c r="C12" s="41">
        <v>234820143.58790001</v>
      </c>
      <c r="D12" s="41">
        <v>53233898.196000002</v>
      </c>
      <c r="E12" s="42">
        <f t="shared" si="0"/>
        <v>288054041.78390002</v>
      </c>
      <c r="F12" s="43"/>
      <c r="G12" s="44"/>
      <c r="H12" s="44"/>
      <c r="I12" s="44"/>
      <c r="J12" s="44"/>
    </row>
    <row r="13" spans="1:10">
      <c r="A13" s="39">
        <v>8</v>
      </c>
      <c r="B13" s="40" t="s">
        <v>90</v>
      </c>
      <c r="C13" s="41">
        <v>260147066.07769999</v>
      </c>
      <c r="D13" s="41">
        <v>58975530.0374</v>
      </c>
      <c r="E13" s="42">
        <f t="shared" si="0"/>
        <v>319122596.11509997</v>
      </c>
      <c r="F13" s="43"/>
      <c r="G13" s="44"/>
      <c r="H13" s="44"/>
      <c r="I13" s="44"/>
      <c r="J13" s="44"/>
    </row>
    <row r="14" spans="1:10">
      <c r="A14" s="39">
        <v>9</v>
      </c>
      <c r="B14" s="40" t="s">
        <v>91</v>
      </c>
      <c r="C14" s="41">
        <v>210553300.8141</v>
      </c>
      <c r="D14" s="41">
        <v>47732587.200999998</v>
      </c>
      <c r="E14" s="42">
        <f t="shared" si="0"/>
        <v>258285888.0151</v>
      </c>
      <c r="F14" s="43"/>
      <c r="G14" s="44"/>
      <c r="H14" s="44"/>
      <c r="I14" s="44"/>
      <c r="J14" s="44"/>
    </row>
    <row r="15" spans="1:10">
      <c r="A15" s="39">
        <v>10</v>
      </c>
      <c r="B15" s="40" t="s">
        <v>92</v>
      </c>
      <c r="C15" s="41">
        <v>212600083.0138</v>
      </c>
      <c r="D15" s="41">
        <v>48196594.221799999</v>
      </c>
      <c r="E15" s="42">
        <f t="shared" si="0"/>
        <v>260796677.23559999</v>
      </c>
      <c r="F15" s="43"/>
      <c r="G15" s="44"/>
      <c r="H15" s="44"/>
      <c r="I15" s="44"/>
      <c r="J15" s="44"/>
    </row>
    <row r="16" spans="1:10">
      <c r="A16" s="39">
        <v>11</v>
      </c>
      <c r="B16" s="40" t="s">
        <v>93</v>
      </c>
      <c r="C16" s="41">
        <v>187324437.5264</v>
      </c>
      <c r="D16" s="41">
        <v>42466586.914300002</v>
      </c>
      <c r="E16" s="42">
        <f t="shared" si="0"/>
        <v>229791024.44069999</v>
      </c>
      <c r="F16" s="43"/>
      <c r="G16" s="44"/>
      <c r="H16" s="44"/>
      <c r="I16" s="44"/>
      <c r="J16" s="44"/>
    </row>
    <row r="17" spans="1:10">
      <c r="A17" s="39">
        <v>12</v>
      </c>
      <c r="B17" s="40" t="s">
        <v>94</v>
      </c>
      <c r="C17" s="41">
        <v>195784059.5923</v>
      </c>
      <c r="D17" s="41">
        <v>44384389.420299999</v>
      </c>
      <c r="E17" s="42">
        <f t="shared" si="0"/>
        <v>240168449.0126</v>
      </c>
      <c r="F17" s="43"/>
      <c r="G17" s="44"/>
      <c r="H17" s="44"/>
      <c r="I17" s="44"/>
      <c r="J17" s="44"/>
    </row>
    <row r="18" spans="1:10">
      <c r="A18" s="39">
        <v>13</v>
      </c>
      <c r="B18" s="40" t="s">
        <v>95</v>
      </c>
      <c r="C18" s="41">
        <v>187218731.43799999</v>
      </c>
      <c r="D18" s="41">
        <v>42442623.266800001</v>
      </c>
      <c r="E18" s="42">
        <f t="shared" si="0"/>
        <v>229661354.70480001</v>
      </c>
      <c r="F18" s="43"/>
      <c r="G18" s="44"/>
      <c r="H18" s="44"/>
      <c r="I18" s="44"/>
      <c r="J18" s="44"/>
    </row>
    <row r="19" spans="1:10">
      <c r="A19" s="39">
        <v>14</v>
      </c>
      <c r="B19" s="40" t="s">
        <v>96</v>
      </c>
      <c r="C19" s="41">
        <v>210571472.98550001</v>
      </c>
      <c r="D19" s="41">
        <v>47736706.845600002</v>
      </c>
      <c r="E19" s="42">
        <f t="shared" si="0"/>
        <v>258308179.83110002</v>
      </c>
      <c r="F19" s="43"/>
      <c r="G19" s="44"/>
      <c r="H19" s="44"/>
      <c r="I19" s="44"/>
      <c r="J19" s="44"/>
    </row>
    <row r="20" spans="1:10">
      <c r="A20" s="39">
        <v>15</v>
      </c>
      <c r="B20" s="40" t="s">
        <v>97</v>
      </c>
      <c r="C20" s="41">
        <v>197223310.64789999</v>
      </c>
      <c r="D20" s="41">
        <v>44710668.6866</v>
      </c>
      <c r="E20" s="42">
        <f t="shared" si="0"/>
        <v>241933979.33449998</v>
      </c>
      <c r="F20" s="43"/>
      <c r="G20" s="44"/>
      <c r="H20" s="44"/>
      <c r="I20" s="44"/>
      <c r="J20" s="44"/>
    </row>
    <row r="21" spans="1:10">
      <c r="A21" s="39">
        <v>16</v>
      </c>
      <c r="B21" s="40" t="s">
        <v>98</v>
      </c>
      <c r="C21" s="41">
        <v>217699900.83649999</v>
      </c>
      <c r="D21" s="41">
        <v>49352726.649999999</v>
      </c>
      <c r="E21" s="42">
        <f t="shared" si="0"/>
        <v>267052627.48649999</v>
      </c>
      <c r="F21" s="43"/>
      <c r="G21" s="44"/>
      <c r="H21" s="44"/>
      <c r="I21" s="44"/>
      <c r="J21" s="44"/>
    </row>
    <row r="22" spans="1:10">
      <c r="A22" s="39">
        <v>17</v>
      </c>
      <c r="B22" s="40" t="s">
        <v>99</v>
      </c>
      <c r="C22" s="41">
        <v>234156438.10879999</v>
      </c>
      <c r="D22" s="41">
        <v>53083435.6787</v>
      </c>
      <c r="E22" s="42">
        <f t="shared" si="0"/>
        <v>287239873.78750002</v>
      </c>
      <c r="F22" s="43"/>
      <c r="G22" s="44"/>
      <c r="H22" s="44"/>
      <c r="I22" s="44"/>
      <c r="J22" s="44"/>
    </row>
    <row r="23" spans="1:10">
      <c r="A23" s="39">
        <v>18</v>
      </c>
      <c r="B23" s="40" t="s">
        <v>100</v>
      </c>
      <c r="C23" s="41">
        <v>274341502.08310002</v>
      </c>
      <c r="D23" s="41">
        <v>62193419.055500001</v>
      </c>
      <c r="E23" s="42">
        <f t="shared" si="0"/>
        <v>336534921.13859999</v>
      </c>
      <c r="F23" s="43"/>
      <c r="G23" s="44"/>
      <c r="H23" s="44"/>
      <c r="I23" s="44"/>
      <c r="J23" s="44"/>
    </row>
    <row r="24" spans="1:10">
      <c r="A24" s="39">
        <v>19</v>
      </c>
      <c r="B24" s="40" t="s">
        <v>101</v>
      </c>
      <c r="C24" s="41">
        <v>332120930.67760003</v>
      </c>
      <c r="D24" s="41">
        <v>75292057.752399996</v>
      </c>
      <c r="E24" s="42">
        <f t="shared" si="0"/>
        <v>407412988.43000001</v>
      </c>
      <c r="F24" s="43"/>
      <c r="G24" s="44"/>
      <c r="H24" s="44"/>
      <c r="I24" s="44"/>
      <c r="J24" s="44"/>
    </row>
    <row r="25" spans="1:10">
      <c r="A25" s="39">
        <v>20</v>
      </c>
      <c r="B25" s="40" t="s">
        <v>102</v>
      </c>
      <c r="C25" s="41">
        <v>257384269.12900001</v>
      </c>
      <c r="D25" s="41">
        <v>58349201.949699998</v>
      </c>
      <c r="E25" s="42">
        <f t="shared" si="0"/>
        <v>315733471.07870001</v>
      </c>
      <c r="F25" s="43"/>
      <c r="G25" s="44"/>
      <c r="H25" s="44"/>
      <c r="I25" s="44"/>
      <c r="J25" s="44"/>
    </row>
    <row r="26" spans="1:10">
      <c r="A26" s="39">
        <v>21</v>
      </c>
      <c r="B26" s="40" t="s">
        <v>103</v>
      </c>
      <c r="C26" s="41">
        <v>221094371.28490001</v>
      </c>
      <c r="D26" s="41">
        <v>50122255.581900001</v>
      </c>
      <c r="E26" s="42">
        <f t="shared" si="0"/>
        <v>271216626.86680001</v>
      </c>
      <c r="F26" s="43"/>
      <c r="G26" s="44"/>
      <c r="H26" s="44"/>
      <c r="I26" s="44"/>
      <c r="J26" s="44"/>
    </row>
    <row r="27" spans="1:10">
      <c r="A27" s="39">
        <v>22</v>
      </c>
      <c r="B27" s="40" t="s">
        <v>104</v>
      </c>
      <c r="C27" s="41">
        <v>231419060.4659</v>
      </c>
      <c r="D27" s="41">
        <v>52462870.166199997</v>
      </c>
      <c r="E27" s="42">
        <f t="shared" si="0"/>
        <v>283881930.63209999</v>
      </c>
      <c r="F27" s="43"/>
      <c r="G27" s="44"/>
      <c r="H27" s="44"/>
      <c r="I27" s="44"/>
      <c r="J27" s="44"/>
    </row>
    <row r="28" spans="1:10">
      <c r="A28" s="39">
        <v>23</v>
      </c>
      <c r="B28" s="40" t="s">
        <v>105</v>
      </c>
      <c r="C28" s="41">
        <v>186384037.97889999</v>
      </c>
      <c r="D28" s="41">
        <v>42253397.649499997</v>
      </c>
      <c r="E28" s="42">
        <f t="shared" si="0"/>
        <v>228637435.62839997</v>
      </c>
      <c r="F28" s="43"/>
      <c r="G28" s="44"/>
      <c r="H28" s="44"/>
      <c r="I28" s="44"/>
      <c r="J28" s="44"/>
    </row>
    <row r="29" spans="1:10">
      <c r="A29" s="39">
        <v>24</v>
      </c>
      <c r="B29" s="40" t="s">
        <v>106</v>
      </c>
      <c r="C29" s="41">
        <v>280497671.6117</v>
      </c>
      <c r="D29" s="41">
        <v>63589027.1875</v>
      </c>
      <c r="E29" s="42">
        <f t="shared" si="0"/>
        <v>344086698.7992</v>
      </c>
      <c r="F29" s="43"/>
      <c r="G29" s="44"/>
      <c r="H29" s="44"/>
      <c r="I29" s="44"/>
      <c r="J29" s="44"/>
    </row>
    <row r="30" spans="1:10">
      <c r="A30" s="39">
        <v>25</v>
      </c>
      <c r="B30" s="40" t="s">
        <v>107</v>
      </c>
      <c r="C30" s="41">
        <v>193094263.83970001</v>
      </c>
      <c r="D30" s="41">
        <v>43774610.756999999</v>
      </c>
      <c r="E30" s="42">
        <f t="shared" si="0"/>
        <v>236868874.59670001</v>
      </c>
      <c r="F30" s="43"/>
      <c r="G30" s="44"/>
      <c r="H30" s="44"/>
      <c r="I30" s="44"/>
      <c r="J30" s="44"/>
    </row>
    <row r="31" spans="1:10">
      <c r="A31" s="39">
        <v>26</v>
      </c>
      <c r="B31" s="40" t="s">
        <v>108</v>
      </c>
      <c r="C31" s="41">
        <v>248020984.56979999</v>
      </c>
      <c r="D31" s="41">
        <v>56226538.495899998</v>
      </c>
      <c r="E31" s="42">
        <f t="shared" si="0"/>
        <v>304247523.06569999</v>
      </c>
      <c r="F31" s="43"/>
      <c r="G31" s="44"/>
      <c r="H31" s="44"/>
      <c r="I31" s="44"/>
      <c r="J31" s="44"/>
    </row>
    <row r="32" spans="1:10">
      <c r="A32" s="39">
        <v>27</v>
      </c>
      <c r="B32" s="40" t="s">
        <v>109</v>
      </c>
      <c r="C32" s="41">
        <v>194528375.27790001</v>
      </c>
      <c r="D32" s="41">
        <v>44099724.8684</v>
      </c>
      <c r="E32" s="42">
        <f t="shared" si="0"/>
        <v>238628100.14630002</v>
      </c>
      <c r="F32" s="43"/>
      <c r="G32" s="44"/>
      <c r="H32" s="44"/>
      <c r="I32" s="44"/>
      <c r="J32" s="44"/>
    </row>
    <row r="33" spans="1:10">
      <c r="A33" s="39">
        <v>28</v>
      </c>
      <c r="B33" s="40" t="s">
        <v>110</v>
      </c>
      <c r="C33" s="41">
        <v>194913757.77520001</v>
      </c>
      <c r="D33" s="41">
        <v>44187091.362199999</v>
      </c>
      <c r="E33" s="42">
        <f t="shared" si="0"/>
        <v>239100849.1374</v>
      </c>
      <c r="F33" s="43"/>
      <c r="G33" s="44"/>
      <c r="H33" s="44"/>
      <c r="I33" s="44"/>
      <c r="J33" s="44"/>
    </row>
    <row r="34" spans="1:10">
      <c r="A34" s="39">
        <v>29</v>
      </c>
      <c r="B34" s="40" t="s">
        <v>111</v>
      </c>
      <c r="C34" s="41">
        <v>190962283.49860001</v>
      </c>
      <c r="D34" s="41">
        <v>43291289.2553</v>
      </c>
      <c r="E34" s="42">
        <f t="shared" si="0"/>
        <v>234253572.75389999</v>
      </c>
      <c r="F34" s="43"/>
      <c r="G34" s="44"/>
      <c r="H34" s="44"/>
      <c r="I34" s="44"/>
      <c r="J34" s="44"/>
    </row>
    <row r="35" spans="1:10">
      <c r="A35" s="39">
        <v>30</v>
      </c>
      <c r="B35" s="40" t="s">
        <v>112</v>
      </c>
      <c r="C35" s="41">
        <v>234846088.4174</v>
      </c>
      <c r="D35" s="41">
        <v>53239779.907799996</v>
      </c>
      <c r="E35" s="42">
        <f t="shared" si="0"/>
        <v>288085868.32520002</v>
      </c>
      <c r="F35" s="43"/>
      <c r="G35" s="44"/>
      <c r="H35" s="44"/>
      <c r="I35" s="44"/>
      <c r="J35" s="44"/>
    </row>
    <row r="36" spans="1:10">
      <c r="A36" s="39">
        <v>31</v>
      </c>
      <c r="B36" s="40" t="s">
        <v>113</v>
      </c>
      <c r="C36" s="41">
        <v>218649447.40810001</v>
      </c>
      <c r="D36" s="41">
        <v>49567989.551899999</v>
      </c>
      <c r="E36" s="42">
        <f t="shared" si="0"/>
        <v>268217436.96000001</v>
      </c>
      <c r="F36" s="43"/>
      <c r="G36" s="44"/>
      <c r="H36" s="44"/>
      <c r="I36" s="44"/>
      <c r="J36" s="44"/>
    </row>
    <row r="37" spans="1:10">
      <c r="A37" s="39">
        <v>32</v>
      </c>
      <c r="B37" s="40" t="s">
        <v>114</v>
      </c>
      <c r="C37" s="41">
        <v>225813141.60280001</v>
      </c>
      <c r="D37" s="41">
        <v>51192004.262199998</v>
      </c>
      <c r="E37" s="42">
        <f t="shared" si="0"/>
        <v>277005145.86500001</v>
      </c>
      <c r="F37" s="43"/>
      <c r="G37" s="44"/>
      <c r="H37" s="44"/>
      <c r="I37" s="44"/>
      <c r="J37" s="44"/>
    </row>
    <row r="38" spans="1:10">
      <c r="A38" s="39">
        <v>33</v>
      </c>
      <c r="B38" s="40" t="s">
        <v>115</v>
      </c>
      <c r="C38" s="41">
        <v>230760530.7872</v>
      </c>
      <c r="D38" s="41">
        <v>52313581.0066</v>
      </c>
      <c r="E38" s="42">
        <f t="shared" si="0"/>
        <v>283074111.7938</v>
      </c>
      <c r="F38" s="43"/>
      <c r="G38" s="44"/>
      <c r="H38" s="44"/>
      <c r="I38" s="44"/>
      <c r="J38" s="44"/>
    </row>
    <row r="39" spans="1:10">
      <c r="A39" s="39">
        <v>34</v>
      </c>
      <c r="B39" s="40" t="s">
        <v>116</v>
      </c>
      <c r="C39" s="41">
        <v>201694345.2942</v>
      </c>
      <c r="D39" s="41">
        <v>45724255.509099998</v>
      </c>
      <c r="E39" s="42">
        <f t="shared" si="0"/>
        <v>247418600.80329999</v>
      </c>
      <c r="F39" s="43"/>
      <c r="G39" s="44"/>
      <c r="H39" s="44"/>
      <c r="I39" s="44"/>
      <c r="J39" s="44"/>
    </row>
    <row r="40" spans="1:10">
      <c r="A40" s="39">
        <v>35</v>
      </c>
      <c r="B40" s="40" t="s">
        <v>117</v>
      </c>
      <c r="C40" s="41">
        <v>207920978.59819999</v>
      </c>
      <c r="D40" s="41">
        <v>47135837.830499999</v>
      </c>
      <c r="E40" s="42">
        <f t="shared" si="0"/>
        <v>255056816.4287</v>
      </c>
      <c r="F40" s="43"/>
      <c r="G40" s="44"/>
      <c r="H40" s="44"/>
      <c r="I40" s="44"/>
      <c r="J40" s="44"/>
    </row>
    <row r="41" spans="1:10">
      <c r="A41" s="39">
        <v>36</v>
      </c>
      <c r="B41" s="40" t="s">
        <v>118</v>
      </c>
      <c r="C41" s="41">
        <v>208363789.57080001</v>
      </c>
      <c r="D41" s="41">
        <v>47236223.401699997</v>
      </c>
      <c r="E41" s="42">
        <f t="shared" si="0"/>
        <v>255600012.9725</v>
      </c>
      <c r="F41" s="43"/>
      <c r="G41" s="44"/>
      <c r="H41" s="44"/>
      <c r="I41" s="44"/>
      <c r="J41" s="44"/>
    </row>
    <row r="42" spans="1:10">
      <c r="A42" s="199" t="s">
        <v>25</v>
      </c>
      <c r="B42" s="200"/>
      <c r="C42" s="45">
        <f>SUM(C6:C41)</f>
        <v>7939983220.8835001</v>
      </c>
      <c r="D42" s="45">
        <f t="shared" ref="D42:E42" si="1">SUM(D6:D41)</f>
        <v>1800000000.0004995</v>
      </c>
      <c r="E42" s="45">
        <f t="shared" si="1"/>
        <v>9739983220.8840008</v>
      </c>
      <c r="F42" s="46"/>
    </row>
    <row r="44" spans="1:10">
      <c r="E44" s="44"/>
    </row>
    <row r="47" spans="1:10">
      <c r="C47" s="47"/>
    </row>
    <row r="49" spans="3:3">
      <c r="C49" s="44"/>
    </row>
  </sheetData>
  <mergeCells count="4">
    <mergeCell ref="A1:E1"/>
    <mergeCell ref="A2:E2"/>
    <mergeCell ref="A3:E3"/>
    <mergeCell ref="A42:B4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43"/>
  <sheetViews>
    <sheetView workbookViewId="0">
      <selection activeCell="D5" sqref="D5"/>
    </sheetView>
  </sheetViews>
  <sheetFormatPr defaultColWidth="9" defaultRowHeight="12.75"/>
  <cols>
    <col min="1" max="1" width="5" customWidth="1"/>
    <col min="2" max="2" width="25.3984375" customWidth="1"/>
    <col min="3" max="5" width="22" customWidth="1"/>
  </cols>
  <sheetData>
    <row r="1" spans="1:5" ht="19.899999999999999">
      <c r="A1" s="161" t="s">
        <v>17</v>
      </c>
      <c r="B1" s="161"/>
      <c r="C1" s="161"/>
      <c r="D1" s="161"/>
      <c r="E1" s="161"/>
    </row>
    <row r="2" spans="1:5" ht="19.899999999999999">
      <c r="A2" s="161" t="s">
        <v>59</v>
      </c>
      <c r="B2" s="161"/>
      <c r="C2" s="161"/>
      <c r="D2" s="161"/>
      <c r="E2" s="161"/>
    </row>
    <row r="3" spans="1:5" ht="35.450000000000003" customHeight="1">
      <c r="A3" s="201" t="s">
        <v>950</v>
      </c>
      <c r="B3" s="201"/>
      <c r="C3" s="201"/>
      <c r="D3" s="201"/>
      <c r="E3" s="201"/>
    </row>
    <row r="4" spans="1:5" ht="82.5">
      <c r="A4" s="22" t="s">
        <v>947</v>
      </c>
      <c r="B4" s="22" t="s">
        <v>951</v>
      </c>
      <c r="C4" s="23" t="s">
        <v>948</v>
      </c>
      <c r="D4" s="8" t="s">
        <v>949</v>
      </c>
      <c r="E4" s="4" t="s">
        <v>944</v>
      </c>
    </row>
    <row r="5" spans="1:5" ht="15">
      <c r="A5" s="24"/>
      <c r="B5" s="24"/>
      <c r="C5" s="144" t="s">
        <v>26</v>
      </c>
      <c r="D5" s="144" t="s">
        <v>26</v>
      </c>
      <c r="E5" s="144" t="s">
        <v>26</v>
      </c>
    </row>
    <row r="6" spans="1:5" ht="17.649999999999999">
      <c r="A6" s="25">
        <v>1</v>
      </c>
      <c r="B6" s="26" t="s">
        <v>952</v>
      </c>
      <c r="C6" s="27">
        <v>137336362.1279</v>
      </c>
      <c r="D6" s="27">
        <v>31134253.682</v>
      </c>
      <c r="E6" s="28">
        <f>SUM(C6:D6)</f>
        <v>168470615.80990002</v>
      </c>
    </row>
    <row r="7" spans="1:5" ht="17.649999999999999">
      <c r="A7" s="25">
        <v>2</v>
      </c>
      <c r="B7" s="26" t="s">
        <v>953</v>
      </c>
      <c r="C7" s="27">
        <v>173230109.8448</v>
      </c>
      <c r="D7" s="27">
        <v>39271392.526299998</v>
      </c>
      <c r="E7" s="28">
        <f t="shared" ref="E7:E42" si="0">SUM(C7:D7)</f>
        <v>212501502.37110001</v>
      </c>
    </row>
    <row r="8" spans="1:5" ht="17.649999999999999">
      <c r="A8" s="25">
        <v>3</v>
      </c>
      <c r="B8" s="26" t="s">
        <v>954</v>
      </c>
      <c r="C8" s="27">
        <v>230732326.83539999</v>
      </c>
      <c r="D8" s="27">
        <v>52307187.150200002</v>
      </c>
      <c r="E8" s="28">
        <f t="shared" si="0"/>
        <v>283039513.98559999</v>
      </c>
    </row>
    <row r="9" spans="1:5" ht="17.649999999999999">
      <c r="A9" s="25">
        <v>4</v>
      </c>
      <c r="B9" s="26" t="s">
        <v>955</v>
      </c>
      <c r="C9" s="27">
        <v>174166263.72409999</v>
      </c>
      <c r="D9" s="27">
        <v>39483619.295299999</v>
      </c>
      <c r="E9" s="28">
        <f t="shared" si="0"/>
        <v>213649883.0194</v>
      </c>
    </row>
    <row r="10" spans="1:5" ht="17.649999999999999">
      <c r="A10" s="25">
        <v>5</v>
      </c>
      <c r="B10" s="26" t="s">
        <v>956</v>
      </c>
      <c r="C10" s="27">
        <v>197713174.6591</v>
      </c>
      <c r="D10" s="27">
        <v>44821721.2161</v>
      </c>
      <c r="E10" s="28">
        <f t="shared" si="0"/>
        <v>242534895.8752</v>
      </c>
    </row>
    <row r="11" spans="1:5" ht="17.649999999999999">
      <c r="A11" s="25">
        <v>6</v>
      </c>
      <c r="B11" s="26" t="s">
        <v>957</v>
      </c>
      <c r="C11" s="27">
        <v>80476499.047399998</v>
      </c>
      <c r="D11" s="27">
        <v>18244081.159299999</v>
      </c>
      <c r="E11" s="28">
        <f t="shared" si="0"/>
        <v>98720580.206699997</v>
      </c>
    </row>
    <row r="12" spans="1:5" ht="17.649999999999999">
      <c r="A12" s="25">
        <v>7</v>
      </c>
      <c r="B12" s="26" t="s">
        <v>958</v>
      </c>
      <c r="C12" s="27">
        <v>215142533.84689999</v>
      </c>
      <c r="D12" s="27">
        <v>48772969.684</v>
      </c>
      <c r="E12" s="28">
        <f t="shared" si="0"/>
        <v>263915503.5309</v>
      </c>
    </row>
    <row r="13" spans="1:5" ht="17.649999999999999">
      <c r="A13" s="25">
        <v>8</v>
      </c>
      <c r="B13" s="26" t="s">
        <v>959</v>
      </c>
      <c r="C13" s="27">
        <v>233580318.6823</v>
      </c>
      <c r="D13" s="27">
        <v>52952828.983199999</v>
      </c>
      <c r="E13" s="28">
        <f t="shared" si="0"/>
        <v>286533147.66549999</v>
      </c>
    </row>
    <row r="14" spans="1:5" ht="17.649999999999999">
      <c r="A14" s="25">
        <v>9</v>
      </c>
      <c r="B14" s="26" t="s">
        <v>960</v>
      </c>
      <c r="C14" s="27">
        <v>150581874.63060001</v>
      </c>
      <c r="D14" s="27">
        <v>34137021.048299998</v>
      </c>
      <c r="E14" s="28">
        <f t="shared" si="0"/>
        <v>184718895.6789</v>
      </c>
    </row>
    <row r="15" spans="1:5" ht="17.649999999999999">
      <c r="A15" s="25">
        <v>10</v>
      </c>
      <c r="B15" s="26" t="s">
        <v>961</v>
      </c>
      <c r="C15" s="27">
        <v>192949075.5907</v>
      </c>
      <c r="D15" s="27">
        <v>43741696.474799998</v>
      </c>
      <c r="E15" s="28">
        <f t="shared" si="0"/>
        <v>236690772.06549999</v>
      </c>
    </row>
    <row r="16" spans="1:5" ht="17.649999999999999">
      <c r="A16" s="25">
        <v>11</v>
      </c>
      <c r="B16" s="26" t="s">
        <v>962</v>
      </c>
      <c r="C16" s="27">
        <v>111390766.2467</v>
      </c>
      <c r="D16" s="27">
        <v>25252368.130600002</v>
      </c>
      <c r="E16" s="28">
        <f t="shared" si="0"/>
        <v>136643134.37729999</v>
      </c>
    </row>
    <row r="17" spans="1:5" ht="17.649999999999999">
      <c r="A17" s="25">
        <v>12</v>
      </c>
      <c r="B17" s="26" t="s">
        <v>963</v>
      </c>
      <c r="C17" s="27">
        <v>147632158.63870001</v>
      </c>
      <c r="D17" s="27">
        <v>33468318.276799999</v>
      </c>
      <c r="E17" s="28">
        <f t="shared" si="0"/>
        <v>181100476.91550002</v>
      </c>
    </row>
    <row r="18" spans="1:5" ht="17.649999999999999">
      <c r="A18" s="25">
        <v>13</v>
      </c>
      <c r="B18" s="26" t="s">
        <v>964</v>
      </c>
      <c r="C18" s="27">
        <v>117225287.7432</v>
      </c>
      <c r="D18" s="27">
        <v>26575058.418699998</v>
      </c>
      <c r="E18" s="28">
        <f t="shared" si="0"/>
        <v>143800346.16190001</v>
      </c>
    </row>
    <row r="19" spans="1:5" ht="17.649999999999999">
      <c r="A19" s="25">
        <v>14</v>
      </c>
      <c r="B19" s="26" t="s">
        <v>965</v>
      </c>
      <c r="C19" s="27">
        <v>149996468.0246</v>
      </c>
      <c r="D19" s="27">
        <v>34004308.943000004</v>
      </c>
      <c r="E19" s="28">
        <f t="shared" si="0"/>
        <v>184000776.96759999</v>
      </c>
    </row>
    <row r="20" spans="1:5" ht="17.649999999999999">
      <c r="A20" s="25">
        <v>15</v>
      </c>
      <c r="B20" s="26" t="s">
        <v>966</v>
      </c>
      <c r="C20" s="27">
        <v>102777684.652</v>
      </c>
      <c r="D20" s="27">
        <v>23299776.237300001</v>
      </c>
      <c r="E20" s="28">
        <f t="shared" si="0"/>
        <v>126077460.88929999</v>
      </c>
    </row>
    <row r="21" spans="1:5" ht="17.649999999999999">
      <c r="A21" s="25">
        <v>16</v>
      </c>
      <c r="B21" s="26" t="s">
        <v>967</v>
      </c>
      <c r="C21" s="27">
        <v>201028633.58849999</v>
      </c>
      <c r="D21" s="27">
        <v>45573338.178800002</v>
      </c>
      <c r="E21" s="28">
        <f t="shared" si="0"/>
        <v>246601971.76730001</v>
      </c>
    </row>
    <row r="22" spans="1:5" ht="17.649999999999999">
      <c r="A22" s="25">
        <v>17</v>
      </c>
      <c r="B22" s="26" t="s">
        <v>968</v>
      </c>
      <c r="C22" s="27">
        <v>211199507.07089999</v>
      </c>
      <c r="D22" s="27">
        <v>47879082.6316</v>
      </c>
      <c r="E22" s="28">
        <f t="shared" si="0"/>
        <v>259078589.70249999</v>
      </c>
    </row>
    <row r="23" spans="1:5" ht="17.649999999999999">
      <c r="A23" s="25">
        <v>18</v>
      </c>
      <c r="B23" s="26" t="s">
        <v>969</v>
      </c>
      <c r="C23" s="27">
        <v>237513844.1902</v>
      </c>
      <c r="D23" s="27">
        <v>53844562.091499999</v>
      </c>
      <c r="E23" s="28">
        <f t="shared" si="0"/>
        <v>291358406.28170002</v>
      </c>
    </row>
    <row r="24" spans="1:5" ht="17.649999999999999">
      <c r="A24" s="25">
        <v>19</v>
      </c>
      <c r="B24" s="26" t="s">
        <v>970</v>
      </c>
      <c r="C24" s="27">
        <v>378142396.24800003</v>
      </c>
      <c r="D24" s="27">
        <v>85725157.637400001</v>
      </c>
      <c r="E24" s="28">
        <f t="shared" si="0"/>
        <v>463867553.88540006</v>
      </c>
    </row>
    <row r="25" spans="1:5" ht="17.649999999999999">
      <c r="A25" s="25">
        <v>20</v>
      </c>
      <c r="B25" s="26" t="s">
        <v>971</v>
      </c>
      <c r="C25" s="27">
        <v>287886242.78869998</v>
      </c>
      <c r="D25" s="27">
        <v>65264021.674000002</v>
      </c>
      <c r="E25" s="28">
        <f t="shared" si="0"/>
        <v>353150264.46270001</v>
      </c>
    </row>
    <row r="26" spans="1:5" ht="17.649999999999999">
      <c r="A26" s="25">
        <v>21</v>
      </c>
      <c r="B26" s="26" t="s">
        <v>972</v>
      </c>
      <c r="C26" s="27">
        <v>181687120.66</v>
      </c>
      <c r="D26" s="27">
        <v>41188603.059900001</v>
      </c>
      <c r="E26" s="28">
        <f t="shared" si="0"/>
        <v>222875723.71990001</v>
      </c>
    </row>
    <row r="27" spans="1:5" ht="17.649999999999999">
      <c r="A27" s="25">
        <v>22</v>
      </c>
      <c r="B27" s="26" t="s">
        <v>973</v>
      </c>
      <c r="C27" s="27">
        <v>187786947.51390001</v>
      </c>
      <c r="D27" s="27">
        <v>42571438.2663</v>
      </c>
      <c r="E27" s="28">
        <f t="shared" si="0"/>
        <v>230358385.7802</v>
      </c>
    </row>
    <row r="28" spans="1:5" ht="17.649999999999999">
      <c r="A28" s="25">
        <v>23</v>
      </c>
      <c r="B28" s="26" t="s">
        <v>974</v>
      </c>
      <c r="C28" s="27">
        <v>132878935.0951</v>
      </c>
      <c r="D28" s="27">
        <v>30123751.715300001</v>
      </c>
      <c r="E28" s="28">
        <f t="shared" si="0"/>
        <v>163002686.81040001</v>
      </c>
    </row>
    <row r="29" spans="1:5" ht="17.649999999999999">
      <c r="A29" s="25">
        <v>24</v>
      </c>
      <c r="B29" s="26" t="s">
        <v>975</v>
      </c>
      <c r="C29" s="27">
        <v>226358759.4152</v>
      </c>
      <c r="D29" s="27">
        <v>51315696.218999997</v>
      </c>
      <c r="E29" s="28">
        <f t="shared" si="0"/>
        <v>277674455.63419998</v>
      </c>
    </row>
    <row r="30" spans="1:5" ht="17.649999999999999">
      <c r="A30" s="25">
        <v>25</v>
      </c>
      <c r="B30" s="26" t="s">
        <v>976</v>
      </c>
      <c r="C30" s="27">
        <v>118550912.37029999</v>
      </c>
      <c r="D30" s="27">
        <v>26875578.490400001</v>
      </c>
      <c r="E30" s="28">
        <f t="shared" si="0"/>
        <v>145426490.86070001</v>
      </c>
    </row>
    <row r="31" spans="1:5" ht="17.649999999999999">
      <c r="A31" s="25">
        <v>26</v>
      </c>
      <c r="B31" s="26" t="s">
        <v>977</v>
      </c>
      <c r="C31" s="27">
        <v>219428594.11970001</v>
      </c>
      <c r="D31" s="27">
        <v>49744622.6809</v>
      </c>
      <c r="E31" s="28">
        <f t="shared" si="0"/>
        <v>269173216.80059999</v>
      </c>
    </row>
    <row r="32" spans="1:5" ht="17.649999999999999">
      <c r="A32" s="25">
        <v>27</v>
      </c>
      <c r="B32" s="26" t="s">
        <v>978</v>
      </c>
      <c r="C32" s="27">
        <v>156539565.67120001</v>
      </c>
      <c r="D32" s="27">
        <v>35487633.961999997</v>
      </c>
      <c r="E32" s="28">
        <f t="shared" si="0"/>
        <v>192027199.63319999</v>
      </c>
    </row>
    <row r="33" spans="1:5" ht="17.649999999999999">
      <c r="A33" s="25">
        <v>28</v>
      </c>
      <c r="B33" s="26" t="s">
        <v>979</v>
      </c>
      <c r="C33" s="27">
        <v>149505187.03830001</v>
      </c>
      <c r="D33" s="27">
        <v>33892935.1844</v>
      </c>
      <c r="E33" s="28">
        <f t="shared" si="0"/>
        <v>183398122.2227</v>
      </c>
    </row>
    <row r="34" spans="1:5" ht="17.649999999999999">
      <c r="A34" s="25">
        <v>29</v>
      </c>
      <c r="B34" s="26" t="s">
        <v>980</v>
      </c>
      <c r="C34" s="27">
        <v>202508555.81549999</v>
      </c>
      <c r="D34" s="27">
        <v>45908837.629299998</v>
      </c>
      <c r="E34" s="28">
        <f t="shared" si="0"/>
        <v>248417393.44479999</v>
      </c>
    </row>
    <row r="35" spans="1:5" ht="17.649999999999999">
      <c r="A35" s="25">
        <v>30</v>
      </c>
      <c r="B35" s="26" t="s">
        <v>981</v>
      </c>
      <c r="C35" s="27">
        <v>255448742.5661</v>
      </c>
      <c r="D35" s="27">
        <v>57910416.663000003</v>
      </c>
      <c r="E35" s="28">
        <f t="shared" si="0"/>
        <v>313359159.22909999</v>
      </c>
    </row>
    <row r="36" spans="1:5" ht="17.649999999999999">
      <c r="A36" s="25">
        <v>31</v>
      </c>
      <c r="B36" s="26" t="s">
        <v>982</v>
      </c>
      <c r="C36" s="27">
        <v>160132135.04710001</v>
      </c>
      <c r="D36" s="27">
        <v>36302072.065499999</v>
      </c>
      <c r="E36" s="28">
        <f t="shared" si="0"/>
        <v>196434207.1126</v>
      </c>
    </row>
    <row r="37" spans="1:5" ht="17.649999999999999">
      <c r="A37" s="25">
        <v>32</v>
      </c>
      <c r="B37" s="26" t="s">
        <v>983</v>
      </c>
      <c r="C37" s="27">
        <v>198492658.61970001</v>
      </c>
      <c r="D37" s="27">
        <v>44998430.799699999</v>
      </c>
      <c r="E37" s="28">
        <f t="shared" si="0"/>
        <v>243491089.41940001</v>
      </c>
    </row>
    <row r="38" spans="1:5" ht="17.649999999999999">
      <c r="A38" s="25">
        <v>33</v>
      </c>
      <c r="B38" s="26" t="s">
        <v>984</v>
      </c>
      <c r="C38" s="27">
        <v>199912829.11700001</v>
      </c>
      <c r="D38" s="27">
        <v>45320384.489699997</v>
      </c>
      <c r="E38" s="28">
        <f t="shared" si="0"/>
        <v>245233213.6067</v>
      </c>
    </row>
    <row r="39" spans="1:5" ht="17.649999999999999">
      <c r="A39" s="25">
        <v>34</v>
      </c>
      <c r="B39" s="26" t="s">
        <v>985</v>
      </c>
      <c r="C39" s="27">
        <v>149835334.2439</v>
      </c>
      <c r="D39" s="27">
        <v>33967779.796999998</v>
      </c>
      <c r="E39" s="28">
        <f t="shared" si="0"/>
        <v>183803114.04089999</v>
      </c>
    </row>
    <row r="40" spans="1:5" ht="17.649999999999999">
      <c r="A40" s="25">
        <v>35</v>
      </c>
      <c r="B40" s="26" t="s">
        <v>986</v>
      </c>
      <c r="C40" s="27">
        <v>150646297.40560001</v>
      </c>
      <c r="D40" s="27">
        <v>34151625.738499999</v>
      </c>
      <c r="E40" s="28">
        <f t="shared" si="0"/>
        <v>184797923.14410001</v>
      </c>
    </row>
    <row r="41" spans="1:5" ht="17.649999999999999">
      <c r="A41" s="25">
        <v>36</v>
      </c>
      <c r="B41" s="26" t="s">
        <v>987</v>
      </c>
      <c r="C41" s="27">
        <v>136119000.13010001</v>
      </c>
      <c r="D41" s="27">
        <v>30858276.827300001</v>
      </c>
      <c r="E41" s="28">
        <f t="shared" si="0"/>
        <v>166977276.95740002</v>
      </c>
    </row>
    <row r="42" spans="1:5" ht="17.649999999999999">
      <c r="A42" s="25">
        <v>37</v>
      </c>
      <c r="B42" s="26" t="s">
        <v>988</v>
      </c>
      <c r="C42" s="27">
        <v>60119581.061099999</v>
      </c>
      <c r="D42" s="27">
        <v>13629152.9716</v>
      </c>
      <c r="E42" s="28">
        <f t="shared" si="0"/>
        <v>73748734.032700002</v>
      </c>
    </row>
    <row r="43" spans="1:5" ht="17.25">
      <c r="A43" s="202" t="s">
        <v>41</v>
      </c>
      <c r="B43" s="202"/>
      <c r="C43" s="21">
        <f>SUM(C6:C42)</f>
        <v>6616652684.0705004</v>
      </c>
      <c r="D43" s="21">
        <f>SUM(D6:D42)</f>
        <v>1499999999.9990001</v>
      </c>
      <c r="E43" s="21">
        <f>SUM(E6:E42)</f>
        <v>8116652684.0695009</v>
      </c>
    </row>
  </sheetData>
  <mergeCells count="4">
    <mergeCell ref="A1:E1"/>
    <mergeCell ref="A2:E2"/>
    <mergeCell ref="A3:E3"/>
    <mergeCell ref="A43:B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780"/>
  <sheetViews>
    <sheetView tabSelected="1" zoomScale="98" zoomScaleNormal="98" workbookViewId="0">
      <selection activeCell="H12" sqref="H12"/>
    </sheetView>
  </sheetViews>
  <sheetFormatPr defaultColWidth="9.1328125" defaultRowHeight="13.15"/>
  <cols>
    <col min="1" max="1" width="5.86328125" style="1" customWidth="1"/>
    <col min="2" max="2" width="16" style="1" customWidth="1"/>
    <col min="3" max="3" width="22.265625" style="1" customWidth="1"/>
    <col min="4" max="5" width="22.73046875" style="1" customWidth="1"/>
    <col min="6" max="6" width="22.265625" style="1" customWidth="1"/>
    <col min="7" max="8" width="17.3984375" style="1" customWidth="1"/>
    <col min="9" max="10" width="14.3984375" style="1" customWidth="1"/>
    <col min="11" max="12" width="13.265625" style="1" customWidth="1"/>
    <col min="13" max="14" width="15.265625" style="1" customWidth="1"/>
    <col min="15" max="15" width="14.3984375" style="1" customWidth="1"/>
    <col min="16" max="16" width="14" style="1" customWidth="1"/>
    <col min="17" max="17" width="12.86328125" style="1" customWidth="1"/>
    <col min="18" max="16384" width="9.1328125" style="1"/>
  </cols>
  <sheetData>
    <row r="1" spans="1:17" ht="19.899999999999999">
      <c r="A1" s="161" t="s">
        <v>17</v>
      </c>
      <c r="B1" s="161"/>
      <c r="C1" s="161"/>
      <c r="D1" s="161"/>
      <c r="E1" s="161"/>
      <c r="F1" s="161"/>
    </row>
    <row r="2" spans="1:17" ht="17.25">
      <c r="A2" s="202" t="s">
        <v>59</v>
      </c>
      <c r="B2" s="202"/>
      <c r="C2" s="202"/>
      <c r="D2" s="202"/>
      <c r="E2" s="202"/>
      <c r="F2" s="202"/>
    </row>
    <row r="3" spans="1:17" ht="38.450000000000003" customHeight="1">
      <c r="A3" s="203" t="s">
        <v>989</v>
      </c>
      <c r="B3" s="203"/>
      <c r="C3" s="203"/>
      <c r="D3" s="203"/>
      <c r="E3" s="203"/>
      <c r="F3" s="203"/>
    </row>
    <row r="4" spans="1:17" ht="82.5">
      <c r="A4" s="5" t="s">
        <v>990</v>
      </c>
      <c r="B4" s="5" t="s">
        <v>951</v>
      </c>
      <c r="C4" s="6" t="s">
        <v>991</v>
      </c>
      <c r="D4" s="7" t="s">
        <v>948</v>
      </c>
      <c r="E4" s="8" t="s">
        <v>949</v>
      </c>
      <c r="F4" s="9" t="s">
        <v>992</v>
      </c>
    </row>
    <row r="5" spans="1:17" ht="15">
      <c r="A5" s="10"/>
      <c r="B5" s="10"/>
      <c r="C5" s="11"/>
      <c r="D5" s="144" t="s">
        <v>26</v>
      </c>
      <c r="E5" s="144" t="s">
        <v>26</v>
      </c>
      <c r="F5" s="144" t="s">
        <v>26</v>
      </c>
      <c r="P5" s="13"/>
      <c r="Q5" s="13"/>
    </row>
    <row r="6" spans="1:17" ht="17.649999999999999">
      <c r="A6" s="14">
        <v>1</v>
      </c>
      <c r="B6" s="15" t="s">
        <v>83</v>
      </c>
      <c r="C6" s="15" t="s">
        <v>126</v>
      </c>
      <c r="D6" s="16">
        <v>7035854.2127999999</v>
      </c>
      <c r="E6" s="16">
        <v>1595033.2930000001</v>
      </c>
      <c r="F6" s="17">
        <f>D6+E6</f>
        <v>8630887.5057999995</v>
      </c>
      <c r="G6" s="18"/>
      <c r="H6" s="18"/>
      <c r="I6" s="19"/>
      <c r="J6" s="19"/>
      <c r="K6" s="19"/>
      <c r="L6" s="19"/>
      <c r="M6" s="18"/>
      <c r="N6" s="18"/>
      <c r="O6" s="19"/>
      <c r="P6" s="19"/>
      <c r="Q6" s="19"/>
    </row>
    <row r="7" spans="1:17" ht="17.649999999999999">
      <c r="A7" s="14">
        <v>2</v>
      </c>
      <c r="B7" s="15" t="s">
        <v>83</v>
      </c>
      <c r="C7" s="15" t="s">
        <v>128</v>
      </c>
      <c r="D7" s="16">
        <v>11738406.1875</v>
      </c>
      <c r="E7" s="16">
        <v>2661105.2629999998</v>
      </c>
      <c r="F7" s="17">
        <f t="shared" ref="F7:F70" si="0">D7+E7</f>
        <v>14399511.4505</v>
      </c>
      <c r="G7" s="18"/>
      <c r="H7" s="18"/>
      <c r="I7" s="19"/>
      <c r="J7" s="19"/>
      <c r="K7" s="19"/>
      <c r="L7" s="19"/>
      <c r="M7" s="18"/>
      <c r="N7" s="18"/>
      <c r="O7" s="19"/>
      <c r="P7" s="19"/>
      <c r="Q7" s="19"/>
    </row>
    <row r="8" spans="1:17" ht="17.649999999999999">
      <c r="A8" s="14">
        <v>3</v>
      </c>
      <c r="B8" s="15" t="s">
        <v>83</v>
      </c>
      <c r="C8" s="15" t="s">
        <v>130</v>
      </c>
      <c r="D8" s="16">
        <v>8259261.1497999998</v>
      </c>
      <c r="E8" s="16">
        <v>1872380.5399</v>
      </c>
      <c r="F8" s="17">
        <f t="shared" si="0"/>
        <v>10131641.6897</v>
      </c>
      <c r="G8" s="18"/>
      <c r="H8" s="18"/>
      <c r="I8" s="19"/>
      <c r="J8" s="19"/>
      <c r="K8" s="19"/>
      <c r="L8" s="19"/>
      <c r="M8" s="18"/>
      <c r="N8" s="18"/>
      <c r="O8" s="19"/>
      <c r="P8" s="19"/>
      <c r="Q8" s="19"/>
    </row>
    <row r="9" spans="1:17" ht="17.649999999999999">
      <c r="A9" s="14">
        <v>4</v>
      </c>
      <c r="B9" s="15" t="s">
        <v>83</v>
      </c>
      <c r="C9" s="15" t="s">
        <v>132</v>
      </c>
      <c r="D9" s="16">
        <v>8415292.5852000006</v>
      </c>
      <c r="E9" s="16">
        <v>1907752.9802999999</v>
      </c>
      <c r="F9" s="17">
        <f t="shared" si="0"/>
        <v>10323045.5655</v>
      </c>
      <c r="G9" s="18"/>
      <c r="H9" s="18"/>
      <c r="I9" s="19"/>
      <c r="J9" s="19"/>
      <c r="K9" s="19"/>
      <c r="L9" s="19"/>
      <c r="M9" s="18"/>
      <c r="N9" s="18"/>
      <c r="O9" s="19"/>
      <c r="P9" s="19"/>
      <c r="Q9" s="19"/>
    </row>
    <row r="10" spans="1:17" ht="17.649999999999999">
      <c r="A10" s="14">
        <v>5</v>
      </c>
      <c r="B10" s="15" t="s">
        <v>83</v>
      </c>
      <c r="C10" s="15" t="s">
        <v>134</v>
      </c>
      <c r="D10" s="16">
        <v>7659564.3967000004</v>
      </c>
      <c r="E10" s="16">
        <v>1736428.8476</v>
      </c>
      <c r="F10" s="17">
        <f t="shared" si="0"/>
        <v>9395993.2443000004</v>
      </c>
      <c r="G10" s="18"/>
      <c r="H10" s="18"/>
      <c r="I10" s="19"/>
      <c r="J10" s="19"/>
      <c r="K10" s="19"/>
      <c r="L10" s="19"/>
      <c r="M10" s="18"/>
      <c r="N10" s="18"/>
      <c r="O10" s="19"/>
      <c r="P10" s="19"/>
      <c r="Q10" s="19"/>
    </row>
    <row r="11" spans="1:17" ht="35.25">
      <c r="A11" s="14">
        <v>6</v>
      </c>
      <c r="B11" s="15" t="s">
        <v>83</v>
      </c>
      <c r="C11" s="15" t="s">
        <v>136</v>
      </c>
      <c r="D11" s="16">
        <v>7910350.1801000005</v>
      </c>
      <c r="E11" s="16">
        <v>1793282.1680000001</v>
      </c>
      <c r="F11" s="17">
        <f t="shared" si="0"/>
        <v>9703632.348100001</v>
      </c>
      <c r="G11" s="18"/>
      <c r="H11" s="18"/>
      <c r="I11" s="19"/>
      <c r="J11" s="19"/>
      <c r="K11" s="19"/>
      <c r="L11" s="19"/>
      <c r="M11" s="18"/>
      <c r="N11" s="18"/>
      <c r="O11" s="19"/>
      <c r="P11" s="19"/>
      <c r="Q11" s="19"/>
    </row>
    <row r="12" spans="1:17" ht="35.25">
      <c r="A12" s="14">
        <v>7</v>
      </c>
      <c r="B12" s="15" t="s">
        <v>83</v>
      </c>
      <c r="C12" s="15" t="s">
        <v>137</v>
      </c>
      <c r="D12" s="16">
        <v>7675158.426</v>
      </c>
      <c r="E12" s="16">
        <v>1739964.0253999999</v>
      </c>
      <c r="F12" s="17">
        <f t="shared" si="0"/>
        <v>9415122.4514000006</v>
      </c>
      <c r="G12" s="18"/>
      <c r="H12" s="18"/>
      <c r="I12" s="19"/>
      <c r="J12" s="19"/>
      <c r="K12" s="19"/>
      <c r="L12" s="19"/>
      <c r="M12" s="18"/>
      <c r="N12" s="18"/>
      <c r="O12" s="19"/>
      <c r="P12" s="19"/>
      <c r="Q12" s="19"/>
    </row>
    <row r="13" spans="1:17" ht="17.649999999999999">
      <c r="A13" s="14">
        <v>8</v>
      </c>
      <c r="B13" s="15" t="s">
        <v>83</v>
      </c>
      <c r="C13" s="15" t="s">
        <v>139</v>
      </c>
      <c r="D13" s="16">
        <v>7483758.0566999996</v>
      </c>
      <c r="E13" s="16">
        <v>1696573.4217999999</v>
      </c>
      <c r="F13" s="17">
        <f t="shared" si="0"/>
        <v>9180331.4784999993</v>
      </c>
      <c r="G13" s="18"/>
      <c r="H13" s="18"/>
      <c r="I13" s="19"/>
      <c r="J13" s="19"/>
      <c r="K13" s="19"/>
      <c r="L13" s="19"/>
      <c r="M13" s="18"/>
      <c r="N13" s="18"/>
      <c r="O13" s="19"/>
      <c r="P13" s="19"/>
      <c r="Q13" s="19"/>
    </row>
    <row r="14" spans="1:17" ht="17.649999999999999">
      <c r="A14" s="14">
        <v>9</v>
      </c>
      <c r="B14" s="15" t="s">
        <v>83</v>
      </c>
      <c r="C14" s="15" t="s">
        <v>141</v>
      </c>
      <c r="D14" s="16">
        <v>8073909.2155999998</v>
      </c>
      <c r="E14" s="16">
        <v>1830361.1209</v>
      </c>
      <c r="F14" s="17">
        <f t="shared" si="0"/>
        <v>9904270.3365000002</v>
      </c>
      <c r="G14" s="18"/>
      <c r="H14" s="18"/>
      <c r="I14" s="19"/>
      <c r="J14" s="19"/>
      <c r="K14" s="19"/>
      <c r="L14" s="19"/>
      <c r="M14" s="18"/>
      <c r="N14" s="18"/>
      <c r="O14" s="19"/>
      <c r="P14" s="19"/>
      <c r="Q14" s="19"/>
    </row>
    <row r="15" spans="1:17" ht="17.649999999999999">
      <c r="A15" s="14">
        <v>10</v>
      </c>
      <c r="B15" s="15" t="s">
        <v>83</v>
      </c>
      <c r="C15" s="15" t="s">
        <v>143</v>
      </c>
      <c r="D15" s="16">
        <v>8193384.1670000004</v>
      </c>
      <c r="E15" s="16">
        <v>1857446.1797</v>
      </c>
      <c r="F15" s="17">
        <f t="shared" si="0"/>
        <v>10050830.3467</v>
      </c>
      <c r="G15" s="18"/>
      <c r="H15" s="18"/>
      <c r="I15" s="19"/>
      <c r="J15" s="19"/>
      <c r="K15" s="19"/>
      <c r="L15" s="19"/>
      <c r="M15" s="18"/>
      <c r="N15" s="18"/>
      <c r="O15" s="19"/>
      <c r="P15" s="19"/>
      <c r="Q15" s="19"/>
    </row>
    <row r="16" spans="1:17" ht="17.649999999999999">
      <c r="A16" s="14">
        <v>11</v>
      </c>
      <c r="B16" s="15" t="s">
        <v>83</v>
      </c>
      <c r="C16" s="15" t="s">
        <v>145</v>
      </c>
      <c r="D16" s="16">
        <v>8960120.9637000002</v>
      </c>
      <c r="E16" s="16">
        <v>2031265.9720000001</v>
      </c>
      <c r="F16" s="17">
        <f t="shared" si="0"/>
        <v>10991386.935699999</v>
      </c>
      <c r="G16" s="18"/>
      <c r="H16" s="18"/>
      <c r="I16" s="19"/>
      <c r="J16" s="19"/>
      <c r="K16" s="19"/>
      <c r="L16" s="19"/>
      <c r="M16" s="18"/>
      <c r="N16" s="18"/>
      <c r="O16" s="19"/>
      <c r="P16" s="19"/>
      <c r="Q16" s="19"/>
    </row>
    <row r="17" spans="1:17" ht="17.649999999999999">
      <c r="A17" s="14">
        <v>12</v>
      </c>
      <c r="B17" s="15" t="s">
        <v>83</v>
      </c>
      <c r="C17" s="15" t="s">
        <v>147</v>
      </c>
      <c r="D17" s="16">
        <v>8627003.6608000007</v>
      </c>
      <c r="E17" s="16">
        <v>1955748.0359</v>
      </c>
      <c r="F17" s="17">
        <f t="shared" si="0"/>
        <v>10582751.696700001</v>
      </c>
      <c r="G17" s="18"/>
      <c r="H17" s="18"/>
      <c r="I17" s="19"/>
      <c r="J17" s="19"/>
      <c r="K17" s="19"/>
      <c r="L17" s="19"/>
      <c r="M17" s="18"/>
      <c r="N17" s="18"/>
      <c r="O17" s="19"/>
      <c r="P17" s="19"/>
      <c r="Q17" s="19"/>
    </row>
    <row r="18" spans="1:17" ht="17.649999999999999">
      <c r="A18" s="14">
        <v>13</v>
      </c>
      <c r="B18" s="15" t="s">
        <v>83</v>
      </c>
      <c r="C18" s="15" t="s">
        <v>149</v>
      </c>
      <c r="D18" s="16">
        <v>6587770.2866000002</v>
      </c>
      <c r="E18" s="16">
        <v>1493452.3393999999</v>
      </c>
      <c r="F18" s="17">
        <f t="shared" si="0"/>
        <v>8081222.6260000002</v>
      </c>
      <c r="G18" s="18"/>
      <c r="H18" s="18"/>
      <c r="I18" s="19"/>
      <c r="J18" s="19"/>
      <c r="K18" s="19"/>
      <c r="L18" s="19"/>
      <c r="M18" s="18"/>
      <c r="N18" s="18"/>
      <c r="O18" s="19"/>
      <c r="P18" s="19"/>
      <c r="Q18" s="19"/>
    </row>
    <row r="19" spans="1:17" ht="17.649999999999999">
      <c r="A19" s="14">
        <v>14</v>
      </c>
      <c r="B19" s="15" t="s">
        <v>83</v>
      </c>
      <c r="C19" s="15" t="s">
        <v>151</v>
      </c>
      <c r="D19" s="16">
        <v>6224543.0948000001</v>
      </c>
      <c r="E19" s="16">
        <v>1411108.4694999999</v>
      </c>
      <c r="F19" s="17">
        <f t="shared" si="0"/>
        <v>7635651.5642999997</v>
      </c>
      <c r="G19" s="18"/>
      <c r="H19" s="18"/>
      <c r="I19" s="19"/>
      <c r="J19" s="19"/>
      <c r="K19" s="19"/>
      <c r="L19" s="19"/>
      <c r="M19" s="18"/>
      <c r="N19" s="18"/>
      <c r="O19" s="19"/>
      <c r="P19" s="19"/>
      <c r="Q19" s="19"/>
    </row>
    <row r="20" spans="1:17" ht="17.649999999999999">
      <c r="A20" s="14">
        <v>15</v>
      </c>
      <c r="B20" s="15" t="s">
        <v>83</v>
      </c>
      <c r="C20" s="15" t="s">
        <v>153</v>
      </c>
      <c r="D20" s="16">
        <v>6481572.6198000005</v>
      </c>
      <c r="E20" s="16">
        <v>1469377.2507</v>
      </c>
      <c r="F20" s="17">
        <f t="shared" si="0"/>
        <v>7950949.8705000002</v>
      </c>
      <c r="G20" s="18"/>
      <c r="H20" s="18"/>
      <c r="I20" s="19"/>
      <c r="J20" s="19"/>
      <c r="K20" s="19"/>
      <c r="L20" s="19"/>
      <c r="M20" s="18"/>
      <c r="N20" s="18"/>
      <c r="O20" s="19"/>
      <c r="P20" s="19"/>
      <c r="Q20" s="19"/>
    </row>
    <row r="21" spans="1:17" ht="17.649999999999999">
      <c r="A21" s="14">
        <v>16</v>
      </c>
      <c r="B21" s="15" t="s">
        <v>83</v>
      </c>
      <c r="C21" s="15" t="s">
        <v>155</v>
      </c>
      <c r="D21" s="16">
        <v>9661934.6212000009</v>
      </c>
      <c r="E21" s="16">
        <v>2190367.6411000001</v>
      </c>
      <c r="F21" s="17">
        <f t="shared" si="0"/>
        <v>11852302.262300001</v>
      </c>
      <c r="G21" s="18"/>
      <c r="H21" s="18"/>
      <c r="I21" s="19"/>
      <c r="J21" s="19"/>
      <c r="K21" s="19"/>
      <c r="L21" s="19"/>
      <c r="M21" s="18"/>
      <c r="N21" s="18"/>
      <c r="O21" s="19"/>
      <c r="P21" s="19"/>
      <c r="Q21" s="19"/>
    </row>
    <row r="22" spans="1:17" ht="17.649999999999999">
      <c r="A22" s="14">
        <v>17</v>
      </c>
      <c r="B22" s="15" t="s">
        <v>83</v>
      </c>
      <c r="C22" s="15" t="s">
        <v>157</v>
      </c>
      <c r="D22" s="16">
        <v>8348478.3036000002</v>
      </c>
      <c r="E22" s="16">
        <v>1892606.1338</v>
      </c>
      <c r="F22" s="17">
        <f t="shared" si="0"/>
        <v>10241084.4374</v>
      </c>
      <c r="G22" s="18"/>
      <c r="H22" s="18"/>
      <c r="I22" s="19"/>
      <c r="J22" s="19"/>
      <c r="K22" s="19"/>
      <c r="L22" s="19"/>
      <c r="M22" s="18"/>
      <c r="N22" s="18"/>
      <c r="O22" s="19"/>
      <c r="P22" s="19"/>
      <c r="Q22" s="19"/>
    </row>
    <row r="23" spans="1:17" ht="17.649999999999999">
      <c r="A23" s="14">
        <v>18</v>
      </c>
      <c r="B23" s="15" t="s">
        <v>84</v>
      </c>
      <c r="C23" s="15" t="s">
        <v>162</v>
      </c>
      <c r="D23" s="16">
        <v>8561636.9156999998</v>
      </c>
      <c r="E23" s="16">
        <v>1940929.3470000001</v>
      </c>
      <c r="F23" s="17">
        <f t="shared" si="0"/>
        <v>10502566.262699999</v>
      </c>
      <c r="G23" s="18"/>
      <c r="H23" s="18"/>
      <c r="I23" s="19"/>
      <c r="J23" s="19"/>
      <c r="K23" s="19"/>
      <c r="L23" s="19"/>
      <c r="M23" s="18"/>
      <c r="N23" s="18"/>
      <c r="O23" s="19"/>
      <c r="P23" s="19"/>
      <c r="Q23" s="19"/>
    </row>
    <row r="24" spans="1:17" ht="17.649999999999999">
      <c r="A24" s="14">
        <v>19</v>
      </c>
      <c r="B24" s="15" t="s">
        <v>84</v>
      </c>
      <c r="C24" s="15" t="s">
        <v>164</v>
      </c>
      <c r="D24" s="16">
        <v>10459301.382200001</v>
      </c>
      <c r="E24" s="16">
        <v>2371131.2686999999</v>
      </c>
      <c r="F24" s="17">
        <f t="shared" si="0"/>
        <v>12830432.650900001</v>
      </c>
      <c r="G24" s="18"/>
      <c r="H24" s="18"/>
      <c r="I24" s="19"/>
      <c r="J24" s="19"/>
      <c r="K24" s="19"/>
      <c r="L24" s="19"/>
      <c r="M24" s="18"/>
      <c r="N24" s="18"/>
      <c r="O24" s="19"/>
      <c r="P24" s="19"/>
      <c r="Q24" s="19"/>
    </row>
    <row r="25" spans="1:17" ht="17.649999999999999">
      <c r="A25" s="14">
        <v>20</v>
      </c>
      <c r="B25" s="15" t="s">
        <v>84</v>
      </c>
      <c r="C25" s="15" t="s">
        <v>166</v>
      </c>
      <c r="D25" s="16">
        <v>8906098.1232999992</v>
      </c>
      <c r="E25" s="16">
        <v>2019018.9546000001</v>
      </c>
      <c r="F25" s="17">
        <f t="shared" si="0"/>
        <v>10925117.0779</v>
      </c>
      <c r="G25" s="18"/>
      <c r="H25" s="18"/>
      <c r="I25" s="19"/>
      <c r="J25" s="19"/>
      <c r="K25" s="19"/>
      <c r="L25" s="19"/>
      <c r="M25" s="18"/>
      <c r="N25" s="18"/>
      <c r="O25" s="19"/>
      <c r="P25" s="19"/>
      <c r="Q25" s="19"/>
    </row>
    <row r="26" spans="1:17" ht="17.649999999999999">
      <c r="A26" s="14">
        <v>21</v>
      </c>
      <c r="B26" s="15" t="s">
        <v>84</v>
      </c>
      <c r="C26" s="15" t="s">
        <v>168</v>
      </c>
      <c r="D26" s="16">
        <v>7797417.2312000003</v>
      </c>
      <c r="E26" s="16">
        <v>1767680.1858999999</v>
      </c>
      <c r="F26" s="17">
        <f t="shared" si="0"/>
        <v>9565097.4171000011</v>
      </c>
      <c r="G26" s="18"/>
      <c r="H26" s="18"/>
      <c r="I26" s="19"/>
      <c r="J26" s="19"/>
      <c r="K26" s="19"/>
      <c r="L26" s="19"/>
      <c r="M26" s="18"/>
      <c r="N26" s="18"/>
      <c r="O26" s="19"/>
      <c r="P26" s="19"/>
      <c r="Q26" s="19"/>
    </row>
    <row r="27" spans="1:17" ht="17.649999999999999">
      <c r="A27" s="14">
        <v>22</v>
      </c>
      <c r="B27" s="15" t="s">
        <v>84</v>
      </c>
      <c r="C27" s="15" t="s">
        <v>170</v>
      </c>
      <c r="D27" s="16">
        <v>7715823.7686000001</v>
      </c>
      <c r="E27" s="16">
        <v>1749182.8883</v>
      </c>
      <c r="F27" s="17">
        <f t="shared" si="0"/>
        <v>9465006.6568999998</v>
      </c>
      <c r="G27" s="18"/>
      <c r="H27" s="18"/>
      <c r="I27" s="19"/>
      <c r="J27" s="19"/>
      <c r="K27" s="19"/>
      <c r="L27" s="19"/>
      <c r="M27" s="18"/>
      <c r="N27" s="18"/>
      <c r="O27" s="19"/>
      <c r="P27" s="19"/>
      <c r="Q27" s="19"/>
    </row>
    <row r="28" spans="1:17" ht="17.649999999999999">
      <c r="A28" s="14">
        <v>23</v>
      </c>
      <c r="B28" s="15" t="s">
        <v>84</v>
      </c>
      <c r="C28" s="15" t="s">
        <v>172</v>
      </c>
      <c r="D28" s="16">
        <v>8249327.4655999998</v>
      </c>
      <c r="E28" s="16">
        <v>1870128.5663999999</v>
      </c>
      <c r="F28" s="17">
        <f t="shared" si="0"/>
        <v>10119456.032</v>
      </c>
      <c r="G28" s="18"/>
      <c r="H28" s="18"/>
      <c r="I28" s="19"/>
      <c r="J28" s="19"/>
      <c r="K28" s="19"/>
      <c r="L28" s="19"/>
      <c r="M28" s="18"/>
      <c r="N28" s="18"/>
      <c r="O28" s="19"/>
      <c r="P28" s="19"/>
      <c r="Q28" s="19"/>
    </row>
    <row r="29" spans="1:17" ht="17.649999999999999">
      <c r="A29" s="14">
        <v>24</v>
      </c>
      <c r="B29" s="15" t="s">
        <v>84</v>
      </c>
      <c r="C29" s="15" t="s">
        <v>174</v>
      </c>
      <c r="D29" s="16">
        <v>8985495.4733000007</v>
      </c>
      <c r="E29" s="16">
        <v>2037018.3918000001</v>
      </c>
      <c r="F29" s="17">
        <f t="shared" si="0"/>
        <v>11022513.8651</v>
      </c>
      <c r="G29" s="18"/>
      <c r="H29" s="18"/>
      <c r="I29" s="19"/>
      <c r="J29" s="19"/>
      <c r="K29" s="19"/>
      <c r="L29" s="19"/>
      <c r="M29" s="18"/>
      <c r="N29" s="18"/>
      <c r="O29" s="19"/>
      <c r="P29" s="19"/>
      <c r="Q29" s="19"/>
    </row>
    <row r="30" spans="1:17" ht="17.649999999999999">
      <c r="A30" s="14">
        <v>25</v>
      </c>
      <c r="B30" s="15" t="s">
        <v>84</v>
      </c>
      <c r="C30" s="15" t="s">
        <v>176</v>
      </c>
      <c r="D30" s="16">
        <v>9399577.8289000001</v>
      </c>
      <c r="E30" s="16">
        <v>2130891.1645</v>
      </c>
      <c r="F30" s="17">
        <f t="shared" si="0"/>
        <v>11530468.9934</v>
      </c>
      <c r="G30" s="18"/>
      <c r="H30" s="18"/>
      <c r="I30" s="19"/>
      <c r="J30" s="19"/>
      <c r="K30" s="19"/>
      <c r="L30" s="19"/>
      <c r="M30" s="18"/>
      <c r="N30" s="18"/>
      <c r="O30" s="19"/>
      <c r="P30" s="19"/>
      <c r="Q30" s="19"/>
    </row>
    <row r="31" spans="1:17" ht="17.649999999999999">
      <c r="A31" s="14">
        <v>26</v>
      </c>
      <c r="B31" s="15" t="s">
        <v>84</v>
      </c>
      <c r="C31" s="15" t="s">
        <v>178</v>
      </c>
      <c r="D31" s="16">
        <v>8172465.2489999998</v>
      </c>
      <c r="E31" s="16">
        <v>1852703.8456999999</v>
      </c>
      <c r="F31" s="17">
        <f t="shared" si="0"/>
        <v>10025169.094699999</v>
      </c>
      <c r="G31" s="18"/>
      <c r="H31" s="18"/>
      <c r="I31" s="19"/>
      <c r="J31" s="19"/>
      <c r="K31" s="19"/>
      <c r="L31" s="19"/>
      <c r="M31" s="18"/>
      <c r="N31" s="18"/>
      <c r="O31" s="19"/>
      <c r="P31" s="19"/>
      <c r="Q31" s="19"/>
    </row>
    <row r="32" spans="1:17" ht="17.649999999999999">
      <c r="A32" s="14">
        <v>27</v>
      </c>
      <c r="B32" s="15" t="s">
        <v>84</v>
      </c>
      <c r="C32" s="15" t="s">
        <v>180</v>
      </c>
      <c r="D32" s="16">
        <v>7317367.8767999997</v>
      </c>
      <c r="E32" s="16">
        <v>1658852.6464</v>
      </c>
      <c r="F32" s="17">
        <f t="shared" si="0"/>
        <v>8976220.5231999997</v>
      </c>
      <c r="G32" s="18"/>
      <c r="H32" s="18"/>
      <c r="I32" s="19"/>
      <c r="J32" s="19"/>
      <c r="K32" s="19"/>
      <c r="L32" s="19"/>
      <c r="M32" s="18"/>
      <c r="N32" s="18"/>
      <c r="O32" s="19"/>
      <c r="P32" s="19"/>
      <c r="Q32" s="19"/>
    </row>
    <row r="33" spans="1:17" ht="17.649999999999999">
      <c r="A33" s="14">
        <v>28</v>
      </c>
      <c r="B33" s="15" t="s">
        <v>84</v>
      </c>
      <c r="C33" s="15" t="s">
        <v>182</v>
      </c>
      <c r="D33" s="16">
        <v>7436081.9217999997</v>
      </c>
      <c r="E33" s="16">
        <v>1685765.2072000001</v>
      </c>
      <c r="F33" s="17">
        <f t="shared" si="0"/>
        <v>9121847.1290000007</v>
      </c>
      <c r="G33" s="18"/>
      <c r="H33" s="18"/>
      <c r="I33" s="19"/>
      <c r="J33" s="19"/>
      <c r="K33" s="19"/>
      <c r="L33" s="19"/>
      <c r="M33" s="18"/>
      <c r="N33" s="18"/>
      <c r="O33" s="19"/>
      <c r="P33" s="19"/>
      <c r="Q33" s="19"/>
    </row>
    <row r="34" spans="1:17" ht="17.649999999999999">
      <c r="A34" s="14">
        <v>29</v>
      </c>
      <c r="B34" s="15" t="s">
        <v>84</v>
      </c>
      <c r="C34" s="15" t="s">
        <v>184</v>
      </c>
      <c r="D34" s="16">
        <v>7280402.9106000001</v>
      </c>
      <c r="E34" s="16">
        <v>1650472.6614999999</v>
      </c>
      <c r="F34" s="17">
        <f t="shared" si="0"/>
        <v>8930875.5721000005</v>
      </c>
      <c r="G34" s="18"/>
      <c r="H34" s="18"/>
      <c r="I34" s="19"/>
      <c r="J34" s="19"/>
      <c r="K34" s="19"/>
      <c r="L34" s="19"/>
      <c r="M34" s="18"/>
      <c r="N34" s="18"/>
      <c r="O34" s="19"/>
      <c r="P34" s="19"/>
      <c r="Q34" s="19"/>
    </row>
    <row r="35" spans="1:17" ht="17.649999999999999">
      <c r="A35" s="14">
        <v>30</v>
      </c>
      <c r="B35" s="15" t="s">
        <v>84</v>
      </c>
      <c r="C35" s="15" t="s">
        <v>186</v>
      </c>
      <c r="D35" s="16">
        <v>8441783.6945999991</v>
      </c>
      <c r="E35" s="16">
        <v>1913758.5342000001</v>
      </c>
      <c r="F35" s="17">
        <f t="shared" si="0"/>
        <v>10355542.228799999</v>
      </c>
      <c r="G35" s="18"/>
      <c r="H35" s="18"/>
      <c r="I35" s="19"/>
      <c r="J35" s="19"/>
      <c r="K35" s="19"/>
      <c r="L35" s="19"/>
      <c r="M35" s="18"/>
      <c r="N35" s="18"/>
      <c r="O35" s="19"/>
      <c r="P35" s="19"/>
      <c r="Q35" s="19"/>
    </row>
    <row r="36" spans="1:17" ht="17.649999999999999">
      <c r="A36" s="14">
        <v>31</v>
      </c>
      <c r="B36" s="15" t="s">
        <v>84</v>
      </c>
      <c r="C36" s="15" t="s">
        <v>188</v>
      </c>
      <c r="D36" s="16">
        <v>8183809.3419000003</v>
      </c>
      <c r="E36" s="16">
        <v>1855275.5599</v>
      </c>
      <c r="F36" s="17">
        <f t="shared" si="0"/>
        <v>10039084.901800001</v>
      </c>
      <c r="G36" s="18"/>
      <c r="H36" s="18"/>
      <c r="I36" s="19"/>
      <c r="J36" s="19"/>
      <c r="K36" s="19"/>
      <c r="L36" s="19"/>
      <c r="M36" s="18"/>
      <c r="N36" s="18"/>
      <c r="O36" s="19"/>
      <c r="P36" s="19"/>
      <c r="Q36" s="19"/>
    </row>
    <row r="37" spans="1:17" ht="17.649999999999999">
      <c r="A37" s="14">
        <v>32</v>
      </c>
      <c r="B37" s="15" t="s">
        <v>84</v>
      </c>
      <c r="C37" s="15" t="s">
        <v>190</v>
      </c>
      <c r="D37" s="16">
        <v>7809323.2114000004</v>
      </c>
      <c r="E37" s="16">
        <v>1770379.2803</v>
      </c>
      <c r="F37" s="17">
        <f t="shared" si="0"/>
        <v>9579702.4917000011</v>
      </c>
      <c r="G37" s="18"/>
      <c r="H37" s="18"/>
      <c r="I37" s="19"/>
      <c r="J37" s="19"/>
      <c r="K37" s="19"/>
      <c r="L37" s="19"/>
      <c r="M37" s="18"/>
      <c r="N37" s="18"/>
      <c r="O37" s="19"/>
      <c r="P37" s="19"/>
      <c r="Q37" s="19"/>
    </row>
    <row r="38" spans="1:17" ht="17.649999999999999">
      <c r="A38" s="14">
        <v>33</v>
      </c>
      <c r="B38" s="15" t="s">
        <v>84</v>
      </c>
      <c r="C38" s="15" t="s">
        <v>192</v>
      </c>
      <c r="D38" s="16">
        <v>7275360.5575999999</v>
      </c>
      <c r="E38" s="16">
        <v>1649329.5563999999</v>
      </c>
      <c r="F38" s="17">
        <f t="shared" si="0"/>
        <v>8924690.1140000001</v>
      </c>
      <c r="G38" s="18"/>
      <c r="H38" s="18"/>
      <c r="I38" s="19"/>
      <c r="J38" s="19"/>
      <c r="K38" s="19"/>
      <c r="L38" s="19"/>
      <c r="M38" s="18"/>
      <c r="N38" s="18"/>
      <c r="O38" s="19"/>
      <c r="P38" s="19"/>
      <c r="Q38" s="19"/>
    </row>
    <row r="39" spans="1:17" ht="17.649999999999999">
      <c r="A39" s="14">
        <v>34</v>
      </c>
      <c r="B39" s="15" t="s">
        <v>84</v>
      </c>
      <c r="C39" s="15" t="s">
        <v>194</v>
      </c>
      <c r="D39" s="16">
        <v>6914189.9396000002</v>
      </c>
      <c r="E39" s="16">
        <v>1567451.9132999999</v>
      </c>
      <c r="F39" s="17">
        <f t="shared" si="0"/>
        <v>8481641.8529000003</v>
      </c>
      <c r="G39" s="18"/>
      <c r="H39" s="18"/>
      <c r="I39" s="19"/>
      <c r="J39" s="19"/>
      <c r="K39" s="19"/>
      <c r="L39" s="19"/>
      <c r="M39" s="18"/>
      <c r="N39" s="18"/>
      <c r="O39" s="19"/>
      <c r="P39" s="19"/>
      <c r="Q39" s="19"/>
    </row>
    <row r="40" spans="1:17" ht="17.649999999999999">
      <c r="A40" s="14">
        <v>35</v>
      </c>
      <c r="B40" s="15" t="s">
        <v>84</v>
      </c>
      <c r="C40" s="15" t="s">
        <v>196</v>
      </c>
      <c r="D40" s="16">
        <v>7832638.9404999996</v>
      </c>
      <c r="E40" s="16">
        <v>1775664.9731999999</v>
      </c>
      <c r="F40" s="17">
        <f t="shared" si="0"/>
        <v>9608303.9136999995</v>
      </c>
      <c r="G40" s="18"/>
      <c r="H40" s="18"/>
      <c r="I40" s="19"/>
      <c r="J40" s="19"/>
      <c r="K40" s="19"/>
      <c r="L40" s="19"/>
      <c r="M40" s="18"/>
      <c r="N40" s="18"/>
      <c r="O40" s="19"/>
      <c r="P40" s="19"/>
      <c r="Q40" s="19"/>
    </row>
    <row r="41" spans="1:17" ht="17.649999999999999">
      <c r="A41" s="14">
        <v>36</v>
      </c>
      <c r="B41" s="15" t="s">
        <v>84</v>
      </c>
      <c r="C41" s="15" t="s">
        <v>198</v>
      </c>
      <c r="D41" s="16">
        <v>9859082.8977000006</v>
      </c>
      <c r="E41" s="16">
        <v>2235061.2995000002</v>
      </c>
      <c r="F41" s="17">
        <f t="shared" si="0"/>
        <v>12094144.1972</v>
      </c>
      <c r="G41" s="18"/>
      <c r="H41" s="18"/>
      <c r="I41" s="19"/>
      <c r="J41" s="19"/>
      <c r="K41" s="19"/>
      <c r="L41" s="19"/>
      <c r="M41" s="18"/>
      <c r="N41" s="18"/>
      <c r="O41" s="19"/>
      <c r="P41" s="19"/>
      <c r="Q41" s="19"/>
    </row>
    <row r="42" spans="1:17" ht="17.649999999999999">
      <c r="A42" s="14">
        <v>37</v>
      </c>
      <c r="B42" s="15" t="s">
        <v>84</v>
      </c>
      <c r="C42" s="15" t="s">
        <v>200</v>
      </c>
      <c r="D42" s="16">
        <v>8447073.5489000008</v>
      </c>
      <c r="E42" s="16">
        <v>1914957.7479999999</v>
      </c>
      <c r="F42" s="17">
        <f t="shared" si="0"/>
        <v>10362031.2969</v>
      </c>
      <c r="G42" s="18"/>
      <c r="H42" s="18"/>
      <c r="I42" s="19"/>
      <c r="J42" s="19"/>
      <c r="K42" s="19"/>
      <c r="L42" s="19"/>
      <c r="M42" s="18"/>
      <c r="N42" s="18"/>
      <c r="O42" s="19"/>
      <c r="P42" s="19"/>
      <c r="Q42" s="19"/>
    </row>
    <row r="43" spans="1:17" ht="17.649999999999999">
      <c r="A43" s="14">
        <v>38</v>
      </c>
      <c r="B43" s="15" t="s">
        <v>84</v>
      </c>
      <c r="C43" s="15" t="s">
        <v>202</v>
      </c>
      <c r="D43" s="16">
        <v>8185851.5656000003</v>
      </c>
      <c r="E43" s="16">
        <v>1855738.5334999999</v>
      </c>
      <c r="F43" s="17">
        <f t="shared" si="0"/>
        <v>10041590.099100001</v>
      </c>
      <c r="G43" s="18"/>
      <c r="H43" s="18"/>
      <c r="I43" s="19"/>
      <c r="J43" s="19"/>
      <c r="K43" s="19"/>
      <c r="L43" s="19"/>
      <c r="M43" s="18"/>
      <c r="N43" s="18"/>
      <c r="O43" s="19"/>
      <c r="P43" s="19"/>
      <c r="Q43" s="19"/>
    </row>
    <row r="44" spans="1:17" ht="17.649999999999999">
      <c r="A44" s="14">
        <v>39</v>
      </c>
      <c r="B44" s="15" t="s">
        <v>85</v>
      </c>
      <c r="C44" s="15" t="s">
        <v>207</v>
      </c>
      <c r="D44" s="16">
        <v>7860352.6584999999</v>
      </c>
      <c r="E44" s="16">
        <v>1781947.6932999999</v>
      </c>
      <c r="F44" s="17">
        <f t="shared" si="0"/>
        <v>9642300.3518000003</v>
      </c>
      <c r="G44" s="18"/>
      <c r="H44" s="18"/>
      <c r="I44" s="19"/>
      <c r="J44" s="19"/>
      <c r="K44" s="19"/>
      <c r="L44" s="19"/>
      <c r="M44" s="18"/>
      <c r="N44" s="18"/>
      <c r="O44" s="19"/>
      <c r="P44" s="19"/>
      <c r="Q44" s="19"/>
    </row>
    <row r="45" spans="1:17" ht="17.649999999999999">
      <c r="A45" s="14">
        <v>40</v>
      </c>
      <c r="B45" s="15" t="s">
        <v>85</v>
      </c>
      <c r="C45" s="15" t="s">
        <v>208</v>
      </c>
      <c r="D45" s="16">
        <v>6137351.4044000003</v>
      </c>
      <c r="E45" s="16">
        <v>1391342.0496</v>
      </c>
      <c r="F45" s="17">
        <f t="shared" si="0"/>
        <v>7528693.4539999999</v>
      </c>
      <c r="G45" s="18"/>
      <c r="H45" s="18"/>
      <c r="I45" s="19"/>
      <c r="J45" s="19"/>
      <c r="K45" s="19"/>
      <c r="L45" s="19"/>
      <c r="M45" s="18"/>
      <c r="N45" s="18"/>
      <c r="O45" s="19"/>
      <c r="P45" s="19"/>
      <c r="Q45" s="19"/>
    </row>
    <row r="46" spans="1:17" ht="17.649999999999999">
      <c r="A46" s="14">
        <v>41</v>
      </c>
      <c r="B46" s="15" t="s">
        <v>85</v>
      </c>
      <c r="C46" s="15" t="s">
        <v>210</v>
      </c>
      <c r="D46" s="16">
        <v>8103042.5433999998</v>
      </c>
      <c r="E46" s="16">
        <v>1836965.6676</v>
      </c>
      <c r="F46" s="17">
        <f t="shared" si="0"/>
        <v>9940008.2109999992</v>
      </c>
      <c r="G46" s="18"/>
      <c r="H46" s="18"/>
      <c r="I46" s="19"/>
      <c r="J46" s="19"/>
      <c r="K46" s="19"/>
      <c r="L46" s="19"/>
      <c r="M46" s="18"/>
      <c r="N46" s="18"/>
      <c r="O46" s="19"/>
      <c r="P46" s="19"/>
      <c r="Q46" s="19"/>
    </row>
    <row r="47" spans="1:17" ht="17.649999999999999">
      <c r="A47" s="14">
        <v>42</v>
      </c>
      <c r="B47" s="15" t="s">
        <v>85</v>
      </c>
      <c r="C47" s="15" t="s">
        <v>212</v>
      </c>
      <c r="D47" s="16">
        <v>6211902.4789000005</v>
      </c>
      <c r="E47" s="16">
        <v>1408242.8326000001</v>
      </c>
      <c r="F47" s="17">
        <f t="shared" si="0"/>
        <v>7620145.3115000008</v>
      </c>
      <c r="G47" s="18"/>
      <c r="H47" s="18"/>
      <c r="I47" s="19"/>
      <c r="J47" s="19"/>
      <c r="K47" s="19"/>
      <c r="L47" s="19"/>
      <c r="M47" s="18"/>
      <c r="N47" s="18"/>
      <c r="O47" s="19"/>
      <c r="P47" s="19"/>
      <c r="Q47" s="19"/>
    </row>
    <row r="48" spans="1:17" ht="17.649999999999999">
      <c r="A48" s="14">
        <v>43</v>
      </c>
      <c r="B48" s="15" t="s">
        <v>85</v>
      </c>
      <c r="C48" s="15" t="s">
        <v>214</v>
      </c>
      <c r="D48" s="16">
        <v>8347776.9046</v>
      </c>
      <c r="E48" s="16">
        <v>1892447.1262000001</v>
      </c>
      <c r="F48" s="17">
        <f t="shared" si="0"/>
        <v>10240224.0308</v>
      </c>
      <c r="G48" s="18"/>
      <c r="H48" s="18"/>
      <c r="I48" s="19"/>
      <c r="J48" s="19"/>
      <c r="K48" s="19"/>
      <c r="L48" s="19"/>
      <c r="M48" s="18"/>
      <c r="N48" s="18"/>
      <c r="O48" s="19"/>
      <c r="P48" s="19"/>
      <c r="Q48" s="19"/>
    </row>
    <row r="49" spans="1:17" ht="17.649999999999999">
      <c r="A49" s="14">
        <v>44</v>
      </c>
      <c r="B49" s="15" t="s">
        <v>85</v>
      </c>
      <c r="C49" s="15" t="s">
        <v>216</v>
      </c>
      <c r="D49" s="16">
        <v>7276027.9241000004</v>
      </c>
      <c r="E49" s="16">
        <v>1649480.8489000001</v>
      </c>
      <c r="F49" s="17">
        <f t="shared" si="0"/>
        <v>8925508.773</v>
      </c>
      <c r="G49" s="18"/>
      <c r="H49" s="18"/>
      <c r="I49" s="19"/>
      <c r="J49" s="19"/>
      <c r="K49" s="19"/>
      <c r="L49" s="19"/>
      <c r="M49" s="18"/>
      <c r="N49" s="18"/>
      <c r="O49" s="19"/>
      <c r="P49" s="19"/>
      <c r="Q49" s="19"/>
    </row>
    <row r="50" spans="1:17" ht="17.649999999999999">
      <c r="A50" s="14">
        <v>45</v>
      </c>
      <c r="B50" s="15" t="s">
        <v>85</v>
      </c>
      <c r="C50" s="15" t="s">
        <v>218</v>
      </c>
      <c r="D50" s="16">
        <v>8252282.8951000003</v>
      </c>
      <c r="E50" s="16">
        <v>1870798.5644</v>
      </c>
      <c r="F50" s="17">
        <f t="shared" si="0"/>
        <v>10123081.4595</v>
      </c>
      <c r="G50" s="18"/>
      <c r="H50" s="18"/>
      <c r="I50" s="19"/>
      <c r="J50" s="19"/>
      <c r="K50" s="19"/>
      <c r="L50" s="19"/>
      <c r="M50" s="18"/>
      <c r="N50" s="18"/>
      <c r="O50" s="19"/>
      <c r="P50" s="19"/>
      <c r="Q50" s="19"/>
    </row>
    <row r="51" spans="1:17" ht="17.649999999999999">
      <c r="A51" s="14">
        <v>46</v>
      </c>
      <c r="B51" s="15" t="s">
        <v>85</v>
      </c>
      <c r="C51" s="15" t="s">
        <v>220</v>
      </c>
      <c r="D51" s="16">
        <v>6612133.8985000001</v>
      </c>
      <c r="E51" s="16">
        <v>1498975.588</v>
      </c>
      <c r="F51" s="17">
        <f t="shared" si="0"/>
        <v>8111109.4865000006</v>
      </c>
      <c r="G51" s="18"/>
      <c r="H51" s="18"/>
      <c r="I51" s="19"/>
      <c r="J51" s="19"/>
      <c r="K51" s="19"/>
      <c r="L51" s="19"/>
      <c r="M51" s="18"/>
      <c r="N51" s="18"/>
      <c r="O51" s="19"/>
      <c r="P51" s="19"/>
      <c r="Q51" s="19"/>
    </row>
    <row r="52" spans="1:17" ht="35.25">
      <c r="A52" s="14">
        <v>47</v>
      </c>
      <c r="B52" s="15" t="s">
        <v>85</v>
      </c>
      <c r="C52" s="15" t="s">
        <v>222</v>
      </c>
      <c r="D52" s="16">
        <v>7673610.1738999998</v>
      </c>
      <c r="E52" s="16">
        <v>1739613.0355</v>
      </c>
      <c r="F52" s="17">
        <f t="shared" si="0"/>
        <v>9413223.2094000001</v>
      </c>
      <c r="G52" s="18"/>
      <c r="H52" s="18"/>
      <c r="I52" s="19"/>
      <c r="J52" s="19"/>
      <c r="K52" s="19"/>
      <c r="L52" s="19"/>
      <c r="M52" s="18"/>
      <c r="N52" s="18"/>
      <c r="O52" s="19"/>
      <c r="P52" s="19"/>
      <c r="Q52" s="19"/>
    </row>
    <row r="53" spans="1:17" ht="17.649999999999999">
      <c r="A53" s="14">
        <v>48</v>
      </c>
      <c r="B53" s="15" t="s">
        <v>85</v>
      </c>
      <c r="C53" s="15" t="s">
        <v>224</v>
      </c>
      <c r="D53" s="16">
        <v>8348532.6205000002</v>
      </c>
      <c r="E53" s="16">
        <v>1892618.4475</v>
      </c>
      <c r="F53" s="17">
        <f t="shared" si="0"/>
        <v>10241151.068</v>
      </c>
      <c r="G53" s="18"/>
      <c r="H53" s="18"/>
      <c r="I53" s="19"/>
      <c r="J53" s="19"/>
      <c r="K53" s="19"/>
      <c r="L53" s="19"/>
      <c r="M53" s="18"/>
      <c r="N53" s="18"/>
      <c r="O53" s="19"/>
      <c r="P53" s="19"/>
      <c r="Q53" s="19"/>
    </row>
    <row r="54" spans="1:17" ht="17.649999999999999">
      <c r="A54" s="14">
        <v>49</v>
      </c>
      <c r="B54" s="15" t="s">
        <v>85</v>
      </c>
      <c r="C54" s="15" t="s">
        <v>226</v>
      </c>
      <c r="D54" s="16">
        <v>6425261.8811999997</v>
      </c>
      <c r="E54" s="16">
        <v>1456611.5651</v>
      </c>
      <c r="F54" s="17">
        <f t="shared" si="0"/>
        <v>7881873.4463</v>
      </c>
      <c r="G54" s="18"/>
      <c r="H54" s="18"/>
      <c r="I54" s="19"/>
      <c r="J54" s="19"/>
      <c r="K54" s="19"/>
      <c r="L54" s="19"/>
      <c r="M54" s="18"/>
      <c r="N54" s="18"/>
      <c r="O54" s="19"/>
      <c r="P54" s="19"/>
      <c r="Q54" s="19"/>
    </row>
    <row r="55" spans="1:17" ht="17.649999999999999">
      <c r="A55" s="14">
        <v>50</v>
      </c>
      <c r="B55" s="15" t="s">
        <v>85</v>
      </c>
      <c r="C55" s="15" t="s">
        <v>228</v>
      </c>
      <c r="D55" s="16">
        <v>7599930.2274000002</v>
      </c>
      <c r="E55" s="16">
        <v>1722909.7378</v>
      </c>
      <c r="F55" s="17">
        <f t="shared" si="0"/>
        <v>9322839.9651999995</v>
      </c>
      <c r="G55" s="18"/>
      <c r="H55" s="18"/>
      <c r="I55" s="19"/>
      <c r="J55" s="19"/>
      <c r="K55" s="19"/>
      <c r="L55" s="19"/>
      <c r="M55" s="18"/>
      <c r="N55" s="18"/>
      <c r="O55" s="19"/>
      <c r="P55" s="19"/>
      <c r="Q55" s="19"/>
    </row>
    <row r="56" spans="1:17" ht="17.649999999999999">
      <c r="A56" s="14">
        <v>51</v>
      </c>
      <c r="B56" s="15" t="s">
        <v>85</v>
      </c>
      <c r="C56" s="15" t="s">
        <v>230</v>
      </c>
      <c r="D56" s="16">
        <v>7602072.9753999999</v>
      </c>
      <c r="E56" s="16">
        <v>1723395.5004</v>
      </c>
      <c r="F56" s="17">
        <f t="shared" si="0"/>
        <v>9325468.4758000001</v>
      </c>
      <c r="G56" s="18"/>
      <c r="H56" s="18"/>
      <c r="I56" s="19"/>
      <c r="J56" s="19"/>
      <c r="K56" s="19"/>
      <c r="L56" s="19"/>
      <c r="M56" s="18"/>
      <c r="N56" s="18"/>
      <c r="O56" s="19"/>
      <c r="P56" s="19"/>
      <c r="Q56" s="19"/>
    </row>
    <row r="57" spans="1:17" ht="17.649999999999999">
      <c r="A57" s="14">
        <v>52</v>
      </c>
      <c r="B57" s="15" t="s">
        <v>85</v>
      </c>
      <c r="C57" s="15" t="s">
        <v>232</v>
      </c>
      <c r="D57" s="16">
        <v>7840407.3838999998</v>
      </c>
      <c r="E57" s="16">
        <v>1777426.085</v>
      </c>
      <c r="F57" s="17">
        <f t="shared" si="0"/>
        <v>9617833.4688999988</v>
      </c>
      <c r="G57" s="18"/>
      <c r="H57" s="18"/>
      <c r="I57" s="19"/>
      <c r="J57" s="19"/>
      <c r="K57" s="19"/>
      <c r="L57" s="19"/>
      <c r="M57" s="18"/>
      <c r="N57" s="18"/>
      <c r="O57" s="19"/>
      <c r="P57" s="19"/>
      <c r="Q57" s="19"/>
    </row>
    <row r="58" spans="1:17" ht="17.649999999999999">
      <c r="A58" s="14">
        <v>53</v>
      </c>
      <c r="B58" s="15" t="s">
        <v>85</v>
      </c>
      <c r="C58" s="15" t="s">
        <v>234</v>
      </c>
      <c r="D58" s="16">
        <v>7162980.4962999998</v>
      </c>
      <c r="E58" s="16">
        <v>1623852.9143999999</v>
      </c>
      <c r="F58" s="17">
        <f t="shared" si="0"/>
        <v>8786833.410699999</v>
      </c>
      <c r="G58" s="18"/>
      <c r="H58" s="18"/>
      <c r="I58" s="19"/>
      <c r="J58" s="19"/>
      <c r="K58" s="19"/>
      <c r="L58" s="19"/>
      <c r="M58" s="18"/>
      <c r="N58" s="18"/>
      <c r="O58" s="19"/>
      <c r="P58" s="19"/>
      <c r="Q58" s="19"/>
    </row>
    <row r="59" spans="1:17" ht="17.649999999999999">
      <c r="A59" s="14">
        <v>54</v>
      </c>
      <c r="B59" s="15" t="s">
        <v>85</v>
      </c>
      <c r="C59" s="15" t="s">
        <v>236</v>
      </c>
      <c r="D59" s="16">
        <v>7313763.9276000001</v>
      </c>
      <c r="E59" s="16">
        <v>1658035.6285000001</v>
      </c>
      <c r="F59" s="17">
        <f t="shared" si="0"/>
        <v>8971799.5560999997</v>
      </c>
      <c r="G59" s="18"/>
      <c r="H59" s="18"/>
      <c r="I59" s="19"/>
      <c r="J59" s="19"/>
      <c r="K59" s="19"/>
      <c r="L59" s="19"/>
      <c r="M59" s="18"/>
      <c r="N59" s="18"/>
      <c r="O59" s="19"/>
      <c r="P59" s="19"/>
      <c r="Q59" s="19"/>
    </row>
    <row r="60" spans="1:17" ht="17.649999999999999">
      <c r="A60" s="14">
        <v>55</v>
      </c>
      <c r="B60" s="15" t="s">
        <v>85</v>
      </c>
      <c r="C60" s="15" t="s">
        <v>238</v>
      </c>
      <c r="D60" s="16">
        <v>6826963.8765000002</v>
      </c>
      <c r="E60" s="16">
        <v>1547677.7009999999</v>
      </c>
      <c r="F60" s="17">
        <f t="shared" si="0"/>
        <v>8374641.5775000006</v>
      </c>
      <c r="G60" s="18"/>
      <c r="H60" s="18"/>
      <c r="I60" s="19"/>
      <c r="J60" s="19"/>
      <c r="K60" s="19"/>
      <c r="L60" s="19"/>
      <c r="M60" s="18"/>
      <c r="N60" s="18"/>
      <c r="O60" s="19"/>
      <c r="P60" s="19"/>
      <c r="Q60" s="19"/>
    </row>
    <row r="61" spans="1:17" ht="17.649999999999999">
      <c r="A61" s="14">
        <v>56</v>
      </c>
      <c r="B61" s="15" t="s">
        <v>85</v>
      </c>
      <c r="C61" s="15" t="s">
        <v>240</v>
      </c>
      <c r="D61" s="16">
        <v>8481851.3166000005</v>
      </c>
      <c r="E61" s="16">
        <v>1922841.8933999999</v>
      </c>
      <c r="F61" s="17">
        <f t="shared" si="0"/>
        <v>10404693.210000001</v>
      </c>
      <c r="G61" s="18"/>
      <c r="H61" s="18"/>
      <c r="I61" s="19"/>
      <c r="J61" s="19"/>
      <c r="K61" s="19"/>
      <c r="L61" s="19"/>
      <c r="M61" s="18"/>
      <c r="N61" s="18"/>
      <c r="O61" s="19"/>
      <c r="P61" s="19"/>
      <c r="Q61" s="19"/>
    </row>
    <row r="62" spans="1:17" ht="17.649999999999999">
      <c r="A62" s="14">
        <v>57</v>
      </c>
      <c r="B62" s="15" t="s">
        <v>85</v>
      </c>
      <c r="C62" s="15" t="s">
        <v>242</v>
      </c>
      <c r="D62" s="16">
        <v>7077476.9299999997</v>
      </c>
      <c r="E62" s="16">
        <v>1604469.1934</v>
      </c>
      <c r="F62" s="17">
        <f t="shared" si="0"/>
        <v>8681946.123399999</v>
      </c>
      <c r="G62" s="18"/>
      <c r="H62" s="18"/>
      <c r="I62" s="19"/>
      <c r="J62" s="19"/>
      <c r="K62" s="19"/>
      <c r="L62" s="19"/>
      <c r="M62" s="18"/>
      <c r="N62" s="18"/>
      <c r="O62" s="19"/>
      <c r="P62" s="19"/>
      <c r="Q62" s="19"/>
    </row>
    <row r="63" spans="1:17" ht="17.649999999999999">
      <c r="A63" s="14">
        <v>58</v>
      </c>
      <c r="B63" s="15" t="s">
        <v>85</v>
      </c>
      <c r="C63" s="15" t="s">
        <v>244</v>
      </c>
      <c r="D63" s="16">
        <v>7446685.7761000004</v>
      </c>
      <c r="E63" s="16">
        <v>1688169.1087</v>
      </c>
      <c r="F63" s="17">
        <f t="shared" si="0"/>
        <v>9134854.8848000001</v>
      </c>
      <c r="G63" s="18"/>
      <c r="H63" s="18"/>
      <c r="I63" s="19"/>
      <c r="J63" s="19"/>
      <c r="K63" s="19"/>
      <c r="L63" s="19"/>
      <c r="M63" s="18"/>
      <c r="N63" s="18"/>
      <c r="O63" s="19"/>
      <c r="P63" s="19"/>
      <c r="Q63" s="19"/>
    </row>
    <row r="64" spans="1:17" ht="17.649999999999999">
      <c r="A64" s="14">
        <v>59</v>
      </c>
      <c r="B64" s="15" t="s">
        <v>85</v>
      </c>
      <c r="C64" s="15" t="s">
        <v>246</v>
      </c>
      <c r="D64" s="16">
        <v>7745634.7928999998</v>
      </c>
      <c r="E64" s="16">
        <v>1755941.0693000001</v>
      </c>
      <c r="F64" s="17">
        <f t="shared" si="0"/>
        <v>9501575.8621999994</v>
      </c>
      <c r="G64" s="18"/>
      <c r="H64" s="18"/>
      <c r="I64" s="19"/>
      <c r="J64" s="19"/>
      <c r="K64" s="19"/>
      <c r="L64" s="19"/>
      <c r="M64" s="18"/>
      <c r="N64" s="18"/>
      <c r="O64" s="19"/>
      <c r="P64" s="19"/>
      <c r="Q64" s="19"/>
    </row>
    <row r="65" spans="1:17" ht="17.649999999999999">
      <c r="A65" s="14">
        <v>60</v>
      </c>
      <c r="B65" s="15" t="s">
        <v>85</v>
      </c>
      <c r="C65" s="15" t="s">
        <v>248</v>
      </c>
      <c r="D65" s="16">
        <v>6657575.8321000002</v>
      </c>
      <c r="E65" s="16">
        <v>1509277.3075999999</v>
      </c>
      <c r="F65" s="17">
        <f t="shared" si="0"/>
        <v>8166853.1397000002</v>
      </c>
      <c r="G65" s="18"/>
      <c r="H65" s="18"/>
      <c r="I65" s="19"/>
      <c r="J65" s="19"/>
      <c r="K65" s="19"/>
      <c r="L65" s="19"/>
      <c r="M65" s="18"/>
      <c r="N65" s="18"/>
      <c r="O65" s="19"/>
      <c r="P65" s="19"/>
      <c r="Q65" s="19"/>
    </row>
    <row r="66" spans="1:17" ht="17.649999999999999">
      <c r="A66" s="14">
        <v>61</v>
      </c>
      <c r="B66" s="15" t="s">
        <v>85</v>
      </c>
      <c r="C66" s="15" t="s">
        <v>250</v>
      </c>
      <c r="D66" s="16">
        <v>6951804.2827000003</v>
      </c>
      <c r="E66" s="16">
        <v>1575979.1124</v>
      </c>
      <c r="F66" s="17">
        <f t="shared" si="0"/>
        <v>8527783.3951000012</v>
      </c>
      <c r="G66" s="18"/>
      <c r="H66" s="18"/>
      <c r="I66" s="19"/>
      <c r="J66" s="19"/>
      <c r="K66" s="19"/>
      <c r="L66" s="19"/>
      <c r="M66" s="18"/>
      <c r="N66" s="18"/>
      <c r="O66" s="19"/>
      <c r="P66" s="19"/>
      <c r="Q66" s="19"/>
    </row>
    <row r="67" spans="1:17" ht="17.649999999999999">
      <c r="A67" s="14">
        <v>62</v>
      </c>
      <c r="B67" s="15" t="s">
        <v>85</v>
      </c>
      <c r="C67" s="15" t="s">
        <v>252</v>
      </c>
      <c r="D67" s="16">
        <v>7120602.7483000001</v>
      </c>
      <c r="E67" s="16">
        <v>1614245.8478999999</v>
      </c>
      <c r="F67" s="17">
        <f t="shared" si="0"/>
        <v>8734848.5962000005</v>
      </c>
      <c r="G67" s="18"/>
      <c r="H67" s="18"/>
      <c r="I67" s="19"/>
      <c r="J67" s="19"/>
      <c r="K67" s="19"/>
      <c r="L67" s="19"/>
      <c r="M67" s="18"/>
      <c r="N67" s="18"/>
      <c r="O67" s="19"/>
      <c r="P67" s="19"/>
      <c r="Q67" s="19"/>
    </row>
    <row r="68" spans="1:17" ht="17.649999999999999">
      <c r="A68" s="14">
        <v>63</v>
      </c>
      <c r="B68" s="15" t="s">
        <v>85</v>
      </c>
      <c r="C68" s="15" t="s">
        <v>254</v>
      </c>
      <c r="D68" s="16">
        <v>8389647.4372000005</v>
      </c>
      <c r="E68" s="16">
        <v>1901939.2065000001</v>
      </c>
      <c r="F68" s="17">
        <f t="shared" si="0"/>
        <v>10291586.6437</v>
      </c>
      <c r="G68" s="18"/>
      <c r="H68" s="18"/>
      <c r="I68" s="19"/>
      <c r="J68" s="19"/>
      <c r="K68" s="19"/>
      <c r="L68" s="19"/>
      <c r="M68" s="18"/>
      <c r="N68" s="18"/>
      <c r="O68" s="19"/>
      <c r="P68" s="19"/>
      <c r="Q68" s="19"/>
    </row>
    <row r="69" spans="1:17" ht="17.649999999999999">
      <c r="A69" s="14">
        <v>64</v>
      </c>
      <c r="B69" s="15" t="s">
        <v>85</v>
      </c>
      <c r="C69" s="15" t="s">
        <v>256</v>
      </c>
      <c r="D69" s="16">
        <v>6249504.6557999998</v>
      </c>
      <c r="E69" s="16">
        <v>1416767.2736</v>
      </c>
      <c r="F69" s="17">
        <f t="shared" si="0"/>
        <v>7666271.9293999998</v>
      </c>
      <c r="G69" s="18"/>
      <c r="H69" s="18"/>
      <c r="I69" s="19"/>
      <c r="J69" s="19"/>
      <c r="K69" s="19"/>
      <c r="L69" s="19"/>
      <c r="M69" s="18"/>
      <c r="N69" s="18"/>
      <c r="O69" s="19"/>
      <c r="P69" s="19"/>
      <c r="Q69" s="19"/>
    </row>
    <row r="70" spans="1:17" ht="17.649999999999999">
      <c r="A70" s="14">
        <v>65</v>
      </c>
      <c r="B70" s="15" t="s">
        <v>85</v>
      </c>
      <c r="C70" s="15" t="s">
        <v>258</v>
      </c>
      <c r="D70" s="16">
        <v>7668193.2483999999</v>
      </c>
      <c r="E70" s="16">
        <v>1738385.0146000001</v>
      </c>
      <c r="F70" s="17">
        <f t="shared" si="0"/>
        <v>9406578.2630000003</v>
      </c>
      <c r="G70" s="18"/>
      <c r="H70" s="18"/>
      <c r="I70" s="19"/>
      <c r="J70" s="19"/>
      <c r="K70" s="19"/>
      <c r="L70" s="19"/>
      <c r="M70" s="18"/>
      <c r="N70" s="18"/>
      <c r="O70" s="19"/>
      <c r="P70" s="19"/>
      <c r="Q70" s="19"/>
    </row>
    <row r="71" spans="1:17" ht="17.649999999999999">
      <c r="A71" s="14">
        <v>66</v>
      </c>
      <c r="B71" s="15" t="s">
        <v>85</v>
      </c>
      <c r="C71" s="15" t="s">
        <v>260</v>
      </c>
      <c r="D71" s="16">
        <v>6251730.1808000002</v>
      </c>
      <c r="E71" s="16">
        <v>1417271.8018</v>
      </c>
      <c r="F71" s="17">
        <f t="shared" ref="F71:F134" si="1">D71+E71</f>
        <v>7669001.9825999998</v>
      </c>
      <c r="G71" s="18"/>
      <c r="H71" s="18"/>
      <c r="I71" s="19"/>
      <c r="J71" s="19"/>
      <c r="K71" s="19"/>
      <c r="L71" s="19"/>
      <c r="M71" s="18"/>
      <c r="N71" s="18"/>
      <c r="O71" s="19"/>
      <c r="P71" s="19"/>
      <c r="Q71" s="19"/>
    </row>
    <row r="72" spans="1:17" ht="17.649999999999999">
      <c r="A72" s="14">
        <v>67</v>
      </c>
      <c r="B72" s="15" t="s">
        <v>85</v>
      </c>
      <c r="C72" s="15" t="s">
        <v>262</v>
      </c>
      <c r="D72" s="16">
        <v>8153259.7905999999</v>
      </c>
      <c r="E72" s="16">
        <v>1848349.9542</v>
      </c>
      <c r="F72" s="17">
        <f t="shared" si="1"/>
        <v>10001609.7448</v>
      </c>
      <c r="G72" s="18"/>
      <c r="H72" s="18"/>
      <c r="I72" s="19"/>
      <c r="J72" s="19"/>
      <c r="K72" s="19"/>
      <c r="L72" s="19"/>
      <c r="M72" s="18"/>
      <c r="N72" s="18"/>
      <c r="O72" s="19"/>
      <c r="P72" s="19"/>
      <c r="Q72" s="19"/>
    </row>
    <row r="73" spans="1:17" ht="35.25">
      <c r="A73" s="14">
        <v>68</v>
      </c>
      <c r="B73" s="15" t="s">
        <v>85</v>
      </c>
      <c r="C73" s="15" t="s">
        <v>264</v>
      </c>
      <c r="D73" s="16">
        <v>6746421.1004999997</v>
      </c>
      <c r="E73" s="16">
        <v>1529418.5948999999</v>
      </c>
      <c r="F73" s="17">
        <f t="shared" si="1"/>
        <v>8275839.6953999996</v>
      </c>
      <c r="G73" s="18"/>
      <c r="H73" s="18"/>
      <c r="I73" s="19"/>
      <c r="J73" s="19"/>
      <c r="K73" s="19"/>
      <c r="L73" s="19"/>
      <c r="M73" s="18"/>
      <c r="N73" s="18"/>
      <c r="O73" s="19"/>
      <c r="P73" s="19"/>
      <c r="Q73" s="19"/>
    </row>
    <row r="74" spans="1:17" ht="17.649999999999999">
      <c r="A74" s="14">
        <v>69</v>
      </c>
      <c r="B74" s="15" t="s">
        <v>85</v>
      </c>
      <c r="C74" s="15" t="s">
        <v>266</v>
      </c>
      <c r="D74" s="16">
        <v>10197544.473200001</v>
      </c>
      <c r="E74" s="16">
        <v>2311790.7861000001</v>
      </c>
      <c r="F74" s="17">
        <f t="shared" si="1"/>
        <v>12509335.259300001</v>
      </c>
      <c r="G74" s="18"/>
      <c r="H74" s="18"/>
      <c r="I74" s="19"/>
      <c r="J74" s="19"/>
      <c r="K74" s="19"/>
      <c r="L74" s="19"/>
      <c r="M74" s="18"/>
      <c r="N74" s="18"/>
      <c r="O74" s="19"/>
      <c r="P74" s="19"/>
      <c r="Q74" s="19"/>
    </row>
    <row r="75" spans="1:17" ht="17.649999999999999">
      <c r="A75" s="14">
        <v>70</v>
      </c>
      <c r="B75" s="15" t="s">
        <v>86</v>
      </c>
      <c r="C75" s="15" t="s">
        <v>271</v>
      </c>
      <c r="D75" s="16">
        <v>11469970.766899999</v>
      </c>
      <c r="E75" s="16">
        <v>2600250.7570000002</v>
      </c>
      <c r="F75" s="17">
        <f t="shared" si="1"/>
        <v>14070221.523899999</v>
      </c>
      <c r="G75" s="18"/>
      <c r="H75" s="18"/>
      <c r="I75" s="19"/>
      <c r="J75" s="19"/>
      <c r="K75" s="19"/>
      <c r="L75" s="19"/>
      <c r="M75" s="18"/>
      <c r="N75" s="18"/>
      <c r="O75" s="19"/>
      <c r="P75" s="19"/>
      <c r="Q75" s="19"/>
    </row>
    <row r="76" spans="1:17" ht="17.649999999999999">
      <c r="A76" s="14">
        <v>71</v>
      </c>
      <c r="B76" s="15" t="s">
        <v>86</v>
      </c>
      <c r="C76" s="15" t="s">
        <v>273</v>
      </c>
      <c r="D76" s="16">
        <v>7543305.5806</v>
      </c>
      <c r="E76" s="16">
        <v>1710072.889</v>
      </c>
      <c r="F76" s="17">
        <f t="shared" si="1"/>
        <v>9253378.4695999995</v>
      </c>
      <c r="G76" s="18"/>
      <c r="H76" s="18"/>
      <c r="I76" s="19"/>
      <c r="J76" s="19"/>
      <c r="K76" s="19"/>
      <c r="L76" s="19"/>
      <c r="M76" s="18"/>
      <c r="N76" s="18"/>
      <c r="O76" s="19"/>
      <c r="P76" s="19"/>
      <c r="Q76" s="19"/>
    </row>
    <row r="77" spans="1:17" ht="17.649999999999999">
      <c r="A77" s="14">
        <v>72</v>
      </c>
      <c r="B77" s="15" t="s">
        <v>86</v>
      </c>
      <c r="C77" s="15" t="s">
        <v>275</v>
      </c>
      <c r="D77" s="16">
        <v>7759928.2558000004</v>
      </c>
      <c r="E77" s="16">
        <v>1759181.4077999999</v>
      </c>
      <c r="F77" s="17">
        <f t="shared" si="1"/>
        <v>9519109.6635999996</v>
      </c>
      <c r="G77" s="18"/>
      <c r="H77" s="18"/>
      <c r="I77" s="19"/>
      <c r="J77" s="19"/>
      <c r="K77" s="19"/>
      <c r="L77" s="19"/>
      <c r="M77" s="18"/>
      <c r="N77" s="18"/>
      <c r="O77" s="19"/>
      <c r="P77" s="19"/>
      <c r="Q77" s="19"/>
    </row>
    <row r="78" spans="1:17" ht="17.649999999999999">
      <c r="A78" s="14">
        <v>73</v>
      </c>
      <c r="B78" s="15" t="s">
        <v>86</v>
      </c>
      <c r="C78" s="15" t="s">
        <v>277</v>
      </c>
      <c r="D78" s="16">
        <v>9379387.1557</v>
      </c>
      <c r="E78" s="16">
        <v>2126313.9241999998</v>
      </c>
      <c r="F78" s="17">
        <f t="shared" si="1"/>
        <v>11505701.0799</v>
      </c>
      <c r="G78" s="18"/>
      <c r="H78" s="18"/>
      <c r="I78" s="19"/>
      <c r="J78" s="19"/>
      <c r="K78" s="19"/>
      <c r="L78" s="19"/>
      <c r="M78" s="18"/>
      <c r="N78" s="18"/>
      <c r="O78" s="19"/>
      <c r="P78" s="19"/>
      <c r="Q78" s="19"/>
    </row>
    <row r="79" spans="1:17" ht="17.649999999999999">
      <c r="A79" s="14">
        <v>74</v>
      </c>
      <c r="B79" s="15" t="s">
        <v>86</v>
      </c>
      <c r="C79" s="15" t="s">
        <v>279</v>
      </c>
      <c r="D79" s="16">
        <v>7123339.3991999999</v>
      </c>
      <c r="E79" s="16">
        <v>1614866.2487000001</v>
      </c>
      <c r="F79" s="17">
        <f t="shared" si="1"/>
        <v>8738205.6479000002</v>
      </c>
      <c r="G79" s="18"/>
      <c r="H79" s="18"/>
      <c r="I79" s="19"/>
      <c r="J79" s="19"/>
      <c r="K79" s="19"/>
      <c r="L79" s="19"/>
      <c r="M79" s="18"/>
      <c r="N79" s="18"/>
      <c r="O79" s="19"/>
      <c r="P79" s="19"/>
      <c r="Q79" s="19"/>
    </row>
    <row r="80" spans="1:17" ht="17.649999999999999">
      <c r="A80" s="14">
        <v>75</v>
      </c>
      <c r="B80" s="15" t="s">
        <v>86</v>
      </c>
      <c r="C80" s="15" t="s">
        <v>281</v>
      </c>
      <c r="D80" s="16">
        <v>8200552.0689000003</v>
      </c>
      <c r="E80" s="16">
        <v>1859071.1483</v>
      </c>
      <c r="F80" s="17">
        <f t="shared" si="1"/>
        <v>10059623.2172</v>
      </c>
      <c r="G80" s="18"/>
      <c r="H80" s="18"/>
      <c r="I80" s="19"/>
      <c r="J80" s="19"/>
      <c r="K80" s="19"/>
      <c r="L80" s="19"/>
      <c r="M80" s="18"/>
      <c r="N80" s="18"/>
      <c r="O80" s="19"/>
      <c r="P80" s="19"/>
      <c r="Q80" s="19"/>
    </row>
    <row r="81" spans="1:17" ht="17.649999999999999">
      <c r="A81" s="14">
        <v>76</v>
      </c>
      <c r="B81" s="15" t="s">
        <v>86</v>
      </c>
      <c r="C81" s="15" t="s">
        <v>283</v>
      </c>
      <c r="D81" s="16">
        <v>7600061.8249000004</v>
      </c>
      <c r="E81" s="16">
        <v>1722939.5711000001</v>
      </c>
      <c r="F81" s="17">
        <f t="shared" si="1"/>
        <v>9323001.3959999997</v>
      </c>
      <c r="G81" s="18"/>
      <c r="H81" s="18"/>
      <c r="I81" s="19"/>
      <c r="J81" s="19"/>
      <c r="K81" s="19"/>
      <c r="L81" s="19"/>
      <c r="M81" s="18"/>
      <c r="N81" s="18"/>
      <c r="O81" s="19"/>
      <c r="P81" s="19"/>
      <c r="Q81" s="19"/>
    </row>
    <row r="82" spans="1:17" ht="17.649999999999999">
      <c r="A82" s="14">
        <v>77</v>
      </c>
      <c r="B82" s="15" t="s">
        <v>86</v>
      </c>
      <c r="C82" s="15" t="s">
        <v>285</v>
      </c>
      <c r="D82" s="16">
        <v>6795399.6063999999</v>
      </c>
      <c r="E82" s="16">
        <v>1540522.0578999999</v>
      </c>
      <c r="F82" s="17">
        <f t="shared" si="1"/>
        <v>8335921.6643000003</v>
      </c>
      <c r="G82" s="18"/>
      <c r="H82" s="18"/>
      <c r="I82" s="19"/>
      <c r="J82" s="19"/>
      <c r="K82" s="19"/>
      <c r="L82" s="19"/>
      <c r="M82" s="18"/>
      <c r="N82" s="18"/>
      <c r="O82" s="19"/>
      <c r="P82" s="19"/>
      <c r="Q82" s="19"/>
    </row>
    <row r="83" spans="1:17" ht="17.649999999999999">
      <c r="A83" s="14">
        <v>78</v>
      </c>
      <c r="B83" s="15" t="s">
        <v>86</v>
      </c>
      <c r="C83" s="15" t="s">
        <v>287</v>
      </c>
      <c r="D83" s="16">
        <v>7547565.0827000001</v>
      </c>
      <c r="E83" s="16">
        <v>1711038.5212000001</v>
      </c>
      <c r="F83" s="17">
        <f t="shared" si="1"/>
        <v>9258603.6039000005</v>
      </c>
      <c r="G83" s="18"/>
      <c r="H83" s="18"/>
      <c r="I83" s="19"/>
      <c r="J83" s="19"/>
      <c r="K83" s="19"/>
      <c r="L83" s="19"/>
      <c r="M83" s="18"/>
      <c r="N83" s="18"/>
      <c r="O83" s="19"/>
      <c r="P83" s="19"/>
      <c r="Q83" s="19"/>
    </row>
    <row r="84" spans="1:17" ht="17.649999999999999">
      <c r="A84" s="14">
        <v>79</v>
      </c>
      <c r="B84" s="15" t="s">
        <v>86</v>
      </c>
      <c r="C84" s="15" t="s">
        <v>289</v>
      </c>
      <c r="D84" s="16">
        <v>11940520.038799999</v>
      </c>
      <c r="E84" s="16">
        <v>2706924.6209</v>
      </c>
      <c r="F84" s="17">
        <f t="shared" si="1"/>
        <v>14647444.659699999</v>
      </c>
      <c r="G84" s="18"/>
      <c r="H84" s="18"/>
      <c r="I84" s="19"/>
      <c r="J84" s="19"/>
      <c r="K84" s="19"/>
      <c r="L84" s="19"/>
      <c r="M84" s="18"/>
      <c r="N84" s="18"/>
      <c r="O84" s="19"/>
      <c r="P84" s="19"/>
      <c r="Q84" s="19"/>
    </row>
    <row r="85" spans="1:17" ht="17.649999999999999">
      <c r="A85" s="14">
        <v>80</v>
      </c>
      <c r="B85" s="15" t="s">
        <v>86</v>
      </c>
      <c r="C85" s="15" t="s">
        <v>291</v>
      </c>
      <c r="D85" s="16">
        <v>8298675.8466999996</v>
      </c>
      <c r="E85" s="16">
        <v>1881315.8805</v>
      </c>
      <c r="F85" s="17">
        <f t="shared" si="1"/>
        <v>10179991.7272</v>
      </c>
      <c r="G85" s="18"/>
      <c r="H85" s="18"/>
      <c r="I85" s="19"/>
      <c r="J85" s="19"/>
      <c r="K85" s="19"/>
      <c r="L85" s="19"/>
      <c r="M85" s="18"/>
      <c r="N85" s="18"/>
      <c r="O85" s="19"/>
      <c r="P85" s="19"/>
      <c r="Q85" s="19"/>
    </row>
    <row r="86" spans="1:17" ht="17.649999999999999">
      <c r="A86" s="14">
        <v>81</v>
      </c>
      <c r="B86" s="15" t="s">
        <v>86</v>
      </c>
      <c r="C86" s="15" t="s">
        <v>293</v>
      </c>
      <c r="D86" s="16">
        <v>10145964.419299999</v>
      </c>
      <c r="E86" s="16">
        <v>2300097.5501999999</v>
      </c>
      <c r="F86" s="17">
        <f t="shared" si="1"/>
        <v>12446061.9695</v>
      </c>
      <c r="G86" s="18"/>
      <c r="H86" s="18"/>
      <c r="I86" s="19"/>
      <c r="J86" s="19"/>
      <c r="K86" s="19"/>
      <c r="L86" s="19"/>
      <c r="M86" s="18"/>
      <c r="N86" s="18"/>
      <c r="O86" s="19"/>
      <c r="P86" s="19"/>
      <c r="Q86" s="19"/>
    </row>
    <row r="87" spans="1:17" ht="17.649999999999999">
      <c r="A87" s="14">
        <v>82</v>
      </c>
      <c r="B87" s="15" t="s">
        <v>86</v>
      </c>
      <c r="C87" s="15" t="s">
        <v>295</v>
      </c>
      <c r="D87" s="16">
        <v>7454694.1584000001</v>
      </c>
      <c r="E87" s="16">
        <v>1689984.6148000001</v>
      </c>
      <c r="F87" s="17">
        <f t="shared" si="1"/>
        <v>9144678.7731999997</v>
      </c>
      <c r="G87" s="18"/>
      <c r="H87" s="18"/>
      <c r="I87" s="19"/>
      <c r="J87" s="19"/>
      <c r="K87" s="19"/>
      <c r="L87" s="19"/>
      <c r="M87" s="18"/>
      <c r="N87" s="18"/>
      <c r="O87" s="19"/>
      <c r="P87" s="19"/>
      <c r="Q87" s="19"/>
    </row>
    <row r="88" spans="1:17" ht="17.649999999999999">
      <c r="A88" s="14">
        <v>83</v>
      </c>
      <c r="B88" s="15" t="s">
        <v>86</v>
      </c>
      <c r="C88" s="15" t="s">
        <v>297</v>
      </c>
      <c r="D88" s="16">
        <v>7391373.6166000003</v>
      </c>
      <c r="E88" s="16">
        <v>1675629.8017</v>
      </c>
      <c r="F88" s="17">
        <f t="shared" si="1"/>
        <v>9067003.418300001</v>
      </c>
      <c r="G88" s="18"/>
      <c r="H88" s="18"/>
      <c r="I88" s="19"/>
      <c r="J88" s="19"/>
      <c r="K88" s="19"/>
      <c r="L88" s="19"/>
      <c r="M88" s="18"/>
      <c r="N88" s="18"/>
      <c r="O88" s="19"/>
      <c r="P88" s="19"/>
      <c r="Q88" s="19"/>
    </row>
    <row r="89" spans="1:17" ht="17.649999999999999">
      <c r="A89" s="14">
        <v>84</v>
      </c>
      <c r="B89" s="15" t="s">
        <v>86</v>
      </c>
      <c r="C89" s="15" t="s">
        <v>299</v>
      </c>
      <c r="D89" s="16">
        <v>8871266.8374000005</v>
      </c>
      <c r="E89" s="16">
        <v>2011122.6765999999</v>
      </c>
      <c r="F89" s="17">
        <f t="shared" si="1"/>
        <v>10882389.514</v>
      </c>
      <c r="G89" s="18"/>
      <c r="H89" s="18"/>
      <c r="I89" s="19"/>
      <c r="J89" s="19"/>
      <c r="K89" s="19"/>
      <c r="L89" s="19"/>
      <c r="M89" s="18"/>
      <c r="N89" s="18"/>
      <c r="O89" s="19"/>
      <c r="P89" s="19"/>
      <c r="Q89" s="19"/>
    </row>
    <row r="90" spans="1:17" ht="17.649999999999999">
      <c r="A90" s="14">
        <v>85</v>
      </c>
      <c r="B90" s="15" t="s">
        <v>86</v>
      </c>
      <c r="C90" s="15" t="s">
        <v>301</v>
      </c>
      <c r="D90" s="16">
        <v>8476746.4965000004</v>
      </c>
      <c r="E90" s="16">
        <v>1921684.6269</v>
      </c>
      <c r="F90" s="17">
        <f t="shared" si="1"/>
        <v>10398431.123400001</v>
      </c>
      <c r="G90" s="18"/>
      <c r="H90" s="18"/>
      <c r="I90" s="19"/>
      <c r="J90" s="19"/>
      <c r="K90" s="19"/>
      <c r="L90" s="19"/>
      <c r="M90" s="18"/>
      <c r="N90" s="18"/>
      <c r="O90" s="19"/>
      <c r="P90" s="19"/>
      <c r="Q90" s="19"/>
    </row>
    <row r="91" spans="1:17" ht="17.649999999999999">
      <c r="A91" s="14">
        <v>86</v>
      </c>
      <c r="B91" s="15" t="s">
        <v>86</v>
      </c>
      <c r="C91" s="15" t="s">
        <v>302</v>
      </c>
      <c r="D91" s="16">
        <v>7101172.1557999998</v>
      </c>
      <c r="E91" s="16">
        <v>1609840.9184000001</v>
      </c>
      <c r="F91" s="17">
        <f t="shared" si="1"/>
        <v>8711013.0742000006</v>
      </c>
      <c r="G91" s="18"/>
      <c r="H91" s="18"/>
      <c r="I91" s="19"/>
      <c r="J91" s="19"/>
      <c r="K91" s="19"/>
      <c r="L91" s="19"/>
      <c r="M91" s="18"/>
      <c r="N91" s="18"/>
      <c r="O91" s="19"/>
      <c r="P91" s="19"/>
      <c r="Q91" s="19"/>
    </row>
    <row r="92" spans="1:17" ht="17.649999999999999">
      <c r="A92" s="14">
        <v>87</v>
      </c>
      <c r="B92" s="15" t="s">
        <v>86</v>
      </c>
      <c r="C92" s="15" t="s">
        <v>304</v>
      </c>
      <c r="D92" s="16">
        <v>7358107.6867000004</v>
      </c>
      <c r="E92" s="16">
        <v>1668088.3910999999</v>
      </c>
      <c r="F92" s="17">
        <f t="shared" si="1"/>
        <v>9026196.0778000001</v>
      </c>
      <c r="G92" s="18"/>
      <c r="H92" s="18"/>
      <c r="I92" s="19"/>
      <c r="J92" s="19"/>
      <c r="K92" s="19"/>
      <c r="L92" s="19"/>
      <c r="M92" s="18"/>
      <c r="N92" s="18"/>
      <c r="O92" s="19"/>
      <c r="P92" s="19"/>
      <c r="Q92" s="19"/>
    </row>
    <row r="93" spans="1:17" ht="17.649999999999999">
      <c r="A93" s="14">
        <v>88</v>
      </c>
      <c r="B93" s="15" t="s">
        <v>86</v>
      </c>
      <c r="C93" s="15" t="s">
        <v>306</v>
      </c>
      <c r="D93" s="16">
        <v>7946131.5367000001</v>
      </c>
      <c r="E93" s="16">
        <v>1801393.8277</v>
      </c>
      <c r="F93" s="17">
        <f t="shared" si="1"/>
        <v>9747525.3643999994</v>
      </c>
      <c r="G93" s="18"/>
      <c r="H93" s="18"/>
      <c r="I93" s="19"/>
      <c r="J93" s="19"/>
      <c r="K93" s="19"/>
      <c r="L93" s="19"/>
      <c r="M93" s="18"/>
      <c r="N93" s="18"/>
      <c r="O93" s="19"/>
      <c r="P93" s="19"/>
      <c r="Q93" s="19"/>
    </row>
    <row r="94" spans="1:17" ht="17.649999999999999">
      <c r="A94" s="14">
        <v>89</v>
      </c>
      <c r="B94" s="15" t="s">
        <v>86</v>
      </c>
      <c r="C94" s="15" t="s">
        <v>308</v>
      </c>
      <c r="D94" s="16">
        <v>8041284.1989000002</v>
      </c>
      <c r="E94" s="16">
        <v>1822965.0057999999</v>
      </c>
      <c r="F94" s="17">
        <f t="shared" si="1"/>
        <v>9864249.2047000006</v>
      </c>
      <c r="G94" s="18"/>
      <c r="H94" s="18"/>
      <c r="I94" s="19"/>
      <c r="J94" s="19"/>
      <c r="K94" s="19"/>
      <c r="L94" s="19"/>
      <c r="M94" s="18"/>
      <c r="N94" s="18"/>
      <c r="O94" s="19"/>
      <c r="P94" s="19"/>
      <c r="Q94" s="19"/>
    </row>
    <row r="95" spans="1:17" ht="17.649999999999999">
      <c r="A95" s="14">
        <v>90</v>
      </c>
      <c r="B95" s="15" t="s">
        <v>86</v>
      </c>
      <c r="C95" s="15" t="s">
        <v>310</v>
      </c>
      <c r="D95" s="16">
        <v>7720816.9912</v>
      </c>
      <c r="E95" s="16">
        <v>1750314.8555000001</v>
      </c>
      <c r="F95" s="17">
        <f t="shared" si="1"/>
        <v>9471131.8466999996</v>
      </c>
      <c r="G95" s="18"/>
      <c r="H95" s="18"/>
      <c r="I95" s="19"/>
      <c r="J95" s="19"/>
      <c r="K95" s="19"/>
      <c r="L95" s="19"/>
      <c r="M95" s="18"/>
      <c r="N95" s="18"/>
      <c r="O95" s="19"/>
      <c r="P95" s="19"/>
      <c r="Q95" s="19"/>
    </row>
    <row r="96" spans="1:17" ht="17.649999999999999">
      <c r="A96" s="14">
        <v>91</v>
      </c>
      <c r="B96" s="15" t="s">
        <v>87</v>
      </c>
      <c r="C96" s="15" t="s">
        <v>315</v>
      </c>
      <c r="D96" s="16">
        <v>13018132.1449</v>
      </c>
      <c r="E96" s="16">
        <v>2951220.0729999999</v>
      </c>
      <c r="F96" s="17">
        <f t="shared" si="1"/>
        <v>15969352.217900001</v>
      </c>
      <c r="G96" s="18"/>
      <c r="H96" s="18"/>
      <c r="I96" s="19"/>
      <c r="J96" s="19"/>
      <c r="K96" s="19"/>
      <c r="L96" s="19"/>
      <c r="M96" s="18"/>
      <c r="N96" s="18"/>
      <c r="O96" s="19"/>
      <c r="P96" s="19"/>
      <c r="Q96" s="19"/>
    </row>
    <row r="97" spans="1:17" ht="17.649999999999999">
      <c r="A97" s="14">
        <v>92</v>
      </c>
      <c r="B97" s="15" t="s">
        <v>87</v>
      </c>
      <c r="C97" s="15" t="s">
        <v>87</v>
      </c>
      <c r="D97" s="16">
        <v>15720765.6525</v>
      </c>
      <c r="E97" s="16">
        <v>3563909.0647</v>
      </c>
      <c r="F97" s="17">
        <f t="shared" si="1"/>
        <v>19284674.7172</v>
      </c>
      <c r="G97" s="18"/>
      <c r="H97" s="18"/>
      <c r="I97" s="19"/>
      <c r="J97" s="19"/>
      <c r="K97" s="19"/>
      <c r="L97" s="19"/>
      <c r="M97" s="18"/>
      <c r="N97" s="18"/>
      <c r="O97" s="19"/>
      <c r="P97" s="19"/>
      <c r="Q97" s="19"/>
    </row>
    <row r="98" spans="1:17" ht="17.649999999999999">
      <c r="A98" s="14">
        <v>93</v>
      </c>
      <c r="B98" s="15" t="s">
        <v>87</v>
      </c>
      <c r="C98" s="15" t="s">
        <v>318</v>
      </c>
      <c r="D98" s="16">
        <v>6875421.3096000003</v>
      </c>
      <c r="E98" s="16">
        <v>1558663.0366</v>
      </c>
      <c r="F98" s="17">
        <f t="shared" si="1"/>
        <v>8434084.3462000005</v>
      </c>
      <c r="G98" s="18"/>
      <c r="H98" s="18"/>
      <c r="I98" s="19"/>
      <c r="J98" s="19"/>
      <c r="K98" s="19"/>
      <c r="L98" s="19"/>
      <c r="M98" s="18"/>
      <c r="N98" s="18"/>
      <c r="O98" s="19"/>
      <c r="P98" s="19"/>
      <c r="Q98" s="19"/>
    </row>
    <row r="99" spans="1:17" ht="17.649999999999999">
      <c r="A99" s="14">
        <v>94</v>
      </c>
      <c r="B99" s="15" t="s">
        <v>87</v>
      </c>
      <c r="C99" s="15" t="s">
        <v>320</v>
      </c>
      <c r="D99" s="16">
        <v>8125624.6376</v>
      </c>
      <c r="E99" s="16">
        <v>1842085.0449000001</v>
      </c>
      <c r="F99" s="17">
        <f t="shared" si="1"/>
        <v>9967709.682500001</v>
      </c>
      <c r="G99" s="18"/>
      <c r="H99" s="18"/>
      <c r="I99" s="19"/>
      <c r="J99" s="19"/>
      <c r="K99" s="19"/>
      <c r="L99" s="19"/>
      <c r="M99" s="18"/>
      <c r="N99" s="18"/>
      <c r="O99" s="19"/>
      <c r="P99" s="19"/>
      <c r="Q99" s="19"/>
    </row>
    <row r="100" spans="1:17" ht="17.649999999999999">
      <c r="A100" s="14">
        <v>95</v>
      </c>
      <c r="B100" s="15" t="s">
        <v>87</v>
      </c>
      <c r="C100" s="15" t="s">
        <v>322</v>
      </c>
      <c r="D100" s="16">
        <v>10307689.489700001</v>
      </c>
      <c r="E100" s="16">
        <v>2336760.7418999998</v>
      </c>
      <c r="F100" s="17">
        <f t="shared" si="1"/>
        <v>12644450.231600001</v>
      </c>
      <c r="G100" s="18"/>
      <c r="H100" s="18"/>
      <c r="I100" s="19"/>
      <c r="J100" s="19"/>
      <c r="K100" s="19"/>
      <c r="L100" s="19"/>
      <c r="M100" s="18"/>
      <c r="N100" s="18"/>
      <c r="O100" s="19"/>
      <c r="P100" s="19"/>
      <c r="Q100" s="19"/>
    </row>
    <row r="101" spans="1:17" ht="17.649999999999999">
      <c r="A101" s="14">
        <v>96</v>
      </c>
      <c r="B101" s="15" t="s">
        <v>87</v>
      </c>
      <c r="C101" s="15" t="s">
        <v>324</v>
      </c>
      <c r="D101" s="16">
        <v>6825594.9127000002</v>
      </c>
      <c r="E101" s="16">
        <v>1547367.3559999999</v>
      </c>
      <c r="F101" s="17">
        <f t="shared" si="1"/>
        <v>8372962.2686999999</v>
      </c>
      <c r="G101" s="18"/>
      <c r="H101" s="18"/>
      <c r="I101" s="19"/>
      <c r="J101" s="19"/>
      <c r="K101" s="19"/>
      <c r="L101" s="19"/>
      <c r="M101" s="18"/>
      <c r="N101" s="18"/>
      <c r="O101" s="19"/>
      <c r="P101" s="19"/>
      <c r="Q101" s="19"/>
    </row>
    <row r="102" spans="1:17" ht="17.649999999999999">
      <c r="A102" s="14">
        <v>97</v>
      </c>
      <c r="B102" s="15" t="s">
        <v>87</v>
      </c>
      <c r="C102" s="15" t="s">
        <v>326</v>
      </c>
      <c r="D102" s="16">
        <v>10889362.460000001</v>
      </c>
      <c r="E102" s="16">
        <v>2468626.4293999998</v>
      </c>
      <c r="F102" s="17">
        <f t="shared" si="1"/>
        <v>13357988.889400002</v>
      </c>
      <c r="G102" s="18"/>
      <c r="H102" s="18"/>
      <c r="I102" s="19"/>
      <c r="J102" s="19"/>
      <c r="K102" s="19"/>
      <c r="L102" s="19"/>
      <c r="M102" s="18"/>
      <c r="N102" s="18"/>
      <c r="O102" s="19"/>
      <c r="P102" s="19"/>
      <c r="Q102" s="19"/>
    </row>
    <row r="103" spans="1:17" ht="17.649999999999999">
      <c r="A103" s="14">
        <v>98</v>
      </c>
      <c r="B103" s="15" t="s">
        <v>87</v>
      </c>
      <c r="C103" s="15" t="s">
        <v>328</v>
      </c>
      <c r="D103" s="16">
        <v>10992494.042300001</v>
      </c>
      <c r="E103" s="16">
        <v>2492006.4345</v>
      </c>
      <c r="F103" s="17">
        <f t="shared" si="1"/>
        <v>13484500.4768</v>
      </c>
      <c r="G103" s="18"/>
      <c r="H103" s="18"/>
      <c r="I103" s="19"/>
      <c r="J103" s="19"/>
      <c r="K103" s="19"/>
      <c r="L103" s="19"/>
      <c r="M103" s="18"/>
      <c r="N103" s="18"/>
      <c r="O103" s="19"/>
      <c r="P103" s="19"/>
      <c r="Q103" s="19"/>
    </row>
    <row r="104" spans="1:17" ht="17.649999999999999">
      <c r="A104" s="14">
        <v>99</v>
      </c>
      <c r="B104" s="15" t="s">
        <v>87</v>
      </c>
      <c r="C104" s="15" t="s">
        <v>330</v>
      </c>
      <c r="D104" s="16">
        <v>7732002.8650000002</v>
      </c>
      <c r="E104" s="16">
        <v>1752850.7013000001</v>
      </c>
      <c r="F104" s="17">
        <f t="shared" si="1"/>
        <v>9484853.566300001</v>
      </c>
      <c r="G104" s="18"/>
      <c r="H104" s="18"/>
      <c r="I104" s="19"/>
      <c r="J104" s="19"/>
      <c r="K104" s="19"/>
      <c r="L104" s="19"/>
      <c r="M104" s="18"/>
      <c r="N104" s="18"/>
      <c r="O104" s="19"/>
      <c r="P104" s="19"/>
      <c r="Q104" s="19"/>
    </row>
    <row r="105" spans="1:17" ht="17.649999999999999">
      <c r="A105" s="14">
        <v>100</v>
      </c>
      <c r="B105" s="15" t="s">
        <v>87</v>
      </c>
      <c r="C105" s="15" t="s">
        <v>331</v>
      </c>
      <c r="D105" s="16">
        <v>8855399.8424999993</v>
      </c>
      <c r="E105" s="16">
        <v>2007525.6172</v>
      </c>
      <c r="F105" s="17">
        <f t="shared" si="1"/>
        <v>10862925.4597</v>
      </c>
      <c r="G105" s="18"/>
      <c r="H105" s="18"/>
      <c r="I105" s="19"/>
      <c r="J105" s="19"/>
      <c r="K105" s="19"/>
      <c r="L105" s="19"/>
      <c r="M105" s="18"/>
      <c r="N105" s="18"/>
      <c r="O105" s="19"/>
      <c r="P105" s="19"/>
      <c r="Q105" s="19"/>
    </row>
    <row r="106" spans="1:17" ht="17.649999999999999">
      <c r="A106" s="14">
        <v>101</v>
      </c>
      <c r="B106" s="15" t="s">
        <v>87</v>
      </c>
      <c r="C106" s="15" t="s">
        <v>333</v>
      </c>
      <c r="D106" s="16">
        <v>6852028.3975999998</v>
      </c>
      <c r="E106" s="16">
        <v>1553359.8463000001</v>
      </c>
      <c r="F106" s="17">
        <f t="shared" si="1"/>
        <v>8405388.2438999992</v>
      </c>
      <c r="G106" s="18"/>
      <c r="H106" s="18"/>
      <c r="I106" s="19"/>
      <c r="J106" s="19"/>
      <c r="K106" s="19"/>
      <c r="L106" s="19"/>
      <c r="M106" s="18"/>
      <c r="N106" s="18"/>
      <c r="O106" s="19"/>
      <c r="P106" s="19"/>
      <c r="Q106" s="19"/>
    </row>
    <row r="107" spans="1:17" ht="17.649999999999999">
      <c r="A107" s="14">
        <v>102</v>
      </c>
      <c r="B107" s="15" t="s">
        <v>87</v>
      </c>
      <c r="C107" s="15" t="s">
        <v>335</v>
      </c>
      <c r="D107" s="16">
        <v>10611079.985400001</v>
      </c>
      <c r="E107" s="16">
        <v>2405539.5890000002</v>
      </c>
      <c r="F107" s="17">
        <f t="shared" si="1"/>
        <v>13016619.5744</v>
      </c>
      <c r="G107" s="18"/>
      <c r="H107" s="18"/>
      <c r="I107" s="19"/>
      <c r="J107" s="19"/>
      <c r="K107" s="19"/>
      <c r="L107" s="19"/>
      <c r="M107" s="18"/>
      <c r="N107" s="18"/>
      <c r="O107" s="19"/>
      <c r="P107" s="19"/>
      <c r="Q107" s="19"/>
    </row>
    <row r="108" spans="1:17" ht="17.649999999999999">
      <c r="A108" s="14">
        <v>103</v>
      </c>
      <c r="B108" s="15" t="s">
        <v>87</v>
      </c>
      <c r="C108" s="15" t="s">
        <v>337</v>
      </c>
      <c r="D108" s="16">
        <v>8727106.8893999998</v>
      </c>
      <c r="E108" s="16">
        <v>1978441.5109999999</v>
      </c>
      <c r="F108" s="17">
        <f t="shared" si="1"/>
        <v>10705548.4004</v>
      </c>
      <c r="G108" s="18"/>
      <c r="H108" s="18"/>
      <c r="I108" s="19"/>
      <c r="J108" s="19"/>
      <c r="K108" s="19"/>
      <c r="L108" s="19"/>
      <c r="M108" s="18"/>
      <c r="N108" s="18"/>
      <c r="O108" s="19"/>
      <c r="P108" s="19"/>
      <c r="Q108" s="19"/>
    </row>
    <row r="109" spans="1:17" ht="17.649999999999999">
      <c r="A109" s="14">
        <v>104</v>
      </c>
      <c r="B109" s="15" t="s">
        <v>87</v>
      </c>
      <c r="C109" s="15" t="s">
        <v>339</v>
      </c>
      <c r="D109" s="16">
        <v>10190516.7347</v>
      </c>
      <c r="E109" s="16">
        <v>2310197.5926000001</v>
      </c>
      <c r="F109" s="17">
        <f t="shared" si="1"/>
        <v>12500714.327300001</v>
      </c>
      <c r="G109" s="18"/>
      <c r="H109" s="18"/>
      <c r="I109" s="19"/>
      <c r="J109" s="19"/>
      <c r="K109" s="19"/>
      <c r="L109" s="19"/>
      <c r="M109" s="18"/>
      <c r="N109" s="18"/>
      <c r="O109" s="19"/>
      <c r="P109" s="19"/>
      <c r="Q109" s="19"/>
    </row>
    <row r="110" spans="1:17" ht="17.649999999999999">
      <c r="A110" s="14">
        <v>105</v>
      </c>
      <c r="B110" s="15" t="s">
        <v>87</v>
      </c>
      <c r="C110" s="15" t="s">
        <v>341</v>
      </c>
      <c r="D110" s="16">
        <v>13058921.800899999</v>
      </c>
      <c r="E110" s="16">
        <v>2960467.1178000001</v>
      </c>
      <c r="F110" s="17">
        <f t="shared" si="1"/>
        <v>16019388.918699998</v>
      </c>
      <c r="G110" s="18"/>
      <c r="H110" s="18"/>
      <c r="I110" s="19"/>
      <c r="J110" s="19"/>
      <c r="K110" s="19"/>
      <c r="L110" s="19"/>
      <c r="M110" s="18"/>
      <c r="N110" s="18"/>
      <c r="O110" s="19"/>
      <c r="P110" s="19"/>
      <c r="Q110" s="19"/>
    </row>
    <row r="111" spans="1:17" ht="17.649999999999999">
      <c r="A111" s="14">
        <v>106</v>
      </c>
      <c r="B111" s="15" t="s">
        <v>87</v>
      </c>
      <c r="C111" s="15" t="s">
        <v>343</v>
      </c>
      <c r="D111" s="16">
        <v>9790014.3407000005</v>
      </c>
      <c r="E111" s="16">
        <v>2219403.4071999998</v>
      </c>
      <c r="F111" s="17">
        <f t="shared" si="1"/>
        <v>12009417.7479</v>
      </c>
      <c r="G111" s="18"/>
      <c r="H111" s="18"/>
      <c r="I111" s="19"/>
      <c r="J111" s="19"/>
      <c r="K111" s="19"/>
      <c r="L111" s="19"/>
      <c r="M111" s="18"/>
      <c r="N111" s="18"/>
      <c r="O111" s="19"/>
      <c r="P111" s="19"/>
      <c r="Q111" s="19"/>
    </row>
    <row r="112" spans="1:17" ht="17.649999999999999">
      <c r="A112" s="14">
        <v>107</v>
      </c>
      <c r="B112" s="15" t="s">
        <v>87</v>
      </c>
      <c r="C112" s="15" t="s">
        <v>345</v>
      </c>
      <c r="D112" s="16">
        <v>9629229.7698999997</v>
      </c>
      <c r="E112" s="16">
        <v>2182953.4273999999</v>
      </c>
      <c r="F112" s="17">
        <f t="shared" si="1"/>
        <v>11812183.1973</v>
      </c>
      <c r="G112" s="18"/>
      <c r="H112" s="18"/>
      <c r="I112" s="19"/>
      <c r="J112" s="19"/>
      <c r="K112" s="19"/>
      <c r="L112" s="19"/>
      <c r="M112" s="18"/>
      <c r="N112" s="18"/>
      <c r="O112" s="19"/>
      <c r="P112" s="19"/>
      <c r="Q112" s="19"/>
    </row>
    <row r="113" spans="1:17" ht="17.649999999999999">
      <c r="A113" s="14">
        <v>108</v>
      </c>
      <c r="B113" s="15" t="s">
        <v>87</v>
      </c>
      <c r="C113" s="15" t="s">
        <v>347</v>
      </c>
      <c r="D113" s="16">
        <v>13541679.4046</v>
      </c>
      <c r="E113" s="16">
        <v>3069908.6195</v>
      </c>
      <c r="F113" s="17">
        <f t="shared" si="1"/>
        <v>16611588.0241</v>
      </c>
      <c r="G113" s="18"/>
      <c r="H113" s="18"/>
      <c r="I113" s="19"/>
      <c r="J113" s="19"/>
      <c r="K113" s="19"/>
      <c r="L113" s="19"/>
      <c r="M113" s="18"/>
      <c r="N113" s="18"/>
      <c r="O113" s="19"/>
      <c r="P113" s="19"/>
      <c r="Q113" s="19"/>
    </row>
    <row r="114" spans="1:17" ht="17.649999999999999">
      <c r="A114" s="14">
        <v>109</v>
      </c>
      <c r="B114" s="15" t="s">
        <v>87</v>
      </c>
      <c r="C114" s="15" t="s">
        <v>349</v>
      </c>
      <c r="D114" s="16">
        <v>7536729.8578000003</v>
      </c>
      <c r="E114" s="16">
        <v>1708582.1677999999</v>
      </c>
      <c r="F114" s="17">
        <f t="shared" si="1"/>
        <v>9245312.0256000012</v>
      </c>
      <c r="G114" s="18"/>
      <c r="H114" s="18"/>
      <c r="I114" s="19"/>
      <c r="J114" s="19"/>
      <c r="K114" s="19"/>
      <c r="L114" s="19"/>
      <c r="M114" s="18"/>
      <c r="N114" s="18"/>
      <c r="O114" s="19"/>
      <c r="P114" s="19"/>
      <c r="Q114" s="19"/>
    </row>
    <row r="115" spans="1:17" ht="17.649999999999999">
      <c r="A115" s="14">
        <v>110</v>
      </c>
      <c r="B115" s="15" t="s">
        <v>87</v>
      </c>
      <c r="C115" s="15" t="s">
        <v>351</v>
      </c>
      <c r="D115" s="16">
        <v>8433380.1213000007</v>
      </c>
      <c r="E115" s="16">
        <v>1911853.4380000001</v>
      </c>
      <c r="F115" s="17">
        <f t="shared" si="1"/>
        <v>10345233.559300002</v>
      </c>
      <c r="G115" s="18"/>
      <c r="H115" s="18"/>
      <c r="I115" s="19"/>
      <c r="J115" s="19"/>
      <c r="K115" s="19"/>
      <c r="L115" s="19"/>
      <c r="M115" s="18"/>
      <c r="N115" s="18"/>
      <c r="O115" s="19"/>
      <c r="P115" s="19"/>
      <c r="Q115" s="19"/>
    </row>
    <row r="116" spans="1:17" ht="17.649999999999999">
      <c r="A116" s="14">
        <v>111</v>
      </c>
      <c r="B116" s="15" t="s">
        <v>88</v>
      </c>
      <c r="C116" s="15" t="s">
        <v>356</v>
      </c>
      <c r="D116" s="16">
        <v>9576729.3493000008</v>
      </c>
      <c r="E116" s="16">
        <v>2171051.5436999998</v>
      </c>
      <c r="F116" s="17">
        <f t="shared" si="1"/>
        <v>11747780.893000001</v>
      </c>
      <c r="G116" s="18"/>
      <c r="H116" s="18"/>
      <c r="I116" s="19"/>
      <c r="J116" s="19"/>
      <c r="K116" s="19"/>
      <c r="L116" s="19"/>
      <c r="M116" s="18"/>
      <c r="N116" s="18"/>
      <c r="O116" s="19"/>
      <c r="P116" s="19"/>
      <c r="Q116" s="19"/>
    </row>
    <row r="117" spans="1:17" ht="17.649999999999999">
      <c r="A117" s="14">
        <v>112</v>
      </c>
      <c r="B117" s="15" t="s">
        <v>88</v>
      </c>
      <c r="C117" s="15" t="s">
        <v>358</v>
      </c>
      <c r="D117" s="16">
        <v>10994134.945599999</v>
      </c>
      <c r="E117" s="16">
        <v>2492378.4284999999</v>
      </c>
      <c r="F117" s="17">
        <f t="shared" si="1"/>
        <v>13486513.3741</v>
      </c>
      <c r="G117" s="18"/>
      <c r="H117" s="18"/>
      <c r="I117" s="19"/>
      <c r="J117" s="19"/>
      <c r="K117" s="19"/>
      <c r="L117" s="19"/>
      <c r="M117" s="18"/>
      <c r="N117" s="18"/>
      <c r="O117" s="19"/>
      <c r="P117" s="19"/>
      <c r="Q117" s="19"/>
    </row>
    <row r="118" spans="1:17" ht="35.25">
      <c r="A118" s="14">
        <v>113</v>
      </c>
      <c r="B118" s="15" t="s">
        <v>88</v>
      </c>
      <c r="C118" s="15" t="s">
        <v>360</v>
      </c>
      <c r="D118" s="16">
        <v>7316608.4842999997</v>
      </c>
      <c r="E118" s="16">
        <v>1658680.4915</v>
      </c>
      <c r="F118" s="17">
        <f t="shared" si="1"/>
        <v>8975288.9758000001</v>
      </c>
      <c r="G118" s="18"/>
      <c r="H118" s="18"/>
      <c r="I118" s="19"/>
      <c r="J118" s="19"/>
      <c r="K118" s="19"/>
      <c r="L118" s="19"/>
      <c r="M118" s="18"/>
      <c r="N118" s="18"/>
      <c r="O118" s="19"/>
      <c r="P118" s="19"/>
      <c r="Q118" s="19"/>
    </row>
    <row r="119" spans="1:17" ht="17.649999999999999">
      <c r="A119" s="14">
        <v>114</v>
      </c>
      <c r="B119" s="15" t="s">
        <v>88</v>
      </c>
      <c r="C119" s="15" t="s">
        <v>362</v>
      </c>
      <c r="D119" s="16">
        <v>9021708.8059</v>
      </c>
      <c r="E119" s="16">
        <v>2045227.9808</v>
      </c>
      <c r="F119" s="17">
        <f t="shared" si="1"/>
        <v>11066936.786699999</v>
      </c>
      <c r="G119" s="18"/>
      <c r="H119" s="18"/>
      <c r="I119" s="19"/>
      <c r="J119" s="19"/>
      <c r="K119" s="19"/>
      <c r="L119" s="19"/>
      <c r="M119" s="18"/>
      <c r="N119" s="18"/>
      <c r="O119" s="19"/>
      <c r="P119" s="19"/>
      <c r="Q119" s="19"/>
    </row>
    <row r="120" spans="1:17" ht="17.649999999999999">
      <c r="A120" s="14">
        <v>115</v>
      </c>
      <c r="B120" s="15" t="s">
        <v>88</v>
      </c>
      <c r="C120" s="15" t="s">
        <v>364</v>
      </c>
      <c r="D120" s="16">
        <v>9481029.4054000005</v>
      </c>
      <c r="E120" s="16">
        <v>2149356.2965000002</v>
      </c>
      <c r="F120" s="17">
        <f t="shared" si="1"/>
        <v>11630385.701900002</v>
      </c>
      <c r="G120" s="18"/>
      <c r="H120" s="18"/>
      <c r="I120" s="19"/>
      <c r="J120" s="19"/>
      <c r="K120" s="19"/>
      <c r="L120" s="19"/>
      <c r="M120" s="18"/>
      <c r="N120" s="18"/>
      <c r="O120" s="19"/>
      <c r="P120" s="19"/>
      <c r="Q120" s="19"/>
    </row>
    <row r="121" spans="1:17" ht="17.649999999999999">
      <c r="A121" s="14">
        <v>116</v>
      </c>
      <c r="B121" s="15" t="s">
        <v>88</v>
      </c>
      <c r="C121" s="15" t="s">
        <v>366</v>
      </c>
      <c r="D121" s="16">
        <v>9321323.6866999995</v>
      </c>
      <c r="E121" s="16">
        <v>2113150.8933000001</v>
      </c>
      <c r="F121" s="17">
        <f t="shared" si="1"/>
        <v>11434474.58</v>
      </c>
      <c r="G121" s="18"/>
      <c r="H121" s="18"/>
      <c r="I121" s="19"/>
      <c r="J121" s="19"/>
      <c r="K121" s="19"/>
      <c r="L121" s="19"/>
      <c r="M121" s="18"/>
      <c r="N121" s="18"/>
      <c r="O121" s="19"/>
      <c r="P121" s="19"/>
      <c r="Q121" s="19"/>
    </row>
    <row r="122" spans="1:17" ht="17.649999999999999">
      <c r="A122" s="14">
        <v>117</v>
      </c>
      <c r="B122" s="15" t="s">
        <v>88</v>
      </c>
      <c r="C122" s="15" t="s">
        <v>368</v>
      </c>
      <c r="D122" s="16">
        <v>12878046.2739</v>
      </c>
      <c r="E122" s="16">
        <v>2919462.5036999998</v>
      </c>
      <c r="F122" s="17">
        <f t="shared" si="1"/>
        <v>15797508.7776</v>
      </c>
      <c r="G122" s="18"/>
      <c r="H122" s="18"/>
      <c r="I122" s="19"/>
      <c r="J122" s="19"/>
      <c r="K122" s="19"/>
      <c r="L122" s="19"/>
      <c r="M122" s="18"/>
      <c r="N122" s="18"/>
      <c r="O122" s="19"/>
      <c r="P122" s="19"/>
      <c r="Q122" s="19"/>
    </row>
    <row r="123" spans="1:17" ht="17.649999999999999">
      <c r="A123" s="14">
        <v>118</v>
      </c>
      <c r="B123" s="15" t="s">
        <v>88</v>
      </c>
      <c r="C123" s="15" t="s">
        <v>370</v>
      </c>
      <c r="D123" s="16">
        <v>11886918.0963</v>
      </c>
      <c r="E123" s="16">
        <v>2694773.0213000001</v>
      </c>
      <c r="F123" s="17">
        <f t="shared" si="1"/>
        <v>14581691.117600001</v>
      </c>
      <c r="G123" s="18"/>
      <c r="H123" s="18"/>
      <c r="I123" s="19"/>
      <c r="J123" s="19"/>
      <c r="K123" s="19"/>
      <c r="L123" s="19"/>
      <c r="M123" s="18"/>
      <c r="N123" s="18"/>
      <c r="O123" s="19"/>
      <c r="P123" s="19"/>
      <c r="Q123" s="19"/>
    </row>
    <row r="124" spans="1:17" ht="17.649999999999999">
      <c r="A124" s="14">
        <v>119</v>
      </c>
      <c r="B124" s="15" t="s">
        <v>89</v>
      </c>
      <c r="C124" s="15" t="s">
        <v>375</v>
      </c>
      <c r="D124" s="16">
        <v>9471716.0236000009</v>
      </c>
      <c r="E124" s="16">
        <v>2147244.946</v>
      </c>
      <c r="F124" s="17">
        <f t="shared" si="1"/>
        <v>11618960.969600001</v>
      </c>
      <c r="G124" s="18"/>
      <c r="H124" s="18"/>
      <c r="I124" s="19"/>
      <c r="J124" s="19"/>
      <c r="K124" s="19"/>
      <c r="L124" s="19"/>
      <c r="M124" s="18"/>
      <c r="N124" s="18"/>
      <c r="O124" s="19"/>
      <c r="P124" s="19"/>
      <c r="Q124" s="19"/>
    </row>
    <row r="125" spans="1:17" ht="17.649999999999999">
      <c r="A125" s="14">
        <v>120</v>
      </c>
      <c r="B125" s="15" t="s">
        <v>89</v>
      </c>
      <c r="C125" s="15" t="s">
        <v>377</v>
      </c>
      <c r="D125" s="16">
        <v>8357356.2460000003</v>
      </c>
      <c r="E125" s="16">
        <v>1894618.7699</v>
      </c>
      <c r="F125" s="17">
        <f t="shared" si="1"/>
        <v>10251975.015900001</v>
      </c>
      <c r="G125" s="18"/>
      <c r="H125" s="18"/>
      <c r="I125" s="19"/>
      <c r="J125" s="19"/>
      <c r="K125" s="19"/>
      <c r="L125" s="19"/>
      <c r="M125" s="18"/>
      <c r="N125" s="18"/>
      <c r="O125" s="19"/>
      <c r="P125" s="19"/>
      <c r="Q125" s="19"/>
    </row>
    <row r="126" spans="1:17" ht="17.649999999999999">
      <c r="A126" s="14">
        <v>121</v>
      </c>
      <c r="B126" s="15" t="s">
        <v>89</v>
      </c>
      <c r="C126" s="15" t="s">
        <v>379</v>
      </c>
      <c r="D126" s="16">
        <v>8092405.5472999997</v>
      </c>
      <c r="E126" s="16">
        <v>1834554.2527999999</v>
      </c>
      <c r="F126" s="17">
        <f t="shared" si="1"/>
        <v>9926959.8000999987</v>
      </c>
      <c r="G126" s="18"/>
      <c r="H126" s="18"/>
      <c r="I126" s="19"/>
      <c r="J126" s="19"/>
      <c r="K126" s="19"/>
      <c r="L126" s="19"/>
      <c r="M126" s="18"/>
      <c r="N126" s="18"/>
      <c r="O126" s="19"/>
      <c r="P126" s="19"/>
      <c r="Q126" s="19"/>
    </row>
    <row r="127" spans="1:17" ht="17.649999999999999">
      <c r="A127" s="14">
        <v>122</v>
      </c>
      <c r="B127" s="15" t="s">
        <v>89</v>
      </c>
      <c r="C127" s="15" t="s">
        <v>381</v>
      </c>
      <c r="D127" s="16">
        <v>9593440.9989999998</v>
      </c>
      <c r="E127" s="16">
        <v>2174840.0869</v>
      </c>
      <c r="F127" s="17">
        <f t="shared" si="1"/>
        <v>11768281.085899999</v>
      </c>
      <c r="G127" s="18"/>
      <c r="H127" s="18"/>
      <c r="I127" s="19"/>
      <c r="J127" s="19"/>
      <c r="K127" s="19"/>
      <c r="L127" s="19"/>
      <c r="M127" s="18"/>
      <c r="N127" s="18"/>
      <c r="O127" s="19"/>
      <c r="P127" s="19"/>
      <c r="Q127" s="19"/>
    </row>
    <row r="128" spans="1:17" ht="17.649999999999999">
      <c r="A128" s="14">
        <v>123</v>
      </c>
      <c r="B128" s="15" t="s">
        <v>89</v>
      </c>
      <c r="C128" s="15" t="s">
        <v>383</v>
      </c>
      <c r="D128" s="16">
        <v>12450792.7629</v>
      </c>
      <c r="E128" s="16">
        <v>2822603.8204000001</v>
      </c>
      <c r="F128" s="17">
        <f t="shared" si="1"/>
        <v>15273396.5833</v>
      </c>
      <c r="G128" s="18"/>
      <c r="H128" s="18"/>
      <c r="I128" s="19"/>
      <c r="J128" s="19"/>
      <c r="K128" s="19"/>
      <c r="L128" s="19"/>
      <c r="M128" s="18"/>
      <c r="N128" s="18"/>
      <c r="O128" s="19"/>
      <c r="P128" s="19"/>
      <c r="Q128" s="19"/>
    </row>
    <row r="129" spans="1:17" ht="17.649999999999999">
      <c r="A129" s="14">
        <v>124</v>
      </c>
      <c r="B129" s="15" t="s">
        <v>89</v>
      </c>
      <c r="C129" s="15" t="s">
        <v>385</v>
      </c>
      <c r="D129" s="16">
        <v>10172453.740700001</v>
      </c>
      <c r="E129" s="16">
        <v>2306102.6987000001</v>
      </c>
      <c r="F129" s="17">
        <f t="shared" si="1"/>
        <v>12478556.4394</v>
      </c>
      <c r="G129" s="18"/>
      <c r="H129" s="18"/>
      <c r="I129" s="19"/>
      <c r="J129" s="19"/>
      <c r="K129" s="19"/>
      <c r="L129" s="19"/>
      <c r="M129" s="18"/>
      <c r="N129" s="18"/>
      <c r="O129" s="19"/>
      <c r="P129" s="19"/>
      <c r="Q129" s="19"/>
    </row>
    <row r="130" spans="1:17" ht="17.649999999999999">
      <c r="A130" s="14">
        <v>125</v>
      </c>
      <c r="B130" s="15" t="s">
        <v>89</v>
      </c>
      <c r="C130" s="15" t="s">
        <v>387</v>
      </c>
      <c r="D130" s="16">
        <v>9649521.9560000002</v>
      </c>
      <c r="E130" s="16">
        <v>2187553.6809</v>
      </c>
      <c r="F130" s="17">
        <f t="shared" si="1"/>
        <v>11837075.6369</v>
      </c>
      <c r="G130" s="18"/>
      <c r="H130" s="18"/>
      <c r="I130" s="19"/>
      <c r="J130" s="19"/>
      <c r="K130" s="19"/>
      <c r="L130" s="19"/>
      <c r="M130" s="18"/>
      <c r="N130" s="18"/>
      <c r="O130" s="19"/>
      <c r="P130" s="19"/>
      <c r="Q130" s="19"/>
    </row>
    <row r="131" spans="1:17" ht="17.649999999999999">
      <c r="A131" s="14">
        <v>126</v>
      </c>
      <c r="B131" s="15" t="s">
        <v>89</v>
      </c>
      <c r="C131" s="15" t="s">
        <v>389</v>
      </c>
      <c r="D131" s="16">
        <v>8292340.8354000002</v>
      </c>
      <c r="E131" s="16">
        <v>1879879.7287999999</v>
      </c>
      <c r="F131" s="17">
        <f t="shared" si="1"/>
        <v>10172220.564200001</v>
      </c>
      <c r="G131" s="18"/>
      <c r="H131" s="18"/>
      <c r="I131" s="19"/>
      <c r="J131" s="19"/>
      <c r="K131" s="19"/>
      <c r="L131" s="19"/>
      <c r="M131" s="18"/>
      <c r="N131" s="18"/>
      <c r="O131" s="19"/>
      <c r="P131" s="19"/>
      <c r="Q131" s="19"/>
    </row>
    <row r="132" spans="1:17" ht="17.649999999999999">
      <c r="A132" s="14">
        <v>127</v>
      </c>
      <c r="B132" s="15" t="s">
        <v>89</v>
      </c>
      <c r="C132" s="15" t="s">
        <v>391</v>
      </c>
      <c r="D132" s="16">
        <v>10475365.2234</v>
      </c>
      <c r="E132" s="16">
        <v>2374772.9531999999</v>
      </c>
      <c r="F132" s="17">
        <f t="shared" si="1"/>
        <v>12850138.1766</v>
      </c>
      <c r="G132" s="18"/>
      <c r="H132" s="18"/>
      <c r="I132" s="19"/>
      <c r="J132" s="19"/>
      <c r="K132" s="19"/>
      <c r="L132" s="19"/>
      <c r="M132" s="18"/>
      <c r="N132" s="18"/>
      <c r="O132" s="19"/>
      <c r="P132" s="19"/>
      <c r="Q132" s="19"/>
    </row>
    <row r="133" spans="1:17" ht="17.649999999999999">
      <c r="A133" s="14">
        <v>128</v>
      </c>
      <c r="B133" s="15" t="s">
        <v>89</v>
      </c>
      <c r="C133" s="15" t="s">
        <v>393</v>
      </c>
      <c r="D133" s="16">
        <v>9910883.0363999996</v>
      </c>
      <c r="E133" s="16">
        <v>2246804.4287999999</v>
      </c>
      <c r="F133" s="17">
        <f t="shared" si="1"/>
        <v>12157687.4652</v>
      </c>
      <c r="G133" s="18"/>
      <c r="H133" s="18"/>
      <c r="I133" s="19"/>
      <c r="J133" s="19"/>
      <c r="K133" s="19"/>
      <c r="L133" s="19"/>
      <c r="M133" s="18"/>
      <c r="N133" s="18"/>
      <c r="O133" s="19"/>
      <c r="P133" s="19"/>
      <c r="Q133" s="19"/>
    </row>
    <row r="134" spans="1:17" ht="17.649999999999999">
      <c r="A134" s="14">
        <v>129</v>
      </c>
      <c r="B134" s="15" t="s">
        <v>89</v>
      </c>
      <c r="C134" s="15" t="s">
        <v>395</v>
      </c>
      <c r="D134" s="16">
        <v>11347299.6281</v>
      </c>
      <c r="E134" s="16">
        <v>2572441.1200999999</v>
      </c>
      <c r="F134" s="17">
        <f t="shared" si="1"/>
        <v>13919740.748199999</v>
      </c>
      <c r="G134" s="18"/>
      <c r="H134" s="18"/>
      <c r="I134" s="19"/>
      <c r="J134" s="19"/>
      <c r="K134" s="19"/>
      <c r="L134" s="19"/>
      <c r="M134" s="18"/>
      <c r="N134" s="18"/>
      <c r="O134" s="19"/>
      <c r="P134" s="19"/>
      <c r="Q134" s="19"/>
    </row>
    <row r="135" spans="1:17" ht="17.649999999999999">
      <c r="A135" s="14">
        <v>130</v>
      </c>
      <c r="B135" s="15" t="s">
        <v>89</v>
      </c>
      <c r="C135" s="15" t="s">
        <v>397</v>
      </c>
      <c r="D135" s="16">
        <v>8714057.7470999993</v>
      </c>
      <c r="E135" s="16">
        <v>1975483.2609000001</v>
      </c>
      <c r="F135" s="17">
        <f t="shared" ref="F135:F198" si="2">D135+E135</f>
        <v>10689541.007999999</v>
      </c>
      <c r="G135" s="18"/>
      <c r="H135" s="18"/>
      <c r="I135" s="19"/>
      <c r="J135" s="19"/>
      <c r="K135" s="19"/>
      <c r="L135" s="19"/>
      <c r="M135" s="18"/>
      <c r="N135" s="18"/>
      <c r="O135" s="19"/>
      <c r="P135" s="19"/>
      <c r="Q135" s="19"/>
    </row>
    <row r="136" spans="1:17" ht="17.649999999999999">
      <c r="A136" s="14">
        <v>131</v>
      </c>
      <c r="B136" s="15" t="s">
        <v>89</v>
      </c>
      <c r="C136" s="15" t="s">
        <v>399</v>
      </c>
      <c r="D136" s="16">
        <v>10467631.5317</v>
      </c>
      <c r="E136" s="16">
        <v>2373019.7196999998</v>
      </c>
      <c r="F136" s="17">
        <f t="shared" si="2"/>
        <v>12840651.251399999</v>
      </c>
      <c r="G136" s="18"/>
      <c r="H136" s="18"/>
      <c r="I136" s="19"/>
      <c r="J136" s="19"/>
      <c r="K136" s="19"/>
      <c r="L136" s="19"/>
      <c r="M136" s="18"/>
      <c r="N136" s="18"/>
      <c r="O136" s="19"/>
      <c r="P136" s="19"/>
      <c r="Q136" s="19"/>
    </row>
    <row r="137" spans="1:17" ht="17.649999999999999">
      <c r="A137" s="14">
        <v>132</v>
      </c>
      <c r="B137" s="15" t="s">
        <v>89</v>
      </c>
      <c r="C137" s="15" t="s">
        <v>401</v>
      </c>
      <c r="D137" s="16">
        <v>7732481.2977</v>
      </c>
      <c r="E137" s="16">
        <v>1752959.1623</v>
      </c>
      <c r="F137" s="17">
        <f t="shared" si="2"/>
        <v>9485440.4600000009</v>
      </c>
      <c r="G137" s="18"/>
      <c r="H137" s="18"/>
      <c r="I137" s="19"/>
      <c r="J137" s="19"/>
      <c r="K137" s="19"/>
      <c r="L137" s="19"/>
      <c r="M137" s="18"/>
      <c r="N137" s="18"/>
      <c r="O137" s="19"/>
      <c r="P137" s="19"/>
      <c r="Q137" s="19"/>
    </row>
    <row r="138" spans="1:17" ht="17.649999999999999">
      <c r="A138" s="14">
        <v>133</v>
      </c>
      <c r="B138" s="15" t="s">
        <v>89</v>
      </c>
      <c r="C138" s="15" t="s">
        <v>403</v>
      </c>
      <c r="D138" s="16">
        <v>8123135.2209999999</v>
      </c>
      <c r="E138" s="16">
        <v>1841520.6923</v>
      </c>
      <c r="F138" s="17">
        <f t="shared" si="2"/>
        <v>9964655.9133000001</v>
      </c>
      <c r="G138" s="18"/>
      <c r="H138" s="18"/>
      <c r="I138" s="19"/>
      <c r="J138" s="19"/>
      <c r="K138" s="19"/>
      <c r="L138" s="19"/>
      <c r="M138" s="18"/>
      <c r="N138" s="18"/>
      <c r="O138" s="19"/>
      <c r="P138" s="19"/>
      <c r="Q138" s="19"/>
    </row>
    <row r="139" spans="1:17" ht="17.649999999999999">
      <c r="A139" s="14">
        <v>134</v>
      </c>
      <c r="B139" s="15" t="s">
        <v>89</v>
      </c>
      <c r="C139" s="15" t="s">
        <v>405</v>
      </c>
      <c r="D139" s="16">
        <v>7409289.9625000004</v>
      </c>
      <c r="E139" s="16">
        <v>1679691.4504</v>
      </c>
      <c r="F139" s="17">
        <f t="shared" si="2"/>
        <v>9088981.4129000008</v>
      </c>
      <c r="G139" s="18"/>
      <c r="H139" s="18"/>
      <c r="I139" s="19"/>
      <c r="J139" s="19"/>
      <c r="K139" s="19"/>
      <c r="L139" s="19"/>
      <c r="M139" s="18"/>
      <c r="N139" s="18"/>
      <c r="O139" s="19"/>
      <c r="P139" s="19"/>
      <c r="Q139" s="19"/>
    </row>
    <row r="140" spans="1:17" ht="17.649999999999999">
      <c r="A140" s="14">
        <v>135</v>
      </c>
      <c r="B140" s="15" t="s">
        <v>89</v>
      </c>
      <c r="C140" s="15" t="s">
        <v>407</v>
      </c>
      <c r="D140" s="16">
        <v>9375015.2492999993</v>
      </c>
      <c r="E140" s="16">
        <v>2125322.8097999999</v>
      </c>
      <c r="F140" s="17">
        <f t="shared" si="2"/>
        <v>11500338.059099998</v>
      </c>
      <c r="G140" s="18"/>
      <c r="H140" s="18"/>
      <c r="I140" s="19"/>
      <c r="J140" s="19"/>
      <c r="K140" s="19"/>
      <c r="L140" s="19"/>
      <c r="M140" s="18"/>
      <c r="N140" s="18"/>
      <c r="O140" s="19"/>
      <c r="P140" s="19"/>
      <c r="Q140" s="19"/>
    </row>
    <row r="141" spans="1:17" ht="17.649999999999999">
      <c r="A141" s="14">
        <v>136</v>
      </c>
      <c r="B141" s="15" t="s">
        <v>89</v>
      </c>
      <c r="C141" s="15" t="s">
        <v>409</v>
      </c>
      <c r="D141" s="16">
        <v>8785341.9359000009</v>
      </c>
      <c r="E141" s="16">
        <v>1991643.4386</v>
      </c>
      <c r="F141" s="17">
        <f t="shared" si="2"/>
        <v>10776985.374500001</v>
      </c>
      <c r="G141" s="18"/>
      <c r="H141" s="18"/>
      <c r="I141" s="19"/>
      <c r="J141" s="19"/>
      <c r="K141" s="19"/>
      <c r="L141" s="19"/>
      <c r="M141" s="18"/>
      <c r="N141" s="18"/>
      <c r="O141" s="19"/>
      <c r="P141" s="19"/>
      <c r="Q141" s="19"/>
    </row>
    <row r="142" spans="1:17" ht="17.649999999999999">
      <c r="A142" s="14">
        <v>137</v>
      </c>
      <c r="B142" s="15" t="s">
        <v>89</v>
      </c>
      <c r="C142" s="15" t="s">
        <v>411</v>
      </c>
      <c r="D142" s="16">
        <v>10289252.546800001</v>
      </c>
      <c r="E142" s="16">
        <v>2332581.0734000001</v>
      </c>
      <c r="F142" s="17">
        <f t="shared" si="2"/>
        <v>12621833.620200001</v>
      </c>
      <c r="G142" s="18"/>
      <c r="H142" s="18"/>
      <c r="I142" s="19"/>
      <c r="J142" s="19"/>
      <c r="K142" s="19"/>
      <c r="L142" s="19"/>
      <c r="M142" s="18"/>
      <c r="N142" s="18"/>
      <c r="O142" s="19"/>
      <c r="P142" s="19"/>
      <c r="Q142" s="19"/>
    </row>
    <row r="143" spans="1:17" ht="17.649999999999999">
      <c r="A143" s="14">
        <v>138</v>
      </c>
      <c r="B143" s="15" t="s">
        <v>89</v>
      </c>
      <c r="C143" s="15" t="s">
        <v>413</v>
      </c>
      <c r="D143" s="16">
        <v>7131252.0093</v>
      </c>
      <c r="E143" s="16">
        <v>1616660.0432</v>
      </c>
      <c r="F143" s="17">
        <f t="shared" si="2"/>
        <v>8747912.0525000002</v>
      </c>
      <c r="G143" s="18"/>
      <c r="H143" s="18"/>
      <c r="I143" s="19"/>
      <c r="J143" s="19"/>
      <c r="K143" s="19"/>
      <c r="L143" s="19"/>
      <c r="M143" s="18"/>
      <c r="N143" s="18"/>
      <c r="O143" s="19"/>
      <c r="P143" s="19"/>
      <c r="Q143" s="19"/>
    </row>
    <row r="144" spans="1:17" ht="17.649999999999999">
      <c r="A144" s="14">
        <v>139</v>
      </c>
      <c r="B144" s="15" t="s">
        <v>89</v>
      </c>
      <c r="C144" s="15" t="s">
        <v>415</v>
      </c>
      <c r="D144" s="16">
        <v>9750727.2963999994</v>
      </c>
      <c r="E144" s="16">
        <v>2210497.0055</v>
      </c>
      <c r="F144" s="17">
        <f t="shared" si="2"/>
        <v>11961224.301899999</v>
      </c>
      <c r="G144" s="18"/>
      <c r="H144" s="18"/>
      <c r="I144" s="19"/>
      <c r="J144" s="19"/>
      <c r="K144" s="19"/>
      <c r="L144" s="19"/>
      <c r="M144" s="18"/>
      <c r="N144" s="18"/>
      <c r="O144" s="19"/>
      <c r="P144" s="19"/>
      <c r="Q144" s="19"/>
    </row>
    <row r="145" spans="1:17" ht="17.649999999999999">
      <c r="A145" s="14">
        <v>140</v>
      </c>
      <c r="B145" s="15" t="s">
        <v>89</v>
      </c>
      <c r="C145" s="15" t="s">
        <v>417</v>
      </c>
      <c r="D145" s="16">
        <v>9494459.9638999999</v>
      </c>
      <c r="E145" s="16">
        <v>2152401.0139000001</v>
      </c>
      <c r="F145" s="17">
        <f t="shared" si="2"/>
        <v>11646860.9778</v>
      </c>
      <c r="G145" s="18"/>
      <c r="H145" s="18"/>
      <c r="I145" s="19"/>
      <c r="J145" s="19"/>
      <c r="K145" s="19"/>
      <c r="L145" s="19"/>
      <c r="M145" s="18"/>
      <c r="N145" s="18"/>
      <c r="O145" s="19"/>
      <c r="P145" s="19"/>
      <c r="Q145" s="19"/>
    </row>
    <row r="146" spans="1:17" ht="17.649999999999999">
      <c r="A146" s="14">
        <v>141</v>
      </c>
      <c r="B146" s="15" t="s">
        <v>89</v>
      </c>
      <c r="C146" s="15" t="s">
        <v>419</v>
      </c>
      <c r="D146" s="16">
        <v>10056313.0865</v>
      </c>
      <c r="E146" s="16">
        <v>2279773.5274999999</v>
      </c>
      <c r="F146" s="17">
        <f t="shared" si="2"/>
        <v>12336086.614</v>
      </c>
      <c r="G146" s="18"/>
      <c r="H146" s="18"/>
      <c r="I146" s="19"/>
      <c r="J146" s="19"/>
      <c r="K146" s="19"/>
      <c r="L146" s="19"/>
      <c r="M146" s="18"/>
      <c r="N146" s="18"/>
      <c r="O146" s="19"/>
      <c r="P146" s="19"/>
      <c r="Q146" s="19"/>
    </row>
    <row r="147" spans="1:17" ht="17.649999999999999">
      <c r="A147" s="14">
        <v>142</v>
      </c>
      <c r="B147" s="15" t="s">
        <v>90</v>
      </c>
      <c r="C147" s="15" t="s">
        <v>423</v>
      </c>
      <c r="D147" s="16">
        <v>8445289.0579000004</v>
      </c>
      <c r="E147" s="16">
        <v>1914553.2026</v>
      </c>
      <c r="F147" s="17">
        <f t="shared" si="2"/>
        <v>10359842.260500001</v>
      </c>
      <c r="G147" s="18"/>
      <c r="H147" s="18"/>
      <c r="I147" s="19"/>
      <c r="J147" s="19"/>
      <c r="K147" s="19"/>
      <c r="L147" s="19"/>
      <c r="M147" s="18"/>
      <c r="N147" s="18"/>
      <c r="O147" s="19"/>
      <c r="P147" s="19"/>
      <c r="Q147" s="19"/>
    </row>
    <row r="148" spans="1:17" ht="17.649999999999999">
      <c r="A148" s="14">
        <v>143</v>
      </c>
      <c r="B148" s="15" t="s">
        <v>90</v>
      </c>
      <c r="C148" s="15" t="s">
        <v>425</v>
      </c>
      <c r="D148" s="16">
        <v>8166285.9967999998</v>
      </c>
      <c r="E148" s="16">
        <v>1851303.0046999999</v>
      </c>
      <c r="F148" s="17">
        <f t="shared" si="2"/>
        <v>10017589.001499999</v>
      </c>
      <c r="G148" s="18"/>
      <c r="H148" s="18"/>
      <c r="I148" s="19"/>
      <c r="J148" s="19"/>
      <c r="K148" s="19"/>
      <c r="L148" s="19"/>
      <c r="M148" s="18"/>
      <c r="N148" s="18"/>
      <c r="O148" s="19"/>
      <c r="P148" s="19"/>
      <c r="Q148" s="19"/>
    </row>
    <row r="149" spans="1:17" ht="17.649999999999999">
      <c r="A149" s="14">
        <v>144</v>
      </c>
      <c r="B149" s="15" t="s">
        <v>90</v>
      </c>
      <c r="C149" s="15" t="s">
        <v>427</v>
      </c>
      <c r="D149" s="16">
        <v>11456945.479900001</v>
      </c>
      <c r="E149" s="16">
        <v>2597297.9149000002</v>
      </c>
      <c r="F149" s="17">
        <f t="shared" si="2"/>
        <v>14054243.3948</v>
      </c>
      <c r="G149" s="18"/>
      <c r="H149" s="18"/>
      <c r="I149" s="19"/>
      <c r="J149" s="19"/>
      <c r="K149" s="19"/>
      <c r="L149" s="19"/>
      <c r="M149" s="18"/>
      <c r="N149" s="18"/>
      <c r="O149" s="19"/>
      <c r="P149" s="19"/>
      <c r="Q149" s="19"/>
    </row>
    <row r="150" spans="1:17" ht="17.649999999999999">
      <c r="A150" s="14">
        <v>145</v>
      </c>
      <c r="B150" s="15" t="s">
        <v>90</v>
      </c>
      <c r="C150" s="15" t="s">
        <v>429</v>
      </c>
      <c r="D150" s="16">
        <v>6599547.0196000002</v>
      </c>
      <c r="E150" s="16">
        <v>1496122.1333999999</v>
      </c>
      <c r="F150" s="17">
        <f t="shared" si="2"/>
        <v>8095669.1529999999</v>
      </c>
      <c r="G150" s="18"/>
      <c r="H150" s="18"/>
      <c r="I150" s="19"/>
      <c r="J150" s="19"/>
      <c r="K150" s="19"/>
      <c r="L150" s="19"/>
      <c r="M150" s="18"/>
      <c r="N150" s="18"/>
      <c r="O150" s="19"/>
      <c r="P150" s="19"/>
      <c r="Q150" s="19"/>
    </row>
    <row r="151" spans="1:17" ht="17.649999999999999">
      <c r="A151" s="14">
        <v>146</v>
      </c>
      <c r="B151" s="15" t="s">
        <v>90</v>
      </c>
      <c r="C151" s="15" t="s">
        <v>431</v>
      </c>
      <c r="D151" s="16">
        <v>9134309.2448999994</v>
      </c>
      <c r="E151" s="16">
        <v>2070754.5826000001</v>
      </c>
      <c r="F151" s="17">
        <f t="shared" si="2"/>
        <v>11205063.827499999</v>
      </c>
      <c r="G151" s="18"/>
      <c r="H151" s="18"/>
      <c r="I151" s="19"/>
      <c r="J151" s="19"/>
      <c r="K151" s="19"/>
      <c r="L151" s="19"/>
      <c r="M151" s="18"/>
      <c r="N151" s="18"/>
      <c r="O151" s="19"/>
      <c r="P151" s="19"/>
      <c r="Q151" s="19"/>
    </row>
    <row r="152" spans="1:17" ht="17.649999999999999">
      <c r="A152" s="14">
        <v>147</v>
      </c>
      <c r="B152" s="15" t="s">
        <v>90</v>
      </c>
      <c r="C152" s="15" t="s">
        <v>433</v>
      </c>
      <c r="D152" s="16">
        <v>6580314.5943999998</v>
      </c>
      <c r="E152" s="16">
        <v>1491762.1285000001</v>
      </c>
      <c r="F152" s="17">
        <f t="shared" si="2"/>
        <v>8072076.7228999995</v>
      </c>
      <c r="G152" s="18"/>
      <c r="H152" s="18"/>
      <c r="I152" s="19"/>
      <c r="J152" s="19"/>
      <c r="K152" s="19"/>
      <c r="L152" s="19"/>
      <c r="M152" s="18"/>
      <c r="N152" s="18"/>
      <c r="O152" s="19"/>
      <c r="P152" s="19"/>
      <c r="Q152" s="19"/>
    </row>
    <row r="153" spans="1:17" ht="17.649999999999999">
      <c r="A153" s="14">
        <v>148</v>
      </c>
      <c r="B153" s="15" t="s">
        <v>90</v>
      </c>
      <c r="C153" s="15" t="s">
        <v>435</v>
      </c>
      <c r="D153" s="16">
        <v>11030742.158500001</v>
      </c>
      <c r="E153" s="16">
        <v>2500677.3103999998</v>
      </c>
      <c r="F153" s="17">
        <f t="shared" si="2"/>
        <v>13531419.468900001</v>
      </c>
      <c r="G153" s="18"/>
      <c r="H153" s="18"/>
      <c r="I153" s="19"/>
      <c r="J153" s="19"/>
      <c r="K153" s="19"/>
      <c r="L153" s="19"/>
      <c r="M153" s="18"/>
      <c r="N153" s="18"/>
      <c r="O153" s="19"/>
      <c r="P153" s="19"/>
      <c r="Q153" s="19"/>
    </row>
    <row r="154" spans="1:17" ht="17.649999999999999">
      <c r="A154" s="14">
        <v>149</v>
      </c>
      <c r="B154" s="15" t="s">
        <v>90</v>
      </c>
      <c r="C154" s="15" t="s">
        <v>437</v>
      </c>
      <c r="D154" s="16">
        <v>7299764.9708000002</v>
      </c>
      <c r="E154" s="16">
        <v>1654862.0547</v>
      </c>
      <c r="F154" s="17">
        <f t="shared" si="2"/>
        <v>8954627.0254999995</v>
      </c>
      <c r="G154" s="18"/>
      <c r="H154" s="18"/>
      <c r="I154" s="19"/>
      <c r="J154" s="19"/>
      <c r="K154" s="19"/>
      <c r="L154" s="19"/>
      <c r="M154" s="18"/>
      <c r="N154" s="18"/>
      <c r="O154" s="19"/>
      <c r="P154" s="19"/>
      <c r="Q154" s="19"/>
    </row>
    <row r="155" spans="1:17" ht="17.649999999999999">
      <c r="A155" s="14">
        <v>150</v>
      </c>
      <c r="B155" s="15" t="s">
        <v>90</v>
      </c>
      <c r="C155" s="15" t="s">
        <v>439</v>
      </c>
      <c r="D155" s="16">
        <v>8669577.8105999995</v>
      </c>
      <c r="E155" s="16">
        <v>1965399.6268</v>
      </c>
      <c r="F155" s="17">
        <f t="shared" si="2"/>
        <v>10634977.4374</v>
      </c>
      <c r="G155" s="18"/>
      <c r="H155" s="18"/>
      <c r="I155" s="19"/>
      <c r="J155" s="19"/>
      <c r="K155" s="19"/>
      <c r="L155" s="19"/>
      <c r="M155" s="18"/>
      <c r="N155" s="18"/>
      <c r="O155" s="19"/>
      <c r="P155" s="19"/>
      <c r="Q155" s="19"/>
    </row>
    <row r="156" spans="1:17" ht="17.649999999999999">
      <c r="A156" s="14">
        <v>151</v>
      </c>
      <c r="B156" s="15" t="s">
        <v>90</v>
      </c>
      <c r="C156" s="15" t="s">
        <v>441</v>
      </c>
      <c r="D156" s="16">
        <v>7389619.1549000004</v>
      </c>
      <c r="E156" s="16">
        <v>1675232.0639</v>
      </c>
      <c r="F156" s="17">
        <f t="shared" si="2"/>
        <v>9064851.2188000008</v>
      </c>
      <c r="G156" s="18"/>
      <c r="H156" s="18"/>
      <c r="I156" s="19"/>
      <c r="J156" s="19"/>
      <c r="K156" s="19"/>
      <c r="L156" s="19"/>
      <c r="M156" s="18"/>
      <c r="N156" s="18"/>
      <c r="O156" s="19"/>
      <c r="P156" s="19"/>
      <c r="Q156" s="19"/>
    </row>
    <row r="157" spans="1:17" ht="17.649999999999999">
      <c r="A157" s="14">
        <v>152</v>
      </c>
      <c r="B157" s="15" t="s">
        <v>90</v>
      </c>
      <c r="C157" s="15" t="s">
        <v>443</v>
      </c>
      <c r="D157" s="16">
        <v>10646945.3182</v>
      </c>
      <c r="E157" s="16">
        <v>2413670.2861000001</v>
      </c>
      <c r="F157" s="17">
        <f t="shared" si="2"/>
        <v>13060615.6043</v>
      </c>
      <c r="G157" s="18"/>
      <c r="H157" s="18"/>
      <c r="I157" s="19"/>
      <c r="J157" s="19"/>
      <c r="K157" s="19"/>
      <c r="L157" s="19"/>
      <c r="M157" s="18"/>
      <c r="N157" s="18"/>
      <c r="O157" s="19"/>
      <c r="P157" s="19"/>
      <c r="Q157" s="19"/>
    </row>
    <row r="158" spans="1:17" ht="17.649999999999999">
      <c r="A158" s="14">
        <v>153</v>
      </c>
      <c r="B158" s="15" t="s">
        <v>90</v>
      </c>
      <c r="C158" s="15" t="s">
        <v>445</v>
      </c>
      <c r="D158" s="16">
        <v>7540336.7033000002</v>
      </c>
      <c r="E158" s="16">
        <v>1709399.8422999999</v>
      </c>
      <c r="F158" s="17">
        <f t="shared" si="2"/>
        <v>9249736.5456000008</v>
      </c>
      <c r="G158" s="18"/>
      <c r="H158" s="18"/>
      <c r="I158" s="19"/>
      <c r="J158" s="19"/>
      <c r="K158" s="19"/>
      <c r="L158" s="19"/>
      <c r="M158" s="18"/>
      <c r="N158" s="18"/>
      <c r="O158" s="19"/>
      <c r="P158" s="19"/>
      <c r="Q158" s="19"/>
    </row>
    <row r="159" spans="1:17" ht="17.649999999999999">
      <c r="A159" s="14">
        <v>154</v>
      </c>
      <c r="B159" s="15" t="s">
        <v>90</v>
      </c>
      <c r="C159" s="15" t="s">
        <v>447</v>
      </c>
      <c r="D159" s="16">
        <v>8699792.2698999997</v>
      </c>
      <c r="E159" s="16">
        <v>1972249.2668000001</v>
      </c>
      <c r="F159" s="17">
        <f t="shared" si="2"/>
        <v>10672041.536699999</v>
      </c>
      <c r="G159" s="18"/>
      <c r="H159" s="18"/>
      <c r="I159" s="19"/>
      <c r="J159" s="19"/>
      <c r="K159" s="19"/>
      <c r="L159" s="19"/>
      <c r="M159" s="18"/>
      <c r="N159" s="18"/>
      <c r="O159" s="19"/>
      <c r="P159" s="19"/>
      <c r="Q159" s="19"/>
    </row>
    <row r="160" spans="1:17" ht="17.649999999999999">
      <c r="A160" s="14">
        <v>155</v>
      </c>
      <c r="B160" s="15" t="s">
        <v>90</v>
      </c>
      <c r="C160" s="15" t="s">
        <v>449</v>
      </c>
      <c r="D160" s="16">
        <v>7690163.0809000004</v>
      </c>
      <c r="E160" s="16">
        <v>1743365.5917</v>
      </c>
      <c r="F160" s="17">
        <f t="shared" si="2"/>
        <v>9433528.6726000011</v>
      </c>
      <c r="G160" s="18"/>
      <c r="H160" s="18"/>
      <c r="I160" s="19"/>
      <c r="J160" s="19"/>
      <c r="K160" s="19"/>
      <c r="L160" s="19"/>
      <c r="M160" s="18"/>
      <c r="N160" s="18"/>
      <c r="O160" s="19"/>
      <c r="P160" s="19"/>
      <c r="Q160" s="19"/>
    </row>
    <row r="161" spans="1:17" ht="17.649999999999999">
      <c r="A161" s="14">
        <v>156</v>
      </c>
      <c r="B161" s="15" t="s">
        <v>90</v>
      </c>
      <c r="C161" s="15" t="s">
        <v>451</v>
      </c>
      <c r="D161" s="16">
        <v>7077099.8212000001</v>
      </c>
      <c r="E161" s="16">
        <v>1604383.7024999999</v>
      </c>
      <c r="F161" s="17">
        <f t="shared" si="2"/>
        <v>8681483.5237000007</v>
      </c>
      <c r="G161" s="18"/>
      <c r="H161" s="18"/>
      <c r="I161" s="19"/>
      <c r="J161" s="19"/>
      <c r="K161" s="19"/>
      <c r="L161" s="19"/>
      <c r="M161" s="18"/>
      <c r="N161" s="18"/>
      <c r="O161" s="19"/>
      <c r="P161" s="19"/>
      <c r="Q161" s="19"/>
    </row>
    <row r="162" spans="1:17" ht="17.649999999999999">
      <c r="A162" s="14">
        <v>157</v>
      </c>
      <c r="B162" s="15" t="s">
        <v>90</v>
      </c>
      <c r="C162" s="15" t="s">
        <v>453</v>
      </c>
      <c r="D162" s="16">
        <v>10369932.105</v>
      </c>
      <c r="E162" s="16">
        <v>2350871.1882000002</v>
      </c>
      <c r="F162" s="17">
        <f t="shared" si="2"/>
        <v>12720803.293200001</v>
      </c>
      <c r="G162" s="18"/>
      <c r="H162" s="18"/>
      <c r="I162" s="19"/>
      <c r="J162" s="19"/>
      <c r="K162" s="19"/>
      <c r="L162" s="19"/>
      <c r="M162" s="18"/>
      <c r="N162" s="18"/>
      <c r="O162" s="19"/>
      <c r="P162" s="19"/>
      <c r="Q162" s="19"/>
    </row>
    <row r="163" spans="1:17" ht="17.649999999999999">
      <c r="A163" s="14">
        <v>158</v>
      </c>
      <c r="B163" s="15" t="s">
        <v>90</v>
      </c>
      <c r="C163" s="15" t="s">
        <v>455</v>
      </c>
      <c r="D163" s="16">
        <v>10687269.182399999</v>
      </c>
      <c r="E163" s="16">
        <v>2422811.7355999998</v>
      </c>
      <c r="F163" s="17">
        <f t="shared" si="2"/>
        <v>13110080.918</v>
      </c>
      <c r="G163" s="18"/>
      <c r="H163" s="18"/>
      <c r="I163" s="19"/>
      <c r="J163" s="19"/>
      <c r="K163" s="19"/>
      <c r="L163" s="19"/>
      <c r="M163" s="18"/>
      <c r="N163" s="18"/>
      <c r="O163" s="19"/>
      <c r="P163" s="19"/>
      <c r="Q163" s="19"/>
    </row>
    <row r="164" spans="1:17" ht="17.649999999999999">
      <c r="A164" s="14">
        <v>159</v>
      </c>
      <c r="B164" s="15" t="s">
        <v>90</v>
      </c>
      <c r="C164" s="15" t="s">
        <v>457</v>
      </c>
      <c r="D164" s="16">
        <v>5950676.7128999997</v>
      </c>
      <c r="E164" s="16">
        <v>1349022.7605000001</v>
      </c>
      <c r="F164" s="17">
        <f t="shared" si="2"/>
        <v>7299699.4733999996</v>
      </c>
      <c r="G164" s="18"/>
      <c r="H164" s="18"/>
      <c r="I164" s="19"/>
      <c r="J164" s="19"/>
      <c r="K164" s="19"/>
      <c r="L164" s="19"/>
      <c r="M164" s="18"/>
      <c r="N164" s="18"/>
      <c r="O164" s="19"/>
      <c r="P164" s="19"/>
      <c r="Q164" s="19"/>
    </row>
    <row r="165" spans="1:17" ht="17.649999999999999">
      <c r="A165" s="14">
        <v>160</v>
      </c>
      <c r="B165" s="15" t="s">
        <v>90</v>
      </c>
      <c r="C165" s="15" t="s">
        <v>459</v>
      </c>
      <c r="D165" s="16">
        <v>8016718.9950999999</v>
      </c>
      <c r="E165" s="16">
        <v>1817396.0560999999</v>
      </c>
      <c r="F165" s="17">
        <f t="shared" si="2"/>
        <v>9834115.0512000006</v>
      </c>
      <c r="G165" s="18"/>
      <c r="H165" s="18"/>
      <c r="I165" s="19"/>
      <c r="J165" s="19"/>
      <c r="K165" s="19"/>
      <c r="L165" s="19"/>
      <c r="M165" s="18"/>
      <c r="N165" s="18"/>
      <c r="O165" s="19"/>
      <c r="P165" s="19"/>
      <c r="Q165" s="19"/>
    </row>
    <row r="166" spans="1:17" ht="17.649999999999999">
      <c r="A166" s="14">
        <v>161</v>
      </c>
      <c r="B166" s="15" t="s">
        <v>90</v>
      </c>
      <c r="C166" s="15" t="s">
        <v>461</v>
      </c>
      <c r="D166" s="16">
        <v>9486918.1909999996</v>
      </c>
      <c r="E166" s="16">
        <v>2150691.2884999998</v>
      </c>
      <c r="F166" s="17">
        <f t="shared" si="2"/>
        <v>11637609.479499999</v>
      </c>
      <c r="G166" s="18"/>
      <c r="H166" s="18"/>
      <c r="I166" s="19"/>
      <c r="J166" s="19"/>
      <c r="K166" s="19"/>
      <c r="L166" s="19"/>
      <c r="M166" s="18"/>
      <c r="N166" s="18"/>
      <c r="O166" s="19"/>
      <c r="P166" s="19"/>
      <c r="Q166" s="19"/>
    </row>
    <row r="167" spans="1:17" ht="35.25">
      <c r="A167" s="14">
        <v>162</v>
      </c>
      <c r="B167" s="15" t="s">
        <v>90</v>
      </c>
      <c r="C167" s="15" t="s">
        <v>463</v>
      </c>
      <c r="D167" s="16">
        <v>13815219.8475</v>
      </c>
      <c r="E167" s="16">
        <v>3131920.4378</v>
      </c>
      <c r="F167" s="17">
        <f t="shared" si="2"/>
        <v>16947140.285300002</v>
      </c>
      <c r="G167" s="18"/>
      <c r="H167" s="18"/>
      <c r="I167" s="19"/>
      <c r="J167" s="19"/>
      <c r="K167" s="19"/>
      <c r="L167" s="19"/>
      <c r="M167" s="18"/>
      <c r="N167" s="18"/>
      <c r="O167" s="19"/>
      <c r="P167" s="19"/>
      <c r="Q167" s="19"/>
    </row>
    <row r="168" spans="1:17" ht="17.649999999999999">
      <c r="A168" s="14">
        <v>163</v>
      </c>
      <c r="B168" s="15" t="s">
        <v>90</v>
      </c>
      <c r="C168" s="15" t="s">
        <v>465</v>
      </c>
      <c r="D168" s="16">
        <v>8627039.7024000008</v>
      </c>
      <c r="E168" s="16">
        <v>1955756.2065999999</v>
      </c>
      <c r="F168" s="17">
        <f t="shared" si="2"/>
        <v>10582795.909</v>
      </c>
      <c r="G168" s="18"/>
      <c r="H168" s="18"/>
      <c r="I168" s="19"/>
      <c r="J168" s="19"/>
      <c r="K168" s="19"/>
      <c r="L168" s="19"/>
      <c r="M168" s="18"/>
      <c r="N168" s="18"/>
      <c r="O168" s="19"/>
      <c r="P168" s="19"/>
      <c r="Q168" s="19"/>
    </row>
    <row r="169" spans="1:17" ht="17.649999999999999">
      <c r="A169" s="14">
        <v>164</v>
      </c>
      <c r="B169" s="15" t="s">
        <v>90</v>
      </c>
      <c r="C169" s="15" t="s">
        <v>467</v>
      </c>
      <c r="D169" s="16">
        <v>8033665.6820999999</v>
      </c>
      <c r="E169" s="16">
        <v>1821237.8824</v>
      </c>
      <c r="F169" s="17">
        <f t="shared" si="2"/>
        <v>9854903.5645000003</v>
      </c>
      <c r="G169" s="18"/>
      <c r="H169" s="18"/>
      <c r="I169" s="19"/>
      <c r="J169" s="19"/>
      <c r="K169" s="19"/>
      <c r="L169" s="19"/>
      <c r="M169" s="18"/>
      <c r="N169" s="18"/>
      <c r="O169" s="19"/>
      <c r="P169" s="19"/>
      <c r="Q169" s="19"/>
    </row>
    <row r="170" spans="1:17" ht="17.649999999999999">
      <c r="A170" s="14">
        <v>165</v>
      </c>
      <c r="B170" s="15" t="s">
        <v>90</v>
      </c>
      <c r="C170" s="15" t="s">
        <v>469</v>
      </c>
      <c r="D170" s="16">
        <v>7841619.4062999999</v>
      </c>
      <c r="E170" s="16">
        <v>1777700.8513</v>
      </c>
      <c r="F170" s="17">
        <f t="shared" si="2"/>
        <v>9619320.2576000001</v>
      </c>
      <c r="G170" s="18"/>
      <c r="H170" s="18"/>
      <c r="I170" s="19"/>
      <c r="J170" s="19"/>
      <c r="K170" s="19"/>
      <c r="L170" s="19"/>
      <c r="M170" s="18"/>
      <c r="N170" s="18"/>
      <c r="O170" s="19"/>
      <c r="P170" s="19"/>
      <c r="Q170" s="19"/>
    </row>
    <row r="171" spans="1:17" ht="17.649999999999999">
      <c r="A171" s="14">
        <v>166</v>
      </c>
      <c r="B171" s="15" t="s">
        <v>90</v>
      </c>
      <c r="C171" s="15" t="s">
        <v>471</v>
      </c>
      <c r="D171" s="16">
        <v>8968215.4397</v>
      </c>
      <c r="E171" s="16">
        <v>2033100.9956</v>
      </c>
      <c r="F171" s="17">
        <f t="shared" si="2"/>
        <v>11001316.4353</v>
      </c>
      <c r="G171" s="18"/>
      <c r="H171" s="18"/>
      <c r="I171" s="19"/>
      <c r="J171" s="19"/>
      <c r="K171" s="19"/>
      <c r="L171" s="19"/>
      <c r="M171" s="18"/>
      <c r="N171" s="18"/>
      <c r="O171" s="19"/>
      <c r="P171" s="19"/>
      <c r="Q171" s="19"/>
    </row>
    <row r="172" spans="1:17" ht="17.649999999999999">
      <c r="A172" s="14">
        <v>167</v>
      </c>
      <c r="B172" s="15" t="s">
        <v>90</v>
      </c>
      <c r="C172" s="15" t="s">
        <v>473</v>
      </c>
      <c r="D172" s="16">
        <v>7795612.6061000004</v>
      </c>
      <c r="E172" s="16">
        <v>1767271.0760999999</v>
      </c>
      <c r="F172" s="17">
        <f t="shared" si="2"/>
        <v>9562883.6821999997</v>
      </c>
      <c r="G172" s="18"/>
      <c r="H172" s="18"/>
      <c r="I172" s="19"/>
      <c r="J172" s="19"/>
      <c r="K172" s="19"/>
      <c r="L172" s="19"/>
      <c r="M172" s="18"/>
      <c r="N172" s="18"/>
      <c r="O172" s="19"/>
      <c r="P172" s="19"/>
      <c r="Q172" s="19"/>
    </row>
    <row r="173" spans="1:17" ht="17.649999999999999">
      <c r="A173" s="14">
        <v>168</v>
      </c>
      <c r="B173" s="15" t="s">
        <v>90</v>
      </c>
      <c r="C173" s="15" t="s">
        <v>475</v>
      </c>
      <c r="D173" s="16">
        <v>7560698.1299999999</v>
      </c>
      <c r="E173" s="16">
        <v>1714015.7926</v>
      </c>
      <c r="F173" s="17">
        <f t="shared" si="2"/>
        <v>9274713.9225999992</v>
      </c>
      <c r="G173" s="18"/>
      <c r="H173" s="18"/>
      <c r="I173" s="19"/>
      <c r="J173" s="19"/>
      <c r="K173" s="19"/>
      <c r="L173" s="19"/>
      <c r="M173" s="18"/>
      <c r="N173" s="18"/>
      <c r="O173" s="19"/>
      <c r="P173" s="19"/>
      <c r="Q173" s="19"/>
    </row>
    <row r="174" spans="1:17" ht="35.25">
      <c r="A174" s="14">
        <v>169</v>
      </c>
      <c r="B174" s="15" t="s">
        <v>91</v>
      </c>
      <c r="C174" s="15" t="s">
        <v>480</v>
      </c>
      <c r="D174" s="16">
        <v>8015344.1946</v>
      </c>
      <c r="E174" s="16">
        <v>1817084.3877999999</v>
      </c>
      <c r="F174" s="17">
        <f t="shared" si="2"/>
        <v>9832428.5823999997</v>
      </c>
      <c r="G174" s="18"/>
      <c r="H174" s="18"/>
      <c r="I174" s="19"/>
      <c r="J174" s="19"/>
      <c r="K174" s="19"/>
      <c r="L174" s="19"/>
      <c r="M174" s="18"/>
      <c r="N174" s="18"/>
      <c r="O174" s="19"/>
      <c r="P174" s="19"/>
      <c r="Q174" s="19"/>
    </row>
    <row r="175" spans="1:17" ht="35.25">
      <c r="A175" s="14">
        <v>170</v>
      </c>
      <c r="B175" s="15" t="s">
        <v>91</v>
      </c>
      <c r="C175" s="15" t="s">
        <v>482</v>
      </c>
      <c r="D175" s="16">
        <v>10075190.414899999</v>
      </c>
      <c r="E175" s="16">
        <v>2284053.0315999999</v>
      </c>
      <c r="F175" s="17">
        <f t="shared" si="2"/>
        <v>12359243.4465</v>
      </c>
      <c r="G175" s="18"/>
      <c r="H175" s="18"/>
      <c r="I175" s="19"/>
      <c r="J175" s="19"/>
      <c r="K175" s="19"/>
      <c r="L175" s="19"/>
      <c r="M175" s="18"/>
      <c r="N175" s="18"/>
      <c r="O175" s="19"/>
      <c r="P175" s="19"/>
      <c r="Q175" s="19"/>
    </row>
    <row r="176" spans="1:17" ht="35.25">
      <c r="A176" s="14">
        <v>171</v>
      </c>
      <c r="B176" s="15" t="s">
        <v>91</v>
      </c>
      <c r="C176" s="15" t="s">
        <v>484</v>
      </c>
      <c r="D176" s="16">
        <v>9644924.0637999997</v>
      </c>
      <c r="E176" s="16">
        <v>2186511.3352999999</v>
      </c>
      <c r="F176" s="17">
        <f t="shared" si="2"/>
        <v>11831435.3991</v>
      </c>
      <c r="G176" s="18"/>
      <c r="H176" s="18"/>
      <c r="I176" s="19"/>
      <c r="J176" s="19"/>
      <c r="K176" s="19"/>
      <c r="L176" s="19"/>
      <c r="M176" s="18"/>
      <c r="N176" s="18"/>
      <c r="O176" s="19"/>
      <c r="P176" s="19"/>
      <c r="Q176" s="19"/>
    </row>
    <row r="177" spans="1:17" ht="35.25">
      <c r="A177" s="14">
        <v>172</v>
      </c>
      <c r="B177" s="15" t="s">
        <v>91</v>
      </c>
      <c r="C177" s="15" t="s">
        <v>486</v>
      </c>
      <c r="D177" s="16">
        <v>6223073.8960999995</v>
      </c>
      <c r="E177" s="16">
        <v>1410775.4010999999</v>
      </c>
      <c r="F177" s="17">
        <f t="shared" si="2"/>
        <v>7633849.2971999999</v>
      </c>
      <c r="G177" s="18"/>
      <c r="H177" s="18"/>
      <c r="I177" s="19"/>
      <c r="J177" s="19"/>
      <c r="K177" s="19"/>
      <c r="L177" s="19"/>
      <c r="M177" s="18"/>
      <c r="N177" s="18"/>
      <c r="O177" s="19"/>
      <c r="P177" s="19"/>
      <c r="Q177" s="19"/>
    </row>
    <row r="178" spans="1:17" ht="35.25">
      <c r="A178" s="14">
        <v>173</v>
      </c>
      <c r="B178" s="15" t="s">
        <v>91</v>
      </c>
      <c r="C178" s="15" t="s">
        <v>488</v>
      </c>
      <c r="D178" s="16">
        <v>7433907.2966</v>
      </c>
      <c r="E178" s="16">
        <v>1685272.2180000001</v>
      </c>
      <c r="F178" s="17">
        <f t="shared" si="2"/>
        <v>9119179.5145999994</v>
      </c>
      <c r="G178" s="18"/>
      <c r="H178" s="18"/>
      <c r="I178" s="19"/>
      <c r="J178" s="19"/>
      <c r="K178" s="19"/>
      <c r="L178" s="19"/>
      <c r="M178" s="18"/>
      <c r="N178" s="18"/>
      <c r="O178" s="19"/>
      <c r="P178" s="19"/>
      <c r="Q178" s="19"/>
    </row>
    <row r="179" spans="1:17" ht="35.25">
      <c r="A179" s="14">
        <v>174</v>
      </c>
      <c r="B179" s="15" t="s">
        <v>91</v>
      </c>
      <c r="C179" s="15" t="s">
        <v>490</v>
      </c>
      <c r="D179" s="16">
        <v>8552158.9430999998</v>
      </c>
      <c r="E179" s="16">
        <v>1938780.6836999999</v>
      </c>
      <c r="F179" s="17">
        <f t="shared" si="2"/>
        <v>10490939.626800001</v>
      </c>
      <c r="G179" s="18"/>
      <c r="H179" s="18"/>
      <c r="I179" s="19"/>
      <c r="J179" s="19"/>
      <c r="K179" s="19"/>
      <c r="L179" s="19"/>
      <c r="M179" s="18"/>
      <c r="N179" s="18"/>
      <c r="O179" s="19"/>
      <c r="P179" s="19"/>
      <c r="Q179" s="19"/>
    </row>
    <row r="180" spans="1:17" ht="35.25">
      <c r="A180" s="14">
        <v>175</v>
      </c>
      <c r="B180" s="15" t="s">
        <v>91</v>
      </c>
      <c r="C180" s="15" t="s">
        <v>492</v>
      </c>
      <c r="D180" s="16">
        <v>9804599.2692000009</v>
      </c>
      <c r="E180" s="16">
        <v>2222709.8210999998</v>
      </c>
      <c r="F180" s="17">
        <f t="shared" si="2"/>
        <v>12027309.090300001</v>
      </c>
      <c r="G180" s="18"/>
      <c r="H180" s="18"/>
      <c r="I180" s="19"/>
      <c r="J180" s="19"/>
      <c r="K180" s="19"/>
      <c r="L180" s="19"/>
      <c r="M180" s="18"/>
      <c r="N180" s="18"/>
      <c r="O180" s="19"/>
      <c r="P180" s="19"/>
      <c r="Q180" s="19"/>
    </row>
    <row r="181" spans="1:17" ht="35.25">
      <c r="A181" s="14">
        <v>176</v>
      </c>
      <c r="B181" s="15" t="s">
        <v>91</v>
      </c>
      <c r="C181" s="15" t="s">
        <v>494</v>
      </c>
      <c r="D181" s="16">
        <v>7766751.9417000003</v>
      </c>
      <c r="E181" s="16">
        <v>1760728.3424</v>
      </c>
      <c r="F181" s="17">
        <f t="shared" si="2"/>
        <v>9527480.2840999998</v>
      </c>
      <c r="G181" s="18"/>
      <c r="H181" s="18"/>
      <c r="I181" s="19"/>
      <c r="J181" s="19"/>
      <c r="K181" s="19"/>
      <c r="L181" s="19"/>
      <c r="M181" s="18"/>
      <c r="N181" s="18"/>
      <c r="O181" s="19"/>
      <c r="P181" s="19"/>
      <c r="Q181" s="19"/>
    </row>
    <row r="182" spans="1:17" ht="35.25">
      <c r="A182" s="14">
        <v>177</v>
      </c>
      <c r="B182" s="15" t="s">
        <v>91</v>
      </c>
      <c r="C182" s="15" t="s">
        <v>496</v>
      </c>
      <c r="D182" s="16">
        <v>8278400.2379999999</v>
      </c>
      <c r="E182" s="16">
        <v>1876719.3851999999</v>
      </c>
      <c r="F182" s="17">
        <f t="shared" si="2"/>
        <v>10155119.623199999</v>
      </c>
      <c r="G182" s="18"/>
      <c r="H182" s="18"/>
      <c r="I182" s="19"/>
      <c r="J182" s="19"/>
      <c r="K182" s="19"/>
      <c r="L182" s="19"/>
      <c r="M182" s="18"/>
      <c r="N182" s="18"/>
      <c r="O182" s="19"/>
      <c r="P182" s="19"/>
      <c r="Q182" s="19"/>
    </row>
    <row r="183" spans="1:17" ht="35.25">
      <c r="A183" s="14">
        <v>178</v>
      </c>
      <c r="B183" s="15" t="s">
        <v>91</v>
      </c>
      <c r="C183" s="15" t="s">
        <v>498</v>
      </c>
      <c r="D183" s="16">
        <v>6482310.0069000004</v>
      </c>
      <c r="E183" s="16">
        <v>1469544.4169000001</v>
      </c>
      <c r="F183" s="17">
        <f t="shared" si="2"/>
        <v>7951854.4238000009</v>
      </c>
      <c r="G183" s="18"/>
      <c r="H183" s="18"/>
      <c r="I183" s="19"/>
      <c r="J183" s="19"/>
      <c r="K183" s="19"/>
      <c r="L183" s="19"/>
      <c r="M183" s="18"/>
      <c r="N183" s="18"/>
      <c r="O183" s="19"/>
      <c r="P183" s="19"/>
      <c r="Q183" s="19"/>
    </row>
    <row r="184" spans="1:17" ht="35.25">
      <c r="A184" s="14">
        <v>179</v>
      </c>
      <c r="B184" s="15" t="s">
        <v>91</v>
      </c>
      <c r="C184" s="15" t="s">
        <v>500</v>
      </c>
      <c r="D184" s="16">
        <v>8845020.6008000001</v>
      </c>
      <c r="E184" s="16">
        <v>2005172.6355999999</v>
      </c>
      <c r="F184" s="17">
        <f t="shared" si="2"/>
        <v>10850193.236400001</v>
      </c>
      <c r="G184" s="18"/>
      <c r="H184" s="18"/>
      <c r="I184" s="19"/>
      <c r="J184" s="19"/>
      <c r="K184" s="19"/>
      <c r="L184" s="19"/>
      <c r="M184" s="18"/>
      <c r="N184" s="18"/>
      <c r="O184" s="19"/>
      <c r="P184" s="19"/>
      <c r="Q184" s="19"/>
    </row>
    <row r="185" spans="1:17" ht="35.25">
      <c r="A185" s="14">
        <v>180</v>
      </c>
      <c r="B185" s="15" t="s">
        <v>91</v>
      </c>
      <c r="C185" s="15" t="s">
        <v>502</v>
      </c>
      <c r="D185" s="16">
        <v>7633074.2768000001</v>
      </c>
      <c r="E185" s="16">
        <v>1730423.5179999999</v>
      </c>
      <c r="F185" s="17">
        <f t="shared" si="2"/>
        <v>9363497.7948000003</v>
      </c>
      <c r="G185" s="18"/>
      <c r="H185" s="18"/>
      <c r="I185" s="19"/>
      <c r="J185" s="19"/>
      <c r="K185" s="19"/>
      <c r="L185" s="19"/>
      <c r="M185" s="18"/>
      <c r="N185" s="18"/>
      <c r="O185" s="19"/>
      <c r="P185" s="19"/>
      <c r="Q185" s="19"/>
    </row>
    <row r="186" spans="1:17" ht="35.25">
      <c r="A186" s="14">
        <v>181</v>
      </c>
      <c r="B186" s="15" t="s">
        <v>91</v>
      </c>
      <c r="C186" s="15" t="s">
        <v>504</v>
      </c>
      <c r="D186" s="16">
        <v>8412801.2002000008</v>
      </c>
      <c r="E186" s="16">
        <v>1907188.1814999999</v>
      </c>
      <c r="F186" s="17">
        <f t="shared" si="2"/>
        <v>10319989.381700002</v>
      </c>
      <c r="G186" s="18"/>
      <c r="H186" s="18"/>
      <c r="I186" s="19"/>
      <c r="J186" s="19"/>
      <c r="K186" s="19"/>
      <c r="L186" s="19"/>
      <c r="M186" s="18"/>
      <c r="N186" s="18"/>
      <c r="O186" s="19"/>
      <c r="P186" s="19"/>
      <c r="Q186" s="19"/>
    </row>
    <row r="187" spans="1:17" ht="35.25">
      <c r="A187" s="14">
        <v>182</v>
      </c>
      <c r="B187" s="15" t="s">
        <v>91</v>
      </c>
      <c r="C187" s="15" t="s">
        <v>506</v>
      </c>
      <c r="D187" s="16">
        <v>7964705.2792999996</v>
      </c>
      <c r="E187" s="16">
        <v>1805604.5086999999</v>
      </c>
      <c r="F187" s="17">
        <f t="shared" si="2"/>
        <v>9770309.7879999988</v>
      </c>
      <c r="G187" s="18"/>
      <c r="H187" s="18"/>
      <c r="I187" s="19"/>
      <c r="J187" s="19"/>
      <c r="K187" s="19"/>
      <c r="L187" s="19"/>
      <c r="M187" s="18"/>
      <c r="N187" s="18"/>
      <c r="O187" s="19"/>
      <c r="P187" s="19"/>
      <c r="Q187" s="19"/>
    </row>
    <row r="188" spans="1:17" ht="35.25">
      <c r="A188" s="14">
        <v>183</v>
      </c>
      <c r="B188" s="15" t="s">
        <v>91</v>
      </c>
      <c r="C188" s="15" t="s">
        <v>508</v>
      </c>
      <c r="D188" s="16">
        <v>9034326.9299999997</v>
      </c>
      <c r="E188" s="16">
        <v>2048088.5188</v>
      </c>
      <c r="F188" s="17">
        <f t="shared" si="2"/>
        <v>11082415.448799999</v>
      </c>
      <c r="G188" s="18"/>
      <c r="H188" s="18"/>
      <c r="I188" s="19"/>
      <c r="J188" s="19"/>
      <c r="K188" s="19"/>
      <c r="L188" s="19"/>
      <c r="M188" s="18"/>
      <c r="N188" s="18"/>
      <c r="O188" s="19"/>
      <c r="P188" s="19"/>
      <c r="Q188" s="19"/>
    </row>
    <row r="189" spans="1:17" ht="35.25">
      <c r="A189" s="14">
        <v>184</v>
      </c>
      <c r="B189" s="15" t="s">
        <v>91</v>
      </c>
      <c r="C189" s="15" t="s">
        <v>510</v>
      </c>
      <c r="D189" s="16">
        <v>8490717.4818999991</v>
      </c>
      <c r="E189" s="16">
        <v>1924851.8595</v>
      </c>
      <c r="F189" s="17">
        <f t="shared" si="2"/>
        <v>10415569.341399999</v>
      </c>
      <c r="G189" s="18"/>
      <c r="H189" s="18"/>
      <c r="I189" s="19"/>
      <c r="J189" s="19"/>
      <c r="K189" s="19"/>
      <c r="L189" s="19"/>
      <c r="M189" s="18"/>
      <c r="N189" s="18"/>
      <c r="O189" s="19"/>
      <c r="P189" s="19"/>
      <c r="Q189" s="19"/>
    </row>
    <row r="190" spans="1:17" ht="35.25">
      <c r="A190" s="14">
        <v>185</v>
      </c>
      <c r="B190" s="15" t="s">
        <v>91</v>
      </c>
      <c r="C190" s="15" t="s">
        <v>512</v>
      </c>
      <c r="D190" s="16">
        <v>8524189.8144000005</v>
      </c>
      <c r="E190" s="16">
        <v>1932440.0618</v>
      </c>
      <c r="F190" s="17">
        <f t="shared" si="2"/>
        <v>10456629.8762</v>
      </c>
      <c r="G190" s="18"/>
      <c r="H190" s="18"/>
      <c r="I190" s="19"/>
      <c r="J190" s="19"/>
      <c r="K190" s="19"/>
      <c r="L190" s="19"/>
      <c r="M190" s="18"/>
      <c r="N190" s="18"/>
      <c r="O190" s="19"/>
      <c r="P190" s="19"/>
      <c r="Q190" s="19"/>
    </row>
    <row r="191" spans="1:17" ht="35.25">
      <c r="A191" s="14">
        <v>186</v>
      </c>
      <c r="B191" s="15" t="s">
        <v>91</v>
      </c>
      <c r="C191" s="15" t="s">
        <v>514</v>
      </c>
      <c r="D191" s="16">
        <v>9400378.7822999991</v>
      </c>
      <c r="E191" s="16">
        <v>2131072.7412999999</v>
      </c>
      <c r="F191" s="17">
        <f t="shared" si="2"/>
        <v>11531451.523599999</v>
      </c>
      <c r="G191" s="18"/>
      <c r="H191" s="18"/>
      <c r="I191" s="19"/>
      <c r="J191" s="19"/>
      <c r="K191" s="19"/>
      <c r="L191" s="19"/>
      <c r="M191" s="18"/>
      <c r="N191" s="18"/>
      <c r="O191" s="19"/>
      <c r="P191" s="19"/>
      <c r="Q191" s="19"/>
    </row>
    <row r="192" spans="1:17" ht="17.649999999999999">
      <c r="A192" s="14">
        <v>187</v>
      </c>
      <c r="B192" s="15" t="s">
        <v>92</v>
      </c>
      <c r="C192" s="15" t="s">
        <v>519</v>
      </c>
      <c r="D192" s="16">
        <v>6582720.4014999997</v>
      </c>
      <c r="E192" s="16">
        <v>1492307.5267</v>
      </c>
      <c r="F192" s="17">
        <f t="shared" si="2"/>
        <v>8075027.9282</v>
      </c>
      <c r="G192" s="18"/>
      <c r="H192" s="18"/>
      <c r="I192" s="19"/>
      <c r="J192" s="19"/>
      <c r="K192" s="19"/>
      <c r="L192" s="19"/>
      <c r="M192" s="18"/>
      <c r="N192" s="18"/>
      <c r="O192" s="19"/>
      <c r="P192" s="19"/>
      <c r="Q192" s="19"/>
    </row>
    <row r="193" spans="1:17" ht="17.649999999999999">
      <c r="A193" s="14">
        <v>188</v>
      </c>
      <c r="B193" s="15" t="s">
        <v>92</v>
      </c>
      <c r="C193" s="15" t="s">
        <v>521</v>
      </c>
      <c r="D193" s="16">
        <v>7174904.0546000004</v>
      </c>
      <c r="E193" s="16">
        <v>1626555.9937</v>
      </c>
      <c r="F193" s="17">
        <f t="shared" si="2"/>
        <v>8801460.0482999999</v>
      </c>
      <c r="G193" s="18"/>
      <c r="H193" s="18"/>
      <c r="I193" s="19"/>
      <c r="J193" s="19"/>
      <c r="K193" s="19"/>
      <c r="L193" s="19"/>
      <c r="M193" s="18"/>
      <c r="N193" s="18"/>
      <c r="O193" s="19"/>
      <c r="P193" s="19"/>
      <c r="Q193" s="19"/>
    </row>
    <row r="194" spans="1:17" ht="17.649999999999999">
      <c r="A194" s="14">
        <v>189</v>
      </c>
      <c r="B194" s="15" t="s">
        <v>92</v>
      </c>
      <c r="C194" s="15" t="s">
        <v>523</v>
      </c>
      <c r="D194" s="16">
        <v>6133360.6004999997</v>
      </c>
      <c r="E194" s="16">
        <v>1390437.3314</v>
      </c>
      <c r="F194" s="17">
        <f t="shared" si="2"/>
        <v>7523797.9319000002</v>
      </c>
      <c r="G194" s="18"/>
      <c r="H194" s="18"/>
      <c r="I194" s="19"/>
      <c r="J194" s="19"/>
      <c r="K194" s="19"/>
      <c r="L194" s="19"/>
      <c r="M194" s="18"/>
      <c r="N194" s="18"/>
      <c r="O194" s="19"/>
      <c r="P194" s="19"/>
      <c r="Q194" s="19"/>
    </row>
    <row r="195" spans="1:17" ht="17.649999999999999">
      <c r="A195" s="14">
        <v>190</v>
      </c>
      <c r="B195" s="15" t="s">
        <v>92</v>
      </c>
      <c r="C195" s="15" t="s">
        <v>525</v>
      </c>
      <c r="D195" s="16">
        <v>8814748.2147000004</v>
      </c>
      <c r="E195" s="16">
        <v>1998309.8635</v>
      </c>
      <c r="F195" s="17">
        <f t="shared" si="2"/>
        <v>10813058.078200001</v>
      </c>
      <c r="G195" s="18"/>
      <c r="H195" s="18"/>
      <c r="I195" s="19"/>
      <c r="J195" s="19"/>
      <c r="K195" s="19"/>
      <c r="L195" s="19"/>
      <c r="M195" s="18"/>
      <c r="N195" s="18"/>
      <c r="O195" s="19"/>
      <c r="P195" s="19"/>
      <c r="Q195" s="19"/>
    </row>
    <row r="196" spans="1:17" ht="17.649999999999999">
      <c r="A196" s="14">
        <v>191</v>
      </c>
      <c r="B196" s="15" t="s">
        <v>92</v>
      </c>
      <c r="C196" s="15" t="s">
        <v>527</v>
      </c>
      <c r="D196" s="16">
        <v>8020051.1661</v>
      </c>
      <c r="E196" s="16">
        <v>1818151.4617000001</v>
      </c>
      <c r="F196" s="17">
        <f t="shared" si="2"/>
        <v>9838202.6278000008</v>
      </c>
      <c r="G196" s="18"/>
      <c r="H196" s="18"/>
      <c r="I196" s="19"/>
      <c r="J196" s="19"/>
      <c r="K196" s="19"/>
      <c r="L196" s="19"/>
      <c r="M196" s="18"/>
      <c r="N196" s="18"/>
      <c r="O196" s="19"/>
      <c r="P196" s="19"/>
      <c r="Q196" s="19"/>
    </row>
    <row r="197" spans="1:17" ht="17.649999999999999">
      <c r="A197" s="14">
        <v>192</v>
      </c>
      <c r="B197" s="15" t="s">
        <v>92</v>
      </c>
      <c r="C197" s="15" t="s">
        <v>529</v>
      </c>
      <c r="D197" s="16">
        <v>8215265.0339000002</v>
      </c>
      <c r="E197" s="16">
        <v>1862406.5882000001</v>
      </c>
      <c r="F197" s="17">
        <f t="shared" si="2"/>
        <v>10077671.622099999</v>
      </c>
      <c r="G197" s="18"/>
      <c r="H197" s="18"/>
      <c r="I197" s="19"/>
      <c r="J197" s="19"/>
      <c r="K197" s="19"/>
      <c r="L197" s="19"/>
      <c r="M197" s="18"/>
      <c r="N197" s="18"/>
      <c r="O197" s="19"/>
      <c r="P197" s="19"/>
      <c r="Q197" s="19"/>
    </row>
    <row r="198" spans="1:17" ht="17.649999999999999">
      <c r="A198" s="14">
        <v>193</v>
      </c>
      <c r="B198" s="15" t="s">
        <v>92</v>
      </c>
      <c r="C198" s="15" t="s">
        <v>531</v>
      </c>
      <c r="D198" s="16">
        <v>8709696.8458999991</v>
      </c>
      <c r="E198" s="16">
        <v>1974494.6414000001</v>
      </c>
      <c r="F198" s="17">
        <f t="shared" si="2"/>
        <v>10684191.487299999</v>
      </c>
      <c r="G198" s="18"/>
      <c r="H198" s="18"/>
      <c r="I198" s="19"/>
      <c r="J198" s="19"/>
      <c r="K198" s="19"/>
      <c r="L198" s="19"/>
      <c r="M198" s="18"/>
      <c r="N198" s="18"/>
      <c r="O198" s="19"/>
      <c r="P198" s="19"/>
      <c r="Q198" s="19"/>
    </row>
    <row r="199" spans="1:17" ht="17.649999999999999">
      <c r="A199" s="14">
        <v>194</v>
      </c>
      <c r="B199" s="15" t="s">
        <v>92</v>
      </c>
      <c r="C199" s="15" t="s">
        <v>533</v>
      </c>
      <c r="D199" s="16">
        <v>8191597.3047000002</v>
      </c>
      <c r="E199" s="16">
        <v>1857041.0967000001</v>
      </c>
      <c r="F199" s="17">
        <f t="shared" ref="F199:F262" si="3">D199+E199</f>
        <v>10048638.4014</v>
      </c>
      <c r="G199" s="18"/>
      <c r="H199" s="18"/>
      <c r="I199" s="19"/>
      <c r="J199" s="19"/>
      <c r="K199" s="19"/>
      <c r="L199" s="19"/>
      <c r="M199" s="18"/>
      <c r="N199" s="18"/>
      <c r="O199" s="19"/>
      <c r="P199" s="19"/>
      <c r="Q199" s="19"/>
    </row>
    <row r="200" spans="1:17" ht="17.649999999999999">
      <c r="A200" s="14">
        <v>195</v>
      </c>
      <c r="B200" s="15" t="s">
        <v>92</v>
      </c>
      <c r="C200" s="15" t="s">
        <v>535</v>
      </c>
      <c r="D200" s="16">
        <v>7707689.3949999996</v>
      </c>
      <c r="E200" s="16">
        <v>1747338.8199</v>
      </c>
      <c r="F200" s="17">
        <f t="shared" si="3"/>
        <v>9455028.2149</v>
      </c>
      <c r="G200" s="18"/>
      <c r="H200" s="18"/>
      <c r="I200" s="19"/>
      <c r="J200" s="19"/>
      <c r="K200" s="19"/>
      <c r="L200" s="19"/>
      <c r="M200" s="18"/>
      <c r="N200" s="18"/>
      <c r="O200" s="19"/>
      <c r="P200" s="19"/>
      <c r="Q200" s="19"/>
    </row>
    <row r="201" spans="1:17" ht="17.649999999999999">
      <c r="A201" s="14">
        <v>196</v>
      </c>
      <c r="B201" s="15" t="s">
        <v>92</v>
      </c>
      <c r="C201" s="15" t="s">
        <v>537</v>
      </c>
      <c r="D201" s="16">
        <v>8618917.0657000002</v>
      </c>
      <c r="E201" s="16">
        <v>1953914.7989000001</v>
      </c>
      <c r="F201" s="17">
        <f t="shared" si="3"/>
        <v>10572831.864600001</v>
      </c>
      <c r="G201" s="18"/>
      <c r="H201" s="18"/>
      <c r="I201" s="19"/>
      <c r="J201" s="19"/>
      <c r="K201" s="19"/>
      <c r="L201" s="19"/>
      <c r="M201" s="18"/>
      <c r="N201" s="18"/>
      <c r="O201" s="19"/>
      <c r="P201" s="19"/>
      <c r="Q201" s="19"/>
    </row>
    <row r="202" spans="1:17" ht="17.649999999999999">
      <c r="A202" s="14">
        <v>197</v>
      </c>
      <c r="B202" s="15" t="s">
        <v>92</v>
      </c>
      <c r="C202" s="15" t="s">
        <v>539</v>
      </c>
      <c r="D202" s="16">
        <v>7242546.7803999996</v>
      </c>
      <c r="E202" s="16">
        <v>1641890.6491</v>
      </c>
      <c r="F202" s="17">
        <f t="shared" si="3"/>
        <v>8884437.4294999987</v>
      </c>
      <c r="G202" s="18"/>
      <c r="H202" s="18"/>
      <c r="I202" s="19"/>
      <c r="J202" s="19"/>
      <c r="K202" s="19"/>
      <c r="L202" s="19"/>
      <c r="M202" s="18"/>
      <c r="N202" s="18"/>
      <c r="O202" s="19"/>
      <c r="P202" s="19"/>
      <c r="Q202" s="19"/>
    </row>
    <row r="203" spans="1:17" ht="17.649999999999999">
      <c r="A203" s="14">
        <v>198</v>
      </c>
      <c r="B203" s="15" t="s">
        <v>92</v>
      </c>
      <c r="C203" s="15" t="s">
        <v>541</v>
      </c>
      <c r="D203" s="16">
        <v>7469591.6758000003</v>
      </c>
      <c r="E203" s="16">
        <v>1693361.8929000001</v>
      </c>
      <c r="F203" s="17">
        <f t="shared" si="3"/>
        <v>9162953.5687000006</v>
      </c>
      <c r="G203" s="18"/>
      <c r="H203" s="18"/>
      <c r="I203" s="19"/>
      <c r="J203" s="19"/>
      <c r="K203" s="19"/>
      <c r="L203" s="19"/>
      <c r="M203" s="18"/>
      <c r="N203" s="18"/>
      <c r="O203" s="19"/>
      <c r="P203" s="19"/>
      <c r="Q203" s="19"/>
    </row>
    <row r="204" spans="1:17" ht="17.649999999999999">
      <c r="A204" s="14">
        <v>199</v>
      </c>
      <c r="B204" s="15" t="s">
        <v>92</v>
      </c>
      <c r="C204" s="15" t="s">
        <v>543</v>
      </c>
      <c r="D204" s="16">
        <v>6841984.7737999996</v>
      </c>
      <c r="E204" s="16">
        <v>1551082.9495000001</v>
      </c>
      <c r="F204" s="17">
        <f t="shared" si="3"/>
        <v>8393067.7232999988</v>
      </c>
      <c r="G204" s="18"/>
      <c r="H204" s="18"/>
      <c r="I204" s="19"/>
      <c r="J204" s="19"/>
      <c r="K204" s="19"/>
      <c r="L204" s="19"/>
      <c r="M204" s="18"/>
      <c r="N204" s="18"/>
      <c r="O204" s="19"/>
      <c r="P204" s="19"/>
      <c r="Q204" s="19"/>
    </row>
    <row r="205" spans="1:17" ht="17.649999999999999">
      <c r="A205" s="14">
        <v>200</v>
      </c>
      <c r="B205" s="15" t="s">
        <v>92</v>
      </c>
      <c r="C205" s="15" t="s">
        <v>545</v>
      </c>
      <c r="D205" s="16">
        <v>6700800.7608000003</v>
      </c>
      <c r="E205" s="16">
        <v>1519076.4305</v>
      </c>
      <c r="F205" s="17">
        <f t="shared" si="3"/>
        <v>8219877.1913000001</v>
      </c>
      <c r="G205" s="18"/>
      <c r="H205" s="18"/>
      <c r="I205" s="19"/>
      <c r="J205" s="19"/>
      <c r="K205" s="19"/>
      <c r="L205" s="19"/>
      <c r="M205" s="18"/>
      <c r="N205" s="18"/>
      <c r="O205" s="19"/>
      <c r="P205" s="19"/>
      <c r="Q205" s="19"/>
    </row>
    <row r="206" spans="1:17" ht="17.649999999999999">
      <c r="A206" s="14">
        <v>201</v>
      </c>
      <c r="B206" s="15" t="s">
        <v>92</v>
      </c>
      <c r="C206" s="15" t="s">
        <v>547</v>
      </c>
      <c r="D206" s="16">
        <v>7271141.7022000002</v>
      </c>
      <c r="E206" s="16">
        <v>1648373.1388000001</v>
      </c>
      <c r="F206" s="17">
        <f t="shared" si="3"/>
        <v>8919514.841</v>
      </c>
      <c r="G206" s="18"/>
      <c r="H206" s="18"/>
      <c r="I206" s="19"/>
      <c r="J206" s="19"/>
      <c r="K206" s="19"/>
      <c r="L206" s="19"/>
      <c r="M206" s="18"/>
      <c r="N206" s="18"/>
      <c r="O206" s="19"/>
      <c r="P206" s="19"/>
      <c r="Q206" s="19"/>
    </row>
    <row r="207" spans="1:17" ht="17.649999999999999">
      <c r="A207" s="14">
        <v>202</v>
      </c>
      <c r="B207" s="15" t="s">
        <v>92</v>
      </c>
      <c r="C207" s="15" t="s">
        <v>549</v>
      </c>
      <c r="D207" s="16">
        <v>6004818.5133999996</v>
      </c>
      <c r="E207" s="16">
        <v>1361296.7463</v>
      </c>
      <c r="F207" s="17">
        <f t="shared" si="3"/>
        <v>7366115.2596999994</v>
      </c>
      <c r="G207" s="18"/>
      <c r="H207" s="18"/>
      <c r="I207" s="19"/>
      <c r="J207" s="19"/>
      <c r="K207" s="19"/>
      <c r="L207" s="19"/>
      <c r="M207" s="18"/>
      <c r="N207" s="18"/>
      <c r="O207" s="19"/>
      <c r="P207" s="19"/>
      <c r="Q207" s="19"/>
    </row>
    <row r="208" spans="1:17" ht="17.649999999999999">
      <c r="A208" s="14">
        <v>203</v>
      </c>
      <c r="B208" s="15" t="s">
        <v>92</v>
      </c>
      <c r="C208" s="15" t="s">
        <v>551</v>
      </c>
      <c r="D208" s="16">
        <v>7563533.1364000002</v>
      </c>
      <c r="E208" s="16">
        <v>1714658.4907</v>
      </c>
      <c r="F208" s="17">
        <f t="shared" si="3"/>
        <v>9278191.6271000002</v>
      </c>
      <c r="G208" s="18"/>
      <c r="H208" s="18"/>
      <c r="I208" s="19"/>
      <c r="J208" s="19"/>
      <c r="K208" s="19"/>
      <c r="L208" s="19"/>
      <c r="M208" s="18"/>
      <c r="N208" s="18"/>
      <c r="O208" s="19"/>
      <c r="P208" s="19"/>
      <c r="Q208" s="19"/>
    </row>
    <row r="209" spans="1:17" ht="17.649999999999999">
      <c r="A209" s="14">
        <v>204</v>
      </c>
      <c r="B209" s="15" t="s">
        <v>92</v>
      </c>
      <c r="C209" s="15" t="s">
        <v>553</v>
      </c>
      <c r="D209" s="16">
        <v>7952271.7666999996</v>
      </c>
      <c r="E209" s="16">
        <v>1802785.8223000001</v>
      </c>
      <c r="F209" s="17">
        <f t="shared" si="3"/>
        <v>9755057.5889999997</v>
      </c>
      <c r="G209" s="18"/>
      <c r="H209" s="18"/>
      <c r="I209" s="19"/>
      <c r="J209" s="19"/>
      <c r="K209" s="19"/>
      <c r="L209" s="19"/>
      <c r="M209" s="18"/>
      <c r="N209" s="18"/>
      <c r="O209" s="19"/>
      <c r="P209" s="19"/>
      <c r="Q209" s="19"/>
    </row>
    <row r="210" spans="1:17" ht="17.649999999999999">
      <c r="A210" s="14">
        <v>205</v>
      </c>
      <c r="B210" s="15" t="s">
        <v>92</v>
      </c>
      <c r="C210" s="15" t="s">
        <v>555</v>
      </c>
      <c r="D210" s="16">
        <v>10385435.465399999</v>
      </c>
      <c r="E210" s="16">
        <v>2354385.8114</v>
      </c>
      <c r="F210" s="17">
        <f t="shared" si="3"/>
        <v>12739821.276799999</v>
      </c>
      <c r="G210" s="18"/>
      <c r="H210" s="18"/>
      <c r="I210" s="19"/>
      <c r="J210" s="19"/>
      <c r="K210" s="19"/>
      <c r="L210" s="19"/>
      <c r="M210" s="18"/>
      <c r="N210" s="18"/>
      <c r="O210" s="19"/>
      <c r="P210" s="19"/>
      <c r="Q210" s="19"/>
    </row>
    <row r="211" spans="1:17" ht="17.649999999999999">
      <c r="A211" s="14">
        <v>206</v>
      </c>
      <c r="B211" s="15" t="s">
        <v>92</v>
      </c>
      <c r="C211" s="15" t="s">
        <v>557</v>
      </c>
      <c r="D211" s="16">
        <v>8232695.1730000004</v>
      </c>
      <c r="E211" s="16">
        <v>1866358.0134999999</v>
      </c>
      <c r="F211" s="17">
        <f t="shared" si="3"/>
        <v>10099053.1865</v>
      </c>
      <c r="G211" s="18"/>
      <c r="H211" s="18"/>
      <c r="I211" s="19"/>
      <c r="J211" s="19"/>
      <c r="K211" s="19"/>
      <c r="L211" s="19"/>
      <c r="M211" s="18"/>
      <c r="N211" s="18"/>
      <c r="O211" s="19"/>
      <c r="P211" s="19"/>
      <c r="Q211" s="19"/>
    </row>
    <row r="212" spans="1:17" ht="17.649999999999999">
      <c r="A212" s="14">
        <v>207</v>
      </c>
      <c r="B212" s="15" t="s">
        <v>92</v>
      </c>
      <c r="C212" s="15" t="s">
        <v>559</v>
      </c>
      <c r="D212" s="16">
        <v>6529258.3709000004</v>
      </c>
      <c r="E212" s="16">
        <v>1480187.6453</v>
      </c>
      <c r="F212" s="17">
        <f t="shared" si="3"/>
        <v>8009446.0162000004</v>
      </c>
      <c r="G212" s="18"/>
      <c r="H212" s="18"/>
      <c r="I212" s="19"/>
      <c r="J212" s="19"/>
      <c r="K212" s="19"/>
      <c r="L212" s="19"/>
      <c r="M212" s="18"/>
      <c r="N212" s="18"/>
      <c r="O212" s="19"/>
      <c r="P212" s="19"/>
      <c r="Q212" s="19"/>
    </row>
    <row r="213" spans="1:17" ht="17.649999999999999">
      <c r="A213" s="14">
        <v>208</v>
      </c>
      <c r="B213" s="15" t="s">
        <v>92</v>
      </c>
      <c r="C213" s="15" t="s">
        <v>561</v>
      </c>
      <c r="D213" s="16">
        <v>7671791.6469999999</v>
      </c>
      <c r="E213" s="16">
        <v>1739200.7742000001</v>
      </c>
      <c r="F213" s="17">
        <f t="shared" si="3"/>
        <v>9410992.4211999997</v>
      </c>
      <c r="G213" s="18"/>
      <c r="H213" s="18"/>
      <c r="I213" s="19"/>
      <c r="J213" s="19"/>
      <c r="K213" s="19"/>
      <c r="L213" s="19"/>
      <c r="M213" s="18"/>
      <c r="N213" s="18"/>
      <c r="O213" s="19"/>
      <c r="P213" s="19"/>
      <c r="Q213" s="19"/>
    </row>
    <row r="214" spans="1:17" ht="17.649999999999999">
      <c r="A214" s="14">
        <v>209</v>
      </c>
      <c r="B214" s="15" t="s">
        <v>92</v>
      </c>
      <c r="C214" s="15" t="s">
        <v>563</v>
      </c>
      <c r="D214" s="16">
        <v>9533831.0833999999</v>
      </c>
      <c r="E214" s="16">
        <v>2161326.4755000002</v>
      </c>
      <c r="F214" s="17">
        <f t="shared" si="3"/>
        <v>11695157.558900001</v>
      </c>
      <c r="G214" s="18"/>
      <c r="H214" s="18"/>
      <c r="I214" s="19"/>
      <c r="J214" s="19"/>
      <c r="K214" s="19"/>
      <c r="L214" s="19"/>
      <c r="M214" s="18"/>
      <c r="N214" s="18"/>
      <c r="O214" s="19"/>
      <c r="P214" s="19"/>
      <c r="Q214" s="19"/>
    </row>
    <row r="215" spans="1:17" ht="17.649999999999999">
      <c r="A215" s="14">
        <v>210</v>
      </c>
      <c r="B215" s="15" t="s">
        <v>92</v>
      </c>
      <c r="C215" s="15" t="s">
        <v>565</v>
      </c>
      <c r="D215" s="16">
        <v>7845784.2938000001</v>
      </c>
      <c r="E215" s="16">
        <v>1778645.0344</v>
      </c>
      <c r="F215" s="17">
        <f t="shared" si="3"/>
        <v>9624429.3281999994</v>
      </c>
      <c r="G215" s="18"/>
      <c r="H215" s="18"/>
      <c r="I215" s="19"/>
      <c r="J215" s="19"/>
      <c r="K215" s="19"/>
      <c r="L215" s="19"/>
      <c r="M215" s="18"/>
      <c r="N215" s="18"/>
      <c r="O215" s="19"/>
      <c r="P215" s="19"/>
      <c r="Q215" s="19"/>
    </row>
    <row r="216" spans="1:17" ht="35.25">
      <c r="A216" s="14">
        <v>211</v>
      </c>
      <c r="B216" s="15" t="s">
        <v>92</v>
      </c>
      <c r="C216" s="15" t="s">
        <v>567</v>
      </c>
      <c r="D216" s="16">
        <v>7534640.3651000001</v>
      </c>
      <c r="E216" s="16">
        <v>1708108.4783000001</v>
      </c>
      <c r="F216" s="17">
        <f t="shared" si="3"/>
        <v>9242748.8433999997</v>
      </c>
      <c r="G216" s="18"/>
      <c r="H216" s="18"/>
      <c r="I216" s="19"/>
      <c r="J216" s="19"/>
      <c r="K216" s="19"/>
      <c r="L216" s="19"/>
      <c r="M216" s="18"/>
      <c r="N216" s="18"/>
      <c r="O216" s="19"/>
      <c r="P216" s="19"/>
      <c r="Q216" s="19"/>
    </row>
    <row r="217" spans="1:17" ht="17.649999999999999">
      <c r="A217" s="14">
        <v>212</v>
      </c>
      <c r="B217" s="15" t="s">
        <v>93</v>
      </c>
      <c r="C217" s="15" t="s">
        <v>572</v>
      </c>
      <c r="D217" s="16">
        <v>8556088.7433000002</v>
      </c>
      <c r="E217" s="16">
        <v>1939671.5723000001</v>
      </c>
      <c r="F217" s="17">
        <f t="shared" si="3"/>
        <v>10495760.3156</v>
      </c>
      <c r="G217" s="18"/>
      <c r="H217" s="18"/>
      <c r="I217" s="19"/>
      <c r="J217" s="19"/>
      <c r="K217" s="19"/>
      <c r="L217" s="19"/>
      <c r="M217" s="18"/>
      <c r="N217" s="18"/>
      <c r="O217" s="19"/>
      <c r="P217" s="19"/>
      <c r="Q217" s="19"/>
    </row>
    <row r="218" spans="1:17" ht="17.649999999999999">
      <c r="A218" s="14">
        <v>213</v>
      </c>
      <c r="B218" s="15" t="s">
        <v>93</v>
      </c>
      <c r="C218" s="15" t="s">
        <v>574</v>
      </c>
      <c r="D218" s="16">
        <v>8034153.8858000003</v>
      </c>
      <c r="E218" s="16">
        <v>1821348.5586000001</v>
      </c>
      <c r="F218" s="17">
        <f t="shared" si="3"/>
        <v>9855502.4444000013</v>
      </c>
      <c r="G218" s="18"/>
      <c r="H218" s="18"/>
      <c r="I218" s="19"/>
      <c r="J218" s="19"/>
      <c r="K218" s="19"/>
      <c r="L218" s="19"/>
      <c r="M218" s="18"/>
      <c r="N218" s="18"/>
      <c r="O218" s="19"/>
      <c r="P218" s="19"/>
      <c r="Q218" s="19"/>
    </row>
    <row r="219" spans="1:17" ht="17.649999999999999">
      <c r="A219" s="14">
        <v>214</v>
      </c>
      <c r="B219" s="15" t="s">
        <v>93</v>
      </c>
      <c r="C219" s="15" t="s">
        <v>576</v>
      </c>
      <c r="D219" s="16">
        <v>8103316.8103</v>
      </c>
      <c r="E219" s="16">
        <v>1837027.8441000001</v>
      </c>
      <c r="F219" s="17">
        <f t="shared" si="3"/>
        <v>9940344.6544000003</v>
      </c>
      <c r="G219" s="18"/>
      <c r="H219" s="18"/>
      <c r="I219" s="19"/>
      <c r="J219" s="19"/>
      <c r="K219" s="19"/>
      <c r="L219" s="19"/>
      <c r="M219" s="18"/>
      <c r="N219" s="18"/>
      <c r="O219" s="19"/>
      <c r="P219" s="19"/>
      <c r="Q219" s="19"/>
    </row>
    <row r="220" spans="1:17" ht="17.649999999999999">
      <c r="A220" s="14">
        <v>215</v>
      </c>
      <c r="B220" s="15" t="s">
        <v>93</v>
      </c>
      <c r="C220" s="15" t="s">
        <v>93</v>
      </c>
      <c r="D220" s="16">
        <v>7813861.6913000001</v>
      </c>
      <c r="E220" s="16">
        <v>1771408.1571</v>
      </c>
      <c r="F220" s="17">
        <f t="shared" si="3"/>
        <v>9585269.8484000005</v>
      </c>
      <c r="G220" s="18"/>
      <c r="H220" s="18"/>
      <c r="I220" s="19"/>
      <c r="J220" s="19"/>
      <c r="K220" s="19"/>
      <c r="L220" s="19"/>
      <c r="M220" s="18"/>
      <c r="N220" s="18"/>
      <c r="O220" s="19"/>
      <c r="P220" s="19"/>
      <c r="Q220" s="19"/>
    </row>
    <row r="221" spans="1:17" ht="17.649999999999999">
      <c r="A221" s="14">
        <v>216</v>
      </c>
      <c r="B221" s="15" t="s">
        <v>93</v>
      </c>
      <c r="C221" s="15" t="s">
        <v>579</v>
      </c>
      <c r="D221" s="16">
        <v>7788505.2800000003</v>
      </c>
      <c r="E221" s="16">
        <v>1765659.8400999999</v>
      </c>
      <c r="F221" s="17">
        <f t="shared" si="3"/>
        <v>9554165.1201000009</v>
      </c>
      <c r="G221" s="18"/>
      <c r="H221" s="18"/>
      <c r="I221" s="19"/>
      <c r="J221" s="19"/>
      <c r="K221" s="19"/>
      <c r="L221" s="19"/>
      <c r="M221" s="18"/>
      <c r="N221" s="18"/>
      <c r="O221" s="19"/>
      <c r="P221" s="19"/>
      <c r="Q221" s="19"/>
    </row>
    <row r="222" spans="1:17" ht="17.649999999999999">
      <c r="A222" s="14">
        <v>217</v>
      </c>
      <c r="B222" s="15" t="s">
        <v>93</v>
      </c>
      <c r="C222" s="15" t="s">
        <v>581</v>
      </c>
      <c r="D222" s="16">
        <v>8095309.8915999997</v>
      </c>
      <c r="E222" s="16">
        <v>1835212.6698</v>
      </c>
      <c r="F222" s="17">
        <f t="shared" si="3"/>
        <v>9930522.5614</v>
      </c>
      <c r="G222" s="18"/>
      <c r="H222" s="18"/>
      <c r="I222" s="19"/>
      <c r="J222" s="19"/>
      <c r="K222" s="19"/>
      <c r="L222" s="19"/>
      <c r="M222" s="18"/>
      <c r="N222" s="18"/>
      <c r="O222" s="19"/>
      <c r="P222" s="19"/>
      <c r="Q222" s="19"/>
    </row>
    <row r="223" spans="1:17" ht="17.649999999999999">
      <c r="A223" s="14">
        <v>218</v>
      </c>
      <c r="B223" s="15" t="s">
        <v>93</v>
      </c>
      <c r="C223" s="15" t="s">
        <v>583</v>
      </c>
      <c r="D223" s="16">
        <v>9458752.9092999995</v>
      </c>
      <c r="E223" s="16">
        <v>2144306.1984999999</v>
      </c>
      <c r="F223" s="17">
        <f t="shared" si="3"/>
        <v>11603059.107799999</v>
      </c>
      <c r="G223" s="18"/>
      <c r="H223" s="18"/>
      <c r="I223" s="19"/>
      <c r="J223" s="19"/>
      <c r="K223" s="19"/>
      <c r="L223" s="19"/>
      <c r="M223" s="18"/>
      <c r="N223" s="18"/>
      <c r="O223" s="19"/>
      <c r="P223" s="19"/>
      <c r="Q223" s="19"/>
    </row>
    <row r="224" spans="1:17" ht="17.649999999999999">
      <c r="A224" s="14">
        <v>219</v>
      </c>
      <c r="B224" s="15" t="s">
        <v>93</v>
      </c>
      <c r="C224" s="15" t="s">
        <v>585</v>
      </c>
      <c r="D224" s="16">
        <v>8378311.3208999997</v>
      </c>
      <c r="E224" s="16">
        <v>1899369.3007</v>
      </c>
      <c r="F224" s="17">
        <f t="shared" si="3"/>
        <v>10277680.6216</v>
      </c>
      <c r="G224" s="18"/>
      <c r="H224" s="18"/>
      <c r="I224" s="19"/>
      <c r="J224" s="19"/>
      <c r="K224" s="19"/>
      <c r="L224" s="19"/>
      <c r="M224" s="18"/>
      <c r="N224" s="18"/>
      <c r="O224" s="19"/>
      <c r="P224" s="19"/>
      <c r="Q224" s="19"/>
    </row>
    <row r="225" spans="1:17" ht="17.649999999999999">
      <c r="A225" s="14">
        <v>220</v>
      </c>
      <c r="B225" s="15" t="s">
        <v>93</v>
      </c>
      <c r="C225" s="15" t="s">
        <v>587</v>
      </c>
      <c r="D225" s="16">
        <v>7580364.4494000003</v>
      </c>
      <c r="E225" s="16">
        <v>1718474.1616</v>
      </c>
      <c r="F225" s="17">
        <f t="shared" si="3"/>
        <v>9298838.6109999996</v>
      </c>
      <c r="G225" s="18"/>
      <c r="H225" s="18"/>
      <c r="I225" s="19"/>
      <c r="J225" s="19"/>
      <c r="K225" s="19"/>
      <c r="L225" s="19"/>
      <c r="M225" s="18"/>
      <c r="N225" s="18"/>
      <c r="O225" s="19"/>
      <c r="P225" s="19"/>
      <c r="Q225" s="19"/>
    </row>
    <row r="226" spans="1:17" ht="17.649999999999999">
      <c r="A226" s="14">
        <v>221</v>
      </c>
      <c r="B226" s="15" t="s">
        <v>93</v>
      </c>
      <c r="C226" s="15" t="s">
        <v>589</v>
      </c>
      <c r="D226" s="16">
        <v>10529093.428300001</v>
      </c>
      <c r="E226" s="16">
        <v>2386953.1765999999</v>
      </c>
      <c r="F226" s="17">
        <f t="shared" si="3"/>
        <v>12916046.604900001</v>
      </c>
      <c r="G226" s="18"/>
      <c r="H226" s="18"/>
      <c r="I226" s="19"/>
      <c r="J226" s="19"/>
      <c r="K226" s="19"/>
      <c r="L226" s="19"/>
      <c r="M226" s="18"/>
      <c r="N226" s="18"/>
      <c r="O226" s="19"/>
      <c r="P226" s="19"/>
      <c r="Q226" s="19"/>
    </row>
    <row r="227" spans="1:17" ht="17.649999999999999">
      <c r="A227" s="14">
        <v>222</v>
      </c>
      <c r="B227" s="15" t="s">
        <v>93</v>
      </c>
      <c r="C227" s="15" t="s">
        <v>591</v>
      </c>
      <c r="D227" s="16">
        <v>8168313.4551999997</v>
      </c>
      <c r="E227" s="16">
        <v>1851762.6310000001</v>
      </c>
      <c r="F227" s="17">
        <f t="shared" si="3"/>
        <v>10020076.086199999</v>
      </c>
      <c r="G227" s="18"/>
      <c r="H227" s="18"/>
      <c r="I227" s="19"/>
      <c r="J227" s="19"/>
      <c r="K227" s="19"/>
      <c r="L227" s="19"/>
      <c r="M227" s="18"/>
      <c r="N227" s="18"/>
      <c r="O227" s="19"/>
      <c r="P227" s="19"/>
      <c r="Q227" s="19"/>
    </row>
    <row r="228" spans="1:17" ht="17.649999999999999">
      <c r="A228" s="14">
        <v>223</v>
      </c>
      <c r="B228" s="15" t="s">
        <v>93</v>
      </c>
      <c r="C228" s="15" t="s">
        <v>593</v>
      </c>
      <c r="D228" s="16">
        <v>9013106.4469000008</v>
      </c>
      <c r="E228" s="16">
        <v>2043277.8197000001</v>
      </c>
      <c r="F228" s="17">
        <f t="shared" si="3"/>
        <v>11056384.266600002</v>
      </c>
      <c r="G228" s="18"/>
      <c r="H228" s="18"/>
      <c r="I228" s="19"/>
      <c r="J228" s="19"/>
      <c r="K228" s="19"/>
      <c r="L228" s="19"/>
      <c r="M228" s="18"/>
      <c r="N228" s="18"/>
      <c r="O228" s="19"/>
      <c r="P228" s="19"/>
      <c r="Q228" s="19"/>
    </row>
    <row r="229" spans="1:17" ht="17.649999999999999">
      <c r="A229" s="14">
        <v>224</v>
      </c>
      <c r="B229" s="15" t="s">
        <v>93</v>
      </c>
      <c r="C229" s="15" t="s">
        <v>594</v>
      </c>
      <c r="D229" s="16">
        <v>9871587.9343999997</v>
      </c>
      <c r="E229" s="16">
        <v>2237896.2004999998</v>
      </c>
      <c r="F229" s="17">
        <f t="shared" si="3"/>
        <v>12109484.1349</v>
      </c>
      <c r="G229" s="18"/>
      <c r="H229" s="18"/>
      <c r="I229" s="19"/>
      <c r="J229" s="19"/>
      <c r="K229" s="19"/>
      <c r="L229" s="19"/>
      <c r="M229" s="18"/>
      <c r="N229" s="18"/>
      <c r="O229" s="19"/>
      <c r="P229" s="19"/>
      <c r="Q229" s="19"/>
    </row>
    <row r="230" spans="1:17" ht="17.649999999999999">
      <c r="A230" s="14">
        <v>225</v>
      </c>
      <c r="B230" s="15" t="s">
        <v>94</v>
      </c>
      <c r="C230" s="15" t="s">
        <v>599</v>
      </c>
      <c r="D230" s="16">
        <v>10248806.244999999</v>
      </c>
      <c r="E230" s="16">
        <v>2323411.8672000002</v>
      </c>
      <c r="F230" s="17">
        <f t="shared" si="3"/>
        <v>12572218.112199999</v>
      </c>
      <c r="G230" s="18"/>
      <c r="H230" s="18"/>
      <c r="I230" s="19"/>
      <c r="J230" s="19"/>
      <c r="K230" s="19"/>
      <c r="L230" s="19"/>
      <c r="M230" s="18"/>
      <c r="N230" s="18"/>
      <c r="O230" s="19"/>
      <c r="P230" s="19"/>
      <c r="Q230" s="19"/>
    </row>
    <row r="231" spans="1:17" ht="17.649999999999999">
      <c r="A231" s="14">
        <v>226</v>
      </c>
      <c r="B231" s="15" t="s">
        <v>94</v>
      </c>
      <c r="C231" s="15" t="s">
        <v>601</v>
      </c>
      <c r="D231" s="16">
        <v>9734135.8084999993</v>
      </c>
      <c r="E231" s="16">
        <v>2206735.7031</v>
      </c>
      <c r="F231" s="17">
        <f t="shared" si="3"/>
        <v>11940871.511599999</v>
      </c>
      <c r="G231" s="18"/>
      <c r="H231" s="18"/>
      <c r="I231" s="19"/>
      <c r="J231" s="19"/>
      <c r="K231" s="19"/>
      <c r="L231" s="19"/>
      <c r="M231" s="18"/>
      <c r="N231" s="18"/>
      <c r="O231" s="19"/>
      <c r="P231" s="19"/>
      <c r="Q231" s="19"/>
    </row>
    <row r="232" spans="1:17" ht="17.649999999999999">
      <c r="A232" s="14">
        <v>227</v>
      </c>
      <c r="B232" s="15" t="s">
        <v>94</v>
      </c>
      <c r="C232" s="15" t="s">
        <v>602</v>
      </c>
      <c r="D232" s="16">
        <v>6441255.9544000002</v>
      </c>
      <c r="E232" s="16">
        <v>1460237.4332000001</v>
      </c>
      <c r="F232" s="17">
        <f t="shared" si="3"/>
        <v>7901493.3876</v>
      </c>
      <c r="G232" s="18"/>
      <c r="H232" s="18"/>
      <c r="I232" s="19"/>
      <c r="J232" s="19"/>
      <c r="K232" s="19"/>
      <c r="L232" s="19"/>
      <c r="M232" s="18"/>
      <c r="N232" s="18"/>
      <c r="O232" s="19"/>
      <c r="P232" s="19"/>
      <c r="Q232" s="19"/>
    </row>
    <row r="233" spans="1:17" ht="35.25">
      <c r="A233" s="14">
        <v>228</v>
      </c>
      <c r="B233" s="15" t="s">
        <v>94</v>
      </c>
      <c r="C233" s="15" t="s">
        <v>604</v>
      </c>
      <c r="D233" s="16">
        <v>6631462.7865000004</v>
      </c>
      <c r="E233" s="16">
        <v>1503357.4609999999</v>
      </c>
      <c r="F233" s="17">
        <f t="shared" si="3"/>
        <v>8134820.2475000005</v>
      </c>
      <c r="G233" s="18"/>
      <c r="H233" s="18"/>
      <c r="I233" s="19"/>
      <c r="J233" s="19"/>
      <c r="K233" s="19"/>
      <c r="L233" s="19"/>
      <c r="M233" s="18"/>
      <c r="N233" s="18"/>
      <c r="O233" s="19"/>
      <c r="P233" s="19"/>
      <c r="Q233" s="19"/>
    </row>
    <row r="234" spans="1:17" ht="35.25">
      <c r="A234" s="14">
        <v>229</v>
      </c>
      <c r="B234" s="15" t="s">
        <v>94</v>
      </c>
      <c r="C234" s="15" t="s">
        <v>606</v>
      </c>
      <c r="D234" s="16">
        <v>7940148.1710999999</v>
      </c>
      <c r="E234" s="16">
        <v>1800037.3943</v>
      </c>
      <c r="F234" s="17">
        <f t="shared" si="3"/>
        <v>9740185.5654000007</v>
      </c>
      <c r="G234" s="18"/>
      <c r="H234" s="18"/>
      <c r="I234" s="19"/>
      <c r="J234" s="19"/>
      <c r="K234" s="19"/>
      <c r="L234" s="19"/>
      <c r="M234" s="18"/>
      <c r="N234" s="18"/>
      <c r="O234" s="19"/>
      <c r="P234" s="19"/>
      <c r="Q234" s="19"/>
    </row>
    <row r="235" spans="1:17" ht="17.649999999999999">
      <c r="A235" s="14">
        <v>230</v>
      </c>
      <c r="B235" s="15" t="s">
        <v>94</v>
      </c>
      <c r="C235" s="15" t="s">
        <v>608</v>
      </c>
      <c r="D235" s="16">
        <v>6748838.8924000002</v>
      </c>
      <c r="E235" s="16">
        <v>1529966.7101</v>
      </c>
      <c r="F235" s="17">
        <f t="shared" si="3"/>
        <v>8278805.6025</v>
      </c>
      <c r="G235" s="18"/>
      <c r="H235" s="18"/>
      <c r="I235" s="19"/>
      <c r="J235" s="19"/>
      <c r="K235" s="19"/>
      <c r="L235" s="19"/>
      <c r="M235" s="18"/>
      <c r="N235" s="18"/>
      <c r="O235" s="19"/>
      <c r="P235" s="19"/>
      <c r="Q235" s="19"/>
    </row>
    <row r="236" spans="1:17" ht="35.25">
      <c r="A236" s="14">
        <v>231</v>
      </c>
      <c r="B236" s="15" t="s">
        <v>94</v>
      </c>
      <c r="C236" s="15" t="s">
        <v>610</v>
      </c>
      <c r="D236" s="16">
        <v>6755046.3591999998</v>
      </c>
      <c r="E236" s="16">
        <v>1531373.9473000001</v>
      </c>
      <c r="F236" s="17">
        <f t="shared" si="3"/>
        <v>8286420.3064999999</v>
      </c>
      <c r="G236" s="18"/>
      <c r="H236" s="18"/>
      <c r="I236" s="19"/>
      <c r="J236" s="19"/>
      <c r="K236" s="19"/>
      <c r="L236" s="19"/>
      <c r="M236" s="18"/>
      <c r="N236" s="18"/>
      <c r="O236" s="19"/>
      <c r="P236" s="19"/>
      <c r="Q236" s="19"/>
    </row>
    <row r="237" spans="1:17" ht="17.649999999999999">
      <c r="A237" s="14">
        <v>232</v>
      </c>
      <c r="B237" s="15" t="s">
        <v>94</v>
      </c>
      <c r="C237" s="15" t="s">
        <v>612</v>
      </c>
      <c r="D237" s="16">
        <v>7836416.9309</v>
      </c>
      <c r="E237" s="16">
        <v>1776521.4464</v>
      </c>
      <c r="F237" s="17">
        <f t="shared" si="3"/>
        <v>9612938.3772999998</v>
      </c>
      <c r="G237" s="18"/>
      <c r="H237" s="18"/>
      <c r="I237" s="19"/>
      <c r="J237" s="19"/>
      <c r="K237" s="19"/>
      <c r="L237" s="19"/>
      <c r="M237" s="18"/>
      <c r="N237" s="18"/>
      <c r="O237" s="19"/>
      <c r="P237" s="19"/>
      <c r="Q237" s="19"/>
    </row>
    <row r="238" spans="1:17" ht="17.649999999999999">
      <c r="A238" s="14">
        <v>233</v>
      </c>
      <c r="B238" s="15" t="s">
        <v>94</v>
      </c>
      <c r="C238" s="15" t="s">
        <v>614</v>
      </c>
      <c r="D238" s="16">
        <v>8624938.6842999998</v>
      </c>
      <c r="E238" s="16">
        <v>1955279.9042</v>
      </c>
      <c r="F238" s="17">
        <f t="shared" si="3"/>
        <v>10580218.588500001</v>
      </c>
      <c r="G238" s="18"/>
      <c r="H238" s="18"/>
      <c r="I238" s="19"/>
      <c r="J238" s="19"/>
      <c r="K238" s="19"/>
      <c r="L238" s="19"/>
      <c r="M238" s="18"/>
      <c r="N238" s="18"/>
      <c r="O238" s="19"/>
      <c r="P238" s="19"/>
      <c r="Q238" s="19"/>
    </row>
    <row r="239" spans="1:17" ht="17.649999999999999">
      <c r="A239" s="14">
        <v>234</v>
      </c>
      <c r="B239" s="15" t="s">
        <v>94</v>
      </c>
      <c r="C239" s="15" t="s">
        <v>616</v>
      </c>
      <c r="D239" s="16">
        <v>6275908.5543999998</v>
      </c>
      <c r="E239" s="16">
        <v>1422753.0567000001</v>
      </c>
      <c r="F239" s="17">
        <f t="shared" si="3"/>
        <v>7698661.6110999994</v>
      </c>
      <c r="G239" s="18"/>
      <c r="H239" s="18"/>
      <c r="I239" s="19"/>
      <c r="J239" s="19"/>
      <c r="K239" s="19"/>
      <c r="L239" s="19"/>
      <c r="M239" s="18"/>
      <c r="N239" s="18"/>
      <c r="O239" s="19"/>
      <c r="P239" s="19"/>
      <c r="Q239" s="19"/>
    </row>
    <row r="240" spans="1:17" ht="17.649999999999999">
      <c r="A240" s="14">
        <v>235</v>
      </c>
      <c r="B240" s="15" t="s">
        <v>94</v>
      </c>
      <c r="C240" s="15" t="s">
        <v>618</v>
      </c>
      <c r="D240" s="16">
        <v>10768759.169500001</v>
      </c>
      <c r="E240" s="16">
        <v>2441285.5753000001</v>
      </c>
      <c r="F240" s="17">
        <f t="shared" si="3"/>
        <v>13210044.744800001</v>
      </c>
      <c r="G240" s="18"/>
      <c r="H240" s="18"/>
      <c r="I240" s="19"/>
      <c r="J240" s="19"/>
      <c r="K240" s="19"/>
      <c r="L240" s="19"/>
      <c r="M240" s="18"/>
      <c r="N240" s="18"/>
      <c r="O240" s="19"/>
      <c r="P240" s="19"/>
      <c r="Q240" s="19"/>
    </row>
    <row r="241" spans="1:17" ht="17.649999999999999">
      <c r="A241" s="14">
        <v>236</v>
      </c>
      <c r="B241" s="15" t="s">
        <v>94</v>
      </c>
      <c r="C241" s="15" t="s">
        <v>620</v>
      </c>
      <c r="D241" s="16">
        <v>11082766.4232</v>
      </c>
      <c r="E241" s="16">
        <v>2512471.2492</v>
      </c>
      <c r="F241" s="17">
        <f t="shared" si="3"/>
        <v>13595237.6724</v>
      </c>
      <c r="G241" s="18"/>
      <c r="H241" s="18"/>
      <c r="I241" s="19"/>
      <c r="J241" s="19"/>
      <c r="K241" s="19"/>
      <c r="L241" s="19"/>
      <c r="M241" s="18"/>
      <c r="N241" s="18"/>
      <c r="O241" s="19"/>
      <c r="P241" s="19"/>
      <c r="Q241" s="19"/>
    </row>
    <row r="242" spans="1:17" ht="17.649999999999999">
      <c r="A242" s="14">
        <v>237</v>
      </c>
      <c r="B242" s="15" t="s">
        <v>94</v>
      </c>
      <c r="C242" s="15" t="s">
        <v>622</v>
      </c>
      <c r="D242" s="16">
        <v>8686752.8890000004</v>
      </c>
      <c r="E242" s="16">
        <v>1969293.2296</v>
      </c>
      <c r="F242" s="17">
        <f t="shared" si="3"/>
        <v>10656046.1186</v>
      </c>
      <c r="G242" s="18"/>
      <c r="H242" s="18"/>
      <c r="I242" s="19"/>
      <c r="J242" s="19"/>
      <c r="K242" s="19"/>
      <c r="L242" s="19"/>
      <c r="M242" s="18"/>
      <c r="N242" s="18"/>
      <c r="O242" s="19"/>
      <c r="P242" s="19"/>
      <c r="Q242" s="19"/>
    </row>
    <row r="243" spans="1:17" ht="35.25">
      <c r="A243" s="14">
        <v>238</v>
      </c>
      <c r="B243" s="15" t="s">
        <v>94</v>
      </c>
      <c r="C243" s="15" t="s">
        <v>624</v>
      </c>
      <c r="D243" s="16">
        <v>8284340.8986</v>
      </c>
      <c r="E243" s="16">
        <v>1878066.1372</v>
      </c>
      <c r="F243" s="17">
        <f t="shared" si="3"/>
        <v>10162407.035800001</v>
      </c>
      <c r="G243" s="18"/>
      <c r="H243" s="18"/>
      <c r="I243" s="19"/>
      <c r="J243" s="19"/>
      <c r="K243" s="19"/>
      <c r="L243" s="19"/>
      <c r="M243" s="18"/>
      <c r="N243" s="18"/>
      <c r="O243" s="19"/>
      <c r="P243" s="19"/>
      <c r="Q243" s="19"/>
    </row>
    <row r="244" spans="1:17" ht="35.25">
      <c r="A244" s="14">
        <v>239</v>
      </c>
      <c r="B244" s="15" t="s">
        <v>94</v>
      </c>
      <c r="C244" s="15" t="s">
        <v>626</v>
      </c>
      <c r="D244" s="16">
        <v>9041676.4538000003</v>
      </c>
      <c r="E244" s="16">
        <v>2049754.6612</v>
      </c>
      <c r="F244" s="17">
        <f t="shared" si="3"/>
        <v>11091431.115</v>
      </c>
      <c r="G244" s="18"/>
      <c r="H244" s="18"/>
      <c r="I244" s="19"/>
      <c r="J244" s="19"/>
      <c r="K244" s="19"/>
      <c r="L244" s="19"/>
      <c r="M244" s="18"/>
      <c r="N244" s="18"/>
      <c r="O244" s="19"/>
      <c r="P244" s="19"/>
      <c r="Q244" s="19"/>
    </row>
    <row r="245" spans="1:17" ht="17.649999999999999">
      <c r="A245" s="14">
        <v>240</v>
      </c>
      <c r="B245" s="15" t="s">
        <v>94</v>
      </c>
      <c r="C245" s="15" t="s">
        <v>628</v>
      </c>
      <c r="D245" s="16">
        <v>7931428.5114000002</v>
      </c>
      <c r="E245" s="16">
        <v>1798060.6410999999</v>
      </c>
      <c r="F245" s="17">
        <f t="shared" si="3"/>
        <v>9729489.1524999999</v>
      </c>
      <c r="G245" s="18"/>
      <c r="H245" s="18"/>
      <c r="I245" s="19"/>
      <c r="J245" s="19"/>
      <c r="K245" s="19"/>
      <c r="L245" s="19"/>
      <c r="M245" s="18"/>
      <c r="N245" s="18"/>
      <c r="O245" s="19"/>
      <c r="P245" s="19"/>
      <c r="Q245" s="19"/>
    </row>
    <row r="246" spans="1:17" ht="17.649999999999999">
      <c r="A246" s="14">
        <v>241</v>
      </c>
      <c r="B246" s="15" t="s">
        <v>94</v>
      </c>
      <c r="C246" s="15" t="s">
        <v>630</v>
      </c>
      <c r="D246" s="16">
        <v>6504848.3652999997</v>
      </c>
      <c r="E246" s="16">
        <v>1474653.8792000001</v>
      </c>
      <c r="F246" s="17">
        <f t="shared" si="3"/>
        <v>7979502.2445</v>
      </c>
      <c r="G246" s="18"/>
      <c r="H246" s="18"/>
      <c r="I246" s="19"/>
      <c r="J246" s="19"/>
      <c r="K246" s="19"/>
      <c r="L246" s="19"/>
      <c r="M246" s="18"/>
      <c r="N246" s="18"/>
      <c r="O246" s="19"/>
      <c r="P246" s="19"/>
      <c r="Q246" s="19"/>
    </row>
    <row r="247" spans="1:17" ht="17.649999999999999">
      <c r="A247" s="14">
        <v>242</v>
      </c>
      <c r="B247" s="15" t="s">
        <v>94</v>
      </c>
      <c r="C247" s="15" t="s">
        <v>632</v>
      </c>
      <c r="D247" s="16">
        <v>8094627.5411999999</v>
      </c>
      <c r="E247" s="16">
        <v>1835057.9805000001</v>
      </c>
      <c r="F247" s="17">
        <f t="shared" si="3"/>
        <v>9929685.5217000004</v>
      </c>
      <c r="G247" s="18"/>
      <c r="H247" s="18"/>
      <c r="I247" s="19"/>
      <c r="J247" s="19"/>
      <c r="K247" s="19"/>
      <c r="L247" s="19"/>
      <c r="M247" s="18"/>
      <c r="N247" s="18"/>
      <c r="O247" s="19"/>
      <c r="P247" s="19"/>
      <c r="Q247" s="19"/>
    </row>
    <row r="248" spans="1:17" ht="17.649999999999999">
      <c r="A248" s="14">
        <v>243</v>
      </c>
      <c r="B248" s="15" t="s">
        <v>95</v>
      </c>
      <c r="C248" s="15" t="s">
        <v>636</v>
      </c>
      <c r="D248" s="16">
        <v>9511359.5997000001</v>
      </c>
      <c r="E248" s="16">
        <v>2156232.1737000002</v>
      </c>
      <c r="F248" s="17">
        <f t="shared" si="3"/>
        <v>11667591.773400001</v>
      </c>
      <c r="G248" s="18"/>
      <c r="H248" s="18"/>
      <c r="I248" s="19"/>
      <c r="J248" s="19"/>
      <c r="K248" s="19"/>
      <c r="L248" s="19"/>
      <c r="M248" s="18"/>
      <c r="N248" s="18"/>
      <c r="O248" s="19"/>
      <c r="P248" s="19"/>
      <c r="Q248" s="19"/>
    </row>
    <row r="249" spans="1:17" ht="17.649999999999999">
      <c r="A249" s="14">
        <v>244</v>
      </c>
      <c r="B249" s="15" t="s">
        <v>95</v>
      </c>
      <c r="C249" s="15" t="s">
        <v>638</v>
      </c>
      <c r="D249" s="16">
        <v>7237501.9393999996</v>
      </c>
      <c r="E249" s="16">
        <v>1640746.98</v>
      </c>
      <c r="F249" s="17">
        <f t="shared" si="3"/>
        <v>8878248.9193999991</v>
      </c>
      <c r="G249" s="18"/>
      <c r="H249" s="18"/>
      <c r="I249" s="19"/>
      <c r="J249" s="19"/>
      <c r="K249" s="19"/>
      <c r="L249" s="19"/>
      <c r="M249" s="18"/>
      <c r="N249" s="18"/>
      <c r="O249" s="19"/>
      <c r="P249" s="19"/>
      <c r="Q249" s="19"/>
    </row>
    <row r="250" spans="1:17" ht="17.649999999999999">
      <c r="A250" s="14">
        <v>245</v>
      </c>
      <c r="B250" s="15" t="s">
        <v>95</v>
      </c>
      <c r="C250" s="15" t="s">
        <v>640</v>
      </c>
      <c r="D250" s="16">
        <v>6900856.3356999997</v>
      </c>
      <c r="E250" s="16">
        <v>1564429.1756</v>
      </c>
      <c r="F250" s="17">
        <f t="shared" si="3"/>
        <v>8465285.5112999994</v>
      </c>
      <c r="G250" s="18"/>
      <c r="H250" s="18"/>
      <c r="I250" s="19"/>
      <c r="J250" s="19"/>
      <c r="K250" s="19"/>
      <c r="L250" s="19"/>
      <c r="M250" s="18"/>
      <c r="N250" s="18"/>
      <c r="O250" s="19"/>
      <c r="P250" s="19"/>
      <c r="Q250" s="19"/>
    </row>
    <row r="251" spans="1:17" ht="17.649999999999999">
      <c r="A251" s="14">
        <v>246</v>
      </c>
      <c r="B251" s="15" t="s">
        <v>95</v>
      </c>
      <c r="C251" s="15" t="s">
        <v>642</v>
      </c>
      <c r="D251" s="16">
        <v>7125508.8049999997</v>
      </c>
      <c r="E251" s="16">
        <v>1615358.0545999999</v>
      </c>
      <c r="F251" s="17">
        <f t="shared" si="3"/>
        <v>8740866.8596000001</v>
      </c>
      <c r="G251" s="18"/>
      <c r="H251" s="18"/>
      <c r="I251" s="19"/>
      <c r="J251" s="19"/>
      <c r="K251" s="19"/>
      <c r="L251" s="19"/>
      <c r="M251" s="18"/>
      <c r="N251" s="18"/>
      <c r="O251" s="19"/>
      <c r="P251" s="19"/>
      <c r="Q251" s="19"/>
    </row>
    <row r="252" spans="1:17" ht="35.25">
      <c r="A252" s="14">
        <v>247</v>
      </c>
      <c r="B252" s="15" t="s">
        <v>95</v>
      </c>
      <c r="C252" s="15" t="s">
        <v>644</v>
      </c>
      <c r="D252" s="16">
        <v>7547302.3788999999</v>
      </c>
      <c r="E252" s="16">
        <v>1710978.9661000001</v>
      </c>
      <c r="F252" s="17">
        <f t="shared" si="3"/>
        <v>9258281.3450000007</v>
      </c>
      <c r="G252" s="18"/>
      <c r="H252" s="18"/>
      <c r="I252" s="19"/>
      <c r="J252" s="19"/>
      <c r="K252" s="19"/>
      <c r="L252" s="19"/>
      <c r="M252" s="18"/>
      <c r="N252" s="18"/>
      <c r="O252" s="19"/>
      <c r="P252" s="19"/>
      <c r="Q252" s="19"/>
    </row>
    <row r="253" spans="1:17" ht="17.649999999999999">
      <c r="A253" s="14">
        <v>248</v>
      </c>
      <c r="B253" s="15" t="s">
        <v>95</v>
      </c>
      <c r="C253" s="15" t="s">
        <v>646</v>
      </c>
      <c r="D253" s="16">
        <v>7693782.4197000004</v>
      </c>
      <c r="E253" s="16">
        <v>1744186.0984</v>
      </c>
      <c r="F253" s="17">
        <f t="shared" si="3"/>
        <v>9437968.5181000009</v>
      </c>
      <c r="G253" s="18"/>
      <c r="H253" s="18"/>
      <c r="I253" s="19"/>
      <c r="J253" s="19"/>
      <c r="K253" s="19"/>
      <c r="L253" s="19"/>
      <c r="M253" s="18"/>
      <c r="N253" s="18"/>
      <c r="O253" s="19"/>
      <c r="P253" s="19"/>
      <c r="Q253" s="19"/>
    </row>
    <row r="254" spans="1:17" ht="17.649999999999999">
      <c r="A254" s="14">
        <v>249</v>
      </c>
      <c r="B254" s="15" t="s">
        <v>95</v>
      </c>
      <c r="C254" s="15" t="s">
        <v>648</v>
      </c>
      <c r="D254" s="16">
        <v>6339724.4886999996</v>
      </c>
      <c r="E254" s="16">
        <v>1437220.1757</v>
      </c>
      <c r="F254" s="17">
        <f t="shared" si="3"/>
        <v>7776944.6644000001</v>
      </c>
      <c r="G254" s="18"/>
      <c r="H254" s="18"/>
      <c r="I254" s="19"/>
      <c r="J254" s="19"/>
      <c r="K254" s="19"/>
      <c r="L254" s="19"/>
      <c r="M254" s="18"/>
      <c r="N254" s="18"/>
      <c r="O254" s="19"/>
      <c r="P254" s="19"/>
      <c r="Q254" s="19"/>
    </row>
    <row r="255" spans="1:17" ht="17.649999999999999">
      <c r="A255" s="14">
        <v>250</v>
      </c>
      <c r="B255" s="15" t="s">
        <v>95</v>
      </c>
      <c r="C255" s="15" t="s">
        <v>650</v>
      </c>
      <c r="D255" s="16">
        <v>7810033.4161</v>
      </c>
      <c r="E255" s="16">
        <v>1770540.2842999999</v>
      </c>
      <c r="F255" s="17">
        <f t="shared" si="3"/>
        <v>9580573.7004000004</v>
      </c>
      <c r="G255" s="18"/>
      <c r="H255" s="18"/>
      <c r="I255" s="19"/>
      <c r="J255" s="19"/>
      <c r="K255" s="19"/>
      <c r="L255" s="19"/>
      <c r="M255" s="18"/>
      <c r="N255" s="18"/>
      <c r="O255" s="19"/>
      <c r="P255" s="19"/>
      <c r="Q255" s="19"/>
    </row>
    <row r="256" spans="1:17" ht="17.649999999999999">
      <c r="A256" s="14">
        <v>251</v>
      </c>
      <c r="B256" s="15" t="s">
        <v>95</v>
      </c>
      <c r="C256" s="15" t="s">
        <v>652</v>
      </c>
      <c r="D256" s="16">
        <v>8356425.3218999999</v>
      </c>
      <c r="E256" s="16">
        <v>1894407.7287000001</v>
      </c>
      <c r="F256" s="17">
        <f t="shared" si="3"/>
        <v>10250833.0506</v>
      </c>
      <c r="G256" s="18"/>
      <c r="H256" s="18"/>
      <c r="I256" s="19"/>
      <c r="J256" s="19"/>
      <c r="K256" s="19"/>
      <c r="L256" s="19"/>
      <c r="M256" s="18"/>
      <c r="N256" s="18"/>
      <c r="O256" s="19"/>
      <c r="P256" s="19"/>
      <c r="Q256" s="19"/>
    </row>
    <row r="257" spans="1:17" ht="17.649999999999999">
      <c r="A257" s="14">
        <v>252</v>
      </c>
      <c r="B257" s="15" t="s">
        <v>95</v>
      </c>
      <c r="C257" s="15" t="s">
        <v>654</v>
      </c>
      <c r="D257" s="16">
        <v>7296994.3893999998</v>
      </c>
      <c r="E257" s="16">
        <v>1654233.9619</v>
      </c>
      <c r="F257" s="17">
        <f t="shared" si="3"/>
        <v>8951228.3512999993</v>
      </c>
      <c r="G257" s="18"/>
      <c r="H257" s="18"/>
      <c r="I257" s="19"/>
      <c r="J257" s="19"/>
      <c r="K257" s="19"/>
      <c r="L257" s="19"/>
      <c r="M257" s="18"/>
      <c r="N257" s="18"/>
      <c r="O257" s="19"/>
      <c r="P257" s="19"/>
      <c r="Q257" s="19"/>
    </row>
    <row r="258" spans="1:17" ht="17.649999999999999">
      <c r="A258" s="14">
        <v>253</v>
      </c>
      <c r="B258" s="15" t="s">
        <v>95</v>
      </c>
      <c r="C258" s="15" t="s">
        <v>656</v>
      </c>
      <c r="D258" s="16">
        <v>7819932.6332999999</v>
      </c>
      <c r="E258" s="16">
        <v>1772784.4439999999</v>
      </c>
      <c r="F258" s="17">
        <f t="shared" si="3"/>
        <v>9592717.0772999991</v>
      </c>
      <c r="G258" s="18"/>
      <c r="H258" s="18"/>
      <c r="I258" s="19"/>
      <c r="J258" s="19"/>
      <c r="K258" s="19"/>
      <c r="L258" s="19"/>
      <c r="M258" s="18"/>
      <c r="N258" s="18"/>
      <c r="O258" s="19"/>
      <c r="P258" s="19"/>
      <c r="Q258" s="19"/>
    </row>
    <row r="259" spans="1:17" ht="17.649999999999999">
      <c r="A259" s="14">
        <v>254</v>
      </c>
      <c r="B259" s="15" t="s">
        <v>95</v>
      </c>
      <c r="C259" s="15" t="s">
        <v>658</v>
      </c>
      <c r="D259" s="16">
        <v>5487718.1666999999</v>
      </c>
      <c r="E259" s="16">
        <v>1244069.7197</v>
      </c>
      <c r="F259" s="17">
        <f t="shared" si="3"/>
        <v>6731787.8864000002</v>
      </c>
      <c r="G259" s="18"/>
      <c r="H259" s="18"/>
      <c r="I259" s="19"/>
      <c r="J259" s="19"/>
      <c r="K259" s="19"/>
      <c r="L259" s="19"/>
      <c r="M259" s="18"/>
      <c r="N259" s="18"/>
      <c r="O259" s="19"/>
      <c r="P259" s="19"/>
      <c r="Q259" s="19"/>
    </row>
    <row r="260" spans="1:17" ht="35.25">
      <c r="A260" s="14">
        <v>255</v>
      </c>
      <c r="B260" s="15" t="s">
        <v>95</v>
      </c>
      <c r="C260" s="15" t="s">
        <v>660</v>
      </c>
      <c r="D260" s="16">
        <v>6955312.4682</v>
      </c>
      <c r="E260" s="16">
        <v>1576774.4206000001</v>
      </c>
      <c r="F260" s="17">
        <f t="shared" si="3"/>
        <v>8532086.8888000008</v>
      </c>
      <c r="G260" s="18"/>
      <c r="H260" s="18"/>
      <c r="I260" s="19"/>
      <c r="J260" s="19"/>
      <c r="K260" s="19"/>
      <c r="L260" s="19"/>
      <c r="M260" s="18"/>
      <c r="N260" s="18"/>
      <c r="O260" s="19"/>
      <c r="P260" s="19"/>
      <c r="Q260" s="19"/>
    </row>
    <row r="261" spans="1:17" ht="17.649999999999999">
      <c r="A261" s="14">
        <v>256</v>
      </c>
      <c r="B261" s="15" t="s">
        <v>95</v>
      </c>
      <c r="C261" s="15" t="s">
        <v>662</v>
      </c>
      <c r="D261" s="16">
        <v>6787252.2263000002</v>
      </c>
      <c r="E261" s="16">
        <v>1538675.0408999999</v>
      </c>
      <c r="F261" s="17">
        <f t="shared" si="3"/>
        <v>8325927.2672000006</v>
      </c>
      <c r="G261" s="18"/>
      <c r="H261" s="18"/>
      <c r="I261" s="19"/>
      <c r="J261" s="19"/>
      <c r="K261" s="19"/>
      <c r="L261" s="19"/>
      <c r="M261" s="18"/>
      <c r="N261" s="18"/>
      <c r="O261" s="19"/>
      <c r="P261" s="19"/>
      <c r="Q261" s="19"/>
    </row>
    <row r="262" spans="1:17" ht="17.649999999999999">
      <c r="A262" s="14">
        <v>257</v>
      </c>
      <c r="B262" s="15" t="s">
        <v>95</v>
      </c>
      <c r="C262" s="15" t="s">
        <v>664</v>
      </c>
      <c r="D262" s="16">
        <v>7279419.5658999998</v>
      </c>
      <c r="E262" s="16">
        <v>1650249.7365999999</v>
      </c>
      <c r="F262" s="17">
        <f t="shared" si="3"/>
        <v>8929669.3025000002</v>
      </c>
      <c r="G262" s="18"/>
      <c r="H262" s="18"/>
      <c r="I262" s="19"/>
      <c r="J262" s="19"/>
      <c r="K262" s="19"/>
      <c r="L262" s="19"/>
      <c r="M262" s="18"/>
      <c r="N262" s="18"/>
      <c r="O262" s="19"/>
      <c r="P262" s="19"/>
      <c r="Q262" s="19"/>
    </row>
    <row r="263" spans="1:17" ht="17.649999999999999">
      <c r="A263" s="14">
        <v>258</v>
      </c>
      <c r="B263" s="15" t="s">
        <v>95</v>
      </c>
      <c r="C263" s="15" t="s">
        <v>666</v>
      </c>
      <c r="D263" s="16">
        <v>7076163.5882999999</v>
      </c>
      <c r="E263" s="16">
        <v>1604171.4579</v>
      </c>
      <c r="F263" s="17">
        <f t="shared" ref="F263:F326" si="4">D263+E263</f>
        <v>8680335.0461999997</v>
      </c>
      <c r="G263" s="18"/>
      <c r="H263" s="18"/>
      <c r="I263" s="19"/>
      <c r="J263" s="19"/>
      <c r="K263" s="19"/>
      <c r="L263" s="19"/>
      <c r="M263" s="18"/>
      <c r="N263" s="18"/>
      <c r="O263" s="19"/>
      <c r="P263" s="19"/>
      <c r="Q263" s="19"/>
    </row>
    <row r="264" spans="1:17" ht="17.649999999999999">
      <c r="A264" s="14">
        <v>259</v>
      </c>
      <c r="B264" s="15" t="s">
        <v>96</v>
      </c>
      <c r="C264" s="15" t="s">
        <v>670</v>
      </c>
      <c r="D264" s="16">
        <v>8864113.4648000002</v>
      </c>
      <c r="E264" s="16">
        <v>2009501.0018</v>
      </c>
      <c r="F264" s="17">
        <f t="shared" si="4"/>
        <v>10873614.466600001</v>
      </c>
      <c r="G264" s="18"/>
      <c r="H264" s="18"/>
      <c r="I264" s="19"/>
      <c r="J264" s="19"/>
      <c r="K264" s="19"/>
      <c r="L264" s="19"/>
      <c r="M264" s="18"/>
      <c r="N264" s="18"/>
      <c r="O264" s="19"/>
      <c r="P264" s="19"/>
      <c r="Q264" s="19"/>
    </row>
    <row r="265" spans="1:17" ht="17.649999999999999">
      <c r="A265" s="14">
        <v>260</v>
      </c>
      <c r="B265" s="15" t="s">
        <v>96</v>
      </c>
      <c r="C265" s="15" t="s">
        <v>672</v>
      </c>
      <c r="D265" s="16">
        <v>7468652.6322999997</v>
      </c>
      <c r="E265" s="16">
        <v>1693149.0109999999</v>
      </c>
      <c r="F265" s="17">
        <f t="shared" si="4"/>
        <v>9161801.6433000006</v>
      </c>
      <c r="G265" s="18"/>
      <c r="H265" s="18"/>
      <c r="I265" s="19"/>
      <c r="J265" s="19"/>
      <c r="K265" s="19"/>
      <c r="L265" s="19"/>
      <c r="M265" s="18"/>
      <c r="N265" s="18"/>
      <c r="O265" s="19"/>
      <c r="P265" s="19"/>
      <c r="Q265" s="19"/>
    </row>
    <row r="266" spans="1:17" ht="17.649999999999999">
      <c r="A266" s="14">
        <v>261</v>
      </c>
      <c r="B266" s="15" t="s">
        <v>96</v>
      </c>
      <c r="C266" s="15" t="s">
        <v>674</v>
      </c>
      <c r="D266" s="16">
        <v>10109612.9344</v>
      </c>
      <c r="E266" s="16">
        <v>2291856.642</v>
      </c>
      <c r="F266" s="17">
        <f t="shared" si="4"/>
        <v>12401469.576400001</v>
      </c>
      <c r="G266" s="18"/>
      <c r="H266" s="18"/>
      <c r="I266" s="19"/>
      <c r="J266" s="19"/>
      <c r="K266" s="19"/>
      <c r="L266" s="19"/>
      <c r="M266" s="18"/>
      <c r="N266" s="18"/>
      <c r="O266" s="19"/>
      <c r="P266" s="19"/>
      <c r="Q266" s="19"/>
    </row>
    <row r="267" spans="1:17" ht="17.649999999999999">
      <c r="A267" s="14">
        <v>262</v>
      </c>
      <c r="B267" s="15" t="s">
        <v>96</v>
      </c>
      <c r="C267" s="15" t="s">
        <v>676</v>
      </c>
      <c r="D267" s="16">
        <v>9503407.5269000009</v>
      </c>
      <c r="E267" s="16">
        <v>2154429.4330000002</v>
      </c>
      <c r="F267" s="17">
        <f t="shared" si="4"/>
        <v>11657836.959900001</v>
      </c>
      <c r="G267" s="18"/>
      <c r="H267" s="18"/>
      <c r="I267" s="19"/>
      <c r="J267" s="19"/>
      <c r="K267" s="19"/>
      <c r="L267" s="19"/>
      <c r="M267" s="18"/>
      <c r="N267" s="18"/>
      <c r="O267" s="19"/>
      <c r="P267" s="19"/>
      <c r="Q267" s="19"/>
    </row>
    <row r="268" spans="1:17" ht="17.649999999999999">
      <c r="A268" s="14">
        <v>263</v>
      </c>
      <c r="B268" s="15" t="s">
        <v>96</v>
      </c>
      <c r="C268" s="15" t="s">
        <v>678</v>
      </c>
      <c r="D268" s="16">
        <v>9188700.6404999997</v>
      </c>
      <c r="E268" s="16">
        <v>2083085.1518000001</v>
      </c>
      <c r="F268" s="17">
        <f t="shared" si="4"/>
        <v>11271785.792300001</v>
      </c>
      <c r="G268" s="18"/>
      <c r="H268" s="18"/>
      <c r="I268" s="19"/>
      <c r="J268" s="19"/>
      <c r="K268" s="19"/>
      <c r="L268" s="19"/>
      <c r="M268" s="18"/>
      <c r="N268" s="18"/>
      <c r="O268" s="19"/>
      <c r="P268" s="19"/>
      <c r="Q268" s="19"/>
    </row>
    <row r="269" spans="1:17" ht="17.649999999999999">
      <c r="A269" s="14">
        <v>264</v>
      </c>
      <c r="B269" s="15" t="s">
        <v>96</v>
      </c>
      <c r="C269" s="15" t="s">
        <v>680</v>
      </c>
      <c r="D269" s="16">
        <v>8834644.2042999994</v>
      </c>
      <c r="E269" s="16">
        <v>2002820.2989000001</v>
      </c>
      <c r="F269" s="17">
        <f t="shared" si="4"/>
        <v>10837464.5032</v>
      </c>
      <c r="G269" s="18"/>
      <c r="H269" s="18"/>
      <c r="I269" s="19"/>
      <c r="J269" s="19"/>
      <c r="K269" s="19"/>
      <c r="L269" s="19"/>
      <c r="M269" s="18"/>
      <c r="N269" s="18"/>
      <c r="O269" s="19"/>
      <c r="P269" s="19"/>
      <c r="Q269" s="19"/>
    </row>
    <row r="270" spans="1:17" ht="17.649999999999999">
      <c r="A270" s="14">
        <v>265</v>
      </c>
      <c r="B270" s="15" t="s">
        <v>96</v>
      </c>
      <c r="C270" s="15" t="s">
        <v>682</v>
      </c>
      <c r="D270" s="16">
        <v>8920215.8198000006</v>
      </c>
      <c r="E270" s="16">
        <v>2022219.4467</v>
      </c>
      <c r="F270" s="17">
        <f t="shared" si="4"/>
        <v>10942435.2665</v>
      </c>
      <c r="G270" s="18"/>
      <c r="H270" s="18"/>
      <c r="I270" s="19"/>
      <c r="J270" s="19"/>
      <c r="K270" s="19"/>
      <c r="L270" s="19"/>
      <c r="M270" s="18"/>
      <c r="N270" s="18"/>
      <c r="O270" s="19"/>
      <c r="P270" s="19"/>
      <c r="Q270" s="19"/>
    </row>
    <row r="271" spans="1:17" ht="17.649999999999999">
      <c r="A271" s="14">
        <v>266</v>
      </c>
      <c r="B271" s="15" t="s">
        <v>96</v>
      </c>
      <c r="C271" s="15" t="s">
        <v>684</v>
      </c>
      <c r="D271" s="16">
        <v>9654503.7040999997</v>
      </c>
      <c r="E271" s="16">
        <v>2188683.0468000001</v>
      </c>
      <c r="F271" s="17">
        <f t="shared" si="4"/>
        <v>11843186.7509</v>
      </c>
      <c r="G271" s="18"/>
      <c r="H271" s="18"/>
      <c r="I271" s="19"/>
      <c r="J271" s="19"/>
      <c r="K271" s="19"/>
      <c r="L271" s="19"/>
      <c r="M271" s="18"/>
      <c r="N271" s="18"/>
      <c r="O271" s="19"/>
      <c r="P271" s="19"/>
      <c r="Q271" s="19"/>
    </row>
    <row r="272" spans="1:17" ht="17.649999999999999">
      <c r="A272" s="14">
        <v>267</v>
      </c>
      <c r="B272" s="15" t="s">
        <v>96</v>
      </c>
      <c r="C272" s="15" t="s">
        <v>686</v>
      </c>
      <c r="D272" s="16">
        <v>8784887.2732999995</v>
      </c>
      <c r="E272" s="16">
        <v>1991540.3663000001</v>
      </c>
      <c r="F272" s="17">
        <f t="shared" si="4"/>
        <v>10776427.639599999</v>
      </c>
      <c r="G272" s="18"/>
      <c r="H272" s="18"/>
      <c r="I272" s="19"/>
      <c r="J272" s="19"/>
      <c r="K272" s="19"/>
      <c r="L272" s="19"/>
      <c r="M272" s="18"/>
      <c r="N272" s="18"/>
      <c r="O272" s="19"/>
      <c r="P272" s="19"/>
      <c r="Q272" s="19"/>
    </row>
    <row r="273" spans="1:17" ht="17.649999999999999">
      <c r="A273" s="14">
        <v>268</v>
      </c>
      <c r="B273" s="15" t="s">
        <v>96</v>
      </c>
      <c r="C273" s="15" t="s">
        <v>688</v>
      </c>
      <c r="D273" s="16">
        <v>8215341.1494000005</v>
      </c>
      <c r="E273" s="16">
        <v>1862423.8437000001</v>
      </c>
      <c r="F273" s="17">
        <f t="shared" si="4"/>
        <v>10077764.993100001</v>
      </c>
      <c r="G273" s="18"/>
      <c r="H273" s="18"/>
      <c r="I273" s="19"/>
      <c r="J273" s="19"/>
      <c r="K273" s="19"/>
      <c r="L273" s="19"/>
      <c r="M273" s="18"/>
      <c r="N273" s="18"/>
      <c r="O273" s="19"/>
      <c r="P273" s="19"/>
      <c r="Q273" s="19"/>
    </row>
    <row r="274" spans="1:17" ht="17.649999999999999">
      <c r="A274" s="14">
        <v>269</v>
      </c>
      <c r="B274" s="15" t="s">
        <v>96</v>
      </c>
      <c r="C274" s="15" t="s">
        <v>690</v>
      </c>
      <c r="D274" s="16">
        <v>8600909.9500999991</v>
      </c>
      <c r="E274" s="16">
        <v>1949832.5726000001</v>
      </c>
      <c r="F274" s="17">
        <f t="shared" si="4"/>
        <v>10550742.522699999</v>
      </c>
      <c r="G274" s="18"/>
      <c r="H274" s="18"/>
      <c r="I274" s="19"/>
      <c r="J274" s="19"/>
      <c r="K274" s="19"/>
      <c r="L274" s="19"/>
      <c r="M274" s="18"/>
      <c r="N274" s="18"/>
      <c r="O274" s="19"/>
      <c r="P274" s="19"/>
      <c r="Q274" s="19"/>
    </row>
    <row r="275" spans="1:17" ht="17.649999999999999">
      <c r="A275" s="14">
        <v>270</v>
      </c>
      <c r="B275" s="15" t="s">
        <v>96</v>
      </c>
      <c r="C275" s="15" t="s">
        <v>692</v>
      </c>
      <c r="D275" s="16">
        <v>8350880.6103999997</v>
      </c>
      <c r="E275" s="16">
        <v>1893150.7386</v>
      </c>
      <c r="F275" s="17">
        <f t="shared" si="4"/>
        <v>10244031.348999999</v>
      </c>
      <c r="G275" s="18"/>
      <c r="H275" s="18"/>
      <c r="I275" s="19"/>
      <c r="J275" s="19"/>
      <c r="K275" s="19"/>
      <c r="L275" s="19"/>
      <c r="M275" s="18"/>
      <c r="N275" s="18"/>
      <c r="O275" s="19"/>
      <c r="P275" s="19"/>
      <c r="Q275" s="19"/>
    </row>
    <row r="276" spans="1:17" ht="17.649999999999999">
      <c r="A276" s="14">
        <v>271</v>
      </c>
      <c r="B276" s="15" t="s">
        <v>96</v>
      </c>
      <c r="C276" s="15" t="s">
        <v>694</v>
      </c>
      <c r="D276" s="16">
        <v>10815482.8344</v>
      </c>
      <c r="E276" s="16">
        <v>2451877.8643</v>
      </c>
      <c r="F276" s="17">
        <f t="shared" si="4"/>
        <v>13267360.6987</v>
      </c>
      <c r="G276" s="18"/>
      <c r="H276" s="18"/>
      <c r="I276" s="19"/>
      <c r="J276" s="19"/>
      <c r="K276" s="19"/>
      <c r="L276" s="19"/>
      <c r="M276" s="18"/>
      <c r="N276" s="18"/>
      <c r="O276" s="19"/>
      <c r="P276" s="19"/>
      <c r="Q276" s="19"/>
    </row>
    <row r="277" spans="1:17" ht="17.649999999999999">
      <c r="A277" s="14">
        <v>272</v>
      </c>
      <c r="B277" s="15" t="s">
        <v>96</v>
      </c>
      <c r="C277" s="15" t="s">
        <v>695</v>
      </c>
      <c r="D277" s="16">
        <v>7420942.5297999997</v>
      </c>
      <c r="E277" s="16">
        <v>1682333.0959000001</v>
      </c>
      <c r="F277" s="17">
        <f t="shared" si="4"/>
        <v>9103275.6257000007</v>
      </c>
      <c r="G277" s="18"/>
      <c r="H277" s="18"/>
      <c r="I277" s="19"/>
      <c r="J277" s="19"/>
      <c r="K277" s="19"/>
      <c r="L277" s="19"/>
      <c r="M277" s="18"/>
      <c r="N277" s="18"/>
      <c r="O277" s="19"/>
      <c r="P277" s="19"/>
      <c r="Q277" s="19"/>
    </row>
    <row r="278" spans="1:17" ht="17.649999999999999">
      <c r="A278" s="14">
        <v>273</v>
      </c>
      <c r="B278" s="15" t="s">
        <v>96</v>
      </c>
      <c r="C278" s="15" t="s">
        <v>697</v>
      </c>
      <c r="D278" s="16">
        <v>8213783.2796999998</v>
      </c>
      <c r="E278" s="16">
        <v>1862070.6735</v>
      </c>
      <c r="F278" s="17">
        <f t="shared" si="4"/>
        <v>10075853.953199999</v>
      </c>
      <c r="G278" s="18"/>
      <c r="H278" s="18"/>
      <c r="I278" s="19"/>
      <c r="J278" s="19"/>
      <c r="K278" s="19"/>
      <c r="L278" s="19"/>
      <c r="M278" s="18"/>
      <c r="N278" s="18"/>
      <c r="O278" s="19"/>
      <c r="P278" s="19"/>
      <c r="Q278" s="19"/>
    </row>
    <row r="279" spans="1:17" ht="17.649999999999999">
      <c r="A279" s="14">
        <v>274</v>
      </c>
      <c r="B279" s="15" t="s">
        <v>96</v>
      </c>
      <c r="C279" s="15" t="s">
        <v>699</v>
      </c>
      <c r="D279" s="16">
        <v>9326641.3942000009</v>
      </c>
      <c r="E279" s="16">
        <v>2114356.4215000002</v>
      </c>
      <c r="F279" s="17">
        <f t="shared" si="4"/>
        <v>11440997.815700002</v>
      </c>
      <c r="G279" s="18"/>
      <c r="H279" s="18"/>
      <c r="I279" s="19"/>
      <c r="J279" s="19"/>
      <c r="K279" s="19"/>
      <c r="L279" s="19"/>
      <c r="M279" s="18"/>
      <c r="N279" s="18"/>
      <c r="O279" s="19"/>
      <c r="P279" s="19"/>
      <c r="Q279" s="19"/>
    </row>
    <row r="280" spans="1:17" ht="17.649999999999999">
      <c r="A280" s="14">
        <v>275</v>
      </c>
      <c r="B280" s="15" t="s">
        <v>96</v>
      </c>
      <c r="C280" s="15" t="s">
        <v>701</v>
      </c>
      <c r="D280" s="16">
        <v>7723748.0762</v>
      </c>
      <c r="E280" s="16">
        <v>1750979.3345999999</v>
      </c>
      <c r="F280" s="17">
        <f t="shared" si="4"/>
        <v>9474727.4108000007</v>
      </c>
      <c r="G280" s="18"/>
      <c r="H280" s="18"/>
      <c r="I280" s="19"/>
      <c r="J280" s="19"/>
      <c r="K280" s="19"/>
      <c r="L280" s="19"/>
      <c r="M280" s="18"/>
      <c r="N280" s="18"/>
      <c r="O280" s="19"/>
      <c r="P280" s="19"/>
      <c r="Q280" s="19"/>
    </row>
    <row r="281" spans="1:17" ht="17.649999999999999">
      <c r="A281" s="14">
        <v>276</v>
      </c>
      <c r="B281" s="15" t="s">
        <v>97</v>
      </c>
      <c r="C281" s="15" t="s">
        <v>706</v>
      </c>
      <c r="D281" s="16">
        <v>12323376.0712</v>
      </c>
      <c r="E281" s="16">
        <v>2793718.3632999999</v>
      </c>
      <c r="F281" s="17">
        <f t="shared" si="4"/>
        <v>15117094.4345</v>
      </c>
      <c r="G281" s="18"/>
      <c r="H281" s="18"/>
      <c r="I281" s="19"/>
      <c r="J281" s="19"/>
      <c r="K281" s="19"/>
      <c r="L281" s="19"/>
      <c r="M281" s="18"/>
      <c r="N281" s="18"/>
      <c r="O281" s="19"/>
      <c r="P281" s="19"/>
      <c r="Q281" s="19"/>
    </row>
    <row r="282" spans="1:17" ht="17.649999999999999">
      <c r="A282" s="14">
        <v>277</v>
      </c>
      <c r="B282" s="15" t="s">
        <v>97</v>
      </c>
      <c r="C282" s="15" t="s">
        <v>708</v>
      </c>
      <c r="D282" s="16">
        <v>8949636.1466000006</v>
      </c>
      <c r="E282" s="16">
        <v>2028889.0563000001</v>
      </c>
      <c r="F282" s="17">
        <f t="shared" si="4"/>
        <v>10978525.2029</v>
      </c>
      <c r="G282" s="18"/>
      <c r="H282" s="18"/>
      <c r="I282" s="19"/>
      <c r="J282" s="19"/>
      <c r="K282" s="19"/>
      <c r="L282" s="19"/>
      <c r="M282" s="18"/>
      <c r="N282" s="18"/>
      <c r="O282" s="19"/>
      <c r="P282" s="19"/>
      <c r="Q282" s="19"/>
    </row>
    <row r="283" spans="1:17" ht="17.649999999999999">
      <c r="A283" s="14">
        <v>278</v>
      </c>
      <c r="B283" s="15" t="s">
        <v>97</v>
      </c>
      <c r="C283" s="15" t="s">
        <v>710</v>
      </c>
      <c r="D283" s="16">
        <v>9007612.1509000007</v>
      </c>
      <c r="E283" s="16">
        <v>2042032.2588</v>
      </c>
      <c r="F283" s="17">
        <f t="shared" si="4"/>
        <v>11049644.409700001</v>
      </c>
      <c r="G283" s="18"/>
      <c r="H283" s="18"/>
      <c r="I283" s="19"/>
      <c r="J283" s="19"/>
      <c r="K283" s="19"/>
      <c r="L283" s="19"/>
      <c r="M283" s="18"/>
      <c r="N283" s="18"/>
      <c r="O283" s="19"/>
      <c r="P283" s="19"/>
      <c r="Q283" s="19"/>
    </row>
    <row r="284" spans="1:17" ht="17.649999999999999">
      <c r="A284" s="14">
        <v>279</v>
      </c>
      <c r="B284" s="15" t="s">
        <v>97</v>
      </c>
      <c r="C284" s="15" t="s">
        <v>712</v>
      </c>
      <c r="D284" s="16">
        <v>9815008.9113999996</v>
      </c>
      <c r="E284" s="16">
        <v>2225069.6946</v>
      </c>
      <c r="F284" s="17">
        <f t="shared" si="4"/>
        <v>12040078.605999999</v>
      </c>
      <c r="G284" s="18"/>
      <c r="H284" s="18"/>
      <c r="I284" s="19"/>
      <c r="J284" s="19"/>
      <c r="K284" s="19"/>
      <c r="L284" s="19"/>
      <c r="M284" s="18"/>
      <c r="N284" s="18"/>
      <c r="O284" s="19"/>
      <c r="P284" s="19"/>
      <c r="Q284" s="19"/>
    </row>
    <row r="285" spans="1:17" ht="17.649999999999999">
      <c r="A285" s="14">
        <v>280</v>
      </c>
      <c r="B285" s="15" t="s">
        <v>97</v>
      </c>
      <c r="C285" s="15" t="s">
        <v>714</v>
      </c>
      <c r="D285" s="16">
        <v>9546439.4277999997</v>
      </c>
      <c r="E285" s="16">
        <v>2164184.7963999999</v>
      </c>
      <c r="F285" s="17">
        <f t="shared" si="4"/>
        <v>11710624.224199999</v>
      </c>
      <c r="G285" s="18"/>
      <c r="H285" s="18"/>
      <c r="I285" s="19"/>
      <c r="J285" s="19"/>
      <c r="K285" s="19"/>
      <c r="L285" s="19"/>
      <c r="M285" s="18"/>
      <c r="N285" s="18"/>
      <c r="O285" s="19"/>
      <c r="P285" s="19"/>
      <c r="Q285" s="19"/>
    </row>
    <row r="286" spans="1:17" ht="17.649999999999999">
      <c r="A286" s="14">
        <v>281</v>
      </c>
      <c r="B286" s="15" t="s">
        <v>97</v>
      </c>
      <c r="C286" s="15" t="s">
        <v>97</v>
      </c>
      <c r="D286" s="16">
        <v>10394859.862</v>
      </c>
      <c r="E286" s="16">
        <v>2356522.3289999999</v>
      </c>
      <c r="F286" s="17">
        <f t="shared" si="4"/>
        <v>12751382.191</v>
      </c>
      <c r="G286" s="18"/>
      <c r="H286" s="18"/>
      <c r="I286" s="19"/>
      <c r="J286" s="19"/>
      <c r="K286" s="19"/>
      <c r="L286" s="19"/>
      <c r="M286" s="18"/>
      <c r="N286" s="18"/>
      <c r="O286" s="19"/>
      <c r="P286" s="19"/>
      <c r="Q286" s="19"/>
    </row>
    <row r="287" spans="1:17" ht="17.649999999999999">
      <c r="A287" s="14">
        <v>282</v>
      </c>
      <c r="B287" s="15" t="s">
        <v>97</v>
      </c>
      <c r="C287" s="15" t="s">
        <v>717</v>
      </c>
      <c r="D287" s="16">
        <v>8150530.6920999996</v>
      </c>
      <c r="E287" s="16">
        <v>1847731.2656</v>
      </c>
      <c r="F287" s="17">
        <f t="shared" si="4"/>
        <v>9998261.9576999992</v>
      </c>
      <c r="G287" s="18"/>
      <c r="H287" s="18"/>
      <c r="I287" s="19"/>
      <c r="J287" s="19"/>
      <c r="K287" s="19"/>
      <c r="L287" s="19"/>
      <c r="M287" s="18"/>
      <c r="N287" s="18"/>
      <c r="O287" s="19"/>
      <c r="P287" s="19"/>
      <c r="Q287" s="19"/>
    </row>
    <row r="288" spans="1:17" ht="17.649999999999999">
      <c r="A288" s="14">
        <v>283</v>
      </c>
      <c r="B288" s="15" t="s">
        <v>97</v>
      </c>
      <c r="C288" s="15" t="s">
        <v>719</v>
      </c>
      <c r="D288" s="16">
        <v>8742945.5069999993</v>
      </c>
      <c r="E288" s="16">
        <v>1982032.1372</v>
      </c>
      <c r="F288" s="17">
        <f t="shared" si="4"/>
        <v>10724977.644199999</v>
      </c>
      <c r="G288" s="18"/>
      <c r="H288" s="18"/>
      <c r="I288" s="19"/>
      <c r="J288" s="19"/>
      <c r="K288" s="19"/>
      <c r="L288" s="19"/>
      <c r="M288" s="18"/>
      <c r="N288" s="18"/>
      <c r="O288" s="19"/>
      <c r="P288" s="19"/>
      <c r="Q288" s="19"/>
    </row>
    <row r="289" spans="1:17" ht="17.649999999999999">
      <c r="A289" s="14">
        <v>284</v>
      </c>
      <c r="B289" s="15" t="s">
        <v>97</v>
      </c>
      <c r="C289" s="15" t="s">
        <v>721</v>
      </c>
      <c r="D289" s="16">
        <v>7970790.6726000002</v>
      </c>
      <c r="E289" s="16">
        <v>1806984.0718</v>
      </c>
      <c r="F289" s="17">
        <f t="shared" si="4"/>
        <v>9777774.7444000002</v>
      </c>
      <c r="G289" s="18"/>
      <c r="H289" s="18"/>
      <c r="I289" s="19"/>
      <c r="J289" s="19"/>
      <c r="K289" s="19"/>
      <c r="L289" s="19"/>
      <c r="M289" s="18"/>
      <c r="N289" s="18"/>
      <c r="O289" s="19"/>
      <c r="P289" s="19"/>
      <c r="Q289" s="19"/>
    </row>
    <row r="290" spans="1:17" ht="17.649999999999999">
      <c r="A290" s="14">
        <v>285</v>
      </c>
      <c r="B290" s="15" t="s">
        <v>97</v>
      </c>
      <c r="C290" s="15" t="s">
        <v>723</v>
      </c>
      <c r="D290" s="16">
        <v>7559285.9007999999</v>
      </c>
      <c r="E290" s="16">
        <v>1713695.6392999999</v>
      </c>
      <c r="F290" s="17">
        <f t="shared" si="4"/>
        <v>9272981.5401000008</v>
      </c>
      <c r="G290" s="18"/>
      <c r="H290" s="18"/>
      <c r="I290" s="19"/>
      <c r="J290" s="19"/>
      <c r="K290" s="19"/>
      <c r="L290" s="19"/>
      <c r="M290" s="18"/>
      <c r="N290" s="18"/>
      <c r="O290" s="19"/>
      <c r="P290" s="19"/>
      <c r="Q290" s="19"/>
    </row>
    <row r="291" spans="1:17" ht="17.649999999999999">
      <c r="A291" s="14">
        <v>286</v>
      </c>
      <c r="B291" s="15" t="s">
        <v>97</v>
      </c>
      <c r="C291" s="15" t="s">
        <v>725</v>
      </c>
      <c r="D291" s="16">
        <v>10317199.309599999</v>
      </c>
      <c r="E291" s="16">
        <v>2338916.625</v>
      </c>
      <c r="F291" s="17">
        <f t="shared" si="4"/>
        <v>12656115.934599999</v>
      </c>
      <c r="G291" s="18"/>
      <c r="H291" s="18"/>
      <c r="I291" s="19"/>
      <c r="J291" s="19"/>
      <c r="K291" s="19"/>
      <c r="L291" s="19"/>
      <c r="M291" s="18"/>
      <c r="N291" s="18"/>
      <c r="O291" s="19"/>
      <c r="P291" s="19"/>
      <c r="Q291" s="19"/>
    </row>
    <row r="292" spans="1:17" ht="17.649999999999999">
      <c r="A292" s="14">
        <v>287</v>
      </c>
      <c r="B292" s="15" t="s">
        <v>98</v>
      </c>
      <c r="C292" s="15" t="s">
        <v>730</v>
      </c>
      <c r="D292" s="16">
        <v>8064915.2385999998</v>
      </c>
      <c r="E292" s="16">
        <v>1828322.1797</v>
      </c>
      <c r="F292" s="17">
        <f t="shared" si="4"/>
        <v>9893237.4182999991</v>
      </c>
      <c r="G292" s="18"/>
      <c r="H292" s="18"/>
      <c r="I292" s="19"/>
      <c r="J292" s="19"/>
      <c r="K292" s="19"/>
      <c r="L292" s="19"/>
      <c r="M292" s="18"/>
      <c r="N292" s="18"/>
      <c r="O292" s="19"/>
      <c r="P292" s="19"/>
      <c r="Q292" s="19"/>
    </row>
    <row r="293" spans="1:17" ht="17.649999999999999">
      <c r="A293" s="14">
        <v>288</v>
      </c>
      <c r="B293" s="15" t="s">
        <v>98</v>
      </c>
      <c r="C293" s="15" t="s">
        <v>732</v>
      </c>
      <c r="D293" s="16">
        <v>7589491.7627999997</v>
      </c>
      <c r="E293" s="16">
        <v>1720543.3303</v>
      </c>
      <c r="F293" s="17">
        <f t="shared" si="4"/>
        <v>9310035.0931000002</v>
      </c>
      <c r="G293" s="18"/>
      <c r="H293" s="18"/>
      <c r="I293" s="19"/>
      <c r="J293" s="19"/>
      <c r="K293" s="19"/>
      <c r="L293" s="19"/>
      <c r="M293" s="18"/>
      <c r="N293" s="18"/>
      <c r="O293" s="19"/>
      <c r="P293" s="19"/>
      <c r="Q293" s="19"/>
    </row>
    <row r="294" spans="1:17" ht="17.649999999999999">
      <c r="A294" s="14">
        <v>289</v>
      </c>
      <c r="B294" s="15" t="s">
        <v>98</v>
      </c>
      <c r="C294" s="15" t="s">
        <v>734</v>
      </c>
      <c r="D294" s="16">
        <v>6972386.9831999997</v>
      </c>
      <c r="E294" s="16">
        <v>1580645.2256</v>
      </c>
      <c r="F294" s="17">
        <f t="shared" si="4"/>
        <v>8553032.2087999992</v>
      </c>
      <c r="G294" s="18"/>
      <c r="H294" s="18"/>
      <c r="I294" s="19"/>
      <c r="J294" s="19"/>
      <c r="K294" s="19"/>
      <c r="L294" s="19"/>
      <c r="M294" s="18"/>
      <c r="N294" s="18"/>
      <c r="O294" s="19"/>
      <c r="P294" s="19"/>
      <c r="Q294" s="19"/>
    </row>
    <row r="295" spans="1:17" ht="35.25">
      <c r="A295" s="14">
        <v>290</v>
      </c>
      <c r="B295" s="15" t="s">
        <v>98</v>
      </c>
      <c r="C295" s="15" t="s">
        <v>736</v>
      </c>
      <c r="D295" s="16">
        <v>7415671.4156999998</v>
      </c>
      <c r="E295" s="16">
        <v>1681138.1305</v>
      </c>
      <c r="F295" s="17">
        <f t="shared" si="4"/>
        <v>9096809.5461999997</v>
      </c>
      <c r="G295" s="18"/>
      <c r="H295" s="18"/>
      <c r="I295" s="19"/>
      <c r="J295" s="19"/>
      <c r="K295" s="19"/>
      <c r="L295" s="19"/>
      <c r="M295" s="18"/>
      <c r="N295" s="18"/>
      <c r="O295" s="19"/>
      <c r="P295" s="19"/>
      <c r="Q295" s="19"/>
    </row>
    <row r="296" spans="1:17" ht="17.649999999999999">
      <c r="A296" s="14">
        <v>291</v>
      </c>
      <c r="B296" s="15" t="s">
        <v>98</v>
      </c>
      <c r="C296" s="15" t="s">
        <v>738</v>
      </c>
      <c r="D296" s="16">
        <v>7951871.2465000004</v>
      </c>
      <c r="E296" s="16">
        <v>1802695.0241</v>
      </c>
      <c r="F296" s="17">
        <f t="shared" si="4"/>
        <v>9754566.2706000004</v>
      </c>
      <c r="G296" s="18"/>
      <c r="H296" s="18"/>
      <c r="I296" s="19"/>
      <c r="J296" s="19"/>
      <c r="K296" s="19"/>
      <c r="L296" s="19"/>
      <c r="M296" s="18"/>
      <c r="N296" s="18"/>
      <c r="O296" s="19"/>
      <c r="P296" s="19"/>
      <c r="Q296" s="19"/>
    </row>
    <row r="297" spans="1:17" ht="17.649999999999999">
      <c r="A297" s="14">
        <v>292</v>
      </c>
      <c r="B297" s="15" t="s">
        <v>98</v>
      </c>
      <c r="C297" s="15" t="s">
        <v>740</v>
      </c>
      <c r="D297" s="16">
        <v>7978497.8744999999</v>
      </c>
      <c r="E297" s="16">
        <v>1808731.3001000001</v>
      </c>
      <c r="F297" s="17">
        <f t="shared" si="4"/>
        <v>9787229.1745999996</v>
      </c>
      <c r="G297" s="18"/>
      <c r="H297" s="18"/>
      <c r="I297" s="19"/>
      <c r="J297" s="19"/>
      <c r="K297" s="19"/>
      <c r="L297" s="19"/>
      <c r="M297" s="18"/>
      <c r="N297" s="18"/>
      <c r="O297" s="19"/>
      <c r="P297" s="19"/>
      <c r="Q297" s="19"/>
    </row>
    <row r="298" spans="1:17" ht="17.649999999999999">
      <c r="A298" s="14">
        <v>293</v>
      </c>
      <c r="B298" s="15" t="s">
        <v>98</v>
      </c>
      <c r="C298" s="15" t="s">
        <v>742</v>
      </c>
      <c r="D298" s="16">
        <v>7141176.4003999997</v>
      </c>
      <c r="E298" s="16">
        <v>1618909.9099000001</v>
      </c>
      <c r="F298" s="17">
        <f t="shared" si="4"/>
        <v>8760086.3103</v>
      </c>
      <c r="G298" s="18"/>
      <c r="H298" s="18"/>
      <c r="I298" s="19"/>
      <c r="J298" s="19"/>
      <c r="K298" s="19"/>
      <c r="L298" s="19"/>
      <c r="M298" s="18"/>
      <c r="N298" s="18"/>
      <c r="O298" s="19"/>
      <c r="P298" s="19"/>
      <c r="Q298" s="19"/>
    </row>
    <row r="299" spans="1:17" ht="17.649999999999999">
      <c r="A299" s="14">
        <v>294</v>
      </c>
      <c r="B299" s="15" t="s">
        <v>98</v>
      </c>
      <c r="C299" s="15" t="s">
        <v>744</v>
      </c>
      <c r="D299" s="16">
        <v>7563984.8136999998</v>
      </c>
      <c r="E299" s="16">
        <v>1714760.8862999999</v>
      </c>
      <c r="F299" s="17">
        <f t="shared" si="4"/>
        <v>9278745.6999999993</v>
      </c>
      <c r="G299" s="18"/>
      <c r="H299" s="18"/>
      <c r="I299" s="19"/>
      <c r="J299" s="19"/>
      <c r="K299" s="19"/>
      <c r="L299" s="19"/>
      <c r="M299" s="18"/>
      <c r="N299" s="18"/>
      <c r="O299" s="19"/>
      <c r="P299" s="19"/>
      <c r="Q299" s="19"/>
    </row>
    <row r="300" spans="1:17" ht="17.649999999999999">
      <c r="A300" s="14">
        <v>295</v>
      </c>
      <c r="B300" s="15" t="s">
        <v>98</v>
      </c>
      <c r="C300" s="15" t="s">
        <v>746</v>
      </c>
      <c r="D300" s="16">
        <v>8510094.6699999999</v>
      </c>
      <c r="E300" s="16">
        <v>1929244.6823</v>
      </c>
      <c r="F300" s="17">
        <f t="shared" si="4"/>
        <v>10439339.352299999</v>
      </c>
      <c r="G300" s="18"/>
      <c r="H300" s="18"/>
      <c r="I300" s="19"/>
      <c r="J300" s="19"/>
      <c r="K300" s="19"/>
      <c r="L300" s="19"/>
      <c r="M300" s="18"/>
      <c r="N300" s="18"/>
      <c r="O300" s="19"/>
      <c r="P300" s="19"/>
      <c r="Q300" s="19"/>
    </row>
    <row r="301" spans="1:17" ht="17.649999999999999">
      <c r="A301" s="14">
        <v>296</v>
      </c>
      <c r="B301" s="15" t="s">
        <v>98</v>
      </c>
      <c r="C301" s="15" t="s">
        <v>748</v>
      </c>
      <c r="D301" s="16">
        <v>7521732.6489000004</v>
      </c>
      <c r="E301" s="16">
        <v>1705182.2896</v>
      </c>
      <c r="F301" s="17">
        <f t="shared" si="4"/>
        <v>9226914.9385000002</v>
      </c>
      <c r="G301" s="18"/>
      <c r="H301" s="18"/>
      <c r="I301" s="19"/>
      <c r="J301" s="19"/>
      <c r="K301" s="19"/>
      <c r="L301" s="19"/>
      <c r="M301" s="18"/>
      <c r="N301" s="18"/>
      <c r="O301" s="19"/>
      <c r="P301" s="19"/>
      <c r="Q301" s="19"/>
    </row>
    <row r="302" spans="1:17" ht="17.649999999999999">
      <c r="A302" s="14">
        <v>297</v>
      </c>
      <c r="B302" s="15" t="s">
        <v>98</v>
      </c>
      <c r="C302" s="15" t="s">
        <v>750</v>
      </c>
      <c r="D302" s="16">
        <v>9277741.5391000006</v>
      </c>
      <c r="E302" s="16">
        <v>2103270.7886000001</v>
      </c>
      <c r="F302" s="17">
        <f t="shared" si="4"/>
        <v>11381012.3277</v>
      </c>
      <c r="G302" s="18"/>
      <c r="H302" s="18"/>
      <c r="I302" s="19"/>
      <c r="J302" s="19"/>
      <c r="K302" s="19"/>
      <c r="L302" s="19"/>
      <c r="M302" s="18"/>
      <c r="N302" s="18"/>
      <c r="O302" s="19"/>
      <c r="P302" s="19"/>
      <c r="Q302" s="19"/>
    </row>
    <row r="303" spans="1:17" ht="17.649999999999999">
      <c r="A303" s="14">
        <v>298</v>
      </c>
      <c r="B303" s="15" t="s">
        <v>98</v>
      </c>
      <c r="C303" s="15" t="s">
        <v>752</v>
      </c>
      <c r="D303" s="16">
        <v>7879543.0528999995</v>
      </c>
      <c r="E303" s="16">
        <v>1786298.1697</v>
      </c>
      <c r="F303" s="17">
        <f t="shared" si="4"/>
        <v>9665841.2226</v>
      </c>
      <c r="G303" s="18"/>
      <c r="H303" s="18"/>
      <c r="I303" s="19"/>
      <c r="J303" s="19"/>
      <c r="K303" s="19"/>
      <c r="L303" s="19"/>
      <c r="M303" s="18"/>
      <c r="N303" s="18"/>
      <c r="O303" s="19"/>
      <c r="P303" s="19"/>
      <c r="Q303" s="19"/>
    </row>
    <row r="304" spans="1:17" ht="17.649999999999999">
      <c r="A304" s="14">
        <v>299</v>
      </c>
      <c r="B304" s="15" t="s">
        <v>98</v>
      </c>
      <c r="C304" s="15" t="s">
        <v>754</v>
      </c>
      <c r="D304" s="16">
        <v>7118175.1813000003</v>
      </c>
      <c r="E304" s="16">
        <v>1613695.5167</v>
      </c>
      <c r="F304" s="17">
        <f t="shared" si="4"/>
        <v>8731870.6980000008</v>
      </c>
      <c r="G304" s="18"/>
      <c r="H304" s="18"/>
      <c r="I304" s="19"/>
      <c r="J304" s="19"/>
      <c r="K304" s="19"/>
      <c r="L304" s="19"/>
      <c r="M304" s="18"/>
      <c r="N304" s="18"/>
      <c r="O304" s="19"/>
      <c r="P304" s="19"/>
      <c r="Q304" s="19"/>
    </row>
    <row r="305" spans="1:17" ht="17.649999999999999">
      <c r="A305" s="14">
        <v>300</v>
      </c>
      <c r="B305" s="15" t="s">
        <v>98</v>
      </c>
      <c r="C305" s="15" t="s">
        <v>756</v>
      </c>
      <c r="D305" s="16">
        <v>6927143.8765000002</v>
      </c>
      <c r="E305" s="16">
        <v>1570388.5803</v>
      </c>
      <c r="F305" s="17">
        <f t="shared" si="4"/>
        <v>8497532.4568000007</v>
      </c>
      <c r="G305" s="18"/>
      <c r="H305" s="18"/>
      <c r="I305" s="19"/>
      <c r="J305" s="19"/>
      <c r="K305" s="19"/>
      <c r="L305" s="19"/>
      <c r="M305" s="18"/>
      <c r="N305" s="18"/>
      <c r="O305" s="19"/>
      <c r="P305" s="19"/>
      <c r="Q305" s="19"/>
    </row>
    <row r="306" spans="1:17" ht="17.649999999999999">
      <c r="A306" s="14">
        <v>301</v>
      </c>
      <c r="B306" s="15" t="s">
        <v>98</v>
      </c>
      <c r="C306" s="15" t="s">
        <v>758</v>
      </c>
      <c r="D306" s="16">
        <v>6170987.1308000004</v>
      </c>
      <c r="E306" s="16">
        <v>1398967.2933</v>
      </c>
      <c r="F306" s="17">
        <f t="shared" si="4"/>
        <v>7569954.4241000004</v>
      </c>
      <c r="G306" s="18"/>
      <c r="H306" s="18"/>
      <c r="I306" s="19"/>
      <c r="J306" s="19"/>
      <c r="K306" s="19"/>
      <c r="L306" s="19"/>
      <c r="M306" s="18"/>
      <c r="N306" s="18"/>
      <c r="O306" s="19"/>
      <c r="P306" s="19"/>
      <c r="Q306" s="19"/>
    </row>
    <row r="307" spans="1:17" ht="17.649999999999999">
      <c r="A307" s="14">
        <v>302</v>
      </c>
      <c r="B307" s="15" t="s">
        <v>98</v>
      </c>
      <c r="C307" s="15" t="s">
        <v>760</v>
      </c>
      <c r="D307" s="16">
        <v>6689269.4538000003</v>
      </c>
      <c r="E307" s="16">
        <v>1516462.2748</v>
      </c>
      <c r="F307" s="17">
        <f t="shared" si="4"/>
        <v>8205731.7286</v>
      </c>
      <c r="G307" s="18"/>
      <c r="H307" s="18"/>
      <c r="I307" s="19"/>
      <c r="J307" s="19"/>
      <c r="K307" s="19"/>
      <c r="L307" s="19"/>
      <c r="M307" s="18"/>
      <c r="N307" s="18"/>
      <c r="O307" s="19"/>
      <c r="P307" s="19"/>
      <c r="Q307" s="19"/>
    </row>
    <row r="308" spans="1:17" ht="17.649999999999999">
      <c r="A308" s="14">
        <v>303</v>
      </c>
      <c r="B308" s="15" t="s">
        <v>98</v>
      </c>
      <c r="C308" s="15" t="s">
        <v>762</v>
      </c>
      <c r="D308" s="16">
        <v>7852962.3927999996</v>
      </c>
      <c r="E308" s="16">
        <v>1780272.3147</v>
      </c>
      <c r="F308" s="17">
        <f t="shared" si="4"/>
        <v>9633234.7074999996</v>
      </c>
      <c r="G308" s="18"/>
      <c r="H308" s="18"/>
      <c r="I308" s="19"/>
      <c r="J308" s="19"/>
      <c r="K308" s="19"/>
      <c r="L308" s="19"/>
      <c r="M308" s="18"/>
      <c r="N308" s="18"/>
      <c r="O308" s="19"/>
      <c r="P308" s="19"/>
      <c r="Q308" s="19"/>
    </row>
    <row r="309" spans="1:17" ht="17.649999999999999">
      <c r="A309" s="14">
        <v>304</v>
      </c>
      <c r="B309" s="15" t="s">
        <v>98</v>
      </c>
      <c r="C309" s="15" t="s">
        <v>764</v>
      </c>
      <c r="D309" s="16">
        <v>8499907.727</v>
      </c>
      <c r="E309" s="16">
        <v>1926935.2948</v>
      </c>
      <c r="F309" s="17">
        <f t="shared" si="4"/>
        <v>10426843.0218</v>
      </c>
      <c r="G309" s="18"/>
      <c r="H309" s="18"/>
      <c r="I309" s="19"/>
      <c r="J309" s="19"/>
      <c r="K309" s="19"/>
      <c r="L309" s="19"/>
      <c r="M309" s="18"/>
      <c r="N309" s="18"/>
      <c r="O309" s="19"/>
      <c r="P309" s="19"/>
      <c r="Q309" s="19"/>
    </row>
    <row r="310" spans="1:17" ht="17.649999999999999">
      <c r="A310" s="14">
        <v>305</v>
      </c>
      <c r="B310" s="15" t="s">
        <v>98</v>
      </c>
      <c r="C310" s="15" t="s">
        <v>766</v>
      </c>
      <c r="D310" s="16">
        <v>7447162.9402999999</v>
      </c>
      <c r="E310" s="16">
        <v>1688277.2822</v>
      </c>
      <c r="F310" s="17">
        <f t="shared" si="4"/>
        <v>9135440.2225000001</v>
      </c>
      <c r="G310" s="18"/>
      <c r="H310" s="18"/>
      <c r="I310" s="19"/>
      <c r="J310" s="19"/>
      <c r="K310" s="19"/>
      <c r="L310" s="19"/>
      <c r="M310" s="18"/>
      <c r="N310" s="18"/>
      <c r="O310" s="19"/>
      <c r="P310" s="19"/>
      <c r="Q310" s="19"/>
    </row>
    <row r="311" spans="1:17" ht="17.649999999999999">
      <c r="A311" s="14">
        <v>306</v>
      </c>
      <c r="B311" s="15" t="s">
        <v>98</v>
      </c>
      <c r="C311" s="15" t="s">
        <v>768</v>
      </c>
      <c r="D311" s="16">
        <v>6616024.2230000002</v>
      </c>
      <c r="E311" s="16">
        <v>1499857.5274</v>
      </c>
      <c r="F311" s="17">
        <f t="shared" si="4"/>
        <v>8115881.7504000003</v>
      </c>
      <c r="G311" s="18"/>
      <c r="H311" s="18"/>
      <c r="I311" s="19"/>
      <c r="J311" s="19"/>
      <c r="K311" s="19"/>
      <c r="L311" s="19"/>
      <c r="M311" s="18"/>
      <c r="N311" s="18"/>
      <c r="O311" s="19"/>
      <c r="P311" s="19"/>
      <c r="Q311" s="19"/>
    </row>
    <row r="312" spans="1:17" ht="17.649999999999999">
      <c r="A312" s="14">
        <v>307</v>
      </c>
      <c r="B312" s="15" t="s">
        <v>98</v>
      </c>
      <c r="C312" s="15" t="s">
        <v>770</v>
      </c>
      <c r="D312" s="16">
        <v>7276717.5248999996</v>
      </c>
      <c r="E312" s="16">
        <v>1649637.1819</v>
      </c>
      <c r="F312" s="17">
        <f t="shared" si="4"/>
        <v>8926354.7067999989</v>
      </c>
      <c r="G312" s="18"/>
      <c r="H312" s="18"/>
      <c r="I312" s="19"/>
      <c r="J312" s="19"/>
      <c r="K312" s="19"/>
      <c r="L312" s="19"/>
      <c r="M312" s="18"/>
      <c r="N312" s="18"/>
      <c r="O312" s="19"/>
      <c r="P312" s="19"/>
      <c r="Q312" s="19"/>
    </row>
    <row r="313" spans="1:17" ht="17.649999999999999">
      <c r="A313" s="14">
        <v>308</v>
      </c>
      <c r="B313" s="15" t="s">
        <v>98</v>
      </c>
      <c r="C313" s="15" t="s">
        <v>772</v>
      </c>
      <c r="D313" s="16">
        <v>7078667.9175000004</v>
      </c>
      <c r="E313" s="16">
        <v>1604739.1910999999</v>
      </c>
      <c r="F313" s="17">
        <f t="shared" si="4"/>
        <v>8683407.1085999999</v>
      </c>
      <c r="G313" s="18"/>
      <c r="H313" s="18"/>
      <c r="I313" s="19"/>
      <c r="J313" s="19"/>
      <c r="K313" s="19"/>
      <c r="L313" s="19"/>
      <c r="M313" s="18"/>
      <c r="N313" s="18"/>
      <c r="O313" s="19"/>
      <c r="P313" s="19"/>
      <c r="Q313" s="19"/>
    </row>
    <row r="314" spans="1:17" ht="17.649999999999999">
      <c r="A314" s="14">
        <v>309</v>
      </c>
      <c r="B314" s="15" t="s">
        <v>98</v>
      </c>
      <c r="C314" s="15" t="s">
        <v>774</v>
      </c>
      <c r="D314" s="16">
        <v>6846898.5771000003</v>
      </c>
      <c r="E314" s="16">
        <v>1552196.9123</v>
      </c>
      <c r="F314" s="17">
        <f t="shared" si="4"/>
        <v>8399095.4893999994</v>
      </c>
      <c r="G314" s="18"/>
      <c r="H314" s="18"/>
      <c r="I314" s="19"/>
      <c r="J314" s="19"/>
      <c r="K314" s="19"/>
      <c r="L314" s="19"/>
      <c r="M314" s="18"/>
      <c r="N314" s="18"/>
      <c r="O314" s="19"/>
      <c r="P314" s="19"/>
      <c r="Q314" s="19"/>
    </row>
    <row r="315" spans="1:17" ht="17.649999999999999">
      <c r="A315" s="14">
        <v>310</v>
      </c>
      <c r="B315" s="15" t="s">
        <v>98</v>
      </c>
      <c r="C315" s="15" t="s">
        <v>776</v>
      </c>
      <c r="D315" s="16">
        <v>7083026.4287999999</v>
      </c>
      <c r="E315" s="16">
        <v>1605727.2688</v>
      </c>
      <c r="F315" s="17">
        <f t="shared" si="4"/>
        <v>8688753.6975999996</v>
      </c>
      <c r="G315" s="18"/>
      <c r="H315" s="18"/>
      <c r="I315" s="19"/>
      <c r="J315" s="19"/>
      <c r="K315" s="19"/>
      <c r="L315" s="19"/>
      <c r="M315" s="18"/>
      <c r="N315" s="18"/>
      <c r="O315" s="19"/>
      <c r="P315" s="19"/>
      <c r="Q315" s="19"/>
    </row>
    <row r="316" spans="1:17" ht="35.25">
      <c r="A316" s="14">
        <v>311</v>
      </c>
      <c r="B316" s="15" t="s">
        <v>98</v>
      </c>
      <c r="C316" s="15" t="s">
        <v>778</v>
      </c>
      <c r="D316" s="16">
        <v>7147891.9155000001</v>
      </c>
      <c r="E316" s="16">
        <v>1620432.3221</v>
      </c>
      <c r="F316" s="17">
        <f t="shared" si="4"/>
        <v>8768324.2376000006</v>
      </c>
      <c r="G316" s="18"/>
      <c r="H316" s="18"/>
      <c r="I316" s="19"/>
      <c r="J316" s="19"/>
      <c r="K316" s="19"/>
      <c r="L316" s="19"/>
      <c r="M316" s="18"/>
      <c r="N316" s="18"/>
      <c r="O316" s="19"/>
      <c r="P316" s="19"/>
      <c r="Q316" s="19"/>
    </row>
    <row r="317" spans="1:17" ht="17.649999999999999">
      <c r="A317" s="14">
        <v>312</v>
      </c>
      <c r="B317" s="15" t="s">
        <v>98</v>
      </c>
      <c r="C317" s="15" t="s">
        <v>780</v>
      </c>
      <c r="D317" s="16">
        <v>7604141.9748</v>
      </c>
      <c r="E317" s="16">
        <v>1723864.544</v>
      </c>
      <c r="F317" s="17">
        <f t="shared" si="4"/>
        <v>9328006.5187999997</v>
      </c>
      <c r="G317" s="18"/>
      <c r="H317" s="18"/>
      <c r="I317" s="19"/>
      <c r="J317" s="19"/>
      <c r="K317" s="19"/>
      <c r="L317" s="19"/>
      <c r="M317" s="18"/>
      <c r="N317" s="18"/>
      <c r="O317" s="19"/>
      <c r="P317" s="19"/>
      <c r="Q317" s="19"/>
    </row>
    <row r="318" spans="1:17" ht="17.649999999999999">
      <c r="A318" s="14">
        <v>313</v>
      </c>
      <c r="B318" s="15" t="s">
        <v>98</v>
      </c>
      <c r="C318" s="15" t="s">
        <v>782</v>
      </c>
      <c r="D318" s="16">
        <v>6802548.6781000001</v>
      </c>
      <c r="E318" s="16">
        <v>1542142.7577</v>
      </c>
      <c r="F318" s="17">
        <f t="shared" si="4"/>
        <v>8344691.4358000001</v>
      </c>
      <c r="G318" s="18"/>
      <c r="H318" s="18"/>
      <c r="I318" s="19"/>
      <c r="J318" s="19"/>
      <c r="K318" s="19"/>
      <c r="L318" s="19"/>
      <c r="M318" s="18"/>
      <c r="N318" s="18"/>
      <c r="O318" s="19"/>
      <c r="P318" s="19"/>
      <c r="Q318" s="19"/>
    </row>
    <row r="319" spans="1:17" ht="17.649999999999999">
      <c r="A319" s="14">
        <v>314</v>
      </c>
      <c r="B319" s="15" t="s">
        <v>99</v>
      </c>
      <c r="C319" s="15" t="s">
        <v>787</v>
      </c>
      <c r="D319" s="16">
        <v>7103753.1314000003</v>
      </c>
      <c r="E319" s="16">
        <v>1610426.0275000001</v>
      </c>
      <c r="F319" s="17">
        <f t="shared" si="4"/>
        <v>8714179.1589000002</v>
      </c>
      <c r="G319" s="18"/>
      <c r="H319" s="18"/>
      <c r="I319" s="19"/>
      <c r="J319" s="19"/>
      <c r="K319" s="19"/>
      <c r="L319" s="19"/>
      <c r="M319" s="18"/>
      <c r="N319" s="18"/>
      <c r="O319" s="19"/>
      <c r="P319" s="19"/>
      <c r="Q319" s="19"/>
    </row>
    <row r="320" spans="1:17" ht="17.649999999999999">
      <c r="A320" s="14">
        <v>315</v>
      </c>
      <c r="B320" s="15" t="s">
        <v>99</v>
      </c>
      <c r="C320" s="15" t="s">
        <v>789</v>
      </c>
      <c r="D320" s="16">
        <v>8401688.6317999996</v>
      </c>
      <c r="E320" s="16">
        <v>1904668.9541</v>
      </c>
      <c r="F320" s="17">
        <f t="shared" si="4"/>
        <v>10306357.585899999</v>
      </c>
      <c r="G320" s="18"/>
      <c r="H320" s="18"/>
      <c r="I320" s="19"/>
      <c r="J320" s="19"/>
      <c r="K320" s="19"/>
      <c r="L320" s="19"/>
      <c r="M320" s="18"/>
      <c r="N320" s="18"/>
      <c r="O320" s="19"/>
      <c r="P320" s="19"/>
      <c r="Q320" s="19"/>
    </row>
    <row r="321" spans="1:17" ht="17.649999999999999">
      <c r="A321" s="14">
        <v>316</v>
      </c>
      <c r="B321" s="15" t="s">
        <v>99</v>
      </c>
      <c r="C321" s="15" t="s">
        <v>791</v>
      </c>
      <c r="D321" s="16">
        <v>10426724.7234</v>
      </c>
      <c r="E321" s="16">
        <v>2363746.1162999999</v>
      </c>
      <c r="F321" s="17">
        <f t="shared" si="4"/>
        <v>12790470.8397</v>
      </c>
      <c r="G321" s="18"/>
      <c r="H321" s="18"/>
      <c r="I321" s="19"/>
      <c r="J321" s="19"/>
      <c r="K321" s="19"/>
      <c r="L321" s="19"/>
      <c r="M321" s="18"/>
      <c r="N321" s="18"/>
      <c r="O321" s="19"/>
      <c r="P321" s="19"/>
      <c r="Q321" s="19"/>
    </row>
    <row r="322" spans="1:17" ht="17.649999999999999">
      <c r="A322" s="14">
        <v>317</v>
      </c>
      <c r="B322" s="15" t="s">
        <v>99</v>
      </c>
      <c r="C322" s="15" t="s">
        <v>793</v>
      </c>
      <c r="D322" s="16">
        <v>7886598.3865</v>
      </c>
      <c r="E322" s="16">
        <v>1787897.6189999999</v>
      </c>
      <c r="F322" s="17">
        <f t="shared" si="4"/>
        <v>9674496.0055</v>
      </c>
      <c r="G322" s="18"/>
      <c r="H322" s="18"/>
      <c r="I322" s="19"/>
      <c r="J322" s="19"/>
      <c r="K322" s="19"/>
      <c r="L322" s="19"/>
      <c r="M322" s="18"/>
      <c r="N322" s="18"/>
      <c r="O322" s="19"/>
      <c r="P322" s="19"/>
      <c r="Q322" s="19"/>
    </row>
    <row r="323" spans="1:17" ht="17.649999999999999">
      <c r="A323" s="14">
        <v>318</v>
      </c>
      <c r="B323" s="15" t="s">
        <v>99</v>
      </c>
      <c r="C323" s="15" t="s">
        <v>795</v>
      </c>
      <c r="D323" s="16">
        <v>6767389.3926999997</v>
      </c>
      <c r="E323" s="16">
        <v>1534172.122</v>
      </c>
      <c r="F323" s="17">
        <f t="shared" si="4"/>
        <v>8301561.5146999992</v>
      </c>
      <c r="G323" s="18"/>
      <c r="H323" s="18"/>
      <c r="I323" s="19"/>
      <c r="J323" s="19"/>
      <c r="K323" s="19"/>
      <c r="L323" s="19"/>
      <c r="M323" s="18"/>
      <c r="N323" s="18"/>
      <c r="O323" s="19"/>
      <c r="P323" s="19"/>
      <c r="Q323" s="19"/>
    </row>
    <row r="324" spans="1:17" ht="17.649999999999999">
      <c r="A324" s="14">
        <v>319</v>
      </c>
      <c r="B324" s="15" t="s">
        <v>99</v>
      </c>
      <c r="C324" s="15" t="s">
        <v>797</v>
      </c>
      <c r="D324" s="16">
        <v>6638629.2819999997</v>
      </c>
      <c r="E324" s="16">
        <v>1504982.1107999999</v>
      </c>
      <c r="F324" s="17">
        <f t="shared" si="4"/>
        <v>8143611.3927999996</v>
      </c>
      <c r="G324" s="18"/>
      <c r="H324" s="18"/>
      <c r="I324" s="19"/>
      <c r="J324" s="19"/>
      <c r="K324" s="19"/>
      <c r="L324" s="19"/>
      <c r="M324" s="18"/>
      <c r="N324" s="18"/>
      <c r="O324" s="19"/>
      <c r="P324" s="19"/>
      <c r="Q324" s="19"/>
    </row>
    <row r="325" spans="1:17" ht="17.649999999999999">
      <c r="A325" s="14">
        <v>320</v>
      </c>
      <c r="B325" s="15" t="s">
        <v>99</v>
      </c>
      <c r="C325" s="15" t="s">
        <v>799</v>
      </c>
      <c r="D325" s="16">
        <v>9318812.9569000006</v>
      </c>
      <c r="E325" s="16">
        <v>2112581.7089999998</v>
      </c>
      <c r="F325" s="17">
        <f t="shared" si="4"/>
        <v>11431394.665899999</v>
      </c>
      <c r="G325" s="18"/>
      <c r="H325" s="18"/>
      <c r="I325" s="19"/>
      <c r="J325" s="19"/>
      <c r="K325" s="19"/>
      <c r="L325" s="19"/>
      <c r="M325" s="18"/>
      <c r="N325" s="18"/>
      <c r="O325" s="19"/>
      <c r="P325" s="19"/>
      <c r="Q325" s="19"/>
    </row>
    <row r="326" spans="1:17" ht="17.649999999999999">
      <c r="A326" s="14">
        <v>321</v>
      </c>
      <c r="B326" s="15" t="s">
        <v>99</v>
      </c>
      <c r="C326" s="15" t="s">
        <v>801</v>
      </c>
      <c r="D326" s="16">
        <v>7820990.8650000002</v>
      </c>
      <c r="E326" s="16">
        <v>1773024.3459000001</v>
      </c>
      <c r="F326" s="17">
        <f t="shared" si="4"/>
        <v>9594015.2109000012</v>
      </c>
      <c r="G326" s="18"/>
      <c r="H326" s="18"/>
      <c r="I326" s="19"/>
      <c r="J326" s="19"/>
      <c r="K326" s="19"/>
      <c r="L326" s="19"/>
      <c r="M326" s="18"/>
      <c r="N326" s="18"/>
      <c r="O326" s="19"/>
      <c r="P326" s="19"/>
      <c r="Q326" s="19"/>
    </row>
    <row r="327" spans="1:17" ht="17.649999999999999">
      <c r="A327" s="14">
        <v>322</v>
      </c>
      <c r="B327" s="15" t="s">
        <v>99</v>
      </c>
      <c r="C327" s="15" t="s">
        <v>803</v>
      </c>
      <c r="D327" s="16">
        <v>6850668.9625000004</v>
      </c>
      <c r="E327" s="16">
        <v>1553051.6614000001</v>
      </c>
      <c r="F327" s="17">
        <f t="shared" ref="F327:F390" si="5">D327+E327</f>
        <v>8403720.6239</v>
      </c>
      <c r="G327" s="18"/>
      <c r="H327" s="18"/>
      <c r="I327" s="19"/>
      <c r="J327" s="19"/>
      <c r="K327" s="19"/>
      <c r="L327" s="19"/>
      <c r="M327" s="18"/>
      <c r="N327" s="18"/>
      <c r="O327" s="19"/>
      <c r="P327" s="19"/>
      <c r="Q327" s="19"/>
    </row>
    <row r="328" spans="1:17" ht="17.649999999999999">
      <c r="A328" s="14">
        <v>323</v>
      </c>
      <c r="B328" s="15" t="s">
        <v>99</v>
      </c>
      <c r="C328" s="15" t="s">
        <v>805</v>
      </c>
      <c r="D328" s="16">
        <v>7237358.8625999996</v>
      </c>
      <c r="E328" s="16">
        <v>1640714.5444</v>
      </c>
      <c r="F328" s="17">
        <f t="shared" si="5"/>
        <v>8878073.4069999997</v>
      </c>
      <c r="G328" s="18"/>
      <c r="H328" s="18"/>
      <c r="I328" s="19"/>
      <c r="J328" s="19"/>
      <c r="K328" s="19"/>
      <c r="L328" s="19"/>
      <c r="M328" s="18"/>
      <c r="N328" s="18"/>
      <c r="O328" s="19"/>
      <c r="P328" s="19"/>
      <c r="Q328" s="19"/>
    </row>
    <row r="329" spans="1:17" ht="17.649999999999999">
      <c r="A329" s="14">
        <v>324</v>
      </c>
      <c r="B329" s="15" t="s">
        <v>99</v>
      </c>
      <c r="C329" s="15" t="s">
        <v>807</v>
      </c>
      <c r="D329" s="16">
        <v>10067586.106699999</v>
      </c>
      <c r="E329" s="16">
        <v>2282329.1294</v>
      </c>
      <c r="F329" s="17">
        <f t="shared" si="5"/>
        <v>12349915.236099999</v>
      </c>
      <c r="G329" s="18"/>
      <c r="H329" s="18"/>
      <c r="I329" s="19"/>
      <c r="J329" s="19"/>
      <c r="K329" s="19"/>
      <c r="L329" s="19"/>
      <c r="M329" s="18"/>
      <c r="N329" s="18"/>
      <c r="O329" s="19"/>
      <c r="P329" s="19"/>
      <c r="Q329" s="19"/>
    </row>
    <row r="330" spans="1:17" ht="17.649999999999999">
      <c r="A330" s="14">
        <v>325</v>
      </c>
      <c r="B330" s="15" t="s">
        <v>99</v>
      </c>
      <c r="C330" s="15" t="s">
        <v>809</v>
      </c>
      <c r="D330" s="16">
        <v>7443606.1661999999</v>
      </c>
      <c r="E330" s="16">
        <v>1687470.9589</v>
      </c>
      <c r="F330" s="17">
        <f t="shared" si="5"/>
        <v>9131077.1250999998</v>
      </c>
      <c r="G330" s="18"/>
      <c r="H330" s="18"/>
      <c r="I330" s="19"/>
      <c r="J330" s="19"/>
      <c r="K330" s="19"/>
      <c r="L330" s="19"/>
      <c r="M330" s="18"/>
      <c r="N330" s="18"/>
      <c r="O330" s="19"/>
      <c r="P330" s="19"/>
      <c r="Q330" s="19"/>
    </row>
    <row r="331" spans="1:17" ht="17.649999999999999">
      <c r="A331" s="14">
        <v>326</v>
      </c>
      <c r="B331" s="15" t="s">
        <v>99</v>
      </c>
      <c r="C331" s="15" t="s">
        <v>811</v>
      </c>
      <c r="D331" s="16">
        <v>6283616.9312000005</v>
      </c>
      <c r="E331" s="16">
        <v>1424500.5514</v>
      </c>
      <c r="F331" s="17">
        <f t="shared" si="5"/>
        <v>7708117.4826000007</v>
      </c>
      <c r="G331" s="18"/>
      <c r="H331" s="18"/>
      <c r="I331" s="19"/>
      <c r="J331" s="19"/>
      <c r="K331" s="19"/>
      <c r="L331" s="19"/>
      <c r="M331" s="18"/>
      <c r="N331" s="18"/>
      <c r="O331" s="19"/>
      <c r="P331" s="19"/>
      <c r="Q331" s="19"/>
    </row>
    <row r="332" spans="1:17" ht="17.649999999999999">
      <c r="A332" s="14">
        <v>327</v>
      </c>
      <c r="B332" s="15" t="s">
        <v>99</v>
      </c>
      <c r="C332" s="15" t="s">
        <v>813</v>
      </c>
      <c r="D332" s="16">
        <v>8636630.9589000009</v>
      </c>
      <c r="E332" s="16">
        <v>1957930.5514</v>
      </c>
      <c r="F332" s="17">
        <f t="shared" si="5"/>
        <v>10594561.510300001</v>
      </c>
      <c r="G332" s="18"/>
      <c r="H332" s="18"/>
      <c r="I332" s="19"/>
      <c r="J332" s="19"/>
      <c r="K332" s="19"/>
      <c r="L332" s="19"/>
      <c r="M332" s="18"/>
      <c r="N332" s="18"/>
      <c r="O332" s="19"/>
      <c r="P332" s="19"/>
      <c r="Q332" s="19"/>
    </row>
    <row r="333" spans="1:17" ht="17.649999999999999">
      <c r="A333" s="14">
        <v>328</v>
      </c>
      <c r="B333" s="15" t="s">
        <v>99</v>
      </c>
      <c r="C333" s="15" t="s">
        <v>815</v>
      </c>
      <c r="D333" s="16">
        <v>9713998.8226999994</v>
      </c>
      <c r="E333" s="16">
        <v>2202170.6337000001</v>
      </c>
      <c r="F333" s="17">
        <f t="shared" si="5"/>
        <v>11916169.4564</v>
      </c>
      <c r="G333" s="18"/>
      <c r="H333" s="18"/>
      <c r="I333" s="19"/>
      <c r="J333" s="19"/>
      <c r="K333" s="19"/>
      <c r="L333" s="19"/>
      <c r="M333" s="18"/>
      <c r="N333" s="18"/>
      <c r="O333" s="19"/>
      <c r="P333" s="19"/>
      <c r="Q333" s="19"/>
    </row>
    <row r="334" spans="1:17" ht="17.649999999999999">
      <c r="A334" s="14">
        <v>329</v>
      </c>
      <c r="B334" s="15" t="s">
        <v>99</v>
      </c>
      <c r="C334" s="15" t="s">
        <v>817</v>
      </c>
      <c r="D334" s="16">
        <v>7119425.7394000003</v>
      </c>
      <c r="E334" s="16">
        <v>1613979.0190999999</v>
      </c>
      <c r="F334" s="17">
        <f t="shared" si="5"/>
        <v>8733404.7585000005</v>
      </c>
      <c r="G334" s="18"/>
      <c r="H334" s="18"/>
      <c r="I334" s="19"/>
      <c r="J334" s="19"/>
      <c r="K334" s="19"/>
      <c r="L334" s="19"/>
      <c r="M334" s="18"/>
      <c r="N334" s="18"/>
      <c r="O334" s="19"/>
      <c r="P334" s="19"/>
      <c r="Q334" s="19"/>
    </row>
    <row r="335" spans="1:17" ht="17.649999999999999">
      <c r="A335" s="14">
        <v>330</v>
      </c>
      <c r="B335" s="15" t="s">
        <v>99</v>
      </c>
      <c r="C335" s="15" t="s">
        <v>819</v>
      </c>
      <c r="D335" s="16">
        <v>7533701.9994000001</v>
      </c>
      <c r="E335" s="16">
        <v>1707895.7501000001</v>
      </c>
      <c r="F335" s="17">
        <f t="shared" si="5"/>
        <v>9241597.7495000008</v>
      </c>
      <c r="G335" s="18"/>
      <c r="H335" s="18"/>
      <c r="I335" s="19"/>
      <c r="J335" s="19"/>
      <c r="K335" s="19"/>
      <c r="L335" s="19"/>
      <c r="M335" s="18"/>
      <c r="N335" s="18"/>
      <c r="O335" s="19"/>
      <c r="P335" s="19"/>
      <c r="Q335" s="19"/>
    </row>
    <row r="336" spans="1:17" ht="17.649999999999999">
      <c r="A336" s="14">
        <v>331</v>
      </c>
      <c r="B336" s="15" t="s">
        <v>99</v>
      </c>
      <c r="C336" s="15" t="s">
        <v>821</v>
      </c>
      <c r="D336" s="16">
        <v>7857519.4834000003</v>
      </c>
      <c r="E336" s="16">
        <v>1781305.4103999999</v>
      </c>
      <c r="F336" s="17">
        <f t="shared" si="5"/>
        <v>9638824.8937999997</v>
      </c>
      <c r="G336" s="18"/>
      <c r="H336" s="18"/>
      <c r="I336" s="19"/>
      <c r="J336" s="19"/>
      <c r="K336" s="19"/>
      <c r="L336" s="19"/>
      <c r="M336" s="18"/>
      <c r="N336" s="18"/>
      <c r="O336" s="19"/>
      <c r="P336" s="19"/>
      <c r="Q336" s="19"/>
    </row>
    <row r="337" spans="1:17" ht="17.649999999999999">
      <c r="A337" s="14">
        <v>332</v>
      </c>
      <c r="B337" s="15" t="s">
        <v>99</v>
      </c>
      <c r="C337" s="15" t="s">
        <v>823</v>
      </c>
      <c r="D337" s="16">
        <v>8117969.4708000002</v>
      </c>
      <c r="E337" s="16">
        <v>1840349.6129999999</v>
      </c>
      <c r="F337" s="17">
        <f t="shared" si="5"/>
        <v>9958319.0837999992</v>
      </c>
      <c r="G337" s="18"/>
      <c r="H337" s="18"/>
      <c r="I337" s="19"/>
      <c r="J337" s="19"/>
      <c r="K337" s="19"/>
      <c r="L337" s="19"/>
      <c r="M337" s="18"/>
      <c r="N337" s="18"/>
      <c r="O337" s="19"/>
      <c r="P337" s="19"/>
      <c r="Q337" s="19"/>
    </row>
    <row r="338" spans="1:17" ht="17.649999999999999">
      <c r="A338" s="14">
        <v>333</v>
      </c>
      <c r="B338" s="15" t="s">
        <v>99</v>
      </c>
      <c r="C338" s="15" t="s">
        <v>825</v>
      </c>
      <c r="D338" s="16">
        <v>8188162.9983000001</v>
      </c>
      <c r="E338" s="16">
        <v>1856262.537</v>
      </c>
      <c r="F338" s="17">
        <f t="shared" si="5"/>
        <v>10044425.5353</v>
      </c>
      <c r="G338" s="18"/>
      <c r="H338" s="18"/>
      <c r="I338" s="19"/>
      <c r="J338" s="19"/>
      <c r="K338" s="19"/>
      <c r="L338" s="19"/>
      <c r="M338" s="18"/>
      <c r="N338" s="18"/>
      <c r="O338" s="19"/>
      <c r="P338" s="19"/>
      <c r="Q338" s="19"/>
    </row>
    <row r="339" spans="1:17" ht="17.649999999999999">
      <c r="A339" s="14">
        <v>334</v>
      </c>
      <c r="B339" s="15" t="s">
        <v>99</v>
      </c>
      <c r="C339" s="15" t="s">
        <v>827</v>
      </c>
      <c r="D339" s="16">
        <v>7670666.9128</v>
      </c>
      <c r="E339" s="16">
        <v>1738945.7960999999</v>
      </c>
      <c r="F339" s="17">
        <f t="shared" si="5"/>
        <v>9409612.7089000009</v>
      </c>
      <c r="G339" s="18"/>
      <c r="H339" s="18"/>
      <c r="I339" s="19"/>
      <c r="J339" s="19"/>
      <c r="K339" s="19"/>
      <c r="L339" s="19"/>
      <c r="M339" s="18"/>
      <c r="N339" s="18"/>
      <c r="O339" s="19"/>
      <c r="P339" s="19"/>
      <c r="Q339" s="19"/>
    </row>
    <row r="340" spans="1:17" ht="17.649999999999999">
      <c r="A340" s="14">
        <v>335</v>
      </c>
      <c r="B340" s="15" t="s">
        <v>99</v>
      </c>
      <c r="C340" s="15" t="s">
        <v>829</v>
      </c>
      <c r="D340" s="16">
        <v>7035989.1732999999</v>
      </c>
      <c r="E340" s="16">
        <v>1595063.8885999999</v>
      </c>
      <c r="F340" s="17">
        <f t="shared" si="5"/>
        <v>8631053.0618999992</v>
      </c>
      <c r="G340" s="18"/>
      <c r="H340" s="18"/>
      <c r="I340" s="19"/>
      <c r="J340" s="19"/>
      <c r="K340" s="19"/>
      <c r="L340" s="19"/>
      <c r="M340" s="18"/>
      <c r="N340" s="18"/>
      <c r="O340" s="19"/>
      <c r="P340" s="19"/>
      <c r="Q340" s="19"/>
    </row>
    <row r="341" spans="1:17" ht="17.649999999999999">
      <c r="A341" s="14">
        <v>336</v>
      </c>
      <c r="B341" s="15" t="s">
        <v>99</v>
      </c>
      <c r="C341" s="15" t="s">
        <v>831</v>
      </c>
      <c r="D341" s="16">
        <v>8634696.0671999995</v>
      </c>
      <c r="E341" s="16">
        <v>1957491.9101</v>
      </c>
      <c r="F341" s="17">
        <f t="shared" si="5"/>
        <v>10592187.977299999</v>
      </c>
      <c r="G341" s="18"/>
      <c r="H341" s="18"/>
      <c r="I341" s="19"/>
      <c r="J341" s="19"/>
      <c r="K341" s="19"/>
      <c r="L341" s="19"/>
      <c r="M341" s="18"/>
      <c r="N341" s="18"/>
      <c r="O341" s="19"/>
      <c r="P341" s="19"/>
      <c r="Q341" s="19"/>
    </row>
    <row r="342" spans="1:17" ht="17.649999999999999">
      <c r="A342" s="14">
        <v>337</v>
      </c>
      <c r="B342" s="15" t="s">
        <v>99</v>
      </c>
      <c r="C342" s="15" t="s">
        <v>833</v>
      </c>
      <c r="D342" s="16">
        <v>6385430.7611999996</v>
      </c>
      <c r="E342" s="16">
        <v>1447581.8211000001</v>
      </c>
      <c r="F342" s="17">
        <f t="shared" si="5"/>
        <v>7833012.5822999999</v>
      </c>
      <c r="G342" s="18"/>
      <c r="H342" s="18"/>
      <c r="I342" s="19"/>
      <c r="J342" s="19"/>
      <c r="K342" s="19"/>
      <c r="L342" s="19"/>
      <c r="M342" s="18"/>
      <c r="N342" s="18"/>
      <c r="O342" s="19"/>
      <c r="P342" s="19"/>
      <c r="Q342" s="19"/>
    </row>
    <row r="343" spans="1:17" ht="17.649999999999999">
      <c r="A343" s="14">
        <v>338</v>
      </c>
      <c r="B343" s="15" t="s">
        <v>99</v>
      </c>
      <c r="C343" s="15" t="s">
        <v>835</v>
      </c>
      <c r="D343" s="16">
        <v>8014478.1118000001</v>
      </c>
      <c r="E343" s="16">
        <v>1816888.0462</v>
      </c>
      <c r="F343" s="17">
        <f t="shared" si="5"/>
        <v>9831366.1579999998</v>
      </c>
      <c r="G343" s="18"/>
      <c r="H343" s="18"/>
      <c r="I343" s="19"/>
      <c r="J343" s="19"/>
      <c r="K343" s="19"/>
      <c r="L343" s="19"/>
      <c r="M343" s="18"/>
      <c r="N343" s="18"/>
      <c r="O343" s="19"/>
      <c r="P343" s="19"/>
      <c r="Q343" s="19"/>
    </row>
    <row r="344" spans="1:17" ht="17.649999999999999">
      <c r="A344" s="14">
        <v>339</v>
      </c>
      <c r="B344" s="15" t="s">
        <v>99</v>
      </c>
      <c r="C344" s="15" t="s">
        <v>837</v>
      </c>
      <c r="D344" s="16">
        <v>7289127.2235000003</v>
      </c>
      <c r="E344" s="16">
        <v>1652450.4696</v>
      </c>
      <c r="F344" s="17">
        <f t="shared" si="5"/>
        <v>8941577.6930999998</v>
      </c>
      <c r="G344" s="18"/>
      <c r="H344" s="18"/>
      <c r="I344" s="19"/>
      <c r="J344" s="19"/>
      <c r="K344" s="19"/>
      <c r="L344" s="19"/>
      <c r="M344" s="18"/>
      <c r="N344" s="18"/>
      <c r="O344" s="19"/>
      <c r="P344" s="19"/>
      <c r="Q344" s="19"/>
    </row>
    <row r="345" spans="1:17" ht="17.649999999999999">
      <c r="A345" s="14">
        <v>340</v>
      </c>
      <c r="B345" s="15" t="s">
        <v>99</v>
      </c>
      <c r="C345" s="15" t="s">
        <v>839</v>
      </c>
      <c r="D345" s="16">
        <v>6754284.9493000004</v>
      </c>
      <c r="E345" s="16">
        <v>1531201.3351</v>
      </c>
      <c r="F345" s="17">
        <f t="shared" si="5"/>
        <v>8285486.2844000002</v>
      </c>
      <c r="G345" s="18"/>
      <c r="H345" s="18"/>
      <c r="I345" s="19"/>
      <c r="J345" s="19"/>
      <c r="K345" s="19"/>
      <c r="L345" s="19"/>
      <c r="M345" s="18"/>
      <c r="N345" s="18"/>
      <c r="O345" s="19"/>
      <c r="P345" s="19"/>
      <c r="Q345" s="19"/>
    </row>
    <row r="346" spans="1:17" ht="17.649999999999999">
      <c r="A346" s="14">
        <v>341</v>
      </c>
      <c r="B346" s="15" t="s">
        <v>100</v>
      </c>
      <c r="C346" s="15" t="s">
        <v>844</v>
      </c>
      <c r="D346" s="16">
        <v>12645968.696</v>
      </c>
      <c r="E346" s="16">
        <v>2866850.3470999999</v>
      </c>
      <c r="F346" s="17">
        <f t="shared" si="5"/>
        <v>15512819.043099999</v>
      </c>
      <c r="G346" s="18"/>
      <c r="H346" s="18"/>
      <c r="I346" s="19"/>
      <c r="J346" s="19"/>
      <c r="K346" s="19"/>
      <c r="L346" s="19"/>
      <c r="M346" s="18"/>
      <c r="N346" s="18"/>
      <c r="O346" s="19"/>
      <c r="P346" s="19"/>
      <c r="Q346" s="19"/>
    </row>
    <row r="347" spans="1:17" ht="17.649999999999999">
      <c r="A347" s="14">
        <v>342</v>
      </c>
      <c r="B347" s="15" t="s">
        <v>100</v>
      </c>
      <c r="C347" s="15" t="s">
        <v>846</v>
      </c>
      <c r="D347" s="16">
        <v>12858754.0584</v>
      </c>
      <c r="E347" s="16">
        <v>2915088.9443000001</v>
      </c>
      <c r="F347" s="17">
        <f t="shared" si="5"/>
        <v>15773843.002699999</v>
      </c>
      <c r="G347" s="18"/>
      <c r="H347" s="18"/>
      <c r="I347" s="19"/>
      <c r="J347" s="19"/>
      <c r="K347" s="19"/>
      <c r="L347" s="19"/>
      <c r="M347" s="18"/>
      <c r="N347" s="18"/>
      <c r="O347" s="19"/>
      <c r="P347" s="19"/>
      <c r="Q347" s="19"/>
    </row>
    <row r="348" spans="1:17" ht="17.649999999999999">
      <c r="A348" s="14">
        <v>343</v>
      </c>
      <c r="B348" s="15" t="s">
        <v>100</v>
      </c>
      <c r="C348" s="15" t="s">
        <v>848</v>
      </c>
      <c r="D348" s="16">
        <v>10641645.856899999</v>
      </c>
      <c r="E348" s="16">
        <v>2412468.8944000001</v>
      </c>
      <c r="F348" s="17">
        <f t="shared" si="5"/>
        <v>13054114.7513</v>
      </c>
      <c r="G348" s="18"/>
      <c r="H348" s="18"/>
      <c r="I348" s="19"/>
      <c r="J348" s="19"/>
      <c r="K348" s="19"/>
      <c r="L348" s="19"/>
      <c r="M348" s="18"/>
      <c r="N348" s="18"/>
      <c r="O348" s="19"/>
      <c r="P348" s="19"/>
      <c r="Q348" s="19"/>
    </row>
    <row r="349" spans="1:17" ht="17.649999999999999">
      <c r="A349" s="14">
        <v>344</v>
      </c>
      <c r="B349" s="15" t="s">
        <v>100</v>
      </c>
      <c r="C349" s="15" t="s">
        <v>850</v>
      </c>
      <c r="D349" s="16">
        <v>8193915.0696999999</v>
      </c>
      <c r="E349" s="16">
        <v>1857566.5356999999</v>
      </c>
      <c r="F349" s="17">
        <f t="shared" si="5"/>
        <v>10051481.6054</v>
      </c>
      <c r="G349" s="18"/>
      <c r="H349" s="18"/>
      <c r="I349" s="19"/>
      <c r="J349" s="19"/>
      <c r="K349" s="19"/>
      <c r="L349" s="19"/>
      <c r="M349" s="18"/>
      <c r="N349" s="18"/>
      <c r="O349" s="19"/>
      <c r="P349" s="19"/>
      <c r="Q349" s="19"/>
    </row>
    <row r="350" spans="1:17" ht="17.649999999999999">
      <c r="A350" s="14">
        <v>345</v>
      </c>
      <c r="B350" s="15" t="s">
        <v>100</v>
      </c>
      <c r="C350" s="15" t="s">
        <v>852</v>
      </c>
      <c r="D350" s="16">
        <v>13470426.471999999</v>
      </c>
      <c r="E350" s="16">
        <v>3053755.5276000001</v>
      </c>
      <c r="F350" s="17">
        <f t="shared" si="5"/>
        <v>16524181.999599999</v>
      </c>
      <c r="G350" s="18"/>
      <c r="H350" s="18"/>
      <c r="I350" s="19"/>
      <c r="J350" s="19"/>
      <c r="K350" s="19"/>
      <c r="L350" s="19"/>
      <c r="M350" s="18"/>
      <c r="N350" s="18"/>
      <c r="O350" s="19"/>
      <c r="P350" s="19"/>
      <c r="Q350" s="19"/>
    </row>
    <row r="351" spans="1:17" ht="17.649999999999999">
      <c r="A351" s="14">
        <v>346</v>
      </c>
      <c r="B351" s="15" t="s">
        <v>100</v>
      </c>
      <c r="C351" s="15" t="s">
        <v>854</v>
      </c>
      <c r="D351" s="16">
        <v>9023970.6366000008</v>
      </c>
      <c r="E351" s="16">
        <v>2045740.7394999999</v>
      </c>
      <c r="F351" s="17">
        <f t="shared" si="5"/>
        <v>11069711.3761</v>
      </c>
      <c r="G351" s="18"/>
      <c r="H351" s="18"/>
      <c r="I351" s="19"/>
      <c r="J351" s="19"/>
      <c r="K351" s="19"/>
      <c r="L351" s="19"/>
      <c r="M351" s="18"/>
      <c r="N351" s="18"/>
      <c r="O351" s="19"/>
      <c r="P351" s="19"/>
      <c r="Q351" s="19"/>
    </row>
    <row r="352" spans="1:17" ht="17.649999999999999">
      <c r="A352" s="14">
        <v>347</v>
      </c>
      <c r="B352" s="15" t="s">
        <v>100</v>
      </c>
      <c r="C352" s="15" t="s">
        <v>856</v>
      </c>
      <c r="D352" s="16">
        <v>7868884.6459999997</v>
      </c>
      <c r="E352" s="16">
        <v>1783881.9010999999</v>
      </c>
      <c r="F352" s="17">
        <f t="shared" si="5"/>
        <v>9652766.5471000001</v>
      </c>
      <c r="G352" s="18"/>
      <c r="H352" s="18"/>
      <c r="I352" s="19"/>
      <c r="J352" s="19"/>
      <c r="K352" s="19"/>
      <c r="L352" s="19"/>
      <c r="M352" s="18"/>
      <c r="N352" s="18"/>
      <c r="O352" s="19"/>
      <c r="P352" s="19"/>
      <c r="Q352" s="19"/>
    </row>
    <row r="353" spans="1:17" ht="17.649999999999999">
      <c r="A353" s="14">
        <v>348</v>
      </c>
      <c r="B353" s="15" t="s">
        <v>100</v>
      </c>
      <c r="C353" s="15" t="s">
        <v>858</v>
      </c>
      <c r="D353" s="16">
        <v>10484772.858100001</v>
      </c>
      <c r="E353" s="16">
        <v>2376905.6708999998</v>
      </c>
      <c r="F353" s="17">
        <f t="shared" si="5"/>
        <v>12861678.529000001</v>
      </c>
      <c r="G353" s="18"/>
      <c r="H353" s="18"/>
      <c r="I353" s="19"/>
      <c r="J353" s="19"/>
      <c r="K353" s="19"/>
      <c r="L353" s="19"/>
      <c r="M353" s="18"/>
      <c r="N353" s="18"/>
      <c r="O353" s="19"/>
      <c r="P353" s="19"/>
      <c r="Q353" s="19"/>
    </row>
    <row r="354" spans="1:17" ht="17.649999999999999">
      <c r="A354" s="14">
        <v>349</v>
      </c>
      <c r="B354" s="15" t="s">
        <v>100</v>
      </c>
      <c r="C354" s="15" t="s">
        <v>860</v>
      </c>
      <c r="D354" s="16">
        <v>11565795.112400001</v>
      </c>
      <c r="E354" s="16">
        <v>2621974.2061000001</v>
      </c>
      <c r="F354" s="17">
        <f t="shared" si="5"/>
        <v>14187769.318500001</v>
      </c>
      <c r="G354" s="18"/>
      <c r="H354" s="18"/>
      <c r="I354" s="19"/>
      <c r="J354" s="19"/>
      <c r="K354" s="19"/>
      <c r="L354" s="19"/>
      <c r="M354" s="18"/>
      <c r="N354" s="18"/>
      <c r="O354" s="19"/>
      <c r="P354" s="19"/>
      <c r="Q354" s="19"/>
    </row>
    <row r="355" spans="1:17" ht="17.649999999999999">
      <c r="A355" s="14">
        <v>350</v>
      </c>
      <c r="B355" s="15" t="s">
        <v>100</v>
      </c>
      <c r="C355" s="15" t="s">
        <v>862</v>
      </c>
      <c r="D355" s="16">
        <v>10926216.968699999</v>
      </c>
      <c r="E355" s="16">
        <v>2476981.3735000002</v>
      </c>
      <c r="F355" s="17">
        <f t="shared" si="5"/>
        <v>13403198.3422</v>
      </c>
      <c r="G355" s="18"/>
      <c r="H355" s="18"/>
      <c r="I355" s="19"/>
      <c r="J355" s="19"/>
      <c r="K355" s="19"/>
      <c r="L355" s="19"/>
      <c r="M355" s="18"/>
      <c r="N355" s="18"/>
      <c r="O355" s="19"/>
      <c r="P355" s="19"/>
      <c r="Q355" s="19"/>
    </row>
    <row r="356" spans="1:17" ht="17.649999999999999">
      <c r="A356" s="14">
        <v>351</v>
      </c>
      <c r="B356" s="15" t="s">
        <v>100</v>
      </c>
      <c r="C356" s="15" t="s">
        <v>864</v>
      </c>
      <c r="D356" s="16">
        <v>11665445.7796</v>
      </c>
      <c r="E356" s="16">
        <v>2644565.0852000001</v>
      </c>
      <c r="F356" s="17">
        <f t="shared" si="5"/>
        <v>14310010.864800001</v>
      </c>
      <c r="G356" s="18"/>
      <c r="H356" s="18"/>
      <c r="I356" s="19"/>
      <c r="J356" s="19"/>
      <c r="K356" s="19"/>
      <c r="L356" s="19"/>
      <c r="M356" s="18"/>
      <c r="N356" s="18"/>
      <c r="O356" s="19"/>
      <c r="P356" s="19"/>
      <c r="Q356" s="19"/>
    </row>
    <row r="357" spans="1:17" ht="17.649999999999999">
      <c r="A357" s="14">
        <v>352</v>
      </c>
      <c r="B357" s="15" t="s">
        <v>100</v>
      </c>
      <c r="C357" s="15" t="s">
        <v>866</v>
      </c>
      <c r="D357" s="16">
        <v>10080975.6973</v>
      </c>
      <c r="E357" s="16">
        <v>2285364.5594000001</v>
      </c>
      <c r="F357" s="17">
        <f t="shared" si="5"/>
        <v>12366340.2567</v>
      </c>
      <c r="G357" s="18"/>
      <c r="H357" s="18"/>
      <c r="I357" s="19"/>
      <c r="J357" s="19"/>
      <c r="K357" s="19"/>
      <c r="L357" s="19"/>
      <c r="M357" s="18"/>
      <c r="N357" s="18"/>
      <c r="O357" s="19"/>
      <c r="P357" s="19"/>
      <c r="Q357" s="19"/>
    </row>
    <row r="358" spans="1:17" ht="17.649999999999999">
      <c r="A358" s="14">
        <v>353</v>
      </c>
      <c r="B358" s="15" t="s">
        <v>100</v>
      </c>
      <c r="C358" s="15" t="s">
        <v>868</v>
      </c>
      <c r="D358" s="16">
        <v>8733831.7078000009</v>
      </c>
      <c r="E358" s="16">
        <v>1979966.0323000001</v>
      </c>
      <c r="F358" s="17">
        <f t="shared" si="5"/>
        <v>10713797.7401</v>
      </c>
      <c r="G358" s="18"/>
      <c r="H358" s="18"/>
      <c r="I358" s="19"/>
      <c r="J358" s="19"/>
      <c r="K358" s="19"/>
      <c r="L358" s="19"/>
      <c r="M358" s="18"/>
      <c r="N358" s="18"/>
      <c r="O358" s="19"/>
      <c r="P358" s="19"/>
      <c r="Q358" s="19"/>
    </row>
    <row r="359" spans="1:17" ht="17.649999999999999">
      <c r="A359" s="14">
        <v>354</v>
      </c>
      <c r="B359" s="15" t="s">
        <v>100</v>
      </c>
      <c r="C359" s="15" t="s">
        <v>870</v>
      </c>
      <c r="D359" s="16">
        <v>8992979.9465999994</v>
      </c>
      <c r="E359" s="16">
        <v>2038715.1274000001</v>
      </c>
      <c r="F359" s="17">
        <f t="shared" si="5"/>
        <v>11031695.073999999</v>
      </c>
      <c r="G359" s="18"/>
      <c r="H359" s="18"/>
      <c r="I359" s="19"/>
      <c r="J359" s="19"/>
      <c r="K359" s="19"/>
      <c r="L359" s="19"/>
      <c r="M359" s="18"/>
      <c r="N359" s="18"/>
      <c r="O359" s="19"/>
      <c r="P359" s="19"/>
      <c r="Q359" s="19"/>
    </row>
    <row r="360" spans="1:17" ht="17.649999999999999">
      <c r="A360" s="14">
        <v>355</v>
      </c>
      <c r="B360" s="15" t="s">
        <v>100</v>
      </c>
      <c r="C360" s="15" t="s">
        <v>872</v>
      </c>
      <c r="D360" s="16">
        <v>10410254.646199999</v>
      </c>
      <c r="E360" s="16">
        <v>2360012.3377999999</v>
      </c>
      <c r="F360" s="17">
        <f t="shared" si="5"/>
        <v>12770266.983999999</v>
      </c>
      <c r="G360" s="18"/>
      <c r="H360" s="18"/>
      <c r="I360" s="19"/>
      <c r="J360" s="19"/>
      <c r="K360" s="19"/>
      <c r="L360" s="19"/>
      <c r="M360" s="18"/>
      <c r="N360" s="18"/>
      <c r="O360" s="19"/>
      <c r="P360" s="19"/>
      <c r="Q360" s="19"/>
    </row>
    <row r="361" spans="1:17" ht="17.649999999999999">
      <c r="A361" s="14">
        <v>356</v>
      </c>
      <c r="B361" s="15" t="s">
        <v>100</v>
      </c>
      <c r="C361" s="15" t="s">
        <v>874</v>
      </c>
      <c r="D361" s="16">
        <v>8074542.8062000005</v>
      </c>
      <c r="E361" s="16">
        <v>1830504.7563</v>
      </c>
      <c r="F361" s="17">
        <f t="shared" si="5"/>
        <v>9905047.5625</v>
      </c>
      <c r="G361" s="18"/>
      <c r="H361" s="18"/>
      <c r="I361" s="19"/>
      <c r="J361" s="19"/>
      <c r="K361" s="19"/>
      <c r="L361" s="19"/>
      <c r="M361" s="18"/>
      <c r="N361" s="18"/>
      <c r="O361" s="19"/>
      <c r="P361" s="19"/>
      <c r="Q361" s="19"/>
    </row>
    <row r="362" spans="1:17" ht="17.649999999999999">
      <c r="A362" s="14">
        <v>357</v>
      </c>
      <c r="B362" s="15" t="s">
        <v>100</v>
      </c>
      <c r="C362" s="15" t="s">
        <v>876</v>
      </c>
      <c r="D362" s="16">
        <v>11235104.8991</v>
      </c>
      <c r="E362" s="16">
        <v>2547006.4931000001</v>
      </c>
      <c r="F362" s="17">
        <f t="shared" si="5"/>
        <v>13782111.392200001</v>
      </c>
      <c r="G362" s="18"/>
      <c r="H362" s="18"/>
      <c r="I362" s="19"/>
      <c r="J362" s="19"/>
      <c r="K362" s="19"/>
      <c r="L362" s="19"/>
      <c r="M362" s="18"/>
      <c r="N362" s="18"/>
      <c r="O362" s="19"/>
      <c r="P362" s="19"/>
      <c r="Q362" s="19"/>
    </row>
    <row r="363" spans="1:17" ht="17.649999999999999">
      <c r="A363" s="14">
        <v>358</v>
      </c>
      <c r="B363" s="15" t="s">
        <v>100</v>
      </c>
      <c r="C363" s="15" t="s">
        <v>878</v>
      </c>
      <c r="D363" s="16">
        <v>7556890.1805999996</v>
      </c>
      <c r="E363" s="16">
        <v>1713152.5277</v>
      </c>
      <c r="F363" s="17">
        <f t="shared" si="5"/>
        <v>9270042.7083000001</v>
      </c>
      <c r="G363" s="18"/>
      <c r="H363" s="18"/>
      <c r="I363" s="19"/>
      <c r="J363" s="19"/>
      <c r="K363" s="19"/>
      <c r="L363" s="19"/>
      <c r="M363" s="18"/>
      <c r="N363" s="18"/>
      <c r="O363" s="19"/>
      <c r="P363" s="19"/>
      <c r="Q363" s="19"/>
    </row>
    <row r="364" spans="1:17" ht="17.649999999999999">
      <c r="A364" s="14">
        <v>359</v>
      </c>
      <c r="B364" s="15" t="s">
        <v>100</v>
      </c>
      <c r="C364" s="15" t="s">
        <v>880</v>
      </c>
      <c r="D364" s="16">
        <v>9971306.9547000006</v>
      </c>
      <c r="E364" s="16">
        <v>2260502.5753000001</v>
      </c>
      <c r="F364" s="17">
        <f t="shared" si="5"/>
        <v>12231809.530000001</v>
      </c>
      <c r="G364" s="18"/>
      <c r="H364" s="18"/>
      <c r="I364" s="19"/>
      <c r="J364" s="19"/>
      <c r="K364" s="19"/>
      <c r="L364" s="19"/>
      <c r="M364" s="18"/>
      <c r="N364" s="18"/>
      <c r="O364" s="19"/>
      <c r="P364" s="19"/>
      <c r="Q364" s="19"/>
    </row>
    <row r="365" spans="1:17" ht="17.649999999999999">
      <c r="A365" s="14">
        <v>360</v>
      </c>
      <c r="B365" s="15" t="s">
        <v>100</v>
      </c>
      <c r="C365" s="15" t="s">
        <v>882</v>
      </c>
      <c r="D365" s="16">
        <v>8360213.6308000004</v>
      </c>
      <c r="E365" s="16">
        <v>1895266.5411</v>
      </c>
      <c r="F365" s="17">
        <f t="shared" si="5"/>
        <v>10255480.1719</v>
      </c>
      <c r="G365" s="18"/>
      <c r="H365" s="18"/>
      <c r="I365" s="19"/>
      <c r="J365" s="19"/>
      <c r="K365" s="19"/>
      <c r="L365" s="19"/>
      <c r="M365" s="18"/>
      <c r="N365" s="18"/>
      <c r="O365" s="19"/>
      <c r="P365" s="19"/>
      <c r="Q365" s="19"/>
    </row>
    <row r="366" spans="1:17" ht="17.649999999999999">
      <c r="A366" s="14">
        <v>361</v>
      </c>
      <c r="B366" s="15" t="s">
        <v>100</v>
      </c>
      <c r="C366" s="15" t="s">
        <v>884</v>
      </c>
      <c r="D366" s="16">
        <v>10656222.5976</v>
      </c>
      <c r="E366" s="16">
        <v>2415773.4522000002</v>
      </c>
      <c r="F366" s="17">
        <f t="shared" si="5"/>
        <v>13071996.049800001</v>
      </c>
      <c r="G366" s="18"/>
      <c r="H366" s="18"/>
      <c r="I366" s="19"/>
      <c r="J366" s="19"/>
      <c r="K366" s="19"/>
      <c r="L366" s="19"/>
      <c r="M366" s="18"/>
      <c r="N366" s="18"/>
      <c r="O366" s="19"/>
      <c r="P366" s="19"/>
      <c r="Q366" s="19"/>
    </row>
    <row r="367" spans="1:17" ht="17.649999999999999">
      <c r="A367" s="14">
        <v>362</v>
      </c>
      <c r="B367" s="15" t="s">
        <v>100</v>
      </c>
      <c r="C367" s="15" t="s">
        <v>886</v>
      </c>
      <c r="D367" s="16">
        <v>11922164.732100001</v>
      </c>
      <c r="E367" s="16">
        <v>2702763.4594000001</v>
      </c>
      <c r="F367" s="17">
        <f t="shared" si="5"/>
        <v>14624928.191500001</v>
      </c>
      <c r="G367" s="18"/>
      <c r="H367" s="18"/>
      <c r="I367" s="19"/>
      <c r="J367" s="19"/>
      <c r="K367" s="19"/>
      <c r="L367" s="19"/>
      <c r="M367" s="18"/>
      <c r="N367" s="18"/>
      <c r="O367" s="19"/>
      <c r="P367" s="19"/>
      <c r="Q367" s="19"/>
    </row>
    <row r="368" spans="1:17" ht="17.649999999999999">
      <c r="A368" s="14">
        <v>363</v>
      </c>
      <c r="B368" s="15" t="s">
        <v>100</v>
      </c>
      <c r="C368" s="15" t="s">
        <v>888</v>
      </c>
      <c r="D368" s="16">
        <v>12173560.2368</v>
      </c>
      <c r="E368" s="16">
        <v>2759755.0041</v>
      </c>
      <c r="F368" s="17">
        <f t="shared" si="5"/>
        <v>14933315.240900001</v>
      </c>
      <c r="G368" s="18"/>
      <c r="H368" s="18"/>
      <c r="I368" s="19"/>
      <c r="J368" s="19"/>
      <c r="K368" s="19"/>
      <c r="L368" s="19"/>
      <c r="M368" s="18"/>
      <c r="N368" s="18"/>
      <c r="O368" s="19"/>
      <c r="P368" s="19"/>
      <c r="Q368" s="19"/>
    </row>
    <row r="369" spans="1:17" ht="17.649999999999999">
      <c r="A369" s="14">
        <v>364</v>
      </c>
      <c r="B369" s="15" t="s">
        <v>101</v>
      </c>
      <c r="C369" s="15" t="s">
        <v>892</v>
      </c>
      <c r="D369" s="16">
        <v>7812018.5437000003</v>
      </c>
      <c r="E369" s="16">
        <v>1770990.3141000001</v>
      </c>
      <c r="F369" s="17">
        <f t="shared" si="5"/>
        <v>9583008.8577999994</v>
      </c>
      <c r="G369" s="18"/>
      <c r="H369" s="18"/>
      <c r="I369" s="19"/>
      <c r="J369" s="19"/>
      <c r="K369" s="19"/>
      <c r="L369" s="19"/>
      <c r="M369" s="18"/>
      <c r="N369" s="18"/>
      <c r="O369" s="19"/>
      <c r="P369" s="19"/>
      <c r="Q369" s="19"/>
    </row>
    <row r="370" spans="1:17" ht="17.649999999999999">
      <c r="A370" s="14">
        <v>365</v>
      </c>
      <c r="B370" s="15" t="s">
        <v>101</v>
      </c>
      <c r="C370" s="15" t="s">
        <v>894</v>
      </c>
      <c r="D370" s="16">
        <v>8001560.0253999997</v>
      </c>
      <c r="E370" s="16">
        <v>1813959.5066</v>
      </c>
      <c r="F370" s="17">
        <f t="shared" si="5"/>
        <v>9815519.5319999997</v>
      </c>
      <c r="G370" s="18"/>
      <c r="H370" s="18"/>
      <c r="I370" s="19"/>
      <c r="J370" s="19"/>
      <c r="K370" s="19"/>
      <c r="L370" s="19"/>
      <c r="M370" s="18"/>
      <c r="N370" s="18"/>
      <c r="O370" s="19"/>
      <c r="P370" s="19"/>
      <c r="Q370" s="19"/>
    </row>
    <row r="371" spans="1:17" ht="17.649999999999999">
      <c r="A371" s="14">
        <v>366</v>
      </c>
      <c r="B371" s="15" t="s">
        <v>101</v>
      </c>
      <c r="C371" s="15" t="s">
        <v>896</v>
      </c>
      <c r="D371" s="16">
        <v>7295846.3117000004</v>
      </c>
      <c r="E371" s="16">
        <v>1653973.6917999999</v>
      </c>
      <c r="F371" s="17">
        <f t="shared" si="5"/>
        <v>8949820.0034999996</v>
      </c>
      <c r="G371" s="18"/>
      <c r="H371" s="18"/>
      <c r="I371" s="19"/>
      <c r="J371" s="19"/>
      <c r="K371" s="19"/>
      <c r="L371" s="19"/>
      <c r="M371" s="18"/>
      <c r="N371" s="18"/>
      <c r="O371" s="19"/>
      <c r="P371" s="19"/>
      <c r="Q371" s="19"/>
    </row>
    <row r="372" spans="1:17" ht="17.649999999999999">
      <c r="A372" s="14">
        <v>367</v>
      </c>
      <c r="B372" s="15" t="s">
        <v>101</v>
      </c>
      <c r="C372" s="15" t="s">
        <v>898</v>
      </c>
      <c r="D372" s="16">
        <v>7914984.6028000005</v>
      </c>
      <c r="E372" s="16">
        <v>1794332.7949999999</v>
      </c>
      <c r="F372" s="17">
        <f t="shared" si="5"/>
        <v>9709317.3978000004</v>
      </c>
      <c r="G372" s="18"/>
      <c r="H372" s="18"/>
      <c r="I372" s="19"/>
      <c r="J372" s="19"/>
      <c r="K372" s="19"/>
      <c r="L372" s="19"/>
      <c r="M372" s="18"/>
      <c r="N372" s="18"/>
      <c r="O372" s="19"/>
      <c r="P372" s="19"/>
      <c r="Q372" s="19"/>
    </row>
    <row r="373" spans="1:17" ht="17.649999999999999">
      <c r="A373" s="14">
        <v>368</v>
      </c>
      <c r="B373" s="15" t="s">
        <v>101</v>
      </c>
      <c r="C373" s="15" t="s">
        <v>900</v>
      </c>
      <c r="D373" s="16">
        <v>9593221.8932000007</v>
      </c>
      <c r="E373" s="16">
        <v>2174790.4155000001</v>
      </c>
      <c r="F373" s="17">
        <f t="shared" si="5"/>
        <v>11768012.308700001</v>
      </c>
      <c r="G373" s="18"/>
      <c r="H373" s="18"/>
      <c r="I373" s="19"/>
      <c r="J373" s="19"/>
      <c r="K373" s="19"/>
      <c r="L373" s="19"/>
      <c r="M373" s="18"/>
      <c r="N373" s="18"/>
      <c r="O373" s="19"/>
      <c r="P373" s="19"/>
      <c r="Q373" s="19"/>
    </row>
    <row r="374" spans="1:17" ht="17.649999999999999">
      <c r="A374" s="14">
        <v>369</v>
      </c>
      <c r="B374" s="15" t="s">
        <v>101</v>
      </c>
      <c r="C374" s="15" t="s">
        <v>902</v>
      </c>
      <c r="D374" s="16">
        <v>7642967.0732000005</v>
      </c>
      <c r="E374" s="16">
        <v>1732666.2222</v>
      </c>
      <c r="F374" s="17">
        <f t="shared" si="5"/>
        <v>9375633.2954000011</v>
      </c>
      <c r="G374" s="18"/>
      <c r="H374" s="18"/>
      <c r="I374" s="19"/>
      <c r="J374" s="19"/>
      <c r="K374" s="19"/>
      <c r="L374" s="19"/>
      <c r="M374" s="18"/>
      <c r="N374" s="18"/>
      <c r="O374" s="19"/>
      <c r="P374" s="19"/>
      <c r="Q374" s="19"/>
    </row>
    <row r="375" spans="1:17" ht="17.649999999999999">
      <c r="A375" s="14">
        <v>370</v>
      </c>
      <c r="B375" s="15" t="s">
        <v>101</v>
      </c>
      <c r="C375" s="15" t="s">
        <v>904</v>
      </c>
      <c r="D375" s="16">
        <v>12336580.1778</v>
      </c>
      <c r="E375" s="16">
        <v>2796711.7439000001</v>
      </c>
      <c r="F375" s="17">
        <f t="shared" si="5"/>
        <v>15133291.921700001</v>
      </c>
      <c r="G375" s="18"/>
      <c r="H375" s="18"/>
      <c r="I375" s="19"/>
      <c r="J375" s="19"/>
      <c r="K375" s="19"/>
      <c r="L375" s="19"/>
      <c r="M375" s="18"/>
      <c r="N375" s="18"/>
      <c r="O375" s="19"/>
      <c r="P375" s="19"/>
      <c r="Q375" s="19"/>
    </row>
    <row r="376" spans="1:17" ht="17.649999999999999">
      <c r="A376" s="14">
        <v>371</v>
      </c>
      <c r="B376" s="15" t="s">
        <v>101</v>
      </c>
      <c r="C376" s="15" t="s">
        <v>906</v>
      </c>
      <c r="D376" s="16">
        <v>8405106.8286000006</v>
      </c>
      <c r="E376" s="16">
        <v>1905443.8618999999</v>
      </c>
      <c r="F376" s="17">
        <f t="shared" si="5"/>
        <v>10310550.6905</v>
      </c>
      <c r="G376" s="18"/>
      <c r="H376" s="18"/>
      <c r="I376" s="19"/>
      <c r="J376" s="19"/>
      <c r="K376" s="19"/>
      <c r="L376" s="19"/>
      <c r="M376" s="18"/>
      <c r="N376" s="18"/>
      <c r="O376" s="19"/>
      <c r="P376" s="19"/>
      <c r="Q376" s="19"/>
    </row>
    <row r="377" spans="1:17" ht="17.649999999999999">
      <c r="A377" s="14">
        <v>372</v>
      </c>
      <c r="B377" s="15" t="s">
        <v>101</v>
      </c>
      <c r="C377" s="15" t="s">
        <v>908</v>
      </c>
      <c r="D377" s="16">
        <v>9035163.5774000008</v>
      </c>
      <c r="E377" s="16">
        <v>2048278.1873999999</v>
      </c>
      <c r="F377" s="17">
        <f t="shared" si="5"/>
        <v>11083441.764800001</v>
      </c>
      <c r="G377" s="18"/>
      <c r="H377" s="18"/>
      <c r="I377" s="19"/>
      <c r="J377" s="19"/>
      <c r="K377" s="19"/>
      <c r="L377" s="19"/>
      <c r="M377" s="18"/>
      <c r="N377" s="18"/>
      <c r="O377" s="19"/>
      <c r="P377" s="19"/>
      <c r="Q377" s="19"/>
    </row>
    <row r="378" spans="1:17" ht="17.649999999999999">
      <c r="A378" s="14">
        <v>373</v>
      </c>
      <c r="B378" s="15" t="s">
        <v>101</v>
      </c>
      <c r="C378" s="15" t="s">
        <v>910</v>
      </c>
      <c r="D378" s="16">
        <v>9098443.3033000007</v>
      </c>
      <c r="E378" s="16">
        <v>2062623.7475000001</v>
      </c>
      <c r="F378" s="17">
        <f t="shared" si="5"/>
        <v>11161067.050800001</v>
      </c>
      <c r="G378" s="18"/>
      <c r="H378" s="18"/>
      <c r="I378" s="19"/>
      <c r="J378" s="19"/>
      <c r="K378" s="19"/>
      <c r="L378" s="19"/>
      <c r="M378" s="18"/>
      <c r="N378" s="18"/>
      <c r="O378" s="19"/>
      <c r="P378" s="19"/>
      <c r="Q378" s="19"/>
    </row>
    <row r="379" spans="1:17" ht="17.649999999999999">
      <c r="A379" s="14">
        <v>374</v>
      </c>
      <c r="B379" s="15" t="s">
        <v>101</v>
      </c>
      <c r="C379" s="15" t="s">
        <v>911</v>
      </c>
      <c r="D379" s="16">
        <v>8432999.4859999996</v>
      </c>
      <c r="E379" s="16">
        <v>1911767.1477000001</v>
      </c>
      <c r="F379" s="17">
        <f t="shared" si="5"/>
        <v>10344766.6337</v>
      </c>
      <c r="G379" s="18"/>
      <c r="H379" s="18"/>
      <c r="I379" s="19"/>
      <c r="J379" s="19"/>
      <c r="K379" s="19"/>
      <c r="L379" s="19"/>
      <c r="M379" s="18"/>
      <c r="N379" s="18"/>
      <c r="O379" s="19"/>
      <c r="P379" s="19"/>
      <c r="Q379" s="19"/>
    </row>
    <row r="380" spans="1:17" ht="17.649999999999999">
      <c r="A380" s="14">
        <v>375</v>
      </c>
      <c r="B380" s="15" t="s">
        <v>101</v>
      </c>
      <c r="C380" s="15" t="s">
        <v>913</v>
      </c>
      <c r="D380" s="16">
        <v>8261673.9167999998</v>
      </c>
      <c r="E380" s="16">
        <v>1872927.5159</v>
      </c>
      <c r="F380" s="17">
        <f t="shared" si="5"/>
        <v>10134601.432700001</v>
      </c>
      <c r="G380" s="18"/>
      <c r="H380" s="18"/>
      <c r="I380" s="19"/>
      <c r="J380" s="19"/>
      <c r="K380" s="19"/>
      <c r="L380" s="19"/>
      <c r="M380" s="18"/>
      <c r="N380" s="18"/>
      <c r="O380" s="19"/>
      <c r="P380" s="19"/>
      <c r="Q380" s="19"/>
    </row>
    <row r="381" spans="1:17" ht="17.649999999999999">
      <c r="A381" s="14">
        <v>376</v>
      </c>
      <c r="B381" s="15" t="s">
        <v>101</v>
      </c>
      <c r="C381" s="15" t="s">
        <v>915</v>
      </c>
      <c r="D381" s="16">
        <v>8632281.1801999994</v>
      </c>
      <c r="E381" s="16">
        <v>1956944.4534</v>
      </c>
      <c r="F381" s="17">
        <f t="shared" si="5"/>
        <v>10589225.6336</v>
      </c>
      <c r="G381" s="18"/>
      <c r="H381" s="18"/>
      <c r="I381" s="19"/>
      <c r="J381" s="19"/>
      <c r="K381" s="19"/>
      <c r="L381" s="19"/>
      <c r="M381" s="18"/>
      <c r="N381" s="18"/>
      <c r="O381" s="19"/>
      <c r="P381" s="19"/>
      <c r="Q381" s="19"/>
    </row>
    <row r="382" spans="1:17" ht="17.649999999999999">
      <c r="A382" s="14">
        <v>377</v>
      </c>
      <c r="B382" s="15" t="s">
        <v>101</v>
      </c>
      <c r="C382" s="15" t="s">
        <v>917</v>
      </c>
      <c r="D382" s="16">
        <v>7700033.5489999996</v>
      </c>
      <c r="E382" s="16">
        <v>1745603.2339999999</v>
      </c>
      <c r="F382" s="17">
        <f t="shared" si="5"/>
        <v>9445636.7829999998</v>
      </c>
      <c r="G382" s="18"/>
      <c r="H382" s="18"/>
      <c r="I382" s="19"/>
      <c r="J382" s="19"/>
      <c r="K382" s="19"/>
      <c r="L382" s="19"/>
      <c r="M382" s="18"/>
      <c r="N382" s="18"/>
      <c r="O382" s="19"/>
      <c r="P382" s="19"/>
      <c r="Q382" s="19"/>
    </row>
    <row r="383" spans="1:17" ht="17.649999999999999">
      <c r="A383" s="14">
        <v>378</v>
      </c>
      <c r="B383" s="15" t="s">
        <v>101</v>
      </c>
      <c r="C383" s="15" t="s">
        <v>919</v>
      </c>
      <c r="D383" s="16">
        <v>7659852.9113999996</v>
      </c>
      <c r="E383" s="16">
        <v>1736494.2541</v>
      </c>
      <c r="F383" s="17">
        <f t="shared" si="5"/>
        <v>9396347.1655000001</v>
      </c>
      <c r="G383" s="18"/>
      <c r="H383" s="18"/>
      <c r="I383" s="19"/>
      <c r="J383" s="19"/>
      <c r="K383" s="19"/>
      <c r="L383" s="19"/>
      <c r="M383" s="18"/>
      <c r="N383" s="18"/>
      <c r="O383" s="19"/>
      <c r="P383" s="19"/>
      <c r="Q383" s="19"/>
    </row>
    <row r="384" spans="1:17" ht="17.649999999999999">
      <c r="A384" s="14">
        <v>379</v>
      </c>
      <c r="B384" s="15" t="s">
        <v>101</v>
      </c>
      <c r="C384" s="15" t="s">
        <v>921</v>
      </c>
      <c r="D384" s="16">
        <v>8278545.8470999999</v>
      </c>
      <c r="E384" s="16">
        <v>1876752.3947999999</v>
      </c>
      <c r="F384" s="17">
        <f t="shared" si="5"/>
        <v>10155298.241900001</v>
      </c>
      <c r="G384" s="18"/>
      <c r="H384" s="18"/>
      <c r="I384" s="19"/>
      <c r="J384" s="19"/>
      <c r="K384" s="19"/>
      <c r="L384" s="19"/>
      <c r="M384" s="18"/>
      <c r="N384" s="18"/>
      <c r="O384" s="19"/>
      <c r="P384" s="19"/>
      <c r="Q384" s="19"/>
    </row>
    <row r="385" spans="1:17" ht="17.649999999999999">
      <c r="A385" s="14">
        <v>380</v>
      </c>
      <c r="B385" s="15" t="s">
        <v>101</v>
      </c>
      <c r="C385" s="15" t="s">
        <v>923</v>
      </c>
      <c r="D385" s="16">
        <v>9453525.4679000005</v>
      </c>
      <c r="E385" s="16">
        <v>2143121.1337000001</v>
      </c>
      <c r="F385" s="17">
        <f t="shared" si="5"/>
        <v>11596646.601600001</v>
      </c>
      <c r="G385" s="18"/>
      <c r="H385" s="18"/>
      <c r="I385" s="19"/>
      <c r="J385" s="19"/>
      <c r="K385" s="19"/>
      <c r="L385" s="19"/>
      <c r="M385" s="18"/>
      <c r="N385" s="18"/>
      <c r="O385" s="19"/>
      <c r="P385" s="19"/>
      <c r="Q385" s="19"/>
    </row>
    <row r="386" spans="1:17" ht="17.649999999999999">
      <c r="A386" s="14">
        <v>381</v>
      </c>
      <c r="B386" s="15" t="s">
        <v>101</v>
      </c>
      <c r="C386" s="15" t="s">
        <v>925</v>
      </c>
      <c r="D386" s="16">
        <v>11365705.8562</v>
      </c>
      <c r="E386" s="16">
        <v>2576613.8254999998</v>
      </c>
      <c r="F386" s="17">
        <f t="shared" si="5"/>
        <v>13942319.681700001</v>
      </c>
      <c r="G386" s="18"/>
      <c r="H386" s="18"/>
      <c r="I386" s="19"/>
      <c r="J386" s="19"/>
      <c r="K386" s="19"/>
      <c r="L386" s="19"/>
      <c r="M386" s="18"/>
      <c r="N386" s="18"/>
      <c r="O386" s="19"/>
      <c r="P386" s="19"/>
      <c r="Q386" s="19"/>
    </row>
    <row r="387" spans="1:17" ht="17.649999999999999">
      <c r="A387" s="14">
        <v>382</v>
      </c>
      <c r="B387" s="15" t="s">
        <v>101</v>
      </c>
      <c r="C387" s="15" t="s">
        <v>928</v>
      </c>
      <c r="D387" s="16">
        <v>7814203.5438999999</v>
      </c>
      <c r="E387" s="16">
        <v>1771485.6553</v>
      </c>
      <c r="F387" s="17">
        <f t="shared" si="5"/>
        <v>9585689.1992000006</v>
      </c>
      <c r="G387" s="18"/>
      <c r="H387" s="18"/>
      <c r="I387" s="19"/>
      <c r="J387" s="19"/>
      <c r="K387" s="19"/>
      <c r="L387" s="19"/>
      <c r="M387" s="18"/>
      <c r="N387" s="18"/>
      <c r="O387" s="19"/>
      <c r="P387" s="19"/>
      <c r="Q387" s="19"/>
    </row>
    <row r="388" spans="1:17" ht="17.649999999999999">
      <c r="A388" s="14">
        <v>383</v>
      </c>
      <c r="B388" s="15" t="s">
        <v>101</v>
      </c>
      <c r="C388" s="15" t="s">
        <v>930</v>
      </c>
      <c r="D388" s="16">
        <v>7529505.5533999996</v>
      </c>
      <c r="E388" s="16">
        <v>1706944.4127</v>
      </c>
      <c r="F388" s="17">
        <f t="shared" si="5"/>
        <v>9236449.9660999998</v>
      </c>
      <c r="G388" s="18"/>
      <c r="H388" s="18"/>
      <c r="I388" s="19"/>
      <c r="J388" s="19"/>
      <c r="K388" s="19"/>
      <c r="L388" s="19"/>
      <c r="M388" s="18"/>
      <c r="N388" s="18"/>
      <c r="O388" s="19"/>
      <c r="P388" s="19"/>
      <c r="Q388" s="19"/>
    </row>
    <row r="389" spans="1:17" ht="17.649999999999999">
      <c r="A389" s="14">
        <v>384</v>
      </c>
      <c r="B389" s="15" t="s">
        <v>101</v>
      </c>
      <c r="C389" s="15" t="s">
        <v>932</v>
      </c>
      <c r="D389" s="16">
        <v>10970567.393100001</v>
      </c>
      <c r="E389" s="16">
        <v>2487035.6471000002</v>
      </c>
      <c r="F389" s="17">
        <f t="shared" si="5"/>
        <v>13457603.040200001</v>
      </c>
      <c r="G389" s="18"/>
      <c r="H389" s="18"/>
      <c r="I389" s="19"/>
      <c r="J389" s="19"/>
      <c r="K389" s="19"/>
      <c r="L389" s="19"/>
      <c r="M389" s="18"/>
      <c r="N389" s="18"/>
      <c r="O389" s="19"/>
      <c r="P389" s="19"/>
      <c r="Q389" s="19"/>
    </row>
    <row r="390" spans="1:17" ht="17.649999999999999">
      <c r="A390" s="14">
        <v>385</v>
      </c>
      <c r="B390" s="15" t="s">
        <v>101</v>
      </c>
      <c r="C390" s="15" t="s">
        <v>934</v>
      </c>
      <c r="D390" s="16">
        <v>7301338.8289999999</v>
      </c>
      <c r="E390" s="16">
        <v>1655218.8495</v>
      </c>
      <c r="F390" s="17">
        <f t="shared" si="5"/>
        <v>8956557.6785000004</v>
      </c>
      <c r="G390" s="18"/>
      <c r="H390" s="18"/>
      <c r="I390" s="19"/>
      <c r="J390" s="19"/>
      <c r="K390" s="19"/>
      <c r="L390" s="19"/>
      <c r="M390" s="18"/>
      <c r="N390" s="18"/>
      <c r="O390" s="19"/>
      <c r="P390" s="19"/>
      <c r="Q390" s="19"/>
    </row>
    <row r="391" spans="1:17" ht="17.649999999999999">
      <c r="A391" s="14">
        <v>386</v>
      </c>
      <c r="B391" s="15" t="s">
        <v>101</v>
      </c>
      <c r="C391" s="15" t="s">
        <v>936</v>
      </c>
      <c r="D391" s="16">
        <v>7368546.5317000002</v>
      </c>
      <c r="E391" s="16">
        <v>1670454.8848999999</v>
      </c>
      <c r="F391" s="17">
        <f t="shared" ref="F391:F454" si="6">D391+E391</f>
        <v>9039001.4166000001</v>
      </c>
      <c r="G391" s="18"/>
      <c r="H391" s="18"/>
      <c r="I391" s="19"/>
      <c r="J391" s="19"/>
      <c r="K391" s="19"/>
      <c r="L391" s="19"/>
      <c r="M391" s="18"/>
      <c r="N391" s="18"/>
      <c r="O391" s="19"/>
      <c r="P391" s="19"/>
      <c r="Q391" s="19"/>
    </row>
    <row r="392" spans="1:17" ht="17.649999999999999">
      <c r="A392" s="14">
        <v>387</v>
      </c>
      <c r="B392" s="15" t="s">
        <v>101</v>
      </c>
      <c r="C392" s="15" t="s">
        <v>938</v>
      </c>
      <c r="D392" s="16">
        <v>9506311.6198999994</v>
      </c>
      <c r="E392" s="16">
        <v>2155087.7930000001</v>
      </c>
      <c r="F392" s="17">
        <f t="shared" si="6"/>
        <v>11661399.412899999</v>
      </c>
      <c r="G392" s="18"/>
      <c r="H392" s="18"/>
      <c r="I392" s="19"/>
      <c r="J392" s="19"/>
      <c r="K392" s="19"/>
      <c r="L392" s="19"/>
      <c r="M392" s="18"/>
      <c r="N392" s="18"/>
      <c r="O392" s="19"/>
      <c r="P392" s="19"/>
      <c r="Q392" s="19"/>
    </row>
    <row r="393" spans="1:17" ht="17.649999999999999">
      <c r="A393" s="14">
        <v>388</v>
      </c>
      <c r="B393" s="15" t="s">
        <v>101</v>
      </c>
      <c r="C393" s="15" t="s">
        <v>940</v>
      </c>
      <c r="D393" s="16">
        <v>9713342.5784000009</v>
      </c>
      <c r="E393" s="16">
        <v>2202021.8626000001</v>
      </c>
      <c r="F393" s="17">
        <f t="shared" si="6"/>
        <v>11915364.441000002</v>
      </c>
      <c r="G393" s="18"/>
      <c r="H393" s="18"/>
      <c r="I393" s="19"/>
      <c r="J393" s="19"/>
      <c r="K393" s="19"/>
      <c r="L393" s="19"/>
      <c r="M393" s="18"/>
      <c r="N393" s="18"/>
      <c r="O393" s="19"/>
      <c r="P393" s="19"/>
      <c r="Q393" s="19"/>
    </row>
    <row r="394" spans="1:17" ht="17.649999999999999">
      <c r="A394" s="14">
        <v>389</v>
      </c>
      <c r="B394" s="15" t="s">
        <v>101</v>
      </c>
      <c r="C394" s="15" t="s">
        <v>127</v>
      </c>
      <c r="D394" s="16">
        <v>7448383.6616000002</v>
      </c>
      <c r="E394" s="16">
        <v>1688554.0205999999</v>
      </c>
      <c r="F394" s="17">
        <f t="shared" si="6"/>
        <v>9136937.6821999997</v>
      </c>
      <c r="G394" s="18"/>
      <c r="H394" s="18"/>
      <c r="I394" s="19"/>
      <c r="J394" s="19"/>
      <c r="K394" s="19"/>
      <c r="L394" s="19"/>
      <c r="M394" s="18"/>
      <c r="N394" s="18"/>
      <c r="O394" s="19"/>
      <c r="P394" s="19"/>
      <c r="Q394" s="19"/>
    </row>
    <row r="395" spans="1:17" ht="17.649999999999999">
      <c r="A395" s="14">
        <v>390</v>
      </c>
      <c r="B395" s="15" t="s">
        <v>101</v>
      </c>
      <c r="C395" s="15" t="s">
        <v>129</v>
      </c>
      <c r="D395" s="16">
        <v>7294453.1129999999</v>
      </c>
      <c r="E395" s="16">
        <v>1653657.8526999999</v>
      </c>
      <c r="F395" s="17">
        <f t="shared" si="6"/>
        <v>8948110.9657000005</v>
      </c>
      <c r="G395" s="18"/>
      <c r="H395" s="18"/>
      <c r="I395" s="19"/>
      <c r="J395" s="19"/>
      <c r="K395" s="19"/>
      <c r="L395" s="19"/>
      <c r="M395" s="18"/>
      <c r="N395" s="18"/>
      <c r="O395" s="19"/>
      <c r="P395" s="19"/>
      <c r="Q395" s="19"/>
    </row>
    <row r="396" spans="1:17" ht="17.649999999999999">
      <c r="A396" s="14">
        <v>391</v>
      </c>
      <c r="B396" s="15" t="s">
        <v>101</v>
      </c>
      <c r="C396" s="15" t="s">
        <v>131</v>
      </c>
      <c r="D396" s="16">
        <v>7301056.216</v>
      </c>
      <c r="E396" s="16">
        <v>1655154.781</v>
      </c>
      <c r="F396" s="17">
        <f t="shared" si="6"/>
        <v>8956210.9969999995</v>
      </c>
      <c r="G396" s="18"/>
      <c r="H396" s="18"/>
      <c r="I396" s="19"/>
      <c r="J396" s="19"/>
      <c r="K396" s="19"/>
      <c r="L396" s="19"/>
      <c r="M396" s="18"/>
      <c r="N396" s="18"/>
      <c r="O396" s="19"/>
      <c r="P396" s="19"/>
      <c r="Q396" s="19"/>
    </row>
    <row r="397" spans="1:17" ht="17.649999999999999">
      <c r="A397" s="14">
        <v>392</v>
      </c>
      <c r="B397" s="15" t="s">
        <v>101</v>
      </c>
      <c r="C397" s="15" t="s">
        <v>133</v>
      </c>
      <c r="D397" s="16">
        <v>8652963.2358999997</v>
      </c>
      <c r="E397" s="16">
        <v>1961633.0906</v>
      </c>
      <c r="F397" s="17">
        <f t="shared" si="6"/>
        <v>10614596.3265</v>
      </c>
      <c r="G397" s="18"/>
      <c r="H397" s="18"/>
      <c r="I397" s="19"/>
      <c r="J397" s="19"/>
      <c r="K397" s="19"/>
      <c r="L397" s="19"/>
      <c r="M397" s="18"/>
      <c r="N397" s="18"/>
      <c r="O397" s="19"/>
      <c r="P397" s="19"/>
      <c r="Q397" s="19"/>
    </row>
    <row r="398" spans="1:17" ht="17.649999999999999">
      <c r="A398" s="14">
        <v>393</v>
      </c>
      <c r="B398" s="15" t="s">
        <v>101</v>
      </c>
      <c r="C398" s="15" t="s">
        <v>135</v>
      </c>
      <c r="D398" s="16">
        <v>8720655.1743000001</v>
      </c>
      <c r="E398" s="16">
        <v>1976978.9025000001</v>
      </c>
      <c r="F398" s="17">
        <f t="shared" si="6"/>
        <v>10697634.0768</v>
      </c>
      <c r="G398" s="18"/>
      <c r="H398" s="18"/>
      <c r="I398" s="19"/>
      <c r="J398" s="19"/>
      <c r="K398" s="19"/>
      <c r="L398" s="19"/>
      <c r="M398" s="18"/>
      <c r="N398" s="18"/>
      <c r="O398" s="19"/>
      <c r="P398" s="19"/>
      <c r="Q398" s="19"/>
    </row>
    <row r="399" spans="1:17" ht="17.649999999999999">
      <c r="A399" s="14">
        <v>394</v>
      </c>
      <c r="B399" s="15" t="s">
        <v>101</v>
      </c>
      <c r="C399" s="15" t="s">
        <v>107</v>
      </c>
      <c r="D399" s="16">
        <v>15077781.6873</v>
      </c>
      <c r="E399" s="16">
        <v>3418144.1298000002</v>
      </c>
      <c r="F399" s="17">
        <f t="shared" si="6"/>
        <v>18495925.8171</v>
      </c>
      <c r="G399" s="18"/>
      <c r="H399" s="18"/>
      <c r="I399" s="19"/>
      <c r="J399" s="19"/>
      <c r="K399" s="19"/>
      <c r="L399" s="19"/>
      <c r="M399" s="18"/>
      <c r="N399" s="18"/>
      <c r="O399" s="19"/>
      <c r="P399" s="19"/>
      <c r="Q399" s="19"/>
    </row>
    <row r="400" spans="1:17" ht="17.649999999999999">
      <c r="A400" s="14">
        <v>395</v>
      </c>
      <c r="B400" s="15" t="s">
        <v>101</v>
      </c>
      <c r="C400" s="15" t="s">
        <v>138</v>
      </c>
      <c r="D400" s="16">
        <v>7552127.9267999995</v>
      </c>
      <c r="E400" s="16">
        <v>1712072.9213</v>
      </c>
      <c r="F400" s="17">
        <f t="shared" si="6"/>
        <v>9264200.8480999991</v>
      </c>
      <c r="G400" s="18"/>
      <c r="H400" s="18"/>
      <c r="I400" s="19"/>
      <c r="J400" s="19"/>
      <c r="K400" s="19"/>
      <c r="L400" s="19"/>
      <c r="M400" s="18"/>
      <c r="N400" s="18"/>
      <c r="O400" s="19"/>
      <c r="P400" s="19"/>
      <c r="Q400" s="19"/>
    </row>
    <row r="401" spans="1:17" ht="17.649999999999999">
      <c r="A401" s="14">
        <v>396</v>
      </c>
      <c r="B401" s="15" t="s">
        <v>101</v>
      </c>
      <c r="C401" s="15" t="s">
        <v>140</v>
      </c>
      <c r="D401" s="16">
        <v>7474122.3614999996</v>
      </c>
      <c r="E401" s="16">
        <v>1694389.0027000001</v>
      </c>
      <c r="F401" s="17">
        <f t="shared" si="6"/>
        <v>9168511.3641999997</v>
      </c>
      <c r="G401" s="18"/>
      <c r="H401" s="18"/>
      <c r="I401" s="19"/>
      <c r="J401" s="19"/>
      <c r="K401" s="19"/>
      <c r="L401" s="19"/>
      <c r="M401" s="18"/>
      <c r="N401" s="18"/>
      <c r="O401" s="19"/>
      <c r="P401" s="19"/>
      <c r="Q401" s="19"/>
    </row>
    <row r="402" spans="1:17" ht="17.649999999999999">
      <c r="A402" s="14">
        <v>397</v>
      </c>
      <c r="B402" s="15" t="s">
        <v>101</v>
      </c>
      <c r="C402" s="15" t="s">
        <v>142</v>
      </c>
      <c r="D402" s="16">
        <v>8946713.7634999994</v>
      </c>
      <c r="E402" s="16">
        <v>2028226.5499</v>
      </c>
      <c r="F402" s="17">
        <f t="shared" si="6"/>
        <v>10974940.3134</v>
      </c>
      <c r="G402" s="18"/>
      <c r="H402" s="18"/>
      <c r="I402" s="19"/>
      <c r="J402" s="19"/>
      <c r="K402" s="19"/>
      <c r="L402" s="19"/>
      <c r="M402" s="18"/>
      <c r="N402" s="18"/>
      <c r="O402" s="19"/>
      <c r="P402" s="19"/>
      <c r="Q402" s="19"/>
    </row>
    <row r="403" spans="1:17" ht="17.649999999999999">
      <c r="A403" s="14">
        <v>398</v>
      </c>
      <c r="B403" s="15" t="s">
        <v>101</v>
      </c>
      <c r="C403" s="15" t="s">
        <v>144</v>
      </c>
      <c r="D403" s="16">
        <v>7381901.1919999998</v>
      </c>
      <c r="E403" s="16">
        <v>1673482.3961</v>
      </c>
      <c r="F403" s="17">
        <f t="shared" si="6"/>
        <v>9055383.5880999994</v>
      </c>
      <c r="G403" s="18"/>
      <c r="H403" s="18"/>
      <c r="I403" s="19"/>
      <c r="J403" s="19"/>
      <c r="K403" s="19"/>
      <c r="L403" s="19"/>
      <c r="M403" s="18"/>
      <c r="N403" s="18"/>
      <c r="O403" s="19"/>
      <c r="P403" s="19"/>
      <c r="Q403" s="19"/>
    </row>
    <row r="404" spans="1:17" ht="17.649999999999999">
      <c r="A404" s="14">
        <v>399</v>
      </c>
      <c r="B404" s="15" t="s">
        <v>101</v>
      </c>
      <c r="C404" s="15" t="s">
        <v>146</v>
      </c>
      <c r="D404" s="16">
        <v>9343145.4041000009</v>
      </c>
      <c r="E404" s="16">
        <v>2118097.8925999999</v>
      </c>
      <c r="F404" s="17">
        <f t="shared" si="6"/>
        <v>11461243.296700001</v>
      </c>
      <c r="G404" s="18"/>
      <c r="H404" s="18"/>
      <c r="I404" s="19"/>
      <c r="J404" s="19"/>
      <c r="K404" s="19"/>
      <c r="L404" s="19"/>
      <c r="M404" s="18"/>
      <c r="N404" s="18"/>
      <c r="O404" s="19"/>
      <c r="P404" s="19"/>
      <c r="Q404" s="19"/>
    </row>
    <row r="405" spans="1:17" ht="17.649999999999999">
      <c r="A405" s="14">
        <v>400</v>
      </c>
      <c r="B405" s="15" t="s">
        <v>101</v>
      </c>
      <c r="C405" s="15" t="s">
        <v>148</v>
      </c>
      <c r="D405" s="16">
        <v>8204779.4842999997</v>
      </c>
      <c r="E405" s="16">
        <v>1860029.5064999999</v>
      </c>
      <c r="F405" s="17">
        <f t="shared" si="6"/>
        <v>10064808.990799999</v>
      </c>
      <c r="G405" s="18"/>
      <c r="H405" s="18"/>
      <c r="I405" s="19"/>
      <c r="J405" s="19"/>
      <c r="K405" s="19"/>
      <c r="L405" s="19"/>
      <c r="M405" s="18"/>
      <c r="N405" s="18"/>
      <c r="O405" s="19"/>
      <c r="P405" s="19"/>
      <c r="Q405" s="19"/>
    </row>
    <row r="406" spans="1:17" ht="17.649999999999999">
      <c r="A406" s="14">
        <v>401</v>
      </c>
      <c r="B406" s="15" t="s">
        <v>101</v>
      </c>
      <c r="C406" s="15" t="s">
        <v>150</v>
      </c>
      <c r="D406" s="16">
        <v>8531769.7498000003</v>
      </c>
      <c r="E406" s="16">
        <v>1934158.4387000001</v>
      </c>
      <c r="F406" s="17">
        <f t="shared" si="6"/>
        <v>10465928.1885</v>
      </c>
      <c r="G406" s="18"/>
      <c r="H406" s="18"/>
      <c r="I406" s="19"/>
      <c r="J406" s="19"/>
      <c r="K406" s="19"/>
      <c r="L406" s="19"/>
      <c r="M406" s="18"/>
      <c r="N406" s="18"/>
      <c r="O406" s="19"/>
      <c r="P406" s="19"/>
      <c r="Q406" s="19"/>
    </row>
    <row r="407" spans="1:17" ht="17.649999999999999">
      <c r="A407" s="14">
        <v>402</v>
      </c>
      <c r="B407" s="15" t="s">
        <v>101</v>
      </c>
      <c r="C407" s="15" t="s">
        <v>152</v>
      </c>
      <c r="D407" s="16">
        <v>6716665.7808999997</v>
      </c>
      <c r="E407" s="16">
        <v>1522673.0422</v>
      </c>
      <c r="F407" s="17">
        <f t="shared" si="6"/>
        <v>8239338.8230999997</v>
      </c>
      <c r="G407" s="18"/>
      <c r="H407" s="18"/>
      <c r="I407" s="19"/>
      <c r="J407" s="19"/>
      <c r="K407" s="19"/>
      <c r="L407" s="19"/>
      <c r="M407" s="18"/>
      <c r="N407" s="18"/>
      <c r="O407" s="19"/>
      <c r="P407" s="19"/>
      <c r="Q407" s="19"/>
    </row>
    <row r="408" spans="1:17" ht="17.649999999999999">
      <c r="A408" s="14">
        <v>403</v>
      </c>
      <c r="B408" s="15" t="s">
        <v>101</v>
      </c>
      <c r="C408" s="15" t="s">
        <v>154</v>
      </c>
      <c r="D408" s="16">
        <v>7405362.5521999998</v>
      </c>
      <c r="E408" s="16">
        <v>1678801.1036</v>
      </c>
      <c r="F408" s="17">
        <f t="shared" si="6"/>
        <v>9084163.6557999998</v>
      </c>
      <c r="G408" s="18"/>
      <c r="H408" s="18"/>
      <c r="I408" s="19"/>
      <c r="J408" s="19"/>
      <c r="K408" s="19"/>
      <c r="L408" s="19"/>
      <c r="M408" s="18"/>
      <c r="N408" s="18"/>
      <c r="O408" s="19"/>
      <c r="P408" s="19"/>
      <c r="Q408" s="19"/>
    </row>
    <row r="409" spans="1:17" ht="17.649999999999999">
      <c r="A409" s="14">
        <v>404</v>
      </c>
      <c r="B409" s="15" t="s">
        <v>101</v>
      </c>
      <c r="C409" s="15" t="s">
        <v>156</v>
      </c>
      <c r="D409" s="16">
        <v>9131075.0219000001</v>
      </c>
      <c r="E409" s="16">
        <v>2070021.3818999999</v>
      </c>
      <c r="F409" s="17">
        <f t="shared" si="6"/>
        <v>11201096.4038</v>
      </c>
      <c r="G409" s="18"/>
      <c r="H409" s="18"/>
      <c r="I409" s="19"/>
      <c r="J409" s="19"/>
      <c r="K409" s="19"/>
      <c r="L409" s="19"/>
      <c r="M409" s="18"/>
      <c r="N409" s="18"/>
      <c r="O409" s="19"/>
      <c r="P409" s="19"/>
      <c r="Q409" s="19"/>
    </row>
    <row r="410" spans="1:17" ht="17.649999999999999">
      <c r="A410" s="14">
        <v>405</v>
      </c>
      <c r="B410" s="15" t="s">
        <v>101</v>
      </c>
      <c r="C410" s="15" t="s">
        <v>158</v>
      </c>
      <c r="D410" s="16">
        <v>10675794.3934</v>
      </c>
      <c r="E410" s="16">
        <v>2420210.3925999999</v>
      </c>
      <c r="F410" s="17">
        <f t="shared" si="6"/>
        <v>13096004.786</v>
      </c>
      <c r="G410" s="18"/>
      <c r="H410" s="18"/>
      <c r="I410" s="19"/>
      <c r="J410" s="19"/>
      <c r="K410" s="19"/>
      <c r="L410" s="19"/>
      <c r="M410" s="18"/>
      <c r="N410" s="18"/>
      <c r="O410" s="19"/>
      <c r="P410" s="19"/>
      <c r="Q410" s="19"/>
    </row>
    <row r="411" spans="1:17" ht="17.649999999999999">
      <c r="A411" s="14">
        <v>406</v>
      </c>
      <c r="B411" s="15" t="s">
        <v>101</v>
      </c>
      <c r="C411" s="15" t="s">
        <v>160</v>
      </c>
      <c r="D411" s="16">
        <v>6967044.4698000001</v>
      </c>
      <c r="E411" s="16">
        <v>1579434.074</v>
      </c>
      <c r="F411" s="17">
        <f t="shared" si="6"/>
        <v>8546478.5438000001</v>
      </c>
      <c r="G411" s="18"/>
      <c r="H411" s="18"/>
      <c r="I411" s="19"/>
      <c r="J411" s="19"/>
      <c r="K411" s="19"/>
      <c r="L411" s="19"/>
      <c r="M411" s="18"/>
      <c r="N411" s="18"/>
      <c r="O411" s="19"/>
      <c r="P411" s="19"/>
      <c r="Q411" s="19"/>
    </row>
    <row r="412" spans="1:17" ht="17.649999999999999">
      <c r="A412" s="14">
        <v>407</v>
      </c>
      <c r="B412" s="15" t="s">
        <v>101</v>
      </c>
      <c r="C412" s="15" t="s">
        <v>163</v>
      </c>
      <c r="D412" s="16">
        <v>8192274.4585999995</v>
      </c>
      <c r="E412" s="16">
        <v>1857194.608</v>
      </c>
      <c r="F412" s="17">
        <f t="shared" si="6"/>
        <v>10049469.066599999</v>
      </c>
      <c r="G412" s="18"/>
      <c r="H412" s="18"/>
      <c r="I412" s="19"/>
      <c r="J412" s="19"/>
      <c r="K412" s="19"/>
      <c r="L412" s="19"/>
      <c r="M412" s="18"/>
      <c r="N412" s="18"/>
      <c r="O412" s="19"/>
      <c r="P412" s="19"/>
      <c r="Q412" s="19"/>
    </row>
    <row r="413" spans="1:17" ht="17.649999999999999">
      <c r="A413" s="14">
        <v>408</v>
      </c>
      <c r="B413" s="15" t="s">
        <v>102</v>
      </c>
      <c r="C413" s="15" t="s">
        <v>167</v>
      </c>
      <c r="D413" s="16">
        <v>8324549.6645999998</v>
      </c>
      <c r="E413" s="16">
        <v>1887181.4938999999</v>
      </c>
      <c r="F413" s="17">
        <f t="shared" si="6"/>
        <v>10211731.158499999</v>
      </c>
      <c r="G413" s="18"/>
      <c r="H413" s="18"/>
      <c r="I413" s="19"/>
      <c r="J413" s="19"/>
      <c r="K413" s="19"/>
      <c r="L413" s="19"/>
      <c r="M413" s="18"/>
      <c r="N413" s="18"/>
      <c r="O413" s="19"/>
      <c r="P413" s="19"/>
      <c r="Q413" s="19"/>
    </row>
    <row r="414" spans="1:17" ht="17.649999999999999">
      <c r="A414" s="14">
        <v>409</v>
      </c>
      <c r="B414" s="15" t="s">
        <v>102</v>
      </c>
      <c r="C414" s="15" t="s">
        <v>169</v>
      </c>
      <c r="D414" s="16">
        <v>8577960.3882999998</v>
      </c>
      <c r="E414" s="16">
        <v>1944629.8902</v>
      </c>
      <c r="F414" s="17">
        <f t="shared" si="6"/>
        <v>10522590.2785</v>
      </c>
      <c r="G414" s="18"/>
      <c r="H414" s="18"/>
      <c r="I414" s="19"/>
      <c r="J414" s="19"/>
      <c r="K414" s="19"/>
      <c r="L414" s="19"/>
      <c r="M414" s="18"/>
      <c r="N414" s="18"/>
      <c r="O414" s="19"/>
      <c r="P414" s="19"/>
      <c r="Q414" s="19"/>
    </row>
    <row r="415" spans="1:17" ht="17.649999999999999">
      <c r="A415" s="14">
        <v>410</v>
      </c>
      <c r="B415" s="15" t="s">
        <v>102</v>
      </c>
      <c r="C415" s="15" t="s">
        <v>171</v>
      </c>
      <c r="D415" s="16">
        <v>9332010.5204000007</v>
      </c>
      <c r="E415" s="16">
        <v>2115573.6063000001</v>
      </c>
      <c r="F415" s="17">
        <f t="shared" si="6"/>
        <v>11447584.126700001</v>
      </c>
      <c r="G415" s="18"/>
      <c r="H415" s="18"/>
      <c r="I415" s="19"/>
      <c r="J415" s="19"/>
      <c r="K415" s="19"/>
      <c r="L415" s="19"/>
      <c r="M415" s="18"/>
      <c r="N415" s="18"/>
      <c r="O415" s="19"/>
      <c r="P415" s="19"/>
      <c r="Q415" s="19"/>
    </row>
    <row r="416" spans="1:17" ht="17.649999999999999">
      <c r="A416" s="14">
        <v>411</v>
      </c>
      <c r="B416" s="15" t="s">
        <v>102</v>
      </c>
      <c r="C416" s="15" t="s">
        <v>173</v>
      </c>
      <c r="D416" s="16">
        <v>8749687.9592000004</v>
      </c>
      <c r="E416" s="16">
        <v>1983560.656</v>
      </c>
      <c r="F416" s="17">
        <f t="shared" si="6"/>
        <v>10733248.6152</v>
      </c>
      <c r="G416" s="18"/>
      <c r="H416" s="18"/>
      <c r="I416" s="19"/>
      <c r="J416" s="19"/>
      <c r="K416" s="19"/>
      <c r="L416" s="19"/>
      <c r="M416" s="18"/>
      <c r="N416" s="18"/>
      <c r="O416" s="19"/>
      <c r="P416" s="19"/>
      <c r="Q416" s="19"/>
    </row>
    <row r="417" spans="1:17" ht="17.649999999999999">
      <c r="A417" s="14">
        <v>412</v>
      </c>
      <c r="B417" s="15" t="s">
        <v>102</v>
      </c>
      <c r="C417" s="15" t="s">
        <v>175</v>
      </c>
      <c r="D417" s="16">
        <v>8182867.3952000001</v>
      </c>
      <c r="E417" s="16">
        <v>1855062.0199</v>
      </c>
      <c r="F417" s="17">
        <f t="shared" si="6"/>
        <v>10037929.415100001</v>
      </c>
      <c r="G417" s="18"/>
      <c r="H417" s="18"/>
      <c r="I417" s="19"/>
      <c r="J417" s="19"/>
      <c r="K417" s="19"/>
      <c r="L417" s="19"/>
      <c r="M417" s="18"/>
      <c r="N417" s="18"/>
      <c r="O417" s="19"/>
      <c r="P417" s="19"/>
      <c r="Q417" s="19"/>
    </row>
    <row r="418" spans="1:17" ht="17.649999999999999">
      <c r="A418" s="14">
        <v>413</v>
      </c>
      <c r="B418" s="15" t="s">
        <v>102</v>
      </c>
      <c r="C418" s="15" t="s">
        <v>177</v>
      </c>
      <c r="D418" s="16">
        <v>7654129.1487999996</v>
      </c>
      <c r="E418" s="16">
        <v>1735196.6728999999</v>
      </c>
      <c r="F418" s="17">
        <f t="shared" si="6"/>
        <v>9389325.8216999993</v>
      </c>
      <c r="G418" s="18"/>
      <c r="H418" s="18"/>
      <c r="I418" s="19"/>
      <c r="J418" s="19"/>
      <c r="K418" s="19"/>
      <c r="L418" s="19"/>
      <c r="M418" s="18"/>
      <c r="N418" s="18"/>
      <c r="O418" s="19"/>
      <c r="P418" s="19"/>
      <c r="Q418" s="19"/>
    </row>
    <row r="419" spans="1:17" ht="17.649999999999999">
      <c r="A419" s="14">
        <v>414</v>
      </c>
      <c r="B419" s="15" t="s">
        <v>102</v>
      </c>
      <c r="C419" s="15" t="s">
        <v>179</v>
      </c>
      <c r="D419" s="16">
        <v>7679177.5345999999</v>
      </c>
      <c r="E419" s="16">
        <v>1740875.1603000001</v>
      </c>
      <c r="F419" s="17">
        <f t="shared" si="6"/>
        <v>9420052.6949000005</v>
      </c>
      <c r="G419" s="18"/>
      <c r="H419" s="18"/>
      <c r="I419" s="19"/>
      <c r="J419" s="19"/>
      <c r="K419" s="19"/>
      <c r="L419" s="19"/>
      <c r="M419" s="18"/>
      <c r="N419" s="18"/>
      <c r="O419" s="19"/>
      <c r="P419" s="19"/>
      <c r="Q419" s="19"/>
    </row>
    <row r="420" spans="1:17" ht="17.649999999999999">
      <c r="A420" s="14">
        <v>415</v>
      </c>
      <c r="B420" s="15" t="s">
        <v>102</v>
      </c>
      <c r="C420" s="15" t="s">
        <v>181</v>
      </c>
      <c r="D420" s="16">
        <v>8222094.2971999999</v>
      </c>
      <c r="E420" s="16">
        <v>1863954.7871999999</v>
      </c>
      <c r="F420" s="17">
        <f t="shared" si="6"/>
        <v>10086049.0844</v>
      </c>
      <c r="G420" s="18"/>
      <c r="H420" s="18"/>
      <c r="I420" s="19"/>
      <c r="J420" s="19"/>
      <c r="K420" s="19"/>
      <c r="L420" s="19"/>
      <c r="M420" s="18"/>
      <c r="N420" s="18"/>
      <c r="O420" s="19"/>
      <c r="P420" s="19"/>
      <c r="Q420" s="19"/>
    </row>
    <row r="421" spans="1:17" ht="17.649999999999999">
      <c r="A421" s="14">
        <v>416</v>
      </c>
      <c r="B421" s="15" t="s">
        <v>102</v>
      </c>
      <c r="C421" s="15" t="s">
        <v>183</v>
      </c>
      <c r="D421" s="16">
        <v>7711933.5332000004</v>
      </c>
      <c r="E421" s="16">
        <v>1748300.9691000001</v>
      </c>
      <c r="F421" s="17">
        <f t="shared" si="6"/>
        <v>9460234.5022999998</v>
      </c>
      <c r="G421" s="18"/>
      <c r="H421" s="18"/>
      <c r="I421" s="19"/>
      <c r="J421" s="19"/>
      <c r="K421" s="19"/>
      <c r="L421" s="19"/>
      <c r="M421" s="18"/>
      <c r="N421" s="18"/>
      <c r="O421" s="19"/>
      <c r="P421" s="19"/>
      <c r="Q421" s="19"/>
    </row>
    <row r="422" spans="1:17" ht="17.649999999999999">
      <c r="A422" s="14">
        <v>417</v>
      </c>
      <c r="B422" s="15" t="s">
        <v>102</v>
      </c>
      <c r="C422" s="15" t="s">
        <v>185</v>
      </c>
      <c r="D422" s="16">
        <v>9298228.5155999996</v>
      </c>
      <c r="E422" s="16">
        <v>2107915.2011000002</v>
      </c>
      <c r="F422" s="17">
        <f t="shared" si="6"/>
        <v>11406143.716699999</v>
      </c>
      <c r="G422" s="18"/>
      <c r="H422" s="18"/>
      <c r="I422" s="19"/>
      <c r="J422" s="19"/>
      <c r="K422" s="19"/>
      <c r="L422" s="19"/>
      <c r="M422" s="18"/>
      <c r="N422" s="18"/>
      <c r="O422" s="19"/>
      <c r="P422" s="19"/>
      <c r="Q422" s="19"/>
    </row>
    <row r="423" spans="1:17" ht="17.649999999999999">
      <c r="A423" s="14">
        <v>418</v>
      </c>
      <c r="B423" s="15" t="s">
        <v>102</v>
      </c>
      <c r="C423" s="15" t="s">
        <v>187</v>
      </c>
      <c r="D423" s="16">
        <v>7673987.0558000002</v>
      </c>
      <c r="E423" s="16">
        <v>1739698.4749</v>
      </c>
      <c r="F423" s="17">
        <f t="shared" si="6"/>
        <v>9413685.5307</v>
      </c>
      <c r="G423" s="18"/>
      <c r="H423" s="18"/>
      <c r="I423" s="19"/>
      <c r="J423" s="19"/>
      <c r="K423" s="19"/>
      <c r="L423" s="19"/>
      <c r="M423" s="18"/>
      <c r="N423" s="18"/>
      <c r="O423" s="19"/>
      <c r="P423" s="19"/>
      <c r="Q423" s="19"/>
    </row>
    <row r="424" spans="1:17" ht="17.649999999999999">
      <c r="A424" s="14">
        <v>419</v>
      </c>
      <c r="B424" s="15" t="s">
        <v>102</v>
      </c>
      <c r="C424" s="15" t="s">
        <v>189</v>
      </c>
      <c r="D424" s="16">
        <v>8523282.0515000001</v>
      </c>
      <c r="E424" s="16">
        <v>1932234.2712999999</v>
      </c>
      <c r="F424" s="17">
        <f t="shared" si="6"/>
        <v>10455516.322799999</v>
      </c>
      <c r="G424" s="18"/>
      <c r="H424" s="18"/>
      <c r="I424" s="19"/>
      <c r="J424" s="19"/>
      <c r="K424" s="19"/>
      <c r="L424" s="19"/>
      <c r="M424" s="18"/>
      <c r="N424" s="18"/>
      <c r="O424" s="19"/>
      <c r="P424" s="19"/>
      <c r="Q424" s="19"/>
    </row>
    <row r="425" spans="1:17" ht="17.649999999999999">
      <c r="A425" s="14">
        <v>420</v>
      </c>
      <c r="B425" s="15" t="s">
        <v>102</v>
      </c>
      <c r="C425" s="15" t="s">
        <v>191</v>
      </c>
      <c r="D425" s="16">
        <v>9288445.1802999992</v>
      </c>
      <c r="E425" s="16">
        <v>2105697.3119000001</v>
      </c>
      <c r="F425" s="17">
        <f t="shared" si="6"/>
        <v>11394142.492199998</v>
      </c>
      <c r="G425" s="18"/>
      <c r="H425" s="18"/>
      <c r="I425" s="19"/>
      <c r="J425" s="19"/>
      <c r="K425" s="19"/>
      <c r="L425" s="19"/>
      <c r="M425" s="18"/>
      <c r="N425" s="18"/>
      <c r="O425" s="19"/>
      <c r="P425" s="19"/>
      <c r="Q425" s="19"/>
    </row>
    <row r="426" spans="1:17" ht="17.649999999999999">
      <c r="A426" s="14">
        <v>421</v>
      </c>
      <c r="B426" s="15" t="s">
        <v>102</v>
      </c>
      <c r="C426" s="15" t="s">
        <v>193</v>
      </c>
      <c r="D426" s="16">
        <v>9266726.8794</v>
      </c>
      <c r="E426" s="16">
        <v>2100773.7571999999</v>
      </c>
      <c r="F426" s="17">
        <f t="shared" si="6"/>
        <v>11367500.636599999</v>
      </c>
      <c r="G426" s="18"/>
      <c r="H426" s="18"/>
      <c r="I426" s="19"/>
      <c r="J426" s="19"/>
      <c r="K426" s="19"/>
      <c r="L426" s="19"/>
      <c r="M426" s="18"/>
      <c r="N426" s="18"/>
      <c r="O426" s="19"/>
      <c r="P426" s="19"/>
      <c r="Q426" s="19"/>
    </row>
    <row r="427" spans="1:17" ht="17.649999999999999">
      <c r="A427" s="14">
        <v>422</v>
      </c>
      <c r="B427" s="15" t="s">
        <v>102</v>
      </c>
      <c r="C427" s="15" t="s">
        <v>195</v>
      </c>
      <c r="D427" s="16">
        <v>8092219.2155999998</v>
      </c>
      <c r="E427" s="16">
        <v>1834512.0112999999</v>
      </c>
      <c r="F427" s="17">
        <f t="shared" si="6"/>
        <v>9926731.2269000001</v>
      </c>
      <c r="G427" s="18"/>
      <c r="H427" s="18"/>
      <c r="I427" s="19"/>
      <c r="J427" s="19"/>
      <c r="K427" s="19"/>
      <c r="L427" s="19"/>
      <c r="M427" s="18"/>
      <c r="N427" s="18"/>
      <c r="O427" s="19"/>
      <c r="P427" s="19"/>
      <c r="Q427" s="19"/>
    </row>
    <row r="428" spans="1:17" ht="17.649999999999999">
      <c r="A428" s="14">
        <v>423</v>
      </c>
      <c r="B428" s="15" t="s">
        <v>102</v>
      </c>
      <c r="C428" s="15" t="s">
        <v>197</v>
      </c>
      <c r="D428" s="16">
        <v>9116494.3081</v>
      </c>
      <c r="E428" s="16">
        <v>2066715.9235</v>
      </c>
      <c r="F428" s="17">
        <f t="shared" si="6"/>
        <v>11183210.2316</v>
      </c>
      <c r="G428" s="18"/>
      <c r="H428" s="18"/>
      <c r="I428" s="19"/>
      <c r="J428" s="19"/>
      <c r="K428" s="19"/>
      <c r="L428" s="19"/>
      <c r="M428" s="18"/>
      <c r="N428" s="18"/>
      <c r="O428" s="19"/>
      <c r="P428" s="19"/>
      <c r="Q428" s="19"/>
    </row>
    <row r="429" spans="1:17" ht="17.649999999999999">
      <c r="A429" s="14">
        <v>424</v>
      </c>
      <c r="B429" s="15" t="s">
        <v>102</v>
      </c>
      <c r="C429" s="15" t="s">
        <v>199</v>
      </c>
      <c r="D429" s="16">
        <v>9410831.0537999999</v>
      </c>
      <c r="E429" s="16">
        <v>2133442.2788</v>
      </c>
      <c r="F429" s="17">
        <f t="shared" si="6"/>
        <v>11544273.332599999</v>
      </c>
      <c r="G429" s="18"/>
      <c r="H429" s="18"/>
      <c r="I429" s="19"/>
      <c r="J429" s="19"/>
      <c r="K429" s="19"/>
      <c r="L429" s="19"/>
      <c r="M429" s="18"/>
      <c r="N429" s="18"/>
      <c r="O429" s="19"/>
      <c r="P429" s="19"/>
      <c r="Q429" s="19"/>
    </row>
    <row r="430" spans="1:17" ht="17.649999999999999">
      <c r="A430" s="14">
        <v>425</v>
      </c>
      <c r="B430" s="15" t="s">
        <v>102</v>
      </c>
      <c r="C430" s="15" t="s">
        <v>201</v>
      </c>
      <c r="D430" s="16">
        <v>9008752.6776000001</v>
      </c>
      <c r="E430" s="16">
        <v>2042290.8171000001</v>
      </c>
      <c r="F430" s="17">
        <f t="shared" si="6"/>
        <v>11051043.4947</v>
      </c>
      <c r="G430" s="18"/>
      <c r="H430" s="18"/>
      <c r="I430" s="19"/>
      <c r="J430" s="19"/>
      <c r="K430" s="19"/>
      <c r="L430" s="19"/>
      <c r="M430" s="18"/>
      <c r="N430" s="18"/>
      <c r="O430" s="19"/>
      <c r="P430" s="19"/>
      <c r="Q430" s="19"/>
    </row>
    <row r="431" spans="1:17" ht="17.649999999999999">
      <c r="A431" s="14">
        <v>426</v>
      </c>
      <c r="B431" s="15" t="s">
        <v>102</v>
      </c>
      <c r="C431" s="15" t="s">
        <v>203</v>
      </c>
      <c r="D431" s="16">
        <v>9879124.8487999998</v>
      </c>
      <c r="E431" s="16">
        <v>2239604.8245000001</v>
      </c>
      <c r="F431" s="17">
        <f t="shared" si="6"/>
        <v>12118729.6733</v>
      </c>
      <c r="G431" s="18"/>
      <c r="H431" s="18"/>
      <c r="I431" s="19"/>
      <c r="J431" s="19"/>
      <c r="K431" s="19"/>
      <c r="L431" s="19"/>
      <c r="M431" s="18"/>
      <c r="N431" s="18"/>
      <c r="O431" s="19"/>
      <c r="P431" s="19"/>
      <c r="Q431" s="19"/>
    </row>
    <row r="432" spans="1:17" ht="17.649999999999999">
      <c r="A432" s="14">
        <v>427</v>
      </c>
      <c r="B432" s="15" t="s">
        <v>102</v>
      </c>
      <c r="C432" s="15" t="s">
        <v>205</v>
      </c>
      <c r="D432" s="16">
        <v>7866969.3187999995</v>
      </c>
      <c r="E432" s="16">
        <v>1783447.6950000001</v>
      </c>
      <c r="F432" s="17">
        <f t="shared" si="6"/>
        <v>9650417.0137999989</v>
      </c>
      <c r="G432" s="18"/>
      <c r="H432" s="18"/>
      <c r="I432" s="19"/>
      <c r="J432" s="19"/>
      <c r="K432" s="19"/>
      <c r="L432" s="19"/>
      <c r="M432" s="18"/>
      <c r="N432" s="18"/>
      <c r="O432" s="19"/>
      <c r="P432" s="19"/>
      <c r="Q432" s="19"/>
    </row>
    <row r="433" spans="1:17" ht="17.649999999999999">
      <c r="A433" s="14">
        <v>428</v>
      </c>
      <c r="B433" s="15" t="s">
        <v>102</v>
      </c>
      <c r="C433" s="15" t="s">
        <v>102</v>
      </c>
      <c r="D433" s="16">
        <v>10834895.8968</v>
      </c>
      <c r="E433" s="16">
        <v>2456278.8196999999</v>
      </c>
      <c r="F433" s="17">
        <f t="shared" si="6"/>
        <v>13291174.716499999</v>
      </c>
      <c r="G433" s="18"/>
      <c r="H433" s="18"/>
      <c r="I433" s="19"/>
      <c r="J433" s="19"/>
      <c r="K433" s="19"/>
      <c r="L433" s="19"/>
      <c r="M433" s="18"/>
      <c r="N433" s="18"/>
      <c r="O433" s="19"/>
      <c r="P433" s="19"/>
      <c r="Q433" s="19"/>
    </row>
    <row r="434" spans="1:17" ht="17.649999999999999">
      <c r="A434" s="14">
        <v>429</v>
      </c>
      <c r="B434" s="15" t="s">
        <v>102</v>
      </c>
      <c r="C434" s="15" t="s">
        <v>209</v>
      </c>
      <c r="D434" s="16">
        <v>7623898.4589</v>
      </c>
      <c r="E434" s="16">
        <v>1728343.3533999999</v>
      </c>
      <c r="F434" s="17">
        <f t="shared" si="6"/>
        <v>9352241.8123000003</v>
      </c>
      <c r="G434" s="18"/>
      <c r="H434" s="18"/>
      <c r="I434" s="19"/>
      <c r="J434" s="19"/>
      <c r="K434" s="19"/>
      <c r="L434" s="19"/>
      <c r="M434" s="18"/>
      <c r="N434" s="18"/>
      <c r="O434" s="19"/>
      <c r="P434" s="19"/>
      <c r="Q434" s="19"/>
    </row>
    <row r="435" spans="1:17" ht="17.649999999999999">
      <c r="A435" s="14">
        <v>430</v>
      </c>
      <c r="B435" s="15" t="s">
        <v>102</v>
      </c>
      <c r="C435" s="15" t="s">
        <v>211</v>
      </c>
      <c r="D435" s="16">
        <v>7202563.0401999997</v>
      </c>
      <c r="E435" s="16">
        <v>1632826.3060000001</v>
      </c>
      <c r="F435" s="17">
        <f t="shared" si="6"/>
        <v>8835389.3462000005</v>
      </c>
      <c r="G435" s="18"/>
      <c r="H435" s="18"/>
      <c r="I435" s="19"/>
      <c r="J435" s="19"/>
      <c r="K435" s="19"/>
      <c r="L435" s="19"/>
      <c r="M435" s="18"/>
      <c r="N435" s="18"/>
      <c r="O435" s="19"/>
      <c r="P435" s="19"/>
      <c r="Q435" s="19"/>
    </row>
    <row r="436" spans="1:17" ht="17.649999999999999">
      <c r="A436" s="14">
        <v>431</v>
      </c>
      <c r="B436" s="15" t="s">
        <v>102</v>
      </c>
      <c r="C436" s="15" t="s">
        <v>213</v>
      </c>
      <c r="D436" s="16">
        <v>8761809.9801000003</v>
      </c>
      <c r="E436" s="16">
        <v>1986308.727</v>
      </c>
      <c r="F436" s="17">
        <f t="shared" si="6"/>
        <v>10748118.7071</v>
      </c>
      <c r="G436" s="18"/>
      <c r="H436" s="18"/>
      <c r="I436" s="19"/>
      <c r="J436" s="19"/>
      <c r="K436" s="19"/>
      <c r="L436" s="19"/>
      <c r="M436" s="18"/>
      <c r="N436" s="18"/>
      <c r="O436" s="19"/>
      <c r="P436" s="19"/>
      <c r="Q436" s="19"/>
    </row>
    <row r="437" spans="1:17" ht="17.649999999999999">
      <c r="A437" s="14">
        <v>432</v>
      </c>
      <c r="B437" s="15" t="s">
        <v>102</v>
      </c>
      <c r="C437" s="15" t="s">
        <v>215</v>
      </c>
      <c r="D437" s="16">
        <v>8719053.0741000008</v>
      </c>
      <c r="E437" s="16">
        <v>1976615.7052</v>
      </c>
      <c r="F437" s="17">
        <f t="shared" si="6"/>
        <v>10695668.779300001</v>
      </c>
      <c r="G437" s="18"/>
      <c r="H437" s="18"/>
      <c r="I437" s="19"/>
      <c r="J437" s="19"/>
      <c r="K437" s="19"/>
      <c r="L437" s="19"/>
      <c r="M437" s="18"/>
      <c r="N437" s="18"/>
      <c r="O437" s="19"/>
      <c r="P437" s="19"/>
      <c r="Q437" s="19"/>
    </row>
    <row r="438" spans="1:17" ht="17.649999999999999">
      <c r="A438" s="14">
        <v>433</v>
      </c>
      <c r="B438" s="15" t="s">
        <v>102</v>
      </c>
      <c r="C438" s="15" t="s">
        <v>217</v>
      </c>
      <c r="D438" s="16">
        <v>8270648.4276999999</v>
      </c>
      <c r="E438" s="16">
        <v>1874962.0441000001</v>
      </c>
      <c r="F438" s="17">
        <f t="shared" si="6"/>
        <v>10145610.471799999</v>
      </c>
      <c r="G438" s="18"/>
      <c r="H438" s="18"/>
      <c r="I438" s="19"/>
      <c r="J438" s="19"/>
      <c r="K438" s="19"/>
      <c r="L438" s="19"/>
      <c r="M438" s="18"/>
      <c r="N438" s="18"/>
      <c r="O438" s="19"/>
      <c r="P438" s="19"/>
      <c r="Q438" s="19"/>
    </row>
    <row r="439" spans="1:17" ht="17.649999999999999">
      <c r="A439" s="14">
        <v>434</v>
      </c>
      <c r="B439" s="15" t="s">
        <v>102</v>
      </c>
      <c r="C439" s="15" t="s">
        <v>219</v>
      </c>
      <c r="D439" s="16">
        <v>8444350.8452000003</v>
      </c>
      <c r="E439" s="16">
        <v>1914340.5090999999</v>
      </c>
      <c r="F439" s="17">
        <f t="shared" si="6"/>
        <v>10358691.3543</v>
      </c>
      <c r="G439" s="18"/>
      <c r="H439" s="18"/>
      <c r="I439" s="19"/>
      <c r="J439" s="19"/>
      <c r="K439" s="19"/>
      <c r="L439" s="19"/>
      <c r="M439" s="18"/>
      <c r="N439" s="18"/>
      <c r="O439" s="19"/>
      <c r="P439" s="19"/>
      <c r="Q439" s="19"/>
    </row>
    <row r="440" spans="1:17" ht="17.649999999999999">
      <c r="A440" s="14">
        <v>435</v>
      </c>
      <c r="B440" s="15" t="s">
        <v>102</v>
      </c>
      <c r="C440" s="15" t="s">
        <v>221</v>
      </c>
      <c r="D440" s="16">
        <v>7112799.8466999996</v>
      </c>
      <c r="E440" s="16">
        <v>1612476.9243999999</v>
      </c>
      <c r="F440" s="17">
        <f t="shared" si="6"/>
        <v>8725276.7710999995</v>
      </c>
      <c r="G440" s="18"/>
      <c r="H440" s="18"/>
      <c r="I440" s="19"/>
      <c r="J440" s="19"/>
      <c r="K440" s="19"/>
      <c r="L440" s="19"/>
      <c r="M440" s="18"/>
      <c r="N440" s="18"/>
      <c r="O440" s="19"/>
      <c r="P440" s="19"/>
      <c r="Q440" s="19"/>
    </row>
    <row r="441" spans="1:17" ht="17.649999999999999">
      <c r="A441" s="14">
        <v>436</v>
      </c>
      <c r="B441" s="15" t="s">
        <v>102</v>
      </c>
      <c r="C441" s="15" t="s">
        <v>223</v>
      </c>
      <c r="D441" s="16">
        <v>8510915.0253999997</v>
      </c>
      <c r="E441" s="16">
        <v>1929430.6573999999</v>
      </c>
      <c r="F441" s="17">
        <f t="shared" si="6"/>
        <v>10440345.682799999</v>
      </c>
      <c r="G441" s="18"/>
      <c r="H441" s="18"/>
      <c r="I441" s="19"/>
      <c r="J441" s="19"/>
      <c r="K441" s="19"/>
      <c r="L441" s="19"/>
      <c r="M441" s="18"/>
      <c r="N441" s="18"/>
      <c r="O441" s="19"/>
      <c r="P441" s="19"/>
      <c r="Q441" s="19"/>
    </row>
    <row r="442" spans="1:17" ht="17.649999999999999">
      <c r="A442" s="14">
        <v>437</v>
      </c>
      <c r="B442" s="15" t="s">
        <v>102</v>
      </c>
      <c r="C442" s="15" t="s">
        <v>225</v>
      </c>
      <c r="D442" s="16">
        <v>7677357.6177000003</v>
      </c>
      <c r="E442" s="16">
        <v>1740462.5837999999</v>
      </c>
      <c r="F442" s="17">
        <f t="shared" si="6"/>
        <v>9417820.2015000004</v>
      </c>
      <c r="G442" s="18"/>
      <c r="H442" s="18"/>
      <c r="I442" s="19"/>
      <c r="J442" s="19"/>
      <c r="K442" s="19"/>
      <c r="L442" s="19"/>
      <c r="M442" s="18"/>
      <c r="N442" s="18"/>
      <c r="O442" s="19"/>
      <c r="P442" s="19"/>
      <c r="Q442" s="19"/>
    </row>
    <row r="443" spans="1:17" ht="17.649999999999999">
      <c r="A443" s="14">
        <v>438</v>
      </c>
      <c r="B443" s="15" t="s">
        <v>102</v>
      </c>
      <c r="C443" s="15" t="s">
        <v>227</v>
      </c>
      <c r="D443" s="16">
        <v>7954415.4984999998</v>
      </c>
      <c r="E443" s="16">
        <v>1803271.8078999999</v>
      </c>
      <c r="F443" s="17">
        <f t="shared" si="6"/>
        <v>9757687.3063999992</v>
      </c>
      <c r="G443" s="18"/>
      <c r="H443" s="18"/>
      <c r="I443" s="19"/>
      <c r="J443" s="19"/>
      <c r="K443" s="19"/>
      <c r="L443" s="19"/>
      <c r="M443" s="18"/>
      <c r="N443" s="18"/>
      <c r="O443" s="19"/>
      <c r="P443" s="19"/>
      <c r="Q443" s="19"/>
    </row>
    <row r="444" spans="1:17" ht="17.649999999999999">
      <c r="A444" s="14">
        <v>439</v>
      </c>
      <c r="B444" s="15" t="s">
        <v>102</v>
      </c>
      <c r="C444" s="15" t="s">
        <v>229</v>
      </c>
      <c r="D444" s="16">
        <v>8534924.5379000008</v>
      </c>
      <c r="E444" s="16">
        <v>1934873.6314000001</v>
      </c>
      <c r="F444" s="17">
        <f t="shared" si="6"/>
        <v>10469798.169300001</v>
      </c>
      <c r="G444" s="18"/>
      <c r="H444" s="18"/>
      <c r="I444" s="19"/>
      <c r="J444" s="19"/>
      <c r="K444" s="19"/>
      <c r="L444" s="19"/>
      <c r="M444" s="18"/>
      <c r="N444" s="18"/>
      <c r="O444" s="19"/>
      <c r="P444" s="19"/>
      <c r="Q444" s="19"/>
    </row>
    <row r="445" spans="1:17" ht="17.649999999999999">
      <c r="A445" s="14">
        <v>440</v>
      </c>
      <c r="B445" s="15" t="s">
        <v>102</v>
      </c>
      <c r="C445" s="15" t="s">
        <v>231</v>
      </c>
      <c r="D445" s="16">
        <v>8271949.6453999998</v>
      </c>
      <c r="E445" s="16">
        <v>1875257.0311</v>
      </c>
      <c r="F445" s="17">
        <f t="shared" si="6"/>
        <v>10147206.6765</v>
      </c>
      <c r="G445" s="18"/>
      <c r="H445" s="18"/>
      <c r="I445" s="19"/>
      <c r="J445" s="19"/>
      <c r="K445" s="19"/>
      <c r="L445" s="19"/>
      <c r="M445" s="18"/>
      <c r="N445" s="18"/>
      <c r="O445" s="19"/>
      <c r="P445" s="19"/>
      <c r="Q445" s="19"/>
    </row>
    <row r="446" spans="1:17" ht="17.649999999999999">
      <c r="A446" s="14">
        <v>441</v>
      </c>
      <c r="B446" s="15" t="s">
        <v>102</v>
      </c>
      <c r="C446" s="15" t="s">
        <v>233</v>
      </c>
      <c r="D446" s="16">
        <v>8107189.3472999996</v>
      </c>
      <c r="E446" s="16">
        <v>1837905.7511</v>
      </c>
      <c r="F446" s="17">
        <f t="shared" si="6"/>
        <v>9945095.0984000005</v>
      </c>
      <c r="G446" s="18"/>
      <c r="H446" s="18"/>
      <c r="I446" s="19"/>
      <c r="J446" s="19"/>
      <c r="K446" s="19"/>
      <c r="L446" s="19"/>
      <c r="M446" s="18"/>
      <c r="N446" s="18"/>
      <c r="O446" s="19"/>
      <c r="P446" s="19"/>
      <c r="Q446" s="19"/>
    </row>
    <row r="447" spans="1:17" ht="17.649999999999999">
      <c r="A447" s="14">
        <v>442</v>
      </c>
      <c r="B447" s="15" t="s">
        <v>103</v>
      </c>
      <c r="C447" s="15" t="s">
        <v>237</v>
      </c>
      <c r="D447" s="16">
        <v>6491133.3782000002</v>
      </c>
      <c r="E447" s="16">
        <v>1471544.6816</v>
      </c>
      <c r="F447" s="17">
        <f t="shared" si="6"/>
        <v>7962678.0597999999</v>
      </c>
      <c r="G447" s="18"/>
      <c r="H447" s="18"/>
      <c r="I447" s="19"/>
      <c r="J447" s="19"/>
      <c r="K447" s="19"/>
      <c r="L447" s="19"/>
      <c r="M447" s="18"/>
      <c r="N447" s="18"/>
      <c r="O447" s="19"/>
      <c r="P447" s="19"/>
      <c r="Q447" s="19"/>
    </row>
    <row r="448" spans="1:17" ht="17.649999999999999">
      <c r="A448" s="14">
        <v>443</v>
      </c>
      <c r="B448" s="15" t="s">
        <v>103</v>
      </c>
      <c r="C448" s="15" t="s">
        <v>239</v>
      </c>
      <c r="D448" s="16">
        <v>10606254.8946</v>
      </c>
      <c r="E448" s="16">
        <v>2404445.7374</v>
      </c>
      <c r="F448" s="17">
        <f t="shared" si="6"/>
        <v>13010700.631999999</v>
      </c>
      <c r="G448" s="18"/>
      <c r="H448" s="18"/>
      <c r="I448" s="19"/>
      <c r="J448" s="19"/>
      <c r="K448" s="19"/>
      <c r="L448" s="19"/>
      <c r="M448" s="18"/>
      <c r="N448" s="18"/>
      <c r="O448" s="19"/>
      <c r="P448" s="19"/>
      <c r="Q448" s="19"/>
    </row>
    <row r="449" spans="1:17" ht="17.649999999999999">
      <c r="A449" s="14">
        <v>444</v>
      </c>
      <c r="B449" s="15" t="s">
        <v>103</v>
      </c>
      <c r="C449" s="15" t="s">
        <v>241</v>
      </c>
      <c r="D449" s="16">
        <v>8933561.0427000001</v>
      </c>
      <c r="E449" s="16">
        <v>2025244.8185000001</v>
      </c>
      <c r="F449" s="17">
        <f t="shared" si="6"/>
        <v>10958805.861200001</v>
      </c>
      <c r="G449" s="18"/>
      <c r="H449" s="18"/>
      <c r="I449" s="19"/>
      <c r="J449" s="19"/>
      <c r="K449" s="19"/>
      <c r="L449" s="19"/>
      <c r="M449" s="18"/>
      <c r="N449" s="18"/>
      <c r="O449" s="19"/>
      <c r="P449" s="19"/>
      <c r="Q449" s="19"/>
    </row>
    <row r="450" spans="1:17" ht="17.649999999999999">
      <c r="A450" s="14">
        <v>445</v>
      </c>
      <c r="B450" s="15" t="s">
        <v>103</v>
      </c>
      <c r="C450" s="15" t="s">
        <v>243</v>
      </c>
      <c r="D450" s="16">
        <v>7376159.1107000001</v>
      </c>
      <c r="E450" s="16">
        <v>1672180.6621000001</v>
      </c>
      <c r="F450" s="17">
        <f t="shared" si="6"/>
        <v>9048339.7728000004</v>
      </c>
      <c r="G450" s="18"/>
      <c r="H450" s="18"/>
      <c r="I450" s="19"/>
      <c r="J450" s="19"/>
      <c r="K450" s="19"/>
      <c r="L450" s="19"/>
      <c r="M450" s="18"/>
      <c r="N450" s="18"/>
      <c r="O450" s="19"/>
      <c r="P450" s="19"/>
      <c r="Q450" s="19"/>
    </row>
    <row r="451" spans="1:17" ht="17.649999999999999">
      <c r="A451" s="14">
        <v>446</v>
      </c>
      <c r="B451" s="15" t="s">
        <v>103</v>
      </c>
      <c r="C451" s="15" t="s">
        <v>245</v>
      </c>
      <c r="D451" s="16">
        <v>9823606.0659999996</v>
      </c>
      <c r="E451" s="16">
        <v>2227018.6757999999</v>
      </c>
      <c r="F451" s="17">
        <f t="shared" si="6"/>
        <v>12050624.741799999</v>
      </c>
      <c r="G451" s="18"/>
      <c r="H451" s="18"/>
      <c r="I451" s="19"/>
      <c r="J451" s="19"/>
      <c r="K451" s="19"/>
      <c r="L451" s="19"/>
      <c r="M451" s="18"/>
      <c r="N451" s="18"/>
      <c r="O451" s="19"/>
      <c r="P451" s="19"/>
      <c r="Q451" s="19"/>
    </row>
    <row r="452" spans="1:17" ht="17.649999999999999">
      <c r="A452" s="14">
        <v>447</v>
      </c>
      <c r="B452" s="15" t="s">
        <v>103</v>
      </c>
      <c r="C452" s="15" t="s">
        <v>247</v>
      </c>
      <c r="D452" s="16">
        <v>12018587.767200001</v>
      </c>
      <c r="E452" s="16">
        <v>2724622.6318999999</v>
      </c>
      <c r="F452" s="17">
        <f t="shared" si="6"/>
        <v>14743210.3991</v>
      </c>
      <c r="G452" s="18"/>
      <c r="H452" s="18"/>
      <c r="I452" s="19"/>
      <c r="J452" s="19"/>
      <c r="K452" s="19"/>
      <c r="L452" s="19"/>
      <c r="M452" s="18"/>
      <c r="N452" s="18"/>
      <c r="O452" s="19"/>
      <c r="P452" s="19"/>
      <c r="Q452" s="19"/>
    </row>
    <row r="453" spans="1:17" ht="17.649999999999999">
      <c r="A453" s="14">
        <v>448</v>
      </c>
      <c r="B453" s="15" t="s">
        <v>103</v>
      </c>
      <c r="C453" s="15" t="s">
        <v>249</v>
      </c>
      <c r="D453" s="16">
        <v>8187931.2538000001</v>
      </c>
      <c r="E453" s="16">
        <v>1856210.0003</v>
      </c>
      <c r="F453" s="17">
        <f t="shared" si="6"/>
        <v>10044141.2541</v>
      </c>
      <c r="G453" s="18"/>
      <c r="H453" s="18"/>
      <c r="I453" s="19"/>
      <c r="J453" s="19"/>
      <c r="K453" s="19"/>
      <c r="L453" s="19"/>
      <c r="M453" s="18"/>
      <c r="N453" s="18"/>
      <c r="O453" s="19"/>
      <c r="P453" s="19"/>
      <c r="Q453" s="19"/>
    </row>
    <row r="454" spans="1:17" ht="17.649999999999999">
      <c r="A454" s="14">
        <v>449</v>
      </c>
      <c r="B454" s="15" t="s">
        <v>103</v>
      </c>
      <c r="C454" s="15" t="s">
        <v>251</v>
      </c>
      <c r="D454" s="16">
        <v>8698487.7901000008</v>
      </c>
      <c r="E454" s="16">
        <v>1971953.5403</v>
      </c>
      <c r="F454" s="17">
        <f t="shared" si="6"/>
        <v>10670441.330400001</v>
      </c>
      <c r="G454" s="18"/>
      <c r="H454" s="18"/>
      <c r="I454" s="19"/>
      <c r="J454" s="19"/>
      <c r="K454" s="19"/>
      <c r="L454" s="19"/>
      <c r="M454" s="18"/>
      <c r="N454" s="18"/>
      <c r="O454" s="19"/>
      <c r="P454" s="19"/>
      <c r="Q454" s="19"/>
    </row>
    <row r="455" spans="1:17" ht="17.649999999999999">
      <c r="A455" s="14">
        <v>450</v>
      </c>
      <c r="B455" s="15" t="s">
        <v>103</v>
      </c>
      <c r="C455" s="15" t="s">
        <v>253</v>
      </c>
      <c r="D455" s="16">
        <v>10806252.338300001</v>
      </c>
      <c r="E455" s="16">
        <v>2449785.3040999998</v>
      </c>
      <c r="F455" s="17">
        <f t="shared" ref="F455:F518" si="7">D455+E455</f>
        <v>13256037.6424</v>
      </c>
      <c r="G455" s="18"/>
      <c r="H455" s="18"/>
      <c r="I455" s="19"/>
      <c r="J455" s="19"/>
      <c r="K455" s="19"/>
      <c r="L455" s="19"/>
      <c r="M455" s="18"/>
      <c r="N455" s="18"/>
      <c r="O455" s="19"/>
      <c r="P455" s="19"/>
      <c r="Q455" s="19"/>
    </row>
    <row r="456" spans="1:17" ht="17.649999999999999">
      <c r="A456" s="14">
        <v>451</v>
      </c>
      <c r="B456" s="15" t="s">
        <v>103</v>
      </c>
      <c r="C456" s="15" t="s">
        <v>255</v>
      </c>
      <c r="D456" s="16">
        <v>7524473.0623000003</v>
      </c>
      <c r="E456" s="16">
        <v>1705803.5433</v>
      </c>
      <c r="F456" s="17">
        <f t="shared" si="7"/>
        <v>9230276.6055999994</v>
      </c>
      <c r="G456" s="18"/>
      <c r="H456" s="18"/>
      <c r="I456" s="19"/>
      <c r="J456" s="19"/>
      <c r="K456" s="19"/>
      <c r="L456" s="19"/>
      <c r="M456" s="18"/>
      <c r="N456" s="18"/>
      <c r="O456" s="19"/>
      <c r="P456" s="19"/>
      <c r="Q456" s="19"/>
    </row>
    <row r="457" spans="1:17" ht="17.649999999999999">
      <c r="A457" s="14">
        <v>452</v>
      </c>
      <c r="B457" s="15" t="s">
        <v>103</v>
      </c>
      <c r="C457" s="15" t="s">
        <v>257</v>
      </c>
      <c r="D457" s="16">
        <v>7947807.3279999997</v>
      </c>
      <c r="E457" s="16">
        <v>1801773.7308</v>
      </c>
      <c r="F457" s="17">
        <f t="shared" si="7"/>
        <v>9749581.0588000007</v>
      </c>
      <c r="G457" s="18"/>
      <c r="H457" s="18"/>
      <c r="I457" s="19"/>
      <c r="J457" s="19"/>
      <c r="K457" s="19"/>
      <c r="L457" s="19"/>
      <c r="M457" s="18"/>
      <c r="N457" s="18"/>
      <c r="O457" s="19"/>
      <c r="P457" s="19"/>
      <c r="Q457" s="19"/>
    </row>
    <row r="458" spans="1:17" ht="17.649999999999999">
      <c r="A458" s="14">
        <v>453</v>
      </c>
      <c r="B458" s="15" t="s">
        <v>103</v>
      </c>
      <c r="C458" s="15" t="s">
        <v>259</v>
      </c>
      <c r="D458" s="16">
        <v>8768159.0451999996</v>
      </c>
      <c r="E458" s="16">
        <v>1987748.0647</v>
      </c>
      <c r="F458" s="17">
        <f t="shared" si="7"/>
        <v>10755907.1099</v>
      </c>
      <c r="G458" s="18"/>
      <c r="H458" s="18"/>
      <c r="I458" s="19"/>
      <c r="J458" s="19"/>
      <c r="K458" s="19"/>
      <c r="L458" s="19"/>
      <c r="M458" s="18"/>
      <c r="N458" s="18"/>
      <c r="O458" s="19"/>
      <c r="P458" s="19"/>
      <c r="Q458" s="19"/>
    </row>
    <row r="459" spans="1:17" ht="17.649999999999999">
      <c r="A459" s="14">
        <v>454</v>
      </c>
      <c r="B459" s="15" t="s">
        <v>103</v>
      </c>
      <c r="C459" s="15" t="s">
        <v>261</v>
      </c>
      <c r="D459" s="16">
        <v>7297023.5708999997</v>
      </c>
      <c r="E459" s="16">
        <v>1654240.5774000001</v>
      </c>
      <c r="F459" s="17">
        <f t="shared" si="7"/>
        <v>8951264.1482999995</v>
      </c>
      <c r="G459" s="18"/>
      <c r="H459" s="18"/>
      <c r="I459" s="19"/>
      <c r="J459" s="19"/>
      <c r="K459" s="19"/>
      <c r="L459" s="19"/>
      <c r="M459" s="18"/>
      <c r="N459" s="18"/>
      <c r="O459" s="19"/>
      <c r="P459" s="19"/>
      <c r="Q459" s="19"/>
    </row>
    <row r="460" spans="1:17" ht="17.649999999999999">
      <c r="A460" s="14">
        <v>455</v>
      </c>
      <c r="B460" s="15" t="s">
        <v>103</v>
      </c>
      <c r="C460" s="15" t="s">
        <v>263</v>
      </c>
      <c r="D460" s="16">
        <v>8373811.4301000005</v>
      </c>
      <c r="E460" s="16">
        <v>1898349.1721999999</v>
      </c>
      <c r="F460" s="17">
        <f t="shared" si="7"/>
        <v>10272160.602299999</v>
      </c>
      <c r="G460" s="18"/>
      <c r="H460" s="18"/>
      <c r="I460" s="19"/>
      <c r="J460" s="19"/>
      <c r="K460" s="19"/>
      <c r="L460" s="19"/>
      <c r="M460" s="18"/>
      <c r="N460" s="18"/>
      <c r="O460" s="19"/>
      <c r="P460" s="19"/>
      <c r="Q460" s="19"/>
    </row>
    <row r="461" spans="1:17" ht="17.649999999999999">
      <c r="A461" s="14">
        <v>456</v>
      </c>
      <c r="B461" s="15" t="s">
        <v>103</v>
      </c>
      <c r="C461" s="15" t="s">
        <v>265</v>
      </c>
      <c r="D461" s="16">
        <v>9687706.9258999992</v>
      </c>
      <c r="E461" s="16">
        <v>2196210.2414000002</v>
      </c>
      <c r="F461" s="17">
        <f t="shared" si="7"/>
        <v>11883917.167299999</v>
      </c>
      <c r="G461" s="18"/>
      <c r="H461" s="18"/>
      <c r="I461" s="19"/>
      <c r="J461" s="19"/>
      <c r="K461" s="19"/>
      <c r="L461" s="19"/>
      <c r="M461" s="18"/>
      <c r="N461" s="18"/>
      <c r="O461" s="19"/>
      <c r="P461" s="19"/>
      <c r="Q461" s="19"/>
    </row>
    <row r="462" spans="1:17" ht="17.649999999999999">
      <c r="A462" s="14">
        <v>457</v>
      </c>
      <c r="B462" s="15" t="s">
        <v>103</v>
      </c>
      <c r="C462" s="15" t="s">
        <v>267</v>
      </c>
      <c r="D462" s="16">
        <v>7761730.6305</v>
      </c>
      <c r="E462" s="16">
        <v>1759590.0075000001</v>
      </c>
      <c r="F462" s="17">
        <f t="shared" si="7"/>
        <v>9521320.6380000003</v>
      </c>
      <c r="G462" s="18"/>
      <c r="H462" s="18"/>
      <c r="I462" s="19"/>
      <c r="J462" s="19"/>
      <c r="K462" s="19"/>
      <c r="L462" s="19"/>
      <c r="M462" s="18"/>
      <c r="N462" s="18"/>
      <c r="O462" s="19"/>
      <c r="P462" s="19"/>
      <c r="Q462" s="19"/>
    </row>
    <row r="463" spans="1:17" ht="17.649999999999999">
      <c r="A463" s="14">
        <v>458</v>
      </c>
      <c r="B463" s="15" t="s">
        <v>103</v>
      </c>
      <c r="C463" s="15" t="s">
        <v>269</v>
      </c>
      <c r="D463" s="16">
        <v>7648943.4914999995</v>
      </c>
      <c r="E463" s="16">
        <v>1734021.0806</v>
      </c>
      <c r="F463" s="17">
        <f t="shared" si="7"/>
        <v>9382964.5720999986</v>
      </c>
      <c r="G463" s="18"/>
      <c r="H463" s="18"/>
      <c r="I463" s="19"/>
      <c r="J463" s="19"/>
      <c r="K463" s="19"/>
      <c r="L463" s="19"/>
      <c r="M463" s="18"/>
      <c r="N463" s="18"/>
      <c r="O463" s="19"/>
      <c r="P463" s="19"/>
      <c r="Q463" s="19"/>
    </row>
    <row r="464" spans="1:17" ht="17.649999999999999">
      <c r="A464" s="14">
        <v>459</v>
      </c>
      <c r="B464" s="15" t="s">
        <v>103</v>
      </c>
      <c r="C464" s="15" t="s">
        <v>272</v>
      </c>
      <c r="D464" s="16">
        <v>7937685.7335000001</v>
      </c>
      <c r="E464" s="16">
        <v>1799479.1579</v>
      </c>
      <c r="F464" s="17">
        <f t="shared" si="7"/>
        <v>9737164.8914000001</v>
      </c>
      <c r="G464" s="18"/>
      <c r="H464" s="18"/>
      <c r="I464" s="19"/>
      <c r="J464" s="19"/>
      <c r="K464" s="19"/>
      <c r="L464" s="19"/>
      <c r="M464" s="18"/>
      <c r="N464" s="18"/>
      <c r="O464" s="19"/>
      <c r="P464" s="19"/>
      <c r="Q464" s="19"/>
    </row>
    <row r="465" spans="1:17" ht="17.649999999999999">
      <c r="A465" s="14">
        <v>460</v>
      </c>
      <c r="B465" s="15" t="s">
        <v>103</v>
      </c>
      <c r="C465" s="15" t="s">
        <v>274</v>
      </c>
      <c r="D465" s="16">
        <v>9603537.8431000002</v>
      </c>
      <c r="E465" s="16">
        <v>2177129.0488</v>
      </c>
      <c r="F465" s="17">
        <f t="shared" si="7"/>
        <v>11780666.891899999</v>
      </c>
      <c r="G465" s="18"/>
      <c r="H465" s="18"/>
      <c r="I465" s="19"/>
      <c r="J465" s="19"/>
      <c r="K465" s="19"/>
      <c r="L465" s="19"/>
      <c r="M465" s="18"/>
      <c r="N465" s="18"/>
      <c r="O465" s="19"/>
      <c r="P465" s="19"/>
      <c r="Q465" s="19"/>
    </row>
    <row r="466" spans="1:17" ht="17.649999999999999">
      <c r="A466" s="14">
        <v>461</v>
      </c>
      <c r="B466" s="15" t="s">
        <v>103</v>
      </c>
      <c r="C466" s="15" t="s">
        <v>276</v>
      </c>
      <c r="D466" s="16">
        <v>7379654.8997999998</v>
      </c>
      <c r="E466" s="16">
        <v>1672973.16</v>
      </c>
      <c r="F466" s="17">
        <f t="shared" si="7"/>
        <v>9052628.059799999</v>
      </c>
      <c r="G466" s="18"/>
      <c r="H466" s="18"/>
      <c r="I466" s="19"/>
      <c r="J466" s="19"/>
      <c r="K466" s="19"/>
      <c r="L466" s="19"/>
      <c r="M466" s="18"/>
      <c r="N466" s="18"/>
      <c r="O466" s="19"/>
      <c r="P466" s="19"/>
      <c r="Q466" s="19"/>
    </row>
    <row r="467" spans="1:17" ht="17.649999999999999">
      <c r="A467" s="14">
        <v>462</v>
      </c>
      <c r="B467" s="15" t="s">
        <v>103</v>
      </c>
      <c r="C467" s="15" t="s">
        <v>278</v>
      </c>
      <c r="D467" s="16">
        <v>8814613.0576000009</v>
      </c>
      <c r="E467" s="16">
        <v>1998279.2233</v>
      </c>
      <c r="F467" s="17">
        <f t="shared" si="7"/>
        <v>10812892.280900002</v>
      </c>
      <c r="G467" s="18"/>
      <c r="H467" s="18"/>
      <c r="I467" s="19"/>
      <c r="J467" s="19"/>
      <c r="K467" s="19"/>
      <c r="L467" s="19"/>
      <c r="M467" s="18"/>
      <c r="N467" s="18"/>
      <c r="O467" s="19"/>
      <c r="P467" s="19"/>
      <c r="Q467" s="19"/>
    </row>
    <row r="468" spans="1:17" ht="17.649999999999999">
      <c r="A468" s="14">
        <v>463</v>
      </c>
      <c r="B468" s="15" t="s">
        <v>104</v>
      </c>
      <c r="C468" s="15" t="s">
        <v>282</v>
      </c>
      <c r="D468" s="16">
        <v>9415272.1272</v>
      </c>
      <c r="E468" s="16">
        <v>2134449.0734000001</v>
      </c>
      <c r="F468" s="17">
        <f t="shared" si="7"/>
        <v>11549721.2006</v>
      </c>
      <c r="G468" s="18"/>
      <c r="H468" s="18"/>
      <c r="I468" s="19"/>
      <c r="J468" s="19"/>
      <c r="K468" s="19"/>
      <c r="L468" s="19"/>
      <c r="M468" s="18"/>
      <c r="N468" s="18"/>
      <c r="O468" s="19"/>
      <c r="P468" s="19"/>
      <c r="Q468" s="19"/>
    </row>
    <row r="469" spans="1:17" ht="17.649999999999999">
      <c r="A469" s="14">
        <v>464</v>
      </c>
      <c r="B469" s="15" t="s">
        <v>104</v>
      </c>
      <c r="C469" s="15" t="s">
        <v>284</v>
      </c>
      <c r="D469" s="16">
        <v>8325225.2611999996</v>
      </c>
      <c r="E469" s="16">
        <v>1887334.6521000001</v>
      </c>
      <c r="F469" s="17">
        <f t="shared" si="7"/>
        <v>10212559.9133</v>
      </c>
      <c r="G469" s="18"/>
      <c r="H469" s="18"/>
      <c r="I469" s="19"/>
      <c r="J469" s="19"/>
      <c r="K469" s="19"/>
      <c r="L469" s="19"/>
      <c r="M469" s="18"/>
      <c r="N469" s="18"/>
      <c r="O469" s="19"/>
      <c r="P469" s="19"/>
      <c r="Q469" s="19"/>
    </row>
    <row r="470" spans="1:17" ht="17.649999999999999">
      <c r="A470" s="14">
        <v>465</v>
      </c>
      <c r="B470" s="15" t="s">
        <v>104</v>
      </c>
      <c r="C470" s="15" t="s">
        <v>286</v>
      </c>
      <c r="D470" s="16">
        <v>10506837.736</v>
      </c>
      <c r="E470" s="16">
        <v>2381907.7947999998</v>
      </c>
      <c r="F470" s="17">
        <f t="shared" si="7"/>
        <v>12888745.5308</v>
      </c>
      <c r="G470" s="18"/>
      <c r="H470" s="18"/>
      <c r="I470" s="19"/>
      <c r="J470" s="19"/>
      <c r="K470" s="19"/>
      <c r="L470" s="19"/>
      <c r="M470" s="18"/>
      <c r="N470" s="18"/>
      <c r="O470" s="19"/>
      <c r="P470" s="19"/>
      <c r="Q470" s="19"/>
    </row>
    <row r="471" spans="1:17" ht="17.649999999999999">
      <c r="A471" s="14">
        <v>466</v>
      </c>
      <c r="B471" s="15" t="s">
        <v>104</v>
      </c>
      <c r="C471" s="15" t="s">
        <v>288</v>
      </c>
      <c r="D471" s="16">
        <v>8319206.5113000004</v>
      </c>
      <c r="E471" s="16">
        <v>1885970.1971</v>
      </c>
      <c r="F471" s="17">
        <f t="shared" si="7"/>
        <v>10205176.7084</v>
      </c>
      <c r="G471" s="18"/>
      <c r="H471" s="18"/>
      <c r="I471" s="19"/>
      <c r="J471" s="19"/>
      <c r="K471" s="19"/>
      <c r="L471" s="19"/>
      <c r="M471" s="18"/>
      <c r="N471" s="18"/>
      <c r="O471" s="19"/>
      <c r="P471" s="19"/>
      <c r="Q471" s="19"/>
    </row>
    <row r="472" spans="1:17" ht="17.649999999999999">
      <c r="A472" s="14">
        <v>467</v>
      </c>
      <c r="B472" s="15" t="s">
        <v>104</v>
      </c>
      <c r="C472" s="15" t="s">
        <v>290</v>
      </c>
      <c r="D472" s="16">
        <v>11374939.3156</v>
      </c>
      <c r="E472" s="16">
        <v>2578707.0575000001</v>
      </c>
      <c r="F472" s="17">
        <f t="shared" si="7"/>
        <v>13953646.373100001</v>
      </c>
      <c r="G472" s="18"/>
      <c r="H472" s="18"/>
      <c r="I472" s="19"/>
      <c r="J472" s="19"/>
      <c r="K472" s="19"/>
      <c r="L472" s="19"/>
      <c r="M472" s="18"/>
      <c r="N472" s="18"/>
      <c r="O472" s="19"/>
      <c r="P472" s="19"/>
      <c r="Q472" s="19"/>
    </row>
    <row r="473" spans="1:17" ht="17.649999999999999">
      <c r="A473" s="14">
        <v>468</v>
      </c>
      <c r="B473" s="15" t="s">
        <v>104</v>
      </c>
      <c r="C473" s="15" t="s">
        <v>292</v>
      </c>
      <c r="D473" s="16">
        <v>8844098.5664000008</v>
      </c>
      <c r="E473" s="16">
        <v>2004963.6096999999</v>
      </c>
      <c r="F473" s="17">
        <f t="shared" si="7"/>
        <v>10849062.176100001</v>
      </c>
      <c r="G473" s="18"/>
      <c r="H473" s="18"/>
      <c r="I473" s="19"/>
      <c r="J473" s="19"/>
      <c r="K473" s="19"/>
      <c r="L473" s="19"/>
      <c r="M473" s="18"/>
      <c r="N473" s="18"/>
      <c r="O473" s="19"/>
      <c r="P473" s="19"/>
      <c r="Q473" s="19"/>
    </row>
    <row r="474" spans="1:17" ht="17.649999999999999">
      <c r="A474" s="14">
        <v>469</v>
      </c>
      <c r="B474" s="15" t="s">
        <v>104</v>
      </c>
      <c r="C474" s="15" t="s">
        <v>294</v>
      </c>
      <c r="D474" s="16">
        <v>7421001.8919000002</v>
      </c>
      <c r="E474" s="16">
        <v>1682346.5534000001</v>
      </c>
      <c r="F474" s="17">
        <f t="shared" si="7"/>
        <v>9103348.4452999998</v>
      </c>
      <c r="G474" s="18"/>
      <c r="H474" s="18"/>
      <c r="I474" s="19"/>
      <c r="J474" s="19"/>
      <c r="K474" s="19"/>
      <c r="L474" s="19"/>
      <c r="M474" s="18"/>
      <c r="N474" s="18"/>
      <c r="O474" s="19"/>
      <c r="P474" s="19"/>
      <c r="Q474" s="19"/>
    </row>
    <row r="475" spans="1:17" ht="17.649999999999999">
      <c r="A475" s="14">
        <v>470</v>
      </c>
      <c r="B475" s="15" t="s">
        <v>104</v>
      </c>
      <c r="C475" s="15" t="s">
        <v>296</v>
      </c>
      <c r="D475" s="16">
        <v>8695942.2333000004</v>
      </c>
      <c r="E475" s="16">
        <v>1971376.4606999999</v>
      </c>
      <c r="F475" s="17">
        <f t="shared" si="7"/>
        <v>10667318.694</v>
      </c>
      <c r="G475" s="18"/>
      <c r="H475" s="18"/>
      <c r="I475" s="19"/>
      <c r="J475" s="19"/>
      <c r="K475" s="19"/>
      <c r="L475" s="19"/>
      <c r="M475" s="18"/>
      <c r="N475" s="18"/>
      <c r="O475" s="19"/>
      <c r="P475" s="19"/>
      <c r="Q475" s="19"/>
    </row>
    <row r="476" spans="1:17" ht="17.649999999999999">
      <c r="A476" s="14">
        <v>471</v>
      </c>
      <c r="B476" s="15" t="s">
        <v>104</v>
      </c>
      <c r="C476" s="15" t="s">
        <v>298</v>
      </c>
      <c r="D476" s="16">
        <v>8528144.3138999995</v>
      </c>
      <c r="E476" s="16">
        <v>1933336.5497000001</v>
      </c>
      <c r="F476" s="17">
        <f t="shared" si="7"/>
        <v>10461480.863599999</v>
      </c>
      <c r="G476" s="18"/>
      <c r="H476" s="18"/>
      <c r="I476" s="19"/>
      <c r="J476" s="19"/>
      <c r="K476" s="19"/>
      <c r="L476" s="19"/>
      <c r="M476" s="18"/>
      <c r="N476" s="18"/>
      <c r="O476" s="19"/>
      <c r="P476" s="19"/>
      <c r="Q476" s="19"/>
    </row>
    <row r="477" spans="1:17" ht="17.649999999999999">
      <c r="A477" s="14">
        <v>472</v>
      </c>
      <c r="B477" s="15" t="s">
        <v>104</v>
      </c>
      <c r="C477" s="15" t="s">
        <v>300</v>
      </c>
      <c r="D477" s="16">
        <v>9016183.3827</v>
      </c>
      <c r="E477" s="16">
        <v>2043975.3633000001</v>
      </c>
      <c r="F477" s="17">
        <f t="shared" si="7"/>
        <v>11060158.745999999</v>
      </c>
      <c r="G477" s="18"/>
      <c r="H477" s="18"/>
      <c r="I477" s="19"/>
      <c r="J477" s="19"/>
      <c r="K477" s="19"/>
      <c r="L477" s="19"/>
      <c r="M477" s="18"/>
      <c r="N477" s="18"/>
      <c r="O477" s="19"/>
      <c r="P477" s="19"/>
      <c r="Q477" s="19"/>
    </row>
    <row r="478" spans="1:17" ht="17.649999999999999">
      <c r="A478" s="14">
        <v>473</v>
      </c>
      <c r="B478" s="15" t="s">
        <v>104</v>
      </c>
      <c r="C478" s="15" t="s">
        <v>104</v>
      </c>
      <c r="D478" s="16">
        <v>7936843.6523000002</v>
      </c>
      <c r="E478" s="16">
        <v>1799288.2575000001</v>
      </c>
      <c r="F478" s="17">
        <f t="shared" si="7"/>
        <v>9736131.9098000005</v>
      </c>
      <c r="G478" s="18"/>
      <c r="H478" s="18"/>
      <c r="I478" s="19"/>
      <c r="J478" s="19"/>
      <c r="K478" s="19"/>
      <c r="L478" s="19"/>
      <c r="M478" s="18"/>
      <c r="N478" s="18"/>
      <c r="O478" s="19"/>
      <c r="P478" s="19"/>
      <c r="Q478" s="19"/>
    </row>
    <row r="479" spans="1:17" ht="17.649999999999999">
      <c r="A479" s="14">
        <v>474</v>
      </c>
      <c r="B479" s="15" t="s">
        <v>104</v>
      </c>
      <c r="C479" s="15" t="s">
        <v>303</v>
      </c>
      <c r="D479" s="16">
        <v>10133026.071799999</v>
      </c>
      <c r="E479" s="16">
        <v>2297164.4172999999</v>
      </c>
      <c r="F479" s="17">
        <f t="shared" si="7"/>
        <v>12430190.489099998</v>
      </c>
      <c r="G479" s="18"/>
      <c r="H479" s="18"/>
      <c r="I479" s="19"/>
      <c r="J479" s="19"/>
      <c r="K479" s="19"/>
      <c r="L479" s="19"/>
      <c r="M479" s="18"/>
      <c r="N479" s="18"/>
      <c r="O479" s="19"/>
      <c r="P479" s="19"/>
      <c r="Q479" s="19"/>
    </row>
    <row r="480" spans="1:17" ht="17.649999999999999">
      <c r="A480" s="14">
        <v>475</v>
      </c>
      <c r="B480" s="15" t="s">
        <v>104</v>
      </c>
      <c r="C480" s="15" t="s">
        <v>305</v>
      </c>
      <c r="D480" s="16">
        <v>6688401.9617999997</v>
      </c>
      <c r="E480" s="16">
        <v>1516265.6137000001</v>
      </c>
      <c r="F480" s="17">
        <f t="shared" si="7"/>
        <v>8204667.5755000003</v>
      </c>
      <c r="G480" s="18"/>
      <c r="H480" s="18"/>
      <c r="I480" s="19"/>
      <c r="J480" s="19"/>
      <c r="K480" s="19"/>
      <c r="L480" s="19"/>
      <c r="M480" s="18"/>
      <c r="N480" s="18"/>
      <c r="O480" s="19"/>
      <c r="P480" s="19"/>
      <c r="Q480" s="19"/>
    </row>
    <row r="481" spans="1:17" ht="17.649999999999999">
      <c r="A481" s="14">
        <v>476</v>
      </c>
      <c r="B481" s="15" t="s">
        <v>104</v>
      </c>
      <c r="C481" s="15" t="s">
        <v>307</v>
      </c>
      <c r="D481" s="16">
        <v>9723932.1839000005</v>
      </c>
      <c r="E481" s="16">
        <v>2204422.5339000002</v>
      </c>
      <c r="F481" s="17">
        <f t="shared" si="7"/>
        <v>11928354.717800001</v>
      </c>
      <c r="G481" s="18"/>
      <c r="H481" s="18"/>
      <c r="I481" s="19"/>
      <c r="J481" s="19"/>
      <c r="K481" s="19"/>
      <c r="L481" s="19"/>
      <c r="M481" s="18"/>
      <c r="N481" s="18"/>
      <c r="O481" s="19"/>
      <c r="P481" s="19"/>
      <c r="Q481" s="19"/>
    </row>
    <row r="482" spans="1:17" ht="17.649999999999999">
      <c r="A482" s="14">
        <v>477</v>
      </c>
      <c r="B482" s="15" t="s">
        <v>104</v>
      </c>
      <c r="C482" s="15" t="s">
        <v>309</v>
      </c>
      <c r="D482" s="16">
        <v>6493256.5559</v>
      </c>
      <c r="E482" s="16">
        <v>1472026.0075000001</v>
      </c>
      <c r="F482" s="17">
        <f t="shared" si="7"/>
        <v>7965282.5634000003</v>
      </c>
      <c r="G482" s="18"/>
      <c r="H482" s="18"/>
      <c r="I482" s="19"/>
      <c r="J482" s="19"/>
      <c r="K482" s="19"/>
      <c r="L482" s="19"/>
      <c r="M482" s="18"/>
      <c r="N482" s="18"/>
      <c r="O482" s="19"/>
      <c r="P482" s="19"/>
      <c r="Q482" s="19"/>
    </row>
    <row r="483" spans="1:17" ht="17.649999999999999">
      <c r="A483" s="14">
        <v>478</v>
      </c>
      <c r="B483" s="15" t="s">
        <v>104</v>
      </c>
      <c r="C483" s="15" t="s">
        <v>311</v>
      </c>
      <c r="D483" s="16">
        <v>9413742.1776999999</v>
      </c>
      <c r="E483" s="16">
        <v>2134102.2327999999</v>
      </c>
      <c r="F483" s="17">
        <f t="shared" si="7"/>
        <v>11547844.410499999</v>
      </c>
      <c r="G483" s="18"/>
      <c r="H483" s="18"/>
      <c r="I483" s="19"/>
      <c r="J483" s="19"/>
      <c r="K483" s="19"/>
      <c r="L483" s="19"/>
      <c r="M483" s="18"/>
      <c r="N483" s="18"/>
      <c r="O483" s="19"/>
      <c r="P483" s="19"/>
      <c r="Q483" s="19"/>
    </row>
    <row r="484" spans="1:17" ht="17.649999999999999">
      <c r="A484" s="14">
        <v>479</v>
      </c>
      <c r="B484" s="15" t="s">
        <v>104</v>
      </c>
      <c r="C484" s="15" t="s">
        <v>313</v>
      </c>
      <c r="D484" s="16">
        <v>11773409.756100001</v>
      </c>
      <c r="E484" s="16">
        <v>2669040.5976</v>
      </c>
      <c r="F484" s="17">
        <f t="shared" si="7"/>
        <v>14442450.353700001</v>
      </c>
      <c r="G484" s="18"/>
      <c r="H484" s="18"/>
      <c r="I484" s="19"/>
      <c r="J484" s="19"/>
      <c r="K484" s="19"/>
      <c r="L484" s="19"/>
      <c r="M484" s="18"/>
      <c r="N484" s="18"/>
      <c r="O484" s="19"/>
      <c r="P484" s="19"/>
      <c r="Q484" s="19"/>
    </row>
    <row r="485" spans="1:17" ht="17.649999999999999">
      <c r="A485" s="14">
        <v>480</v>
      </c>
      <c r="B485" s="15" t="s">
        <v>104</v>
      </c>
      <c r="C485" s="15" t="s">
        <v>316</v>
      </c>
      <c r="D485" s="16">
        <v>8893357.1516999993</v>
      </c>
      <c r="E485" s="16">
        <v>2016130.567</v>
      </c>
      <c r="F485" s="17">
        <f t="shared" si="7"/>
        <v>10909487.718699999</v>
      </c>
      <c r="G485" s="18"/>
      <c r="H485" s="18"/>
      <c r="I485" s="19"/>
      <c r="J485" s="19"/>
      <c r="K485" s="19"/>
      <c r="L485" s="19"/>
      <c r="M485" s="18"/>
      <c r="N485" s="18"/>
      <c r="O485" s="19"/>
      <c r="P485" s="19"/>
      <c r="Q485" s="19"/>
    </row>
    <row r="486" spans="1:17" ht="17.649999999999999">
      <c r="A486" s="14">
        <v>481</v>
      </c>
      <c r="B486" s="15" t="s">
        <v>104</v>
      </c>
      <c r="C486" s="15" t="s">
        <v>317</v>
      </c>
      <c r="D486" s="16">
        <v>8420639.1475000009</v>
      </c>
      <c r="E486" s="16">
        <v>1908965.0499</v>
      </c>
      <c r="F486" s="17">
        <f t="shared" si="7"/>
        <v>10329604.1974</v>
      </c>
      <c r="G486" s="18"/>
      <c r="H486" s="18"/>
      <c r="I486" s="19"/>
      <c r="J486" s="19"/>
      <c r="K486" s="19"/>
      <c r="L486" s="19"/>
      <c r="M486" s="18"/>
      <c r="N486" s="18"/>
      <c r="O486" s="19"/>
      <c r="P486" s="19"/>
      <c r="Q486" s="19"/>
    </row>
    <row r="487" spans="1:17" ht="17.649999999999999">
      <c r="A487" s="14">
        <v>482</v>
      </c>
      <c r="B487" s="15" t="s">
        <v>104</v>
      </c>
      <c r="C487" s="15" t="s">
        <v>319</v>
      </c>
      <c r="D487" s="16">
        <v>9028961.0033</v>
      </c>
      <c r="E487" s="16">
        <v>2046872.0593000001</v>
      </c>
      <c r="F487" s="17">
        <f t="shared" si="7"/>
        <v>11075833.0626</v>
      </c>
      <c r="G487" s="18"/>
      <c r="H487" s="18"/>
      <c r="I487" s="19"/>
      <c r="J487" s="19"/>
      <c r="K487" s="19"/>
      <c r="L487" s="19"/>
      <c r="M487" s="18"/>
      <c r="N487" s="18"/>
      <c r="O487" s="19"/>
      <c r="P487" s="19"/>
      <c r="Q487" s="19"/>
    </row>
    <row r="488" spans="1:17" ht="17.649999999999999">
      <c r="A488" s="14">
        <v>483</v>
      </c>
      <c r="B488" s="15" t="s">
        <v>104</v>
      </c>
      <c r="C488" s="15" t="s">
        <v>321</v>
      </c>
      <c r="D488" s="16">
        <v>8834526.5123999994</v>
      </c>
      <c r="E488" s="16">
        <v>2002793.6181000001</v>
      </c>
      <c r="F488" s="17">
        <f t="shared" si="7"/>
        <v>10837320.1305</v>
      </c>
      <c r="G488" s="18"/>
      <c r="H488" s="18"/>
      <c r="I488" s="19"/>
      <c r="J488" s="19"/>
      <c r="K488" s="19"/>
      <c r="L488" s="19"/>
      <c r="M488" s="18"/>
      <c r="N488" s="18"/>
      <c r="O488" s="19"/>
      <c r="P488" s="19"/>
      <c r="Q488" s="19"/>
    </row>
    <row r="489" spans="1:17" ht="17.649999999999999">
      <c r="A489" s="14">
        <v>484</v>
      </c>
      <c r="B489" s="15" t="s">
        <v>105</v>
      </c>
      <c r="C489" s="15" t="s">
        <v>325</v>
      </c>
      <c r="D489" s="16">
        <v>7629960.9560000002</v>
      </c>
      <c r="E489" s="16">
        <v>1729717.7259</v>
      </c>
      <c r="F489" s="17">
        <f t="shared" si="7"/>
        <v>9359678.6819000002</v>
      </c>
      <c r="G489" s="18"/>
      <c r="H489" s="18"/>
      <c r="I489" s="19"/>
      <c r="J489" s="19"/>
      <c r="K489" s="19"/>
      <c r="L489" s="19"/>
      <c r="M489" s="18"/>
      <c r="N489" s="18"/>
      <c r="O489" s="19"/>
      <c r="P489" s="19"/>
      <c r="Q489" s="19"/>
    </row>
    <row r="490" spans="1:17" ht="17.649999999999999">
      <c r="A490" s="14">
        <v>485</v>
      </c>
      <c r="B490" s="15" t="s">
        <v>105</v>
      </c>
      <c r="C490" s="15" t="s">
        <v>327</v>
      </c>
      <c r="D490" s="16">
        <v>12547028.472200001</v>
      </c>
      <c r="E490" s="16">
        <v>2844420.5260000001</v>
      </c>
      <c r="F490" s="17">
        <f t="shared" si="7"/>
        <v>15391448.998200001</v>
      </c>
      <c r="G490" s="18"/>
      <c r="H490" s="18"/>
      <c r="I490" s="19"/>
      <c r="J490" s="19"/>
      <c r="K490" s="19"/>
      <c r="L490" s="19"/>
      <c r="M490" s="18"/>
      <c r="N490" s="18"/>
      <c r="O490" s="19"/>
      <c r="P490" s="19"/>
      <c r="Q490" s="19"/>
    </row>
    <row r="491" spans="1:17" ht="17.649999999999999">
      <c r="A491" s="14">
        <v>486</v>
      </c>
      <c r="B491" s="15" t="s">
        <v>105</v>
      </c>
      <c r="C491" s="15" t="s">
        <v>329</v>
      </c>
      <c r="D491" s="16">
        <v>9616509.7361999992</v>
      </c>
      <c r="E491" s="16">
        <v>2180069.7864999999</v>
      </c>
      <c r="F491" s="17">
        <f t="shared" si="7"/>
        <v>11796579.522699999</v>
      </c>
      <c r="G491" s="18"/>
      <c r="H491" s="18"/>
      <c r="I491" s="19"/>
      <c r="J491" s="19"/>
      <c r="K491" s="19"/>
      <c r="L491" s="19"/>
      <c r="M491" s="18"/>
      <c r="N491" s="18"/>
      <c r="O491" s="19"/>
      <c r="P491" s="19"/>
      <c r="Q491" s="19"/>
    </row>
    <row r="492" spans="1:17" ht="17.649999999999999">
      <c r="A492" s="14">
        <v>487</v>
      </c>
      <c r="B492" s="15" t="s">
        <v>105</v>
      </c>
      <c r="C492" s="15" t="s">
        <v>95</v>
      </c>
      <c r="D492" s="16">
        <v>5856240.4972999999</v>
      </c>
      <c r="E492" s="16">
        <v>1327614.0014</v>
      </c>
      <c r="F492" s="17">
        <f t="shared" si="7"/>
        <v>7183854.4987000003</v>
      </c>
      <c r="G492" s="18"/>
      <c r="H492" s="18"/>
      <c r="I492" s="19"/>
      <c r="J492" s="19"/>
      <c r="K492" s="19"/>
      <c r="L492" s="19"/>
      <c r="M492" s="18"/>
      <c r="N492" s="18"/>
      <c r="O492" s="19"/>
      <c r="P492" s="19"/>
      <c r="Q492" s="19"/>
    </row>
    <row r="493" spans="1:17" ht="17.649999999999999">
      <c r="A493" s="14">
        <v>488</v>
      </c>
      <c r="B493" s="15" t="s">
        <v>105</v>
      </c>
      <c r="C493" s="15" t="s">
        <v>332</v>
      </c>
      <c r="D493" s="16">
        <v>10161188.4091</v>
      </c>
      <c r="E493" s="16">
        <v>2303548.8398000002</v>
      </c>
      <c r="F493" s="17">
        <f t="shared" si="7"/>
        <v>12464737.2489</v>
      </c>
      <c r="G493" s="18"/>
      <c r="H493" s="18"/>
      <c r="I493" s="19"/>
      <c r="J493" s="19"/>
      <c r="K493" s="19"/>
      <c r="L493" s="19"/>
      <c r="M493" s="18"/>
      <c r="N493" s="18"/>
      <c r="O493" s="19"/>
      <c r="P493" s="19"/>
      <c r="Q493" s="19"/>
    </row>
    <row r="494" spans="1:17" ht="17.649999999999999">
      <c r="A494" s="14">
        <v>489</v>
      </c>
      <c r="B494" s="15" t="s">
        <v>105</v>
      </c>
      <c r="C494" s="15" t="s">
        <v>334</v>
      </c>
      <c r="D494" s="16">
        <v>8733412.2059000004</v>
      </c>
      <c r="E494" s="16">
        <v>1979870.9309</v>
      </c>
      <c r="F494" s="17">
        <f t="shared" si="7"/>
        <v>10713283.1368</v>
      </c>
      <c r="G494" s="18"/>
      <c r="H494" s="18"/>
      <c r="I494" s="19"/>
      <c r="J494" s="19"/>
      <c r="K494" s="19"/>
      <c r="L494" s="19"/>
      <c r="M494" s="18"/>
      <c r="N494" s="18"/>
      <c r="O494" s="19"/>
      <c r="P494" s="19"/>
      <c r="Q494" s="19"/>
    </row>
    <row r="495" spans="1:17" ht="17.649999999999999">
      <c r="A495" s="14">
        <v>490</v>
      </c>
      <c r="B495" s="15" t="s">
        <v>105</v>
      </c>
      <c r="C495" s="15" t="s">
        <v>336</v>
      </c>
      <c r="D495" s="16">
        <v>8827534.0994000006</v>
      </c>
      <c r="E495" s="16">
        <v>2001208.4328999999</v>
      </c>
      <c r="F495" s="17">
        <f t="shared" si="7"/>
        <v>10828742.532300001</v>
      </c>
      <c r="G495" s="18"/>
      <c r="H495" s="18"/>
      <c r="I495" s="19"/>
      <c r="J495" s="19"/>
      <c r="K495" s="19"/>
      <c r="L495" s="19"/>
      <c r="M495" s="18"/>
      <c r="N495" s="18"/>
      <c r="O495" s="19"/>
      <c r="P495" s="19"/>
      <c r="Q495" s="19"/>
    </row>
    <row r="496" spans="1:17" ht="17.649999999999999">
      <c r="A496" s="14">
        <v>491</v>
      </c>
      <c r="B496" s="15" t="s">
        <v>105</v>
      </c>
      <c r="C496" s="15" t="s">
        <v>338</v>
      </c>
      <c r="D496" s="16">
        <v>10409599.434900001</v>
      </c>
      <c r="E496" s="16">
        <v>2359863.8009000001</v>
      </c>
      <c r="F496" s="17">
        <f t="shared" si="7"/>
        <v>12769463.235800002</v>
      </c>
      <c r="G496" s="18"/>
      <c r="H496" s="18"/>
      <c r="I496" s="19"/>
      <c r="J496" s="19"/>
      <c r="K496" s="19"/>
      <c r="L496" s="19"/>
      <c r="M496" s="18"/>
      <c r="N496" s="18"/>
      <c r="O496" s="19"/>
      <c r="P496" s="19"/>
      <c r="Q496" s="19"/>
    </row>
    <row r="497" spans="1:17" ht="17.649999999999999">
      <c r="A497" s="14">
        <v>492</v>
      </c>
      <c r="B497" s="15" t="s">
        <v>105</v>
      </c>
      <c r="C497" s="15" t="s">
        <v>340</v>
      </c>
      <c r="D497" s="16">
        <v>7525457.9266999997</v>
      </c>
      <c r="E497" s="16">
        <v>1706026.8128</v>
      </c>
      <c r="F497" s="17">
        <f t="shared" si="7"/>
        <v>9231484.7394999992</v>
      </c>
      <c r="G497" s="18"/>
      <c r="H497" s="18"/>
      <c r="I497" s="19"/>
      <c r="J497" s="19"/>
      <c r="K497" s="19"/>
      <c r="L497" s="19"/>
      <c r="M497" s="18"/>
      <c r="N497" s="18"/>
      <c r="O497" s="19"/>
      <c r="P497" s="19"/>
      <c r="Q497" s="19"/>
    </row>
    <row r="498" spans="1:17" ht="17.649999999999999">
      <c r="A498" s="14">
        <v>493</v>
      </c>
      <c r="B498" s="15" t="s">
        <v>105</v>
      </c>
      <c r="C498" s="15" t="s">
        <v>342</v>
      </c>
      <c r="D498" s="16">
        <v>10007557.7673</v>
      </c>
      <c r="E498" s="16">
        <v>2268720.6609999998</v>
      </c>
      <c r="F498" s="17">
        <f t="shared" si="7"/>
        <v>12276278.428300001</v>
      </c>
      <c r="G498" s="18"/>
      <c r="H498" s="18"/>
      <c r="I498" s="19"/>
      <c r="J498" s="19"/>
      <c r="K498" s="19"/>
      <c r="L498" s="19"/>
      <c r="M498" s="18"/>
      <c r="N498" s="18"/>
      <c r="O498" s="19"/>
      <c r="P498" s="19"/>
      <c r="Q498" s="19"/>
    </row>
    <row r="499" spans="1:17" ht="17.649999999999999">
      <c r="A499" s="14">
        <v>494</v>
      </c>
      <c r="B499" s="15" t="s">
        <v>105</v>
      </c>
      <c r="C499" s="15" t="s">
        <v>344</v>
      </c>
      <c r="D499" s="16">
        <v>7933284.8028999995</v>
      </c>
      <c r="E499" s="16">
        <v>1798481.4637</v>
      </c>
      <c r="F499" s="17">
        <f t="shared" si="7"/>
        <v>9731766.2665999997</v>
      </c>
      <c r="G499" s="18"/>
      <c r="H499" s="18"/>
      <c r="I499" s="19"/>
      <c r="J499" s="19"/>
      <c r="K499" s="19"/>
      <c r="L499" s="19"/>
      <c r="M499" s="18"/>
      <c r="N499" s="18"/>
      <c r="O499" s="19"/>
      <c r="P499" s="19"/>
      <c r="Q499" s="19"/>
    </row>
    <row r="500" spans="1:17" ht="17.649999999999999">
      <c r="A500" s="14">
        <v>495</v>
      </c>
      <c r="B500" s="15" t="s">
        <v>105</v>
      </c>
      <c r="C500" s="15" t="s">
        <v>346</v>
      </c>
      <c r="D500" s="16">
        <v>7046603.9886999996</v>
      </c>
      <c r="E500" s="16">
        <v>1597470.2749999999</v>
      </c>
      <c r="F500" s="17">
        <f t="shared" si="7"/>
        <v>8644074.2636999991</v>
      </c>
      <c r="G500" s="18"/>
      <c r="H500" s="18"/>
      <c r="I500" s="19"/>
      <c r="J500" s="19"/>
      <c r="K500" s="19"/>
      <c r="L500" s="19"/>
      <c r="M500" s="18"/>
      <c r="N500" s="18"/>
      <c r="O500" s="19"/>
      <c r="P500" s="19"/>
      <c r="Q500" s="19"/>
    </row>
    <row r="501" spans="1:17" ht="17.649999999999999">
      <c r="A501" s="14">
        <v>496</v>
      </c>
      <c r="B501" s="15" t="s">
        <v>105</v>
      </c>
      <c r="C501" s="15" t="s">
        <v>348</v>
      </c>
      <c r="D501" s="16">
        <v>5896012.1771999998</v>
      </c>
      <c r="E501" s="16">
        <v>1336630.2703</v>
      </c>
      <c r="F501" s="17">
        <f t="shared" si="7"/>
        <v>7232642.4474999998</v>
      </c>
      <c r="G501" s="18"/>
      <c r="H501" s="18"/>
      <c r="I501" s="19"/>
      <c r="J501" s="19"/>
      <c r="K501" s="19"/>
      <c r="L501" s="19"/>
      <c r="M501" s="18"/>
      <c r="N501" s="18"/>
      <c r="O501" s="19"/>
      <c r="P501" s="19"/>
      <c r="Q501" s="19"/>
    </row>
    <row r="502" spans="1:17" ht="17.649999999999999">
      <c r="A502" s="14">
        <v>497</v>
      </c>
      <c r="B502" s="15" t="s">
        <v>105</v>
      </c>
      <c r="C502" s="15" t="s">
        <v>350</v>
      </c>
      <c r="D502" s="16">
        <v>5871010.2484999998</v>
      </c>
      <c r="E502" s="16">
        <v>1330962.3148000001</v>
      </c>
      <c r="F502" s="17">
        <f t="shared" si="7"/>
        <v>7201972.5632999996</v>
      </c>
      <c r="G502" s="18"/>
      <c r="H502" s="18"/>
      <c r="I502" s="19"/>
      <c r="J502" s="19"/>
      <c r="K502" s="19"/>
      <c r="L502" s="19"/>
      <c r="M502" s="18"/>
      <c r="N502" s="18"/>
      <c r="O502" s="19"/>
      <c r="P502" s="19"/>
      <c r="Q502" s="19"/>
    </row>
    <row r="503" spans="1:17" ht="17.649999999999999">
      <c r="A503" s="14">
        <v>498</v>
      </c>
      <c r="B503" s="15" t="s">
        <v>105</v>
      </c>
      <c r="C503" s="15" t="s">
        <v>352</v>
      </c>
      <c r="D503" s="16">
        <v>6703717.0226999996</v>
      </c>
      <c r="E503" s="16">
        <v>1519737.5492</v>
      </c>
      <c r="F503" s="17">
        <f t="shared" si="7"/>
        <v>8223454.5718999999</v>
      </c>
      <c r="G503" s="18"/>
      <c r="H503" s="18"/>
      <c r="I503" s="19"/>
      <c r="J503" s="19"/>
      <c r="K503" s="19"/>
      <c r="L503" s="19"/>
      <c r="M503" s="18"/>
      <c r="N503" s="18"/>
      <c r="O503" s="19"/>
      <c r="P503" s="19"/>
      <c r="Q503" s="19"/>
    </row>
    <row r="504" spans="1:17" ht="17.649999999999999">
      <c r="A504" s="14">
        <v>499</v>
      </c>
      <c r="B504" s="15" t="s">
        <v>105</v>
      </c>
      <c r="C504" s="15" t="s">
        <v>354</v>
      </c>
      <c r="D504" s="16">
        <v>8113817.3501000004</v>
      </c>
      <c r="E504" s="16">
        <v>1839408.3241999999</v>
      </c>
      <c r="F504" s="17">
        <f t="shared" si="7"/>
        <v>9953225.6743000001</v>
      </c>
      <c r="G504" s="18"/>
      <c r="H504" s="18"/>
      <c r="I504" s="19"/>
      <c r="J504" s="19"/>
      <c r="K504" s="19"/>
      <c r="L504" s="19"/>
      <c r="M504" s="18"/>
      <c r="N504" s="18"/>
      <c r="O504" s="19"/>
      <c r="P504" s="19"/>
      <c r="Q504" s="19"/>
    </row>
    <row r="505" spans="1:17" ht="17.649999999999999">
      <c r="A505" s="14">
        <v>500</v>
      </c>
      <c r="B505" s="15" t="s">
        <v>106</v>
      </c>
      <c r="C505" s="15" t="s">
        <v>359</v>
      </c>
      <c r="D505" s="16">
        <v>11386220.284299999</v>
      </c>
      <c r="E505" s="16">
        <v>2581264.4613000001</v>
      </c>
      <c r="F505" s="17">
        <f t="shared" si="7"/>
        <v>13967484.7456</v>
      </c>
      <c r="G505" s="18"/>
      <c r="H505" s="18"/>
      <c r="I505" s="19"/>
      <c r="J505" s="19"/>
      <c r="K505" s="19"/>
      <c r="L505" s="19"/>
      <c r="M505" s="18"/>
      <c r="N505" s="18"/>
      <c r="O505" s="19"/>
      <c r="P505" s="19"/>
      <c r="Q505" s="19"/>
    </row>
    <row r="506" spans="1:17" ht="35.25">
      <c r="A506" s="14">
        <v>501</v>
      </c>
      <c r="B506" s="15" t="s">
        <v>106</v>
      </c>
      <c r="C506" s="15" t="s">
        <v>361</v>
      </c>
      <c r="D506" s="16">
        <v>14635481.2708</v>
      </c>
      <c r="E506" s="16">
        <v>3317874.3021</v>
      </c>
      <c r="F506" s="17">
        <f t="shared" si="7"/>
        <v>17953355.572900001</v>
      </c>
      <c r="G506" s="18"/>
      <c r="H506" s="18"/>
      <c r="I506" s="19"/>
      <c r="J506" s="19"/>
      <c r="K506" s="19"/>
      <c r="L506" s="19"/>
      <c r="M506" s="18"/>
      <c r="N506" s="18"/>
      <c r="O506" s="19"/>
      <c r="P506" s="19"/>
      <c r="Q506" s="19"/>
    </row>
    <row r="507" spans="1:17" ht="17.649999999999999">
      <c r="A507" s="14">
        <v>502</v>
      </c>
      <c r="B507" s="15" t="s">
        <v>106</v>
      </c>
      <c r="C507" s="15" t="s">
        <v>363</v>
      </c>
      <c r="D507" s="16">
        <v>23602504.4727</v>
      </c>
      <c r="E507" s="16">
        <v>5350705.0164999999</v>
      </c>
      <c r="F507" s="17">
        <f t="shared" si="7"/>
        <v>28953209.4892</v>
      </c>
      <c r="G507" s="18"/>
      <c r="H507" s="18"/>
      <c r="I507" s="19"/>
      <c r="J507" s="19"/>
      <c r="K507" s="19"/>
      <c r="L507" s="19"/>
      <c r="M507" s="18"/>
      <c r="N507" s="18"/>
      <c r="O507" s="19"/>
      <c r="P507" s="19"/>
      <c r="Q507" s="19"/>
    </row>
    <row r="508" spans="1:17" ht="17.649999999999999">
      <c r="A508" s="14">
        <v>503</v>
      </c>
      <c r="B508" s="15" t="s">
        <v>106</v>
      </c>
      <c r="C508" s="15" t="s">
        <v>365</v>
      </c>
      <c r="D508" s="16">
        <v>9224885.5946999993</v>
      </c>
      <c r="E508" s="16">
        <v>2091288.3073</v>
      </c>
      <c r="F508" s="17">
        <f t="shared" si="7"/>
        <v>11316173.901999999</v>
      </c>
      <c r="G508" s="18"/>
      <c r="H508" s="18"/>
      <c r="I508" s="19"/>
      <c r="J508" s="19"/>
      <c r="K508" s="19"/>
      <c r="L508" s="19"/>
      <c r="M508" s="18"/>
      <c r="N508" s="18"/>
      <c r="O508" s="19"/>
      <c r="P508" s="19"/>
      <c r="Q508" s="19"/>
    </row>
    <row r="509" spans="1:17" ht="17.649999999999999">
      <c r="A509" s="14">
        <v>504</v>
      </c>
      <c r="B509" s="15" t="s">
        <v>106</v>
      </c>
      <c r="C509" s="15" t="s">
        <v>367</v>
      </c>
      <c r="D509" s="16">
        <v>7755786.2680000002</v>
      </c>
      <c r="E509" s="16">
        <v>1758242.4161</v>
      </c>
      <c r="F509" s="17">
        <f t="shared" si="7"/>
        <v>9514028.6841000002</v>
      </c>
      <c r="G509" s="18"/>
      <c r="H509" s="18"/>
      <c r="I509" s="19"/>
      <c r="J509" s="19"/>
      <c r="K509" s="19"/>
      <c r="L509" s="19"/>
      <c r="M509" s="18"/>
      <c r="N509" s="18"/>
      <c r="O509" s="19"/>
      <c r="P509" s="19"/>
      <c r="Q509" s="19"/>
    </row>
    <row r="510" spans="1:17" ht="17.649999999999999">
      <c r="A510" s="14">
        <v>505</v>
      </c>
      <c r="B510" s="15" t="s">
        <v>106</v>
      </c>
      <c r="C510" s="15" t="s">
        <v>369</v>
      </c>
      <c r="D510" s="16">
        <v>8670682.9103999995</v>
      </c>
      <c r="E510" s="16">
        <v>1965650.1536999999</v>
      </c>
      <c r="F510" s="17">
        <f t="shared" si="7"/>
        <v>10636333.064099999</v>
      </c>
      <c r="G510" s="18"/>
      <c r="H510" s="18"/>
      <c r="I510" s="19"/>
      <c r="J510" s="19"/>
      <c r="K510" s="19"/>
      <c r="L510" s="19"/>
      <c r="M510" s="18"/>
      <c r="N510" s="18"/>
      <c r="O510" s="19"/>
      <c r="P510" s="19"/>
      <c r="Q510" s="19"/>
    </row>
    <row r="511" spans="1:17" ht="17.649999999999999">
      <c r="A511" s="14">
        <v>506</v>
      </c>
      <c r="B511" s="15" t="s">
        <v>106</v>
      </c>
      <c r="C511" s="15" t="s">
        <v>371</v>
      </c>
      <c r="D511" s="16">
        <v>7961011.5993999997</v>
      </c>
      <c r="E511" s="16">
        <v>1804767.1488000001</v>
      </c>
      <c r="F511" s="17">
        <f t="shared" si="7"/>
        <v>9765778.7481999993</v>
      </c>
      <c r="G511" s="18"/>
      <c r="H511" s="18"/>
      <c r="I511" s="19"/>
      <c r="J511" s="19"/>
      <c r="K511" s="19"/>
      <c r="L511" s="19"/>
      <c r="M511" s="18"/>
      <c r="N511" s="18"/>
      <c r="O511" s="19"/>
      <c r="P511" s="19"/>
      <c r="Q511" s="19"/>
    </row>
    <row r="512" spans="1:17" ht="17.649999999999999">
      <c r="A512" s="14">
        <v>507</v>
      </c>
      <c r="B512" s="15" t="s">
        <v>106</v>
      </c>
      <c r="C512" s="15" t="s">
        <v>373</v>
      </c>
      <c r="D512" s="16">
        <v>9604113.5647</v>
      </c>
      <c r="E512" s="16">
        <v>2177259.5654000002</v>
      </c>
      <c r="F512" s="17">
        <f t="shared" si="7"/>
        <v>11781373.130100001</v>
      </c>
      <c r="G512" s="18"/>
      <c r="H512" s="18"/>
      <c r="I512" s="19"/>
      <c r="J512" s="19"/>
      <c r="K512" s="19"/>
      <c r="L512" s="19"/>
      <c r="M512" s="18"/>
      <c r="N512" s="18"/>
      <c r="O512" s="19"/>
      <c r="P512" s="19"/>
      <c r="Q512" s="19"/>
    </row>
    <row r="513" spans="1:17" ht="17.649999999999999">
      <c r="A513" s="14">
        <v>508</v>
      </c>
      <c r="B513" s="15" t="s">
        <v>106</v>
      </c>
      <c r="C513" s="15" t="s">
        <v>376</v>
      </c>
      <c r="D513" s="16">
        <v>6413017.8770000003</v>
      </c>
      <c r="E513" s="16">
        <v>1453835.8404000001</v>
      </c>
      <c r="F513" s="17">
        <f t="shared" si="7"/>
        <v>7866853.7174000004</v>
      </c>
      <c r="G513" s="18"/>
      <c r="H513" s="18"/>
      <c r="I513" s="19"/>
      <c r="J513" s="19"/>
      <c r="K513" s="19"/>
      <c r="L513" s="19"/>
      <c r="M513" s="18"/>
      <c r="N513" s="18"/>
      <c r="O513" s="19"/>
      <c r="P513" s="19"/>
      <c r="Q513" s="19"/>
    </row>
    <row r="514" spans="1:17" ht="17.649999999999999">
      <c r="A514" s="14">
        <v>509</v>
      </c>
      <c r="B514" s="15" t="s">
        <v>106</v>
      </c>
      <c r="C514" s="15" t="s">
        <v>378</v>
      </c>
      <c r="D514" s="16">
        <v>10934841.159399999</v>
      </c>
      <c r="E514" s="16">
        <v>2478936.4838</v>
      </c>
      <c r="F514" s="17">
        <f t="shared" si="7"/>
        <v>13413777.643199999</v>
      </c>
      <c r="G514" s="18"/>
      <c r="H514" s="18"/>
      <c r="I514" s="19"/>
      <c r="J514" s="19"/>
      <c r="K514" s="19"/>
      <c r="L514" s="19"/>
      <c r="M514" s="18"/>
      <c r="N514" s="18"/>
      <c r="O514" s="19"/>
      <c r="P514" s="19"/>
      <c r="Q514" s="19"/>
    </row>
    <row r="515" spans="1:17" ht="17.649999999999999">
      <c r="A515" s="14">
        <v>510</v>
      </c>
      <c r="B515" s="15" t="s">
        <v>106</v>
      </c>
      <c r="C515" s="15" t="s">
        <v>380</v>
      </c>
      <c r="D515" s="16">
        <v>9452629.2367000002</v>
      </c>
      <c r="E515" s="16">
        <v>2142917.9575</v>
      </c>
      <c r="F515" s="17">
        <f t="shared" si="7"/>
        <v>11595547.1942</v>
      </c>
      <c r="G515" s="18"/>
      <c r="H515" s="18"/>
      <c r="I515" s="19"/>
      <c r="J515" s="19"/>
      <c r="K515" s="19"/>
      <c r="L515" s="19"/>
      <c r="M515" s="18"/>
      <c r="N515" s="18"/>
      <c r="O515" s="19"/>
      <c r="P515" s="19"/>
      <c r="Q515" s="19"/>
    </row>
    <row r="516" spans="1:17" ht="17.649999999999999">
      <c r="A516" s="14">
        <v>511</v>
      </c>
      <c r="B516" s="15" t="s">
        <v>106</v>
      </c>
      <c r="C516" s="15" t="s">
        <v>382</v>
      </c>
      <c r="D516" s="16">
        <v>12996896.3573</v>
      </c>
      <c r="E516" s="16">
        <v>2946405.9043999999</v>
      </c>
      <c r="F516" s="17">
        <f t="shared" si="7"/>
        <v>15943302.261700001</v>
      </c>
      <c r="G516" s="18"/>
      <c r="H516" s="18"/>
      <c r="I516" s="19"/>
      <c r="J516" s="19"/>
      <c r="K516" s="19"/>
      <c r="L516" s="19"/>
      <c r="M516" s="18"/>
      <c r="N516" s="18"/>
      <c r="O516" s="19"/>
      <c r="P516" s="19"/>
      <c r="Q516" s="19"/>
    </row>
    <row r="517" spans="1:17" ht="17.649999999999999">
      <c r="A517" s="14">
        <v>512</v>
      </c>
      <c r="B517" s="15" t="s">
        <v>106</v>
      </c>
      <c r="C517" s="15" t="s">
        <v>384</v>
      </c>
      <c r="D517" s="16">
        <v>14061802.069700001</v>
      </c>
      <c r="E517" s="16">
        <v>3187820.8078000001</v>
      </c>
      <c r="F517" s="17">
        <f t="shared" si="7"/>
        <v>17249622.877500001</v>
      </c>
      <c r="G517" s="18"/>
      <c r="H517" s="18"/>
      <c r="I517" s="19"/>
      <c r="J517" s="19"/>
      <c r="K517" s="19"/>
      <c r="L517" s="19"/>
      <c r="M517" s="18"/>
      <c r="N517" s="18"/>
      <c r="O517" s="19"/>
      <c r="P517" s="19"/>
      <c r="Q517" s="19"/>
    </row>
    <row r="518" spans="1:17" ht="17.649999999999999">
      <c r="A518" s="14">
        <v>513</v>
      </c>
      <c r="B518" s="15" t="s">
        <v>106</v>
      </c>
      <c r="C518" s="15" t="s">
        <v>386</v>
      </c>
      <c r="D518" s="16">
        <v>7569685.4764999999</v>
      </c>
      <c r="E518" s="16">
        <v>1716053.2307</v>
      </c>
      <c r="F518" s="17">
        <f t="shared" si="7"/>
        <v>9285738.7072000001</v>
      </c>
      <c r="G518" s="18"/>
      <c r="H518" s="18"/>
      <c r="I518" s="19"/>
      <c r="J518" s="19"/>
      <c r="K518" s="19"/>
      <c r="L518" s="19"/>
      <c r="M518" s="18"/>
      <c r="N518" s="18"/>
      <c r="O518" s="19"/>
      <c r="P518" s="19"/>
      <c r="Q518" s="19"/>
    </row>
    <row r="519" spans="1:17" ht="35.25">
      <c r="A519" s="14">
        <v>514</v>
      </c>
      <c r="B519" s="15" t="s">
        <v>106</v>
      </c>
      <c r="C519" s="15" t="s">
        <v>388</v>
      </c>
      <c r="D519" s="16">
        <v>9134041.2354000006</v>
      </c>
      <c r="E519" s="16">
        <v>2070693.8247</v>
      </c>
      <c r="F519" s="17">
        <f t="shared" ref="F519:F582" si="8">D519+E519</f>
        <v>11204735.0601</v>
      </c>
      <c r="G519" s="18"/>
      <c r="H519" s="18"/>
      <c r="I519" s="19"/>
      <c r="J519" s="19"/>
      <c r="K519" s="19"/>
      <c r="L519" s="19"/>
      <c r="M519" s="18"/>
      <c r="N519" s="18"/>
      <c r="O519" s="19"/>
      <c r="P519" s="19"/>
      <c r="Q519" s="19"/>
    </row>
    <row r="520" spans="1:17" ht="17.649999999999999">
      <c r="A520" s="14">
        <v>515</v>
      </c>
      <c r="B520" s="15" t="s">
        <v>106</v>
      </c>
      <c r="C520" s="15" t="s">
        <v>390</v>
      </c>
      <c r="D520" s="16">
        <v>13674345.968800001</v>
      </c>
      <c r="E520" s="16">
        <v>3099984.2266000002</v>
      </c>
      <c r="F520" s="17">
        <f t="shared" si="8"/>
        <v>16774330.195400001</v>
      </c>
      <c r="G520" s="18"/>
      <c r="H520" s="18"/>
      <c r="I520" s="19"/>
      <c r="J520" s="19"/>
      <c r="K520" s="19"/>
      <c r="L520" s="19"/>
      <c r="M520" s="18"/>
      <c r="N520" s="18"/>
      <c r="O520" s="19"/>
      <c r="P520" s="19"/>
      <c r="Q520" s="19"/>
    </row>
    <row r="521" spans="1:17" ht="17.649999999999999">
      <c r="A521" s="14">
        <v>516</v>
      </c>
      <c r="B521" s="15" t="s">
        <v>106</v>
      </c>
      <c r="C521" s="15" t="s">
        <v>392</v>
      </c>
      <c r="D521" s="16">
        <v>13268477.760600001</v>
      </c>
      <c r="E521" s="16">
        <v>3007973.6071000001</v>
      </c>
      <c r="F521" s="17">
        <f t="shared" si="8"/>
        <v>16276451.367700001</v>
      </c>
      <c r="G521" s="18"/>
      <c r="H521" s="18"/>
      <c r="I521" s="19"/>
      <c r="J521" s="19"/>
      <c r="K521" s="19"/>
      <c r="L521" s="19"/>
      <c r="M521" s="18"/>
      <c r="N521" s="18"/>
      <c r="O521" s="19"/>
      <c r="P521" s="19"/>
      <c r="Q521" s="19"/>
    </row>
    <row r="522" spans="1:17" ht="17.649999999999999">
      <c r="A522" s="14">
        <v>517</v>
      </c>
      <c r="B522" s="15" t="s">
        <v>106</v>
      </c>
      <c r="C522" s="15" t="s">
        <v>394</v>
      </c>
      <c r="D522" s="16">
        <v>13548225.4124</v>
      </c>
      <c r="E522" s="16">
        <v>3071392.6041999999</v>
      </c>
      <c r="F522" s="17">
        <f t="shared" si="8"/>
        <v>16619618.0166</v>
      </c>
      <c r="G522" s="18"/>
      <c r="H522" s="18"/>
      <c r="I522" s="19"/>
      <c r="J522" s="19"/>
      <c r="K522" s="19"/>
      <c r="L522" s="19"/>
      <c r="M522" s="18"/>
      <c r="N522" s="18"/>
      <c r="O522" s="19"/>
      <c r="P522" s="19"/>
      <c r="Q522" s="19"/>
    </row>
    <row r="523" spans="1:17" ht="17.649999999999999">
      <c r="A523" s="14">
        <v>518</v>
      </c>
      <c r="B523" s="15" t="s">
        <v>106</v>
      </c>
      <c r="C523" s="15" t="s">
        <v>396</v>
      </c>
      <c r="D523" s="16">
        <v>10478285.534499999</v>
      </c>
      <c r="E523" s="16">
        <v>2375434.9898999999</v>
      </c>
      <c r="F523" s="17">
        <f t="shared" si="8"/>
        <v>12853720.5244</v>
      </c>
      <c r="G523" s="18"/>
      <c r="H523" s="18"/>
      <c r="I523" s="19"/>
      <c r="J523" s="19"/>
      <c r="K523" s="19"/>
      <c r="L523" s="19"/>
      <c r="M523" s="18"/>
      <c r="N523" s="18"/>
      <c r="O523" s="19"/>
      <c r="P523" s="19"/>
      <c r="Q523" s="19"/>
    </row>
    <row r="524" spans="1:17" ht="17.649999999999999">
      <c r="A524" s="14">
        <v>519</v>
      </c>
      <c r="B524" s="15" t="s">
        <v>106</v>
      </c>
      <c r="C524" s="15" t="s">
        <v>398</v>
      </c>
      <c r="D524" s="16">
        <v>11985825.3619</v>
      </c>
      <c r="E524" s="16">
        <v>2717195.3706999999</v>
      </c>
      <c r="F524" s="17">
        <f t="shared" si="8"/>
        <v>14703020.7326</v>
      </c>
      <c r="G524" s="18"/>
      <c r="H524" s="18"/>
      <c r="I524" s="19"/>
      <c r="J524" s="19"/>
      <c r="K524" s="19"/>
      <c r="L524" s="19"/>
      <c r="M524" s="18"/>
      <c r="N524" s="18"/>
      <c r="O524" s="19"/>
      <c r="P524" s="19"/>
      <c r="Q524" s="19"/>
    </row>
    <row r="525" spans="1:17" ht="17.649999999999999">
      <c r="A525" s="14">
        <v>520</v>
      </c>
      <c r="B525" s="15" t="s">
        <v>107</v>
      </c>
      <c r="C525" s="15" t="s">
        <v>402</v>
      </c>
      <c r="D525" s="16">
        <v>7842341.0113000004</v>
      </c>
      <c r="E525" s="16">
        <v>1777864.4397</v>
      </c>
      <c r="F525" s="17">
        <f t="shared" si="8"/>
        <v>9620205.4510000013</v>
      </c>
      <c r="G525" s="18"/>
      <c r="H525" s="18"/>
      <c r="I525" s="19"/>
      <c r="J525" s="19"/>
      <c r="K525" s="19"/>
      <c r="L525" s="19"/>
      <c r="M525" s="18"/>
      <c r="N525" s="18"/>
      <c r="O525" s="19"/>
      <c r="P525" s="19"/>
      <c r="Q525" s="19"/>
    </row>
    <row r="526" spans="1:17" ht="17.649999999999999">
      <c r="A526" s="14">
        <v>521</v>
      </c>
      <c r="B526" s="15" t="s">
        <v>107</v>
      </c>
      <c r="C526" s="15" t="s">
        <v>404</v>
      </c>
      <c r="D526" s="16">
        <v>8839734.3344000001</v>
      </c>
      <c r="E526" s="16">
        <v>2003974.2350999999</v>
      </c>
      <c r="F526" s="17">
        <f t="shared" si="8"/>
        <v>10843708.569499999</v>
      </c>
      <c r="G526" s="18"/>
      <c r="H526" s="18"/>
      <c r="I526" s="19"/>
      <c r="J526" s="19"/>
      <c r="K526" s="19"/>
      <c r="L526" s="19"/>
      <c r="M526" s="18"/>
      <c r="N526" s="18"/>
      <c r="O526" s="19"/>
      <c r="P526" s="19"/>
      <c r="Q526" s="19"/>
    </row>
    <row r="527" spans="1:17" ht="17.649999999999999">
      <c r="A527" s="14">
        <v>522</v>
      </c>
      <c r="B527" s="15" t="s">
        <v>107</v>
      </c>
      <c r="C527" s="15" t="s">
        <v>406</v>
      </c>
      <c r="D527" s="16">
        <v>9051103.2578999996</v>
      </c>
      <c r="E527" s="16">
        <v>2051891.7246000001</v>
      </c>
      <c r="F527" s="17">
        <f t="shared" si="8"/>
        <v>11102994.9825</v>
      </c>
      <c r="G527" s="18"/>
      <c r="H527" s="18"/>
      <c r="I527" s="19"/>
      <c r="J527" s="19"/>
      <c r="K527" s="19"/>
      <c r="L527" s="19"/>
      <c r="M527" s="18"/>
      <c r="N527" s="18"/>
      <c r="O527" s="19"/>
      <c r="P527" s="19"/>
      <c r="Q527" s="19"/>
    </row>
    <row r="528" spans="1:17" ht="17.649999999999999">
      <c r="A528" s="14">
        <v>523</v>
      </c>
      <c r="B528" s="15" t="s">
        <v>107</v>
      </c>
      <c r="C528" s="15" t="s">
        <v>408</v>
      </c>
      <c r="D528" s="16">
        <v>10679068.4069</v>
      </c>
      <c r="E528" s="16">
        <v>2420952.6137999999</v>
      </c>
      <c r="F528" s="17">
        <f t="shared" si="8"/>
        <v>13100021.0207</v>
      </c>
      <c r="G528" s="18"/>
      <c r="H528" s="18"/>
      <c r="I528" s="19"/>
      <c r="J528" s="19"/>
      <c r="K528" s="19"/>
      <c r="L528" s="19"/>
      <c r="M528" s="18"/>
      <c r="N528" s="18"/>
      <c r="O528" s="19"/>
      <c r="P528" s="19"/>
      <c r="Q528" s="19"/>
    </row>
    <row r="529" spans="1:17" ht="17.649999999999999">
      <c r="A529" s="14">
        <v>524</v>
      </c>
      <c r="B529" s="15" t="s">
        <v>107</v>
      </c>
      <c r="C529" s="15" t="s">
        <v>410</v>
      </c>
      <c r="D529" s="16">
        <v>7625314.409</v>
      </c>
      <c r="E529" s="16">
        <v>1728664.3503</v>
      </c>
      <c r="F529" s="17">
        <f t="shared" si="8"/>
        <v>9353978.759300001</v>
      </c>
      <c r="G529" s="18"/>
      <c r="H529" s="18"/>
      <c r="I529" s="19"/>
      <c r="J529" s="19"/>
      <c r="K529" s="19"/>
      <c r="L529" s="19"/>
      <c r="M529" s="18"/>
      <c r="N529" s="18"/>
      <c r="O529" s="19"/>
      <c r="P529" s="19"/>
      <c r="Q529" s="19"/>
    </row>
    <row r="530" spans="1:17" ht="17.649999999999999">
      <c r="A530" s="14">
        <v>525</v>
      </c>
      <c r="B530" s="15" t="s">
        <v>107</v>
      </c>
      <c r="C530" s="15" t="s">
        <v>412</v>
      </c>
      <c r="D530" s="16">
        <v>7170344.7679000003</v>
      </c>
      <c r="E530" s="16">
        <v>1625522.4001</v>
      </c>
      <c r="F530" s="17">
        <f t="shared" si="8"/>
        <v>8795867.1679999996</v>
      </c>
      <c r="G530" s="18"/>
      <c r="H530" s="18"/>
      <c r="I530" s="19"/>
      <c r="J530" s="19"/>
      <c r="K530" s="19"/>
      <c r="L530" s="19"/>
      <c r="M530" s="18"/>
      <c r="N530" s="18"/>
      <c r="O530" s="19"/>
      <c r="P530" s="19"/>
      <c r="Q530" s="19"/>
    </row>
    <row r="531" spans="1:17" ht="17.649999999999999">
      <c r="A531" s="14">
        <v>526</v>
      </c>
      <c r="B531" s="15" t="s">
        <v>107</v>
      </c>
      <c r="C531" s="15" t="s">
        <v>414</v>
      </c>
      <c r="D531" s="16">
        <v>8192762.9188000001</v>
      </c>
      <c r="E531" s="16">
        <v>1857305.3422999999</v>
      </c>
      <c r="F531" s="17">
        <f t="shared" si="8"/>
        <v>10050068.2611</v>
      </c>
      <c r="G531" s="18"/>
      <c r="H531" s="18"/>
      <c r="I531" s="19"/>
      <c r="J531" s="19"/>
      <c r="K531" s="19"/>
      <c r="L531" s="19"/>
      <c r="M531" s="18"/>
      <c r="N531" s="18"/>
      <c r="O531" s="19"/>
      <c r="P531" s="19"/>
      <c r="Q531" s="19"/>
    </row>
    <row r="532" spans="1:17" ht="17.649999999999999">
      <c r="A532" s="14">
        <v>527</v>
      </c>
      <c r="B532" s="15" t="s">
        <v>107</v>
      </c>
      <c r="C532" s="15" t="s">
        <v>416</v>
      </c>
      <c r="D532" s="16">
        <v>12819698.338400001</v>
      </c>
      <c r="E532" s="16">
        <v>2906234.9840000002</v>
      </c>
      <c r="F532" s="17">
        <f t="shared" si="8"/>
        <v>15725933.3224</v>
      </c>
      <c r="G532" s="18"/>
      <c r="H532" s="18"/>
      <c r="I532" s="19"/>
      <c r="J532" s="19"/>
      <c r="K532" s="19"/>
      <c r="L532" s="19"/>
      <c r="M532" s="18"/>
      <c r="N532" s="18"/>
      <c r="O532" s="19"/>
      <c r="P532" s="19"/>
      <c r="Q532" s="19"/>
    </row>
    <row r="533" spans="1:17" ht="17.649999999999999">
      <c r="A533" s="14">
        <v>528</v>
      </c>
      <c r="B533" s="15" t="s">
        <v>107</v>
      </c>
      <c r="C533" s="15" t="s">
        <v>418</v>
      </c>
      <c r="D533" s="16">
        <v>11880585.551200001</v>
      </c>
      <c r="E533" s="16">
        <v>2693337.4287</v>
      </c>
      <c r="F533" s="17">
        <f t="shared" si="8"/>
        <v>14573922.979900001</v>
      </c>
      <c r="G533" s="18"/>
      <c r="H533" s="18"/>
      <c r="I533" s="19"/>
      <c r="J533" s="19"/>
      <c r="K533" s="19"/>
      <c r="L533" s="19"/>
      <c r="M533" s="18"/>
      <c r="N533" s="18"/>
      <c r="O533" s="19"/>
      <c r="P533" s="19"/>
      <c r="Q533" s="19"/>
    </row>
    <row r="534" spans="1:17" ht="35.25">
      <c r="A534" s="14">
        <v>529</v>
      </c>
      <c r="B534" s="15" t="s">
        <v>107</v>
      </c>
      <c r="C534" s="15" t="s">
        <v>420</v>
      </c>
      <c r="D534" s="16">
        <v>9088467.0642000008</v>
      </c>
      <c r="E534" s="16">
        <v>2060362.1268</v>
      </c>
      <c r="F534" s="17">
        <f t="shared" si="8"/>
        <v>11148829.191000002</v>
      </c>
      <c r="G534" s="18"/>
      <c r="H534" s="18"/>
      <c r="I534" s="19"/>
      <c r="J534" s="19"/>
      <c r="K534" s="19"/>
      <c r="L534" s="19"/>
      <c r="M534" s="18"/>
      <c r="N534" s="18"/>
      <c r="O534" s="19"/>
      <c r="P534" s="19"/>
      <c r="Q534" s="19"/>
    </row>
    <row r="535" spans="1:17" ht="17.649999999999999">
      <c r="A535" s="14">
        <v>530</v>
      </c>
      <c r="B535" s="15" t="s">
        <v>107</v>
      </c>
      <c r="C535" s="15" t="s">
        <v>401</v>
      </c>
      <c r="D535" s="16">
        <v>8699419.2965999991</v>
      </c>
      <c r="E535" s="16">
        <v>1972164.7135000001</v>
      </c>
      <c r="F535" s="17">
        <f t="shared" si="8"/>
        <v>10671584.0101</v>
      </c>
      <c r="G535" s="18"/>
      <c r="H535" s="18"/>
      <c r="I535" s="19"/>
      <c r="J535" s="19"/>
      <c r="K535" s="19"/>
      <c r="L535" s="19"/>
      <c r="M535" s="18"/>
      <c r="N535" s="18"/>
      <c r="O535" s="19"/>
      <c r="P535" s="19"/>
      <c r="Q535" s="19"/>
    </row>
    <row r="536" spans="1:17" ht="17.649999999999999">
      <c r="A536" s="14">
        <v>531</v>
      </c>
      <c r="B536" s="15" t="s">
        <v>107</v>
      </c>
      <c r="C536" s="15" t="s">
        <v>424</v>
      </c>
      <c r="D536" s="16">
        <v>9242508.5942000002</v>
      </c>
      <c r="E536" s="16">
        <v>2095283.4542</v>
      </c>
      <c r="F536" s="17">
        <f t="shared" si="8"/>
        <v>11337792.0484</v>
      </c>
      <c r="G536" s="18"/>
      <c r="H536" s="18"/>
      <c r="I536" s="19"/>
      <c r="J536" s="19"/>
      <c r="K536" s="19"/>
      <c r="L536" s="19"/>
      <c r="M536" s="18"/>
      <c r="N536" s="18"/>
      <c r="O536" s="19"/>
      <c r="P536" s="19"/>
      <c r="Q536" s="19"/>
    </row>
    <row r="537" spans="1:17" ht="17.649999999999999">
      <c r="A537" s="14">
        <v>532</v>
      </c>
      <c r="B537" s="15" t="s">
        <v>107</v>
      </c>
      <c r="C537" s="15" t="s">
        <v>426</v>
      </c>
      <c r="D537" s="16">
        <v>7419564.4194999998</v>
      </c>
      <c r="E537" s="16">
        <v>1682020.6773000001</v>
      </c>
      <c r="F537" s="17">
        <f t="shared" si="8"/>
        <v>9101585.0967999995</v>
      </c>
      <c r="G537" s="18"/>
      <c r="H537" s="18"/>
      <c r="I537" s="19"/>
      <c r="J537" s="19"/>
      <c r="K537" s="19"/>
      <c r="L537" s="19"/>
      <c r="M537" s="18"/>
      <c r="N537" s="18"/>
      <c r="O537" s="19"/>
      <c r="P537" s="19"/>
      <c r="Q537" s="19"/>
    </row>
    <row r="538" spans="1:17" ht="17.649999999999999">
      <c r="A538" s="14">
        <v>533</v>
      </c>
      <c r="B538" s="15" t="s">
        <v>108</v>
      </c>
      <c r="C538" s="15" t="s">
        <v>430</v>
      </c>
      <c r="D538" s="16">
        <v>8158362.4839000003</v>
      </c>
      <c r="E538" s="16">
        <v>1849506.7385</v>
      </c>
      <c r="F538" s="17">
        <f t="shared" si="8"/>
        <v>10007869.2224</v>
      </c>
      <c r="G538" s="18"/>
      <c r="H538" s="18"/>
      <c r="I538" s="19"/>
      <c r="J538" s="19"/>
      <c r="K538" s="19"/>
      <c r="L538" s="19"/>
      <c r="M538" s="18"/>
      <c r="N538" s="18"/>
      <c r="O538" s="19"/>
      <c r="P538" s="19"/>
      <c r="Q538" s="19"/>
    </row>
    <row r="539" spans="1:17" ht="17.649999999999999">
      <c r="A539" s="14">
        <v>534</v>
      </c>
      <c r="B539" s="15" t="s">
        <v>108</v>
      </c>
      <c r="C539" s="15" t="s">
        <v>432</v>
      </c>
      <c r="D539" s="16">
        <v>7004510.4577000001</v>
      </c>
      <c r="E539" s="16">
        <v>1587927.6407999999</v>
      </c>
      <c r="F539" s="17">
        <f t="shared" si="8"/>
        <v>8592438.0985000003</v>
      </c>
      <c r="G539" s="18"/>
      <c r="H539" s="18"/>
      <c r="I539" s="19"/>
      <c r="J539" s="19"/>
      <c r="K539" s="19"/>
      <c r="L539" s="19"/>
      <c r="M539" s="18"/>
      <c r="N539" s="18"/>
      <c r="O539" s="19"/>
      <c r="P539" s="19"/>
      <c r="Q539" s="19"/>
    </row>
    <row r="540" spans="1:17" ht="17.649999999999999">
      <c r="A540" s="14">
        <v>535</v>
      </c>
      <c r="B540" s="15" t="s">
        <v>108</v>
      </c>
      <c r="C540" s="15" t="s">
        <v>434</v>
      </c>
      <c r="D540" s="16">
        <v>8021618.6421999997</v>
      </c>
      <c r="E540" s="16">
        <v>1818506.8097000001</v>
      </c>
      <c r="F540" s="17">
        <f t="shared" si="8"/>
        <v>9840125.4518999998</v>
      </c>
      <c r="G540" s="18"/>
      <c r="H540" s="18"/>
      <c r="I540" s="19"/>
      <c r="J540" s="19"/>
      <c r="K540" s="19"/>
      <c r="L540" s="19"/>
      <c r="M540" s="18"/>
      <c r="N540" s="18"/>
      <c r="O540" s="19"/>
      <c r="P540" s="19"/>
      <c r="Q540" s="19"/>
    </row>
    <row r="541" spans="1:17" ht="17.649999999999999">
      <c r="A541" s="14">
        <v>536</v>
      </c>
      <c r="B541" s="15" t="s">
        <v>108</v>
      </c>
      <c r="C541" s="15" t="s">
        <v>436</v>
      </c>
      <c r="D541" s="16">
        <v>13058016.798</v>
      </c>
      <c r="E541" s="16">
        <v>2960261.9530000002</v>
      </c>
      <c r="F541" s="17">
        <f t="shared" si="8"/>
        <v>16018278.751</v>
      </c>
      <c r="G541" s="18"/>
      <c r="H541" s="18"/>
      <c r="I541" s="19"/>
      <c r="J541" s="19"/>
      <c r="K541" s="19"/>
      <c r="L541" s="19"/>
      <c r="M541" s="18"/>
      <c r="N541" s="18"/>
      <c r="O541" s="19"/>
      <c r="P541" s="19"/>
      <c r="Q541" s="19"/>
    </row>
    <row r="542" spans="1:17" ht="17.649999999999999">
      <c r="A542" s="14">
        <v>537</v>
      </c>
      <c r="B542" s="15" t="s">
        <v>108</v>
      </c>
      <c r="C542" s="15" t="s">
        <v>438</v>
      </c>
      <c r="D542" s="16">
        <v>7838149.0438999999</v>
      </c>
      <c r="E542" s="16">
        <v>1776914.1176</v>
      </c>
      <c r="F542" s="17">
        <f t="shared" si="8"/>
        <v>9615063.1614999995</v>
      </c>
      <c r="G542" s="18"/>
      <c r="H542" s="18"/>
      <c r="I542" s="19"/>
      <c r="J542" s="19"/>
      <c r="K542" s="19"/>
      <c r="L542" s="19"/>
      <c r="M542" s="18"/>
      <c r="N542" s="18"/>
      <c r="O542" s="19"/>
      <c r="P542" s="19"/>
      <c r="Q542" s="19"/>
    </row>
    <row r="543" spans="1:17" ht="17.649999999999999">
      <c r="A543" s="14">
        <v>538</v>
      </c>
      <c r="B543" s="15" t="s">
        <v>108</v>
      </c>
      <c r="C543" s="15" t="s">
        <v>440</v>
      </c>
      <c r="D543" s="16">
        <v>8255232.1727999998</v>
      </c>
      <c r="E543" s="16">
        <v>1871467.1677999999</v>
      </c>
      <c r="F543" s="17">
        <f t="shared" si="8"/>
        <v>10126699.340599999</v>
      </c>
      <c r="G543" s="18"/>
      <c r="H543" s="18"/>
      <c r="I543" s="19"/>
      <c r="J543" s="19"/>
      <c r="K543" s="19"/>
      <c r="L543" s="19"/>
      <c r="M543" s="18"/>
      <c r="N543" s="18"/>
      <c r="O543" s="19"/>
      <c r="P543" s="19"/>
      <c r="Q543" s="19"/>
    </row>
    <row r="544" spans="1:17" ht="17.649999999999999">
      <c r="A544" s="14">
        <v>539</v>
      </c>
      <c r="B544" s="15" t="s">
        <v>108</v>
      </c>
      <c r="C544" s="15" t="s">
        <v>442</v>
      </c>
      <c r="D544" s="16">
        <v>7819254.2090999996</v>
      </c>
      <c r="E544" s="16">
        <v>1772630.6447999999</v>
      </c>
      <c r="F544" s="17">
        <f t="shared" si="8"/>
        <v>9591884.8539000005</v>
      </c>
      <c r="G544" s="18"/>
      <c r="H544" s="18"/>
      <c r="I544" s="19"/>
      <c r="J544" s="19"/>
      <c r="K544" s="19"/>
      <c r="L544" s="19"/>
      <c r="M544" s="18"/>
      <c r="N544" s="18"/>
      <c r="O544" s="19"/>
      <c r="P544" s="19"/>
      <c r="Q544" s="19"/>
    </row>
    <row r="545" spans="1:17" ht="17.649999999999999">
      <c r="A545" s="14">
        <v>540</v>
      </c>
      <c r="B545" s="15" t="s">
        <v>108</v>
      </c>
      <c r="C545" s="15" t="s">
        <v>444</v>
      </c>
      <c r="D545" s="16">
        <v>6986999.0449999999</v>
      </c>
      <c r="E545" s="16">
        <v>1583957.7907</v>
      </c>
      <c r="F545" s="17">
        <f t="shared" si="8"/>
        <v>8570956.8356999997</v>
      </c>
      <c r="G545" s="18"/>
      <c r="H545" s="18"/>
      <c r="I545" s="19"/>
      <c r="J545" s="19"/>
      <c r="K545" s="19"/>
      <c r="L545" s="19"/>
      <c r="M545" s="18"/>
      <c r="N545" s="18"/>
      <c r="O545" s="19"/>
      <c r="P545" s="19"/>
      <c r="Q545" s="19"/>
    </row>
    <row r="546" spans="1:17" ht="17.649999999999999">
      <c r="A546" s="14">
        <v>541</v>
      </c>
      <c r="B546" s="15" t="s">
        <v>108</v>
      </c>
      <c r="C546" s="15" t="s">
        <v>446</v>
      </c>
      <c r="D546" s="16">
        <v>7539374.1889000004</v>
      </c>
      <c r="E546" s="16">
        <v>1709181.6396000001</v>
      </c>
      <c r="F546" s="17">
        <f t="shared" si="8"/>
        <v>9248555.8285000008</v>
      </c>
      <c r="G546" s="18"/>
      <c r="H546" s="18"/>
      <c r="I546" s="19"/>
      <c r="J546" s="19"/>
      <c r="K546" s="19"/>
      <c r="L546" s="19"/>
      <c r="M546" s="18"/>
      <c r="N546" s="18"/>
      <c r="O546" s="19"/>
      <c r="P546" s="19"/>
      <c r="Q546" s="19"/>
    </row>
    <row r="547" spans="1:17" ht="17.649999999999999">
      <c r="A547" s="14">
        <v>542</v>
      </c>
      <c r="B547" s="15" t="s">
        <v>108</v>
      </c>
      <c r="C547" s="15" t="s">
        <v>448</v>
      </c>
      <c r="D547" s="16">
        <v>8302968.8468000004</v>
      </c>
      <c r="E547" s="16">
        <v>1882289.1066999999</v>
      </c>
      <c r="F547" s="17">
        <f t="shared" si="8"/>
        <v>10185257.953500001</v>
      </c>
      <c r="G547" s="18"/>
      <c r="H547" s="18"/>
      <c r="I547" s="19"/>
      <c r="J547" s="19"/>
      <c r="K547" s="19"/>
      <c r="L547" s="19"/>
      <c r="M547" s="18"/>
      <c r="N547" s="18"/>
      <c r="O547" s="19"/>
      <c r="P547" s="19"/>
      <c r="Q547" s="19"/>
    </row>
    <row r="548" spans="1:17" ht="17.649999999999999">
      <c r="A548" s="14">
        <v>543</v>
      </c>
      <c r="B548" s="15" t="s">
        <v>108</v>
      </c>
      <c r="C548" s="15" t="s">
        <v>450</v>
      </c>
      <c r="D548" s="16">
        <v>8110296.0142999999</v>
      </c>
      <c r="E548" s="16">
        <v>1838610.0348</v>
      </c>
      <c r="F548" s="17">
        <f t="shared" si="8"/>
        <v>9948906.0491000004</v>
      </c>
      <c r="G548" s="18"/>
      <c r="H548" s="18"/>
      <c r="I548" s="19"/>
      <c r="J548" s="19"/>
      <c r="K548" s="19"/>
      <c r="L548" s="19"/>
      <c r="M548" s="18"/>
      <c r="N548" s="18"/>
      <c r="O548" s="19"/>
      <c r="P548" s="19"/>
      <c r="Q548" s="19"/>
    </row>
    <row r="549" spans="1:17" ht="17.649999999999999">
      <c r="A549" s="14">
        <v>544</v>
      </c>
      <c r="B549" s="15" t="s">
        <v>108</v>
      </c>
      <c r="C549" s="15" t="s">
        <v>452</v>
      </c>
      <c r="D549" s="16">
        <v>9437309.3537000008</v>
      </c>
      <c r="E549" s="16">
        <v>2139444.9287999999</v>
      </c>
      <c r="F549" s="17">
        <f t="shared" si="8"/>
        <v>11576754.282500001</v>
      </c>
      <c r="G549" s="18"/>
      <c r="H549" s="18"/>
      <c r="I549" s="19"/>
      <c r="J549" s="19"/>
      <c r="K549" s="19"/>
      <c r="L549" s="19"/>
      <c r="M549" s="18"/>
      <c r="N549" s="18"/>
      <c r="O549" s="19"/>
      <c r="P549" s="19"/>
      <c r="Q549" s="19"/>
    </row>
    <row r="550" spans="1:17" ht="17.649999999999999">
      <c r="A550" s="14">
        <v>545</v>
      </c>
      <c r="B550" s="15" t="s">
        <v>108</v>
      </c>
      <c r="C550" s="15" t="s">
        <v>454</v>
      </c>
      <c r="D550" s="16">
        <v>9667306.6203000005</v>
      </c>
      <c r="E550" s="16">
        <v>2191585.4772000001</v>
      </c>
      <c r="F550" s="17">
        <f t="shared" si="8"/>
        <v>11858892.0975</v>
      </c>
      <c r="G550" s="18"/>
      <c r="H550" s="18"/>
      <c r="I550" s="19"/>
      <c r="J550" s="19"/>
      <c r="K550" s="19"/>
      <c r="L550" s="19"/>
      <c r="M550" s="18"/>
      <c r="N550" s="18"/>
      <c r="O550" s="19"/>
      <c r="P550" s="19"/>
      <c r="Q550" s="19"/>
    </row>
    <row r="551" spans="1:17" ht="17.649999999999999">
      <c r="A551" s="14">
        <v>546</v>
      </c>
      <c r="B551" s="15" t="s">
        <v>108</v>
      </c>
      <c r="C551" s="15" t="s">
        <v>456</v>
      </c>
      <c r="D551" s="16">
        <v>10704274.123</v>
      </c>
      <c r="E551" s="16">
        <v>2426666.7681</v>
      </c>
      <c r="F551" s="17">
        <f t="shared" si="8"/>
        <v>13130940.891100001</v>
      </c>
      <c r="G551" s="18"/>
      <c r="H551" s="18"/>
      <c r="I551" s="19"/>
      <c r="J551" s="19"/>
      <c r="K551" s="19"/>
      <c r="L551" s="19"/>
      <c r="M551" s="18"/>
      <c r="N551" s="18"/>
      <c r="O551" s="19"/>
      <c r="P551" s="19"/>
      <c r="Q551" s="19"/>
    </row>
    <row r="552" spans="1:17" ht="17.649999999999999">
      <c r="A552" s="14">
        <v>547</v>
      </c>
      <c r="B552" s="15" t="s">
        <v>108</v>
      </c>
      <c r="C552" s="15" t="s">
        <v>458</v>
      </c>
      <c r="D552" s="16">
        <v>12630377.9246</v>
      </c>
      <c r="E552" s="16">
        <v>2863315.9078000002</v>
      </c>
      <c r="F552" s="17">
        <f t="shared" si="8"/>
        <v>15493693.8324</v>
      </c>
      <c r="G552" s="18"/>
      <c r="H552" s="18"/>
      <c r="I552" s="19"/>
      <c r="J552" s="19"/>
      <c r="K552" s="19"/>
      <c r="L552" s="19"/>
      <c r="M552" s="18"/>
      <c r="N552" s="18"/>
      <c r="O552" s="19"/>
      <c r="P552" s="19"/>
      <c r="Q552" s="19"/>
    </row>
    <row r="553" spans="1:17" ht="17.649999999999999">
      <c r="A553" s="14">
        <v>548</v>
      </c>
      <c r="B553" s="15" t="s">
        <v>108</v>
      </c>
      <c r="C553" s="15" t="s">
        <v>460</v>
      </c>
      <c r="D553" s="16">
        <v>7999225.1091999998</v>
      </c>
      <c r="E553" s="16">
        <v>1813430.1794</v>
      </c>
      <c r="F553" s="17">
        <f t="shared" si="8"/>
        <v>9812655.2885999996</v>
      </c>
      <c r="G553" s="18"/>
      <c r="H553" s="18"/>
      <c r="I553" s="19"/>
      <c r="J553" s="19"/>
      <c r="K553" s="19"/>
      <c r="L553" s="19"/>
      <c r="M553" s="18"/>
      <c r="N553" s="18"/>
      <c r="O553" s="19"/>
      <c r="P553" s="19"/>
      <c r="Q553" s="19"/>
    </row>
    <row r="554" spans="1:17" ht="17.649999999999999">
      <c r="A554" s="14">
        <v>549</v>
      </c>
      <c r="B554" s="15" t="s">
        <v>108</v>
      </c>
      <c r="C554" s="15" t="s">
        <v>462</v>
      </c>
      <c r="D554" s="16">
        <v>10857355.3355</v>
      </c>
      <c r="E554" s="16">
        <v>2461370.3909</v>
      </c>
      <c r="F554" s="17">
        <f t="shared" si="8"/>
        <v>13318725.726399999</v>
      </c>
      <c r="G554" s="18"/>
      <c r="H554" s="18"/>
      <c r="I554" s="19"/>
      <c r="J554" s="19"/>
      <c r="K554" s="19"/>
      <c r="L554" s="19"/>
      <c r="M554" s="18"/>
      <c r="N554" s="18"/>
      <c r="O554" s="19"/>
      <c r="P554" s="19"/>
      <c r="Q554" s="19"/>
    </row>
    <row r="555" spans="1:17" ht="17.649999999999999">
      <c r="A555" s="14">
        <v>550</v>
      </c>
      <c r="B555" s="15" t="s">
        <v>108</v>
      </c>
      <c r="C555" s="15" t="s">
        <v>464</v>
      </c>
      <c r="D555" s="16">
        <v>7333910.2505999999</v>
      </c>
      <c r="E555" s="16">
        <v>1662602.8145999999</v>
      </c>
      <c r="F555" s="17">
        <f t="shared" si="8"/>
        <v>8996513.0651999991</v>
      </c>
      <c r="G555" s="18"/>
      <c r="H555" s="18"/>
      <c r="I555" s="19"/>
      <c r="J555" s="19"/>
      <c r="K555" s="19"/>
      <c r="L555" s="19"/>
      <c r="M555" s="18"/>
      <c r="N555" s="18"/>
      <c r="O555" s="19"/>
      <c r="P555" s="19"/>
      <c r="Q555" s="19"/>
    </row>
    <row r="556" spans="1:17" ht="17.649999999999999">
      <c r="A556" s="14">
        <v>551</v>
      </c>
      <c r="B556" s="15" t="s">
        <v>108</v>
      </c>
      <c r="C556" s="15" t="s">
        <v>466</v>
      </c>
      <c r="D556" s="16">
        <v>8440486.0074000005</v>
      </c>
      <c r="E556" s="16">
        <v>1913464.3476</v>
      </c>
      <c r="F556" s="17">
        <f t="shared" si="8"/>
        <v>10353950.355</v>
      </c>
      <c r="G556" s="18"/>
      <c r="H556" s="18"/>
      <c r="I556" s="19"/>
      <c r="J556" s="19"/>
      <c r="K556" s="19"/>
      <c r="L556" s="19"/>
      <c r="M556" s="18"/>
      <c r="N556" s="18"/>
      <c r="O556" s="19"/>
      <c r="P556" s="19"/>
      <c r="Q556" s="19"/>
    </row>
    <row r="557" spans="1:17" ht="17.649999999999999">
      <c r="A557" s="14">
        <v>552</v>
      </c>
      <c r="B557" s="15" t="s">
        <v>108</v>
      </c>
      <c r="C557" s="15" t="s">
        <v>468</v>
      </c>
      <c r="D557" s="16">
        <v>9735155.3304999992</v>
      </c>
      <c r="E557" s="16">
        <v>2206966.8295</v>
      </c>
      <c r="F557" s="17">
        <f t="shared" si="8"/>
        <v>11942122.16</v>
      </c>
      <c r="G557" s="18"/>
      <c r="H557" s="18"/>
      <c r="I557" s="19"/>
      <c r="J557" s="19"/>
      <c r="K557" s="19"/>
      <c r="L557" s="19"/>
      <c r="M557" s="18"/>
      <c r="N557" s="18"/>
      <c r="O557" s="19"/>
      <c r="P557" s="19"/>
      <c r="Q557" s="19"/>
    </row>
    <row r="558" spans="1:17" ht="17.649999999999999">
      <c r="A558" s="14">
        <v>553</v>
      </c>
      <c r="B558" s="15" t="s">
        <v>108</v>
      </c>
      <c r="C558" s="15" t="s">
        <v>470</v>
      </c>
      <c r="D558" s="16">
        <v>9158157.5632000007</v>
      </c>
      <c r="E558" s="16">
        <v>2076161.0138999999</v>
      </c>
      <c r="F558" s="17">
        <f t="shared" si="8"/>
        <v>11234318.577100001</v>
      </c>
      <c r="G558" s="18"/>
      <c r="H558" s="18"/>
      <c r="I558" s="19"/>
      <c r="J558" s="19"/>
      <c r="K558" s="19"/>
      <c r="L558" s="19"/>
      <c r="M558" s="18"/>
      <c r="N558" s="18"/>
      <c r="O558" s="19"/>
      <c r="P558" s="19"/>
      <c r="Q558" s="19"/>
    </row>
    <row r="559" spans="1:17" ht="17.649999999999999">
      <c r="A559" s="14">
        <v>554</v>
      </c>
      <c r="B559" s="15" t="s">
        <v>108</v>
      </c>
      <c r="C559" s="15" t="s">
        <v>472</v>
      </c>
      <c r="D559" s="16">
        <v>10826345.4363</v>
      </c>
      <c r="E559" s="16">
        <v>2454340.4240999999</v>
      </c>
      <c r="F559" s="17">
        <f t="shared" si="8"/>
        <v>13280685.860400001</v>
      </c>
      <c r="G559" s="18"/>
      <c r="H559" s="18"/>
      <c r="I559" s="19"/>
      <c r="J559" s="19"/>
      <c r="K559" s="19"/>
      <c r="L559" s="19"/>
      <c r="M559" s="18"/>
      <c r="N559" s="18"/>
      <c r="O559" s="19"/>
      <c r="P559" s="19"/>
      <c r="Q559" s="19"/>
    </row>
    <row r="560" spans="1:17" ht="17.649999999999999">
      <c r="A560" s="14">
        <v>555</v>
      </c>
      <c r="B560" s="15" t="s">
        <v>108</v>
      </c>
      <c r="C560" s="15" t="s">
        <v>474</v>
      </c>
      <c r="D560" s="16">
        <v>7917578.2741</v>
      </c>
      <c r="E560" s="16">
        <v>1794920.7822</v>
      </c>
      <c r="F560" s="17">
        <f t="shared" si="8"/>
        <v>9712499.0562999994</v>
      </c>
      <c r="G560" s="18"/>
      <c r="H560" s="18"/>
      <c r="I560" s="19"/>
      <c r="J560" s="19"/>
      <c r="K560" s="19"/>
      <c r="L560" s="19"/>
      <c r="M560" s="18"/>
      <c r="N560" s="18"/>
      <c r="O560" s="19"/>
      <c r="P560" s="19"/>
      <c r="Q560" s="19"/>
    </row>
    <row r="561" spans="1:17" ht="17.649999999999999">
      <c r="A561" s="14">
        <v>556</v>
      </c>
      <c r="B561" s="15" t="s">
        <v>108</v>
      </c>
      <c r="C561" s="15" t="s">
        <v>476</v>
      </c>
      <c r="D561" s="16">
        <v>6443651.9786999999</v>
      </c>
      <c r="E561" s="16">
        <v>1460780.6136</v>
      </c>
      <c r="F561" s="17">
        <f t="shared" si="8"/>
        <v>7904432.5922999997</v>
      </c>
      <c r="G561" s="18"/>
      <c r="H561" s="18"/>
      <c r="I561" s="19"/>
      <c r="J561" s="19"/>
      <c r="K561" s="19"/>
      <c r="L561" s="19"/>
      <c r="M561" s="18"/>
      <c r="N561" s="18"/>
      <c r="O561" s="19"/>
      <c r="P561" s="19"/>
      <c r="Q561" s="19"/>
    </row>
    <row r="562" spans="1:17" ht="17.649999999999999">
      <c r="A562" s="14">
        <v>557</v>
      </c>
      <c r="B562" s="15" t="s">
        <v>108</v>
      </c>
      <c r="C562" s="15" t="s">
        <v>478</v>
      </c>
      <c r="D562" s="16">
        <v>7182678.9100000001</v>
      </c>
      <c r="E562" s="16">
        <v>1628318.5592</v>
      </c>
      <c r="F562" s="17">
        <f t="shared" si="8"/>
        <v>8810997.4692000002</v>
      </c>
      <c r="G562" s="18"/>
      <c r="H562" s="18"/>
      <c r="I562" s="19"/>
      <c r="J562" s="19"/>
      <c r="K562" s="19"/>
      <c r="L562" s="19"/>
      <c r="M562" s="18"/>
      <c r="N562" s="18"/>
      <c r="O562" s="19"/>
      <c r="P562" s="19"/>
      <c r="Q562" s="19"/>
    </row>
    <row r="563" spans="1:17" ht="35.25">
      <c r="A563" s="14">
        <v>558</v>
      </c>
      <c r="B563" s="15" t="s">
        <v>109</v>
      </c>
      <c r="C563" s="15" t="s">
        <v>483</v>
      </c>
      <c r="D563" s="16">
        <v>8064099.5543999998</v>
      </c>
      <c r="E563" s="16">
        <v>1828137.2634999999</v>
      </c>
      <c r="F563" s="17">
        <f t="shared" si="8"/>
        <v>9892236.8179000001</v>
      </c>
      <c r="G563" s="18"/>
      <c r="H563" s="18"/>
      <c r="I563" s="19"/>
      <c r="J563" s="19"/>
      <c r="K563" s="19"/>
      <c r="L563" s="19"/>
      <c r="M563" s="18"/>
      <c r="N563" s="18"/>
      <c r="O563" s="19"/>
      <c r="P563" s="19"/>
      <c r="Q563" s="19"/>
    </row>
    <row r="564" spans="1:17" ht="35.25">
      <c r="A564" s="14">
        <v>559</v>
      </c>
      <c r="B564" s="15" t="s">
        <v>109</v>
      </c>
      <c r="C564" s="15" t="s">
        <v>485</v>
      </c>
      <c r="D564" s="16">
        <v>8324948.8943999996</v>
      </c>
      <c r="E564" s="16">
        <v>1887271.9996</v>
      </c>
      <c r="F564" s="17">
        <f t="shared" si="8"/>
        <v>10212220.893999999</v>
      </c>
      <c r="G564" s="18"/>
      <c r="H564" s="18"/>
      <c r="I564" s="19"/>
      <c r="J564" s="19"/>
      <c r="K564" s="19"/>
      <c r="L564" s="19"/>
      <c r="M564" s="18"/>
      <c r="N564" s="18"/>
      <c r="O564" s="19"/>
      <c r="P564" s="19"/>
      <c r="Q564" s="19"/>
    </row>
    <row r="565" spans="1:17" ht="17.649999999999999">
      <c r="A565" s="14">
        <v>560</v>
      </c>
      <c r="B565" s="15" t="s">
        <v>109</v>
      </c>
      <c r="C565" s="15" t="s">
        <v>487</v>
      </c>
      <c r="D565" s="16">
        <v>12795722.044199999</v>
      </c>
      <c r="E565" s="16">
        <v>2900799.5405999999</v>
      </c>
      <c r="F565" s="17">
        <f t="shared" si="8"/>
        <v>15696521.584799999</v>
      </c>
      <c r="G565" s="18"/>
      <c r="H565" s="18"/>
      <c r="I565" s="19"/>
      <c r="J565" s="19"/>
      <c r="K565" s="19"/>
      <c r="L565" s="19"/>
      <c r="M565" s="18"/>
      <c r="N565" s="18"/>
      <c r="O565" s="19"/>
      <c r="P565" s="19"/>
      <c r="Q565" s="19"/>
    </row>
    <row r="566" spans="1:17" ht="17.649999999999999">
      <c r="A566" s="14">
        <v>561</v>
      </c>
      <c r="B566" s="15" t="s">
        <v>109</v>
      </c>
      <c r="C566" s="15" t="s">
        <v>489</v>
      </c>
      <c r="D566" s="16">
        <v>8413294.6613999996</v>
      </c>
      <c r="E566" s="16">
        <v>1907300.0495</v>
      </c>
      <c r="F566" s="17">
        <f t="shared" si="8"/>
        <v>10320594.710899999</v>
      </c>
      <c r="G566" s="18"/>
      <c r="H566" s="18"/>
      <c r="I566" s="19"/>
      <c r="J566" s="19"/>
      <c r="K566" s="19"/>
      <c r="L566" s="19"/>
      <c r="M566" s="18"/>
      <c r="N566" s="18"/>
      <c r="O566" s="19"/>
      <c r="P566" s="19"/>
      <c r="Q566" s="19"/>
    </row>
    <row r="567" spans="1:17" ht="17.649999999999999">
      <c r="A567" s="14">
        <v>562</v>
      </c>
      <c r="B567" s="15" t="s">
        <v>109</v>
      </c>
      <c r="C567" s="15" t="s">
        <v>491</v>
      </c>
      <c r="D567" s="16">
        <v>7539815.1710000001</v>
      </c>
      <c r="E567" s="16">
        <v>1709281.6106</v>
      </c>
      <c r="F567" s="17">
        <f t="shared" si="8"/>
        <v>9249096.7816000003</v>
      </c>
      <c r="G567" s="18"/>
      <c r="H567" s="18"/>
      <c r="I567" s="19"/>
      <c r="J567" s="19"/>
      <c r="K567" s="19"/>
      <c r="L567" s="19"/>
      <c r="M567" s="18"/>
      <c r="N567" s="18"/>
      <c r="O567" s="19"/>
      <c r="P567" s="19"/>
      <c r="Q567" s="19"/>
    </row>
    <row r="568" spans="1:17" ht="17.649999999999999">
      <c r="A568" s="14">
        <v>563</v>
      </c>
      <c r="B568" s="15" t="s">
        <v>109</v>
      </c>
      <c r="C568" s="15" t="s">
        <v>493</v>
      </c>
      <c r="D568" s="16">
        <v>5735347.3284</v>
      </c>
      <c r="E568" s="16">
        <v>1300207.4317000001</v>
      </c>
      <c r="F568" s="17">
        <f t="shared" si="8"/>
        <v>7035554.7600999996</v>
      </c>
      <c r="G568" s="18"/>
      <c r="H568" s="18"/>
      <c r="I568" s="19"/>
      <c r="J568" s="19"/>
      <c r="K568" s="19"/>
      <c r="L568" s="19"/>
      <c r="M568" s="18"/>
      <c r="N568" s="18"/>
      <c r="O568" s="19"/>
      <c r="P568" s="19"/>
      <c r="Q568" s="19"/>
    </row>
    <row r="569" spans="1:17" ht="17.649999999999999">
      <c r="A569" s="14">
        <v>564</v>
      </c>
      <c r="B569" s="15" t="s">
        <v>109</v>
      </c>
      <c r="C569" s="15" t="s">
        <v>495</v>
      </c>
      <c r="D569" s="16">
        <v>5587241.8044999996</v>
      </c>
      <c r="E569" s="16">
        <v>1266631.8011</v>
      </c>
      <c r="F569" s="17">
        <f t="shared" si="8"/>
        <v>6853873.6055999994</v>
      </c>
      <c r="G569" s="18"/>
      <c r="H569" s="18"/>
      <c r="I569" s="19"/>
      <c r="J569" s="19"/>
      <c r="K569" s="19"/>
      <c r="L569" s="19"/>
      <c r="M569" s="18"/>
      <c r="N569" s="18"/>
      <c r="O569" s="19"/>
      <c r="P569" s="19"/>
      <c r="Q569" s="19"/>
    </row>
    <row r="570" spans="1:17" ht="17.649999999999999">
      <c r="A570" s="14">
        <v>565</v>
      </c>
      <c r="B570" s="15" t="s">
        <v>109</v>
      </c>
      <c r="C570" s="15" t="s">
        <v>497</v>
      </c>
      <c r="D570" s="16">
        <v>12545914.691400001</v>
      </c>
      <c r="E570" s="16">
        <v>2844168.0310999998</v>
      </c>
      <c r="F570" s="17">
        <f t="shared" si="8"/>
        <v>15390082.7225</v>
      </c>
      <c r="G570" s="18"/>
      <c r="H570" s="18"/>
      <c r="I570" s="19"/>
      <c r="J570" s="19"/>
      <c r="K570" s="19"/>
      <c r="L570" s="19"/>
      <c r="M570" s="18"/>
      <c r="N570" s="18"/>
      <c r="O570" s="19"/>
      <c r="P570" s="19"/>
      <c r="Q570" s="19"/>
    </row>
    <row r="571" spans="1:17" ht="17.649999999999999">
      <c r="A571" s="14">
        <v>566</v>
      </c>
      <c r="B571" s="15" t="s">
        <v>109</v>
      </c>
      <c r="C571" s="15" t="s">
        <v>499</v>
      </c>
      <c r="D571" s="16">
        <v>7466379.2997000003</v>
      </c>
      <c r="E571" s="16">
        <v>1692633.6449</v>
      </c>
      <c r="F571" s="17">
        <f t="shared" si="8"/>
        <v>9159012.944600001</v>
      </c>
      <c r="G571" s="18"/>
      <c r="H571" s="18"/>
      <c r="I571" s="19"/>
      <c r="J571" s="19"/>
      <c r="K571" s="19"/>
      <c r="L571" s="19"/>
      <c r="M571" s="18"/>
      <c r="N571" s="18"/>
      <c r="O571" s="19"/>
      <c r="P571" s="19"/>
      <c r="Q571" s="19"/>
    </row>
    <row r="572" spans="1:17" ht="17.649999999999999">
      <c r="A572" s="14">
        <v>567</v>
      </c>
      <c r="B572" s="15" t="s">
        <v>109</v>
      </c>
      <c r="C572" s="15" t="s">
        <v>501</v>
      </c>
      <c r="D572" s="16">
        <v>9328510.8642999995</v>
      </c>
      <c r="E572" s="16">
        <v>2114780.2316999999</v>
      </c>
      <c r="F572" s="17">
        <f t="shared" si="8"/>
        <v>11443291.095999999</v>
      </c>
      <c r="G572" s="18"/>
      <c r="H572" s="18"/>
      <c r="I572" s="19"/>
      <c r="J572" s="19"/>
      <c r="K572" s="19"/>
      <c r="L572" s="19"/>
      <c r="M572" s="18"/>
      <c r="N572" s="18"/>
      <c r="O572" s="19"/>
      <c r="P572" s="19"/>
      <c r="Q572" s="19"/>
    </row>
    <row r="573" spans="1:17" ht="17.649999999999999">
      <c r="A573" s="14">
        <v>568</v>
      </c>
      <c r="B573" s="15" t="s">
        <v>109</v>
      </c>
      <c r="C573" s="15" t="s">
        <v>503</v>
      </c>
      <c r="D573" s="16">
        <v>7196950.2139999997</v>
      </c>
      <c r="E573" s="16">
        <v>1631553.8742</v>
      </c>
      <c r="F573" s="17">
        <f t="shared" si="8"/>
        <v>8828504.0881999992</v>
      </c>
      <c r="G573" s="18"/>
      <c r="H573" s="18"/>
      <c r="I573" s="19"/>
      <c r="J573" s="19"/>
      <c r="K573" s="19"/>
      <c r="L573" s="19"/>
      <c r="M573" s="18"/>
      <c r="N573" s="18"/>
      <c r="O573" s="19"/>
      <c r="P573" s="19"/>
      <c r="Q573" s="19"/>
    </row>
    <row r="574" spans="1:17" ht="17.649999999999999">
      <c r="A574" s="14">
        <v>569</v>
      </c>
      <c r="B574" s="15" t="s">
        <v>109</v>
      </c>
      <c r="C574" s="15" t="s">
        <v>505</v>
      </c>
      <c r="D574" s="16">
        <v>6502129.7019999996</v>
      </c>
      <c r="E574" s="16">
        <v>1474037.5563000001</v>
      </c>
      <c r="F574" s="17">
        <f t="shared" si="8"/>
        <v>7976167.2582999999</v>
      </c>
      <c r="G574" s="18"/>
      <c r="H574" s="18"/>
      <c r="I574" s="19"/>
      <c r="J574" s="19"/>
      <c r="K574" s="19"/>
      <c r="L574" s="19"/>
      <c r="M574" s="18"/>
      <c r="N574" s="18"/>
      <c r="O574" s="19"/>
      <c r="P574" s="19"/>
      <c r="Q574" s="19"/>
    </row>
    <row r="575" spans="1:17" ht="35.25">
      <c r="A575" s="14">
        <v>570</v>
      </c>
      <c r="B575" s="15" t="s">
        <v>109</v>
      </c>
      <c r="C575" s="15" t="s">
        <v>507</v>
      </c>
      <c r="D575" s="16">
        <v>5863347.3437999999</v>
      </c>
      <c r="E575" s="16">
        <v>1329225.1287</v>
      </c>
      <c r="F575" s="17">
        <f t="shared" si="8"/>
        <v>7192572.4725000001</v>
      </c>
      <c r="G575" s="18"/>
      <c r="H575" s="18"/>
      <c r="I575" s="19"/>
      <c r="J575" s="19"/>
      <c r="K575" s="19"/>
      <c r="L575" s="19"/>
      <c r="M575" s="18"/>
      <c r="N575" s="18"/>
      <c r="O575" s="19"/>
      <c r="P575" s="19"/>
      <c r="Q575" s="19"/>
    </row>
    <row r="576" spans="1:17" ht="17.649999999999999">
      <c r="A576" s="14">
        <v>571</v>
      </c>
      <c r="B576" s="15" t="s">
        <v>109</v>
      </c>
      <c r="C576" s="15" t="s">
        <v>509</v>
      </c>
      <c r="D576" s="16">
        <v>6740662.3831000002</v>
      </c>
      <c r="E576" s="16">
        <v>1528113.0893999999</v>
      </c>
      <c r="F576" s="17">
        <f t="shared" si="8"/>
        <v>8268775.4725000001</v>
      </c>
      <c r="G576" s="18"/>
      <c r="H576" s="18"/>
      <c r="I576" s="19"/>
      <c r="J576" s="19"/>
      <c r="K576" s="19"/>
      <c r="L576" s="19"/>
      <c r="M576" s="18"/>
      <c r="N576" s="18"/>
      <c r="O576" s="19"/>
      <c r="P576" s="19"/>
      <c r="Q576" s="19"/>
    </row>
    <row r="577" spans="1:17" ht="17.649999999999999">
      <c r="A577" s="14">
        <v>572</v>
      </c>
      <c r="B577" s="15" t="s">
        <v>109</v>
      </c>
      <c r="C577" s="15" t="s">
        <v>511</v>
      </c>
      <c r="D577" s="16">
        <v>7060292.0447000004</v>
      </c>
      <c r="E577" s="16">
        <v>1600573.3673</v>
      </c>
      <c r="F577" s="17">
        <f t="shared" si="8"/>
        <v>8660865.4120000005</v>
      </c>
      <c r="G577" s="18"/>
      <c r="H577" s="18"/>
      <c r="I577" s="19"/>
      <c r="J577" s="19"/>
      <c r="K577" s="19"/>
      <c r="L577" s="19"/>
      <c r="M577" s="18"/>
      <c r="N577" s="18"/>
      <c r="O577" s="19"/>
      <c r="P577" s="19"/>
      <c r="Q577" s="19"/>
    </row>
    <row r="578" spans="1:17" ht="17.649999999999999">
      <c r="A578" s="14">
        <v>573</v>
      </c>
      <c r="B578" s="15" t="s">
        <v>109</v>
      </c>
      <c r="C578" s="15" t="s">
        <v>513</v>
      </c>
      <c r="D578" s="16">
        <v>8560625.3410999998</v>
      </c>
      <c r="E578" s="16">
        <v>1940700.0223000001</v>
      </c>
      <c r="F578" s="17">
        <f t="shared" si="8"/>
        <v>10501325.363399999</v>
      </c>
      <c r="G578" s="18"/>
      <c r="H578" s="18"/>
      <c r="I578" s="19"/>
      <c r="J578" s="19"/>
      <c r="K578" s="19"/>
      <c r="L578" s="19"/>
      <c r="M578" s="18"/>
      <c r="N578" s="18"/>
      <c r="O578" s="19"/>
      <c r="P578" s="19"/>
      <c r="Q578" s="19"/>
    </row>
    <row r="579" spans="1:17" ht="17.649999999999999">
      <c r="A579" s="14">
        <v>574</v>
      </c>
      <c r="B579" s="15" t="s">
        <v>109</v>
      </c>
      <c r="C579" s="15" t="s">
        <v>515</v>
      </c>
      <c r="D579" s="16">
        <v>7186474.0109000001</v>
      </c>
      <c r="E579" s="16">
        <v>1629178.9113</v>
      </c>
      <c r="F579" s="17">
        <f t="shared" si="8"/>
        <v>8815652.9221999999</v>
      </c>
      <c r="G579" s="18"/>
      <c r="H579" s="18"/>
      <c r="I579" s="19"/>
      <c r="J579" s="19"/>
      <c r="K579" s="19"/>
      <c r="L579" s="19"/>
      <c r="M579" s="18"/>
      <c r="N579" s="18"/>
      <c r="O579" s="19"/>
      <c r="P579" s="19"/>
      <c r="Q579" s="19"/>
    </row>
    <row r="580" spans="1:17" ht="17.649999999999999">
      <c r="A580" s="14">
        <v>575</v>
      </c>
      <c r="B580" s="15" t="s">
        <v>109</v>
      </c>
      <c r="C580" s="15" t="s">
        <v>517</v>
      </c>
      <c r="D580" s="16">
        <v>6679080.0039999997</v>
      </c>
      <c r="E580" s="16">
        <v>1514152.3191</v>
      </c>
      <c r="F580" s="17">
        <f t="shared" si="8"/>
        <v>8193232.3230999997</v>
      </c>
      <c r="G580" s="18"/>
      <c r="H580" s="18"/>
      <c r="I580" s="19"/>
      <c r="J580" s="19"/>
      <c r="K580" s="19"/>
      <c r="L580" s="19"/>
      <c r="M580" s="18"/>
      <c r="N580" s="18"/>
      <c r="O580" s="19"/>
      <c r="P580" s="19"/>
      <c r="Q580" s="19"/>
    </row>
    <row r="581" spans="1:17" ht="35.25">
      <c r="A581" s="14">
        <v>576</v>
      </c>
      <c r="B581" s="15" t="s">
        <v>109</v>
      </c>
      <c r="C581" s="15" t="s">
        <v>520</v>
      </c>
      <c r="D581" s="16">
        <v>6344072.0366000002</v>
      </c>
      <c r="E581" s="16">
        <v>1438205.7679999999</v>
      </c>
      <c r="F581" s="17">
        <f t="shared" si="8"/>
        <v>7782277.8046000004</v>
      </c>
      <c r="G581" s="18"/>
      <c r="H581" s="18"/>
      <c r="I581" s="19"/>
      <c r="J581" s="19"/>
      <c r="K581" s="19"/>
      <c r="L581" s="19"/>
      <c r="M581" s="18"/>
      <c r="N581" s="18"/>
      <c r="O581" s="19"/>
      <c r="P581" s="19"/>
      <c r="Q581" s="19"/>
    </row>
    <row r="582" spans="1:17" ht="17.649999999999999">
      <c r="A582" s="14">
        <v>577</v>
      </c>
      <c r="B582" s="15" t="s">
        <v>109</v>
      </c>
      <c r="C582" s="15" t="s">
        <v>522</v>
      </c>
      <c r="D582" s="16">
        <v>8604658.2773000002</v>
      </c>
      <c r="E582" s="16">
        <v>1950682.3211000001</v>
      </c>
      <c r="F582" s="17">
        <f t="shared" si="8"/>
        <v>10555340.5984</v>
      </c>
      <c r="G582" s="18"/>
      <c r="H582" s="18"/>
      <c r="I582" s="19"/>
      <c r="J582" s="19"/>
      <c r="K582" s="19"/>
      <c r="L582" s="19"/>
      <c r="M582" s="18"/>
      <c r="N582" s="18"/>
      <c r="O582" s="19"/>
      <c r="P582" s="19"/>
      <c r="Q582" s="19"/>
    </row>
    <row r="583" spans="1:17" ht="35.25">
      <c r="A583" s="14">
        <v>578</v>
      </c>
      <c r="B583" s="15" t="s">
        <v>110</v>
      </c>
      <c r="C583" s="15" t="s">
        <v>526</v>
      </c>
      <c r="D583" s="16">
        <v>8294198.8206000002</v>
      </c>
      <c r="E583" s="16">
        <v>1880300.9354000001</v>
      </c>
      <c r="F583" s="17">
        <f t="shared" ref="F583:F646" si="9">D583+E583</f>
        <v>10174499.756000001</v>
      </c>
      <c r="G583" s="18"/>
      <c r="H583" s="18"/>
      <c r="I583" s="19"/>
      <c r="J583" s="19"/>
      <c r="K583" s="19"/>
      <c r="L583" s="19"/>
      <c r="M583" s="18"/>
      <c r="N583" s="18"/>
      <c r="O583" s="19"/>
      <c r="P583" s="19"/>
      <c r="Q583" s="19"/>
    </row>
    <row r="584" spans="1:17" ht="35.25">
      <c r="A584" s="14">
        <v>579</v>
      </c>
      <c r="B584" s="15" t="s">
        <v>110</v>
      </c>
      <c r="C584" s="15" t="s">
        <v>528</v>
      </c>
      <c r="D584" s="16">
        <v>8773932.1567000002</v>
      </c>
      <c r="E584" s="16">
        <v>1989056.8333000001</v>
      </c>
      <c r="F584" s="17">
        <f t="shared" si="9"/>
        <v>10762988.99</v>
      </c>
      <c r="G584" s="18"/>
      <c r="H584" s="18"/>
      <c r="I584" s="19"/>
      <c r="J584" s="19"/>
      <c r="K584" s="19"/>
      <c r="L584" s="19"/>
      <c r="M584" s="18"/>
      <c r="N584" s="18"/>
      <c r="O584" s="19"/>
      <c r="P584" s="19"/>
      <c r="Q584" s="19"/>
    </row>
    <row r="585" spans="1:17" ht="35.25">
      <c r="A585" s="14">
        <v>580</v>
      </c>
      <c r="B585" s="15" t="s">
        <v>110</v>
      </c>
      <c r="C585" s="15" t="s">
        <v>530</v>
      </c>
      <c r="D585" s="16">
        <v>8932585.1290000007</v>
      </c>
      <c r="E585" s="16">
        <v>2025023.5781</v>
      </c>
      <c r="F585" s="17">
        <f t="shared" si="9"/>
        <v>10957608.7071</v>
      </c>
      <c r="G585" s="18"/>
      <c r="H585" s="18"/>
      <c r="I585" s="19"/>
      <c r="J585" s="19"/>
      <c r="K585" s="19"/>
      <c r="L585" s="19"/>
      <c r="M585" s="18"/>
      <c r="N585" s="18"/>
      <c r="O585" s="19"/>
      <c r="P585" s="19"/>
      <c r="Q585" s="19"/>
    </row>
    <row r="586" spans="1:17" ht="35.25">
      <c r="A586" s="14">
        <v>581</v>
      </c>
      <c r="B586" s="15" t="s">
        <v>110</v>
      </c>
      <c r="C586" s="15" t="s">
        <v>532</v>
      </c>
      <c r="D586" s="16">
        <v>6625451.6522000004</v>
      </c>
      <c r="E586" s="16">
        <v>1501994.7324999999</v>
      </c>
      <c r="F586" s="17">
        <f t="shared" si="9"/>
        <v>8127446.3847000003</v>
      </c>
      <c r="G586" s="18"/>
      <c r="H586" s="18"/>
      <c r="I586" s="19"/>
      <c r="J586" s="19"/>
      <c r="K586" s="19"/>
      <c r="L586" s="19"/>
      <c r="M586" s="18"/>
      <c r="N586" s="18"/>
      <c r="O586" s="19"/>
      <c r="P586" s="19"/>
      <c r="Q586" s="19"/>
    </row>
    <row r="587" spans="1:17" ht="17.649999999999999">
      <c r="A587" s="14">
        <v>582</v>
      </c>
      <c r="B587" s="15" t="s">
        <v>110</v>
      </c>
      <c r="C587" s="15" t="s">
        <v>534</v>
      </c>
      <c r="D587" s="16">
        <v>6942671.5051999995</v>
      </c>
      <c r="E587" s="16">
        <v>1573908.7050999999</v>
      </c>
      <c r="F587" s="17">
        <f t="shared" si="9"/>
        <v>8516580.2102999985</v>
      </c>
      <c r="G587" s="18"/>
      <c r="H587" s="18"/>
      <c r="I587" s="19"/>
      <c r="J587" s="19"/>
      <c r="K587" s="19"/>
      <c r="L587" s="19"/>
      <c r="M587" s="18"/>
      <c r="N587" s="18"/>
      <c r="O587" s="19"/>
      <c r="P587" s="19"/>
      <c r="Q587" s="19"/>
    </row>
    <row r="588" spans="1:17" ht="17.649999999999999">
      <c r="A588" s="14">
        <v>583</v>
      </c>
      <c r="B588" s="15" t="s">
        <v>110</v>
      </c>
      <c r="C588" s="15" t="s">
        <v>536</v>
      </c>
      <c r="D588" s="16">
        <v>10669253.446799999</v>
      </c>
      <c r="E588" s="16">
        <v>2418727.5551999998</v>
      </c>
      <c r="F588" s="17">
        <f t="shared" si="9"/>
        <v>13087981.001999998</v>
      </c>
      <c r="G588" s="18"/>
      <c r="H588" s="18"/>
      <c r="I588" s="19"/>
      <c r="J588" s="19"/>
      <c r="K588" s="19"/>
      <c r="L588" s="19"/>
      <c r="M588" s="18"/>
      <c r="N588" s="18"/>
      <c r="O588" s="19"/>
      <c r="P588" s="19"/>
      <c r="Q588" s="19"/>
    </row>
    <row r="589" spans="1:17" ht="17.649999999999999">
      <c r="A589" s="14">
        <v>584</v>
      </c>
      <c r="B589" s="15" t="s">
        <v>110</v>
      </c>
      <c r="C589" s="15" t="s">
        <v>538</v>
      </c>
      <c r="D589" s="16">
        <v>7514158.5739000002</v>
      </c>
      <c r="E589" s="16">
        <v>1703465.2413000001</v>
      </c>
      <c r="F589" s="17">
        <f t="shared" si="9"/>
        <v>9217623.815200001</v>
      </c>
      <c r="G589" s="18"/>
      <c r="H589" s="18"/>
      <c r="I589" s="19"/>
      <c r="J589" s="19"/>
      <c r="K589" s="19"/>
      <c r="L589" s="19"/>
      <c r="M589" s="18"/>
      <c r="N589" s="18"/>
      <c r="O589" s="19"/>
      <c r="P589" s="19"/>
      <c r="Q589" s="19"/>
    </row>
    <row r="590" spans="1:17" ht="17.649999999999999">
      <c r="A590" s="14">
        <v>585</v>
      </c>
      <c r="B590" s="15" t="s">
        <v>110</v>
      </c>
      <c r="C590" s="15" t="s">
        <v>540</v>
      </c>
      <c r="D590" s="16">
        <v>7570549.1771999998</v>
      </c>
      <c r="E590" s="16">
        <v>1716249.0323000001</v>
      </c>
      <c r="F590" s="17">
        <f t="shared" si="9"/>
        <v>9286798.2094999999</v>
      </c>
      <c r="G590" s="18"/>
      <c r="H590" s="18"/>
      <c r="I590" s="19"/>
      <c r="J590" s="19"/>
      <c r="K590" s="19"/>
      <c r="L590" s="19"/>
      <c r="M590" s="18"/>
      <c r="N590" s="18"/>
      <c r="O590" s="19"/>
      <c r="P590" s="19"/>
      <c r="Q590" s="19"/>
    </row>
    <row r="591" spans="1:17" ht="17.649999999999999">
      <c r="A591" s="14">
        <v>586</v>
      </c>
      <c r="B591" s="15" t="s">
        <v>110</v>
      </c>
      <c r="C591" s="15" t="s">
        <v>542</v>
      </c>
      <c r="D591" s="16">
        <v>9101648.7010999992</v>
      </c>
      <c r="E591" s="16">
        <v>2063350.4135</v>
      </c>
      <c r="F591" s="17">
        <f t="shared" si="9"/>
        <v>11164999.114599999</v>
      </c>
      <c r="G591" s="18"/>
      <c r="H591" s="18"/>
      <c r="I591" s="19"/>
      <c r="J591" s="19"/>
      <c r="K591" s="19"/>
      <c r="L591" s="19"/>
      <c r="M591" s="18"/>
      <c r="N591" s="18"/>
      <c r="O591" s="19"/>
      <c r="P591" s="19"/>
      <c r="Q591" s="19"/>
    </row>
    <row r="592" spans="1:17" ht="17.649999999999999">
      <c r="A592" s="14">
        <v>587</v>
      </c>
      <c r="B592" s="15" t="s">
        <v>110</v>
      </c>
      <c r="C592" s="15" t="s">
        <v>544</v>
      </c>
      <c r="D592" s="16">
        <v>9876405.7591999993</v>
      </c>
      <c r="E592" s="16">
        <v>2238988.4049</v>
      </c>
      <c r="F592" s="17">
        <f t="shared" si="9"/>
        <v>12115394.164099999</v>
      </c>
      <c r="G592" s="18"/>
      <c r="H592" s="18"/>
      <c r="I592" s="19"/>
      <c r="J592" s="19"/>
      <c r="K592" s="19"/>
      <c r="L592" s="19"/>
      <c r="M592" s="18"/>
      <c r="N592" s="18"/>
      <c r="O592" s="19"/>
      <c r="P592" s="19"/>
      <c r="Q592" s="19"/>
    </row>
    <row r="593" spans="1:17" ht="17.649999999999999">
      <c r="A593" s="14">
        <v>588</v>
      </c>
      <c r="B593" s="15" t="s">
        <v>110</v>
      </c>
      <c r="C593" s="15" t="s">
        <v>546</v>
      </c>
      <c r="D593" s="16">
        <v>7556924.7253999999</v>
      </c>
      <c r="E593" s="16">
        <v>1713160.3591</v>
      </c>
      <c r="F593" s="17">
        <f t="shared" si="9"/>
        <v>9270085.0844999999</v>
      </c>
      <c r="G593" s="18"/>
      <c r="H593" s="18"/>
      <c r="I593" s="19"/>
      <c r="J593" s="19"/>
      <c r="K593" s="19"/>
      <c r="L593" s="19"/>
      <c r="M593" s="18"/>
      <c r="N593" s="18"/>
      <c r="O593" s="19"/>
      <c r="P593" s="19"/>
      <c r="Q593" s="19"/>
    </row>
    <row r="594" spans="1:17" ht="35.25">
      <c r="A594" s="14">
        <v>589</v>
      </c>
      <c r="B594" s="15" t="s">
        <v>110</v>
      </c>
      <c r="C594" s="15" t="s">
        <v>548</v>
      </c>
      <c r="D594" s="16">
        <v>7821912.4346000003</v>
      </c>
      <c r="E594" s="16">
        <v>1773233.2664000001</v>
      </c>
      <c r="F594" s="17">
        <f t="shared" si="9"/>
        <v>9595145.7010000013</v>
      </c>
      <c r="G594" s="18"/>
      <c r="H594" s="18"/>
      <c r="I594" s="19"/>
      <c r="J594" s="19"/>
      <c r="K594" s="19"/>
      <c r="L594" s="19"/>
      <c r="M594" s="18"/>
      <c r="N594" s="18"/>
      <c r="O594" s="19"/>
      <c r="P594" s="19"/>
      <c r="Q594" s="19"/>
    </row>
    <row r="595" spans="1:17" ht="17.649999999999999">
      <c r="A595" s="14">
        <v>590</v>
      </c>
      <c r="B595" s="15" t="s">
        <v>110</v>
      </c>
      <c r="C595" s="15" t="s">
        <v>550</v>
      </c>
      <c r="D595" s="16">
        <v>7269031.4374000002</v>
      </c>
      <c r="E595" s="16">
        <v>1647894.7402999999</v>
      </c>
      <c r="F595" s="17">
        <f t="shared" si="9"/>
        <v>8916926.1776999999</v>
      </c>
      <c r="G595" s="18"/>
      <c r="H595" s="18"/>
      <c r="I595" s="19"/>
      <c r="J595" s="19"/>
      <c r="K595" s="19"/>
      <c r="L595" s="19"/>
      <c r="M595" s="18"/>
      <c r="N595" s="18"/>
      <c r="O595" s="19"/>
      <c r="P595" s="19"/>
      <c r="Q595" s="19"/>
    </row>
    <row r="596" spans="1:17" ht="17.649999999999999">
      <c r="A596" s="14">
        <v>591</v>
      </c>
      <c r="B596" s="15" t="s">
        <v>110</v>
      </c>
      <c r="C596" s="15" t="s">
        <v>552</v>
      </c>
      <c r="D596" s="16">
        <v>9090915.7430000007</v>
      </c>
      <c r="E596" s="16">
        <v>2060917.2441</v>
      </c>
      <c r="F596" s="17">
        <f t="shared" si="9"/>
        <v>11151832.987100001</v>
      </c>
      <c r="G596" s="18"/>
      <c r="H596" s="18"/>
      <c r="I596" s="19"/>
      <c r="J596" s="19"/>
      <c r="K596" s="19"/>
      <c r="L596" s="19"/>
      <c r="M596" s="18"/>
      <c r="N596" s="18"/>
      <c r="O596" s="19"/>
      <c r="P596" s="19"/>
      <c r="Q596" s="19"/>
    </row>
    <row r="597" spans="1:17" ht="17.649999999999999">
      <c r="A597" s="14">
        <v>592</v>
      </c>
      <c r="B597" s="15" t="s">
        <v>110</v>
      </c>
      <c r="C597" s="15" t="s">
        <v>554</v>
      </c>
      <c r="D597" s="16">
        <v>6033354.2944</v>
      </c>
      <c r="E597" s="16">
        <v>1367765.8287</v>
      </c>
      <c r="F597" s="17">
        <f t="shared" si="9"/>
        <v>7401120.1230999995</v>
      </c>
      <c r="G597" s="18"/>
      <c r="H597" s="18"/>
      <c r="I597" s="19"/>
      <c r="J597" s="19"/>
      <c r="K597" s="19"/>
      <c r="L597" s="19"/>
      <c r="M597" s="18"/>
      <c r="N597" s="18"/>
      <c r="O597" s="19"/>
      <c r="P597" s="19"/>
      <c r="Q597" s="19"/>
    </row>
    <row r="598" spans="1:17" ht="17.649999999999999">
      <c r="A598" s="14">
        <v>593</v>
      </c>
      <c r="B598" s="15" t="s">
        <v>110</v>
      </c>
      <c r="C598" s="15" t="s">
        <v>556</v>
      </c>
      <c r="D598" s="16">
        <v>9971492.4408</v>
      </c>
      <c r="E598" s="16">
        <v>2260544.6250999998</v>
      </c>
      <c r="F598" s="17">
        <f t="shared" si="9"/>
        <v>12232037.0659</v>
      </c>
      <c r="G598" s="18"/>
      <c r="H598" s="18"/>
      <c r="I598" s="19"/>
      <c r="J598" s="19"/>
      <c r="K598" s="19"/>
      <c r="L598" s="19"/>
      <c r="M598" s="18"/>
      <c r="N598" s="18"/>
      <c r="O598" s="19"/>
      <c r="P598" s="19"/>
      <c r="Q598" s="19"/>
    </row>
    <row r="599" spans="1:17" ht="17.649999999999999">
      <c r="A599" s="14">
        <v>594</v>
      </c>
      <c r="B599" s="15" t="s">
        <v>110</v>
      </c>
      <c r="C599" s="15" t="s">
        <v>558</v>
      </c>
      <c r="D599" s="16">
        <v>8034317.7166999998</v>
      </c>
      <c r="E599" s="16">
        <v>1821385.6991999999</v>
      </c>
      <c r="F599" s="17">
        <f t="shared" si="9"/>
        <v>9855703.4158999994</v>
      </c>
      <c r="G599" s="18"/>
      <c r="H599" s="18"/>
      <c r="I599" s="19"/>
      <c r="J599" s="19"/>
      <c r="K599" s="19"/>
      <c r="L599" s="19"/>
      <c r="M599" s="18"/>
      <c r="N599" s="18"/>
      <c r="O599" s="19"/>
      <c r="P599" s="19"/>
      <c r="Q599" s="19"/>
    </row>
    <row r="600" spans="1:17" ht="17.649999999999999">
      <c r="A600" s="14">
        <v>595</v>
      </c>
      <c r="B600" s="15" t="s">
        <v>110</v>
      </c>
      <c r="C600" s="15" t="s">
        <v>560</v>
      </c>
      <c r="D600" s="16">
        <v>9426383.3241000008</v>
      </c>
      <c r="E600" s="16">
        <v>2136967.9898999999</v>
      </c>
      <c r="F600" s="17">
        <f t="shared" si="9"/>
        <v>11563351.314000001</v>
      </c>
      <c r="G600" s="18"/>
      <c r="H600" s="18"/>
      <c r="I600" s="19"/>
      <c r="J600" s="19"/>
      <c r="K600" s="19"/>
      <c r="L600" s="19"/>
      <c r="M600" s="18"/>
      <c r="N600" s="18"/>
      <c r="O600" s="19"/>
      <c r="P600" s="19"/>
      <c r="Q600" s="19"/>
    </row>
    <row r="601" spans="1:17" ht="35.25">
      <c r="A601" s="14">
        <v>596</v>
      </c>
      <c r="B601" s="15" t="s">
        <v>111</v>
      </c>
      <c r="C601" s="15" t="s">
        <v>564</v>
      </c>
      <c r="D601" s="16">
        <v>5891048.6443999996</v>
      </c>
      <c r="E601" s="16">
        <v>1335505.0338000001</v>
      </c>
      <c r="F601" s="17">
        <f t="shared" si="9"/>
        <v>7226553.6782</v>
      </c>
      <c r="G601" s="18"/>
      <c r="H601" s="18"/>
      <c r="I601" s="19"/>
      <c r="J601" s="19"/>
      <c r="K601" s="19"/>
      <c r="L601" s="19"/>
      <c r="M601" s="18"/>
      <c r="N601" s="18"/>
      <c r="O601" s="19"/>
      <c r="P601" s="19"/>
      <c r="Q601" s="19"/>
    </row>
    <row r="602" spans="1:17" ht="35.25">
      <c r="A602" s="14">
        <v>597</v>
      </c>
      <c r="B602" s="15" t="s">
        <v>111</v>
      </c>
      <c r="C602" s="15" t="s">
        <v>566</v>
      </c>
      <c r="D602" s="16">
        <v>5907573.8510999996</v>
      </c>
      <c r="E602" s="16">
        <v>1339251.3103</v>
      </c>
      <c r="F602" s="17">
        <f t="shared" si="9"/>
        <v>7246825.1613999996</v>
      </c>
      <c r="G602" s="18"/>
      <c r="H602" s="18"/>
      <c r="I602" s="19"/>
      <c r="J602" s="19"/>
      <c r="K602" s="19"/>
      <c r="L602" s="19"/>
      <c r="M602" s="18"/>
      <c r="N602" s="18"/>
      <c r="O602" s="19"/>
      <c r="P602" s="19"/>
      <c r="Q602" s="19"/>
    </row>
    <row r="603" spans="1:17" ht="17.649999999999999">
      <c r="A603" s="14">
        <v>598</v>
      </c>
      <c r="B603" s="15" t="s">
        <v>111</v>
      </c>
      <c r="C603" s="15" t="s">
        <v>568</v>
      </c>
      <c r="D603" s="16">
        <v>7359844.6997999996</v>
      </c>
      <c r="E603" s="16">
        <v>1668482.1732000001</v>
      </c>
      <c r="F603" s="17">
        <f t="shared" si="9"/>
        <v>9028326.8729999997</v>
      </c>
      <c r="G603" s="18"/>
      <c r="H603" s="18"/>
      <c r="I603" s="19"/>
      <c r="J603" s="19"/>
      <c r="K603" s="19"/>
      <c r="L603" s="19"/>
      <c r="M603" s="18"/>
      <c r="N603" s="18"/>
      <c r="O603" s="19"/>
      <c r="P603" s="19"/>
      <c r="Q603" s="19"/>
    </row>
    <row r="604" spans="1:17" ht="17.649999999999999">
      <c r="A604" s="14">
        <v>599</v>
      </c>
      <c r="B604" s="15" t="s">
        <v>111</v>
      </c>
      <c r="C604" s="15" t="s">
        <v>570</v>
      </c>
      <c r="D604" s="16">
        <v>6505940.0383000001</v>
      </c>
      <c r="E604" s="16">
        <v>1474901.3622999999</v>
      </c>
      <c r="F604" s="17">
        <f t="shared" si="9"/>
        <v>7980841.4006000003</v>
      </c>
      <c r="G604" s="18"/>
      <c r="H604" s="18"/>
      <c r="I604" s="19"/>
      <c r="J604" s="19"/>
      <c r="K604" s="19"/>
      <c r="L604" s="19"/>
      <c r="M604" s="18"/>
      <c r="N604" s="18"/>
      <c r="O604" s="19"/>
      <c r="P604" s="19"/>
      <c r="Q604" s="19"/>
    </row>
    <row r="605" spans="1:17" ht="17.649999999999999">
      <c r="A605" s="14">
        <v>600</v>
      </c>
      <c r="B605" s="15" t="s">
        <v>111</v>
      </c>
      <c r="C605" s="15" t="s">
        <v>573</v>
      </c>
      <c r="D605" s="16">
        <v>6156660.6083000004</v>
      </c>
      <c r="E605" s="16">
        <v>1395719.4602000001</v>
      </c>
      <c r="F605" s="17">
        <f t="shared" si="9"/>
        <v>7552380.068500001</v>
      </c>
      <c r="G605" s="18"/>
      <c r="H605" s="18"/>
      <c r="I605" s="19"/>
      <c r="J605" s="19"/>
      <c r="K605" s="19"/>
      <c r="L605" s="19"/>
      <c r="M605" s="18"/>
      <c r="N605" s="18"/>
      <c r="O605" s="19"/>
      <c r="P605" s="19"/>
      <c r="Q605" s="19"/>
    </row>
    <row r="606" spans="1:17" ht="17.649999999999999">
      <c r="A606" s="14">
        <v>601</v>
      </c>
      <c r="B606" s="15" t="s">
        <v>111</v>
      </c>
      <c r="C606" s="15" t="s">
        <v>575</v>
      </c>
      <c r="D606" s="16">
        <v>7012134.0354000004</v>
      </c>
      <c r="E606" s="16">
        <v>1589655.9114000001</v>
      </c>
      <c r="F606" s="17">
        <f t="shared" si="9"/>
        <v>8601789.946800001</v>
      </c>
      <c r="G606" s="18"/>
      <c r="H606" s="18"/>
      <c r="I606" s="19"/>
      <c r="J606" s="19"/>
      <c r="K606" s="19"/>
      <c r="L606" s="19"/>
      <c r="M606" s="18"/>
      <c r="N606" s="18"/>
      <c r="O606" s="19"/>
      <c r="P606" s="19"/>
      <c r="Q606" s="19"/>
    </row>
    <row r="607" spans="1:17" ht="17.649999999999999">
      <c r="A607" s="14">
        <v>602</v>
      </c>
      <c r="B607" s="15" t="s">
        <v>111</v>
      </c>
      <c r="C607" s="15" t="s">
        <v>577</v>
      </c>
      <c r="D607" s="16">
        <v>5877210.1601</v>
      </c>
      <c r="E607" s="16">
        <v>1332367.8393000001</v>
      </c>
      <c r="F607" s="17">
        <f t="shared" si="9"/>
        <v>7209577.9994000001</v>
      </c>
      <c r="G607" s="18"/>
      <c r="H607" s="18"/>
      <c r="I607" s="19"/>
      <c r="J607" s="19"/>
      <c r="K607" s="19"/>
      <c r="L607" s="19"/>
      <c r="M607" s="18"/>
      <c r="N607" s="18"/>
      <c r="O607" s="19"/>
      <c r="P607" s="19"/>
      <c r="Q607" s="19"/>
    </row>
    <row r="608" spans="1:17" ht="17.649999999999999">
      <c r="A608" s="14">
        <v>603</v>
      </c>
      <c r="B608" s="15" t="s">
        <v>111</v>
      </c>
      <c r="C608" s="15" t="s">
        <v>578</v>
      </c>
      <c r="D608" s="16">
        <v>6103784.4757000003</v>
      </c>
      <c r="E608" s="16">
        <v>1383732.4023</v>
      </c>
      <c r="F608" s="17">
        <f t="shared" si="9"/>
        <v>7487516.8780000005</v>
      </c>
      <c r="G608" s="18"/>
      <c r="H608" s="18"/>
      <c r="I608" s="19"/>
      <c r="J608" s="19"/>
      <c r="K608" s="19"/>
      <c r="L608" s="19"/>
      <c r="M608" s="18"/>
      <c r="N608" s="18"/>
      <c r="O608" s="19"/>
      <c r="P608" s="19"/>
      <c r="Q608" s="19"/>
    </row>
    <row r="609" spans="1:17" ht="17.649999999999999">
      <c r="A609" s="14">
        <v>604</v>
      </c>
      <c r="B609" s="15" t="s">
        <v>111</v>
      </c>
      <c r="C609" s="15" t="s">
        <v>580</v>
      </c>
      <c r="D609" s="16">
        <v>6003374.8931999998</v>
      </c>
      <c r="E609" s="16">
        <v>1360969.4765000001</v>
      </c>
      <c r="F609" s="17">
        <f t="shared" si="9"/>
        <v>7364344.3696999997</v>
      </c>
      <c r="G609" s="18"/>
      <c r="H609" s="18"/>
      <c r="I609" s="19"/>
      <c r="J609" s="19"/>
      <c r="K609" s="19"/>
      <c r="L609" s="19"/>
      <c r="M609" s="18"/>
      <c r="N609" s="18"/>
      <c r="O609" s="19"/>
      <c r="P609" s="19"/>
      <c r="Q609" s="19"/>
    </row>
    <row r="610" spans="1:17" ht="17.649999999999999">
      <c r="A610" s="14">
        <v>605</v>
      </c>
      <c r="B610" s="15" t="s">
        <v>111</v>
      </c>
      <c r="C610" s="15" t="s">
        <v>582</v>
      </c>
      <c r="D610" s="16">
        <v>6815016.8145000003</v>
      </c>
      <c r="E610" s="16">
        <v>1544969.2934000001</v>
      </c>
      <c r="F610" s="17">
        <f t="shared" si="9"/>
        <v>8359986.1079000002</v>
      </c>
      <c r="G610" s="18"/>
      <c r="H610" s="18"/>
      <c r="I610" s="19"/>
      <c r="J610" s="19"/>
      <c r="K610" s="19"/>
      <c r="L610" s="19"/>
      <c r="M610" s="18"/>
      <c r="N610" s="18"/>
      <c r="O610" s="19"/>
      <c r="P610" s="19"/>
      <c r="Q610" s="19"/>
    </row>
    <row r="611" spans="1:17" ht="17.649999999999999">
      <c r="A611" s="14">
        <v>606</v>
      </c>
      <c r="B611" s="15" t="s">
        <v>111</v>
      </c>
      <c r="C611" s="15" t="s">
        <v>584</v>
      </c>
      <c r="D611" s="16">
        <v>7215948.4561999999</v>
      </c>
      <c r="E611" s="16">
        <v>1635860.7896</v>
      </c>
      <c r="F611" s="17">
        <f t="shared" si="9"/>
        <v>8851809.2457999997</v>
      </c>
      <c r="G611" s="18"/>
      <c r="H611" s="18"/>
      <c r="I611" s="19"/>
      <c r="J611" s="19"/>
      <c r="K611" s="19"/>
      <c r="L611" s="19"/>
      <c r="M611" s="18"/>
      <c r="N611" s="18"/>
      <c r="O611" s="19"/>
      <c r="P611" s="19"/>
      <c r="Q611" s="19"/>
    </row>
    <row r="612" spans="1:17" ht="17.649999999999999">
      <c r="A612" s="14">
        <v>607</v>
      </c>
      <c r="B612" s="15" t="s">
        <v>111</v>
      </c>
      <c r="C612" s="15" t="s">
        <v>586</v>
      </c>
      <c r="D612" s="16">
        <v>8339973.5208000001</v>
      </c>
      <c r="E612" s="16">
        <v>1890678.0933999999</v>
      </c>
      <c r="F612" s="17">
        <f t="shared" si="9"/>
        <v>10230651.6142</v>
      </c>
      <c r="G612" s="18"/>
      <c r="H612" s="18"/>
      <c r="I612" s="19"/>
      <c r="J612" s="19"/>
      <c r="K612" s="19"/>
      <c r="L612" s="19"/>
      <c r="M612" s="18"/>
      <c r="N612" s="18"/>
      <c r="O612" s="19"/>
      <c r="P612" s="19"/>
      <c r="Q612" s="19"/>
    </row>
    <row r="613" spans="1:17" ht="17.649999999999999">
      <c r="A613" s="14">
        <v>608</v>
      </c>
      <c r="B613" s="15" t="s">
        <v>111</v>
      </c>
      <c r="C613" s="15" t="s">
        <v>588</v>
      </c>
      <c r="D613" s="16">
        <v>7774058.2905999999</v>
      </c>
      <c r="E613" s="16">
        <v>1762384.6969999999</v>
      </c>
      <c r="F613" s="17">
        <f t="shared" si="9"/>
        <v>9536442.9876000006</v>
      </c>
      <c r="G613" s="18"/>
      <c r="H613" s="18"/>
      <c r="I613" s="19"/>
      <c r="J613" s="19"/>
      <c r="K613" s="19"/>
      <c r="L613" s="19"/>
      <c r="M613" s="18"/>
      <c r="N613" s="18"/>
      <c r="O613" s="19"/>
      <c r="P613" s="19"/>
      <c r="Q613" s="19"/>
    </row>
    <row r="614" spans="1:17" ht="17.649999999999999">
      <c r="A614" s="14">
        <v>609</v>
      </c>
      <c r="B614" s="15" t="s">
        <v>111</v>
      </c>
      <c r="C614" s="15" t="s">
        <v>590</v>
      </c>
      <c r="D614" s="16">
        <v>6776571.0950999996</v>
      </c>
      <c r="E614" s="16">
        <v>1536253.6207000001</v>
      </c>
      <c r="F614" s="17">
        <f t="shared" si="9"/>
        <v>8312824.7157999994</v>
      </c>
      <c r="G614" s="18"/>
      <c r="H614" s="18"/>
      <c r="I614" s="19"/>
      <c r="J614" s="19"/>
      <c r="K614" s="19"/>
      <c r="L614" s="19"/>
      <c r="M614" s="18"/>
      <c r="N614" s="18"/>
      <c r="O614" s="19"/>
      <c r="P614" s="19"/>
      <c r="Q614" s="19"/>
    </row>
    <row r="615" spans="1:17" ht="17.649999999999999">
      <c r="A615" s="14">
        <v>610</v>
      </c>
      <c r="B615" s="15" t="s">
        <v>111</v>
      </c>
      <c r="C615" s="15" t="s">
        <v>592</v>
      </c>
      <c r="D615" s="16">
        <v>5325173.6070999997</v>
      </c>
      <c r="E615" s="16">
        <v>1207220.7492</v>
      </c>
      <c r="F615" s="17">
        <f t="shared" si="9"/>
        <v>6532394.3563000001</v>
      </c>
      <c r="G615" s="18"/>
      <c r="H615" s="18"/>
      <c r="I615" s="19"/>
      <c r="J615" s="19"/>
      <c r="K615" s="19"/>
      <c r="L615" s="19"/>
      <c r="M615" s="18"/>
      <c r="N615" s="18"/>
      <c r="O615" s="19"/>
      <c r="P615" s="19"/>
      <c r="Q615" s="19"/>
    </row>
    <row r="616" spans="1:17" ht="17.649999999999999">
      <c r="A616" s="14">
        <v>611</v>
      </c>
      <c r="B616" s="15" t="s">
        <v>111</v>
      </c>
      <c r="C616" s="15" t="s">
        <v>332</v>
      </c>
      <c r="D616" s="16">
        <v>6861990.1782</v>
      </c>
      <c r="E616" s="16">
        <v>1555618.1891999999</v>
      </c>
      <c r="F616" s="17">
        <f t="shared" si="9"/>
        <v>8417608.3673999999</v>
      </c>
      <c r="G616" s="18"/>
      <c r="H616" s="18"/>
      <c r="I616" s="19"/>
      <c r="J616" s="19"/>
      <c r="K616" s="19"/>
      <c r="L616" s="19"/>
      <c r="M616" s="18"/>
      <c r="N616" s="18"/>
      <c r="O616" s="19"/>
      <c r="P616" s="19"/>
      <c r="Q616" s="19"/>
    </row>
    <row r="617" spans="1:17" ht="17.649999999999999">
      <c r="A617" s="14">
        <v>612</v>
      </c>
      <c r="B617" s="15" t="s">
        <v>111</v>
      </c>
      <c r="C617" s="15" t="s">
        <v>595</v>
      </c>
      <c r="D617" s="16">
        <v>6049782.5482000001</v>
      </c>
      <c r="E617" s="16">
        <v>1371490.1258</v>
      </c>
      <c r="F617" s="17">
        <f t="shared" si="9"/>
        <v>7421272.6740000006</v>
      </c>
      <c r="G617" s="18"/>
      <c r="H617" s="18"/>
      <c r="I617" s="19"/>
      <c r="J617" s="19"/>
      <c r="K617" s="19"/>
      <c r="L617" s="19"/>
      <c r="M617" s="18"/>
      <c r="N617" s="18"/>
      <c r="O617" s="19"/>
      <c r="P617" s="19"/>
      <c r="Q617" s="19"/>
    </row>
    <row r="618" spans="1:17" ht="17.649999999999999">
      <c r="A618" s="14">
        <v>613</v>
      </c>
      <c r="B618" s="15" t="s">
        <v>111</v>
      </c>
      <c r="C618" s="15" t="s">
        <v>597</v>
      </c>
      <c r="D618" s="16">
        <v>6306963.8020000001</v>
      </c>
      <c r="E618" s="16">
        <v>1429793.3041000001</v>
      </c>
      <c r="F618" s="17">
        <f t="shared" si="9"/>
        <v>7736757.1061000004</v>
      </c>
      <c r="G618" s="18"/>
      <c r="H618" s="18"/>
      <c r="I618" s="19"/>
      <c r="J618" s="19"/>
      <c r="K618" s="19"/>
      <c r="L618" s="19"/>
      <c r="M618" s="18"/>
      <c r="N618" s="18"/>
      <c r="O618" s="19"/>
      <c r="P618" s="19"/>
      <c r="Q618" s="19"/>
    </row>
    <row r="619" spans="1:17" ht="17.649999999999999">
      <c r="A619" s="14">
        <v>614</v>
      </c>
      <c r="B619" s="15" t="s">
        <v>111</v>
      </c>
      <c r="C619" s="15" t="s">
        <v>600</v>
      </c>
      <c r="D619" s="16">
        <v>6683454.1617999999</v>
      </c>
      <c r="E619" s="16">
        <v>1515143.9438</v>
      </c>
      <c r="F619" s="17">
        <f t="shared" si="9"/>
        <v>8198598.1055999994</v>
      </c>
      <c r="G619" s="18"/>
      <c r="H619" s="18"/>
      <c r="I619" s="19"/>
      <c r="J619" s="19"/>
      <c r="K619" s="19"/>
      <c r="L619" s="19"/>
      <c r="M619" s="18"/>
      <c r="N619" s="18"/>
      <c r="O619" s="19"/>
      <c r="P619" s="19"/>
      <c r="Q619" s="19"/>
    </row>
    <row r="620" spans="1:17" ht="17.649999999999999">
      <c r="A620" s="14">
        <v>615</v>
      </c>
      <c r="B620" s="15" t="s">
        <v>111</v>
      </c>
      <c r="C620" s="15" t="s">
        <v>340</v>
      </c>
      <c r="D620" s="16">
        <v>6614265.5477999998</v>
      </c>
      <c r="E620" s="16">
        <v>1499458.8345000001</v>
      </c>
      <c r="F620" s="17">
        <f t="shared" si="9"/>
        <v>8113724.3822999997</v>
      </c>
      <c r="G620" s="18"/>
      <c r="H620" s="18"/>
      <c r="I620" s="19"/>
      <c r="J620" s="19"/>
      <c r="K620" s="19"/>
      <c r="L620" s="19"/>
      <c r="M620" s="18"/>
      <c r="N620" s="18"/>
      <c r="O620" s="19"/>
      <c r="P620" s="19"/>
      <c r="Q620" s="19"/>
    </row>
    <row r="621" spans="1:17" ht="17.649999999999999">
      <c r="A621" s="14">
        <v>616</v>
      </c>
      <c r="B621" s="15" t="s">
        <v>111</v>
      </c>
      <c r="C621" s="15" t="s">
        <v>603</v>
      </c>
      <c r="D621" s="16">
        <v>7156386.0440999996</v>
      </c>
      <c r="E621" s="16">
        <v>1622357.9472000001</v>
      </c>
      <c r="F621" s="17">
        <f t="shared" si="9"/>
        <v>8778743.9912999999</v>
      </c>
      <c r="G621" s="18"/>
      <c r="H621" s="18"/>
      <c r="I621" s="19"/>
      <c r="J621" s="19"/>
      <c r="K621" s="19"/>
      <c r="L621" s="19"/>
      <c r="M621" s="18"/>
      <c r="N621" s="18"/>
      <c r="O621" s="19"/>
      <c r="P621" s="19"/>
      <c r="Q621" s="19"/>
    </row>
    <row r="622" spans="1:17" ht="17.649999999999999">
      <c r="A622" s="14">
        <v>617</v>
      </c>
      <c r="B622" s="15" t="s">
        <v>111</v>
      </c>
      <c r="C622" s="15" t="s">
        <v>605</v>
      </c>
      <c r="D622" s="16">
        <v>6495607.2566</v>
      </c>
      <c r="E622" s="16">
        <v>1472558.9131</v>
      </c>
      <c r="F622" s="17">
        <f t="shared" si="9"/>
        <v>7968166.1697000004</v>
      </c>
      <c r="G622" s="18"/>
      <c r="H622" s="18"/>
      <c r="I622" s="19"/>
      <c r="J622" s="19"/>
      <c r="K622" s="19"/>
      <c r="L622" s="19"/>
      <c r="M622" s="18"/>
      <c r="N622" s="18"/>
      <c r="O622" s="19"/>
      <c r="P622" s="19"/>
      <c r="Q622" s="19"/>
    </row>
    <row r="623" spans="1:17" ht="17.649999999999999">
      <c r="A623" s="14">
        <v>618</v>
      </c>
      <c r="B623" s="15" t="s">
        <v>111</v>
      </c>
      <c r="C623" s="15" t="s">
        <v>607</v>
      </c>
      <c r="D623" s="16">
        <v>7987260.6552999998</v>
      </c>
      <c r="E623" s="16">
        <v>1810717.8289000001</v>
      </c>
      <c r="F623" s="17">
        <f t="shared" si="9"/>
        <v>9797978.4842000008</v>
      </c>
      <c r="G623" s="18"/>
      <c r="H623" s="18"/>
      <c r="I623" s="19"/>
      <c r="J623" s="19"/>
      <c r="K623" s="19"/>
      <c r="L623" s="19"/>
      <c r="M623" s="18"/>
      <c r="N623" s="18"/>
      <c r="O623" s="19"/>
      <c r="P623" s="19"/>
      <c r="Q623" s="19"/>
    </row>
    <row r="624" spans="1:17" ht="17.649999999999999">
      <c r="A624" s="14">
        <v>619</v>
      </c>
      <c r="B624" s="15" t="s">
        <v>111</v>
      </c>
      <c r="C624" s="15" t="s">
        <v>609</v>
      </c>
      <c r="D624" s="16">
        <v>6623543.7702000001</v>
      </c>
      <c r="E624" s="16">
        <v>1501562.2143000001</v>
      </c>
      <c r="F624" s="17">
        <f t="shared" si="9"/>
        <v>8125105.9845000003</v>
      </c>
      <c r="G624" s="18"/>
      <c r="H624" s="18"/>
      <c r="I624" s="19"/>
      <c r="J624" s="19"/>
      <c r="K624" s="19"/>
      <c r="L624" s="19"/>
      <c r="M624" s="18"/>
      <c r="N624" s="18"/>
      <c r="O624" s="19"/>
      <c r="P624" s="19"/>
      <c r="Q624" s="19"/>
    </row>
    <row r="625" spans="1:17" ht="17.649999999999999">
      <c r="A625" s="14">
        <v>620</v>
      </c>
      <c r="B625" s="15" t="s">
        <v>111</v>
      </c>
      <c r="C625" s="15" t="s">
        <v>611</v>
      </c>
      <c r="D625" s="16">
        <v>8726436.4963000007</v>
      </c>
      <c r="E625" s="16">
        <v>1978289.5323999999</v>
      </c>
      <c r="F625" s="17">
        <f t="shared" si="9"/>
        <v>10704726.028700002</v>
      </c>
      <c r="G625" s="18"/>
      <c r="H625" s="18"/>
      <c r="I625" s="19"/>
      <c r="J625" s="19"/>
      <c r="K625" s="19"/>
      <c r="L625" s="19"/>
      <c r="M625" s="18"/>
      <c r="N625" s="18"/>
      <c r="O625" s="19"/>
      <c r="P625" s="19"/>
      <c r="Q625" s="19"/>
    </row>
    <row r="626" spans="1:17" ht="17.649999999999999">
      <c r="A626" s="14">
        <v>621</v>
      </c>
      <c r="B626" s="15" t="s">
        <v>111</v>
      </c>
      <c r="C626" s="15" t="s">
        <v>613</v>
      </c>
      <c r="D626" s="16">
        <v>5973042.3113000002</v>
      </c>
      <c r="E626" s="16">
        <v>1354093.058</v>
      </c>
      <c r="F626" s="17">
        <f t="shared" si="9"/>
        <v>7327135.3693000004</v>
      </c>
      <c r="G626" s="18"/>
      <c r="H626" s="18"/>
      <c r="I626" s="19"/>
      <c r="J626" s="19"/>
      <c r="K626" s="19"/>
      <c r="L626" s="19"/>
      <c r="M626" s="18"/>
      <c r="N626" s="18"/>
      <c r="O626" s="19"/>
      <c r="P626" s="19"/>
      <c r="Q626" s="19"/>
    </row>
    <row r="627" spans="1:17" ht="17.649999999999999">
      <c r="A627" s="14">
        <v>622</v>
      </c>
      <c r="B627" s="15" t="s">
        <v>111</v>
      </c>
      <c r="C627" s="15" t="s">
        <v>615</v>
      </c>
      <c r="D627" s="16">
        <v>7224679.4753</v>
      </c>
      <c r="E627" s="16">
        <v>1637840.118</v>
      </c>
      <c r="F627" s="17">
        <f t="shared" si="9"/>
        <v>8862519.5932999998</v>
      </c>
      <c r="G627" s="18"/>
      <c r="H627" s="18"/>
      <c r="I627" s="19"/>
      <c r="J627" s="19"/>
      <c r="K627" s="19"/>
      <c r="L627" s="19"/>
      <c r="M627" s="18"/>
      <c r="N627" s="18"/>
      <c r="O627" s="19"/>
      <c r="P627" s="19"/>
      <c r="Q627" s="19"/>
    </row>
    <row r="628" spans="1:17" ht="17.649999999999999">
      <c r="A628" s="14">
        <v>623</v>
      </c>
      <c r="B628" s="15" t="s">
        <v>111</v>
      </c>
      <c r="C628" s="15" t="s">
        <v>617</v>
      </c>
      <c r="D628" s="16">
        <v>7247844.3617000002</v>
      </c>
      <c r="E628" s="16">
        <v>1643091.6147</v>
      </c>
      <c r="F628" s="17">
        <f t="shared" si="9"/>
        <v>8890935.976400001</v>
      </c>
      <c r="G628" s="18"/>
      <c r="H628" s="18"/>
      <c r="I628" s="19"/>
      <c r="J628" s="19"/>
      <c r="K628" s="19"/>
      <c r="L628" s="19"/>
      <c r="M628" s="18"/>
      <c r="N628" s="18"/>
      <c r="O628" s="19"/>
      <c r="P628" s="19"/>
      <c r="Q628" s="19"/>
    </row>
    <row r="629" spans="1:17" ht="17.649999999999999">
      <c r="A629" s="14">
        <v>624</v>
      </c>
      <c r="B629" s="15" t="s">
        <v>111</v>
      </c>
      <c r="C629" s="15" t="s">
        <v>619</v>
      </c>
      <c r="D629" s="16">
        <v>6386985.9442999996</v>
      </c>
      <c r="E629" s="16">
        <v>1447934.3822000001</v>
      </c>
      <c r="F629" s="17">
        <f t="shared" si="9"/>
        <v>7834920.3264999995</v>
      </c>
      <c r="G629" s="18"/>
      <c r="H629" s="18"/>
      <c r="I629" s="19"/>
      <c r="J629" s="19"/>
      <c r="K629" s="19"/>
      <c r="L629" s="19"/>
      <c r="M629" s="18"/>
      <c r="N629" s="18"/>
      <c r="O629" s="19"/>
      <c r="P629" s="19"/>
      <c r="Q629" s="19"/>
    </row>
    <row r="630" spans="1:17" ht="17.649999999999999">
      <c r="A630" s="14">
        <v>625</v>
      </c>
      <c r="B630" s="15" t="s">
        <v>111</v>
      </c>
      <c r="C630" s="15" t="s">
        <v>621</v>
      </c>
      <c r="D630" s="16">
        <v>7106000.0718</v>
      </c>
      <c r="E630" s="16">
        <v>1610935.4105</v>
      </c>
      <c r="F630" s="17">
        <f t="shared" si="9"/>
        <v>8716935.4823000003</v>
      </c>
      <c r="G630" s="18"/>
      <c r="H630" s="18"/>
      <c r="I630" s="19"/>
      <c r="J630" s="19"/>
      <c r="K630" s="19"/>
      <c r="L630" s="19"/>
      <c r="M630" s="18"/>
      <c r="N630" s="18"/>
      <c r="O630" s="19"/>
      <c r="P630" s="19"/>
      <c r="Q630" s="19"/>
    </row>
    <row r="631" spans="1:17" ht="17.649999999999999">
      <c r="A631" s="14">
        <v>626</v>
      </c>
      <c r="B631" s="15" t="s">
        <v>112</v>
      </c>
      <c r="C631" s="15" t="s">
        <v>625</v>
      </c>
      <c r="D631" s="16">
        <v>6993654.9506000001</v>
      </c>
      <c r="E631" s="16">
        <v>1585466.6894</v>
      </c>
      <c r="F631" s="17">
        <f t="shared" si="9"/>
        <v>8579121.6400000006</v>
      </c>
      <c r="G631" s="18"/>
      <c r="H631" s="18"/>
      <c r="I631" s="19"/>
      <c r="J631" s="19"/>
      <c r="K631" s="19"/>
      <c r="L631" s="19"/>
      <c r="M631" s="18"/>
      <c r="N631" s="18"/>
      <c r="O631" s="19"/>
      <c r="P631" s="19"/>
      <c r="Q631" s="19"/>
    </row>
    <row r="632" spans="1:17" ht="17.649999999999999">
      <c r="A632" s="14">
        <v>627</v>
      </c>
      <c r="B632" s="15" t="s">
        <v>112</v>
      </c>
      <c r="C632" s="15" t="s">
        <v>627</v>
      </c>
      <c r="D632" s="16">
        <v>8121719.7417000001</v>
      </c>
      <c r="E632" s="16">
        <v>1841199.8021</v>
      </c>
      <c r="F632" s="17">
        <f t="shared" si="9"/>
        <v>9962919.5438000001</v>
      </c>
      <c r="G632" s="18"/>
      <c r="H632" s="18"/>
      <c r="I632" s="19"/>
      <c r="J632" s="19"/>
      <c r="K632" s="19"/>
      <c r="L632" s="19"/>
      <c r="M632" s="18"/>
      <c r="N632" s="18"/>
      <c r="O632" s="19"/>
      <c r="P632" s="19"/>
      <c r="Q632" s="19"/>
    </row>
    <row r="633" spans="1:17" ht="17.649999999999999">
      <c r="A633" s="14">
        <v>628</v>
      </c>
      <c r="B633" s="15" t="s">
        <v>112</v>
      </c>
      <c r="C633" s="15" t="s">
        <v>629</v>
      </c>
      <c r="D633" s="16">
        <v>8090120.3173000002</v>
      </c>
      <c r="E633" s="16">
        <v>1834036.1895000001</v>
      </c>
      <c r="F633" s="17">
        <f t="shared" si="9"/>
        <v>9924156.5067999996</v>
      </c>
      <c r="G633" s="18"/>
      <c r="H633" s="18"/>
      <c r="I633" s="19"/>
      <c r="J633" s="19"/>
      <c r="K633" s="19"/>
      <c r="L633" s="19"/>
      <c r="M633" s="18"/>
      <c r="N633" s="18"/>
      <c r="O633" s="19"/>
      <c r="P633" s="19"/>
      <c r="Q633" s="19"/>
    </row>
    <row r="634" spans="1:17" ht="17.649999999999999">
      <c r="A634" s="14">
        <v>629</v>
      </c>
      <c r="B634" s="15" t="s">
        <v>112</v>
      </c>
      <c r="C634" s="15" t="s">
        <v>631</v>
      </c>
      <c r="D634" s="16">
        <v>8667612.0731000006</v>
      </c>
      <c r="E634" s="16">
        <v>1964953.9927000001</v>
      </c>
      <c r="F634" s="17">
        <f t="shared" si="9"/>
        <v>10632566.0658</v>
      </c>
      <c r="G634" s="18"/>
      <c r="H634" s="18"/>
      <c r="I634" s="19"/>
      <c r="J634" s="19"/>
      <c r="K634" s="19"/>
      <c r="L634" s="19"/>
      <c r="M634" s="18"/>
      <c r="N634" s="18"/>
      <c r="O634" s="19"/>
      <c r="P634" s="19"/>
      <c r="Q634" s="19"/>
    </row>
    <row r="635" spans="1:17" ht="17.649999999999999">
      <c r="A635" s="14">
        <v>630</v>
      </c>
      <c r="B635" s="15" t="s">
        <v>112</v>
      </c>
      <c r="C635" s="15" t="s">
        <v>633</v>
      </c>
      <c r="D635" s="16">
        <v>8794161.9447000008</v>
      </c>
      <c r="E635" s="16">
        <v>1993642.9410999999</v>
      </c>
      <c r="F635" s="17">
        <f t="shared" si="9"/>
        <v>10787804.8858</v>
      </c>
      <c r="G635" s="18"/>
      <c r="H635" s="18"/>
      <c r="I635" s="19"/>
      <c r="J635" s="19"/>
      <c r="K635" s="19"/>
      <c r="L635" s="19"/>
      <c r="M635" s="18"/>
      <c r="N635" s="18"/>
      <c r="O635" s="19"/>
      <c r="P635" s="19"/>
      <c r="Q635" s="19"/>
    </row>
    <row r="636" spans="1:17" ht="17.649999999999999">
      <c r="A636" s="14">
        <v>631</v>
      </c>
      <c r="B636" s="15" t="s">
        <v>112</v>
      </c>
      <c r="C636" s="15" t="s">
        <v>634</v>
      </c>
      <c r="D636" s="16">
        <v>9038608.4147999994</v>
      </c>
      <c r="E636" s="16">
        <v>2049059.1344999999</v>
      </c>
      <c r="F636" s="17">
        <f t="shared" si="9"/>
        <v>11087667.5493</v>
      </c>
      <c r="G636" s="18"/>
      <c r="H636" s="18"/>
      <c r="I636" s="19"/>
      <c r="J636" s="19"/>
      <c r="K636" s="19"/>
      <c r="L636" s="19"/>
      <c r="M636" s="18"/>
      <c r="N636" s="18"/>
      <c r="O636" s="19"/>
      <c r="P636" s="19"/>
      <c r="Q636" s="19"/>
    </row>
    <row r="637" spans="1:17" ht="35.25">
      <c r="A637" s="14">
        <v>632</v>
      </c>
      <c r="B637" s="15" t="s">
        <v>112</v>
      </c>
      <c r="C637" s="15" t="s">
        <v>637</v>
      </c>
      <c r="D637" s="16">
        <v>9799120.0155999996</v>
      </c>
      <c r="E637" s="16">
        <v>2221467.6702999999</v>
      </c>
      <c r="F637" s="17">
        <f t="shared" si="9"/>
        <v>12020587.685899999</v>
      </c>
      <c r="G637" s="18"/>
      <c r="H637" s="18"/>
      <c r="I637" s="19"/>
      <c r="J637" s="19"/>
      <c r="K637" s="19"/>
      <c r="L637" s="19"/>
      <c r="M637" s="18"/>
      <c r="N637" s="18"/>
      <c r="O637" s="19"/>
      <c r="P637" s="19"/>
      <c r="Q637" s="19"/>
    </row>
    <row r="638" spans="1:17" ht="35.25">
      <c r="A638" s="14">
        <v>633</v>
      </c>
      <c r="B638" s="15" t="s">
        <v>112</v>
      </c>
      <c r="C638" s="15" t="s">
        <v>639</v>
      </c>
      <c r="D638" s="16">
        <v>7211792.7163000004</v>
      </c>
      <c r="E638" s="16">
        <v>1634918.6802999999</v>
      </c>
      <c r="F638" s="17">
        <f t="shared" si="9"/>
        <v>8846711.3966000006</v>
      </c>
      <c r="G638" s="18"/>
      <c r="H638" s="18"/>
      <c r="I638" s="19"/>
      <c r="J638" s="19"/>
      <c r="K638" s="19"/>
      <c r="L638" s="19"/>
      <c r="M638" s="18"/>
      <c r="N638" s="18"/>
      <c r="O638" s="19"/>
      <c r="P638" s="19"/>
      <c r="Q638" s="19"/>
    </row>
    <row r="639" spans="1:17" ht="35.25">
      <c r="A639" s="14">
        <v>634</v>
      </c>
      <c r="B639" s="15" t="s">
        <v>112</v>
      </c>
      <c r="C639" s="15" t="s">
        <v>641</v>
      </c>
      <c r="D639" s="16">
        <v>8558875.9740999993</v>
      </c>
      <c r="E639" s="16">
        <v>1940303.4395000001</v>
      </c>
      <c r="F639" s="17">
        <f t="shared" si="9"/>
        <v>10499179.4136</v>
      </c>
      <c r="G639" s="18"/>
      <c r="H639" s="18"/>
      <c r="I639" s="19"/>
      <c r="J639" s="19"/>
      <c r="K639" s="19"/>
      <c r="L639" s="19"/>
      <c r="M639" s="18"/>
      <c r="N639" s="18"/>
      <c r="O639" s="19"/>
      <c r="P639" s="19"/>
      <c r="Q639" s="19"/>
    </row>
    <row r="640" spans="1:17" ht="35.25">
      <c r="A640" s="14">
        <v>635</v>
      </c>
      <c r="B640" s="15" t="s">
        <v>112</v>
      </c>
      <c r="C640" s="15" t="s">
        <v>643</v>
      </c>
      <c r="D640" s="16">
        <v>8960749.8462000005</v>
      </c>
      <c r="E640" s="16">
        <v>2031408.5401000001</v>
      </c>
      <c r="F640" s="17">
        <f t="shared" si="9"/>
        <v>10992158.386300001</v>
      </c>
      <c r="G640" s="18"/>
      <c r="H640" s="18"/>
      <c r="I640" s="19"/>
      <c r="J640" s="19"/>
      <c r="K640" s="19"/>
      <c r="L640" s="19"/>
      <c r="M640" s="18"/>
      <c r="N640" s="18"/>
      <c r="O640" s="19"/>
      <c r="P640" s="19"/>
      <c r="Q640" s="19"/>
    </row>
    <row r="641" spans="1:17" ht="35.25">
      <c r="A641" s="14">
        <v>636</v>
      </c>
      <c r="B641" s="15" t="s">
        <v>112</v>
      </c>
      <c r="C641" s="15" t="s">
        <v>645</v>
      </c>
      <c r="D641" s="16">
        <v>6480734.9760999996</v>
      </c>
      <c r="E641" s="16">
        <v>1469187.3562</v>
      </c>
      <c r="F641" s="17">
        <f t="shared" si="9"/>
        <v>7949922.3322999999</v>
      </c>
      <c r="G641" s="18"/>
      <c r="H641" s="18"/>
      <c r="I641" s="19"/>
      <c r="J641" s="19"/>
      <c r="K641" s="19"/>
      <c r="L641" s="19"/>
      <c r="M641" s="18"/>
      <c r="N641" s="18"/>
      <c r="O641" s="19"/>
      <c r="P641" s="19"/>
      <c r="Q641" s="19"/>
    </row>
    <row r="642" spans="1:17" ht="17.649999999999999">
      <c r="A642" s="14">
        <v>637</v>
      </c>
      <c r="B642" s="15" t="s">
        <v>112</v>
      </c>
      <c r="C642" s="15" t="s">
        <v>647</v>
      </c>
      <c r="D642" s="16">
        <v>6758631.4440000001</v>
      </c>
      <c r="E642" s="16">
        <v>1532186.6887000001</v>
      </c>
      <c r="F642" s="17">
        <f t="shared" si="9"/>
        <v>8290818.1327</v>
      </c>
      <c r="G642" s="18"/>
      <c r="H642" s="18"/>
      <c r="I642" s="19"/>
      <c r="J642" s="19"/>
      <c r="K642" s="19"/>
      <c r="L642" s="19"/>
      <c r="M642" s="18"/>
      <c r="N642" s="18"/>
      <c r="O642" s="19"/>
      <c r="P642" s="19"/>
      <c r="Q642" s="19"/>
    </row>
    <row r="643" spans="1:17" ht="17.649999999999999">
      <c r="A643" s="14">
        <v>638</v>
      </c>
      <c r="B643" s="15" t="s">
        <v>112</v>
      </c>
      <c r="C643" s="15" t="s">
        <v>649</v>
      </c>
      <c r="D643" s="16">
        <v>6625507.9232000001</v>
      </c>
      <c r="E643" s="16">
        <v>1502007.4892</v>
      </c>
      <c r="F643" s="17">
        <f t="shared" si="9"/>
        <v>8127515.4123999998</v>
      </c>
      <c r="G643" s="18"/>
      <c r="H643" s="18"/>
      <c r="I643" s="19"/>
      <c r="J643" s="19"/>
      <c r="K643" s="19"/>
      <c r="L643" s="19"/>
      <c r="M643" s="18"/>
      <c r="N643" s="18"/>
      <c r="O643" s="19"/>
      <c r="P643" s="19"/>
      <c r="Q643" s="19"/>
    </row>
    <row r="644" spans="1:17" ht="17.649999999999999">
      <c r="A644" s="14">
        <v>639</v>
      </c>
      <c r="B644" s="15" t="s">
        <v>112</v>
      </c>
      <c r="C644" s="15" t="s">
        <v>651</v>
      </c>
      <c r="D644" s="16">
        <v>9840628.1358000003</v>
      </c>
      <c r="E644" s="16">
        <v>2230877.5915000001</v>
      </c>
      <c r="F644" s="17">
        <f t="shared" si="9"/>
        <v>12071505.727299999</v>
      </c>
      <c r="G644" s="18"/>
      <c r="H644" s="18"/>
      <c r="I644" s="19"/>
      <c r="J644" s="19"/>
      <c r="K644" s="19"/>
      <c r="L644" s="19"/>
      <c r="M644" s="18"/>
      <c r="N644" s="18"/>
      <c r="O644" s="19"/>
      <c r="P644" s="19"/>
      <c r="Q644" s="19"/>
    </row>
    <row r="645" spans="1:17" ht="17.649999999999999">
      <c r="A645" s="14">
        <v>640</v>
      </c>
      <c r="B645" s="15" t="s">
        <v>112</v>
      </c>
      <c r="C645" s="15" t="s">
        <v>653</v>
      </c>
      <c r="D645" s="16">
        <v>6710389.0494999997</v>
      </c>
      <c r="E645" s="16">
        <v>1521250.1026000001</v>
      </c>
      <c r="F645" s="17">
        <f t="shared" si="9"/>
        <v>8231639.1520999996</v>
      </c>
      <c r="G645" s="18"/>
      <c r="H645" s="18"/>
      <c r="I645" s="19"/>
      <c r="J645" s="19"/>
      <c r="K645" s="19"/>
      <c r="L645" s="19"/>
      <c r="M645" s="18"/>
      <c r="N645" s="18"/>
      <c r="O645" s="19"/>
      <c r="P645" s="19"/>
      <c r="Q645" s="19"/>
    </row>
    <row r="646" spans="1:17" ht="17.649999999999999">
      <c r="A646" s="14">
        <v>641</v>
      </c>
      <c r="B646" s="15" t="s">
        <v>112</v>
      </c>
      <c r="C646" s="15" t="s">
        <v>655</v>
      </c>
      <c r="D646" s="16">
        <v>7041600.8227000004</v>
      </c>
      <c r="E646" s="16">
        <v>1596336.0537</v>
      </c>
      <c r="F646" s="17">
        <f t="shared" si="9"/>
        <v>8637936.8764000013</v>
      </c>
      <c r="G646" s="18"/>
      <c r="H646" s="18"/>
      <c r="I646" s="19"/>
      <c r="J646" s="19"/>
      <c r="K646" s="19"/>
      <c r="L646" s="19"/>
      <c r="M646" s="18"/>
      <c r="N646" s="18"/>
      <c r="O646" s="19"/>
      <c r="P646" s="19"/>
      <c r="Q646" s="19"/>
    </row>
    <row r="647" spans="1:17" ht="17.649999999999999">
      <c r="A647" s="14">
        <v>642</v>
      </c>
      <c r="B647" s="15" t="s">
        <v>112</v>
      </c>
      <c r="C647" s="15" t="s">
        <v>657</v>
      </c>
      <c r="D647" s="16">
        <v>9199970.2396000009</v>
      </c>
      <c r="E647" s="16">
        <v>2085639.9780999999</v>
      </c>
      <c r="F647" s="17">
        <f t="shared" ref="F647:F710" si="10">D647+E647</f>
        <v>11285610.217700001</v>
      </c>
      <c r="G647" s="18"/>
      <c r="H647" s="18"/>
      <c r="I647" s="19"/>
      <c r="J647" s="19"/>
      <c r="K647" s="19"/>
      <c r="L647" s="19"/>
      <c r="M647" s="18"/>
      <c r="N647" s="18"/>
      <c r="O647" s="19"/>
      <c r="P647" s="19"/>
      <c r="Q647" s="19"/>
    </row>
    <row r="648" spans="1:17" ht="17.649999999999999">
      <c r="A648" s="14">
        <v>643</v>
      </c>
      <c r="B648" s="15" t="s">
        <v>112</v>
      </c>
      <c r="C648" s="15" t="s">
        <v>659</v>
      </c>
      <c r="D648" s="16">
        <v>7954985.9751000004</v>
      </c>
      <c r="E648" s="16">
        <v>1803401.1354</v>
      </c>
      <c r="F648" s="17">
        <f t="shared" si="10"/>
        <v>9758387.1105000004</v>
      </c>
      <c r="G648" s="18"/>
      <c r="H648" s="18"/>
      <c r="I648" s="19"/>
      <c r="J648" s="19"/>
      <c r="K648" s="19"/>
      <c r="L648" s="19"/>
      <c r="M648" s="18"/>
      <c r="N648" s="18"/>
      <c r="O648" s="19"/>
      <c r="P648" s="19"/>
      <c r="Q648" s="19"/>
    </row>
    <row r="649" spans="1:17" ht="17.649999999999999">
      <c r="A649" s="14">
        <v>644</v>
      </c>
      <c r="B649" s="15" t="s">
        <v>112</v>
      </c>
      <c r="C649" s="15" t="s">
        <v>661</v>
      </c>
      <c r="D649" s="16">
        <v>7302793.4352000002</v>
      </c>
      <c r="E649" s="16">
        <v>1655548.6098</v>
      </c>
      <c r="F649" s="17">
        <f t="shared" si="10"/>
        <v>8958342.0449999999</v>
      </c>
      <c r="G649" s="18"/>
      <c r="H649" s="18"/>
      <c r="I649" s="19"/>
      <c r="J649" s="19"/>
      <c r="K649" s="19"/>
      <c r="L649" s="19"/>
      <c r="M649" s="18"/>
      <c r="N649" s="18"/>
      <c r="O649" s="19"/>
      <c r="P649" s="19"/>
      <c r="Q649" s="19"/>
    </row>
    <row r="650" spans="1:17" ht="17.649999999999999">
      <c r="A650" s="14">
        <v>645</v>
      </c>
      <c r="B650" s="15" t="s">
        <v>112</v>
      </c>
      <c r="C650" s="15" t="s">
        <v>663</v>
      </c>
      <c r="D650" s="16">
        <v>6594006.0609999998</v>
      </c>
      <c r="E650" s="16">
        <v>1494865.9939999999</v>
      </c>
      <c r="F650" s="17">
        <f t="shared" si="10"/>
        <v>8088872.0549999997</v>
      </c>
      <c r="G650" s="18"/>
      <c r="H650" s="18"/>
      <c r="I650" s="19"/>
      <c r="J650" s="19"/>
      <c r="K650" s="19"/>
      <c r="L650" s="19"/>
      <c r="M650" s="18"/>
      <c r="N650" s="18"/>
      <c r="O650" s="19"/>
      <c r="P650" s="19"/>
      <c r="Q650" s="19"/>
    </row>
    <row r="651" spans="1:17" ht="17.649999999999999">
      <c r="A651" s="14">
        <v>646</v>
      </c>
      <c r="B651" s="15" t="s">
        <v>112</v>
      </c>
      <c r="C651" s="15" t="s">
        <v>665</v>
      </c>
      <c r="D651" s="16">
        <v>8143558.6497</v>
      </c>
      <c r="E651" s="16">
        <v>1846150.6984999999</v>
      </c>
      <c r="F651" s="17">
        <f t="shared" si="10"/>
        <v>9989709.3482000008</v>
      </c>
      <c r="G651" s="18"/>
      <c r="H651" s="18"/>
      <c r="I651" s="19"/>
      <c r="J651" s="19"/>
      <c r="K651" s="19"/>
      <c r="L651" s="19"/>
      <c r="M651" s="18"/>
      <c r="N651" s="18"/>
      <c r="O651" s="19"/>
      <c r="P651" s="19"/>
      <c r="Q651" s="19"/>
    </row>
    <row r="652" spans="1:17" ht="17.649999999999999">
      <c r="A652" s="14">
        <v>647</v>
      </c>
      <c r="B652" s="15" t="s">
        <v>112</v>
      </c>
      <c r="C652" s="15" t="s">
        <v>667</v>
      </c>
      <c r="D652" s="16">
        <v>7543090.3290999997</v>
      </c>
      <c r="E652" s="16">
        <v>1710024.0913</v>
      </c>
      <c r="F652" s="17">
        <f t="shared" si="10"/>
        <v>9253114.4203999992</v>
      </c>
      <c r="G652" s="18"/>
      <c r="H652" s="18"/>
      <c r="I652" s="19"/>
      <c r="J652" s="19"/>
      <c r="K652" s="19"/>
      <c r="L652" s="19"/>
      <c r="M652" s="18"/>
      <c r="N652" s="18"/>
      <c r="O652" s="19"/>
      <c r="P652" s="19"/>
      <c r="Q652" s="19"/>
    </row>
    <row r="653" spans="1:17" ht="35.25">
      <c r="A653" s="14">
        <v>648</v>
      </c>
      <c r="B653" s="15" t="s">
        <v>112</v>
      </c>
      <c r="C653" s="15" t="s">
        <v>669</v>
      </c>
      <c r="D653" s="16">
        <v>7808993.4144000001</v>
      </c>
      <c r="E653" s="16">
        <v>1770304.5151</v>
      </c>
      <c r="F653" s="17">
        <f t="shared" si="10"/>
        <v>9579297.9295000006</v>
      </c>
      <c r="G653" s="18"/>
      <c r="H653" s="18"/>
      <c r="I653" s="19"/>
      <c r="J653" s="19"/>
      <c r="K653" s="19"/>
      <c r="L653" s="19"/>
      <c r="M653" s="18"/>
      <c r="N653" s="18"/>
      <c r="O653" s="19"/>
      <c r="P653" s="19"/>
      <c r="Q653" s="19"/>
    </row>
    <row r="654" spans="1:17" ht="35.25">
      <c r="A654" s="14">
        <v>649</v>
      </c>
      <c r="B654" s="15" t="s">
        <v>112</v>
      </c>
      <c r="C654" s="15" t="s">
        <v>671</v>
      </c>
      <c r="D654" s="16">
        <v>6685067.8561000004</v>
      </c>
      <c r="E654" s="16">
        <v>1515509.7694999999</v>
      </c>
      <c r="F654" s="17">
        <f t="shared" si="10"/>
        <v>8200577.6256000008</v>
      </c>
      <c r="G654" s="18"/>
      <c r="H654" s="18"/>
      <c r="I654" s="19"/>
      <c r="J654" s="19"/>
      <c r="K654" s="19"/>
      <c r="L654" s="19"/>
      <c r="M654" s="18"/>
      <c r="N654" s="18"/>
      <c r="O654" s="19"/>
      <c r="P654" s="19"/>
      <c r="Q654" s="19"/>
    </row>
    <row r="655" spans="1:17" ht="17.649999999999999">
      <c r="A655" s="14">
        <v>650</v>
      </c>
      <c r="B655" s="15" t="s">
        <v>112</v>
      </c>
      <c r="C655" s="15" t="s">
        <v>673</v>
      </c>
      <c r="D655" s="16">
        <v>6117495.4835999999</v>
      </c>
      <c r="E655" s="16">
        <v>1386840.6978</v>
      </c>
      <c r="F655" s="17">
        <f t="shared" si="10"/>
        <v>7504336.1814000001</v>
      </c>
      <c r="G655" s="18"/>
      <c r="H655" s="18"/>
      <c r="I655" s="19"/>
      <c r="J655" s="19"/>
      <c r="K655" s="19"/>
      <c r="L655" s="19"/>
      <c r="M655" s="18"/>
      <c r="N655" s="18"/>
      <c r="O655" s="19"/>
      <c r="P655" s="19"/>
      <c r="Q655" s="19"/>
    </row>
    <row r="656" spans="1:17" ht="17.649999999999999">
      <c r="A656" s="14">
        <v>651</v>
      </c>
      <c r="B656" s="15" t="s">
        <v>112</v>
      </c>
      <c r="C656" s="15" t="s">
        <v>675</v>
      </c>
      <c r="D656" s="16">
        <v>8109088.7033000002</v>
      </c>
      <c r="E656" s="16">
        <v>1838336.3365</v>
      </c>
      <c r="F656" s="17">
        <f t="shared" si="10"/>
        <v>9947425.0397999994</v>
      </c>
      <c r="G656" s="18"/>
      <c r="H656" s="18"/>
      <c r="I656" s="19"/>
      <c r="J656" s="19"/>
      <c r="K656" s="19"/>
      <c r="L656" s="19"/>
      <c r="M656" s="18"/>
      <c r="N656" s="18"/>
      <c r="O656" s="19"/>
      <c r="P656" s="19"/>
      <c r="Q656" s="19"/>
    </row>
    <row r="657" spans="1:17" ht="17.649999999999999">
      <c r="A657" s="14">
        <v>652</v>
      </c>
      <c r="B657" s="15" t="s">
        <v>112</v>
      </c>
      <c r="C657" s="15" t="s">
        <v>677</v>
      </c>
      <c r="D657" s="16">
        <v>8835078.7892000005</v>
      </c>
      <c r="E657" s="16">
        <v>2002918.8196</v>
      </c>
      <c r="F657" s="17">
        <f t="shared" si="10"/>
        <v>10837997.608800001</v>
      </c>
      <c r="G657" s="18"/>
      <c r="H657" s="18"/>
      <c r="I657" s="19"/>
      <c r="J657" s="19"/>
      <c r="K657" s="19"/>
      <c r="L657" s="19"/>
      <c r="M657" s="18"/>
      <c r="N657" s="18"/>
      <c r="O657" s="19"/>
      <c r="P657" s="19"/>
      <c r="Q657" s="19"/>
    </row>
    <row r="658" spans="1:17" ht="17.649999999999999">
      <c r="A658" s="14">
        <v>653</v>
      </c>
      <c r="B658" s="15" t="s">
        <v>112</v>
      </c>
      <c r="C658" s="15" t="s">
        <v>679</v>
      </c>
      <c r="D658" s="16">
        <v>6766830.3870999999</v>
      </c>
      <c r="E658" s="16">
        <v>1534045.3951000001</v>
      </c>
      <c r="F658" s="17">
        <f t="shared" si="10"/>
        <v>8300875.7822000002</v>
      </c>
      <c r="G658" s="18"/>
      <c r="H658" s="18"/>
      <c r="I658" s="19"/>
      <c r="J658" s="19"/>
      <c r="K658" s="19"/>
      <c r="L658" s="19"/>
      <c r="M658" s="18"/>
      <c r="N658" s="18"/>
      <c r="O658" s="19"/>
      <c r="P658" s="19"/>
      <c r="Q658" s="19"/>
    </row>
    <row r="659" spans="1:17" ht="17.649999999999999">
      <c r="A659" s="14">
        <v>654</v>
      </c>
      <c r="B659" s="15" t="s">
        <v>112</v>
      </c>
      <c r="C659" s="15" t="s">
        <v>681</v>
      </c>
      <c r="D659" s="16">
        <v>8137897.7525000004</v>
      </c>
      <c r="E659" s="16">
        <v>1844867.3689999999</v>
      </c>
      <c r="F659" s="17">
        <f t="shared" si="10"/>
        <v>9982765.1215000004</v>
      </c>
      <c r="G659" s="18"/>
      <c r="H659" s="18"/>
      <c r="I659" s="19"/>
      <c r="J659" s="19"/>
      <c r="K659" s="19"/>
      <c r="L659" s="19"/>
      <c r="M659" s="18"/>
      <c r="N659" s="18"/>
      <c r="O659" s="19"/>
      <c r="P659" s="19"/>
      <c r="Q659" s="19"/>
    </row>
    <row r="660" spans="1:17" ht="17.649999999999999">
      <c r="A660" s="14">
        <v>655</v>
      </c>
      <c r="B660" s="15" t="s">
        <v>112</v>
      </c>
      <c r="C660" s="15" t="s">
        <v>683</v>
      </c>
      <c r="D660" s="16">
        <v>6871101.0258999998</v>
      </c>
      <c r="E660" s="16">
        <v>1557683.6251000001</v>
      </c>
      <c r="F660" s="17">
        <f t="shared" si="10"/>
        <v>8428784.6510000005</v>
      </c>
      <c r="G660" s="18"/>
      <c r="H660" s="18"/>
      <c r="I660" s="19"/>
      <c r="J660" s="19"/>
      <c r="K660" s="19"/>
      <c r="L660" s="19"/>
      <c r="M660" s="18"/>
      <c r="N660" s="18"/>
      <c r="O660" s="19"/>
      <c r="P660" s="19"/>
      <c r="Q660" s="19"/>
    </row>
    <row r="661" spans="1:17" ht="17.649999999999999">
      <c r="A661" s="14">
        <v>656</v>
      </c>
      <c r="B661" s="15" t="s">
        <v>112</v>
      </c>
      <c r="C661" s="15" t="s">
        <v>685</v>
      </c>
      <c r="D661" s="16">
        <v>6901096.4517000001</v>
      </c>
      <c r="E661" s="16">
        <v>1564483.61</v>
      </c>
      <c r="F661" s="17">
        <f t="shared" si="10"/>
        <v>8465580.0616999995</v>
      </c>
      <c r="G661" s="18"/>
      <c r="H661" s="18"/>
      <c r="I661" s="19"/>
      <c r="J661" s="19"/>
      <c r="K661" s="19"/>
      <c r="L661" s="19"/>
      <c r="M661" s="18"/>
      <c r="N661" s="18"/>
      <c r="O661" s="19"/>
      <c r="P661" s="19"/>
      <c r="Q661" s="19"/>
    </row>
    <row r="662" spans="1:17" ht="17.649999999999999">
      <c r="A662" s="14">
        <v>657</v>
      </c>
      <c r="B662" s="15" t="s">
        <v>112</v>
      </c>
      <c r="C662" s="15" t="s">
        <v>687</v>
      </c>
      <c r="D662" s="16">
        <v>6867585.1931999996</v>
      </c>
      <c r="E662" s="16">
        <v>1556886.5832</v>
      </c>
      <c r="F662" s="17">
        <f t="shared" si="10"/>
        <v>8424471.7763999999</v>
      </c>
      <c r="G662" s="18"/>
      <c r="H662" s="18"/>
      <c r="I662" s="19"/>
      <c r="J662" s="19"/>
      <c r="K662" s="19"/>
      <c r="L662" s="19"/>
      <c r="M662" s="18"/>
      <c r="N662" s="18"/>
      <c r="O662" s="19"/>
      <c r="P662" s="19"/>
      <c r="Q662" s="19"/>
    </row>
    <row r="663" spans="1:17" ht="17.649999999999999">
      <c r="A663" s="14">
        <v>658</v>
      </c>
      <c r="B663" s="15" t="s">
        <v>112</v>
      </c>
      <c r="C663" s="15" t="s">
        <v>689</v>
      </c>
      <c r="D663" s="16">
        <v>7916194.4737</v>
      </c>
      <c r="E663" s="16">
        <v>1794607.0736</v>
      </c>
      <c r="F663" s="17">
        <f t="shared" si="10"/>
        <v>9710801.5472999997</v>
      </c>
      <c r="G663" s="18"/>
      <c r="H663" s="18"/>
      <c r="I663" s="19"/>
      <c r="J663" s="19"/>
      <c r="K663" s="19"/>
      <c r="L663" s="19"/>
      <c r="M663" s="18"/>
      <c r="N663" s="18"/>
      <c r="O663" s="19"/>
      <c r="P663" s="19"/>
      <c r="Q663" s="19"/>
    </row>
    <row r="664" spans="1:17" ht="17.649999999999999">
      <c r="A664" s="14">
        <v>659</v>
      </c>
      <c r="B664" s="15" t="s">
        <v>113</v>
      </c>
      <c r="C664" s="15" t="s">
        <v>693</v>
      </c>
      <c r="D664" s="16">
        <v>9337838.0151000004</v>
      </c>
      <c r="E664" s="16">
        <v>2116894.7036000001</v>
      </c>
      <c r="F664" s="17">
        <f t="shared" si="10"/>
        <v>11454732.718700001</v>
      </c>
      <c r="G664" s="18"/>
      <c r="H664" s="18"/>
      <c r="I664" s="19"/>
      <c r="J664" s="19"/>
      <c r="K664" s="19"/>
      <c r="L664" s="19"/>
      <c r="M664" s="18"/>
      <c r="N664" s="18"/>
      <c r="O664" s="19"/>
      <c r="P664" s="19"/>
      <c r="Q664" s="19"/>
    </row>
    <row r="665" spans="1:17" ht="17.649999999999999">
      <c r="A665" s="14">
        <v>660</v>
      </c>
      <c r="B665" s="15" t="s">
        <v>113</v>
      </c>
      <c r="C665" s="15" t="s">
        <v>288</v>
      </c>
      <c r="D665" s="16">
        <v>9419579.4912</v>
      </c>
      <c r="E665" s="16">
        <v>2135425.5559999999</v>
      </c>
      <c r="F665" s="17">
        <f t="shared" si="10"/>
        <v>11555005.0472</v>
      </c>
      <c r="G665" s="18"/>
      <c r="H665" s="18"/>
      <c r="I665" s="19"/>
      <c r="J665" s="19"/>
      <c r="K665" s="19"/>
      <c r="L665" s="19"/>
      <c r="M665" s="18"/>
      <c r="N665" s="18"/>
      <c r="O665" s="19"/>
      <c r="P665" s="19"/>
      <c r="Q665" s="19"/>
    </row>
    <row r="666" spans="1:17" ht="17.649999999999999">
      <c r="A666" s="14">
        <v>661</v>
      </c>
      <c r="B666" s="15" t="s">
        <v>113</v>
      </c>
      <c r="C666" s="15" t="s">
        <v>696</v>
      </c>
      <c r="D666" s="16">
        <v>9378532.6514999997</v>
      </c>
      <c r="E666" s="16">
        <v>2126120.2074000002</v>
      </c>
      <c r="F666" s="17">
        <f t="shared" si="10"/>
        <v>11504652.858899999</v>
      </c>
      <c r="G666" s="18"/>
      <c r="H666" s="18"/>
      <c r="I666" s="19"/>
      <c r="J666" s="19"/>
      <c r="K666" s="19"/>
      <c r="L666" s="19"/>
      <c r="M666" s="18"/>
      <c r="N666" s="18"/>
      <c r="O666" s="19"/>
      <c r="P666" s="19"/>
      <c r="Q666" s="19"/>
    </row>
    <row r="667" spans="1:17" ht="17.649999999999999">
      <c r="A667" s="14">
        <v>662</v>
      </c>
      <c r="B667" s="15" t="s">
        <v>113</v>
      </c>
      <c r="C667" s="15" t="s">
        <v>698</v>
      </c>
      <c r="D667" s="16">
        <v>7120111.8069000002</v>
      </c>
      <c r="E667" s="16">
        <v>1614134.5512000001</v>
      </c>
      <c r="F667" s="17">
        <f t="shared" si="10"/>
        <v>8734246.3581000008</v>
      </c>
      <c r="G667" s="18"/>
      <c r="H667" s="18"/>
      <c r="I667" s="19"/>
      <c r="J667" s="19"/>
      <c r="K667" s="19"/>
      <c r="L667" s="19"/>
      <c r="M667" s="18"/>
      <c r="N667" s="18"/>
      <c r="O667" s="19"/>
      <c r="P667" s="19"/>
      <c r="Q667" s="19"/>
    </row>
    <row r="668" spans="1:17" ht="17.649999999999999">
      <c r="A668" s="14">
        <v>663</v>
      </c>
      <c r="B668" s="15" t="s">
        <v>113</v>
      </c>
      <c r="C668" s="15" t="s">
        <v>700</v>
      </c>
      <c r="D668" s="16">
        <v>12388022.8127</v>
      </c>
      <c r="E668" s="16">
        <v>2808373.8267999999</v>
      </c>
      <c r="F668" s="17">
        <f t="shared" si="10"/>
        <v>15196396.6395</v>
      </c>
      <c r="G668" s="18"/>
      <c r="H668" s="18"/>
      <c r="I668" s="19"/>
      <c r="J668" s="19"/>
      <c r="K668" s="19"/>
      <c r="L668" s="19"/>
      <c r="M668" s="18"/>
      <c r="N668" s="18"/>
      <c r="O668" s="19"/>
      <c r="P668" s="19"/>
      <c r="Q668" s="19"/>
    </row>
    <row r="669" spans="1:17" ht="17.649999999999999">
      <c r="A669" s="14">
        <v>664</v>
      </c>
      <c r="B669" s="15" t="s">
        <v>113</v>
      </c>
      <c r="C669" s="15" t="s">
        <v>702</v>
      </c>
      <c r="D669" s="16">
        <v>10712487.915899999</v>
      </c>
      <c r="E669" s="16">
        <v>2428528.841</v>
      </c>
      <c r="F669" s="17">
        <f t="shared" si="10"/>
        <v>13141016.756899999</v>
      </c>
      <c r="G669" s="18"/>
      <c r="H669" s="18"/>
      <c r="I669" s="19"/>
      <c r="J669" s="19"/>
      <c r="K669" s="19"/>
      <c r="L669" s="19"/>
      <c r="M669" s="18"/>
      <c r="N669" s="18"/>
      <c r="O669" s="19"/>
      <c r="P669" s="19"/>
      <c r="Q669" s="19"/>
    </row>
    <row r="670" spans="1:17" ht="17.649999999999999">
      <c r="A670" s="14">
        <v>665</v>
      </c>
      <c r="B670" s="15" t="s">
        <v>113</v>
      </c>
      <c r="C670" s="15" t="s">
        <v>704</v>
      </c>
      <c r="D670" s="16">
        <v>9403887.8875999991</v>
      </c>
      <c r="E670" s="16">
        <v>2131868.2579999999</v>
      </c>
      <c r="F670" s="17">
        <f t="shared" si="10"/>
        <v>11535756.145599999</v>
      </c>
      <c r="G670" s="18"/>
      <c r="H670" s="18"/>
      <c r="I670" s="19"/>
      <c r="J670" s="19"/>
      <c r="K670" s="19"/>
      <c r="L670" s="19"/>
      <c r="M670" s="18"/>
      <c r="N670" s="18"/>
      <c r="O670" s="19"/>
      <c r="P670" s="19"/>
      <c r="Q670" s="19"/>
    </row>
    <row r="671" spans="1:17" ht="17.649999999999999">
      <c r="A671" s="14">
        <v>666</v>
      </c>
      <c r="B671" s="15" t="s">
        <v>113</v>
      </c>
      <c r="C671" s="15" t="s">
        <v>707</v>
      </c>
      <c r="D671" s="16">
        <v>8305149.9731000001</v>
      </c>
      <c r="E671" s="16">
        <v>1882783.5696</v>
      </c>
      <c r="F671" s="17">
        <f t="shared" si="10"/>
        <v>10187933.5427</v>
      </c>
      <c r="G671" s="18"/>
      <c r="H671" s="18"/>
      <c r="I671" s="19"/>
      <c r="J671" s="19"/>
      <c r="K671" s="19"/>
      <c r="L671" s="19"/>
      <c r="M671" s="18"/>
      <c r="N671" s="18"/>
      <c r="O671" s="19"/>
      <c r="P671" s="19"/>
      <c r="Q671" s="19"/>
    </row>
    <row r="672" spans="1:17" ht="35.25">
      <c r="A672" s="14">
        <v>667</v>
      </c>
      <c r="B672" s="15" t="s">
        <v>113</v>
      </c>
      <c r="C672" s="15" t="s">
        <v>709</v>
      </c>
      <c r="D672" s="16">
        <v>8518390.7062999997</v>
      </c>
      <c r="E672" s="16">
        <v>1931125.3997</v>
      </c>
      <c r="F672" s="17">
        <f t="shared" si="10"/>
        <v>10449516.105999999</v>
      </c>
      <c r="G672" s="18"/>
      <c r="H672" s="18"/>
      <c r="I672" s="19"/>
      <c r="J672" s="19"/>
      <c r="K672" s="19"/>
      <c r="L672" s="19"/>
      <c r="M672" s="18"/>
      <c r="N672" s="18"/>
      <c r="O672" s="19"/>
      <c r="P672" s="19"/>
      <c r="Q672" s="19"/>
    </row>
    <row r="673" spans="1:17" ht="35.25">
      <c r="A673" s="14">
        <v>668</v>
      </c>
      <c r="B673" s="15" t="s">
        <v>113</v>
      </c>
      <c r="C673" s="15" t="s">
        <v>711</v>
      </c>
      <c r="D673" s="16">
        <v>8080928.0963000003</v>
      </c>
      <c r="E673" s="16">
        <v>1831952.3063000001</v>
      </c>
      <c r="F673" s="17">
        <f t="shared" si="10"/>
        <v>9912880.4025999997</v>
      </c>
      <c r="G673" s="18"/>
      <c r="H673" s="18"/>
      <c r="I673" s="19"/>
      <c r="J673" s="19"/>
      <c r="K673" s="19"/>
      <c r="L673" s="19"/>
      <c r="M673" s="18"/>
      <c r="N673" s="18"/>
      <c r="O673" s="19"/>
      <c r="P673" s="19"/>
      <c r="Q673" s="19"/>
    </row>
    <row r="674" spans="1:17" ht="17.649999999999999">
      <c r="A674" s="14">
        <v>669</v>
      </c>
      <c r="B674" s="15" t="s">
        <v>113</v>
      </c>
      <c r="C674" s="15" t="s">
        <v>713</v>
      </c>
      <c r="D674" s="16">
        <v>11164850.1997</v>
      </c>
      <c r="E674" s="16">
        <v>2531079.7012999998</v>
      </c>
      <c r="F674" s="17">
        <f t="shared" si="10"/>
        <v>13695929.901000001</v>
      </c>
      <c r="G674" s="18"/>
      <c r="H674" s="18"/>
      <c r="I674" s="19"/>
      <c r="J674" s="19"/>
      <c r="K674" s="19"/>
      <c r="L674" s="19"/>
      <c r="M674" s="18"/>
      <c r="N674" s="18"/>
      <c r="O674" s="19"/>
      <c r="P674" s="19"/>
      <c r="Q674" s="19"/>
    </row>
    <row r="675" spans="1:17" ht="17.649999999999999">
      <c r="A675" s="14">
        <v>670</v>
      </c>
      <c r="B675" s="15" t="s">
        <v>113</v>
      </c>
      <c r="C675" s="15" t="s">
        <v>715</v>
      </c>
      <c r="D675" s="16">
        <v>7516761.4709999999</v>
      </c>
      <c r="E675" s="16">
        <v>1704055.3199</v>
      </c>
      <c r="F675" s="17">
        <f t="shared" si="10"/>
        <v>9220816.7908999994</v>
      </c>
      <c r="G675" s="18"/>
      <c r="H675" s="18"/>
      <c r="I675" s="19"/>
      <c r="J675" s="19"/>
      <c r="K675" s="19"/>
      <c r="L675" s="19"/>
      <c r="M675" s="18"/>
      <c r="N675" s="18"/>
      <c r="O675" s="19"/>
      <c r="P675" s="19"/>
      <c r="Q675" s="19"/>
    </row>
    <row r="676" spans="1:17" ht="17.649999999999999">
      <c r="A676" s="14">
        <v>671</v>
      </c>
      <c r="B676" s="15" t="s">
        <v>113</v>
      </c>
      <c r="C676" s="15" t="s">
        <v>716</v>
      </c>
      <c r="D676" s="16">
        <v>10035022.0162</v>
      </c>
      <c r="E676" s="16">
        <v>2274946.8262999998</v>
      </c>
      <c r="F676" s="17">
        <f t="shared" si="10"/>
        <v>12309968.842500001</v>
      </c>
      <c r="G676" s="18"/>
      <c r="H676" s="18"/>
      <c r="I676" s="19"/>
      <c r="J676" s="19"/>
      <c r="K676" s="19"/>
      <c r="L676" s="19"/>
      <c r="M676" s="18"/>
      <c r="N676" s="18"/>
      <c r="O676" s="19"/>
      <c r="P676" s="19"/>
      <c r="Q676" s="19"/>
    </row>
    <row r="677" spans="1:17" ht="17.649999999999999">
      <c r="A677" s="14">
        <v>672</v>
      </c>
      <c r="B677" s="15" t="s">
        <v>113</v>
      </c>
      <c r="C677" s="15" t="s">
        <v>718</v>
      </c>
      <c r="D677" s="16">
        <v>10020508.0558</v>
      </c>
      <c r="E677" s="16">
        <v>2271656.5008999999</v>
      </c>
      <c r="F677" s="17">
        <f t="shared" si="10"/>
        <v>12292164.556700001</v>
      </c>
      <c r="G677" s="18"/>
      <c r="H677" s="18"/>
      <c r="I677" s="19"/>
      <c r="J677" s="19"/>
      <c r="K677" s="19"/>
      <c r="L677" s="19"/>
      <c r="M677" s="18"/>
      <c r="N677" s="18"/>
      <c r="O677" s="19"/>
      <c r="P677" s="19"/>
      <c r="Q677" s="19"/>
    </row>
    <row r="678" spans="1:17" ht="17.649999999999999">
      <c r="A678" s="14">
        <v>673</v>
      </c>
      <c r="B678" s="15" t="s">
        <v>113</v>
      </c>
      <c r="C678" s="15" t="s">
        <v>720</v>
      </c>
      <c r="D678" s="16">
        <v>7918969.7200999996</v>
      </c>
      <c r="E678" s="16">
        <v>1795236.2239999999</v>
      </c>
      <c r="F678" s="17">
        <f t="shared" si="10"/>
        <v>9714205.9441</v>
      </c>
      <c r="G678" s="18"/>
      <c r="H678" s="18"/>
      <c r="I678" s="19"/>
      <c r="J678" s="19"/>
      <c r="K678" s="19"/>
      <c r="L678" s="19"/>
      <c r="M678" s="18"/>
      <c r="N678" s="18"/>
      <c r="O678" s="19"/>
      <c r="P678" s="19"/>
      <c r="Q678" s="19"/>
    </row>
    <row r="679" spans="1:17" ht="17.649999999999999">
      <c r="A679" s="14">
        <v>674</v>
      </c>
      <c r="B679" s="15" t="s">
        <v>113</v>
      </c>
      <c r="C679" s="15" t="s">
        <v>722</v>
      </c>
      <c r="D679" s="16">
        <v>10090205.726299999</v>
      </c>
      <c r="E679" s="16">
        <v>2287457.0137</v>
      </c>
      <c r="F679" s="17">
        <f t="shared" si="10"/>
        <v>12377662.739999998</v>
      </c>
      <c r="G679" s="18"/>
      <c r="H679" s="18"/>
      <c r="I679" s="19"/>
      <c r="J679" s="19"/>
      <c r="K679" s="19"/>
      <c r="L679" s="19"/>
      <c r="M679" s="18"/>
      <c r="N679" s="18"/>
      <c r="O679" s="19"/>
      <c r="P679" s="19"/>
      <c r="Q679" s="19"/>
    </row>
    <row r="680" spans="1:17" ht="17.649999999999999">
      <c r="A680" s="14">
        <v>675</v>
      </c>
      <c r="B680" s="15" t="s">
        <v>113</v>
      </c>
      <c r="C680" s="15" t="s">
        <v>724</v>
      </c>
      <c r="D680" s="16">
        <v>10720888.501399999</v>
      </c>
      <c r="E680" s="16">
        <v>2430433.2598000001</v>
      </c>
      <c r="F680" s="17">
        <f t="shared" si="10"/>
        <v>13151321.7612</v>
      </c>
      <c r="G680" s="18"/>
      <c r="H680" s="18"/>
      <c r="I680" s="19"/>
      <c r="J680" s="19"/>
      <c r="K680" s="19"/>
      <c r="L680" s="19"/>
      <c r="M680" s="18"/>
      <c r="N680" s="18"/>
      <c r="O680" s="19"/>
      <c r="P680" s="19"/>
      <c r="Q680" s="19"/>
    </row>
    <row r="681" spans="1:17" ht="17.649999999999999">
      <c r="A681" s="14">
        <v>676</v>
      </c>
      <c r="B681" s="15" t="s">
        <v>114</v>
      </c>
      <c r="C681" s="15" t="s">
        <v>728</v>
      </c>
      <c r="D681" s="16">
        <v>7133213.6328999996</v>
      </c>
      <c r="E681" s="16">
        <v>1617104.7446999999</v>
      </c>
      <c r="F681" s="17">
        <f t="shared" si="10"/>
        <v>8750318.3775999993</v>
      </c>
      <c r="G681" s="18"/>
      <c r="H681" s="18"/>
      <c r="I681" s="19"/>
      <c r="J681" s="19"/>
      <c r="K681" s="19"/>
      <c r="L681" s="19"/>
      <c r="M681" s="18"/>
      <c r="N681" s="18"/>
      <c r="O681" s="19"/>
      <c r="P681" s="19"/>
      <c r="Q681" s="19"/>
    </row>
    <row r="682" spans="1:17" ht="17.649999999999999">
      <c r="A682" s="14">
        <v>677</v>
      </c>
      <c r="B682" s="15" t="s">
        <v>114</v>
      </c>
      <c r="C682" s="15" t="s">
        <v>731</v>
      </c>
      <c r="D682" s="16">
        <v>8912396.4508999996</v>
      </c>
      <c r="E682" s="16">
        <v>2020446.79</v>
      </c>
      <c r="F682" s="17">
        <f t="shared" si="10"/>
        <v>10932843.240899999</v>
      </c>
      <c r="G682" s="18"/>
      <c r="H682" s="18"/>
      <c r="I682" s="19"/>
      <c r="J682" s="19"/>
      <c r="K682" s="19"/>
      <c r="L682" s="19"/>
      <c r="M682" s="18"/>
      <c r="N682" s="18"/>
      <c r="O682" s="19"/>
      <c r="P682" s="19"/>
      <c r="Q682" s="19"/>
    </row>
    <row r="683" spans="1:17" ht="17.649999999999999">
      <c r="A683" s="14">
        <v>678</v>
      </c>
      <c r="B683" s="15" t="s">
        <v>114</v>
      </c>
      <c r="C683" s="15" t="s">
        <v>733</v>
      </c>
      <c r="D683" s="16">
        <v>8210186.574</v>
      </c>
      <c r="E683" s="16">
        <v>1861255.2977</v>
      </c>
      <c r="F683" s="17">
        <f t="shared" si="10"/>
        <v>10071441.8717</v>
      </c>
      <c r="G683" s="18"/>
      <c r="H683" s="18"/>
      <c r="I683" s="19"/>
      <c r="J683" s="19"/>
      <c r="K683" s="19"/>
      <c r="L683" s="19"/>
      <c r="M683" s="18"/>
      <c r="N683" s="18"/>
      <c r="O683" s="19"/>
      <c r="P683" s="19"/>
      <c r="Q683" s="19"/>
    </row>
    <row r="684" spans="1:17" ht="17.649999999999999">
      <c r="A684" s="14">
        <v>679</v>
      </c>
      <c r="B684" s="15" t="s">
        <v>114</v>
      </c>
      <c r="C684" s="15" t="s">
        <v>735</v>
      </c>
      <c r="D684" s="16">
        <v>8764209.6674000006</v>
      </c>
      <c r="E684" s="16">
        <v>1986852.7379000001</v>
      </c>
      <c r="F684" s="17">
        <f t="shared" si="10"/>
        <v>10751062.405300001</v>
      </c>
      <c r="G684" s="18"/>
      <c r="H684" s="18"/>
      <c r="I684" s="19"/>
      <c r="J684" s="19"/>
      <c r="K684" s="19"/>
      <c r="L684" s="19"/>
      <c r="M684" s="18"/>
      <c r="N684" s="18"/>
      <c r="O684" s="19"/>
      <c r="P684" s="19"/>
      <c r="Q684" s="19"/>
    </row>
    <row r="685" spans="1:17" ht="17.649999999999999">
      <c r="A685" s="14">
        <v>680</v>
      </c>
      <c r="B685" s="15" t="s">
        <v>114</v>
      </c>
      <c r="C685" s="15" t="s">
        <v>737</v>
      </c>
      <c r="D685" s="16">
        <v>8135379.2160999998</v>
      </c>
      <c r="E685" s="16">
        <v>1844296.4149</v>
      </c>
      <c r="F685" s="17">
        <f t="shared" si="10"/>
        <v>9979675.6309999991</v>
      </c>
      <c r="G685" s="18"/>
      <c r="H685" s="18"/>
      <c r="I685" s="19"/>
      <c r="J685" s="19"/>
      <c r="K685" s="19"/>
      <c r="L685" s="19"/>
      <c r="M685" s="18"/>
      <c r="N685" s="18"/>
      <c r="O685" s="19"/>
      <c r="P685" s="19"/>
      <c r="Q685" s="19"/>
    </row>
    <row r="686" spans="1:17" ht="17.649999999999999">
      <c r="A686" s="14">
        <v>681</v>
      </c>
      <c r="B686" s="15" t="s">
        <v>114</v>
      </c>
      <c r="C686" s="15" t="s">
        <v>739</v>
      </c>
      <c r="D686" s="16">
        <v>8134019.8079000004</v>
      </c>
      <c r="E686" s="16">
        <v>1843988.2361000001</v>
      </c>
      <c r="F686" s="17">
        <f t="shared" si="10"/>
        <v>9978008.0439999998</v>
      </c>
      <c r="G686" s="18"/>
      <c r="H686" s="18"/>
      <c r="I686" s="19"/>
      <c r="J686" s="19"/>
      <c r="K686" s="19"/>
      <c r="L686" s="19"/>
      <c r="M686" s="18"/>
      <c r="N686" s="18"/>
      <c r="O686" s="19"/>
      <c r="P686" s="19"/>
      <c r="Q686" s="19"/>
    </row>
    <row r="687" spans="1:17" ht="17.649999999999999">
      <c r="A687" s="14">
        <v>682</v>
      </c>
      <c r="B687" s="15" t="s">
        <v>114</v>
      </c>
      <c r="C687" s="15" t="s">
        <v>741</v>
      </c>
      <c r="D687" s="16">
        <v>8815416.2383999992</v>
      </c>
      <c r="E687" s="16">
        <v>1998461.3049999999</v>
      </c>
      <c r="F687" s="17">
        <f t="shared" si="10"/>
        <v>10813877.543399999</v>
      </c>
      <c r="G687" s="18"/>
      <c r="H687" s="18"/>
      <c r="I687" s="19"/>
      <c r="J687" s="19"/>
      <c r="K687" s="19"/>
      <c r="L687" s="19"/>
      <c r="M687" s="18"/>
      <c r="N687" s="18"/>
      <c r="O687" s="19"/>
      <c r="P687" s="19"/>
      <c r="Q687" s="19"/>
    </row>
    <row r="688" spans="1:17" ht="17.649999999999999">
      <c r="A688" s="14">
        <v>683</v>
      </c>
      <c r="B688" s="15" t="s">
        <v>114</v>
      </c>
      <c r="C688" s="15" t="s">
        <v>743</v>
      </c>
      <c r="D688" s="16">
        <v>8540470.7991000004</v>
      </c>
      <c r="E688" s="16">
        <v>1936130.9728999999</v>
      </c>
      <c r="F688" s="17">
        <f t="shared" si="10"/>
        <v>10476601.772</v>
      </c>
      <c r="G688" s="18"/>
      <c r="H688" s="18"/>
      <c r="I688" s="19"/>
      <c r="J688" s="19"/>
      <c r="K688" s="19"/>
      <c r="L688" s="19"/>
      <c r="M688" s="18"/>
      <c r="N688" s="18"/>
      <c r="O688" s="19"/>
      <c r="P688" s="19"/>
      <c r="Q688" s="19"/>
    </row>
    <row r="689" spans="1:17" ht="17.649999999999999">
      <c r="A689" s="14">
        <v>684</v>
      </c>
      <c r="B689" s="15" t="s">
        <v>114</v>
      </c>
      <c r="C689" s="15" t="s">
        <v>745</v>
      </c>
      <c r="D689" s="16">
        <v>8146129.2526000002</v>
      </c>
      <c r="E689" s="16">
        <v>1846733.4561000001</v>
      </c>
      <c r="F689" s="17">
        <f t="shared" si="10"/>
        <v>9992862.7087000012</v>
      </c>
      <c r="G689" s="18"/>
      <c r="H689" s="18"/>
      <c r="I689" s="19"/>
      <c r="J689" s="19"/>
      <c r="K689" s="19"/>
      <c r="L689" s="19"/>
      <c r="M689" s="18"/>
      <c r="N689" s="18"/>
      <c r="O689" s="19"/>
      <c r="P689" s="19"/>
      <c r="Q689" s="19"/>
    </row>
    <row r="690" spans="1:17" ht="17.649999999999999">
      <c r="A690" s="14">
        <v>685</v>
      </c>
      <c r="B690" s="15" t="s">
        <v>114</v>
      </c>
      <c r="C690" s="15" t="s">
        <v>747</v>
      </c>
      <c r="D690" s="16">
        <v>9552647.6425999999</v>
      </c>
      <c r="E690" s="16">
        <v>2165592.2031999999</v>
      </c>
      <c r="F690" s="17">
        <f t="shared" si="10"/>
        <v>11718239.845799999</v>
      </c>
      <c r="G690" s="18"/>
      <c r="H690" s="18"/>
      <c r="I690" s="19"/>
      <c r="J690" s="19"/>
      <c r="K690" s="19"/>
      <c r="L690" s="19"/>
      <c r="M690" s="18"/>
      <c r="N690" s="18"/>
      <c r="O690" s="19"/>
      <c r="P690" s="19"/>
      <c r="Q690" s="19"/>
    </row>
    <row r="691" spans="1:17" ht="17.649999999999999">
      <c r="A691" s="14">
        <v>686</v>
      </c>
      <c r="B691" s="15" t="s">
        <v>114</v>
      </c>
      <c r="C691" s="15" t="s">
        <v>749</v>
      </c>
      <c r="D691" s="16">
        <v>8507590.7731999997</v>
      </c>
      <c r="E691" s="16">
        <v>1928677.047</v>
      </c>
      <c r="F691" s="17">
        <f t="shared" si="10"/>
        <v>10436267.8202</v>
      </c>
      <c r="G691" s="18"/>
      <c r="H691" s="18"/>
      <c r="I691" s="19"/>
      <c r="J691" s="19"/>
      <c r="K691" s="19"/>
      <c r="L691" s="19"/>
      <c r="M691" s="18"/>
      <c r="N691" s="18"/>
      <c r="O691" s="19"/>
      <c r="P691" s="19"/>
      <c r="Q691" s="19"/>
    </row>
    <row r="692" spans="1:17" ht="17.649999999999999">
      <c r="A692" s="14">
        <v>687</v>
      </c>
      <c r="B692" s="15" t="s">
        <v>114</v>
      </c>
      <c r="C692" s="15" t="s">
        <v>751</v>
      </c>
      <c r="D692" s="16">
        <v>8142494.1906000003</v>
      </c>
      <c r="E692" s="16">
        <v>1845909.3848999999</v>
      </c>
      <c r="F692" s="17">
        <f t="shared" si="10"/>
        <v>9988403.5755000003</v>
      </c>
      <c r="G692" s="18"/>
      <c r="H692" s="18"/>
      <c r="I692" s="19"/>
      <c r="J692" s="19"/>
      <c r="K692" s="19"/>
      <c r="L692" s="19"/>
      <c r="M692" s="18"/>
      <c r="N692" s="18"/>
      <c r="O692" s="19"/>
      <c r="P692" s="19"/>
      <c r="Q692" s="19"/>
    </row>
    <row r="693" spans="1:17" ht="17.649999999999999">
      <c r="A693" s="14">
        <v>688</v>
      </c>
      <c r="B693" s="15" t="s">
        <v>114</v>
      </c>
      <c r="C693" s="15" t="s">
        <v>753</v>
      </c>
      <c r="D693" s="16">
        <v>9666555.8820999991</v>
      </c>
      <c r="E693" s="16">
        <v>2191415.2843999998</v>
      </c>
      <c r="F693" s="17">
        <f t="shared" si="10"/>
        <v>11857971.166499998</v>
      </c>
      <c r="G693" s="18"/>
      <c r="H693" s="18"/>
      <c r="I693" s="19"/>
      <c r="J693" s="19"/>
      <c r="K693" s="19"/>
      <c r="L693" s="19"/>
      <c r="M693" s="18"/>
      <c r="N693" s="18"/>
      <c r="O693" s="19"/>
      <c r="P693" s="19"/>
      <c r="Q693" s="19"/>
    </row>
    <row r="694" spans="1:17" ht="17.649999999999999">
      <c r="A694" s="14">
        <v>689</v>
      </c>
      <c r="B694" s="15" t="s">
        <v>114</v>
      </c>
      <c r="C694" s="15" t="s">
        <v>755</v>
      </c>
      <c r="D694" s="16">
        <v>11837746.091399999</v>
      </c>
      <c r="E694" s="16">
        <v>2683625.6919</v>
      </c>
      <c r="F694" s="17">
        <f t="shared" si="10"/>
        <v>14521371.783299999</v>
      </c>
      <c r="G694" s="18"/>
      <c r="H694" s="18"/>
      <c r="I694" s="19"/>
      <c r="J694" s="19"/>
      <c r="K694" s="19"/>
      <c r="L694" s="19"/>
      <c r="M694" s="18"/>
      <c r="N694" s="18"/>
      <c r="O694" s="19"/>
      <c r="P694" s="19"/>
      <c r="Q694" s="19"/>
    </row>
    <row r="695" spans="1:17" ht="17.649999999999999">
      <c r="A695" s="14">
        <v>690</v>
      </c>
      <c r="B695" s="15" t="s">
        <v>114</v>
      </c>
      <c r="C695" s="15" t="s">
        <v>757</v>
      </c>
      <c r="D695" s="16">
        <v>9557124.8065000009</v>
      </c>
      <c r="E695" s="16">
        <v>2166607.1795000001</v>
      </c>
      <c r="F695" s="17">
        <f t="shared" si="10"/>
        <v>11723731.986000001</v>
      </c>
      <c r="G695" s="18"/>
      <c r="H695" s="18"/>
      <c r="I695" s="19"/>
      <c r="J695" s="19"/>
      <c r="K695" s="19"/>
      <c r="L695" s="19"/>
      <c r="M695" s="18"/>
      <c r="N695" s="18"/>
      <c r="O695" s="19"/>
      <c r="P695" s="19"/>
      <c r="Q695" s="19"/>
    </row>
    <row r="696" spans="1:17" ht="35.25">
      <c r="A696" s="14">
        <v>691</v>
      </c>
      <c r="B696" s="15" t="s">
        <v>114</v>
      </c>
      <c r="C696" s="15" t="s">
        <v>759</v>
      </c>
      <c r="D696" s="16">
        <v>9643976.9033000004</v>
      </c>
      <c r="E696" s="16">
        <v>2186296.6134000001</v>
      </c>
      <c r="F696" s="17">
        <f t="shared" si="10"/>
        <v>11830273.5167</v>
      </c>
      <c r="G696" s="18"/>
      <c r="H696" s="18"/>
      <c r="I696" s="19"/>
      <c r="J696" s="19"/>
      <c r="K696" s="19"/>
      <c r="L696" s="19"/>
      <c r="M696" s="18"/>
      <c r="N696" s="18"/>
      <c r="O696" s="19"/>
      <c r="P696" s="19"/>
      <c r="Q696" s="19"/>
    </row>
    <row r="697" spans="1:17" ht="17.649999999999999">
      <c r="A697" s="14">
        <v>692</v>
      </c>
      <c r="B697" s="15" t="s">
        <v>114</v>
      </c>
      <c r="C697" s="15" t="s">
        <v>761</v>
      </c>
      <c r="D697" s="16">
        <v>6625842.9071000004</v>
      </c>
      <c r="E697" s="16">
        <v>1502083.4302999999</v>
      </c>
      <c r="F697" s="17">
        <f t="shared" si="10"/>
        <v>8127926.3374000005</v>
      </c>
      <c r="G697" s="18"/>
      <c r="H697" s="18"/>
      <c r="I697" s="19"/>
      <c r="J697" s="19"/>
      <c r="K697" s="19"/>
      <c r="L697" s="19"/>
      <c r="M697" s="18"/>
      <c r="N697" s="18"/>
      <c r="O697" s="19"/>
      <c r="P697" s="19"/>
      <c r="Q697" s="19"/>
    </row>
    <row r="698" spans="1:17" ht="17.649999999999999">
      <c r="A698" s="14">
        <v>693</v>
      </c>
      <c r="B698" s="15" t="s">
        <v>114</v>
      </c>
      <c r="C698" s="15" t="s">
        <v>763</v>
      </c>
      <c r="D698" s="16">
        <v>8153127.9992000004</v>
      </c>
      <c r="E698" s="16">
        <v>1848320.077</v>
      </c>
      <c r="F698" s="17">
        <f t="shared" si="10"/>
        <v>10001448.076200001</v>
      </c>
      <c r="G698" s="18"/>
      <c r="H698" s="18"/>
      <c r="I698" s="19"/>
      <c r="J698" s="19"/>
      <c r="K698" s="19"/>
      <c r="L698" s="19"/>
      <c r="M698" s="18"/>
      <c r="N698" s="18"/>
      <c r="O698" s="19"/>
      <c r="P698" s="19"/>
      <c r="Q698" s="19"/>
    </row>
    <row r="699" spans="1:17" ht="17.649999999999999">
      <c r="A699" s="14">
        <v>694</v>
      </c>
      <c r="B699" s="15" t="s">
        <v>114</v>
      </c>
      <c r="C699" s="15" t="s">
        <v>765</v>
      </c>
      <c r="D699" s="16">
        <v>6462157.8190000001</v>
      </c>
      <c r="E699" s="16">
        <v>1464975.9012</v>
      </c>
      <c r="F699" s="17">
        <f t="shared" si="10"/>
        <v>7927133.7202000003</v>
      </c>
      <c r="G699" s="18"/>
      <c r="H699" s="18"/>
      <c r="I699" s="19"/>
      <c r="J699" s="19"/>
      <c r="K699" s="19"/>
      <c r="L699" s="19"/>
      <c r="M699" s="18"/>
      <c r="N699" s="18"/>
      <c r="O699" s="19"/>
      <c r="P699" s="19"/>
      <c r="Q699" s="19"/>
    </row>
    <row r="700" spans="1:17" ht="17.649999999999999">
      <c r="A700" s="14">
        <v>695</v>
      </c>
      <c r="B700" s="15" t="s">
        <v>114</v>
      </c>
      <c r="C700" s="15" t="s">
        <v>767</v>
      </c>
      <c r="D700" s="16">
        <v>6989918.3633000003</v>
      </c>
      <c r="E700" s="16">
        <v>1584619.6022999999</v>
      </c>
      <c r="F700" s="17">
        <f t="shared" si="10"/>
        <v>8574537.9656000007</v>
      </c>
      <c r="G700" s="18"/>
      <c r="H700" s="18"/>
      <c r="I700" s="19"/>
      <c r="J700" s="19"/>
      <c r="K700" s="19"/>
      <c r="L700" s="19"/>
      <c r="M700" s="18"/>
      <c r="N700" s="18"/>
      <c r="O700" s="19"/>
      <c r="P700" s="19"/>
      <c r="Q700" s="19"/>
    </row>
    <row r="701" spans="1:17" ht="17.649999999999999">
      <c r="A701" s="14">
        <v>696</v>
      </c>
      <c r="B701" s="15" t="s">
        <v>114</v>
      </c>
      <c r="C701" s="15" t="s">
        <v>769</v>
      </c>
      <c r="D701" s="16">
        <v>7219313.4208000004</v>
      </c>
      <c r="E701" s="16">
        <v>1636623.6295</v>
      </c>
      <c r="F701" s="17">
        <f t="shared" si="10"/>
        <v>8855937.0503000002</v>
      </c>
      <c r="G701" s="18"/>
      <c r="H701" s="18"/>
      <c r="I701" s="19"/>
      <c r="J701" s="19"/>
      <c r="K701" s="19"/>
      <c r="L701" s="19"/>
      <c r="M701" s="18"/>
      <c r="N701" s="18"/>
      <c r="O701" s="19"/>
      <c r="P701" s="19"/>
      <c r="Q701" s="19"/>
    </row>
    <row r="702" spans="1:17" ht="17.649999999999999">
      <c r="A702" s="14">
        <v>697</v>
      </c>
      <c r="B702" s="15" t="s">
        <v>114</v>
      </c>
      <c r="C702" s="15" t="s">
        <v>771</v>
      </c>
      <c r="D702" s="16">
        <v>13407202.3861</v>
      </c>
      <c r="E702" s="16">
        <v>3039422.5811000001</v>
      </c>
      <c r="F702" s="17">
        <f t="shared" si="10"/>
        <v>16446624.9672</v>
      </c>
      <c r="G702" s="18"/>
      <c r="H702" s="18"/>
      <c r="I702" s="19"/>
      <c r="J702" s="19"/>
      <c r="K702" s="19"/>
      <c r="L702" s="19"/>
      <c r="M702" s="18"/>
      <c r="N702" s="18"/>
      <c r="O702" s="19"/>
      <c r="P702" s="19"/>
      <c r="Q702" s="19"/>
    </row>
    <row r="703" spans="1:17" ht="17.649999999999999">
      <c r="A703" s="14">
        <v>698</v>
      </c>
      <c r="B703" s="15" t="s">
        <v>114</v>
      </c>
      <c r="C703" s="15" t="s">
        <v>773</v>
      </c>
      <c r="D703" s="16">
        <v>7935537.7951999996</v>
      </c>
      <c r="E703" s="16">
        <v>1798992.2187000001</v>
      </c>
      <c r="F703" s="17">
        <f t="shared" si="10"/>
        <v>9734530.0139000006</v>
      </c>
      <c r="G703" s="18"/>
      <c r="H703" s="18"/>
      <c r="I703" s="19"/>
      <c r="J703" s="19"/>
      <c r="K703" s="19"/>
      <c r="L703" s="19"/>
      <c r="M703" s="18"/>
      <c r="N703" s="18"/>
      <c r="O703" s="19"/>
      <c r="P703" s="19"/>
      <c r="Q703" s="19"/>
    </row>
    <row r="704" spans="1:17" ht="17.649999999999999">
      <c r="A704" s="14">
        <v>699</v>
      </c>
      <c r="B704" s="15" t="s">
        <v>115</v>
      </c>
      <c r="C704" s="15" t="s">
        <v>777</v>
      </c>
      <c r="D704" s="16">
        <v>7434908.8043</v>
      </c>
      <c r="E704" s="16">
        <v>1685499.2605999999</v>
      </c>
      <c r="F704" s="17">
        <f t="shared" si="10"/>
        <v>9120408.0648999996</v>
      </c>
      <c r="G704" s="18"/>
      <c r="H704" s="18"/>
      <c r="I704" s="19"/>
      <c r="J704" s="19"/>
      <c r="K704" s="19"/>
      <c r="L704" s="19"/>
      <c r="M704" s="18"/>
      <c r="N704" s="18"/>
      <c r="O704" s="19"/>
      <c r="P704" s="19"/>
      <c r="Q704" s="19"/>
    </row>
    <row r="705" spans="1:17" ht="17.649999999999999">
      <c r="A705" s="14">
        <v>700</v>
      </c>
      <c r="B705" s="15" t="s">
        <v>115</v>
      </c>
      <c r="C705" s="15" t="s">
        <v>779</v>
      </c>
      <c r="D705" s="16">
        <v>8463417.4854000006</v>
      </c>
      <c r="E705" s="16">
        <v>1918662.9304</v>
      </c>
      <c r="F705" s="17">
        <f t="shared" si="10"/>
        <v>10382080.415800001</v>
      </c>
      <c r="G705" s="18"/>
      <c r="H705" s="18"/>
      <c r="I705" s="19"/>
      <c r="J705" s="19"/>
      <c r="K705" s="19"/>
      <c r="L705" s="19"/>
      <c r="M705" s="18"/>
      <c r="N705" s="18"/>
      <c r="O705" s="19"/>
      <c r="P705" s="19"/>
      <c r="Q705" s="19"/>
    </row>
    <row r="706" spans="1:17" ht="17.649999999999999">
      <c r="A706" s="14">
        <v>701</v>
      </c>
      <c r="B706" s="15" t="s">
        <v>115</v>
      </c>
      <c r="C706" s="15" t="s">
        <v>781</v>
      </c>
      <c r="D706" s="16">
        <v>9120739.2104000002</v>
      </c>
      <c r="E706" s="16">
        <v>2067678.2459</v>
      </c>
      <c r="F706" s="17">
        <f t="shared" si="10"/>
        <v>11188417.4563</v>
      </c>
      <c r="G706" s="18"/>
      <c r="H706" s="18"/>
      <c r="I706" s="19"/>
      <c r="J706" s="19"/>
      <c r="K706" s="19"/>
      <c r="L706" s="19"/>
      <c r="M706" s="18"/>
      <c r="N706" s="18"/>
      <c r="O706" s="19"/>
      <c r="P706" s="19"/>
      <c r="Q706" s="19"/>
    </row>
    <row r="707" spans="1:17" ht="17.649999999999999">
      <c r="A707" s="14">
        <v>702</v>
      </c>
      <c r="B707" s="15" t="s">
        <v>115</v>
      </c>
      <c r="C707" s="15" t="s">
        <v>783</v>
      </c>
      <c r="D707" s="16">
        <v>9902954.9165000003</v>
      </c>
      <c r="E707" s="16">
        <v>2245007.1183000002</v>
      </c>
      <c r="F707" s="17">
        <f t="shared" si="10"/>
        <v>12147962.0348</v>
      </c>
      <c r="G707" s="18"/>
      <c r="H707" s="18"/>
      <c r="I707" s="19"/>
      <c r="J707" s="19"/>
      <c r="K707" s="19"/>
      <c r="L707" s="19"/>
      <c r="M707" s="18"/>
      <c r="N707" s="18"/>
      <c r="O707" s="19"/>
      <c r="P707" s="19"/>
      <c r="Q707" s="19"/>
    </row>
    <row r="708" spans="1:17" ht="17.649999999999999">
      <c r="A708" s="14">
        <v>703</v>
      </c>
      <c r="B708" s="15" t="s">
        <v>115</v>
      </c>
      <c r="C708" s="15" t="s">
        <v>785</v>
      </c>
      <c r="D708" s="16">
        <v>9315758.3657000009</v>
      </c>
      <c r="E708" s="16">
        <v>2111889.2310000001</v>
      </c>
      <c r="F708" s="17">
        <f t="shared" si="10"/>
        <v>11427647.596700002</v>
      </c>
      <c r="G708" s="18"/>
      <c r="H708" s="18"/>
      <c r="I708" s="19"/>
      <c r="J708" s="19"/>
      <c r="K708" s="19"/>
      <c r="L708" s="19"/>
      <c r="M708" s="18"/>
      <c r="N708" s="18"/>
      <c r="O708" s="19"/>
      <c r="P708" s="19"/>
      <c r="Q708" s="19"/>
    </row>
    <row r="709" spans="1:17" ht="17.649999999999999">
      <c r="A709" s="14">
        <v>704</v>
      </c>
      <c r="B709" s="15" t="s">
        <v>115</v>
      </c>
      <c r="C709" s="15" t="s">
        <v>788</v>
      </c>
      <c r="D709" s="16">
        <v>8441131.5373999998</v>
      </c>
      <c r="E709" s="16">
        <v>1913610.6897</v>
      </c>
      <c r="F709" s="17">
        <f t="shared" si="10"/>
        <v>10354742.2271</v>
      </c>
      <c r="G709" s="18"/>
      <c r="H709" s="18"/>
      <c r="I709" s="19"/>
      <c r="J709" s="19"/>
      <c r="K709" s="19"/>
      <c r="L709" s="19"/>
      <c r="M709" s="18"/>
      <c r="N709" s="18"/>
      <c r="O709" s="19"/>
      <c r="P709" s="19"/>
      <c r="Q709" s="19"/>
    </row>
    <row r="710" spans="1:17" ht="17.649999999999999">
      <c r="A710" s="14">
        <v>705</v>
      </c>
      <c r="B710" s="15" t="s">
        <v>115</v>
      </c>
      <c r="C710" s="15" t="s">
        <v>790</v>
      </c>
      <c r="D710" s="16">
        <v>9640976.7095999997</v>
      </c>
      <c r="E710" s="16">
        <v>2185616.4671999998</v>
      </c>
      <c r="F710" s="17">
        <f t="shared" si="10"/>
        <v>11826593.1768</v>
      </c>
      <c r="G710" s="18"/>
      <c r="H710" s="18"/>
      <c r="I710" s="19"/>
      <c r="J710" s="19"/>
      <c r="K710" s="19"/>
      <c r="L710" s="19"/>
      <c r="M710" s="18"/>
      <c r="N710" s="18"/>
      <c r="O710" s="19"/>
      <c r="P710" s="19"/>
      <c r="Q710" s="19"/>
    </row>
    <row r="711" spans="1:17" ht="17.649999999999999">
      <c r="A711" s="14">
        <v>706</v>
      </c>
      <c r="B711" s="15" t="s">
        <v>115</v>
      </c>
      <c r="C711" s="15" t="s">
        <v>792</v>
      </c>
      <c r="D711" s="16">
        <v>8226748.7898000004</v>
      </c>
      <c r="E711" s="16">
        <v>1865009.9641</v>
      </c>
      <c r="F711" s="17">
        <f t="shared" ref="F711:F774" si="11">D711+E711</f>
        <v>10091758.753900001</v>
      </c>
      <c r="G711" s="18"/>
      <c r="H711" s="18"/>
      <c r="I711" s="19"/>
      <c r="J711" s="19"/>
      <c r="K711" s="19"/>
      <c r="L711" s="19"/>
      <c r="M711" s="18"/>
      <c r="N711" s="18"/>
      <c r="O711" s="19"/>
      <c r="P711" s="19"/>
      <c r="Q711" s="19"/>
    </row>
    <row r="712" spans="1:17" ht="17.649999999999999">
      <c r="A712" s="14">
        <v>707</v>
      </c>
      <c r="B712" s="15" t="s">
        <v>115</v>
      </c>
      <c r="C712" s="15" t="s">
        <v>794</v>
      </c>
      <c r="D712" s="16">
        <v>9312066.8593000006</v>
      </c>
      <c r="E712" s="16">
        <v>2111052.3637999999</v>
      </c>
      <c r="F712" s="17">
        <f t="shared" si="11"/>
        <v>11423119.223100001</v>
      </c>
      <c r="G712" s="18"/>
      <c r="H712" s="18"/>
      <c r="I712" s="19"/>
      <c r="J712" s="19"/>
      <c r="K712" s="19"/>
      <c r="L712" s="19"/>
      <c r="M712" s="18"/>
      <c r="N712" s="18"/>
      <c r="O712" s="19"/>
      <c r="P712" s="19"/>
      <c r="Q712" s="19"/>
    </row>
    <row r="713" spans="1:17" ht="17.649999999999999">
      <c r="A713" s="14">
        <v>708</v>
      </c>
      <c r="B713" s="15" t="s">
        <v>115</v>
      </c>
      <c r="C713" s="15" t="s">
        <v>796</v>
      </c>
      <c r="D713" s="16">
        <v>8407499.9362000003</v>
      </c>
      <c r="E713" s="16">
        <v>1905986.3811000001</v>
      </c>
      <c r="F713" s="17">
        <f t="shared" si="11"/>
        <v>10313486.317300001</v>
      </c>
      <c r="G713" s="18"/>
      <c r="H713" s="18"/>
      <c r="I713" s="19"/>
      <c r="J713" s="19"/>
      <c r="K713" s="19"/>
      <c r="L713" s="19"/>
      <c r="M713" s="18"/>
      <c r="N713" s="18"/>
      <c r="O713" s="19"/>
      <c r="P713" s="19"/>
      <c r="Q713" s="19"/>
    </row>
    <row r="714" spans="1:17" ht="17.649999999999999">
      <c r="A714" s="14">
        <v>709</v>
      </c>
      <c r="B714" s="15" t="s">
        <v>115</v>
      </c>
      <c r="C714" s="15" t="s">
        <v>798</v>
      </c>
      <c r="D714" s="16">
        <v>7796334.5349000003</v>
      </c>
      <c r="E714" s="16">
        <v>1767434.7379000001</v>
      </c>
      <c r="F714" s="17">
        <f t="shared" si="11"/>
        <v>9563769.2728000004</v>
      </c>
      <c r="G714" s="18"/>
      <c r="H714" s="18"/>
      <c r="I714" s="19"/>
      <c r="J714" s="19"/>
      <c r="K714" s="19"/>
      <c r="L714" s="19"/>
      <c r="M714" s="18"/>
      <c r="N714" s="18"/>
      <c r="O714" s="19"/>
      <c r="P714" s="19"/>
      <c r="Q714" s="19"/>
    </row>
    <row r="715" spans="1:17" ht="17.649999999999999">
      <c r="A715" s="14">
        <v>710</v>
      </c>
      <c r="B715" s="15" t="s">
        <v>115</v>
      </c>
      <c r="C715" s="15" t="s">
        <v>800</v>
      </c>
      <c r="D715" s="16">
        <v>9282484.8378999997</v>
      </c>
      <c r="E715" s="16">
        <v>2104346.0978999999</v>
      </c>
      <c r="F715" s="17">
        <f t="shared" si="11"/>
        <v>11386830.935799999</v>
      </c>
      <c r="G715" s="18"/>
      <c r="H715" s="18"/>
      <c r="I715" s="19"/>
      <c r="J715" s="19"/>
      <c r="K715" s="19"/>
      <c r="L715" s="19"/>
      <c r="M715" s="18"/>
      <c r="N715" s="18"/>
      <c r="O715" s="19"/>
      <c r="P715" s="19"/>
      <c r="Q715" s="19"/>
    </row>
    <row r="716" spans="1:17" ht="17.649999999999999">
      <c r="A716" s="14">
        <v>711</v>
      </c>
      <c r="B716" s="15" t="s">
        <v>115</v>
      </c>
      <c r="C716" s="15" t="s">
        <v>802</v>
      </c>
      <c r="D716" s="16">
        <v>9739199.7403999995</v>
      </c>
      <c r="E716" s="16">
        <v>2207883.7001</v>
      </c>
      <c r="F716" s="17">
        <f t="shared" si="11"/>
        <v>11947083.440499999</v>
      </c>
      <c r="G716" s="18"/>
      <c r="H716" s="18"/>
      <c r="I716" s="19"/>
      <c r="J716" s="19"/>
      <c r="K716" s="19"/>
      <c r="L716" s="19"/>
      <c r="M716" s="18"/>
      <c r="N716" s="18"/>
      <c r="O716" s="19"/>
      <c r="P716" s="19"/>
      <c r="Q716" s="19"/>
    </row>
    <row r="717" spans="1:17" ht="17.649999999999999">
      <c r="A717" s="14">
        <v>712</v>
      </c>
      <c r="B717" s="15" t="s">
        <v>115</v>
      </c>
      <c r="C717" s="15" t="s">
        <v>804</v>
      </c>
      <c r="D717" s="16">
        <v>8775534.9163000006</v>
      </c>
      <c r="E717" s="16">
        <v>1989420.1801</v>
      </c>
      <c r="F717" s="17">
        <f t="shared" si="11"/>
        <v>10764955.0964</v>
      </c>
      <c r="G717" s="18"/>
      <c r="H717" s="18"/>
      <c r="I717" s="19"/>
      <c r="J717" s="19"/>
      <c r="K717" s="19"/>
      <c r="L717" s="19"/>
      <c r="M717" s="18"/>
      <c r="N717" s="18"/>
      <c r="O717" s="19"/>
      <c r="P717" s="19"/>
      <c r="Q717" s="19"/>
    </row>
    <row r="718" spans="1:17" ht="17.649999999999999">
      <c r="A718" s="14">
        <v>713</v>
      </c>
      <c r="B718" s="15" t="s">
        <v>115</v>
      </c>
      <c r="C718" s="15" t="s">
        <v>806</v>
      </c>
      <c r="D718" s="16">
        <v>7857953.9336000001</v>
      </c>
      <c r="E718" s="16">
        <v>1781403.9006000001</v>
      </c>
      <c r="F718" s="17">
        <f t="shared" si="11"/>
        <v>9639357.8342000004</v>
      </c>
      <c r="G718" s="18"/>
      <c r="H718" s="18"/>
      <c r="I718" s="19"/>
      <c r="J718" s="19"/>
      <c r="K718" s="19"/>
      <c r="L718" s="19"/>
      <c r="M718" s="18"/>
      <c r="N718" s="18"/>
      <c r="O718" s="19"/>
      <c r="P718" s="19"/>
      <c r="Q718" s="19"/>
    </row>
    <row r="719" spans="1:17" ht="17.649999999999999">
      <c r="A719" s="14">
        <v>714</v>
      </c>
      <c r="B719" s="15" t="s">
        <v>115</v>
      </c>
      <c r="C719" s="15" t="s">
        <v>808</v>
      </c>
      <c r="D719" s="16">
        <v>8732056.1732999999</v>
      </c>
      <c r="E719" s="16">
        <v>1979563.5172999999</v>
      </c>
      <c r="F719" s="17">
        <f t="shared" si="11"/>
        <v>10711619.6906</v>
      </c>
      <c r="G719" s="18"/>
      <c r="H719" s="18"/>
      <c r="I719" s="19"/>
      <c r="J719" s="19"/>
      <c r="K719" s="19"/>
      <c r="L719" s="19"/>
      <c r="M719" s="18"/>
      <c r="N719" s="18"/>
      <c r="O719" s="19"/>
      <c r="P719" s="19"/>
      <c r="Q719" s="19"/>
    </row>
    <row r="720" spans="1:17" ht="17.649999999999999">
      <c r="A720" s="14">
        <v>715</v>
      </c>
      <c r="B720" s="15" t="s">
        <v>115</v>
      </c>
      <c r="C720" s="15" t="s">
        <v>810</v>
      </c>
      <c r="D720" s="16">
        <v>8661514.2708999999</v>
      </c>
      <c r="E720" s="16">
        <v>1963571.6165</v>
      </c>
      <c r="F720" s="17">
        <f t="shared" si="11"/>
        <v>10625085.887399999</v>
      </c>
      <c r="G720" s="18"/>
      <c r="H720" s="18"/>
      <c r="I720" s="19"/>
      <c r="J720" s="19"/>
      <c r="K720" s="19"/>
      <c r="L720" s="19"/>
      <c r="M720" s="18"/>
      <c r="N720" s="18"/>
      <c r="O720" s="19"/>
      <c r="P720" s="19"/>
      <c r="Q720" s="19"/>
    </row>
    <row r="721" spans="1:17" ht="17.649999999999999">
      <c r="A721" s="14">
        <v>716</v>
      </c>
      <c r="B721" s="15" t="s">
        <v>115</v>
      </c>
      <c r="C721" s="15" t="s">
        <v>812</v>
      </c>
      <c r="D721" s="16">
        <v>9698440.5454999991</v>
      </c>
      <c r="E721" s="16">
        <v>2198643.5608999999</v>
      </c>
      <c r="F721" s="17">
        <f t="shared" si="11"/>
        <v>11897084.106399998</v>
      </c>
      <c r="G721" s="18"/>
      <c r="H721" s="18"/>
      <c r="I721" s="19"/>
      <c r="J721" s="19"/>
      <c r="K721" s="19"/>
      <c r="L721" s="19"/>
      <c r="M721" s="18"/>
      <c r="N721" s="18"/>
      <c r="O721" s="19"/>
      <c r="P721" s="19"/>
      <c r="Q721" s="19"/>
    </row>
    <row r="722" spans="1:17" ht="17.649999999999999">
      <c r="A722" s="14">
        <v>717</v>
      </c>
      <c r="B722" s="15" t="s">
        <v>115</v>
      </c>
      <c r="C722" s="15" t="s">
        <v>814</v>
      </c>
      <c r="D722" s="16">
        <v>8941571.3347999994</v>
      </c>
      <c r="E722" s="16">
        <v>2027060.7575000001</v>
      </c>
      <c r="F722" s="17">
        <f t="shared" si="11"/>
        <v>10968632.0923</v>
      </c>
      <c r="G722" s="18"/>
      <c r="H722" s="18"/>
      <c r="I722" s="19"/>
      <c r="J722" s="19"/>
      <c r="K722" s="19"/>
      <c r="L722" s="19"/>
      <c r="M722" s="18"/>
      <c r="N722" s="18"/>
      <c r="O722" s="19"/>
      <c r="P722" s="19"/>
      <c r="Q722" s="19"/>
    </row>
    <row r="723" spans="1:17" ht="17.649999999999999">
      <c r="A723" s="14">
        <v>718</v>
      </c>
      <c r="B723" s="15" t="s">
        <v>115</v>
      </c>
      <c r="C723" s="15" t="s">
        <v>816</v>
      </c>
      <c r="D723" s="16">
        <v>8136960.3800999997</v>
      </c>
      <c r="E723" s="16">
        <v>1844654.8659999999</v>
      </c>
      <c r="F723" s="17">
        <f t="shared" si="11"/>
        <v>9981615.2460999992</v>
      </c>
      <c r="G723" s="18"/>
      <c r="H723" s="18"/>
      <c r="I723" s="19"/>
      <c r="J723" s="19"/>
      <c r="K723" s="19"/>
      <c r="L723" s="19"/>
      <c r="M723" s="18"/>
      <c r="N723" s="18"/>
      <c r="O723" s="19"/>
      <c r="P723" s="19"/>
      <c r="Q723" s="19"/>
    </row>
    <row r="724" spans="1:17" ht="17.649999999999999">
      <c r="A724" s="14">
        <v>719</v>
      </c>
      <c r="B724" s="15" t="s">
        <v>115</v>
      </c>
      <c r="C724" s="15" t="s">
        <v>818</v>
      </c>
      <c r="D724" s="16">
        <v>8387954.2045</v>
      </c>
      <c r="E724" s="16">
        <v>1901555.3493999999</v>
      </c>
      <c r="F724" s="17">
        <f t="shared" si="11"/>
        <v>10289509.5539</v>
      </c>
      <c r="G724" s="18"/>
      <c r="H724" s="18"/>
      <c r="I724" s="19"/>
      <c r="J724" s="19"/>
      <c r="K724" s="19"/>
      <c r="L724" s="19"/>
      <c r="M724" s="18"/>
      <c r="N724" s="18"/>
      <c r="O724" s="19"/>
      <c r="P724" s="19"/>
      <c r="Q724" s="19"/>
    </row>
    <row r="725" spans="1:17" ht="17.649999999999999">
      <c r="A725" s="14">
        <v>720</v>
      </c>
      <c r="B725" s="15" t="s">
        <v>115</v>
      </c>
      <c r="C725" s="15" t="s">
        <v>820</v>
      </c>
      <c r="D725" s="16">
        <v>8070515.3065999998</v>
      </c>
      <c r="E725" s="16">
        <v>1829591.7193</v>
      </c>
      <c r="F725" s="17">
        <f t="shared" si="11"/>
        <v>9900107.0258999988</v>
      </c>
      <c r="G725" s="18"/>
      <c r="H725" s="18"/>
      <c r="I725" s="19"/>
      <c r="J725" s="19"/>
      <c r="K725" s="19"/>
      <c r="L725" s="19"/>
      <c r="M725" s="18"/>
      <c r="N725" s="18"/>
      <c r="O725" s="19"/>
      <c r="P725" s="19"/>
      <c r="Q725" s="19"/>
    </row>
    <row r="726" spans="1:17" ht="17.649999999999999">
      <c r="A726" s="14">
        <v>721</v>
      </c>
      <c r="B726" s="15" t="s">
        <v>115</v>
      </c>
      <c r="C726" s="15" t="s">
        <v>822</v>
      </c>
      <c r="D726" s="16">
        <v>7566106.3235999998</v>
      </c>
      <c r="E726" s="16">
        <v>1715241.8341000001</v>
      </c>
      <c r="F726" s="17">
        <f t="shared" si="11"/>
        <v>9281348.1577000003</v>
      </c>
      <c r="G726" s="18"/>
      <c r="H726" s="18"/>
      <c r="I726" s="19"/>
      <c r="J726" s="19"/>
      <c r="K726" s="19"/>
      <c r="L726" s="19"/>
      <c r="M726" s="18"/>
      <c r="N726" s="18"/>
      <c r="O726" s="19"/>
      <c r="P726" s="19"/>
      <c r="Q726" s="19"/>
    </row>
    <row r="727" spans="1:17" ht="17.649999999999999">
      <c r="A727" s="14">
        <v>722</v>
      </c>
      <c r="B727" s="15" t="s">
        <v>116</v>
      </c>
      <c r="C727" s="15" t="s">
        <v>826</v>
      </c>
      <c r="D727" s="16">
        <v>7509908.9412000002</v>
      </c>
      <c r="E727" s="16">
        <v>1702501.8463999999</v>
      </c>
      <c r="F727" s="17">
        <f t="shared" si="11"/>
        <v>9212410.7875999995</v>
      </c>
      <c r="G727" s="18"/>
      <c r="H727" s="18"/>
      <c r="I727" s="19"/>
      <c r="J727" s="19"/>
      <c r="K727" s="19"/>
      <c r="L727" s="19"/>
      <c r="M727" s="18"/>
      <c r="N727" s="18"/>
      <c r="O727" s="19"/>
      <c r="P727" s="19"/>
      <c r="Q727" s="19"/>
    </row>
    <row r="728" spans="1:17" ht="17.649999999999999">
      <c r="A728" s="14">
        <v>723</v>
      </c>
      <c r="B728" s="15" t="s">
        <v>116</v>
      </c>
      <c r="C728" s="15" t="s">
        <v>828</v>
      </c>
      <c r="D728" s="16">
        <v>12851183.6446</v>
      </c>
      <c r="E728" s="16">
        <v>2913372.7259</v>
      </c>
      <c r="F728" s="17">
        <f t="shared" si="11"/>
        <v>15764556.3705</v>
      </c>
      <c r="G728" s="18"/>
      <c r="H728" s="18"/>
      <c r="I728" s="19"/>
      <c r="J728" s="19"/>
      <c r="K728" s="19"/>
      <c r="L728" s="19"/>
      <c r="M728" s="18"/>
      <c r="N728" s="18"/>
      <c r="O728" s="19"/>
      <c r="P728" s="19"/>
      <c r="Q728" s="19"/>
    </row>
    <row r="729" spans="1:17" ht="17.649999999999999">
      <c r="A729" s="14">
        <v>724</v>
      </c>
      <c r="B729" s="15" t="s">
        <v>116</v>
      </c>
      <c r="C729" s="15" t="s">
        <v>830</v>
      </c>
      <c r="D729" s="16">
        <v>8826399.2352000009</v>
      </c>
      <c r="E729" s="16">
        <v>2000951.1584000001</v>
      </c>
      <c r="F729" s="17">
        <f t="shared" si="11"/>
        <v>10827350.393600002</v>
      </c>
      <c r="G729" s="18"/>
      <c r="H729" s="18"/>
      <c r="I729" s="19"/>
      <c r="J729" s="19"/>
      <c r="K729" s="19"/>
      <c r="L729" s="19"/>
      <c r="M729" s="18"/>
      <c r="N729" s="18"/>
      <c r="O729" s="19"/>
      <c r="P729" s="19"/>
      <c r="Q729" s="19"/>
    </row>
    <row r="730" spans="1:17" ht="17.649999999999999">
      <c r="A730" s="14">
        <v>725</v>
      </c>
      <c r="B730" s="15" t="s">
        <v>116</v>
      </c>
      <c r="C730" s="15" t="s">
        <v>832</v>
      </c>
      <c r="D730" s="16">
        <v>10538773.4715</v>
      </c>
      <c r="E730" s="16">
        <v>2389147.6494</v>
      </c>
      <c r="F730" s="17">
        <f t="shared" si="11"/>
        <v>12927921.1209</v>
      </c>
      <c r="G730" s="18"/>
      <c r="H730" s="18"/>
      <c r="I730" s="19"/>
      <c r="J730" s="19"/>
      <c r="K730" s="19"/>
      <c r="L730" s="19"/>
      <c r="M730" s="18"/>
      <c r="N730" s="18"/>
      <c r="O730" s="19"/>
      <c r="P730" s="19"/>
      <c r="Q730" s="19"/>
    </row>
    <row r="731" spans="1:17" ht="17.649999999999999">
      <c r="A731" s="14">
        <v>726</v>
      </c>
      <c r="B731" s="15" t="s">
        <v>116</v>
      </c>
      <c r="C731" s="15" t="s">
        <v>834</v>
      </c>
      <c r="D731" s="16">
        <v>11385516.146500001</v>
      </c>
      <c r="E731" s="16">
        <v>2581104.8328</v>
      </c>
      <c r="F731" s="17">
        <f t="shared" si="11"/>
        <v>13966620.9793</v>
      </c>
      <c r="G731" s="18"/>
      <c r="H731" s="18"/>
      <c r="I731" s="19"/>
      <c r="J731" s="19"/>
      <c r="K731" s="19"/>
      <c r="L731" s="19"/>
      <c r="M731" s="18"/>
      <c r="N731" s="18"/>
      <c r="O731" s="19"/>
      <c r="P731" s="19"/>
      <c r="Q731" s="19"/>
    </row>
    <row r="732" spans="1:17" ht="17.649999999999999">
      <c r="A732" s="14">
        <v>727</v>
      </c>
      <c r="B732" s="15" t="s">
        <v>116</v>
      </c>
      <c r="C732" s="15" t="s">
        <v>836</v>
      </c>
      <c r="D732" s="16">
        <v>7887321.6743999999</v>
      </c>
      <c r="E732" s="16">
        <v>1788061.5889000001</v>
      </c>
      <c r="F732" s="17">
        <f t="shared" si="11"/>
        <v>9675383.2632999998</v>
      </c>
      <c r="G732" s="18"/>
      <c r="H732" s="18"/>
      <c r="I732" s="19"/>
      <c r="J732" s="19"/>
      <c r="K732" s="19"/>
      <c r="L732" s="19"/>
      <c r="M732" s="18"/>
      <c r="N732" s="18"/>
      <c r="O732" s="19"/>
      <c r="P732" s="19"/>
      <c r="Q732" s="19"/>
    </row>
    <row r="733" spans="1:17" ht="17.649999999999999">
      <c r="A733" s="14">
        <v>728</v>
      </c>
      <c r="B733" s="15" t="s">
        <v>116</v>
      </c>
      <c r="C733" s="15" t="s">
        <v>838</v>
      </c>
      <c r="D733" s="16">
        <v>7586247.6595999999</v>
      </c>
      <c r="E733" s="16">
        <v>1719807.8896999999</v>
      </c>
      <c r="F733" s="17">
        <f t="shared" si="11"/>
        <v>9306055.5493000001</v>
      </c>
      <c r="G733" s="18"/>
      <c r="H733" s="18"/>
      <c r="I733" s="19"/>
      <c r="J733" s="19"/>
      <c r="K733" s="19"/>
      <c r="L733" s="19"/>
      <c r="M733" s="18"/>
      <c r="N733" s="18"/>
      <c r="O733" s="19"/>
      <c r="P733" s="19"/>
      <c r="Q733" s="19"/>
    </row>
    <row r="734" spans="1:17" ht="17.649999999999999">
      <c r="A734" s="14">
        <v>729</v>
      </c>
      <c r="B734" s="15" t="s">
        <v>116</v>
      </c>
      <c r="C734" s="15" t="s">
        <v>840</v>
      </c>
      <c r="D734" s="16">
        <v>11774893.854499999</v>
      </c>
      <c r="E734" s="16">
        <v>2669377.0438000001</v>
      </c>
      <c r="F734" s="17">
        <f t="shared" si="11"/>
        <v>14444270.8983</v>
      </c>
      <c r="G734" s="18"/>
      <c r="H734" s="18"/>
      <c r="I734" s="19"/>
      <c r="J734" s="19"/>
      <c r="K734" s="19"/>
      <c r="L734" s="19"/>
      <c r="M734" s="18"/>
      <c r="N734" s="18"/>
      <c r="O734" s="19"/>
      <c r="P734" s="19"/>
      <c r="Q734" s="19"/>
    </row>
    <row r="735" spans="1:17" ht="17.649999999999999">
      <c r="A735" s="14">
        <v>730</v>
      </c>
      <c r="B735" s="15" t="s">
        <v>116</v>
      </c>
      <c r="C735" s="15" t="s">
        <v>842</v>
      </c>
      <c r="D735" s="16">
        <v>8381831.9073000001</v>
      </c>
      <c r="E735" s="16">
        <v>1900167.4202000001</v>
      </c>
      <c r="F735" s="17">
        <f t="shared" si="11"/>
        <v>10281999.327500001</v>
      </c>
      <c r="G735" s="18"/>
      <c r="H735" s="18"/>
      <c r="I735" s="19"/>
      <c r="J735" s="19"/>
      <c r="K735" s="19"/>
      <c r="L735" s="19"/>
      <c r="M735" s="18"/>
      <c r="N735" s="18"/>
      <c r="O735" s="19"/>
      <c r="P735" s="19"/>
      <c r="Q735" s="19"/>
    </row>
    <row r="736" spans="1:17" ht="17.649999999999999">
      <c r="A736" s="14">
        <v>731</v>
      </c>
      <c r="B736" s="15" t="s">
        <v>116</v>
      </c>
      <c r="C736" s="15" t="s">
        <v>845</v>
      </c>
      <c r="D736" s="16">
        <v>7738926.2496999996</v>
      </c>
      <c r="E736" s="16">
        <v>1754420.2376999999</v>
      </c>
      <c r="F736" s="17">
        <f t="shared" si="11"/>
        <v>9493346.4873999991</v>
      </c>
      <c r="G736" s="18"/>
      <c r="H736" s="18"/>
      <c r="I736" s="19"/>
      <c r="J736" s="19"/>
      <c r="K736" s="19"/>
      <c r="L736" s="19"/>
      <c r="M736" s="18"/>
      <c r="N736" s="18"/>
      <c r="O736" s="19"/>
      <c r="P736" s="19"/>
      <c r="Q736" s="19"/>
    </row>
    <row r="737" spans="1:17" ht="17.649999999999999">
      <c r="A737" s="14">
        <v>732</v>
      </c>
      <c r="B737" s="15" t="s">
        <v>116</v>
      </c>
      <c r="C737" s="15" t="s">
        <v>847</v>
      </c>
      <c r="D737" s="16">
        <v>11548939.128599999</v>
      </c>
      <c r="E737" s="16">
        <v>2618152.9423000002</v>
      </c>
      <c r="F737" s="17">
        <f t="shared" si="11"/>
        <v>14167092.070900001</v>
      </c>
      <c r="G737" s="18"/>
      <c r="H737" s="18"/>
      <c r="I737" s="19"/>
      <c r="J737" s="19"/>
      <c r="K737" s="19"/>
      <c r="L737" s="19"/>
      <c r="M737" s="18"/>
      <c r="N737" s="18"/>
      <c r="O737" s="19"/>
      <c r="P737" s="19"/>
      <c r="Q737" s="19"/>
    </row>
    <row r="738" spans="1:17" ht="17.649999999999999">
      <c r="A738" s="14">
        <v>733</v>
      </c>
      <c r="B738" s="15" t="s">
        <v>116</v>
      </c>
      <c r="C738" s="15" t="s">
        <v>849</v>
      </c>
      <c r="D738" s="16">
        <v>9141358.6944999993</v>
      </c>
      <c r="E738" s="16">
        <v>2072352.6980000001</v>
      </c>
      <c r="F738" s="17">
        <f t="shared" si="11"/>
        <v>11213711.3925</v>
      </c>
      <c r="G738" s="18"/>
      <c r="H738" s="18"/>
      <c r="I738" s="19"/>
      <c r="J738" s="19"/>
      <c r="K738" s="19"/>
      <c r="L738" s="19"/>
      <c r="M738" s="18"/>
      <c r="N738" s="18"/>
      <c r="O738" s="19"/>
      <c r="P738" s="19"/>
      <c r="Q738" s="19"/>
    </row>
    <row r="739" spans="1:17" ht="17.649999999999999">
      <c r="A739" s="14">
        <v>734</v>
      </c>
      <c r="B739" s="15" t="s">
        <v>116</v>
      </c>
      <c r="C739" s="15" t="s">
        <v>851</v>
      </c>
      <c r="D739" s="16">
        <v>7856875.8380000005</v>
      </c>
      <c r="E739" s="16">
        <v>1781159.4956</v>
      </c>
      <c r="F739" s="17">
        <f t="shared" si="11"/>
        <v>9638035.3335999995</v>
      </c>
      <c r="G739" s="18"/>
      <c r="H739" s="18"/>
      <c r="I739" s="19"/>
      <c r="J739" s="19"/>
      <c r="K739" s="19"/>
      <c r="L739" s="19"/>
      <c r="M739" s="18"/>
      <c r="N739" s="18"/>
      <c r="O739" s="19"/>
      <c r="P739" s="19"/>
      <c r="Q739" s="19"/>
    </row>
    <row r="740" spans="1:17" ht="17.649999999999999">
      <c r="A740" s="14">
        <v>735</v>
      </c>
      <c r="B740" s="15" t="s">
        <v>116</v>
      </c>
      <c r="C740" s="15" t="s">
        <v>853</v>
      </c>
      <c r="D740" s="16">
        <v>11253858.783600001</v>
      </c>
      <c r="E740" s="16">
        <v>2551258.0123999999</v>
      </c>
      <c r="F740" s="17">
        <f t="shared" si="11"/>
        <v>13805116.796</v>
      </c>
      <c r="G740" s="18"/>
      <c r="H740" s="18"/>
      <c r="I740" s="19"/>
      <c r="J740" s="19"/>
      <c r="K740" s="19"/>
      <c r="L740" s="19"/>
      <c r="M740" s="18"/>
      <c r="N740" s="18"/>
      <c r="O740" s="19"/>
      <c r="P740" s="19"/>
      <c r="Q740" s="19"/>
    </row>
    <row r="741" spans="1:17" ht="17.649999999999999">
      <c r="A741" s="14">
        <v>736</v>
      </c>
      <c r="B741" s="15" t="s">
        <v>116</v>
      </c>
      <c r="C741" s="15" t="s">
        <v>855</v>
      </c>
      <c r="D741" s="16">
        <v>7460332.6053999998</v>
      </c>
      <c r="E741" s="16">
        <v>1691262.8548999999</v>
      </c>
      <c r="F741" s="17">
        <f t="shared" si="11"/>
        <v>9151595.4603000004</v>
      </c>
      <c r="G741" s="18"/>
      <c r="H741" s="18"/>
      <c r="I741" s="19"/>
      <c r="J741" s="19"/>
      <c r="K741" s="19"/>
      <c r="L741" s="19"/>
      <c r="M741" s="18"/>
      <c r="N741" s="18"/>
      <c r="O741" s="19"/>
      <c r="P741" s="19"/>
      <c r="Q741" s="19"/>
    </row>
    <row r="742" spans="1:17" ht="17.649999999999999">
      <c r="A742" s="14">
        <v>737</v>
      </c>
      <c r="B742" s="15" t="s">
        <v>116</v>
      </c>
      <c r="C742" s="15" t="s">
        <v>857</v>
      </c>
      <c r="D742" s="16">
        <v>8092966.4093000004</v>
      </c>
      <c r="E742" s="16">
        <v>1834681.4006000001</v>
      </c>
      <c r="F742" s="17">
        <f t="shared" si="11"/>
        <v>9927647.8099000007</v>
      </c>
      <c r="G742" s="18"/>
      <c r="H742" s="18"/>
      <c r="I742" s="19"/>
      <c r="J742" s="19"/>
      <c r="K742" s="19"/>
      <c r="L742" s="19"/>
      <c r="M742" s="18"/>
      <c r="N742" s="18"/>
      <c r="O742" s="19"/>
      <c r="P742" s="19"/>
      <c r="Q742" s="19"/>
    </row>
    <row r="743" spans="1:17" ht="17.649999999999999">
      <c r="A743" s="14">
        <v>738</v>
      </c>
      <c r="B743" s="15" t="s">
        <v>117</v>
      </c>
      <c r="C743" s="15" t="s">
        <v>861</v>
      </c>
      <c r="D743" s="16">
        <v>8363599.5278000003</v>
      </c>
      <c r="E743" s="16">
        <v>1896034.1264</v>
      </c>
      <c r="F743" s="17">
        <f t="shared" si="11"/>
        <v>10259633.654200001</v>
      </c>
      <c r="G743" s="18"/>
      <c r="H743" s="18"/>
      <c r="I743" s="19"/>
      <c r="J743" s="19"/>
      <c r="K743" s="19"/>
      <c r="L743" s="19"/>
      <c r="M743" s="18"/>
      <c r="N743" s="18"/>
      <c r="O743" s="19"/>
      <c r="P743" s="19"/>
      <c r="Q743" s="19"/>
    </row>
    <row r="744" spans="1:17" ht="17.649999999999999">
      <c r="A744" s="14">
        <v>739</v>
      </c>
      <c r="B744" s="15" t="s">
        <v>117</v>
      </c>
      <c r="C744" s="15" t="s">
        <v>863</v>
      </c>
      <c r="D744" s="16">
        <v>9255150.9015999995</v>
      </c>
      <c r="E744" s="16">
        <v>2098149.4745999998</v>
      </c>
      <c r="F744" s="17">
        <f t="shared" si="11"/>
        <v>11353300.3762</v>
      </c>
      <c r="G744" s="18"/>
      <c r="H744" s="18"/>
      <c r="I744" s="19"/>
      <c r="J744" s="19"/>
      <c r="K744" s="19"/>
      <c r="L744" s="19"/>
      <c r="M744" s="18"/>
      <c r="N744" s="18"/>
      <c r="O744" s="19"/>
      <c r="P744" s="19"/>
      <c r="Q744" s="19"/>
    </row>
    <row r="745" spans="1:17" ht="17.649999999999999">
      <c r="A745" s="14">
        <v>740</v>
      </c>
      <c r="B745" s="15" t="s">
        <v>117</v>
      </c>
      <c r="C745" s="15" t="s">
        <v>865</v>
      </c>
      <c r="D745" s="16">
        <v>7749244.4027000004</v>
      </c>
      <c r="E745" s="16">
        <v>1756759.3705</v>
      </c>
      <c r="F745" s="17">
        <f t="shared" si="11"/>
        <v>9506003.7731999997</v>
      </c>
      <c r="G745" s="18"/>
      <c r="H745" s="18"/>
      <c r="I745" s="19"/>
      <c r="J745" s="19"/>
      <c r="K745" s="19"/>
      <c r="L745" s="19"/>
      <c r="M745" s="18"/>
      <c r="N745" s="18"/>
      <c r="O745" s="19"/>
      <c r="P745" s="19"/>
      <c r="Q745" s="19"/>
    </row>
    <row r="746" spans="1:17" ht="17.649999999999999">
      <c r="A746" s="14">
        <v>741</v>
      </c>
      <c r="B746" s="15" t="s">
        <v>117</v>
      </c>
      <c r="C746" s="15" t="s">
        <v>867</v>
      </c>
      <c r="D746" s="16">
        <v>8676328.4997000005</v>
      </c>
      <c r="E746" s="16">
        <v>1966930.0129</v>
      </c>
      <c r="F746" s="17">
        <f t="shared" si="11"/>
        <v>10643258.512600001</v>
      </c>
      <c r="G746" s="18"/>
      <c r="H746" s="18"/>
      <c r="I746" s="19"/>
      <c r="J746" s="19"/>
      <c r="K746" s="19"/>
      <c r="L746" s="19"/>
      <c r="M746" s="18"/>
      <c r="N746" s="18"/>
      <c r="O746" s="19"/>
      <c r="P746" s="19"/>
      <c r="Q746" s="19"/>
    </row>
    <row r="747" spans="1:17" ht="17.649999999999999">
      <c r="A747" s="14">
        <v>742</v>
      </c>
      <c r="B747" s="15" t="s">
        <v>117</v>
      </c>
      <c r="C747" s="15" t="s">
        <v>869</v>
      </c>
      <c r="D747" s="16">
        <v>12169214.4637</v>
      </c>
      <c r="E747" s="16">
        <v>2758769.8141000001</v>
      </c>
      <c r="F747" s="17">
        <f t="shared" si="11"/>
        <v>14927984.277800001</v>
      </c>
      <c r="G747" s="18"/>
      <c r="H747" s="18"/>
      <c r="I747" s="19"/>
      <c r="J747" s="19"/>
      <c r="K747" s="19"/>
      <c r="L747" s="19"/>
      <c r="M747" s="18"/>
      <c r="N747" s="18"/>
      <c r="O747" s="19"/>
      <c r="P747" s="19"/>
      <c r="Q747" s="19"/>
    </row>
    <row r="748" spans="1:17" ht="17.649999999999999">
      <c r="A748" s="14">
        <v>743</v>
      </c>
      <c r="B748" s="15" t="s">
        <v>117</v>
      </c>
      <c r="C748" s="15" t="s">
        <v>871</v>
      </c>
      <c r="D748" s="16">
        <v>10085135.7545</v>
      </c>
      <c r="E748" s="16">
        <v>2286307.6474000001</v>
      </c>
      <c r="F748" s="17">
        <f t="shared" si="11"/>
        <v>12371443.401900001</v>
      </c>
      <c r="G748" s="18"/>
      <c r="H748" s="18"/>
      <c r="I748" s="19"/>
      <c r="J748" s="19"/>
      <c r="K748" s="19"/>
      <c r="L748" s="19"/>
      <c r="M748" s="18"/>
      <c r="N748" s="18"/>
      <c r="O748" s="19"/>
      <c r="P748" s="19"/>
      <c r="Q748" s="19"/>
    </row>
    <row r="749" spans="1:17" ht="17.649999999999999">
      <c r="A749" s="14">
        <v>744</v>
      </c>
      <c r="B749" s="15" t="s">
        <v>117</v>
      </c>
      <c r="C749" s="15" t="s">
        <v>873</v>
      </c>
      <c r="D749" s="16">
        <v>9285083.7237</v>
      </c>
      <c r="E749" s="16">
        <v>2104935.2672000001</v>
      </c>
      <c r="F749" s="17">
        <f t="shared" si="11"/>
        <v>11390018.990900001</v>
      </c>
      <c r="G749" s="18"/>
      <c r="H749" s="18"/>
      <c r="I749" s="19"/>
      <c r="J749" s="19"/>
      <c r="K749" s="19"/>
      <c r="L749" s="19"/>
      <c r="M749" s="18"/>
      <c r="N749" s="18"/>
      <c r="O749" s="19"/>
      <c r="P749" s="19"/>
      <c r="Q749" s="19"/>
    </row>
    <row r="750" spans="1:17" ht="17.649999999999999">
      <c r="A750" s="14">
        <v>745</v>
      </c>
      <c r="B750" s="15" t="s">
        <v>117</v>
      </c>
      <c r="C750" s="15" t="s">
        <v>875</v>
      </c>
      <c r="D750" s="16">
        <v>8066833.2605999997</v>
      </c>
      <c r="E750" s="16">
        <v>1828756.9967</v>
      </c>
      <c r="F750" s="17">
        <f t="shared" si="11"/>
        <v>9895590.2573000006</v>
      </c>
      <c r="G750" s="18"/>
      <c r="H750" s="18"/>
      <c r="I750" s="19"/>
      <c r="J750" s="19"/>
      <c r="K750" s="19"/>
      <c r="L750" s="19"/>
      <c r="M750" s="18"/>
      <c r="N750" s="18"/>
      <c r="O750" s="19"/>
      <c r="P750" s="19"/>
      <c r="Q750" s="19"/>
    </row>
    <row r="751" spans="1:17" ht="17.649999999999999">
      <c r="A751" s="14">
        <v>746</v>
      </c>
      <c r="B751" s="15" t="s">
        <v>117</v>
      </c>
      <c r="C751" s="15" t="s">
        <v>877</v>
      </c>
      <c r="D751" s="16">
        <v>10638862.307399999</v>
      </c>
      <c r="E751" s="16">
        <v>2411837.8616999998</v>
      </c>
      <c r="F751" s="17">
        <f t="shared" si="11"/>
        <v>13050700.1691</v>
      </c>
      <c r="G751" s="18"/>
      <c r="H751" s="18"/>
      <c r="I751" s="19"/>
      <c r="J751" s="19"/>
      <c r="K751" s="19"/>
      <c r="L751" s="19"/>
      <c r="M751" s="18"/>
      <c r="N751" s="18"/>
      <c r="O751" s="19"/>
      <c r="P751" s="19"/>
      <c r="Q751" s="19"/>
    </row>
    <row r="752" spans="1:17" ht="17.649999999999999">
      <c r="A752" s="14">
        <v>747</v>
      </c>
      <c r="B752" s="15" t="s">
        <v>117</v>
      </c>
      <c r="C752" s="15" t="s">
        <v>879</v>
      </c>
      <c r="D752" s="16">
        <v>7503106.4888000004</v>
      </c>
      <c r="E752" s="16">
        <v>1700959.7254999999</v>
      </c>
      <c r="F752" s="17">
        <f t="shared" si="11"/>
        <v>9204066.214300001</v>
      </c>
      <c r="G752" s="18"/>
      <c r="H752" s="18"/>
      <c r="I752" s="19"/>
      <c r="J752" s="19"/>
      <c r="K752" s="19"/>
      <c r="L752" s="19"/>
      <c r="M752" s="18"/>
      <c r="N752" s="18"/>
      <c r="O752" s="19"/>
      <c r="P752" s="19"/>
      <c r="Q752" s="19"/>
    </row>
    <row r="753" spans="1:17" ht="17.649999999999999">
      <c r="A753" s="14">
        <v>748</v>
      </c>
      <c r="B753" s="15" t="s">
        <v>117</v>
      </c>
      <c r="C753" s="15" t="s">
        <v>881</v>
      </c>
      <c r="D753" s="16">
        <v>7186783.0738000004</v>
      </c>
      <c r="E753" s="16">
        <v>1629248.9761000001</v>
      </c>
      <c r="F753" s="17">
        <f t="shared" si="11"/>
        <v>8816032.0499000009</v>
      </c>
      <c r="G753" s="18"/>
      <c r="H753" s="18"/>
      <c r="I753" s="19"/>
      <c r="J753" s="19"/>
      <c r="K753" s="19"/>
      <c r="L753" s="19"/>
      <c r="M753" s="18"/>
      <c r="N753" s="18"/>
      <c r="O753" s="19"/>
      <c r="P753" s="19"/>
      <c r="Q753" s="19"/>
    </row>
    <row r="754" spans="1:17" ht="17.649999999999999">
      <c r="A754" s="14">
        <v>749</v>
      </c>
      <c r="B754" s="15" t="s">
        <v>117</v>
      </c>
      <c r="C754" s="15" t="s">
        <v>883</v>
      </c>
      <c r="D754" s="16">
        <v>7705330.5055</v>
      </c>
      <c r="E754" s="16">
        <v>1746804.0578999999</v>
      </c>
      <c r="F754" s="17">
        <f t="shared" si="11"/>
        <v>9452134.5634000003</v>
      </c>
      <c r="G754" s="18"/>
      <c r="H754" s="18"/>
      <c r="I754" s="19"/>
      <c r="J754" s="19"/>
      <c r="K754" s="19"/>
      <c r="L754" s="19"/>
      <c r="M754" s="18"/>
      <c r="N754" s="18"/>
      <c r="O754" s="19"/>
      <c r="P754" s="19"/>
      <c r="Q754" s="19"/>
    </row>
    <row r="755" spans="1:17" ht="17.649999999999999">
      <c r="A755" s="14">
        <v>750</v>
      </c>
      <c r="B755" s="15" t="s">
        <v>117</v>
      </c>
      <c r="C755" s="15" t="s">
        <v>885</v>
      </c>
      <c r="D755" s="16">
        <v>8380458.2585000005</v>
      </c>
      <c r="E755" s="16">
        <v>1899856.013</v>
      </c>
      <c r="F755" s="17">
        <f t="shared" si="11"/>
        <v>10280314.271500001</v>
      </c>
      <c r="G755" s="18"/>
      <c r="H755" s="18"/>
      <c r="I755" s="19"/>
      <c r="J755" s="19"/>
      <c r="K755" s="19"/>
      <c r="L755" s="19"/>
      <c r="M755" s="18"/>
      <c r="N755" s="18"/>
      <c r="O755" s="19"/>
      <c r="P755" s="19"/>
      <c r="Q755" s="19"/>
    </row>
    <row r="756" spans="1:17" ht="17.649999999999999">
      <c r="A756" s="14">
        <v>751</v>
      </c>
      <c r="B756" s="15" t="s">
        <v>117</v>
      </c>
      <c r="C756" s="15" t="s">
        <v>887</v>
      </c>
      <c r="D756" s="16">
        <v>9221740.9638999999</v>
      </c>
      <c r="E756" s="16">
        <v>2090575.4173000001</v>
      </c>
      <c r="F756" s="17">
        <f t="shared" si="11"/>
        <v>11312316.381200001</v>
      </c>
      <c r="G756" s="18"/>
      <c r="H756" s="18"/>
      <c r="I756" s="19"/>
      <c r="J756" s="19"/>
      <c r="K756" s="19"/>
      <c r="L756" s="19"/>
      <c r="M756" s="18"/>
      <c r="N756" s="18"/>
      <c r="O756" s="19"/>
      <c r="P756" s="19"/>
      <c r="Q756" s="19"/>
    </row>
    <row r="757" spans="1:17" ht="17.649999999999999">
      <c r="A757" s="14">
        <v>752</v>
      </c>
      <c r="B757" s="15" t="s">
        <v>117</v>
      </c>
      <c r="C757" s="15" t="s">
        <v>889</v>
      </c>
      <c r="D757" s="16">
        <v>8553072.5119000003</v>
      </c>
      <c r="E757" s="16">
        <v>1938987.7904000001</v>
      </c>
      <c r="F757" s="17">
        <f t="shared" si="11"/>
        <v>10492060.302300001</v>
      </c>
      <c r="G757" s="18"/>
      <c r="H757" s="18"/>
      <c r="I757" s="19"/>
      <c r="J757" s="19"/>
      <c r="K757" s="19"/>
      <c r="L757" s="19"/>
      <c r="M757" s="18"/>
      <c r="N757" s="18"/>
      <c r="O757" s="19"/>
      <c r="P757" s="19"/>
      <c r="Q757" s="19"/>
    </row>
    <row r="758" spans="1:17" ht="17.649999999999999">
      <c r="A758" s="14">
        <v>753</v>
      </c>
      <c r="B758" s="15" t="s">
        <v>117</v>
      </c>
      <c r="C758" s="15" t="s">
        <v>891</v>
      </c>
      <c r="D758" s="16">
        <v>8913767.4956999999</v>
      </c>
      <c r="E758" s="16">
        <v>2020757.6069</v>
      </c>
      <c r="F758" s="17">
        <f t="shared" si="11"/>
        <v>10934525.102600001</v>
      </c>
      <c r="G758" s="18"/>
      <c r="H758" s="18"/>
      <c r="I758" s="19"/>
      <c r="J758" s="19"/>
      <c r="K758" s="19"/>
      <c r="L758" s="19"/>
      <c r="M758" s="18"/>
      <c r="N758" s="18"/>
      <c r="O758" s="19"/>
      <c r="P758" s="19"/>
      <c r="Q758" s="19"/>
    </row>
    <row r="759" spans="1:17" ht="17.649999999999999">
      <c r="A759" s="14">
        <v>754</v>
      </c>
      <c r="B759" s="15" t="s">
        <v>117</v>
      </c>
      <c r="C759" s="15" t="s">
        <v>893</v>
      </c>
      <c r="D759" s="16">
        <v>8892585.2657999992</v>
      </c>
      <c r="E759" s="16">
        <v>2015955.5799</v>
      </c>
      <c r="F759" s="17">
        <f t="shared" si="11"/>
        <v>10908540.845699999</v>
      </c>
      <c r="G759" s="18"/>
      <c r="H759" s="18"/>
      <c r="I759" s="19"/>
      <c r="J759" s="19"/>
      <c r="K759" s="19"/>
      <c r="L759" s="19"/>
      <c r="M759" s="18"/>
      <c r="N759" s="18"/>
      <c r="O759" s="19"/>
      <c r="P759" s="19"/>
      <c r="Q759" s="19"/>
    </row>
    <row r="760" spans="1:17" ht="17.649999999999999">
      <c r="A760" s="14">
        <v>755</v>
      </c>
      <c r="B760" s="15" t="s">
        <v>118</v>
      </c>
      <c r="C760" s="15" t="s">
        <v>897</v>
      </c>
      <c r="D760" s="16">
        <v>8370327.4869999997</v>
      </c>
      <c r="E760" s="16">
        <v>1897559.3596999999</v>
      </c>
      <c r="F760" s="17">
        <f t="shared" si="11"/>
        <v>10267886.8467</v>
      </c>
      <c r="G760" s="18"/>
      <c r="H760" s="18"/>
      <c r="I760" s="19"/>
      <c r="J760" s="19"/>
      <c r="K760" s="19"/>
      <c r="L760" s="19"/>
      <c r="M760" s="18"/>
      <c r="N760" s="18"/>
      <c r="O760" s="19"/>
      <c r="P760" s="19"/>
      <c r="Q760" s="19"/>
    </row>
    <row r="761" spans="1:17" ht="17.649999999999999">
      <c r="A761" s="14">
        <v>756</v>
      </c>
      <c r="B761" s="15" t="s">
        <v>118</v>
      </c>
      <c r="C761" s="15" t="s">
        <v>899</v>
      </c>
      <c r="D761" s="16">
        <v>8104569.0329999998</v>
      </c>
      <c r="E761" s="16">
        <v>1837311.7239000001</v>
      </c>
      <c r="F761" s="17">
        <f t="shared" si="11"/>
        <v>9941880.7568999995</v>
      </c>
      <c r="G761" s="18"/>
      <c r="H761" s="18"/>
      <c r="I761" s="19"/>
      <c r="J761" s="19"/>
      <c r="K761" s="19"/>
      <c r="L761" s="19"/>
      <c r="M761" s="18"/>
      <c r="N761" s="18"/>
      <c r="O761" s="19"/>
      <c r="P761" s="19"/>
      <c r="Q761" s="19"/>
    </row>
    <row r="762" spans="1:17" ht="17.649999999999999">
      <c r="A762" s="14">
        <v>757</v>
      </c>
      <c r="B762" s="15" t="s">
        <v>118</v>
      </c>
      <c r="C762" s="15" t="s">
        <v>901</v>
      </c>
      <c r="D762" s="16">
        <v>9564718.9664999992</v>
      </c>
      <c r="E762" s="16">
        <v>2168328.7812000001</v>
      </c>
      <c r="F762" s="17">
        <f t="shared" si="11"/>
        <v>11733047.747699998</v>
      </c>
      <c r="G762" s="18"/>
      <c r="H762" s="18"/>
      <c r="I762" s="19"/>
      <c r="J762" s="19"/>
      <c r="K762" s="19"/>
      <c r="L762" s="19"/>
      <c r="M762" s="18"/>
      <c r="N762" s="18"/>
      <c r="O762" s="19"/>
      <c r="P762" s="19"/>
      <c r="Q762" s="19"/>
    </row>
    <row r="763" spans="1:17" ht="17.649999999999999">
      <c r="A763" s="14">
        <v>758</v>
      </c>
      <c r="B763" s="15" t="s">
        <v>118</v>
      </c>
      <c r="C763" s="15" t="s">
        <v>903</v>
      </c>
      <c r="D763" s="16">
        <v>10556659.3759</v>
      </c>
      <c r="E763" s="16">
        <v>2393202.3969999999</v>
      </c>
      <c r="F763" s="17">
        <f t="shared" si="11"/>
        <v>12949861.7729</v>
      </c>
      <c r="G763" s="18"/>
      <c r="H763" s="18"/>
      <c r="I763" s="19"/>
      <c r="J763" s="19"/>
      <c r="K763" s="19"/>
      <c r="L763" s="19"/>
      <c r="M763" s="18"/>
      <c r="N763" s="18"/>
      <c r="O763" s="19"/>
      <c r="P763" s="19"/>
      <c r="Q763" s="19"/>
    </row>
    <row r="764" spans="1:17" ht="17.649999999999999">
      <c r="A764" s="14">
        <v>759</v>
      </c>
      <c r="B764" s="15" t="s">
        <v>118</v>
      </c>
      <c r="C764" s="15" t="s">
        <v>905</v>
      </c>
      <c r="D764" s="16">
        <v>9188446.9452</v>
      </c>
      <c r="E764" s="16">
        <v>2083027.6388999999</v>
      </c>
      <c r="F764" s="17">
        <f t="shared" si="11"/>
        <v>11271474.584100001</v>
      </c>
      <c r="G764" s="18"/>
      <c r="H764" s="18"/>
      <c r="I764" s="19"/>
      <c r="J764" s="19"/>
      <c r="K764" s="19"/>
      <c r="L764" s="19"/>
      <c r="M764" s="18"/>
      <c r="N764" s="18"/>
      <c r="O764" s="19"/>
      <c r="P764" s="19"/>
      <c r="Q764" s="19"/>
    </row>
    <row r="765" spans="1:17" ht="17.649999999999999">
      <c r="A765" s="14">
        <v>760</v>
      </c>
      <c r="B765" s="15" t="s">
        <v>118</v>
      </c>
      <c r="C765" s="15" t="s">
        <v>907</v>
      </c>
      <c r="D765" s="16">
        <v>12758687.9965</v>
      </c>
      <c r="E765" s="16">
        <v>2892403.8949000002</v>
      </c>
      <c r="F765" s="17">
        <f t="shared" si="11"/>
        <v>15651091.8914</v>
      </c>
      <c r="G765" s="18"/>
      <c r="H765" s="18"/>
      <c r="I765" s="19"/>
      <c r="J765" s="19"/>
      <c r="K765" s="19"/>
      <c r="L765" s="19"/>
      <c r="M765" s="18"/>
      <c r="N765" s="18"/>
      <c r="O765" s="19"/>
      <c r="P765" s="19"/>
      <c r="Q765" s="19"/>
    </row>
    <row r="766" spans="1:17" ht="17.649999999999999">
      <c r="A766" s="14">
        <v>761</v>
      </c>
      <c r="B766" s="15" t="s">
        <v>118</v>
      </c>
      <c r="C766" s="15" t="s">
        <v>909</v>
      </c>
      <c r="D766" s="16">
        <v>9689670.0088</v>
      </c>
      <c r="E766" s="16">
        <v>2196655.2738000001</v>
      </c>
      <c r="F766" s="17">
        <f t="shared" si="11"/>
        <v>11886325.282600001</v>
      </c>
      <c r="G766" s="18"/>
      <c r="H766" s="18"/>
      <c r="I766" s="19"/>
      <c r="J766" s="19"/>
      <c r="K766" s="19"/>
      <c r="L766" s="19"/>
      <c r="M766" s="18"/>
      <c r="N766" s="18"/>
      <c r="O766" s="19"/>
      <c r="P766" s="19"/>
      <c r="Q766" s="19"/>
    </row>
    <row r="767" spans="1:17" ht="17.649999999999999">
      <c r="A767" s="14">
        <v>762</v>
      </c>
      <c r="B767" s="15" t="s">
        <v>118</v>
      </c>
      <c r="C767" s="15" t="s">
        <v>823</v>
      </c>
      <c r="D767" s="16">
        <v>8791169.0025999993</v>
      </c>
      <c r="E767" s="16">
        <v>1992964.4389</v>
      </c>
      <c r="F767" s="17">
        <f t="shared" si="11"/>
        <v>10784133.441499999</v>
      </c>
      <c r="G767" s="18"/>
      <c r="H767" s="18"/>
      <c r="I767" s="19"/>
      <c r="J767" s="19"/>
      <c r="K767" s="19"/>
      <c r="L767" s="19"/>
      <c r="M767" s="18"/>
      <c r="N767" s="18"/>
      <c r="O767" s="19"/>
      <c r="P767" s="19"/>
      <c r="Q767" s="19"/>
    </row>
    <row r="768" spans="1:17" ht="17.649999999999999">
      <c r="A768" s="14">
        <v>763</v>
      </c>
      <c r="B768" s="15" t="s">
        <v>118</v>
      </c>
      <c r="C768" s="15" t="s">
        <v>912</v>
      </c>
      <c r="D768" s="16">
        <v>9503502.2971999999</v>
      </c>
      <c r="E768" s="16">
        <v>2154450.9175</v>
      </c>
      <c r="F768" s="17">
        <f t="shared" si="11"/>
        <v>11657953.2147</v>
      </c>
      <c r="G768" s="18"/>
      <c r="H768" s="18"/>
      <c r="I768" s="19"/>
      <c r="J768" s="19"/>
      <c r="K768" s="19"/>
      <c r="L768" s="19"/>
      <c r="M768" s="18"/>
      <c r="N768" s="18"/>
      <c r="O768" s="19"/>
      <c r="P768" s="19"/>
      <c r="Q768" s="19"/>
    </row>
    <row r="769" spans="1:17" ht="17.649999999999999">
      <c r="A769" s="14">
        <v>764</v>
      </c>
      <c r="B769" s="15" t="s">
        <v>118</v>
      </c>
      <c r="C769" s="15" t="s">
        <v>914</v>
      </c>
      <c r="D769" s="16">
        <v>12543847.991</v>
      </c>
      <c r="E769" s="16">
        <v>2843699.5085999998</v>
      </c>
      <c r="F769" s="17">
        <f t="shared" si="11"/>
        <v>15387547.499600001</v>
      </c>
      <c r="G769" s="18"/>
      <c r="H769" s="18"/>
      <c r="I769" s="19"/>
      <c r="J769" s="19"/>
      <c r="K769" s="19"/>
      <c r="L769" s="19"/>
      <c r="M769" s="18"/>
      <c r="N769" s="18"/>
      <c r="O769" s="19"/>
      <c r="P769" s="19"/>
      <c r="Q769" s="19"/>
    </row>
    <row r="770" spans="1:17" ht="17.649999999999999">
      <c r="A770" s="14">
        <v>765</v>
      </c>
      <c r="B770" s="15" t="s">
        <v>118</v>
      </c>
      <c r="C770" s="15" t="s">
        <v>916</v>
      </c>
      <c r="D770" s="16">
        <v>7832127.3969999999</v>
      </c>
      <c r="E770" s="16">
        <v>1775549.0059</v>
      </c>
      <c r="F770" s="17">
        <f t="shared" si="11"/>
        <v>9607676.4028999992</v>
      </c>
      <c r="G770" s="18"/>
      <c r="H770" s="18"/>
      <c r="I770" s="19"/>
      <c r="J770" s="19"/>
      <c r="K770" s="19"/>
      <c r="L770" s="19"/>
      <c r="M770" s="18"/>
      <c r="N770" s="18"/>
      <c r="O770" s="19"/>
      <c r="P770" s="19"/>
      <c r="Q770" s="19"/>
    </row>
    <row r="771" spans="1:17" ht="17.649999999999999">
      <c r="A771" s="14">
        <v>766</v>
      </c>
      <c r="B771" s="15" t="s">
        <v>118</v>
      </c>
      <c r="C771" s="15" t="s">
        <v>918</v>
      </c>
      <c r="D771" s="16">
        <v>9046236.5977999996</v>
      </c>
      <c r="E771" s="16">
        <v>2050788.4491999999</v>
      </c>
      <c r="F771" s="17">
        <f t="shared" si="11"/>
        <v>11097025.047</v>
      </c>
      <c r="G771" s="18"/>
      <c r="H771" s="18"/>
      <c r="I771" s="19"/>
      <c r="J771" s="19"/>
      <c r="K771" s="19"/>
      <c r="L771" s="19"/>
      <c r="M771" s="18"/>
      <c r="N771" s="18"/>
      <c r="O771" s="19"/>
      <c r="P771" s="19"/>
      <c r="Q771" s="19"/>
    </row>
    <row r="772" spans="1:17" ht="17.649999999999999">
      <c r="A772" s="14">
        <v>767</v>
      </c>
      <c r="B772" s="15" t="s">
        <v>118</v>
      </c>
      <c r="C772" s="15" t="s">
        <v>920</v>
      </c>
      <c r="D772" s="16">
        <v>9584190.2886999995</v>
      </c>
      <c r="E772" s="16">
        <v>2172742.9441</v>
      </c>
      <c r="F772" s="17">
        <f t="shared" si="11"/>
        <v>11756933.232799999</v>
      </c>
      <c r="G772" s="18"/>
      <c r="H772" s="18"/>
      <c r="I772" s="19"/>
      <c r="J772" s="19"/>
      <c r="K772" s="19"/>
      <c r="L772" s="19"/>
      <c r="M772" s="18"/>
      <c r="N772" s="18"/>
      <c r="O772" s="19"/>
      <c r="P772" s="19"/>
      <c r="Q772" s="19"/>
    </row>
    <row r="773" spans="1:17" ht="17.649999999999999">
      <c r="A773" s="14">
        <v>768</v>
      </c>
      <c r="B773" s="15" t="s">
        <v>118</v>
      </c>
      <c r="C773" s="15" t="s">
        <v>922</v>
      </c>
      <c r="D773" s="16">
        <v>10584846.742900001</v>
      </c>
      <c r="E773" s="16">
        <v>2399592.4937</v>
      </c>
      <c r="F773" s="17">
        <f t="shared" si="11"/>
        <v>12984439.2366</v>
      </c>
      <c r="G773" s="18"/>
      <c r="H773" s="18"/>
      <c r="I773" s="19"/>
      <c r="J773" s="19"/>
      <c r="K773" s="19"/>
      <c r="L773" s="19"/>
      <c r="M773" s="18"/>
      <c r="N773" s="18"/>
      <c r="O773" s="19"/>
      <c r="P773" s="19"/>
      <c r="Q773" s="19"/>
    </row>
    <row r="774" spans="1:17" ht="17.649999999999999">
      <c r="A774" s="14">
        <v>769</v>
      </c>
      <c r="B774" s="15" t="s">
        <v>926</v>
      </c>
      <c r="C774" s="15" t="s">
        <v>927</v>
      </c>
      <c r="D774" s="16">
        <v>6992040.2759999996</v>
      </c>
      <c r="E774" s="16">
        <v>1585100.6414999999</v>
      </c>
      <c r="F774" s="17">
        <f t="shared" si="11"/>
        <v>8577140.9175000004</v>
      </c>
      <c r="G774" s="18"/>
      <c r="H774" s="18"/>
      <c r="I774" s="19"/>
      <c r="J774" s="19"/>
      <c r="K774" s="19"/>
      <c r="L774" s="19"/>
      <c r="M774" s="18"/>
      <c r="N774" s="18"/>
      <c r="O774" s="19"/>
      <c r="P774" s="19"/>
      <c r="Q774" s="19"/>
    </row>
    <row r="775" spans="1:17" ht="35.25">
      <c r="A775" s="14">
        <v>770</v>
      </c>
      <c r="B775" s="15" t="s">
        <v>926</v>
      </c>
      <c r="C775" s="15" t="s">
        <v>929</v>
      </c>
      <c r="D775" s="16">
        <v>17849023.867199998</v>
      </c>
      <c r="E775" s="16">
        <v>4046386.7576000001</v>
      </c>
      <c r="F775" s="17">
        <f t="shared" ref="F775:F779" si="12">D775+E775</f>
        <v>21895410.624799997</v>
      </c>
      <c r="G775" s="18"/>
      <c r="H775" s="18"/>
      <c r="I775" s="19"/>
      <c r="J775" s="19"/>
      <c r="K775" s="19"/>
      <c r="L775" s="19"/>
      <c r="M775" s="18"/>
      <c r="N775" s="18"/>
      <c r="O775" s="19"/>
      <c r="P775" s="19"/>
      <c r="Q775" s="19"/>
    </row>
    <row r="776" spans="1:17" ht="17.649999999999999">
      <c r="A776" s="14">
        <v>771</v>
      </c>
      <c r="B776" s="15" t="s">
        <v>926</v>
      </c>
      <c r="C776" s="15" t="s">
        <v>931</v>
      </c>
      <c r="D776" s="16">
        <v>10053867.036699999</v>
      </c>
      <c r="E776" s="16">
        <v>2279219.0062000002</v>
      </c>
      <c r="F776" s="17">
        <f t="shared" si="12"/>
        <v>12333086.0429</v>
      </c>
      <c r="G776" s="18"/>
      <c r="H776" s="18"/>
      <c r="I776" s="19"/>
      <c r="J776" s="19"/>
      <c r="K776" s="19"/>
      <c r="L776" s="19"/>
      <c r="M776" s="18"/>
      <c r="N776" s="18"/>
      <c r="O776" s="19"/>
      <c r="P776" s="19"/>
      <c r="Q776" s="19"/>
    </row>
    <row r="777" spans="1:17" ht="17.649999999999999">
      <c r="A777" s="14">
        <v>772</v>
      </c>
      <c r="B777" s="15" t="s">
        <v>926</v>
      </c>
      <c r="C777" s="15" t="s">
        <v>933</v>
      </c>
      <c r="D777" s="16">
        <v>8616297.3403999992</v>
      </c>
      <c r="E777" s="16">
        <v>1953320.9051999999</v>
      </c>
      <c r="F777" s="17">
        <f t="shared" si="12"/>
        <v>10569618.2456</v>
      </c>
      <c r="G777" s="18"/>
      <c r="H777" s="18"/>
      <c r="I777" s="19"/>
      <c r="J777" s="19"/>
      <c r="K777" s="19"/>
      <c r="L777" s="19"/>
      <c r="M777" s="18"/>
      <c r="N777" s="18"/>
      <c r="O777" s="19"/>
      <c r="P777" s="19"/>
      <c r="Q777" s="19"/>
    </row>
    <row r="778" spans="1:17" ht="17.649999999999999">
      <c r="A778" s="14">
        <v>773</v>
      </c>
      <c r="B778" s="15" t="s">
        <v>926</v>
      </c>
      <c r="C778" s="15" t="s">
        <v>935</v>
      </c>
      <c r="D778" s="16">
        <v>8186947.5670999996</v>
      </c>
      <c r="E778" s="16">
        <v>1855986.9978</v>
      </c>
      <c r="F778" s="17">
        <f t="shared" si="12"/>
        <v>10042934.5649</v>
      </c>
      <c r="G778" s="18"/>
      <c r="H778" s="18"/>
      <c r="I778" s="19"/>
      <c r="J778" s="19"/>
      <c r="K778" s="19"/>
      <c r="L778" s="19"/>
      <c r="M778" s="18"/>
      <c r="N778" s="18"/>
      <c r="O778" s="19"/>
      <c r="P778" s="19"/>
      <c r="Q778" s="19"/>
    </row>
    <row r="779" spans="1:17" ht="17.649999999999999">
      <c r="A779" s="14">
        <v>774</v>
      </c>
      <c r="B779" s="15" t="s">
        <v>926</v>
      </c>
      <c r="C779" s="15" t="s">
        <v>937</v>
      </c>
      <c r="D779" s="16">
        <v>8421404.9737</v>
      </c>
      <c r="E779" s="16">
        <v>1909138.6632999999</v>
      </c>
      <c r="F779" s="17">
        <f t="shared" si="12"/>
        <v>10330543.637</v>
      </c>
      <c r="G779" s="18"/>
      <c r="H779" s="18"/>
      <c r="I779" s="19"/>
      <c r="J779" s="19"/>
      <c r="K779" s="19"/>
      <c r="L779" s="19"/>
      <c r="M779" s="18"/>
      <c r="N779" s="18"/>
      <c r="O779" s="19"/>
      <c r="P779" s="19"/>
      <c r="Q779" s="19"/>
    </row>
    <row r="780" spans="1:17" ht="17.649999999999999">
      <c r="A780" s="20"/>
      <c r="B780" s="199" t="s">
        <v>41</v>
      </c>
      <c r="C780" s="200"/>
      <c r="D780" s="21">
        <f>SUM(D6:D779)</f>
        <v>6616652684.0704994</v>
      </c>
      <c r="E780" s="21">
        <f>SUM(E6:E779)</f>
        <v>1499999999.9989998</v>
      </c>
      <c r="F780" s="21">
        <f>SUM(F6:F779)</f>
        <v>8116652684.0694962</v>
      </c>
    </row>
  </sheetData>
  <mergeCells count="4">
    <mergeCell ref="A1:F1"/>
    <mergeCell ref="A2:F2"/>
    <mergeCell ref="A3:F3"/>
    <mergeCell ref="B780:C78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MONTHENTRY</vt:lpstr>
      <vt:lpstr>Sum &amp; FG</vt:lpstr>
      <vt:lpstr>State Details</vt:lpstr>
      <vt:lpstr>LGCs Details</vt:lpstr>
      <vt:lpstr>Summary</vt:lpstr>
      <vt:lpstr>Ecology to States</vt:lpstr>
      <vt:lpstr>Ecology to LGCs</vt:lpstr>
      <vt:lpstr>ECOLOGY TO INDIVIDUAL LGCS</vt:lpstr>
      <vt:lpstr>acctmonth</vt:lpstr>
      <vt:lpstr>previuosmonth</vt:lpstr>
      <vt:lpstr>'LGCs Details'!Print_Area</vt:lpstr>
      <vt:lpstr>'State Details'!Print_Area</vt:lpstr>
      <vt:lpstr>'Sum &amp; FG'!Print_Area</vt:lpstr>
      <vt:lpstr>Summary!Print_Area</vt:lpstr>
    </vt:vector>
  </TitlesOfParts>
  <Company>OAGF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FUNDS</dc:creator>
  <cp:lastModifiedBy>Waniko Yaba Moses</cp:lastModifiedBy>
  <cp:lastPrinted>2026-06-11T20:06:00Z</cp:lastPrinted>
  <dcterms:created xsi:type="dcterms:W3CDTF">2003-11-12T09:54:00Z</dcterms:created>
  <dcterms:modified xsi:type="dcterms:W3CDTF">2026-09-25T13:22:09Z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05B078E78A6A4F85BC333F7642395ADD_13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